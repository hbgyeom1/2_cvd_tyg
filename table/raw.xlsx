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ocuments\2_cvd_tyg\table\"/>
    </mc:Choice>
  </mc:AlternateContent>
  <xr:revisionPtr revIDLastSave="0" documentId="13_ncr:1_{8D8BA65F-5D5D-4672-B63F-BE176EC4CFDD}" xr6:coauthVersionLast="47" xr6:coauthVersionMax="47" xr10:uidLastSave="{00000000-0000-0000-0000-000000000000}"/>
  <bookViews>
    <workbookView xWindow="-28920" yWindow="-120" windowWidth="29040" windowHeight="15720" activeTab="9" xr2:uid="{00000000-000D-0000-FFFF-FFFF00000000}"/>
  </bookViews>
  <sheets>
    <sheet name="Sheet1" sheetId="1" r:id="rId1"/>
    <sheet name="Sheet2" sheetId="2" r:id="rId2"/>
    <sheet name="Sheet2 (2)" sheetId="4" r:id="rId3"/>
    <sheet name="Sheet2 (3)" sheetId="5" r:id="rId4"/>
    <sheet name="Sheet2 (4)" sheetId="6" r:id="rId5"/>
    <sheet name="Sheet7" sheetId="7" r:id="rId6"/>
    <sheet name="Sheet8" sheetId="8" r:id="rId7"/>
    <sheet name="Sheet8 (2)" sheetId="9" r:id="rId8"/>
    <sheet name="Sheet8 (3)" sheetId="10" r:id="rId9"/>
    <sheet name="Sheet8 (4)" sheetId="11" r:id="rId10"/>
  </sheets>
  <definedNames>
    <definedName name="_xlnm._FilterDatabase" localSheetId="0" hidden="1">Sheet1!$A$1:$A$91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9" i="11" l="1"/>
  <c r="J79" i="11"/>
  <c r="M79" i="11" s="1"/>
  <c r="K78" i="11"/>
  <c r="J78" i="11"/>
  <c r="M78" i="11" s="1"/>
  <c r="K77" i="11"/>
  <c r="J77" i="11"/>
  <c r="M77" i="11" s="1"/>
  <c r="K76" i="11"/>
  <c r="J76" i="11"/>
  <c r="M76" i="11" s="1"/>
  <c r="K75" i="11"/>
  <c r="J75" i="11"/>
  <c r="M75" i="11" s="1"/>
  <c r="M74" i="11"/>
  <c r="K74" i="11"/>
  <c r="J74" i="11"/>
  <c r="K73" i="11"/>
  <c r="J73" i="11"/>
  <c r="M73" i="11" s="1"/>
  <c r="K72" i="11"/>
  <c r="J72" i="11"/>
  <c r="M72" i="11" s="1"/>
  <c r="K71" i="11"/>
  <c r="J71" i="11"/>
  <c r="M71" i="11" s="1"/>
  <c r="K70" i="11"/>
  <c r="J70" i="11"/>
  <c r="M70" i="11" s="1"/>
  <c r="K69" i="11"/>
  <c r="M69" i="11" s="1"/>
  <c r="J69" i="11"/>
  <c r="K68" i="11"/>
  <c r="J68" i="11"/>
  <c r="M68" i="11" s="1"/>
  <c r="K67" i="11"/>
  <c r="J67" i="11"/>
  <c r="M67" i="11" s="1"/>
  <c r="K66" i="11"/>
  <c r="J66" i="11"/>
  <c r="M66" i="11" s="1"/>
  <c r="K65" i="11"/>
  <c r="J65" i="11"/>
  <c r="M65" i="11" s="1"/>
  <c r="K64" i="11"/>
  <c r="J64" i="11"/>
  <c r="M64" i="11" s="1"/>
  <c r="K63" i="11"/>
  <c r="J63" i="11"/>
  <c r="M63" i="11" s="1"/>
  <c r="K62" i="11"/>
  <c r="J62" i="11"/>
  <c r="M62" i="11" s="1"/>
  <c r="K61" i="11"/>
  <c r="J61" i="11"/>
  <c r="M61" i="11" s="1"/>
  <c r="K60" i="11"/>
  <c r="J60" i="11"/>
  <c r="M60" i="11" s="1"/>
  <c r="K59" i="11"/>
  <c r="J59" i="11"/>
  <c r="M59" i="11" s="1"/>
  <c r="M58" i="11"/>
  <c r="K58" i="11"/>
  <c r="J58" i="11"/>
  <c r="K57" i="11"/>
  <c r="J57" i="11"/>
  <c r="M57" i="11" s="1"/>
  <c r="K56" i="11"/>
  <c r="J56" i="11"/>
  <c r="M56" i="11" s="1"/>
  <c r="K55" i="11"/>
  <c r="J55" i="11"/>
  <c r="M55" i="11" s="1"/>
  <c r="K54" i="11"/>
  <c r="J54" i="11"/>
  <c r="M54" i="11" s="1"/>
  <c r="K53" i="11"/>
  <c r="M53" i="11" s="1"/>
  <c r="J53" i="11"/>
  <c r="K52" i="11"/>
  <c r="J52" i="11"/>
  <c r="M52" i="11" s="1"/>
  <c r="K51" i="11"/>
  <c r="J51" i="11"/>
  <c r="M51" i="11" s="1"/>
  <c r="K50" i="11"/>
  <c r="J50" i="11"/>
  <c r="M50" i="11" s="1"/>
  <c r="K49" i="11"/>
  <c r="J49" i="11"/>
  <c r="M49" i="11" s="1"/>
  <c r="K48" i="11"/>
  <c r="J48" i="11"/>
  <c r="M48" i="11" s="1"/>
  <c r="K47" i="11"/>
  <c r="J47" i="11"/>
  <c r="M47" i="11" s="1"/>
  <c r="K46" i="11"/>
  <c r="J46" i="11"/>
  <c r="M46" i="11" s="1"/>
  <c r="K45" i="11"/>
  <c r="J45" i="11"/>
  <c r="M45" i="11" s="1"/>
  <c r="K44" i="11"/>
  <c r="J44" i="11"/>
  <c r="M44" i="11" s="1"/>
  <c r="K43" i="11"/>
  <c r="J43" i="11"/>
  <c r="M43" i="11" s="1"/>
  <c r="M42" i="11"/>
  <c r="K42" i="11"/>
  <c r="J42" i="11"/>
  <c r="K41" i="11"/>
  <c r="J41" i="11"/>
  <c r="M41" i="11" s="1"/>
  <c r="K40" i="11"/>
  <c r="J40" i="11"/>
  <c r="M40" i="11" s="1"/>
  <c r="K39" i="11"/>
  <c r="J39" i="11"/>
  <c r="M39" i="11" s="1"/>
  <c r="K38" i="11"/>
  <c r="J38" i="11"/>
  <c r="M38" i="11" s="1"/>
  <c r="K37" i="11"/>
  <c r="M37" i="11" s="1"/>
  <c r="J37" i="11"/>
  <c r="K36" i="11"/>
  <c r="J36" i="11"/>
  <c r="M36" i="11" s="1"/>
  <c r="K35" i="11"/>
  <c r="J35" i="11"/>
  <c r="M35" i="11" s="1"/>
  <c r="K34" i="11"/>
  <c r="J34" i="11"/>
  <c r="M34" i="11" s="1"/>
  <c r="K33" i="11"/>
  <c r="J33" i="11"/>
  <c r="M33" i="11" s="1"/>
  <c r="K32" i="11"/>
  <c r="J32" i="11"/>
  <c r="M32" i="11" s="1"/>
  <c r="K31" i="11"/>
  <c r="J31" i="11"/>
  <c r="M31" i="11" s="1"/>
  <c r="K30" i="11"/>
  <c r="J30" i="11"/>
  <c r="M30" i="11" s="1"/>
  <c r="K29" i="11"/>
  <c r="J29" i="11"/>
  <c r="M29" i="11" s="1"/>
  <c r="K28" i="11"/>
  <c r="J28" i="11"/>
  <c r="M28" i="11" s="1"/>
  <c r="K27" i="11"/>
  <c r="J27" i="11"/>
  <c r="M27" i="11" s="1"/>
  <c r="M26" i="11"/>
  <c r="K26" i="11"/>
  <c r="J26" i="11"/>
  <c r="K25" i="11"/>
  <c r="J25" i="11"/>
  <c r="M25" i="11" s="1"/>
  <c r="K24" i="11"/>
  <c r="J24" i="11"/>
  <c r="M24" i="11" s="1"/>
  <c r="K23" i="11"/>
  <c r="J23" i="11"/>
  <c r="M23" i="11" s="1"/>
  <c r="K22" i="11"/>
  <c r="J22" i="11"/>
  <c r="M22" i="11" s="1"/>
  <c r="K21" i="11"/>
  <c r="M21" i="11" s="1"/>
  <c r="J21" i="11"/>
  <c r="K20" i="11"/>
  <c r="J20" i="11"/>
  <c r="M20" i="11" s="1"/>
  <c r="K19" i="11"/>
  <c r="J19" i="11"/>
  <c r="M19" i="11" s="1"/>
  <c r="K18" i="11"/>
  <c r="J18" i="11"/>
  <c r="M18" i="11" s="1"/>
  <c r="K17" i="11"/>
  <c r="J17" i="11"/>
  <c r="M17" i="11" s="1"/>
  <c r="K16" i="11"/>
  <c r="J16" i="11"/>
  <c r="M16" i="11" s="1"/>
  <c r="K15" i="11"/>
  <c r="J15" i="11"/>
  <c r="M15" i="11" s="1"/>
  <c r="K14" i="11"/>
  <c r="J14" i="11"/>
  <c r="M14" i="11" s="1"/>
  <c r="K13" i="11"/>
  <c r="J13" i="11"/>
  <c r="M13" i="11" s="1"/>
  <c r="K12" i="11"/>
  <c r="J12" i="11"/>
  <c r="M12" i="11" s="1"/>
  <c r="K11" i="11"/>
  <c r="J11" i="11"/>
  <c r="M11" i="11" s="1"/>
  <c r="M10" i="11"/>
  <c r="K10" i="11"/>
  <c r="J10" i="11"/>
  <c r="K9" i="11"/>
  <c r="J9" i="11"/>
  <c r="M9" i="11" s="1"/>
  <c r="K8" i="11"/>
  <c r="J8" i="11"/>
  <c r="M8" i="11" s="1"/>
  <c r="K7" i="11"/>
  <c r="J7" i="11"/>
  <c r="M7" i="11" s="1"/>
  <c r="K6" i="11"/>
  <c r="J6" i="11"/>
  <c r="M6" i="11" s="1"/>
  <c r="K5" i="11"/>
  <c r="M5" i="11" s="1"/>
  <c r="J5" i="11"/>
  <c r="K4" i="11"/>
  <c r="J4" i="11"/>
  <c r="M4" i="11" s="1"/>
  <c r="K79" i="10"/>
  <c r="J79" i="10"/>
  <c r="M79" i="10" s="1"/>
  <c r="K78" i="10"/>
  <c r="J78" i="10"/>
  <c r="M78" i="10" s="1"/>
  <c r="K77" i="10"/>
  <c r="J77" i="10"/>
  <c r="M77" i="10" s="1"/>
  <c r="K76" i="10"/>
  <c r="J76" i="10"/>
  <c r="M76" i="10" s="1"/>
  <c r="K75" i="10"/>
  <c r="J75" i="10"/>
  <c r="M75" i="10" s="1"/>
  <c r="K74" i="10"/>
  <c r="J74" i="10"/>
  <c r="M74" i="10" s="1"/>
  <c r="K73" i="10"/>
  <c r="J73" i="10"/>
  <c r="M73" i="10" s="1"/>
  <c r="K72" i="10"/>
  <c r="J72" i="10"/>
  <c r="K71" i="10"/>
  <c r="J71" i="10"/>
  <c r="K70" i="10"/>
  <c r="J70" i="10"/>
  <c r="M70" i="10" s="1"/>
  <c r="K69" i="10"/>
  <c r="J69" i="10"/>
  <c r="K68" i="10"/>
  <c r="J68" i="10"/>
  <c r="M68" i="10" s="1"/>
  <c r="K67" i="10"/>
  <c r="J67" i="10"/>
  <c r="M67" i="10" s="1"/>
  <c r="K66" i="10"/>
  <c r="J66" i="10"/>
  <c r="M66" i="10" s="1"/>
  <c r="K65" i="10"/>
  <c r="J65" i="10"/>
  <c r="M65" i="10" s="1"/>
  <c r="K64" i="10"/>
  <c r="J64" i="10"/>
  <c r="K63" i="10"/>
  <c r="J63" i="10"/>
  <c r="K62" i="10"/>
  <c r="J62" i="10"/>
  <c r="M62" i="10" s="1"/>
  <c r="K61" i="10"/>
  <c r="J61" i="10"/>
  <c r="M61" i="10" s="1"/>
  <c r="K60" i="10"/>
  <c r="J60" i="10"/>
  <c r="M60" i="10" s="1"/>
  <c r="K59" i="10"/>
  <c r="J59" i="10"/>
  <c r="M59" i="10" s="1"/>
  <c r="K58" i="10"/>
  <c r="J58" i="10"/>
  <c r="M58" i="10" s="1"/>
  <c r="K57" i="10"/>
  <c r="J57" i="10"/>
  <c r="M57" i="10" s="1"/>
  <c r="K56" i="10"/>
  <c r="J56" i="10"/>
  <c r="M56" i="10" s="1"/>
  <c r="K55" i="10"/>
  <c r="J55" i="10"/>
  <c r="M55" i="10" s="1"/>
  <c r="K54" i="10"/>
  <c r="J54" i="10"/>
  <c r="M54" i="10" s="1"/>
  <c r="K53" i="10"/>
  <c r="J53" i="10"/>
  <c r="K52" i="10"/>
  <c r="J52" i="10"/>
  <c r="M52" i="10" s="1"/>
  <c r="K51" i="10"/>
  <c r="J51" i="10"/>
  <c r="M51" i="10" s="1"/>
  <c r="K50" i="10"/>
  <c r="J50" i="10"/>
  <c r="M50" i="10" s="1"/>
  <c r="K49" i="10"/>
  <c r="J49" i="10"/>
  <c r="M49" i="10" s="1"/>
  <c r="K48" i="10"/>
  <c r="J48" i="10"/>
  <c r="M48" i="10" s="1"/>
  <c r="K47" i="10"/>
  <c r="J47" i="10"/>
  <c r="M47" i="10" s="1"/>
  <c r="K46" i="10"/>
  <c r="J46" i="10"/>
  <c r="M46" i="10" s="1"/>
  <c r="K45" i="10"/>
  <c r="J45" i="10"/>
  <c r="M45" i="10" s="1"/>
  <c r="K44" i="10"/>
  <c r="J44" i="10"/>
  <c r="M44" i="10" s="1"/>
  <c r="K43" i="10"/>
  <c r="J43" i="10"/>
  <c r="M43" i="10" s="1"/>
  <c r="K42" i="10"/>
  <c r="J42" i="10"/>
  <c r="M42" i="10" s="1"/>
  <c r="K41" i="10"/>
  <c r="J41" i="10"/>
  <c r="K40" i="10"/>
  <c r="J40" i="10"/>
  <c r="K39" i="10"/>
  <c r="J39" i="10"/>
  <c r="M39" i="10" s="1"/>
  <c r="K38" i="10"/>
  <c r="J38" i="10"/>
  <c r="M38" i="10" s="1"/>
  <c r="K37" i="10"/>
  <c r="J37" i="10"/>
  <c r="K36" i="10"/>
  <c r="J36" i="10"/>
  <c r="M36" i="10" s="1"/>
  <c r="K35" i="10"/>
  <c r="J35" i="10"/>
  <c r="M35" i="10" s="1"/>
  <c r="K34" i="10"/>
  <c r="J34" i="10"/>
  <c r="M34" i="10" s="1"/>
  <c r="K33" i="10"/>
  <c r="J33" i="10"/>
  <c r="K32" i="10"/>
  <c r="J32" i="10"/>
  <c r="K31" i="10"/>
  <c r="J31" i="10"/>
  <c r="M31" i="10" s="1"/>
  <c r="K30" i="10"/>
  <c r="J30" i="10"/>
  <c r="M30" i="10" s="1"/>
  <c r="K29" i="10"/>
  <c r="J29" i="10"/>
  <c r="M29" i="10" s="1"/>
  <c r="K28" i="10"/>
  <c r="J28" i="10"/>
  <c r="M28" i="10" s="1"/>
  <c r="K27" i="10"/>
  <c r="J27" i="10"/>
  <c r="M27" i="10" s="1"/>
  <c r="K26" i="10"/>
  <c r="J26" i="10"/>
  <c r="M26" i="10" s="1"/>
  <c r="K25" i="10"/>
  <c r="J25" i="10"/>
  <c r="M25" i="10" s="1"/>
  <c r="K24" i="10"/>
  <c r="J24" i="10"/>
  <c r="M24" i="10" s="1"/>
  <c r="K23" i="10"/>
  <c r="J23" i="10"/>
  <c r="M23" i="10" s="1"/>
  <c r="K22" i="10"/>
  <c r="J22" i="10"/>
  <c r="M22" i="10" s="1"/>
  <c r="K21" i="10"/>
  <c r="J21" i="10"/>
  <c r="K20" i="10"/>
  <c r="J20" i="10"/>
  <c r="M20" i="10" s="1"/>
  <c r="K19" i="10"/>
  <c r="J19" i="10"/>
  <c r="M19" i="10" s="1"/>
  <c r="K18" i="10"/>
  <c r="J18" i="10"/>
  <c r="M18" i="10" s="1"/>
  <c r="K17" i="10"/>
  <c r="J17" i="10"/>
  <c r="M17" i="10" s="1"/>
  <c r="K16" i="10"/>
  <c r="J16" i="10"/>
  <c r="M16" i="10" s="1"/>
  <c r="K15" i="10"/>
  <c r="J15" i="10"/>
  <c r="M15" i="10" s="1"/>
  <c r="K14" i="10"/>
  <c r="J14" i="10"/>
  <c r="M14" i="10" s="1"/>
  <c r="K13" i="10"/>
  <c r="J13" i="10"/>
  <c r="M13" i="10" s="1"/>
  <c r="K12" i="10"/>
  <c r="J12" i="10"/>
  <c r="M12" i="10" s="1"/>
  <c r="K11" i="10"/>
  <c r="J11" i="10"/>
  <c r="M11" i="10" s="1"/>
  <c r="K10" i="10"/>
  <c r="M10" i="10" s="1"/>
  <c r="J10" i="10"/>
  <c r="K9" i="10"/>
  <c r="J9" i="10"/>
  <c r="K8" i="10"/>
  <c r="J8" i="10"/>
  <c r="M8" i="10" s="1"/>
  <c r="K7" i="10"/>
  <c r="J7" i="10"/>
  <c r="M7" i="10" s="1"/>
  <c r="K6" i="10"/>
  <c r="J6" i="10"/>
  <c r="M6" i="10" s="1"/>
  <c r="K5" i="10"/>
  <c r="J5" i="10"/>
  <c r="K4" i="10"/>
  <c r="J4" i="10"/>
  <c r="M4" i="10" s="1"/>
  <c r="K79" i="9"/>
  <c r="J79" i="9"/>
  <c r="M79" i="9" s="1"/>
  <c r="K78" i="9"/>
  <c r="J78" i="9"/>
  <c r="M78" i="9" s="1"/>
  <c r="K77" i="9"/>
  <c r="J77" i="9"/>
  <c r="M77" i="9" s="1"/>
  <c r="K76" i="9"/>
  <c r="J76" i="9"/>
  <c r="M76" i="9" s="1"/>
  <c r="K75" i="9"/>
  <c r="J75" i="9"/>
  <c r="M75" i="9" s="1"/>
  <c r="K74" i="9"/>
  <c r="J74" i="9"/>
  <c r="M74" i="9" s="1"/>
  <c r="K73" i="9"/>
  <c r="J73" i="9"/>
  <c r="M73" i="9" s="1"/>
  <c r="K72" i="9"/>
  <c r="J72" i="9"/>
  <c r="K71" i="9"/>
  <c r="J71" i="9"/>
  <c r="M71" i="9" s="1"/>
  <c r="K70" i="9"/>
  <c r="J70" i="9"/>
  <c r="M70" i="9" s="1"/>
  <c r="K69" i="9"/>
  <c r="J69" i="9"/>
  <c r="K68" i="9"/>
  <c r="J68" i="9"/>
  <c r="M68" i="9" s="1"/>
  <c r="K67" i="9"/>
  <c r="J67" i="9"/>
  <c r="M67" i="9" s="1"/>
  <c r="K66" i="9"/>
  <c r="J66" i="9"/>
  <c r="M66" i="9" s="1"/>
  <c r="K65" i="9"/>
  <c r="J65" i="9"/>
  <c r="M65" i="9" s="1"/>
  <c r="K64" i="9"/>
  <c r="J64" i="9"/>
  <c r="K63" i="9"/>
  <c r="J63" i="9"/>
  <c r="M63" i="9" s="1"/>
  <c r="K62" i="9"/>
  <c r="J62" i="9"/>
  <c r="M62" i="9" s="1"/>
  <c r="K61" i="9"/>
  <c r="J61" i="9"/>
  <c r="M61" i="9" s="1"/>
  <c r="K60" i="9"/>
  <c r="J60" i="9"/>
  <c r="M60" i="9" s="1"/>
  <c r="K59" i="9"/>
  <c r="J59" i="9"/>
  <c r="M59" i="9" s="1"/>
  <c r="K58" i="9"/>
  <c r="J58" i="9"/>
  <c r="M58" i="9" s="1"/>
  <c r="K57" i="9"/>
  <c r="J57" i="9"/>
  <c r="K56" i="9"/>
  <c r="J56" i="9"/>
  <c r="M56" i="9" s="1"/>
  <c r="K55" i="9"/>
  <c r="J55" i="9"/>
  <c r="M55" i="9" s="1"/>
  <c r="K54" i="9"/>
  <c r="J54" i="9"/>
  <c r="M54" i="9" s="1"/>
  <c r="K53" i="9"/>
  <c r="J53" i="9"/>
  <c r="K52" i="9"/>
  <c r="J52" i="9"/>
  <c r="M52" i="9" s="1"/>
  <c r="K51" i="9"/>
  <c r="J51" i="9"/>
  <c r="M51" i="9" s="1"/>
  <c r="K50" i="9"/>
  <c r="J50" i="9"/>
  <c r="M50" i="9" s="1"/>
  <c r="K49" i="9"/>
  <c r="J49" i="9"/>
  <c r="K48" i="9"/>
  <c r="J48" i="9"/>
  <c r="M48" i="9" s="1"/>
  <c r="K47" i="9"/>
  <c r="J47" i="9"/>
  <c r="M47" i="9" s="1"/>
  <c r="K46" i="9"/>
  <c r="J46" i="9"/>
  <c r="M46" i="9" s="1"/>
  <c r="K45" i="9"/>
  <c r="J45" i="9"/>
  <c r="M45" i="9" s="1"/>
  <c r="K44" i="9"/>
  <c r="J44" i="9"/>
  <c r="M44" i="9" s="1"/>
  <c r="K43" i="9"/>
  <c r="J43" i="9"/>
  <c r="M43" i="9" s="1"/>
  <c r="K42" i="9"/>
  <c r="M42" i="9" s="1"/>
  <c r="J42" i="9"/>
  <c r="K41" i="9"/>
  <c r="J41" i="9"/>
  <c r="M41" i="9" s="1"/>
  <c r="K40" i="9"/>
  <c r="J40" i="9"/>
  <c r="M40" i="9" s="1"/>
  <c r="K39" i="9"/>
  <c r="J39" i="9"/>
  <c r="M39" i="9" s="1"/>
  <c r="K38" i="9"/>
  <c r="J38" i="9"/>
  <c r="M38" i="9" s="1"/>
  <c r="K37" i="9"/>
  <c r="J37" i="9"/>
  <c r="K36" i="9"/>
  <c r="J36" i="9"/>
  <c r="M36" i="9" s="1"/>
  <c r="K35" i="9"/>
  <c r="J35" i="9"/>
  <c r="M35" i="9" s="1"/>
  <c r="K34" i="9"/>
  <c r="J34" i="9"/>
  <c r="K33" i="9"/>
  <c r="J33" i="9"/>
  <c r="M33" i="9" s="1"/>
  <c r="K32" i="9"/>
  <c r="J32" i="9"/>
  <c r="M32" i="9" s="1"/>
  <c r="K31" i="9"/>
  <c r="J31" i="9"/>
  <c r="M31" i="9" s="1"/>
  <c r="K30" i="9"/>
  <c r="J30" i="9"/>
  <c r="M30" i="9" s="1"/>
  <c r="K29" i="9"/>
  <c r="J29" i="9"/>
  <c r="M29" i="9" s="1"/>
  <c r="K28" i="9"/>
  <c r="J28" i="9"/>
  <c r="M28" i="9" s="1"/>
  <c r="K27" i="9"/>
  <c r="J27" i="9"/>
  <c r="K26" i="9"/>
  <c r="J26" i="9"/>
  <c r="M26" i="9" s="1"/>
  <c r="K25" i="9"/>
  <c r="J25" i="9"/>
  <c r="M25" i="9" s="1"/>
  <c r="K24" i="9"/>
  <c r="J24" i="9"/>
  <c r="M24" i="9" s="1"/>
  <c r="K23" i="9"/>
  <c r="J23" i="9"/>
  <c r="M23" i="9" s="1"/>
  <c r="K22" i="9"/>
  <c r="J22" i="9"/>
  <c r="M22" i="9" s="1"/>
  <c r="K21" i="9"/>
  <c r="J21" i="9"/>
  <c r="K20" i="9"/>
  <c r="M20" i="9" s="1"/>
  <c r="J20" i="9"/>
  <c r="K19" i="9"/>
  <c r="J19" i="9"/>
  <c r="M19" i="9" s="1"/>
  <c r="K18" i="9"/>
  <c r="J18" i="9"/>
  <c r="M18" i="9" s="1"/>
  <c r="K17" i="9"/>
  <c r="J17" i="9"/>
  <c r="M17" i="9" s="1"/>
  <c r="K16" i="9"/>
  <c r="J16" i="9"/>
  <c r="M16" i="9" s="1"/>
  <c r="K15" i="9"/>
  <c r="J15" i="9"/>
  <c r="M15" i="9" s="1"/>
  <c r="K14" i="9"/>
  <c r="J14" i="9"/>
  <c r="M14" i="9" s="1"/>
  <c r="K13" i="9"/>
  <c r="J13" i="9"/>
  <c r="M13" i="9" s="1"/>
  <c r="K12" i="9"/>
  <c r="J12" i="9"/>
  <c r="K11" i="9"/>
  <c r="J11" i="9"/>
  <c r="M11" i="9" s="1"/>
  <c r="K10" i="9"/>
  <c r="J10" i="9"/>
  <c r="M10" i="9" s="1"/>
  <c r="K9" i="9"/>
  <c r="J9" i="9"/>
  <c r="M9" i="9" s="1"/>
  <c r="K8" i="9"/>
  <c r="J8" i="9"/>
  <c r="M8" i="9" s="1"/>
  <c r="K7" i="9"/>
  <c r="J7" i="9"/>
  <c r="M7" i="9" s="1"/>
  <c r="K6" i="9"/>
  <c r="J6" i="9"/>
  <c r="M6" i="9" s="1"/>
  <c r="K5" i="9"/>
  <c r="M5" i="9" s="1"/>
  <c r="J5" i="9"/>
  <c r="K4" i="9"/>
  <c r="J4" i="9"/>
  <c r="M4" i="9" s="1"/>
  <c r="J5" i="8"/>
  <c r="K5" i="8"/>
  <c r="M5" i="8"/>
  <c r="J6" i="8"/>
  <c r="K6" i="8"/>
  <c r="M6" i="8"/>
  <c r="J7" i="8"/>
  <c r="K7" i="8"/>
  <c r="M7" i="8"/>
  <c r="J8" i="8"/>
  <c r="M8" i="8" s="1"/>
  <c r="K8" i="8"/>
  <c r="J9" i="8"/>
  <c r="K9" i="8"/>
  <c r="M9" i="8"/>
  <c r="J10" i="8"/>
  <c r="M10" i="8" s="1"/>
  <c r="K10" i="8"/>
  <c r="J11" i="8"/>
  <c r="M11" i="8" s="1"/>
  <c r="K11" i="8"/>
  <c r="J12" i="8"/>
  <c r="M12" i="8" s="1"/>
  <c r="K12" i="8"/>
  <c r="J13" i="8"/>
  <c r="K13" i="8"/>
  <c r="M13" i="8"/>
  <c r="J14" i="8"/>
  <c r="K14" i="8"/>
  <c r="M14" i="8"/>
  <c r="J15" i="8"/>
  <c r="M15" i="8" s="1"/>
  <c r="K15" i="8"/>
  <c r="J16" i="8"/>
  <c r="K16" i="8"/>
  <c r="M16" i="8" s="1"/>
  <c r="J17" i="8"/>
  <c r="M17" i="8" s="1"/>
  <c r="K17" i="8"/>
  <c r="J18" i="8"/>
  <c r="K18" i="8"/>
  <c r="M18" i="8"/>
  <c r="J19" i="8"/>
  <c r="M19" i="8" s="1"/>
  <c r="K19" i="8"/>
  <c r="J20" i="8"/>
  <c r="K20" i="8"/>
  <c r="M20" i="8"/>
  <c r="J21" i="8"/>
  <c r="K21" i="8"/>
  <c r="M21" i="8"/>
  <c r="J22" i="8"/>
  <c r="K22" i="8"/>
  <c r="M22" i="8"/>
  <c r="J23" i="8"/>
  <c r="K23" i="8"/>
  <c r="M23" i="8"/>
  <c r="J24" i="8"/>
  <c r="M24" i="8" s="1"/>
  <c r="K24" i="8"/>
  <c r="J25" i="8"/>
  <c r="K25" i="8"/>
  <c r="M25" i="8"/>
  <c r="J26" i="8"/>
  <c r="M26" i="8" s="1"/>
  <c r="K26" i="8"/>
  <c r="J27" i="8"/>
  <c r="M27" i="8" s="1"/>
  <c r="K27" i="8"/>
  <c r="J28" i="8"/>
  <c r="M28" i="8" s="1"/>
  <c r="K28" i="8"/>
  <c r="J29" i="8"/>
  <c r="K29" i="8"/>
  <c r="M29" i="8"/>
  <c r="J30" i="8"/>
  <c r="K30" i="8"/>
  <c r="M30" i="8"/>
  <c r="J31" i="8"/>
  <c r="M31" i="8" s="1"/>
  <c r="K31" i="8"/>
  <c r="J32" i="8"/>
  <c r="K32" i="8"/>
  <c r="M32" i="8" s="1"/>
  <c r="J33" i="8"/>
  <c r="M33" i="8" s="1"/>
  <c r="K33" i="8"/>
  <c r="J34" i="8"/>
  <c r="K34" i="8"/>
  <c r="M34" i="8"/>
  <c r="J35" i="8"/>
  <c r="M35" i="8" s="1"/>
  <c r="K35" i="8"/>
  <c r="J36" i="8"/>
  <c r="K36" i="8"/>
  <c r="M36" i="8"/>
  <c r="J37" i="8"/>
  <c r="K37" i="8"/>
  <c r="M37" i="8"/>
  <c r="J38" i="8"/>
  <c r="K38" i="8"/>
  <c r="M38" i="8"/>
  <c r="J39" i="8"/>
  <c r="K39" i="8"/>
  <c r="M39" i="8"/>
  <c r="J40" i="8"/>
  <c r="M40" i="8" s="1"/>
  <c r="K40" i="8"/>
  <c r="J41" i="8"/>
  <c r="K41" i="8"/>
  <c r="M41" i="8"/>
  <c r="J42" i="8"/>
  <c r="M42" i="8" s="1"/>
  <c r="K42" i="8"/>
  <c r="J43" i="8"/>
  <c r="M43" i="8" s="1"/>
  <c r="K43" i="8"/>
  <c r="J44" i="8"/>
  <c r="M44" i="8" s="1"/>
  <c r="K44" i="8"/>
  <c r="J45" i="8"/>
  <c r="K45" i="8"/>
  <c r="M45" i="8"/>
  <c r="J46" i="8"/>
  <c r="K46" i="8"/>
  <c r="M46" i="8"/>
  <c r="J47" i="8"/>
  <c r="M47" i="8" s="1"/>
  <c r="K47" i="8"/>
  <c r="J48" i="8"/>
  <c r="K48" i="8"/>
  <c r="M48" i="8" s="1"/>
  <c r="J49" i="8"/>
  <c r="M49" i="8" s="1"/>
  <c r="K49" i="8"/>
  <c r="J50" i="8"/>
  <c r="K50" i="8"/>
  <c r="M50" i="8"/>
  <c r="J51" i="8"/>
  <c r="M51" i="8" s="1"/>
  <c r="K51" i="8"/>
  <c r="J52" i="8"/>
  <c r="K52" i="8"/>
  <c r="M52" i="8"/>
  <c r="J53" i="8"/>
  <c r="K53" i="8"/>
  <c r="M53" i="8"/>
  <c r="J54" i="8"/>
  <c r="K54" i="8"/>
  <c r="M54" i="8"/>
  <c r="J55" i="8"/>
  <c r="K55" i="8"/>
  <c r="M55" i="8"/>
  <c r="J56" i="8"/>
  <c r="M56" i="8" s="1"/>
  <c r="K56" i="8"/>
  <c r="J57" i="8"/>
  <c r="K57" i="8"/>
  <c r="M57" i="8"/>
  <c r="J58" i="8"/>
  <c r="M58" i="8" s="1"/>
  <c r="K58" i="8"/>
  <c r="J59" i="8"/>
  <c r="M59" i="8" s="1"/>
  <c r="K59" i="8"/>
  <c r="J60" i="8"/>
  <c r="M60" i="8" s="1"/>
  <c r="K60" i="8"/>
  <c r="J61" i="8"/>
  <c r="K61" i="8"/>
  <c r="M61" i="8"/>
  <c r="J62" i="8"/>
  <c r="K62" i="8"/>
  <c r="M62" i="8"/>
  <c r="J63" i="8"/>
  <c r="M63" i="8" s="1"/>
  <c r="K63" i="8"/>
  <c r="J64" i="8"/>
  <c r="K64" i="8"/>
  <c r="M64" i="8" s="1"/>
  <c r="J65" i="8"/>
  <c r="M65" i="8" s="1"/>
  <c r="K65" i="8"/>
  <c r="J66" i="8"/>
  <c r="K66" i="8"/>
  <c r="M66" i="8"/>
  <c r="J67" i="8"/>
  <c r="M67" i="8" s="1"/>
  <c r="K67" i="8"/>
  <c r="J68" i="8"/>
  <c r="K68" i="8"/>
  <c r="M68" i="8"/>
  <c r="J69" i="8"/>
  <c r="K69" i="8"/>
  <c r="M69" i="8"/>
  <c r="J70" i="8"/>
  <c r="K70" i="8"/>
  <c r="M70" i="8"/>
  <c r="J71" i="8"/>
  <c r="K71" i="8"/>
  <c r="M71" i="8"/>
  <c r="J72" i="8"/>
  <c r="M72" i="8" s="1"/>
  <c r="K72" i="8"/>
  <c r="J73" i="8"/>
  <c r="K73" i="8"/>
  <c r="M73" i="8"/>
  <c r="J74" i="8"/>
  <c r="M74" i="8" s="1"/>
  <c r="K74" i="8"/>
  <c r="J75" i="8"/>
  <c r="M75" i="8" s="1"/>
  <c r="K75" i="8"/>
  <c r="J76" i="8"/>
  <c r="M76" i="8" s="1"/>
  <c r="K76" i="8"/>
  <c r="J77" i="8"/>
  <c r="K77" i="8"/>
  <c r="M77" i="8"/>
  <c r="J78" i="8"/>
  <c r="K78" i="8"/>
  <c r="M78" i="8"/>
  <c r="J79" i="8"/>
  <c r="M79" i="8" s="1"/>
  <c r="K79" i="8"/>
  <c r="M4" i="8"/>
  <c r="K4" i="8"/>
  <c r="J4" i="8"/>
  <c r="H5" i="7"/>
  <c r="K5" i="7" s="1"/>
  <c r="I5" i="7"/>
  <c r="H6" i="7"/>
  <c r="I6" i="7"/>
  <c r="K6" i="7"/>
  <c r="H7" i="7"/>
  <c r="I7" i="7"/>
  <c r="K7" i="7"/>
  <c r="H8" i="7"/>
  <c r="I8" i="7"/>
  <c r="K8" i="7"/>
  <c r="H9" i="7"/>
  <c r="I9" i="7"/>
  <c r="K9" i="7"/>
  <c r="H10" i="7"/>
  <c r="K10" i="7" s="1"/>
  <c r="I10" i="7"/>
  <c r="H11" i="7"/>
  <c r="I11" i="7"/>
  <c r="K11" i="7"/>
  <c r="H12" i="7"/>
  <c r="I12" i="7"/>
  <c r="K12" i="7"/>
  <c r="H13" i="7"/>
  <c r="I13" i="7"/>
  <c r="K13" i="7"/>
  <c r="H14" i="7"/>
  <c r="I14" i="7"/>
  <c r="K14" i="7"/>
  <c r="H15" i="7"/>
  <c r="K15" i="7" s="1"/>
  <c r="I15" i="7"/>
  <c r="H16" i="7"/>
  <c r="K16" i="7" s="1"/>
  <c r="I16" i="7"/>
  <c r="H17" i="7"/>
  <c r="I17" i="7"/>
  <c r="K17" i="7" s="1"/>
  <c r="H18" i="7"/>
  <c r="I18" i="7"/>
  <c r="K18" i="7"/>
  <c r="H19" i="7"/>
  <c r="I19" i="7"/>
  <c r="K19" i="7"/>
  <c r="H20" i="7"/>
  <c r="I20" i="7"/>
  <c r="K20" i="7"/>
  <c r="H21" i="7"/>
  <c r="K21" i="7" s="1"/>
  <c r="I21" i="7"/>
  <c r="H22" i="7"/>
  <c r="I22" i="7"/>
  <c r="K22" i="7"/>
  <c r="K4" i="7"/>
  <c r="I4" i="7"/>
  <c r="H4" i="7"/>
  <c r="L278" i="6"/>
  <c r="K278" i="6"/>
  <c r="J278" i="6"/>
  <c r="I278" i="6"/>
  <c r="L277" i="6"/>
  <c r="Q274" i="6" s="1"/>
  <c r="K277" i="6"/>
  <c r="P274" i="6" s="1"/>
  <c r="J277" i="6"/>
  <c r="O274" i="6" s="1"/>
  <c r="I277" i="6"/>
  <c r="L276" i="6"/>
  <c r="K276" i="6"/>
  <c r="J276" i="6"/>
  <c r="I276" i="6"/>
  <c r="L275" i="6"/>
  <c r="Q273" i="6" s="1"/>
  <c r="K275" i="6"/>
  <c r="J275" i="6"/>
  <c r="O273" i="6" s="1"/>
  <c r="I275" i="6"/>
  <c r="N273" i="6" s="1"/>
  <c r="N274" i="6"/>
  <c r="L274" i="6"/>
  <c r="K274" i="6"/>
  <c r="J274" i="6"/>
  <c r="I274" i="6"/>
  <c r="L273" i="6"/>
  <c r="K273" i="6"/>
  <c r="J273" i="6"/>
  <c r="I273" i="6"/>
  <c r="P272" i="6"/>
  <c r="O272" i="6"/>
  <c r="N272" i="6"/>
  <c r="L272" i="6"/>
  <c r="K272" i="6"/>
  <c r="J272" i="6"/>
  <c r="I272" i="6"/>
  <c r="L271" i="6"/>
  <c r="K271" i="6"/>
  <c r="P271" i="6" s="1"/>
  <c r="J271" i="6"/>
  <c r="I271" i="6"/>
  <c r="L263" i="6"/>
  <c r="K263" i="6"/>
  <c r="J263" i="6"/>
  <c r="I263" i="6"/>
  <c r="L262" i="6"/>
  <c r="Q259" i="6" s="1"/>
  <c r="K262" i="6"/>
  <c r="P259" i="6" s="1"/>
  <c r="J262" i="6"/>
  <c r="O259" i="6" s="1"/>
  <c r="I262" i="6"/>
  <c r="L261" i="6"/>
  <c r="K261" i="6"/>
  <c r="P258" i="6" s="1"/>
  <c r="J261" i="6"/>
  <c r="I261" i="6"/>
  <c r="L260" i="6"/>
  <c r="K260" i="6"/>
  <c r="J260" i="6"/>
  <c r="I260" i="6"/>
  <c r="N258" i="6" s="1"/>
  <c r="L259" i="6"/>
  <c r="K259" i="6"/>
  <c r="J259" i="6"/>
  <c r="I259" i="6"/>
  <c r="L258" i="6"/>
  <c r="K258" i="6"/>
  <c r="J258" i="6"/>
  <c r="I258" i="6"/>
  <c r="N257" i="6"/>
  <c r="L257" i="6"/>
  <c r="K257" i="6"/>
  <c r="J257" i="6"/>
  <c r="I257" i="6"/>
  <c r="L256" i="6"/>
  <c r="K256" i="6"/>
  <c r="P256" i="6" s="1"/>
  <c r="J256" i="6"/>
  <c r="O256" i="6" s="1"/>
  <c r="I256" i="6"/>
  <c r="N256" i="6" s="1"/>
  <c r="L248" i="6"/>
  <c r="K248" i="6"/>
  <c r="J248" i="6"/>
  <c r="I248" i="6"/>
  <c r="L247" i="6"/>
  <c r="Q244" i="6" s="1"/>
  <c r="K247" i="6"/>
  <c r="P244" i="6" s="1"/>
  <c r="J247" i="6"/>
  <c r="O244" i="6" s="1"/>
  <c r="I247" i="6"/>
  <c r="L246" i="6"/>
  <c r="K246" i="6"/>
  <c r="J246" i="6"/>
  <c r="I246" i="6"/>
  <c r="L245" i="6"/>
  <c r="Q243" i="6" s="1"/>
  <c r="K245" i="6"/>
  <c r="J245" i="6"/>
  <c r="O243" i="6" s="1"/>
  <c r="I245" i="6"/>
  <c r="N243" i="6" s="1"/>
  <c r="L244" i="6"/>
  <c r="K244" i="6"/>
  <c r="J244" i="6"/>
  <c r="I244" i="6"/>
  <c r="L243" i="6"/>
  <c r="K243" i="6"/>
  <c r="P242" i="6" s="1"/>
  <c r="J243" i="6"/>
  <c r="O242" i="6" s="1"/>
  <c r="I243" i="6"/>
  <c r="N242" i="6" s="1"/>
  <c r="L242" i="6"/>
  <c r="K242" i="6"/>
  <c r="J242" i="6"/>
  <c r="I242" i="6"/>
  <c r="L241" i="6"/>
  <c r="K241" i="6"/>
  <c r="P241" i="6" s="1"/>
  <c r="J241" i="6"/>
  <c r="O241" i="6" s="1"/>
  <c r="I241" i="6"/>
  <c r="N241" i="6" s="1"/>
  <c r="L233" i="6"/>
  <c r="K233" i="6"/>
  <c r="J233" i="6"/>
  <c r="I233" i="6"/>
  <c r="N229" i="6" s="1"/>
  <c r="L232" i="6"/>
  <c r="K232" i="6"/>
  <c r="J232" i="6"/>
  <c r="I232" i="6"/>
  <c r="L231" i="6"/>
  <c r="K231" i="6"/>
  <c r="J231" i="6"/>
  <c r="I231" i="6"/>
  <c r="L230" i="6"/>
  <c r="Q228" i="6" s="1"/>
  <c r="K230" i="6"/>
  <c r="P228" i="6" s="1"/>
  <c r="J230" i="6"/>
  <c r="O228" i="6" s="1"/>
  <c r="I230" i="6"/>
  <c r="N228" i="6" s="1"/>
  <c r="L229" i="6"/>
  <c r="Q227" i="6" s="1"/>
  <c r="K229" i="6"/>
  <c r="P227" i="6" s="1"/>
  <c r="J229" i="6"/>
  <c r="O227" i="6" s="1"/>
  <c r="I229" i="6"/>
  <c r="N227" i="6" s="1"/>
  <c r="L228" i="6"/>
  <c r="K228" i="6"/>
  <c r="J228" i="6"/>
  <c r="I228" i="6"/>
  <c r="L227" i="6"/>
  <c r="K227" i="6"/>
  <c r="J227" i="6"/>
  <c r="I227" i="6"/>
  <c r="L226" i="6"/>
  <c r="Q226" i="6" s="1"/>
  <c r="K226" i="6"/>
  <c r="P226" i="6" s="1"/>
  <c r="J226" i="6"/>
  <c r="O226" i="6" s="1"/>
  <c r="I226" i="6"/>
  <c r="N226" i="6" s="1"/>
  <c r="L218" i="6"/>
  <c r="K218" i="6"/>
  <c r="J218" i="6"/>
  <c r="I218" i="6"/>
  <c r="L217" i="6"/>
  <c r="K217" i="6"/>
  <c r="P214" i="6" s="1"/>
  <c r="J217" i="6"/>
  <c r="O214" i="6" s="1"/>
  <c r="I217" i="6"/>
  <c r="L216" i="6"/>
  <c r="K216" i="6"/>
  <c r="J216" i="6"/>
  <c r="I216" i="6"/>
  <c r="L215" i="6"/>
  <c r="Q213" i="6" s="1"/>
  <c r="K215" i="6"/>
  <c r="J215" i="6"/>
  <c r="O213" i="6" s="1"/>
  <c r="I215" i="6"/>
  <c r="N213" i="6" s="1"/>
  <c r="L214" i="6"/>
  <c r="Q212" i="6" s="1"/>
  <c r="K214" i="6"/>
  <c r="J214" i="6"/>
  <c r="I214" i="6"/>
  <c r="L213" i="6"/>
  <c r="K213" i="6"/>
  <c r="J213" i="6"/>
  <c r="I213" i="6"/>
  <c r="P212" i="6"/>
  <c r="O212" i="6"/>
  <c r="N212" i="6"/>
  <c r="L212" i="6"/>
  <c r="K212" i="6"/>
  <c r="J212" i="6"/>
  <c r="I212" i="6"/>
  <c r="P211" i="6"/>
  <c r="L211" i="6"/>
  <c r="K211" i="6"/>
  <c r="J211" i="6"/>
  <c r="I211" i="6"/>
  <c r="L203" i="6"/>
  <c r="K203" i="6"/>
  <c r="J203" i="6"/>
  <c r="I203" i="6"/>
  <c r="L202" i="6"/>
  <c r="Q199" i="6" s="1"/>
  <c r="K202" i="6"/>
  <c r="P199" i="6" s="1"/>
  <c r="J202" i="6"/>
  <c r="O199" i="6" s="1"/>
  <c r="I202" i="6"/>
  <c r="L201" i="6"/>
  <c r="K201" i="6"/>
  <c r="P198" i="6" s="1"/>
  <c r="J201" i="6"/>
  <c r="I201" i="6"/>
  <c r="L200" i="6"/>
  <c r="Q198" i="6" s="1"/>
  <c r="K200" i="6"/>
  <c r="J200" i="6"/>
  <c r="I200" i="6"/>
  <c r="L199" i="6"/>
  <c r="K199" i="6"/>
  <c r="J199" i="6"/>
  <c r="I199" i="6"/>
  <c r="L198" i="6"/>
  <c r="K198" i="6"/>
  <c r="J198" i="6"/>
  <c r="I198" i="6"/>
  <c r="N197" i="6"/>
  <c r="L197" i="6"/>
  <c r="Q196" i="6" s="1"/>
  <c r="K197" i="6"/>
  <c r="J197" i="6"/>
  <c r="I197" i="6"/>
  <c r="L196" i="6"/>
  <c r="K196" i="6"/>
  <c r="P196" i="6" s="1"/>
  <c r="J196" i="6"/>
  <c r="I196" i="6"/>
  <c r="N196" i="6" s="1"/>
  <c r="L184" i="6"/>
  <c r="K184" i="6"/>
  <c r="J184" i="6"/>
  <c r="I184" i="6"/>
  <c r="L183" i="6"/>
  <c r="Q180" i="6" s="1"/>
  <c r="K183" i="6"/>
  <c r="P180" i="6" s="1"/>
  <c r="J183" i="6"/>
  <c r="O180" i="6" s="1"/>
  <c r="I183" i="6"/>
  <c r="L182" i="6"/>
  <c r="Q179" i="6" s="1"/>
  <c r="K182" i="6"/>
  <c r="P179" i="6" s="1"/>
  <c r="J182" i="6"/>
  <c r="I182" i="6"/>
  <c r="L181" i="6"/>
  <c r="K181" i="6"/>
  <c r="J181" i="6"/>
  <c r="O179" i="6" s="1"/>
  <c r="I181" i="6"/>
  <c r="N179" i="6" s="1"/>
  <c r="L180" i="6"/>
  <c r="K180" i="6"/>
  <c r="J180" i="6"/>
  <c r="I180" i="6"/>
  <c r="L179" i="6"/>
  <c r="K179" i="6"/>
  <c r="J179" i="6"/>
  <c r="O178" i="6" s="1"/>
  <c r="I179" i="6"/>
  <c r="N178" i="6" s="1"/>
  <c r="P178" i="6"/>
  <c r="L178" i="6"/>
  <c r="K178" i="6"/>
  <c r="J178" i="6"/>
  <c r="I178" i="6"/>
  <c r="L177" i="6"/>
  <c r="K177" i="6"/>
  <c r="P177" i="6" s="1"/>
  <c r="J177" i="6"/>
  <c r="O177" i="6" s="1"/>
  <c r="I177" i="6"/>
  <c r="N177" i="6" s="1"/>
  <c r="L165" i="6"/>
  <c r="K165" i="6"/>
  <c r="J165" i="6"/>
  <c r="I165" i="6"/>
  <c r="N161" i="6" s="1"/>
  <c r="L164" i="6"/>
  <c r="Q161" i="6" s="1"/>
  <c r="K164" i="6"/>
  <c r="J164" i="6"/>
  <c r="I164" i="6"/>
  <c r="L163" i="6"/>
  <c r="K163" i="6"/>
  <c r="J163" i="6"/>
  <c r="I163" i="6"/>
  <c r="L162" i="6"/>
  <c r="K162" i="6"/>
  <c r="J162" i="6"/>
  <c r="O160" i="6" s="1"/>
  <c r="I162" i="6"/>
  <c r="N160" i="6" s="1"/>
  <c r="L161" i="6"/>
  <c r="Q159" i="6" s="1"/>
  <c r="K161" i="6"/>
  <c r="P159" i="6" s="1"/>
  <c r="J161" i="6"/>
  <c r="O159" i="6" s="1"/>
  <c r="I161" i="6"/>
  <c r="N159" i="6" s="1"/>
  <c r="Q160" i="6"/>
  <c r="L160" i="6"/>
  <c r="K160" i="6"/>
  <c r="J160" i="6"/>
  <c r="I160" i="6"/>
  <c r="L159" i="6"/>
  <c r="K159" i="6"/>
  <c r="J159" i="6"/>
  <c r="I159" i="6"/>
  <c r="L158" i="6"/>
  <c r="K158" i="6"/>
  <c r="P158" i="6" s="1"/>
  <c r="J158" i="6"/>
  <c r="I158" i="6"/>
  <c r="N158" i="6" s="1"/>
  <c r="L146" i="6"/>
  <c r="K146" i="6"/>
  <c r="J146" i="6"/>
  <c r="I146" i="6"/>
  <c r="L145" i="6"/>
  <c r="K145" i="6"/>
  <c r="J145" i="6"/>
  <c r="O142" i="6" s="1"/>
  <c r="I145" i="6"/>
  <c r="L144" i="6"/>
  <c r="K144" i="6"/>
  <c r="J144" i="6"/>
  <c r="I144" i="6"/>
  <c r="L143" i="6"/>
  <c r="Q141" i="6" s="1"/>
  <c r="K143" i="6"/>
  <c r="J143" i="6"/>
  <c r="O141" i="6" s="1"/>
  <c r="I143" i="6"/>
  <c r="N141" i="6" s="1"/>
  <c r="L142" i="6"/>
  <c r="Q140" i="6" s="1"/>
  <c r="K142" i="6"/>
  <c r="P140" i="6" s="1"/>
  <c r="J142" i="6"/>
  <c r="I142" i="6"/>
  <c r="L141" i="6"/>
  <c r="K141" i="6"/>
  <c r="J141" i="6"/>
  <c r="I141" i="6"/>
  <c r="N140" i="6"/>
  <c r="L140" i="6"/>
  <c r="K140" i="6"/>
  <c r="J140" i="6"/>
  <c r="I140" i="6"/>
  <c r="L139" i="6"/>
  <c r="K139" i="6"/>
  <c r="P139" i="6" s="1"/>
  <c r="J139" i="6"/>
  <c r="I139" i="6"/>
  <c r="L131" i="6"/>
  <c r="K131" i="6"/>
  <c r="J131" i="6"/>
  <c r="I131" i="6"/>
  <c r="L130" i="6"/>
  <c r="Q127" i="6" s="1"/>
  <c r="K130" i="6"/>
  <c r="J130" i="6"/>
  <c r="I130" i="6"/>
  <c r="L129" i="6"/>
  <c r="K129" i="6"/>
  <c r="J129" i="6"/>
  <c r="I129" i="6"/>
  <c r="L128" i="6"/>
  <c r="Q126" i="6" s="1"/>
  <c r="K128" i="6"/>
  <c r="P126" i="6" s="1"/>
  <c r="J128" i="6"/>
  <c r="I128" i="6"/>
  <c r="L127" i="6"/>
  <c r="K127" i="6"/>
  <c r="J127" i="6"/>
  <c r="I127" i="6"/>
  <c r="L126" i="6"/>
  <c r="K126" i="6"/>
  <c r="J126" i="6"/>
  <c r="I126" i="6"/>
  <c r="O125" i="6"/>
  <c r="N125" i="6"/>
  <c r="L125" i="6"/>
  <c r="Q124" i="6" s="1"/>
  <c r="K125" i="6"/>
  <c r="J125" i="6"/>
  <c r="I125" i="6"/>
  <c r="L124" i="6"/>
  <c r="K124" i="6"/>
  <c r="P124" i="6" s="1"/>
  <c r="J124" i="6"/>
  <c r="I124" i="6"/>
  <c r="N124" i="6" s="1"/>
  <c r="L108" i="6"/>
  <c r="K108" i="6"/>
  <c r="J108" i="6"/>
  <c r="I108" i="6"/>
  <c r="L107" i="6"/>
  <c r="Q104" i="6" s="1"/>
  <c r="K107" i="6"/>
  <c r="P104" i="6" s="1"/>
  <c r="J107" i="6"/>
  <c r="O104" i="6" s="1"/>
  <c r="I107" i="6"/>
  <c r="L106" i="6"/>
  <c r="Q103" i="6" s="1"/>
  <c r="K106" i="6"/>
  <c r="J106" i="6"/>
  <c r="I106" i="6"/>
  <c r="L105" i="6"/>
  <c r="K105" i="6"/>
  <c r="J105" i="6"/>
  <c r="O103" i="6" s="1"/>
  <c r="I105" i="6"/>
  <c r="N103" i="6" s="1"/>
  <c r="L104" i="6"/>
  <c r="K104" i="6"/>
  <c r="J104" i="6"/>
  <c r="I104" i="6"/>
  <c r="L103" i="6"/>
  <c r="K103" i="6"/>
  <c r="J103" i="6"/>
  <c r="I103" i="6"/>
  <c r="N102" i="6" s="1"/>
  <c r="L102" i="6"/>
  <c r="K102" i="6"/>
  <c r="J102" i="6"/>
  <c r="I102" i="6"/>
  <c r="L101" i="6"/>
  <c r="K101" i="6"/>
  <c r="P101" i="6" s="1"/>
  <c r="J101" i="6"/>
  <c r="O101" i="6" s="1"/>
  <c r="I101" i="6"/>
  <c r="N101" i="6" s="1"/>
  <c r="L85" i="6"/>
  <c r="K85" i="6"/>
  <c r="J85" i="6"/>
  <c r="I85" i="6"/>
  <c r="N81" i="6" s="1"/>
  <c r="L84" i="6"/>
  <c r="Q81" i="6" s="1"/>
  <c r="K84" i="6"/>
  <c r="P81" i="6" s="1"/>
  <c r="J84" i="6"/>
  <c r="I84" i="6"/>
  <c r="L83" i="6"/>
  <c r="K83" i="6"/>
  <c r="J83" i="6"/>
  <c r="I83" i="6"/>
  <c r="L82" i="6"/>
  <c r="Q80" i="6" s="1"/>
  <c r="K82" i="6"/>
  <c r="P80" i="6" s="1"/>
  <c r="J82" i="6"/>
  <c r="O80" i="6" s="1"/>
  <c r="I82" i="6"/>
  <c r="N80" i="6" s="1"/>
  <c r="L81" i="6"/>
  <c r="Q79" i="6" s="1"/>
  <c r="K81" i="6"/>
  <c r="P79" i="6" s="1"/>
  <c r="J81" i="6"/>
  <c r="O79" i="6" s="1"/>
  <c r="I81" i="6"/>
  <c r="L80" i="6"/>
  <c r="K80" i="6"/>
  <c r="J80" i="6"/>
  <c r="I80" i="6"/>
  <c r="N79" i="6"/>
  <c r="L79" i="6"/>
  <c r="Q78" i="6" s="1"/>
  <c r="K79" i="6"/>
  <c r="J79" i="6"/>
  <c r="I79" i="6"/>
  <c r="P78" i="6"/>
  <c r="L78" i="6"/>
  <c r="K78" i="6"/>
  <c r="J78" i="6"/>
  <c r="I78" i="6"/>
  <c r="L62" i="6"/>
  <c r="K62" i="6"/>
  <c r="J62" i="6"/>
  <c r="I62" i="6"/>
  <c r="L61" i="6"/>
  <c r="Q58" i="6" s="1"/>
  <c r="K61" i="6"/>
  <c r="P58" i="6" s="1"/>
  <c r="J61" i="6"/>
  <c r="O58" i="6" s="1"/>
  <c r="I61" i="6"/>
  <c r="L60" i="6"/>
  <c r="Q57" i="6" s="1"/>
  <c r="K60" i="6"/>
  <c r="P57" i="6" s="1"/>
  <c r="J60" i="6"/>
  <c r="I60" i="6"/>
  <c r="L59" i="6"/>
  <c r="K59" i="6"/>
  <c r="J59" i="6"/>
  <c r="I59" i="6"/>
  <c r="L58" i="6"/>
  <c r="K58" i="6"/>
  <c r="J58" i="6"/>
  <c r="I58" i="6"/>
  <c r="L57" i="6"/>
  <c r="K57" i="6"/>
  <c r="J57" i="6"/>
  <c r="I57" i="6"/>
  <c r="N56" i="6"/>
  <c r="L56" i="6"/>
  <c r="Q55" i="6" s="1"/>
  <c r="K56" i="6"/>
  <c r="J56" i="6"/>
  <c r="I56" i="6"/>
  <c r="L55" i="6"/>
  <c r="K55" i="6"/>
  <c r="P55" i="6" s="1"/>
  <c r="J55" i="6"/>
  <c r="I55" i="6"/>
  <c r="N55" i="6" s="1"/>
  <c r="L47" i="6"/>
  <c r="K47" i="6"/>
  <c r="J47" i="6"/>
  <c r="I47" i="6"/>
  <c r="L46" i="6"/>
  <c r="Q43" i="6" s="1"/>
  <c r="K46" i="6"/>
  <c r="P43" i="6" s="1"/>
  <c r="J46" i="6"/>
  <c r="O43" i="6" s="1"/>
  <c r="I46" i="6"/>
  <c r="N43" i="6" s="1"/>
  <c r="L45" i="6"/>
  <c r="K45" i="6"/>
  <c r="J45" i="6"/>
  <c r="I45" i="6"/>
  <c r="L44" i="6"/>
  <c r="K44" i="6"/>
  <c r="J44" i="6"/>
  <c r="O42" i="6" s="1"/>
  <c r="I44" i="6"/>
  <c r="N42" i="6" s="1"/>
  <c r="L43" i="6"/>
  <c r="K43" i="6"/>
  <c r="P41" i="6" s="1"/>
  <c r="J43" i="6"/>
  <c r="O41" i="6" s="1"/>
  <c r="I43" i="6"/>
  <c r="N41" i="6" s="1"/>
  <c r="Q42" i="6"/>
  <c r="P42" i="6"/>
  <c r="L42" i="6"/>
  <c r="K42" i="6"/>
  <c r="J42" i="6"/>
  <c r="I42" i="6"/>
  <c r="L41" i="6"/>
  <c r="K41" i="6"/>
  <c r="J41" i="6"/>
  <c r="I41" i="6"/>
  <c r="L40" i="6"/>
  <c r="K40" i="6"/>
  <c r="P40" i="6" s="1"/>
  <c r="J40" i="6"/>
  <c r="O40" i="6" s="1"/>
  <c r="I40" i="6"/>
  <c r="N40" i="6" s="1"/>
  <c r="L32" i="6"/>
  <c r="K32" i="6"/>
  <c r="J32" i="6"/>
  <c r="I32" i="6"/>
  <c r="L31" i="6"/>
  <c r="K31" i="6"/>
  <c r="J31" i="6"/>
  <c r="I31" i="6"/>
  <c r="L30" i="6"/>
  <c r="K30" i="6"/>
  <c r="J30" i="6"/>
  <c r="I30" i="6"/>
  <c r="L29" i="6"/>
  <c r="Q27" i="6" s="1"/>
  <c r="K29" i="6"/>
  <c r="J29" i="6"/>
  <c r="O27" i="6" s="1"/>
  <c r="I29" i="6"/>
  <c r="N27" i="6" s="1"/>
  <c r="Q28" i="6"/>
  <c r="N28" i="6"/>
  <c r="L28" i="6"/>
  <c r="Q26" i="6" s="1"/>
  <c r="K28" i="6"/>
  <c r="J28" i="6"/>
  <c r="I28" i="6"/>
  <c r="L27" i="6"/>
  <c r="K27" i="6"/>
  <c r="J27" i="6"/>
  <c r="I27" i="6"/>
  <c r="P26" i="6"/>
  <c r="O26" i="6"/>
  <c r="N26" i="6"/>
  <c r="L26" i="6"/>
  <c r="Q25" i="6" s="1"/>
  <c r="K26" i="6"/>
  <c r="J26" i="6"/>
  <c r="I26" i="6"/>
  <c r="L25" i="6"/>
  <c r="K25" i="6"/>
  <c r="P25" i="6" s="1"/>
  <c r="J25" i="6"/>
  <c r="I25" i="6"/>
  <c r="L13" i="6"/>
  <c r="K13" i="6"/>
  <c r="J13" i="6"/>
  <c r="I13" i="6"/>
  <c r="L12" i="6"/>
  <c r="Q9" i="6" s="1"/>
  <c r="K12" i="6"/>
  <c r="P9" i="6" s="1"/>
  <c r="J12" i="6"/>
  <c r="I12" i="6"/>
  <c r="L11" i="6"/>
  <c r="Q8" i="6" s="1"/>
  <c r="K11" i="6"/>
  <c r="P8" i="6" s="1"/>
  <c r="J11" i="6"/>
  <c r="I11" i="6"/>
  <c r="L10" i="6"/>
  <c r="K10" i="6"/>
  <c r="J10" i="6"/>
  <c r="I10" i="6"/>
  <c r="N8" i="6" s="1"/>
  <c r="L9" i="6"/>
  <c r="K9" i="6"/>
  <c r="J9" i="6"/>
  <c r="I9" i="6"/>
  <c r="L8" i="6"/>
  <c r="K8" i="6"/>
  <c r="J8" i="6"/>
  <c r="I8" i="6"/>
  <c r="N7" i="6" s="1"/>
  <c r="O7" i="6"/>
  <c r="L7" i="6"/>
  <c r="K7" i="6"/>
  <c r="J7" i="6"/>
  <c r="I7" i="6"/>
  <c r="L6" i="6"/>
  <c r="K6" i="6"/>
  <c r="J6" i="6"/>
  <c r="I6" i="6"/>
  <c r="N6" i="6" s="1"/>
  <c r="L278" i="5"/>
  <c r="K278" i="5"/>
  <c r="J278" i="5"/>
  <c r="I278" i="5"/>
  <c r="L277" i="5"/>
  <c r="Q274" i="5" s="1"/>
  <c r="K277" i="5"/>
  <c r="J277" i="5"/>
  <c r="I277" i="5"/>
  <c r="N274" i="5" s="1"/>
  <c r="L276" i="5"/>
  <c r="K276" i="5"/>
  <c r="J276" i="5"/>
  <c r="I276" i="5"/>
  <c r="L275" i="5"/>
  <c r="Q273" i="5" s="1"/>
  <c r="K275" i="5"/>
  <c r="P273" i="5" s="1"/>
  <c r="J275" i="5"/>
  <c r="O273" i="5" s="1"/>
  <c r="I275" i="5"/>
  <c r="N273" i="5" s="1"/>
  <c r="P274" i="5"/>
  <c r="O274" i="5"/>
  <c r="L274" i="5"/>
  <c r="K274" i="5"/>
  <c r="J274" i="5"/>
  <c r="I274" i="5"/>
  <c r="L273" i="5"/>
  <c r="Q272" i="5" s="1"/>
  <c r="K273" i="5"/>
  <c r="P272" i="5" s="1"/>
  <c r="J273" i="5"/>
  <c r="O272" i="5" s="1"/>
  <c r="I273" i="5"/>
  <c r="N272" i="5" s="1"/>
  <c r="L272" i="5"/>
  <c r="K272" i="5"/>
  <c r="J272" i="5"/>
  <c r="I272" i="5"/>
  <c r="N271" i="5"/>
  <c r="L271" i="5"/>
  <c r="Q271" i="5" s="1"/>
  <c r="K271" i="5"/>
  <c r="J271" i="5"/>
  <c r="I271" i="5"/>
  <c r="L263" i="5"/>
  <c r="K263" i="5"/>
  <c r="J263" i="5"/>
  <c r="I263" i="5"/>
  <c r="L262" i="5"/>
  <c r="Q259" i="5" s="1"/>
  <c r="K262" i="5"/>
  <c r="P259" i="5" s="1"/>
  <c r="J262" i="5"/>
  <c r="O259" i="5" s="1"/>
  <c r="I262" i="5"/>
  <c r="N259" i="5" s="1"/>
  <c r="L261" i="5"/>
  <c r="K261" i="5"/>
  <c r="J261" i="5"/>
  <c r="I261" i="5"/>
  <c r="N258" i="5" s="1"/>
  <c r="L260" i="5"/>
  <c r="Q258" i="5" s="1"/>
  <c r="K260" i="5"/>
  <c r="J260" i="5"/>
  <c r="I260" i="5"/>
  <c r="L259" i="5"/>
  <c r="K259" i="5"/>
  <c r="J259" i="5"/>
  <c r="I259" i="5"/>
  <c r="L258" i="5"/>
  <c r="Q257" i="5" s="1"/>
  <c r="K258" i="5"/>
  <c r="P257" i="5" s="1"/>
  <c r="J258" i="5"/>
  <c r="I258" i="5"/>
  <c r="N257" i="5" s="1"/>
  <c r="O257" i="5"/>
  <c r="L257" i="5"/>
  <c r="K257" i="5"/>
  <c r="J257" i="5"/>
  <c r="I257" i="5"/>
  <c r="L256" i="5"/>
  <c r="K256" i="5"/>
  <c r="J256" i="5"/>
  <c r="O256" i="5" s="1"/>
  <c r="I256" i="5"/>
  <c r="N256" i="5" s="1"/>
  <c r="L248" i="5"/>
  <c r="K248" i="5"/>
  <c r="J248" i="5"/>
  <c r="I248" i="5"/>
  <c r="L247" i="5"/>
  <c r="Q244" i="5" s="1"/>
  <c r="K247" i="5"/>
  <c r="P244" i="5" s="1"/>
  <c r="J247" i="5"/>
  <c r="O244" i="5" s="1"/>
  <c r="I247" i="5"/>
  <c r="N244" i="5" s="1"/>
  <c r="L246" i="5"/>
  <c r="K246" i="5"/>
  <c r="J246" i="5"/>
  <c r="I246" i="5"/>
  <c r="L245" i="5"/>
  <c r="K245" i="5"/>
  <c r="J245" i="5"/>
  <c r="O243" i="5" s="1"/>
  <c r="I245" i="5"/>
  <c r="L244" i="5"/>
  <c r="K244" i="5"/>
  <c r="J244" i="5"/>
  <c r="I244" i="5"/>
  <c r="N243" i="5"/>
  <c r="L243" i="5"/>
  <c r="Q242" i="5" s="1"/>
  <c r="K243" i="5"/>
  <c r="P242" i="5" s="1"/>
  <c r="J243" i="5"/>
  <c r="O242" i="5" s="1"/>
  <c r="I243" i="5"/>
  <c r="L242" i="5"/>
  <c r="K242" i="5"/>
  <c r="J242" i="5"/>
  <c r="I242" i="5"/>
  <c r="L241" i="5"/>
  <c r="Q241" i="5" s="1"/>
  <c r="K241" i="5"/>
  <c r="P241" i="5" s="1"/>
  <c r="J241" i="5"/>
  <c r="O241" i="5" s="1"/>
  <c r="I241" i="5"/>
  <c r="N241" i="5" s="1"/>
  <c r="L233" i="5"/>
  <c r="K233" i="5"/>
  <c r="J233" i="5"/>
  <c r="O229" i="5" s="1"/>
  <c r="I233" i="5"/>
  <c r="L232" i="5"/>
  <c r="Q229" i="5" s="1"/>
  <c r="K232" i="5"/>
  <c r="P229" i="5" s="1"/>
  <c r="J232" i="5"/>
  <c r="I232" i="5"/>
  <c r="L231" i="5"/>
  <c r="K231" i="5"/>
  <c r="J231" i="5"/>
  <c r="I231" i="5"/>
  <c r="L230" i="5"/>
  <c r="Q228" i="5" s="1"/>
  <c r="K230" i="5"/>
  <c r="P228" i="5" s="1"/>
  <c r="J230" i="5"/>
  <c r="O228" i="5" s="1"/>
  <c r="I230" i="5"/>
  <c r="N228" i="5" s="1"/>
  <c r="L229" i="5"/>
  <c r="K229" i="5"/>
  <c r="J229" i="5"/>
  <c r="O227" i="5" s="1"/>
  <c r="I229" i="5"/>
  <c r="L228" i="5"/>
  <c r="K228" i="5"/>
  <c r="J228" i="5"/>
  <c r="I228" i="5"/>
  <c r="L227" i="5"/>
  <c r="K227" i="5"/>
  <c r="J227" i="5"/>
  <c r="I227" i="5"/>
  <c r="L226" i="5"/>
  <c r="Q226" i="5" s="1"/>
  <c r="K226" i="5"/>
  <c r="P226" i="5" s="1"/>
  <c r="J226" i="5"/>
  <c r="O226" i="5" s="1"/>
  <c r="I226" i="5"/>
  <c r="N226" i="5" s="1"/>
  <c r="L218" i="5"/>
  <c r="K218" i="5"/>
  <c r="P214" i="5" s="1"/>
  <c r="J218" i="5"/>
  <c r="I218" i="5"/>
  <c r="L217" i="5"/>
  <c r="K217" i="5"/>
  <c r="J217" i="5"/>
  <c r="I217" i="5"/>
  <c r="N214" i="5" s="1"/>
  <c r="L216" i="5"/>
  <c r="K216" i="5"/>
  <c r="J216" i="5"/>
  <c r="I216" i="5"/>
  <c r="L215" i="5"/>
  <c r="Q213" i="5" s="1"/>
  <c r="K215" i="5"/>
  <c r="P213" i="5" s="1"/>
  <c r="J215" i="5"/>
  <c r="O213" i="5" s="1"/>
  <c r="I215" i="5"/>
  <c r="L214" i="5"/>
  <c r="K214" i="5"/>
  <c r="J214" i="5"/>
  <c r="I214" i="5"/>
  <c r="L213" i="5"/>
  <c r="K213" i="5"/>
  <c r="J213" i="5"/>
  <c r="I213" i="5"/>
  <c r="N212" i="5" s="1"/>
  <c r="P212" i="5"/>
  <c r="O212" i="5"/>
  <c r="L212" i="5"/>
  <c r="K212" i="5"/>
  <c r="J212" i="5"/>
  <c r="I212" i="5"/>
  <c r="L211" i="5"/>
  <c r="Q211" i="5" s="1"/>
  <c r="K211" i="5"/>
  <c r="P211" i="5" s="1"/>
  <c r="J211" i="5"/>
  <c r="O211" i="5" s="1"/>
  <c r="I211" i="5"/>
  <c r="L203" i="5"/>
  <c r="K203" i="5"/>
  <c r="J203" i="5"/>
  <c r="I203" i="5"/>
  <c r="L202" i="5"/>
  <c r="Q199" i="5" s="1"/>
  <c r="K202" i="5"/>
  <c r="J202" i="5"/>
  <c r="O199" i="5" s="1"/>
  <c r="I202" i="5"/>
  <c r="N199" i="5" s="1"/>
  <c r="L201" i="5"/>
  <c r="K201" i="5"/>
  <c r="J201" i="5"/>
  <c r="I201" i="5"/>
  <c r="N198" i="5" s="1"/>
  <c r="L200" i="5"/>
  <c r="Q198" i="5" s="1"/>
  <c r="K200" i="5"/>
  <c r="P198" i="5" s="1"/>
  <c r="J200" i="5"/>
  <c r="O198" i="5" s="1"/>
  <c r="I200" i="5"/>
  <c r="L199" i="5"/>
  <c r="K199" i="5"/>
  <c r="J199" i="5"/>
  <c r="I199" i="5"/>
  <c r="L198" i="5"/>
  <c r="Q197" i="5" s="1"/>
  <c r="K198" i="5"/>
  <c r="P197" i="5" s="1"/>
  <c r="J198" i="5"/>
  <c r="I198" i="5"/>
  <c r="N197" i="5" s="1"/>
  <c r="O197" i="5"/>
  <c r="L197" i="5"/>
  <c r="K197" i="5"/>
  <c r="J197" i="5"/>
  <c r="I197" i="5"/>
  <c r="L196" i="5"/>
  <c r="K196" i="5"/>
  <c r="J196" i="5"/>
  <c r="I196" i="5"/>
  <c r="L184" i="5"/>
  <c r="K184" i="5"/>
  <c r="J184" i="5"/>
  <c r="I184" i="5"/>
  <c r="L183" i="5"/>
  <c r="Q180" i="5" s="1"/>
  <c r="K183" i="5"/>
  <c r="P180" i="5" s="1"/>
  <c r="J183" i="5"/>
  <c r="I183" i="5"/>
  <c r="N180" i="5" s="1"/>
  <c r="L182" i="5"/>
  <c r="K182" i="5"/>
  <c r="J182" i="5"/>
  <c r="I182" i="5"/>
  <c r="L181" i="5"/>
  <c r="K181" i="5"/>
  <c r="J181" i="5"/>
  <c r="I181" i="5"/>
  <c r="L180" i="5"/>
  <c r="K180" i="5"/>
  <c r="J180" i="5"/>
  <c r="I180" i="5"/>
  <c r="L179" i="5"/>
  <c r="Q178" i="5" s="1"/>
  <c r="K179" i="5"/>
  <c r="J179" i="5"/>
  <c r="I179" i="5"/>
  <c r="N178" i="5" s="1"/>
  <c r="P178" i="5"/>
  <c r="O178" i="5"/>
  <c r="L178" i="5"/>
  <c r="K178" i="5"/>
  <c r="J178" i="5"/>
  <c r="I178" i="5"/>
  <c r="L177" i="5"/>
  <c r="K177" i="5"/>
  <c r="P177" i="5" s="1"/>
  <c r="J177" i="5"/>
  <c r="O177" i="5" s="1"/>
  <c r="I177" i="5"/>
  <c r="N177" i="5" s="1"/>
  <c r="L165" i="5"/>
  <c r="K165" i="5"/>
  <c r="J165" i="5"/>
  <c r="I165" i="5"/>
  <c r="L164" i="5"/>
  <c r="Q161" i="5" s="1"/>
  <c r="K164" i="5"/>
  <c r="J164" i="5"/>
  <c r="I164" i="5"/>
  <c r="N161" i="5" s="1"/>
  <c r="L163" i="5"/>
  <c r="K163" i="5"/>
  <c r="J163" i="5"/>
  <c r="I163" i="5"/>
  <c r="L162" i="5"/>
  <c r="K162" i="5"/>
  <c r="P160" i="5" s="1"/>
  <c r="J162" i="5"/>
  <c r="O160" i="5" s="1"/>
  <c r="I162" i="5"/>
  <c r="L161" i="5"/>
  <c r="K161" i="5"/>
  <c r="J161" i="5"/>
  <c r="I161" i="5"/>
  <c r="N160" i="5"/>
  <c r="L160" i="5"/>
  <c r="Q159" i="5" s="1"/>
  <c r="K160" i="5"/>
  <c r="P159" i="5" s="1"/>
  <c r="J160" i="5"/>
  <c r="O159" i="5" s="1"/>
  <c r="I160" i="5"/>
  <c r="N159" i="5" s="1"/>
  <c r="L159" i="5"/>
  <c r="K159" i="5"/>
  <c r="J159" i="5"/>
  <c r="I159" i="5"/>
  <c r="L158" i="5"/>
  <c r="Q158" i="5" s="1"/>
  <c r="K158" i="5"/>
  <c r="P158" i="5" s="1"/>
  <c r="J158" i="5"/>
  <c r="O158" i="5" s="1"/>
  <c r="I158" i="5"/>
  <c r="N158" i="5" s="1"/>
  <c r="L146" i="5"/>
  <c r="K146" i="5"/>
  <c r="J146" i="5"/>
  <c r="I146" i="5"/>
  <c r="L145" i="5"/>
  <c r="Q142" i="5" s="1"/>
  <c r="K145" i="5"/>
  <c r="J145" i="5"/>
  <c r="I145" i="5"/>
  <c r="N142" i="5" s="1"/>
  <c r="L144" i="5"/>
  <c r="K144" i="5"/>
  <c r="J144" i="5"/>
  <c r="I144" i="5"/>
  <c r="L143" i="5"/>
  <c r="Q141" i="5" s="1"/>
  <c r="K143" i="5"/>
  <c r="P141" i="5" s="1"/>
  <c r="J143" i="5"/>
  <c r="O141" i="5" s="1"/>
  <c r="I143" i="5"/>
  <c r="N141" i="5" s="1"/>
  <c r="L142" i="5"/>
  <c r="K142" i="5"/>
  <c r="J142" i="5"/>
  <c r="I142" i="5"/>
  <c r="L141" i="5"/>
  <c r="Q140" i="5" s="1"/>
  <c r="K141" i="5"/>
  <c r="P140" i="5" s="1"/>
  <c r="J141" i="5"/>
  <c r="O140" i="5" s="1"/>
  <c r="I141" i="5"/>
  <c r="N140" i="5" s="1"/>
  <c r="L140" i="5"/>
  <c r="K140" i="5"/>
  <c r="J140" i="5"/>
  <c r="I140" i="5"/>
  <c r="L139" i="5"/>
  <c r="Q139" i="5" s="1"/>
  <c r="K139" i="5"/>
  <c r="P139" i="5" s="1"/>
  <c r="J139" i="5"/>
  <c r="O139" i="5" s="1"/>
  <c r="I139" i="5"/>
  <c r="N139" i="5" s="1"/>
  <c r="L131" i="5"/>
  <c r="K131" i="5"/>
  <c r="P127" i="5" s="1"/>
  <c r="J131" i="5"/>
  <c r="O127" i="5" s="1"/>
  <c r="I131" i="5"/>
  <c r="L130" i="5"/>
  <c r="Q127" i="5" s="1"/>
  <c r="K130" i="5"/>
  <c r="J130" i="5"/>
  <c r="I130" i="5"/>
  <c r="L129" i="5"/>
  <c r="K129" i="5"/>
  <c r="J129" i="5"/>
  <c r="I129" i="5"/>
  <c r="L128" i="5"/>
  <c r="Q126" i="5" s="1"/>
  <c r="K128" i="5"/>
  <c r="P126" i="5" s="1"/>
  <c r="J128" i="5"/>
  <c r="O126" i="5" s="1"/>
  <c r="I128" i="5"/>
  <c r="L127" i="5"/>
  <c r="K127" i="5"/>
  <c r="P125" i="5" s="1"/>
  <c r="J127" i="5"/>
  <c r="O125" i="5" s="1"/>
  <c r="I127" i="5"/>
  <c r="L126" i="5"/>
  <c r="Q125" i="5" s="1"/>
  <c r="K126" i="5"/>
  <c r="J126" i="5"/>
  <c r="I126" i="5"/>
  <c r="L125" i="5"/>
  <c r="K125" i="5"/>
  <c r="J125" i="5"/>
  <c r="I125" i="5"/>
  <c r="L124" i="5"/>
  <c r="Q124" i="5" s="1"/>
  <c r="K124" i="5"/>
  <c r="P124" i="5" s="1"/>
  <c r="J124" i="5"/>
  <c r="O124" i="5" s="1"/>
  <c r="I124" i="5"/>
  <c r="N124" i="5" s="1"/>
  <c r="L108" i="5"/>
  <c r="K108" i="5"/>
  <c r="P104" i="5" s="1"/>
  <c r="J108" i="5"/>
  <c r="O104" i="5" s="1"/>
  <c r="I108" i="5"/>
  <c r="L107" i="5"/>
  <c r="K107" i="5"/>
  <c r="J107" i="5"/>
  <c r="I107" i="5"/>
  <c r="N104" i="5" s="1"/>
  <c r="L106" i="5"/>
  <c r="K106" i="5"/>
  <c r="J106" i="5"/>
  <c r="I106" i="5"/>
  <c r="L105" i="5"/>
  <c r="Q103" i="5" s="1"/>
  <c r="K105" i="5"/>
  <c r="P103" i="5" s="1"/>
  <c r="J105" i="5"/>
  <c r="O103" i="5" s="1"/>
  <c r="I105" i="5"/>
  <c r="N103" i="5" s="1"/>
  <c r="L104" i="5"/>
  <c r="K104" i="5"/>
  <c r="J104" i="5"/>
  <c r="O102" i="5" s="1"/>
  <c r="I104" i="5"/>
  <c r="L103" i="5"/>
  <c r="K103" i="5"/>
  <c r="J103" i="5"/>
  <c r="I103" i="5"/>
  <c r="N102" i="5" s="1"/>
  <c r="L102" i="5"/>
  <c r="K102" i="5"/>
  <c r="J102" i="5"/>
  <c r="I102" i="5"/>
  <c r="L101" i="5"/>
  <c r="Q101" i="5" s="1"/>
  <c r="K101" i="5"/>
  <c r="P101" i="5" s="1"/>
  <c r="J101" i="5"/>
  <c r="O101" i="5" s="1"/>
  <c r="I101" i="5"/>
  <c r="N101" i="5" s="1"/>
  <c r="L85" i="5"/>
  <c r="K85" i="5"/>
  <c r="J85" i="5"/>
  <c r="I85" i="5"/>
  <c r="L84" i="5"/>
  <c r="K84" i="5"/>
  <c r="J84" i="5"/>
  <c r="I84" i="5"/>
  <c r="N81" i="5" s="1"/>
  <c r="L83" i="5"/>
  <c r="K83" i="5"/>
  <c r="J83" i="5"/>
  <c r="I83" i="5"/>
  <c r="L82" i="5"/>
  <c r="Q80" i="5" s="1"/>
  <c r="K82" i="5"/>
  <c r="P80" i="5" s="1"/>
  <c r="J82" i="5"/>
  <c r="O80" i="5" s="1"/>
  <c r="I82" i="5"/>
  <c r="N80" i="5" s="1"/>
  <c r="L81" i="5"/>
  <c r="K81" i="5"/>
  <c r="J81" i="5"/>
  <c r="I81" i="5"/>
  <c r="L80" i="5"/>
  <c r="K80" i="5"/>
  <c r="J80" i="5"/>
  <c r="I80" i="5"/>
  <c r="N79" i="5" s="1"/>
  <c r="P79" i="5"/>
  <c r="O79" i="5"/>
  <c r="L79" i="5"/>
  <c r="K79" i="5"/>
  <c r="J79" i="5"/>
  <c r="I79" i="5"/>
  <c r="N78" i="5"/>
  <c r="L78" i="5"/>
  <c r="Q78" i="5" s="1"/>
  <c r="K78" i="5"/>
  <c r="P78" i="5" s="1"/>
  <c r="J78" i="5"/>
  <c r="I78" i="5"/>
  <c r="L62" i="5"/>
  <c r="K62" i="5"/>
  <c r="J62" i="5"/>
  <c r="I62" i="5"/>
  <c r="L61" i="5"/>
  <c r="Q58" i="5" s="1"/>
  <c r="K61" i="5"/>
  <c r="P58" i="5" s="1"/>
  <c r="J61" i="5"/>
  <c r="I61" i="5"/>
  <c r="N58" i="5" s="1"/>
  <c r="L60" i="5"/>
  <c r="K60" i="5"/>
  <c r="J60" i="5"/>
  <c r="I60" i="5"/>
  <c r="N57" i="5" s="1"/>
  <c r="L59" i="5"/>
  <c r="Q57" i="5" s="1"/>
  <c r="K59" i="5"/>
  <c r="P57" i="5" s="1"/>
  <c r="J59" i="5"/>
  <c r="I59" i="5"/>
  <c r="L58" i="5"/>
  <c r="K58" i="5"/>
  <c r="J58" i="5"/>
  <c r="I58" i="5"/>
  <c r="L57" i="5"/>
  <c r="Q56" i="5" s="1"/>
  <c r="K57" i="5"/>
  <c r="J57" i="5"/>
  <c r="I57" i="5"/>
  <c r="N56" i="5" s="1"/>
  <c r="P56" i="5"/>
  <c r="O56" i="5"/>
  <c r="L56" i="5"/>
  <c r="K56" i="5"/>
  <c r="J56" i="5"/>
  <c r="I56" i="5"/>
  <c r="L55" i="5"/>
  <c r="K55" i="5"/>
  <c r="J55" i="5"/>
  <c r="I55" i="5"/>
  <c r="N55" i="5" s="1"/>
  <c r="L47" i="5"/>
  <c r="K47" i="5"/>
  <c r="J47" i="5"/>
  <c r="I47" i="5"/>
  <c r="L46" i="5"/>
  <c r="Q43" i="5" s="1"/>
  <c r="K46" i="5"/>
  <c r="J46" i="5"/>
  <c r="I46" i="5"/>
  <c r="N43" i="5" s="1"/>
  <c r="L45" i="5"/>
  <c r="K45" i="5"/>
  <c r="J45" i="5"/>
  <c r="I45" i="5"/>
  <c r="L44" i="5"/>
  <c r="K44" i="5"/>
  <c r="J44" i="5"/>
  <c r="I44" i="5"/>
  <c r="L43" i="5"/>
  <c r="K43" i="5"/>
  <c r="J43" i="5"/>
  <c r="I43" i="5"/>
  <c r="N42" i="5"/>
  <c r="L42" i="5"/>
  <c r="Q41" i="5" s="1"/>
  <c r="K42" i="5"/>
  <c r="P41" i="5" s="1"/>
  <c r="J42" i="5"/>
  <c r="I42" i="5"/>
  <c r="N41" i="5" s="1"/>
  <c r="O41" i="5"/>
  <c r="L41" i="5"/>
  <c r="K41" i="5"/>
  <c r="J41" i="5"/>
  <c r="I41" i="5"/>
  <c r="L40" i="5"/>
  <c r="K40" i="5"/>
  <c r="P40" i="5" s="1"/>
  <c r="J40" i="5"/>
  <c r="O40" i="5" s="1"/>
  <c r="I40" i="5"/>
  <c r="N40" i="5" s="1"/>
  <c r="L32" i="5"/>
  <c r="K32" i="5"/>
  <c r="J32" i="5"/>
  <c r="I32" i="5"/>
  <c r="L31" i="5"/>
  <c r="Q28" i="5" s="1"/>
  <c r="K31" i="5"/>
  <c r="P28" i="5" s="1"/>
  <c r="J31" i="5"/>
  <c r="I31" i="5"/>
  <c r="N28" i="5" s="1"/>
  <c r="L30" i="5"/>
  <c r="K30" i="5"/>
  <c r="J30" i="5"/>
  <c r="I30" i="5"/>
  <c r="L29" i="5"/>
  <c r="K29" i="5"/>
  <c r="P27" i="5" s="1"/>
  <c r="J29" i="5"/>
  <c r="O27" i="5" s="1"/>
  <c r="I29" i="5"/>
  <c r="N27" i="5" s="1"/>
  <c r="L28" i="5"/>
  <c r="K28" i="5"/>
  <c r="J28" i="5"/>
  <c r="I28" i="5"/>
  <c r="L27" i="5"/>
  <c r="Q26" i="5" s="1"/>
  <c r="K27" i="5"/>
  <c r="P26" i="5" s="1"/>
  <c r="J27" i="5"/>
  <c r="O26" i="5" s="1"/>
  <c r="I27" i="5"/>
  <c r="N26" i="5" s="1"/>
  <c r="L26" i="5"/>
  <c r="K26" i="5"/>
  <c r="J26" i="5"/>
  <c r="I26" i="5"/>
  <c r="L25" i="5"/>
  <c r="Q25" i="5" s="1"/>
  <c r="K25" i="5"/>
  <c r="P25" i="5" s="1"/>
  <c r="J25" i="5"/>
  <c r="O25" i="5" s="1"/>
  <c r="I25" i="5"/>
  <c r="N25" i="5" s="1"/>
  <c r="L13" i="5"/>
  <c r="K13" i="5"/>
  <c r="J13" i="5"/>
  <c r="O9" i="5" s="1"/>
  <c r="I13" i="5"/>
  <c r="L12" i="5"/>
  <c r="Q9" i="5" s="1"/>
  <c r="K12" i="5"/>
  <c r="J12" i="5"/>
  <c r="I12" i="5"/>
  <c r="L11" i="5"/>
  <c r="K11" i="5"/>
  <c r="J11" i="5"/>
  <c r="I11" i="5"/>
  <c r="L10" i="5"/>
  <c r="Q8" i="5" s="1"/>
  <c r="K10" i="5"/>
  <c r="P8" i="5" s="1"/>
  <c r="J10" i="5"/>
  <c r="O8" i="5" s="1"/>
  <c r="I10" i="5"/>
  <c r="L9" i="5"/>
  <c r="K9" i="5"/>
  <c r="J9" i="5"/>
  <c r="I9" i="5"/>
  <c r="N8" i="5"/>
  <c r="L8" i="5"/>
  <c r="Q7" i="5" s="1"/>
  <c r="K8" i="5"/>
  <c r="J8" i="5"/>
  <c r="I8" i="5"/>
  <c r="L7" i="5"/>
  <c r="K7" i="5"/>
  <c r="J7" i="5"/>
  <c r="I7" i="5"/>
  <c r="L6" i="5"/>
  <c r="Q6" i="5" s="1"/>
  <c r="K6" i="5"/>
  <c r="P6" i="5" s="1"/>
  <c r="J6" i="5"/>
  <c r="O6" i="5" s="1"/>
  <c r="I6" i="5"/>
  <c r="N6" i="5" s="1"/>
  <c r="L278" i="4"/>
  <c r="K278" i="4"/>
  <c r="J278" i="4"/>
  <c r="I278" i="4"/>
  <c r="L277" i="4"/>
  <c r="Q274" i="4" s="1"/>
  <c r="K277" i="4"/>
  <c r="J277" i="4"/>
  <c r="I277" i="4"/>
  <c r="L276" i="4"/>
  <c r="K276" i="4"/>
  <c r="J276" i="4"/>
  <c r="I276" i="4"/>
  <c r="L275" i="4"/>
  <c r="Q273" i="4" s="1"/>
  <c r="K275" i="4"/>
  <c r="P273" i="4" s="1"/>
  <c r="J275" i="4"/>
  <c r="O273" i="4" s="1"/>
  <c r="I275" i="4"/>
  <c r="N273" i="4" s="1"/>
  <c r="P274" i="4"/>
  <c r="O274" i="4"/>
  <c r="N274" i="4"/>
  <c r="L274" i="4"/>
  <c r="K274" i="4"/>
  <c r="J274" i="4"/>
  <c r="I274" i="4"/>
  <c r="L273" i="4"/>
  <c r="Q272" i="4" s="1"/>
  <c r="K273" i="4"/>
  <c r="P272" i="4" s="1"/>
  <c r="J273" i="4"/>
  <c r="I273" i="4"/>
  <c r="O272" i="4"/>
  <c r="N272" i="4"/>
  <c r="L272" i="4"/>
  <c r="K272" i="4"/>
  <c r="J272" i="4"/>
  <c r="I272" i="4"/>
  <c r="L271" i="4"/>
  <c r="K271" i="4"/>
  <c r="J271" i="4"/>
  <c r="I271" i="4"/>
  <c r="N271" i="4" s="1"/>
  <c r="L263" i="4"/>
  <c r="K263" i="4"/>
  <c r="J263" i="4"/>
  <c r="I263" i="4"/>
  <c r="L262" i="4"/>
  <c r="Q259" i="4" s="1"/>
  <c r="K262" i="4"/>
  <c r="P259" i="4" s="1"/>
  <c r="J262" i="4"/>
  <c r="I262" i="4"/>
  <c r="L261" i="4"/>
  <c r="K261" i="4"/>
  <c r="J261" i="4"/>
  <c r="I261" i="4"/>
  <c r="L260" i="4"/>
  <c r="K260" i="4"/>
  <c r="J260" i="4"/>
  <c r="I260" i="4"/>
  <c r="L259" i="4"/>
  <c r="K259" i="4"/>
  <c r="J259" i="4"/>
  <c r="I259" i="4"/>
  <c r="N258" i="4"/>
  <c r="L258" i="4"/>
  <c r="Q257" i="4" s="1"/>
  <c r="K258" i="4"/>
  <c r="P257" i="4" s="1"/>
  <c r="J258" i="4"/>
  <c r="I258" i="4"/>
  <c r="N257" i="4" s="1"/>
  <c r="O257" i="4"/>
  <c r="L257" i="4"/>
  <c r="K257" i="4"/>
  <c r="J257" i="4"/>
  <c r="I257" i="4"/>
  <c r="L256" i="4"/>
  <c r="Q256" i="4" s="1"/>
  <c r="K256" i="4"/>
  <c r="P256" i="4" s="1"/>
  <c r="J256" i="4"/>
  <c r="O256" i="4" s="1"/>
  <c r="I256" i="4"/>
  <c r="N256" i="4" s="1"/>
  <c r="L248" i="4"/>
  <c r="K248" i="4"/>
  <c r="J248" i="4"/>
  <c r="I248" i="4"/>
  <c r="N244" i="4" s="1"/>
  <c r="L247" i="4"/>
  <c r="Q244" i="4" s="1"/>
  <c r="K247" i="4"/>
  <c r="P244" i="4" s="1"/>
  <c r="J247" i="4"/>
  <c r="O244" i="4" s="1"/>
  <c r="I247" i="4"/>
  <c r="L246" i="4"/>
  <c r="K246" i="4"/>
  <c r="J246" i="4"/>
  <c r="I246" i="4"/>
  <c r="L245" i="4"/>
  <c r="Q243" i="4" s="1"/>
  <c r="K245" i="4"/>
  <c r="P243" i="4" s="1"/>
  <c r="J245" i="4"/>
  <c r="O243" i="4" s="1"/>
  <c r="I245" i="4"/>
  <c r="N243" i="4" s="1"/>
  <c r="L244" i="4"/>
  <c r="K244" i="4"/>
  <c r="J244" i="4"/>
  <c r="I244" i="4"/>
  <c r="N242" i="4" s="1"/>
  <c r="L243" i="4"/>
  <c r="K243" i="4"/>
  <c r="J243" i="4"/>
  <c r="O242" i="4" s="1"/>
  <c r="I243" i="4"/>
  <c r="L242" i="4"/>
  <c r="K242" i="4"/>
  <c r="J242" i="4"/>
  <c r="I242" i="4"/>
  <c r="L241" i="4"/>
  <c r="Q241" i="4" s="1"/>
  <c r="K241" i="4"/>
  <c r="P241" i="4" s="1"/>
  <c r="J241" i="4"/>
  <c r="O241" i="4" s="1"/>
  <c r="I241" i="4"/>
  <c r="N241" i="4" s="1"/>
  <c r="L233" i="4"/>
  <c r="K233" i="4"/>
  <c r="P229" i="4" s="1"/>
  <c r="J233" i="4"/>
  <c r="I233" i="4"/>
  <c r="L232" i="4"/>
  <c r="K232" i="4"/>
  <c r="J232" i="4"/>
  <c r="I232" i="4"/>
  <c r="L231" i="4"/>
  <c r="K231" i="4"/>
  <c r="J231" i="4"/>
  <c r="I231" i="4"/>
  <c r="L230" i="4"/>
  <c r="Q228" i="4" s="1"/>
  <c r="K230" i="4"/>
  <c r="P228" i="4" s="1"/>
  <c r="J230" i="4"/>
  <c r="O228" i="4" s="1"/>
  <c r="I230" i="4"/>
  <c r="N228" i="4" s="1"/>
  <c r="O229" i="4"/>
  <c r="L229" i="4"/>
  <c r="K229" i="4"/>
  <c r="J229" i="4"/>
  <c r="I229" i="4"/>
  <c r="L228" i="4"/>
  <c r="Q227" i="4" s="1"/>
  <c r="K228" i="4"/>
  <c r="P227" i="4" s="1"/>
  <c r="J228" i="4"/>
  <c r="O227" i="4" s="1"/>
  <c r="I228" i="4"/>
  <c r="N227" i="4"/>
  <c r="L227" i="4"/>
  <c r="K227" i="4"/>
  <c r="J227" i="4"/>
  <c r="I227" i="4"/>
  <c r="L226" i="4"/>
  <c r="Q226" i="4" s="1"/>
  <c r="K226" i="4"/>
  <c r="P226" i="4" s="1"/>
  <c r="J226" i="4"/>
  <c r="I226" i="4"/>
  <c r="L218" i="4"/>
  <c r="K218" i="4"/>
  <c r="J218" i="4"/>
  <c r="I218" i="4"/>
  <c r="L217" i="4"/>
  <c r="Q214" i="4" s="1"/>
  <c r="K217" i="4"/>
  <c r="J217" i="4"/>
  <c r="I217" i="4"/>
  <c r="N214" i="4" s="1"/>
  <c r="L216" i="4"/>
  <c r="K216" i="4"/>
  <c r="J216" i="4"/>
  <c r="I216" i="4"/>
  <c r="L215" i="4"/>
  <c r="Q213" i="4" s="1"/>
  <c r="K215" i="4"/>
  <c r="P213" i="4" s="1"/>
  <c r="J215" i="4"/>
  <c r="I215" i="4"/>
  <c r="L214" i="4"/>
  <c r="K214" i="4"/>
  <c r="J214" i="4"/>
  <c r="I214" i="4"/>
  <c r="L213" i="4"/>
  <c r="Q212" i="4" s="1"/>
  <c r="K213" i="4"/>
  <c r="P212" i="4" s="1"/>
  <c r="J213" i="4"/>
  <c r="I213" i="4"/>
  <c r="O212" i="4"/>
  <c r="N212" i="4"/>
  <c r="L212" i="4"/>
  <c r="K212" i="4"/>
  <c r="J212" i="4"/>
  <c r="I212" i="4"/>
  <c r="L211" i="4"/>
  <c r="K211" i="4"/>
  <c r="J211" i="4"/>
  <c r="I211" i="4"/>
  <c r="N211" i="4" s="1"/>
  <c r="L203" i="4"/>
  <c r="K203" i="4"/>
  <c r="J203" i="4"/>
  <c r="I203" i="4"/>
  <c r="L202" i="4"/>
  <c r="Q199" i="4" s="1"/>
  <c r="K202" i="4"/>
  <c r="J202" i="4"/>
  <c r="O199" i="4" s="1"/>
  <c r="I202" i="4"/>
  <c r="L201" i="4"/>
  <c r="K201" i="4"/>
  <c r="J201" i="4"/>
  <c r="I201" i="4"/>
  <c r="L200" i="4"/>
  <c r="K200" i="4"/>
  <c r="J200" i="4"/>
  <c r="I200" i="4"/>
  <c r="L199" i="4"/>
  <c r="K199" i="4"/>
  <c r="J199" i="4"/>
  <c r="I199" i="4"/>
  <c r="N198" i="4"/>
  <c r="L198" i="4"/>
  <c r="Q197" i="4" s="1"/>
  <c r="K198" i="4"/>
  <c r="P197" i="4" s="1"/>
  <c r="J198" i="4"/>
  <c r="O197" i="4" s="1"/>
  <c r="I198" i="4"/>
  <c r="N197" i="4"/>
  <c r="L197" i="4"/>
  <c r="K197" i="4"/>
  <c r="J197" i="4"/>
  <c r="I197" i="4"/>
  <c r="L196" i="4"/>
  <c r="Q196" i="4" s="1"/>
  <c r="K196" i="4"/>
  <c r="P196" i="4" s="1"/>
  <c r="J196" i="4"/>
  <c r="O196" i="4" s="1"/>
  <c r="I196" i="4"/>
  <c r="N196" i="4" s="1"/>
  <c r="L184" i="4"/>
  <c r="K184" i="4"/>
  <c r="J184" i="4"/>
  <c r="I184" i="4"/>
  <c r="L183" i="4"/>
  <c r="Q180" i="4" s="1"/>
  <c r="K183" i="4"/>
  <c r="J183" i="4"/>
  <c r="I183" i="4"/>
  <c r="N180" i="4" s="1"/>
  <c r="L182" i="4"/>
  <c r="K182" i="4"/>
  <c r="J182" i="4"/>
  <c r="I182" i="4"/>
  <c r="L181" i="4"/>
  <c r="Q179" i="4" s="1"/>
  <c r="K181" i="4"/>
  <c r="P179" i="4" s="1"/>
  <c r="J181" i="4"/>
  <c r="O179" i="4" s="1"/>
  <c r="I181" i="4"/>
  <c r="N179" i="4" s="1"/>
  <c r="L180" i="4"/>
  <c r="K180" i="4"/>
  <c r="J180" i="4"/>
  <c r="I180" i="4"/>
  <c r="N178" i="4" s="1"/>
  <c r="L179" i="4"/>
  <c r="Q178" i="4" s="1"/>
  <c r="K179" i="4"/>
  <c r="P178" i="4" s="1"/>
  <c r="J179" i="4"/>
  <c r="O178" i="4" s="1"/>
  <c r="I179" i="4"/>
  <c r="L178" i="4"/>
  <c r="K178" i="4"/>
  <c r="J178" i="4"/>
  <c r="I178" i="4"/>
  <c r="L177" i="4"/>
  <c r="Q177" i="4" s="1"/>
  <c r="K177" i="4"/>
  <c r="P177" i="4" s="1"/>
  <c r="J177" i="4"/>
  <c r="O177" i="4" s="1"/>
  <c r="I177" i="4"/>
  <c r="N177" i="4" s="1"/>
  <c r="L165" i="4"/>
  <c r="K165" i="4"/>
  <c r="P161" i="4" s="1"/>
  <c r="J165" i="4"/>
  <c r="O161" i="4" s="1"/>
  <c r="I165" i="4"/>
  <c r="N161" i="4" s="1"/>
  <c r="L164" i="4"/>
  <c r="Q161" i="4" s="1"/>
  <c r="K164" i="4"/>
  <c r="J164" i="4"/>
  <c r="I164" i="4"/>
  <c r="L163" i="4"/>
  <c r="K163" i="4"/>
  <c r="J163" i="4"/>
  <c r="I163" i="4"/>
  <c r="L162" i="4"/>
  <c r="Q160" i="4" s="1"/>
  <c r="K162" i="4"/>
  <c r="P160" i="4" s="1"/>
  <c r="J162" i="4"/>
  <c r="O160" i="4" s="1"/>
  <c r="I162" i="4"/>
  <c r="N160" i="4" s="1"/>
  <c r="L161" i="4"/>
  <c r="K161" i="4"/>
  <c r="J161" i="4"/>
  <c r="I161" i="4"/>
  <c r="N159" i="4" s="1"/>
  <c r="L160" i="4"/>
  <c r="K160" i="4"/>
  <c r="J160" i="4"/>
  <c r="I160" i="4"/>
  <c r="L159" i="4"/>
  <c r="K159" i="4"/>
  <c r="J159" i="4"/>
  <c r="I159" i="4"/>
  <c r="L158" i="4"/>
  <c r="Q158" i="4" s="1"/>
  <c r="K158" i="4"/>
  <c r="P158" i="4" s="1"/>
  <c r="J158" i="4"/>
  <c r="O158" i="4" s="1"/>
  <c r="I158" i="4"/>
  <c r="N158" i="4" s="1"/>
  <c r="L146" i="4"/>
  <c r="K146" i="4"/>
  <c r="P142" i="4" s="1"/>
  <c r="J146" i="4"/>
  <c r="I146" i="4"/>
  <c r="L145" i="4"/>
  <c r="K145" i="4"/>
  <c r="J145" i="4"/>
  <c r="I145" i="4"/>
  <c r="L144" i="4"/>
  <c r="K144" i="4"/>
  <c r="J144" i="4"/>
  <c r="I144" i="4"/>
  <c r="L143" i="4"/>
  <c r="Q141" i="4" s="1"/>
  <c r="K143" i="4"/>
  <c r="P141" i="4" s="1"/>
  <c r="J143" i="4"/>
  <c r="O141" i="4" s="1"/>
  <c r="I143" i="4"/>
  <c r="N141" i="4" s="1"/>
  <c r="N142" i="4"/>
  <c r="L142" i="4"/>
  <c r="K142" i="4"/>
  <c r="J142" i="4"/>
  <c r="I142" i="4"/>
  <c r="L141" i="4"/>
  <c r="K141" i="4"/>
  <c r="P140" i="4" s="1"/>
  <c r="J141" i="4"/>
  <c r="I141" i="4"/>
  <c r="O140" i="4"/>
  <c r="N140" i="4"/>
  <c r="L140" i="4"/>
  <c r="K140" i="4"/>
  <c r="J140" i="4"/>
  <c r="I140" i="4"/>
  <c r="L139" i="4"/>
  <c r="Q139" i="4" s="1"/>
  <c r="K139" i="4"/>
  <c r="P139" i="4" s="1"/>
  <c r="J139" i="4"/>
  <c r="O139" i="4" s="1"/>
  <c r="I139" i="4"/>
  <c r="L131" i="4"/>
  <c r="K131" i="4"/>
  <c r="J131" i="4"/>
  <c r="I131" i="4"/>
  <c r="L130" i="4"/>
  <c r="Q127" i="4" s="1"/>
  <c r="K130" i="4"/>
  <c r="J130" i="4"/>
  <c r="O127" i="4" s="1"/>
  <c r="I130" i="4"/>
  <c r="L129" i="4"/>
  <c r="K129" i="4"/>
  <c r="J129" i="4"/>
  <c r="I129" i="4"/>
  <c r="N126" i="4" s="1"/>
  <c r="L128" i="4"/>
  <c r="Q126" i="4" s="1"/>
  <c r="K128" i="4"/>
  <c r="P126" i="4" s="1"/>
  <c r="J128" i="4"/>
  <c r="O126" i="4" s="1"/>
  <c r="I128" i="4"/>
  <c r="L127" i="4"/>
  <c r="K127" i="4"/>
  <c r="J127" i="4"/>
  <c r="I127" i="4"/>
  <c r="L126" i="4"/>
  <c r="Q125" i="4" s="1"/>
  <c r="K126" i="4"/>
  <c r="P125" i="4" s="1"/>
  <c r="J126" i="4"/>
  <c r="O125" i="4" s="1"/>
  <c r="I126" i="4"/>
  <c r="N125" i="4"/>
  <c r="L125" i="4"/>
  <c r="K125" i="4"/>
  <c r="J125" i="4"/>
  <c r="I125" i="4"/>
  <c r="L124" i="4"/>
  <c r="K124" i="4"/>
  <c r="J124" i="4"/>
  <c r="I124" i="4"/>
  <c r="L108" i="4"/>
  <c r="K108" i="4"/>
  <c r="J108" i="4"/>
  <c r="I108" i="4"/>
  <c r="L107" i="4"/>
  <c r="Q104" i="4" s="1"/>
  <c r="K107" i="4"/>
  <c r="J107" i="4"/>
  <c r="I107" i="4"/>
  <c r="N104" i="4" s="1"/>
  <c r="L106" i="4"/>
  <c r="K106" i="4"/>
  <c r="J106" i="4"/>
  <c r="I106" i="4"/>
  <c r="L105" i="4"/>
  <c r="K105" i="4"/>
  <c r="J105" i="4"/>
  <c r="I105" i="4"/>
  <c r="L104" i="4"/>
  <c r="K104" i="4"/>
  <c r="J104" i="4"/>
  <c r="I104" i="4"/>
  <c r="L103" i="4"/>
  <c r="Q102" i="4" s="1"/>
  <c r="K103" i="4"/>
  <c r="J103" i="4"/>
  <c r="I103" i="4"/>
  <c r="P102" i="4"/>
  <c r="O102" i="4"/>
  <c r="N102" i="4"/>
  <c r="L102" i="4"/>
  <c r="K102" i="4"/>
  <c r="J102" i="4"/>
  <c r="I102" i="4"/>
  <c r="L101" i="4"/>
  <c r="Q101" i="4" s="1"/>
  <c r="K101" i="4"/>
  <c r="P101" i="4" s="1"/>
  <c r="J101" i="4"/>
  <c r="O101" i="4" s="1"/>
  <c r="I101" i="4"/>
  <c r="N101" i="4" s="1"/>
  <c r="L85" i="4"/>
  <c r="K85" i="4"/>
  <c r="J85" i="4"/>
  <c r="I85" i="4"/>
  <c r="L84" i="4"/>
  <c r="Q81" i="4" s="1"/>
  <c r="K84" i="4"/>
  <c r="J84" i="4"/>
  <c r="O81" i="4" s="1"/>
  <c r="I84" i="4"/>
  <c r="L83" i="4"/>
  <c r="K83" i="4"/>
  <c r="J83" i="4"/>
  <c r="I83" i="4"/>
  <c r="L82" i="4"/>
  <c r="Q80" i="4" s="1"/>
  <c r="K82" i="4"/>
  <c r="P80" i="4" s="1"/>
  <c r="J82" i="4"/>
  <c r="I82" i="4"/>
  <c r="L81" i="4"/>
  <c r="K81" i="4"/>
  <c r="J81" i="4"/>
  <c r="O79" i="4" s="1"/>
  <c r="I81" i="4"/>
  <c r="N79" i="4" s="1"/>
  <c r="N80" i="4"/>
  <c r="L80" i="4"/>
  <c r="Q79" i="4" s="1"/>
  <c r="K80" i="4"/>
  <c r="P79" i="4" s="1"/>
  <c r="J80" i="4"/>
  <c r="I80" i="4"/>
  <c r="L79" i="4"/>
  <c r="K79" i="4"/>
  <c r="J79" i="4"/>
  <c r="I79" i="4"/>
  <c r="L78" i="4"/>
  <c r="Q78" i="4" s="1"/>
  <c r="K78" i="4"/>
  <c r="P78" i="4" s="1"/>
  <c r="J78" i="4"/>
  <c r="O78" i="4" s="1"/>
  <c r="I78" i="4"/>
  <c r="N78" i="4" s="1"/>
  <c r="L62" i="4"/>
  <c r="K62" i="4"/>
  <c r="P58" i="4" s="1"/>
  <c r="J62" i="4"/>
  <c r="O58" i="4" s="1"/>
  <c r="I62" i="4"/>
  <c r="N58" i="4" s="1"/>
  <c r="L61" i="4"/>
  <c r="K61" i="4"/>
  <c r="J61" i="4"/>
  <c r="I61" i="4"/>
  <c r="L60" i="4"/>
  <c r="K60" i="4"/>
  <c r="J60" i="4"/>
  <c r="I60" i="4"/>
  <c r="L59" i="4"/>
  <c r="Q57" i="4" s="1"/>
  <c r="K59" i="4"/>
  <c r="P57" i="4" s="1"/>
  <c r="J59" i="4"/>
  <c r="O57" i="4" s="1"/>
  <c r="I59" i="4"/>
  <c r="N57" i="4" s="1"/>
  <c r="L58" i="4"/>
  <c r="K58" i="4"/>
  <c r="P56" i="4" s="1"/>
  <c r="J58" i="4"/>
  <c r="O56" i="4" s="1"/>
  <c r="I58" i="4"/>
  <c r="L57" i="4"/>
  <c r="K57" i="4"/>
  <c r="J57" i="4"/>
  <c r="I57" i="4"/>
  <c r="N56" i="4"/>
  <c r="L56" i="4"/>
  <c r="K56" i="4"/>
  <c r="J56" i="4"/>
  <c r="I56" i="4"/>
  <c r="O55" i="4"/>
  <c r="N55" i="4"/>
  <c r="L55" i="4"/>
  <c r="Q55" i="4" s="1"/>
  <c r="K55" i="4"/>
  <c r="P55" i="4" s="1"/>
  <c r="J55" i="4"/>
  <c r="I55" i="4"/>
  <c r="L47" i="4"/>
  <c r="K47" i="4"/>
  <c r="J47" i="4"/>
  <c r="I47" i="4"/>
  <c r="L46" i="4"/>
  <c r="Q43" i="4" s="1"/>
  <c r="K46" i="4"/>
  <c r="J46" i="4"/>
  <c r="I46" i="4"/>
  <c r="L45" i="4"/>
  <c r="K45" i="4"/>
  <c r="J45" i="4"/>
  <c r="I45" i="4"/>
  <c r="L44" i="4"/>
  <c r="Q42" i="4" s="1"/>
  <c r="K44" i="4"/>
  <c r="P42" i="4" s="1"/>
  <c r="J44" i="4"/>
  <c r="I44" i="4"/>
  <c r="L43" i="4"/>
  <c r="K43" i="4"/>
  <c r="J43" i="4"/>
  <c r="I43" i="4"/>
  <c r="L42" i="4"/>
  <c r="Q41" i="4" s="1"/>
  <c r="K42" i="4"/>
  <c r="J42" i="4"/>
  <c r="O41" i="4" s="1"/>
  <c r="I42" i="4"/>
  <c r="N41" i="4" s="1"/>
  <c r="P41" i="4"/>
  <c r="L41" i="4"/>
  <c r="K41" i="4"/>
  <c r="J41" i="4"/>
  <c r="I41" i="4"/>
  <c r="O40" i="4"/>
  <c r="L40" i="4"/>
  <c r="K40" i="4"/>
  <c r="J40" i="4"/>
  <c r="I40" i="4"/>
  <c r="N40" i="4" s="1"/>
  <c r="L32" i="4"/>
  <c r="K32" i="4"/>
  <c r="J32" i="4"/>
  <c r="I32" i="4"/>
  <c r="L31" i="4"/>
  <c r="Q28" i="4" s="1"/>
  <c r="K31" i="4"/>
  <c r="P28" i="4" s="1"/>
  <c r="J31" i="4"/>
  <c r="I31" i="4"/>
  <c r="L30" i="4"/>
  <c r="K30" i="4"/>
  <c r="J30" i="4"/>
  <c r="O27" i="4" s="1"/>
  <c r="I30" i="4"/>
  <c r="L29" i="4"/>
  <c r="K29" i="4"/>
  <c r="J29" i="4"/>
  <c r="I29" i="4"/>
  <c r="L28" i="4"/>
  <c r="K28" i="4"/>
  <c r="J28" i="4"/>
  <c r="I28" i="4"/>
  <c r="L27" i="4"/>
  <c r="Q26" i="4" s="1"/>
  <c r="K27" i="4"/>
  <c r="P26" i="4" s="1"/>
  <c r="J27" i="4"/>
  <c r="O26" i="4" s="1"/>
  <c r="I27" i="4"/>
  <c r="N26" i="4" s="1"/>
  <c r="L26" i="4"/>
  <c r="K26" i="4"/>
  <c r="J26" i="4"/>
  <c r="I26" i="4"/>
  <c r="L25" i="4"/>
  <c r="K25" i="4"/>
  <c r="J25" i="4"/>
  <c r="O25" i="4" s="1"/>
  <c r="I25" i="4"/>
  <c r="N25" i="4" s="1"/>
  <c r="L13" i="4"/>
  <c r="K13" i="4"/>
  <c r="J13" i="4"/>
  <c r="I13" i="4"/>
  <c r="L12" i="4"/>
  <c r="Q9" i="4" s="1"/>
  <c r="K12" i="4"/>
  <c r="J12" i="4"/>
  <c r="I12" i="4"/>
  <c r="N9" i="4" s="1"/>
  <c r="L11" i="4"/>
  <c r="K11" i="4"/>
  <c r="J11" i="4"/>
  <c r="I11" i="4"/>
  <c r="L10" i="4"/>
  <c r="K10" i="4"/>
  <c r="J10" i="4"/>
  <c r="O8" i="4" s="1"/>
  <c r="I10" i="4"/>
  <c r="N8" i="4" s="1"/>
  <c r="L9" i="4"/>
  <c r="K9" i="4"/>
  <c r="J9" i="4"/>
  <c r="I9" i="4"/>
  <c r="L8" i="4"/>
  <c r="Q7" i="4" s="1"/>
  <c r="K8" i="4"/>
  <c r="J8" i="4"/>
  <c r="O7" i="4" s="1"/>
  <c r="I8" i="4"/>
  <c r="N7" i="4" s="1"/>
  <c r="P7" i="4"/>
  <c r="L7" i="4"/>
  <c r="K7" i="4"/>
  <c r="J7" i="4"/>
  <c r="I7" i="4"/>
  <c r="L6" i="4"/>
  <c r="K6" i="4"/>
  <c r="P6" i="4" s="1"/>
  <c r="J6" i="4"/>
  <c r="O6" i="4" s="1"/>
  <c r="I6" i="4"/>
  <c r="N6" i="4" s="1"/>
  <c r="L278" i="2"/>
  <c r="K278" i="2"/>
  <c r="J278" i="2"/>
  <c r="I278" i="2"/>
  <c r="L277" i="2"/>
  <c r="Q274" i="2" s="1"/>
  <c r="K277" i="2"/>
  <c r="P274" i="2" s="1"/>
  <c r="J277" i="2"/>
  <c r="O274" i="2" s="1"/>
  <c r="I277" i="2"/>
  <c r="N274" i="2" s="1"/>
  <c r="L276" i="2"/>
  <c r="K276" i="2"/>
  <c r="J276" i="2"/>
  <c r="I276" i="2"/>
  <c r="L275" i="2"/>
  <c r="Q273" i="2" s="1"/>
  <c r="K275" i="2"/>
  <c r="P273" i="2" s="1"/>
  <c r="J275" i="2"/>
  <c r="O273" i="2" s="1"/>
  <c r="I275" i="2"/>
  <c r="N273" i="2" s="1"/>
  <c r="L274" i="2"/>
  <c r="K274" i="2"/>
  <c r="J274" i="2"/>
  <c r="I274" i="2"/>
  <c r="L273" i="2"/>
  <c r="Q272" i="2" s="1"/>
  <c r="K273" i="2"/>
  <c r="P272" i="2" s="1"/>
  <c r="J273" i="2"/>
  <c r="O272" i="2" s="1"/>
  <c r="I273" i="2"/>
  <c r="N272" i="2" s="1"/>
  <c r="L272" i="2"/>
  <c r="K272" i="2"/>
  <c r="J272" i="2"/>
  <c r="I272" i="2"/>
  <c r="L271" i="2"/>
  <c r="Q271" i="2" s="1"/>
  <c r="K271" i="2"/>
  <c r="P271" i="2" s="1"/>
  <c r="J271" i="2"/>
  <c r="O271" i="2" s="1"/>
  <c r="I271" i="2"/>
  <c r="N271" i="2" s="1"/>
  <c r="L263" i="2"/>
  <c r="K263" i="2"/>
  <c r="J263" i="2"/>
  <c r="I263" i="2"/>
  <c r="L262" i="2"/>
  <c r="Q259" i="2" s="1"/>
  <c r="K262" i="2"/>
  <c r="P259" i="2" s="1"/>
  <c r="J262" i="2"/>
  <c r="O259" i="2" s="1"/>
  <c r="I262" i="2"/>
  <c r="N259" i="2" s="1"/>
  <c r="L261" i="2"/>
  <c r="K261" i="2"/>
  <c r="J261" i="2"/>
  <c r="I261" i="2"/>
  <c r="L260" i="2"/>
  <c r="Q258" i="2" s="1"/>
  <c r="K260" i="2"/>
  <c r="P258" i="2" s="1"/>
  <c r="J260" i="2"/>
  <c r="O258" i="2" s="1"/>
  <c r="I260" i="2"/>
  <c r="N258" i="2" s="1"/>
  <c r="L259" i="2"/>
  <c r="K259" i="2"/>
  <c r="J259" i="2"/>
  <c r="I259" i="2"/>
  <c r="L258" i="2"/>
  <c r="Q257" i="2" s="1"/>
  <c r="K258" i="2"/>
  <c r="P257" i="2" s="1"/>
  <c r="J258" i="2"/>
  <c r="O257" i="2" s="1"/>
  <c r="I258" i="2"/>
  <c r="N257" i="2" s="1"/>
  <c r="L257" i="2"/>
  <c r="K257" i="2"/>
  <c r="J257" i="2"/>
  <c r="I257" i="2"/>
  <c r="L256" i="2"/>
  <c r="Q256" i="2" s="1"/>
  <c r="K256" i="2"/>
  <c r="P256" i="2" s="1"/>
  <c r="J256" i="2"/>
  <c r="O256" i="2" s="1"/>
  <c r="I256" i="2"/>
  <c r="N256" i="2" s="1"/>
  <c r="L248" i="2"/>
  <c r="K248" i="2"/>
  <c r="J248" i="2"/>
  <c r="I248" i="2"/>
  <c r="L247" i="2"/>
  <c r="K247" i="2"/>
  <c r="J247" i="2"/>
  <c r="I247" i="2"/>
  <c r="N244" i="2" s="1"/>
  <c r="L246" i="2"/>
  <c r="K246" i="2"/>
  <c r="J246" i="2"/>
  <c r="I246" i="2"/>
  <c r="L245" i="2"/>
  <c r="Q243" i="2" s="1"/>
  <c r="K245" i="2"/>
  <c r="P243" i="2" s="1"/>
  <c r="J245" i="2"/>
  <c r="O243" i="2" s="1"/>
  <c r="I245" i="2"/>
  <c r="N243" i="2" s="1"/>
  <c r="Q244" i="2"/>
  <c r="P244" i="2"/>
  <c r="O244" i="2"/>
  <c r="L244" i="2"/>
  <c r="K244" i="2"/>
  <c r="J244" i="2"/>
  <c r="I244" i="2"/>
  <c r="L243" i="2"/>
  <c r="K243" i="2"/>
  <c r="J243" i="2"/>
  <c r="I243" i="2"/>
  <c r="N242" i="2" s="1"/>
  <c r="Q242" i="2"/>
  <c r="P242" i="2"/>
  <c r="O242" i="2"/>
  <c r="L242" i="2"/>
  <c r="K242" i="2"/>
  <c r="J242" i="2"/>
  <c r="I242" i="2"/>
  <c r="L241" i="2"/>
  <c r="Q241" i="2" s="1"/>
  <c r="K241" i="2"/>
  <c r="P241" i="2" s="1"/>
  <c r="J241" i="2"/>
  <c r="O241" i="2" s="1"/>
  <c r="I241" i="2"/>
  <c r="N241" i="2" s="1"/>
  <c r="L233" i="2"/>
  <c r="K233" i="2"/>
  <c r="J233" i="2"/>
  <c r="I233" i="2"/>
  <c r="L232" i="2"/>
  <c r="Q229" i="2" s="1"/>
  <c r="K232" i="2"/>
  <c r="P229" i="2" s="1"/>
  <c r="J232" i="2"/>
  <c r="O229" i="2" s="1"/>
  <c r="I232" i="2"/>
  <c r="N229" i="2" s="1"/>
  <c r="L231" i="2"/>
  <c r="K231" i="2"/>
  <c r="J231" i="2"/>
  <c r="I231" i="2"/>
  <c r="L230" i="2"/>
  <c r="Q228" i="2" s="1"/>
  <c r="K230" i="2"/>
  <c r="P228" i="2" s="1"/>
  <c r="J230" i="2"/>
  <c r="O228" i="2" s="1"/>
  <c r="I230" i="2"/>
  <c r="N228" i="2" s="1"/>
  <c r="L229" i="2"/>
  <c r="K229" i="2"/>
  <c r="J229" i="2"/>
  <c r="I229" i="2"/>
  <c r="L228" i="2"/>
  <c r="Q227" i="2" s="1"/>
  <c r="K228" i="2"/>
  <c r="P227" i="2" s="1"/>
  <c r="J228" i="2"/>
  <c r="O227" i="2" s="1"/>
  <c r="I228" i="2"/>
  <c r="N227" i="2" s="1"/>
  <c r="L227" i="2"/>
  <c r="K227" i="2"/>
  <c r="J227" i="2"/>
  <c r="I227" i="2"/>
  <c r="L226" i="2"/>
  <c r="Q226" i="2" s="1"/>
  <c r="K226" i="2"/>
  <c r="P226" i="2" s="1"/>
  <c r="J226" i="2"/>
  <c r="O226" i="2" s="1"/>
  <c r="I226" i="2"/>
  <c r="N226" i="2" s="1"/>
  <c r="L218" i="2"/>
  <c r="K218" i="2"/>
  <c r="J218" i="2"/>
  <c r="I218" i="2"/>
  <c r="L217" i="2"/>
  <c r="K217" i="2"/>
  <c r="J217" i="2"/>
  <c r="I217" i="2"/>
  <c r="N214" i="2" s="1"/>
  <c r="L216" i="2"/>
  <c r="K216" i="2"/>
  <c r="J216" i="2"/>
  <c r="I216" i="2"/>
  <c r="L215" i="2"/>
  <c r="Q213" i="2" s="1"/>
  <c r="K215" i="2"/>
  <c r="P213" i="2" s="1"/>
  <c r="J215" i="2"/>
  <c r="O213" i="2" s="1"/>
  <c r="I215" i="2"/>
  <c r="N213" i="2" s="1"/>
  <c r="Q214" i="2"/>
  <c r="P214" i="2"/>
  <c r="O214" i="2"/>
  <c r="L214" i="2"/>
  <c r="K214" i="2"/>
  <c r="J214" i="2"/>
  <c r="I214" i="2"/>
  <c r="L213" i="2"/>
  <c r="K213" i="2"/>
  <c r="J213" i="2"/>
  <c r="I213" i="2"/>
  <c r="N212" i="2" s="1"/>
  <c r="Q212" i="2"/>
  <c r="P212" i="2"/>
  <c r="O212" i="2"/>
  <c r="L212" i="2"/>
  <c r="K212" i="2"/>
  <c r="J212" i="2"/>
  <c r="I212" i="2"/>
  <c r="L211" i="2"/>
  <c r="Q211" i="2" s="1"/>
  <c r="K211" i="2"/>
  <c r="P211" i="2" s="1"/>
  <c r="J211" i="2"/>
  <c r="O211" i="2" s="1"/>
  <c r="I211" i="2"/>
  <c r="N211" i="2" s="1"/>
  <c r="L203" i="2"/>
  <c r="K203" i="2"/>
  <c r="J203" i="2"/>
  <c r="I203" i="2"/>
  <c r="L202" i="2"/>
  <c r="Q199" i="2" s="1"/>
  <c r="K202" i="2"/>
  <c r="P199" i="2" s="1"/>
  <c r="J202" i="2"/>
  <c r="O199" i="2" s="1"/>
  <c r="I202" i="2"/>
  <c r="N199" i="2" s="1"/>
  <c r="L201" i="2"/>
  <c r="K201" i="2"/>
  <c r="J201" i="2"/>
  <c r="I201" i="2"/>
  <c r="L200" i="2"/>
  <c r="Q198" i="2" s="1"/>
  <c r="K200" i="2"/>
  <c r="P198" i="2" s="1"/>
  <c r="J200" i="2"/>
  <c r="O198" i="2" s="1"/>
  <c r="I200" i="2"/>
  <c r="N198" i="2" s="1"/>
  <c r="L199" i="2"/>
  <c r="K199" i="2"/>
  <c r="J199" i="2"/>
  <c r="I199" i="2"/>
  <c r="L198" i="2"/>
  <c r="Q197" i="2" s="1"/>
  <c r="K198" i="2"/>
  <c r="P197" i="2" s="1"/>
  <c r="J198" i="2"/>
  <c r="O197" i="2" s="1"/>
  <c r="I198" i="2"/>
  <c r="N197" i="2" s="1"/>
  <c r="L197" i="2"/>
  <c r="K197" i="2"/>
  <c r="J197" i="2"/>
  <c r="I197" i="2"/>
  <c r="L196" i="2"/>
  <c r="Q196" i="2" s="1"/>
  <c r="K196" i="2"/>
  <c r="P196" i="2" s="1"/>
  <c r="J196" i="2"/>
  <c r="O196" i="2" s="1"/>
  <c r="I196" i="2"/>
  <c r="N196" i="2" s="1"/>
  <c r="L184" i="2"/>
  <c r="K184" i="2"/>
  <c r="J184" i="2"/>
  <c r="I184" i="2"/>
  <c r="L183" i="2"/>
  <c r="Q180" i="2" s="1"/>
  <c r="K183" i="2"/>
  <c r="P180" i="2" s="1"/>
  <c r="J183" i="2"/>
  <c r="O180" i="2" s="1"/>
  <c r="I183" i="2"/>
  <c r="N180" i="2" s="1"/>
  <c r="L182" i="2"/>
  <c r="K182" i="2"/>
  <c r="J182" i="2"/>
  <c r="I182" i="2"/>
  <c r="L181" i="2"/>
  <c r="Q179" i="2" s="1"/>
  <c r="K181" i="2"/>
  <c r="P179" i="2" s="1"/>
  <c r="J181" i="2"/>
  <c r="O179" i="2" s="1"/>
  <c r="I181" i="2"/>
  <c r="N179" i="2" s="1"/>
  <c r="L180" i="2"/>
  <c r="K180" i="2"/>
  <c r="J180" i="2"/>
  <c r="I180" i="2"/>
  <c r="L179" i="2"/>
  <c r="Q178" i="2" s="1"/>
  <c r="K179" i="2"/>
  <c r="P178" i="2" s="1"/>
  <c r="J179" i="2"/>
  <c r="O178" i="2" s="1"/>
  <c r="I179" i="2"/>
  <c r="N178" i="2" s="1"/>
  <c r="L178" i="2"/>
  <c r="K178" i="2"/>
  <c r="J178" i="2"/>
  <c r="I178" i="2"/>
  <c r="L177" i="2"/>
  <c r="Q177" i="2" s="1"/>
  <c r="K177" i="2"/>
  <c r="P177" i="2" s="1"/>
  <c r="J177" i="2"/>
  <c r="O177" i="2" s="1"/>
  <c r="I177" i="2"/>
  <c r="N177" i="2" s="1"/>
  <c r="L165" i="2"/>
  <c r="K165" i="2"/>
  <c r="J165" i="2"/>
  <c r="I165" i="2"/>
  <c r="L164" i="2"/>
  <c r="Q161" i="2" s="1"/>
  <c r="K164" i="2"/>
  <c r="P161" i="2" s="1"/>
  <c r="J164" i="2"/>
  <c r="O161" i="2" s="1"/>
  <c r="I164" i="2"/>
  <c r="N161" i="2" s="1"/>
  <c r="L163" i="2"/>
  <c r="K163" i="2"/>
  <c r="J163" i="2"/>
  <c r="I163" i="2"/>
  <c r="L162" i="2"/>
  <c r="Q160" i="2" s="1"/>
  <c r="K162" i="2"/>
  <c r="P160" i="2" s="1"/>
  <c r="J162" i="2"/>
  <c r="O160" i="2" s="1"/>
  <c r="I162" i="2"/>
  <c r="N160" i="2" s="1"/>
  <c r="L161" i="2"/>
  <c r="K161" i="2"/>
  <c r="J161" i="2"/>
  <c r="I161" i="2"/>
  <c r="L160" i="2"/>
  <c r="Q159" i="2" s="1"/>
  <c r="K160" i="2"/>
  <c r="P159" i="2" s="1"/>
  <c r="J160" i="2"/>
  <c r="O159" i="2" s="1"/>
  <c r="I160" i="2"/>
  <c r="N159" i="2" s="1"/>
  <c r="L159" i="2"/>
  <c r="K159" i="2"/>
  <c r="J159" i="2"/>
  <c r="I159" i="2"/>
  <c r="L158" i="2"/>
  <c r="Q158" i="2" s="1"/>
  <c r="K158" i="2"/>
  <c r="P158" i="2" s="1"/>
  <c r="J158" i="2"/>
  <c r="O158" i="2" s="1"/>
  <c r="I158" i="2"/>
  <c r="N158" i="2" s="1"/>
  <c r="L146" i="2"/>
  <c r="K146" i="2"/>
  <c r="J146" i="2"/>
  <c r="I146" i="2"/>
  <c r="L145" i="2"/>
  <c r="Q142" i="2" s="1"/>
  <c r="K145" i="2"/>
  <c r="P142" i="2" s="1"/>
  <c r="J145" i="2"/>
  <c r="O142" i="2" s="1"/>
  <c r="I145" i="2"/>
  <c r="N142" i="2" s="1"/>
  <c r="L144" i="2"/>
  <c r="K144" i="2"/>
  <c r="J144" i="2"/>
  <c r="I144" i="2"/>
  <c r="L143" i="2"/>
  <c r="Q141" i="2" s="1"/>
  <c r="K143" i="2"/>
  <c r="P141" i="2" s="1"/>
  <c r="J143" i="2"/>
  <c r="O141" i="2" s="1"/>
  <c r="I143" i="2"/>
  <c r="N141" i="2" s="1"/>
  <c r="L142" i="2"/>
  <c r="K142" i="2"/>
  <c r="J142" i="2"/>
  <c r="I142" i="2"/>
  <c r="L141" i="2"/>
  <c r="Q140" i="2" s="1"/>
  <c r="K141" i="2"/>
  <c r="P140" i="2" s="1"/>
  <c r="J141" i="2"/>
  <c r="O140" i="2" s="1"/>
  <c r="I141" i="2"/>
  <c r="N140" i="2" s="1"/>
  <c r="L140" i="2"/>
  <c r="K140" i="2"/>
  <c r="J140" i="2"/>
  <c r="I140" i="2"/>
  <c r="L139" i="2"/>
  <c r="Q139" i="2" s="1"/>
  <c r="K139" i="2"/>
  <c r="P139" i="2" s="1"/>
  <c r="J139" i="2"/>
  <c r="O139" i="2" s="1"/>
  <c r="I139" i="2"/>
  <c r="N139" i="2" s="1"/>
  <c r="L131" i="2"/>
  <c r="K131" i="2"/>
  <c r="J131" i="2"/>
  <c r="I131" i="2"/>
  <c r="L130" i="2"/>
  <c r="Q127" i="2" s="1"/>
  <c r="K130" i="2"/>
  <c r="P127" i="2" s="1"/>
  <c r="J130" i="2"/>
  <c r="O127" i="2" s="1"/>
  <c r="I130" i="2"/>
  <c r="N127" i="2" s="1"/>
  <c r="L129" i="2"/>
  <c r="K129" i="2"/>
  <c r="J129" i="2"/>
  <c r="I129" i="2"/>
  <c r="L128" i="2"/>
  <c r="Q126" i="2" s="1"/>
  <c r="K128" i="2"/>
  <c r="P126" i="2" s="1"/>
  <c r="J128" i="2"/>
  <c r="O126" i="2" s="1"/>
  <c r="I128" i="2"/>
  <c r="N126" i="2" s="1"/>
  <c r="L127" i="2"/>
  <c r="K127" i="2"/>
  <c r="J127" i="2"/>
  <c r="I127" i="2"/>
  <c r="L126" i="2"/>
  <c r="Q125" i="2" s="1"/>
  <c r="K126" i="2"/>
  <c r="P125" i="2" s="1"/>
  <c r="J126" i="2"/>
  <c r="O125" i="2" s="1"/>
  <c r="I126" i="2"/>
  <c r="N125" i="2" s="1"/>
  <c r="L125" i="2"/>
  <c r="K125" i="2"/>
  <c r="J125" i="2"/>
  <c r="I125" i="2"/>
  <c r="L124" i="2"/>
  <c r="Q124" i="2" s="1"/>
  <c r="K124" i="2"/>
  <c r="P124" i="2" s="1"/>
  <c r="J124" i="2"/>
  <c r="O124" i="2" s="1"/>
  <c r="I124" i="2"/>
  <c r="N124" i="2" s="1"/>
  <c r="L108" i="2"/>
  <c r="K108" i="2"/>
  <c r="J108" i="2"/>
  <c r="I108" i="2"/>
  <c r="L107" i="2"/>
  <c r="Q104" i="2" s="1"/>
  <c r="K107" i="2"/>
  <c r="P104" i="2" s="1"/>
  <c r="J107" i="2"/>
  <c r="O104" i="2" s="1"/>
  <c r="I107" i="2"/>
  <c r="N104" i="2" s="1"/>
  <c r="L106" i="2"/>
  <c r="K106" i="2"/>
  <c r="J106" i="2"/>
  <c r="I106" i="2"/>
  <c r="L105" i="2"/>
  <c r="Q103" i="2" s="1"/>
  <c r="K105" i="2"/>
  <c r="P103" i="2" s="1"/>
  <c r="J105" i="2"/>
  <c r="O103" i="2" s="1"/>
  <c r="I105" i="2"/>
  <c r="N103" i="2" s="1"/>
  <c r="L104" i="2"/>
  <c r="K104" i="2"/>
  <c r="J104" i="2"/>
  <c r="I104" i="2"/>
  <c r="L103" i="2"/>
  <c r="Q102" i="2" s="1"/>
  <c r="K103" i="2"/>
  <c r="P102" i="2" s="1"/>
  <c r="J103" i="2"/>
  <c r="O102" i="2" s="1"/>
  <c r="I103" i="2"/>
  <c r="N102" i="2" s="1"/>
  <c r="L102" i="2"/>
  <c r="K102" i="2"/>
  <c r="J102" i="2"/>
  <c r="I102" i="2"/>
  <c r="L101" i="2"/>
  <c r="Q101" i="2" s="1"/>
  <c r="K101" i="2"/>
  <c r="P101" i="2" s="1"/>
  <c r="J101" i="2"/>
  <c r="O101" i="2" s="1"/>
  <c r="I101" i="2"/>
  <c r="N101" i="2" s="1"/>
  <c r="L85" i="2"/>
  <c r="K85" i="2"/>
  <c r="J85" i="2"/>
  <c r="I85" i="2"/>
  <c r="L84" i="2"/>
  <c r="Q81" i="2" s="1"/>
  <c r="K84" i="2"/>
  <c r="P81" i="2" s="1"/>
  <c r="J84" i="2"/>
  <c r="O81" i="2" s="1"/>
  <c r="I84" i="2"/>
  <c r="N81" i="2" s="1"/>
  <c r="L83" i="2"/>
  <c r="K83" i="2"/>
  <c r="J83" i="2"/>
  <c r="I83" i="2"/>
  <c r="L82" i="2"/>
  <c r="Q80" i="2" s="1"/>
  <c r="K82" i="2"/>
  <c r="P80" i="2" s="1"/>
  <c r="J82" i="2"/>
  <c r="O80" i="2" s="1"/>
  <c r="I82" i="2"/>
  <c r="N80" i="2" s="1"/>
  <c r="L81" i="2"/>
  <c r="K81" i="2"/>
  <c r="J81" i="2"/>
  <c r="I81" i="2"/>
  <c r="L80" i="2"/>
  <c r="Q79" i="2" s="1"/>
  <c r="K80" i="2"/>
  <c r="P79" i="2" s="1"/>
  <c r="J80" i="2"/>
  <c r="O79" i="2" s="1"/>
  <c r="I80" i="2"/>
  <c r="N79" i="2" s="1"/>
  <c r="L79" i="2"/>
  <c r="K79" i="2"/>
  <c r="J79" i="2"/>
  <c r="I79" i="2"/>
  <c r="L78" i="2"/>
  <c r="Q78" i="2" s="1"/>
  <c r="K78" i="2"/>
  <c r="P78" i="2" s="1"/>
  <c r="J78" i="2"/>
  <c r="O78" i="2" s="1"/>
  <c r="I78" i="2"/>
  <c r="N78" i="2" s="1"/>
  <c r="L47" i="2"/>
  <c r="K47" i="2"/>
  <c r="J47" i="2"/>
  <c r="I47" i="2"/>
  <c r="L46" i="2"/>
  <c r="Q43" i="2" s="1"/>
  <c r="K46" i="2"/>
  <c r="P43" i="2" s="1"/>
  <c r="J46" i="2"/>
  <c r="O43" i="2" s="1"/>
  <c r="I46" i="2"/>
  <c r="N43" i="2" s="1"/>
  <c r="L45" i="2"/>
  <c r="K45" i="2"/>
  <c r="J45" i="2"/>
  <c r="I45" i="2"/>
  <c r="L44" i="2"/>
  <c r="Q42" i="2" s="1"/>
  <c r="K44" i="2"/>
  <c r="P42" i="2" s="1"/>
  <c r="J44" i="2"/>
  <c r="O42" i="2" s="1"/>
  <c r="I44" i="2"/>
  <c r="N42" i="2" s="1"/>
  <c r="L43" i="2"/>
  <c r="K43" i="2"/>
  <c r="J43" i="2"/>
  <c r="I43" i="2"/>
  <c r="L42" i="2"/>
  <c r="Q41" i="2" s="1"/>
  <c r="K42" i="2"/>
  <c r="P41" i="2" s="1"/>
  <c r="J42" i="2"/>
  <c r="O41" i="2" s="1"/>
  <c r="I42" i="2"/>
  <c r="N41" i="2" s="1"/>
  <c r="L41" i="2"/>
  <c r="K41" i="2"/>
  <c r="J41" i="2"/>
  <c r="I41" i="2"/>
  <c r="L40" i="2"/>
  <c r="Q40" i="2" s="1"/>
  <c r="K40" i="2"/>
  <c r="P40" i="2" s="1"/>
  <c r="J40" i="2"/>
  <c r="O40" i="2" s="1"/>
  <c r="I40" i="2"/>
  <c r="N40" i="2" s="1"/>
  <c r="L32" i="2"/>
  <c r="K32" i="2"/>
  <c r="J32" i="2"/>
  <c r="I32" i="2"/>
  <c r="L31" i="2"/>
  <c r="Q28" i="2" s="1"/>
  <c r="K31" i="2"/>
  <c r="P28" i="2" s="1"/>
  <c r="J31" i="2"/>
  <c r="O28" i="2" s="1"/>
  <c r="I31" i="2"/>
  <c r="N28" i="2" s="1"/>
  <c r="L30" i="2"/>
  <c r="K30" i="2"/>
  <c r="J30" i="2"/>
  <c r="I30" i="2"/>
  <c r="L29" i="2"/>
  <c r="Q27" i="2" s="1"/>
  <c r="K29" i="2"/>
  <c r="P27" i="2" s="1"/>
  <c r="J29" i="2"/>
  <c r="O27" i="2" s="1"/>
  <c r="I29" i="2"/>
  <c r="N27" i="2" s="1"/>
  <c r="L28" i="2"/>
  <c r="K28" i="2"/>
  <c r="J28" i="2"/>
  <c r="I28" i="2"/>
  <c r="L27" i="2"/>
  <c r="Q26" i="2" s="1"/>
  <c r="K27" i="2"/>
  <c r="P26" i="2" s="1"/>
  <c r="J27" i="2"/>
  <c r="O26" i="2" s="1"/>
  <c r="I27" i="2"/>
  <c r="N26" i="2" s="1"/>
  <c r="L26" i="2"/>
  <c r="K26" i="2"/>
  <c r="J26" i="2"/>
  <c r="I26" i="2"/>
  <c r="L25" i="2"/>
  <c r="Q25" i="2" s="1"/>
  <c r="K25" i="2"/>
  <c r="P25" i="2" s="1"/>
  <c r="J25" i="2"/>
  <c r="O25" i="2" s="1"/>
  <c r="I25" i="2"/>
  <c r="N25" i="2" s="1"/>
  <c r="L13" i="2"/>
  <c r="K13" i="2"/>
  <c r="J13" i="2"/>
  <c r="I13" i="2"/>
  <c r="L12" i="2"/>
  <c r="Q9" i="2" s="1"/>
  <c r="K12" i="2"/>
  <c r="P9" i="2" s="1"/>
  <c r="J12" i="2"/>
  <c r="O9" i="2" s="1"/>
  <c r="I12" i="2"/>
  <c r="N9" i="2" s="1"/>
  <c r="L11" i="2"/>
  <c r="K11" i="2"/>
  <c r="J11" i="2"/>
  <c r="I11" i="2"/>
  <c r="L10" i="2"/>
  <c r="Q8" i="2" s="1"/>
  <c r="K10" i="2"/>
  <c r="P8" i="2" s="1"/>
  <c r="J10" i="2"/>
  <c r="O8" i="2" s="1"/>
  <c r="I10" i="2"/>
  <c r="N8" i="2" s="1"/>
  <c r="L9" i="2"/>
  <c r="K9" i="2"/>
  <c r="J9" i="2"/>
  <c r="I9" i="2"/>
  <c r="L8" i="2"/>
  <c r="Q7" i="2" s="1"/>
  <c r="K8" i="2"/>
  <c r="P7" i="2" s="1"/>
  <c r="J8" i="2"/>
  <c r="O7" i="2" s="1"/>
  <c r="I8" i="2"/>
  <c r="N7" i="2" s="1"/>
  <c r="L7" i="2"/>
  <c r="K7" i="2"/>
  <c r="J7" i="2"/>
  <c r="I7" i="2"/>
  <c r="L6" i="2"/>
  <c r="Q6" i="2" s="1"/>
  <c r="K6" i="2"/>
  <c r="P6" i="2" s="1"/>
  <c r="J6" i="2"/>
  <c r="O6" i="2" s="1"/>
  <c r="I6" i="2"/>
  <c r="N6" i="2" s="1"/>
  <c r="O58" i="2"/>
  <c r="P58" i="2"/>
  <c r="Q58" i="2"/>
  <c r="N58" i="2"/>
  <c r="J61" i="2"/>
  <c r="K61" i="2"/>
  <c r="L61" i="2"/>
  <c r="J62" i="2"/>
  <c r="K62" i="2"/>
  <c r="L62" i="2"/>
  <c r="I62" i="2"/>
  <c r="I61" i="2"/>
  <c r="L60" i="2"/>
  <c r="K60" i="2"/>
  <c r="J60" i="2"/>
  <c r="I60" i="2"/>
  <c r="L59" i="2"/>
  <c r="K59" i="2"/>
  <c r="J59" i="2"/>
  <c r="I59" i="2"/>
  <c r="L58" i="2"/>
  <c r="Q56" i="2" s="1"/>
  <c r="K58" i="2"/>
  <c r="P56" i="2" s="1"/>
  <c r="J58" i="2"/>
  <c r="O56" i="2" s="1"/>
  <c r="I58" i="2"/>
  <c r="N56" i="2" s="1"/>
  <c r="Q57" i="2"/>
  <c r="P57" i="2"/>
  <c r="O57" i="2"/>
  <c r="N57" i="2"/>
  <c r="L57" i="2"/>
  <c r="K57" i="2"/>
  <c r="J57" i="2"/>
  <c r="I57" i="2"/>
  <c r="L56" i="2"/>
  <c r="K56" i="2"/>
  <c r="J56" i="2"/>
  <c r="I56" i="2"/>
  <c r="Q55" i="2"/>
  <c r="P55" i="2"/>
  <c r="O55" i="2"/>
  <c r="N55" i="2"/>
  <c r="L55" i="2"/>
  <c r="K55" i="2"/>
  <c r="J55" i="2"/>
  <c r="I55" i="2"/>
  <c r="H91" i="1"/>
  <c r="G91" i="1"/>
  <c r="J91" i="1" s="1"/>
  <c r="H90" i="1"/>
  <c r="G90" i="1"/>
  <c r="J90" i="1" s="1"/>
  <c r="H86" i="1"/>
  <c r="G86" i="1"/>
  <c r="J86" i="1" s="1"/>
  <c r="H85" i="1"/>
  <c r="G85" i="1"/>
  <c r="J85" i="1" s="1"/>
  <c r="H81" i="1"/>
  <c r="G81" i="1"/>
  <c r="J81" i="1" s="1"/>
  <c r="H80" i="1"/>
  <c r="G80" i="1"/>
  <c r="J80" i="1" s="1"/>
  <c r="H76" i="1"/>
  <c r="G76" i="1"/>
  <c r="J76" i="1" s="1"/>
  <c r="H75" i="1"/>
  <c r="G75" i="1"/>
  <c r="J75" i="1" s="1"/>
  <c r="H71" i="1"/>
  <c r="G71" i="1"/>
  <c r="J71" i="1" s="1"/>
  <c r="H70" i="1"/>
  <c r="G70" i="1"/>
  <c r="J70" i="1" s="1"/>
  <c r="H66" i="1"/>
  <c r="G66" i="1"/>
  <c r="H65" i="1"/>
  <c r="G65" i="1"/>
  <c r="J65" i="1" s="1"/>
  <c r="H61" i="1"/>
  <c r="G61" i="1"/>
  <c r="H60" i="1"/>
  <c r="G60" i="1"/>
  <c r="J60" i="1" s="1"/>
  <c r="H59" i="1"/>
  <c r="G59" i="1"/>
  <c r="J59" i="1" s="1"/>
  <c r="H55" i="1"/>
  <c r="G55" i="1"/>
  <c r="J55" i="1" s="1"/>
  <c r="H54" i="1"/>
  <c r="G54" i="1"/>
  <c r="J54" i="1" s="1"/>
  <c r="H53" i="1"/>
  <c r="G53" i="1"/>
  <c r="J53" i="1" s="1"/>
  <c r="H49" i="1"/>
  <c r="G49" i="1"/>
  <c r="J49" i="1" s="1"/>
  <c r="H48" i="1"/>
  <c r="G48" i="1"/>
  <c r="J48" i="1" s="1"/>
  <c r="H47" i="1"/>
  <c r="G47" i="1"/>
  <c r="H43" i="1"/>
  <c r="G43" i="1"/>
  <c r="J43" i="1" s="1"/>
  <c r="H42" i="1"/>
  <c r="G42" i="1"/>
  <c r="H38" i="1"/>
  <c r="G38" i="1"/>
  <c r="H37" i="1"/>
  <c r="G37" i="1"/>
  <c r="J37" i="1" s="1"/>
  <c r="H36" i="1"/>
  <c r="G36" i="1"/>
  <c r="J36" i="1" s="1"/>
  <c r="H35" i="1"/>
  <c r="G35" i="1"/>
  <c r="H31" i="1"/>
  <c r="G31" i="1"/>
  <c r="J31" i="1" s="1"/>
  <c r="H30" i="1"/>
  <c r="G30" i="1"/>
  <c r="J30" i="1" s="1"/>
  <c r="H29" i="1"/>
  <c r="G29" i="1"/>
  <c r="J29" i="1" s="1"/>
  <c r="H28" i="1"/>
  <c r="G28" i="1"/>
  <c r="H24" i="1"/>
  <c r="G24" i="1"/>
  <c r="J24" i="1" s="1"/>
  <c r="H23" i="1"/>
  <c r="G23" i="1"/>
  <c r="J23" i="1" s="1"/>
  <c r="H22" i="1"/>
  <c r="G22" i="1"/>
  <c r="J22" i="1" s="1"/>
  <c r="H21" i="1"/>
  <c r="G21" i="1"/>
  <c r="J21" i="1" s="1"/>
  <c r="H17" i="1"/>
  <c r="G17" i="1"/>
  <c r="J17" i="1" s="1"/>
  <c r="H16" i="1"/>
  <c r="G16" i="1"/>
  <c r="J16" i="1" s="1"/>
  <c r="H12" i="1"/>
  <c r="G12" i="1"/>
  <c r="J12" i="1" s="1"/>
  <c r="H11" i="1"/>
  <c r="G11" i="1"/>
  <c r="J11" i="1" s="1"/>
  <c r="H7" i="1"/>
  <c r="G7" i="1"/>
  <c r="H6" i="1"/>
  <c r="G6" i="1"/>
  <c r="J6" i="1" s="1"/>
  <c r="H5" i="1"/>
  <c r="G5" i="1"/>
  <c r="J5" i="1" s="1"/>
  <c r="M5" i="10" l="1"/>
  <c r="M9" i="10"/>
  <c r="M32" i="10"/>
  <c r="M40" i="10"/>
  <c r="M63" i="10"/>
  <c r="M71" i="10"/>
  <c r="M21" i="10"/>
  <c r="M37" i="10"/>
  <c r="M53" i="10"/>
  <c r="M69" i="10"/>
  <c r="M33" i="10"/>
  <c r="M41" i="10"/>
  <c r="M64" i="10"/>
  <c r="M72" i="10"/>
  <c r="M37" i="9"/>
  <c r="M12" i="9"/>
  <c r="M34" i="9"/>
  <c r="M21" i="9"/>
  <c r="M53" i="9"/>
  <c r="M69" i="9"/>
  <c r="M27" i="9"/>
  <c r="M49" i="9"/>
  <c r="M57" i="9"/>
  <c r="M64" i="9"/>
  <c r="M72" i="9"/>
  <c r="N104" i="6"/>
  <c r="O102" i="6"/>
  <c r="Q139" i="6"/>
  <c r="O9" i="6"/>
  <c r="Q102" i="6"/>
  <c r="P141" i="6"/>
  <c r="O56" i="6"/>
  <c r="N127" i="6"/>
  <c r="Q158" i="6"/>
  <c r="Q257" i="6"/>
  <c r="O127" i="6"/>
  <c r="O28" i="6"/>
  <c r="N57" i="6"/>
  <c r="P125" i="6"/>
  <c r="P127" i="6"/>
  <c r="Q197" i="6"/>
  <c r="P6" i="6"/>
  <c r="P28" i="6"/>
  <c r="O57" i="6"/>
  <c r="O78" i="6"/>
  <c r="Q125" i="6"/>
  <c r="Q142" i="6"/>
  <c r="Q177" i="6"/>
  <c r="N198" i="6"/>
  <c r="N211" i="6"/>
  <c r="N214" i="6"/>
  <c r="O229" i="6"/>
  <c r="N244" i="6"/>
  <c r="Q41" i="6"/>
  <c r="N180" i="6"/>
  <c r="P273" i="6"/>
  <c r="N9" i="6"/>
  <c r="P213" i="6"/>
  <c r="Q242" i="6"/>
  <c r="N259" i="6"/>
  <c r="O257" i="6"/>
  <c r="P7" i="6"/>
  <c r="P27" i="6"/>
  <c r="Q178" i="6"/>
  <c r="N199" i="6"/>
  <c r="P257" i="6"/>
  <c r="Q7" i="6"/>
  <c r="P56" i="6"/>
  <c r="O197" i="6"/>
  <c r="N25" i="6"/>
  <c r="Q40" i="6"/>
  <c r="Q56" i="6"/>
  <c r="Q256" i="6"/>
  <c r="O8" i="6"/>
  <c r="P142" i="6"/>
  <c r="Q214" i="6"/>
  <c r="O258" i="6"/>
  <c r="Q6" i="6"/>
  <c r="Q101" i="6"/>
  <c r="N126" i="6"/>
  <c r="N139" i="6"/>
  <c r="N142" i="6"/>
  <c r="O161" i="6"/>
  <c r="O198" i="6"/>
  <c r="O211" i="6"/>
  <c r="P229" i="6"/>
  <c r="P243" i="6"/>
  <c r="Q258" i="6"/>
  <c r="Q272" i="6"/>
  <c r="P102" i="6"/>
  <c r="N58" i="6"/>
  <c r="P160" i="6"/>
  <c r="O196" i="6"/>
  <c r="P197" i="6"/>
  <c r="N271" i="6"/>
  <c r="O25" i="6"/>
  <c r="N78" i="6"/>
  <c r="O271" i="6"/>
  <c r="O81" i="6"/>
  <c r="P103" i="6"/>
  <c r="O126" i="6"/>
  <c r="O139" i="6"/>
  <c r="O140" i="6"/>
  <c r="P161" i="6"/>
  <c r="Q229" i="6"/>
  <c r="Q211" i="6"/>
  <c r="Q241" i="6"/>
  <c r="Q271" i="6"/>
  <c r="O124" i="6"/>
  <c r="O6" i="6"/>
  <c r="O55" i="6"/>
  <c r="O158" i="6"/>
  <c r="O142" i="5"/>
  <c r="P142" i="5"/>
  <c r="O161" i="5"/>
  <c r="N213" i="5"/>
  <c r="O43" i="5"/>
  <c r="O180" i="5"/>
  <c r="O42" i="5"/>
  <c r="P42" i="5"/>
  <c r="P55" i="5"/>
  <c r="Q102" i="5"/>
  <c r="N125" i="5"/>
  <c r="N127" i="5"/>
  <c r="O179" i="5"/>
  <c r="O196" i="5"/>
  <c r="P199" i="5"/>
  <c r="Q214" i="5"/>
  <c r="Q243" i="5"/>
  <c r="Q256" i="5"/>
  <c r="P43" i="5"/>
  <c r="Q27" i="5"/>
  <c r="O55" i="5"/>
  <c r="Q81" i="5"/>
  <c r="P102" i="5"/>
  <c r="Q177" i="5"/>
  <c r="N196" i="5"/>
  <c r="N227" i="5"/>
  <c r="P243" i="5"/>
  <c r="N7" i="5"/>
  <c r="O7" i="5"/>
  <c r="N9" i="5"/>
  <c r="Q42" i="5"/>
  <c r="Q55" i="5"/>
  <c r="O81" i="5"/>
  <c r="Q104" i="5"/>
  <c r="P179" i="5"/>
  <c r="P196" i="5"/>
  <c r="P227" i="5"/>
  <c r="N229" i="5"/>
  <c r="O258" i="5"/>
  <c r="O271" i="5"/>
  <c r="P9" i="5"/>
  <c r="O28" i="5"/>
  <c r="P161" i="5"/>
  <c r="N126" i="5"/>
  <c r="O58" i="5"/>
  <c r="Q40" i="5"/>
  <c r="Q79" i="5"/>
  <c r="Q160" i="5"/>
  <c r="N179" i="5"/>
  <c r="Q212" i="5"/>
  <c r="P256" i="5"/>
  <c r="P7" i="5"/>
  <c r="O57" i="5"/>
  <c r="O78" i="5"/>
  <c r="P81" i="5"/>
  <c r="Q179" i="5"/>
  <c r="Q196" i="5"/>
  <c r="N211" i="5"/>
  <c r="O214" i="5"/>
  <c r="Q227" i="5"/>
  <c r="N242" i="5"/>
  <c r="P258" i="5"/>
  <c r="P271" i="5"/>
  <c r="O180" i="4"/>
  <c r="P180" i="4"/>
  <c r="N259" i="4"/>
  <c r="P9" i="4"/>
  <c r="O259" i="4"/>
  <c r="O104" i="4"/>
  <c r="P199" i="4"/>
  <c r="P104" i="4"/>
  <c r="O43" i="4"/>
  <c r="N127" i="4"/>
  <c r="O214" i="4"/>
  <c r="N81" i="4"/>
  <c r="O9" i="4"/>
  <c r="N28" i="4"/>
  <c r="O28" i="4"/>
  <c r="P25" i="4"/>
  <c r="N103" i="4"/>
  <c r="Q140" i="4"/>
  <c r="O198" i="4"/>
  <c r="P214" i="4"/>
  <c r="O271" i="4"/>
  <c r="Q25" i="4"/>
  <c r="P40" i="4"/>
  <c r="O80" i="4"/>
  <c r="O103" i="4"/>
  <c r="Q142" i="4"/>
  <c r="Q229" i="4"/>
  <c r="P258" i="4"/>
  <c r="Q27" i="4"/>
  <c r="Q40" i="4"/>
  <c r="N42" i="4"/>
  <c r="Q56" i="4"/>
  <c r="P103" i="4"/>
  <c r="P124" i="4"/>
  <c r="Q159" i="4"/>
  <c r="Q198" i="4"/>
  <c r="Q211" i="4"/>
  <c r="N213" i="4"/>
  <c r="N226" i="4"/>
  <c r="N229" i="4"/>
  <c r="P242" i="4"/>
  <c r="Q258" i="4"/>
  <c r="Q271" i="4"/>
  <c r="P81" i="4"/>
  <c r="N199" i="4"/>
  <c r="N43" i="4"/>
  <c r="P8" i="4"/>
  <c r="P43" i="4"/>
  <c r="N124" i="4"/>
  <c r="O159" i="4"/>
  <c r="O211" i="4"/>
  <c r="O258" i="4"/>
  <c r="Q8" i="4"/>
  <c r="P27" i="4"/>
  <c r="O124" i="4"/>
  <c r="P127" i="4"/>
  <c r="P159" i="4"/>
  <c r="P198" i="4"/>
  <c r="P211" i="4"/>
  <c r="P271" i="4"/>
  <c r="N27" i="4"/>
  <c r="O42" i="4"/>
  <c r="Q58" i="4"/>
  <c r="Q103" i="4"/>
  <c r="Q124" i="4"/>
  <c r="N139" i="4"/>
  <c r="O142" i="4"/>
  <c r="O213" i="4"/>
  <c r="O226" i="4"/>
  <c r="Q242" i="4"/>
  <c r="Q6" i="4"/>
  <c r="J47" i="1"/>
  <c r="J61" i="1"/>
  <c r="J35" i="1"/>
  <c r="J66" i="1"/>
  <c r="J7" i="1"/>
  <c r="J38" i="1"/>
  <c r="J28" i="1"/>
  <c r="J42" i="1"/>
</calcChain>
</file>

<file path=xl/sharedStrings.xml><?xml version="1.0" encoding="utf-8"?>
<sst xmlns="http://schemas.openxmlformats.org/spreadsheetml/2006/main" count="1059" uniqueCount="118">
  <si>
    <t>FREQ 프로시저</t>
  </si>
  <si>
    <t>age_g</t>
  </si>
  <si>
    <t>빈도</t>
  </si>
  <si>
    <t>백분율</t>
  </si>
  <si>
    <t>누적</t>
  </si>
  <si>
    <t>sex</t>
  </si>
  <si>
    <t>town_t</t>
  </si>
  <si>
    <t>educ_g</t>
  </si>
  <si>
    <t>ho_incm</t>
  </si>
  <si>
    <t>bmi_g</t>
  </si>
  <si>
    <t>marri_g</t>
  </si>
  <si>
    <t>health_g</t>
  </si>
  <si>
    <t>stress_g</t>
  </si>
  <si>
    <t>drinking_g</t>
  </si>
  <si>
    <t>smoking_g</t>
  </si>
  <si>
    <t>hypertension_g</t>
  </si>
  <si>
    <t>dyslipidemia_g</t>
  </si>
  <si>
    <t>stroke_g</t>
  </si>
  <si>
    <t>mi_g</t>
  </si>
  <si>
    <t>angina_g</t>
  </si>
  <si>
    <t>행 백분율</t>
  </si>
  <si>
    <t>칼럼 백분율</t>
  </si>
  <si>
    <t>테이블 age_g * tyg_g</t>
  </si>
  <si>
    <t>tyg_g</t>
  </si>
  <si>
    <t>합계</t>
  </si>
  <si>
    <t>테이블 sex * tyg_g</t>
  </si>
  <si>
    <t>테이블 town_t * tyg_g</t>
  </si>
  <si>
    <t>테이블 educ_g * tyg_g</t>
  </si>
  <si>
    <t>테이블 ho_incm * tyg_g</t>
  </si>
  <si>
    <t>테이블 bmi_g * tyg_g</t>
  </si>
  <si>
    <t>테이블 marri_g * tyg_g</t>
  </si>
  <si>
    <t>테이블 health_g * tyg_g</t>
  </si>
  <si>
    <t>테이블 stress_g * tyg_g</t>
  </si>
  <si>
    <t>테이블 drinking_g * tyg_g</t>
  </si>
  <si>
    <t>테이블 smoking_g * tyg_g</t>
  </si>
  <si>
    <t>테이블 hypertension_g * tyg_g</t>
  </si>
  <si>
    <t>테이블 dyslipidemia_g * tyg_g</t>
  </si>
  <si>
    <t>테이블 stroke_g * tyg_g</t>
  </si>
  <si>
    <t>테이블 mi_g * tyg_g</t>
  </si>
  <si>
    <t>테이블 angina_g * tyg_g</t>
  </si>
  <si>
    <t>테이블 age_g * tyg_absi_g</t>
  </si>
  <si>
    <t>tyg_absi_g</t>
  </si>
  <si>
    <t>테이블 sex * tyg_absi_g</t>
  </si>
  <si>
    <t>테이블 town_t * tyg_absi_g</t>
  </si>
  <si>
    <t>테이블 educ_g * tyg_absi_g</t>
  </si>
  <si>
    <t>테이블 ho_incm * tyg_absi_g</t>
  </si>
  <si>
    <t>테이블 bmi_g * tyg_absi_g</t>
  </si>
  <si>
    <t>테이블 marri_g * tyg_absi_g</t>
  </si>
  <si>
    <t>테이블 health_g * tyg_absi_g</t>
  </si>
  <si>
    <t>테이블 stress_g * tyg_absi_g</t>
  </si>
  <si>
    <t>테이블 drinking_g * tyg_absi_g</t>
  </si>
  <si>
    <t>테이블 smoking_g * tyg_absi_g</t>
  </si>
  <si>
    <t>테이블 hypertension_g * tyg_absi_g</t>
  </si>
  <si>
    <t>테이블 dyslipidemia_g * tyg_absi_g</t>
  </si>
  <si>
    <t>테이블 stroke_g * tyg_absi_g</t>
  </si>
  <si>
    <t>테이블 mi_g * tyg_absi_g</t>
  </si>
  <si>
    <t>테이블 angina_g * tyg_absi_g</t>
  </si>
  <si>
    <t>테이블 age_g * aip_g</t>
  </si>
  <si>
    <t>aip_g</t>
  </si>
  <si>
    <t>테이블 sex * aip_g</t>
  </si>
  <si>
    <t>테이블 town_t * aip_g</t>
  </si>
  <si>
    <t>테이블 educ_g * aip_g</t>
  </si>
  <si>
    <t>테이블 ho_incm * aip_g</t>
  </si>
  <si>
    <t>테이블 bmi_g * aip_g</t>
  </si>
  <si>
    <t>테이블 marri_g * aip_g</t>
  </si>
  <si>
    <t>테이블 health_g * aip_g</t>
  </si>
  <si>
    <t>테이블 stress_g * aip_g</t>
  </si>
  <si>
    <t>테이블 drinking_g * aip_g</t>
  </si>
  <si>
    <t>테이블 smoking_g * aip_g</t>
  </si>
  <si>
    <t>테이블 hypertension_g * aip_g</t>
  </si>
  <si>
    <t>테이블 dyslipidemia_g * aip_g</t>
  </si>
  <si>
    <t>테이블 stroke_g * aip_g</t>
  </si>
  <si>
    <t>테이블 mi_g * aip_g</t>
  </si>
  <si>
    <t>테이블 angina_g * aip_g</t>
  </si>
  <si>
    <t>테이블 age_g * mets_ir_g</t>
  </si>
  <si>
    <t>mets_ir_g</t>
  </si>
  <si>
    <t>테이블 sex * mets_ir_g</t>
  </si>
  <si>
    <t>테이블 town_t * mets_ir_g</t>
  </si>
  <si>
    <t>테이블 educ_g * mets_ir_g</t>
  </si>
  <si>
    <t>테이블 ho_incm * mets_ir_g</t>
  </si>
  <si>
    <t>테이블 bmi_g * mets_ir_g</t>
  </si>
  <si>
    <t>테이블 marri_g * mets_ir_g</t>
  </si>
  <si>
    <t>테이블 health_g * mets_ir_g</t>
  </si>
  <si>
    <t>테이블 stress_g * mets_ir_g</t>
  </si>
  <si>
    <t>테이블 drinking_g * mets_ir_g</t>
  </si>
  <si>
    <t>테이블 smoking_g * mets_ir_g</t>
  </si>
  <si>
    <t>테이블 hypertension_g * mets_ir_g</t>
  </si>
  <si>
    <t>테이블 dyslipidemia_g * mets_ir_g</t>
  </si>
  <si>
    <t>테이블 stroke_g * mets_ir_g</t>
  </si>
  <si>
    <t>테이블 mi_g * mets_ir_g</t>
  </si>
  <si>
    <t>테이블 angina_g * mets_ir_g</t>
  </si>
  <si>
    <t>MEANS 프로시저</t>
  </si>
  <si>
    <t>변수</t>
  </si>
  <si>
    <t>N</t>
  </si>
  <si>
    <t>평균</t>
  </si>
  <si>
    <t>표준편차</t>
  </si>
  <si>
    <t>최솟값</t>
  </si>
  <si>
    <t>최댓값</t>
  </si>
  <si>
    <t>age</t>
  </si>
  <si>
    <t>HE_BMI</t>
  </si>
  <si>
    <t>HE_wc</t>
  </si>
  <si>
    <t>absi</t>
  </si>
  <si>
    <t>HE_sbp</t>
  </si>
  <si>
    <t>HE_glu</t>
  </si>
  <si>
    <t>HE_chol</t>
  </si>
  <si>
    <t>HE_HDL_st2</t>
  </si>
  <si>
    <t>HE_TG</t>
  </si>
  <si>
    <t>HE_ast</t>
  </si>
  <si>
    <t>HE_alt</t>
  </si>
  <si>
    <t>HE_HB</t>
  </si>
  <si>
    <t>HE_BUN</t>
  </si>
  <si>
    <t>HE_crea</t>
  </si>
  <si>
    <t>HE_Uph</t>
  </si>
  <si>
    <t>tyg</t>
  </si>
  <si>
    <t>tyg_absi</t>
  </si>
  <si>
    <t>aip</t>
  </si>
  <si>
    <t>mets_ir</t>
  </si>
  <si>
    <t>관측값 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</si>
</sst>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medium">
        <color rgb="FFC1C1C1"/>
      </left>
      <right/>
      <top style="medium">
        <color rgb="FFC1C1C1"/>
      </top>
      <bottom/>
      <diagonal/>
    </border>
    <border>
      <left/>
      <right/>
      <top style="medium">
        <color rgb="FFC1C1C1"/>
      </top>
      <bottom/>
      <diagonal/>
    </border>
    <border>
      <left style="medium">
        <color rgb="FFC1C1C1"/>
      </left>
      <right/>
      <top/>
      <bottom/>
      <diagonal/>
    </border>
    <border>
      <left/>
      <right style="medium">
        <color rgb="FFC1C1C1"/>
      </right>
      <top/>
      <bottom style="medium">
        <color rgb="FFC1C1C1"/>
      </bottom>
      <diagonal/>
    </border>
    <border>
      <left/>
      <right style="medium">
        <color rgb="FFC1C1C1"/>
      </right>
      <top/>
      <bottom/>
      <diagonal/>
    </border>
    <border>
      <left style="medium">
        <color rgb="FFC1C1C1"/>
      </left>
      <right style="medium">
        <color rgb="FFC1C1C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0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3" fillId="2" borderId="6" xfId="0" applyFont="1" applyFill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91"/>
  <sheetViews>
    <sheetView workbookViewId="0">
      <selection activeCell="J5" sqref="J5"/>
    </sheetView>
  </sheetViews>
  <sheetFormatPr defaultRowHeight="16.5" x14ac:dyDescent="0.3"/>
  <cols>
    <col min="10" max="10" width="13.5" bestFit="1" customWidth="1"/>
  </cols>
  <sheetData>
    <row r="1" spans="1:10" ht="17.25" thickBot="1" x14ac:dyDescent="0.35">
      <c r="A1" s="1" t="s">
        <v>0</v>
      </c>
    </row>
    <row r="2" spans="1:10" ht="17.25" hidden="1" thickBot="1" x14ac:dyDescent="0.35"/>
    <row r="3" spans="1:10" x14ac:dyDescent="0.3">
      <c r="A3" s="7" t="s">
        <v>1</v>
      </c>
      <c r="B3" s="9" t="s">
        <v>2</v>
      </c>
      <c r="C3" s="9" t="s">
        <v>3</v>
      </c>
      <c r="D3" s="5" t="s">
        <v>4</v>
      </c>
      <c r="E3" s="5" t="s">
        <v>4</v>
      </c>
    </row>
    <row r="4" spans="1:10" hidden="1" x14ac:dyDescent="0.3">
      <c r="A4" s="8"/>
      <c r="B4" s="10"/>
      <c r="C4" s="10"/>
      <c r="D4" s="3" t="s">
        <v>2</v>
      </c>
      <c r="E4" s="3" t="s">
        <v>3</v>
      </c>
    </row>
    <row r="5" spans="1:10" x14ac:dyDescent="0.3">
      <c r="A5" s="6">
        <v>1</v>
      </c>
      <c r="B5" s="2">
        <v>21631</v>
      </c>
      <c r="C5" s="2">
        <v>30.78</v>
      </c>
      <c r="D5" s="2">
        <v>21631</v>
      </c>
      <c r="E5" s="2">
        <v>30.78</v>
      </c>
      <c r="G5">
        <f>B5</f>
        <v>21631</v>
      </c>
      <c r="H5">
        <f>C5</f>
        <v>30.78</v>
      </c>
      <c r="J5" t="str">
        <f>TEXT(G5,"#,##0")&amp;" ("&amp;TEXT(H5,"0.00")&amp;")"</f>
        <v>21,631 (30.78)</v>
      </c>
    </row>
    <row r="6" spans="1:10" x14ac:dyDescent="0.3">
      <c r="A6" s="6">
        <v>2</v>
      </c>
      <c r="B6" s="2">
        <v>34171</v>
      </c>
      <c r="C6" s="2">
        <v>48.62</v>
      </c>
      <c r="D6" s="2">
        <v>55802</v>
      </c>
      <c r="E6" s="2">
        <v>79.41</v>
      </c>
      <c r="G6">
        <f t="shared" ref="G6:G7" si="0">B6</f>
        <v>34171</v>
      </c>
      <c r="H6">
        <f t="shared" ref="H6:H7" si="1">C6</f>
        <v>48.62</v>
      </c>
      <c r="J6" t="str">
        <f t="shared" ref="J6:J7" si="2">TEXT(G6,"#,##0")&amp;" ("&amp;TEXT(H6,"0.00")&amp;")"</f>
        <v>34,171 (48.62)</v>
      </c>
    </row>
    <row r="7" spans="1:10" ht="17.25" thickBot="1" x14ac:dyDescent="0.35">
      <c r="A7" s="6">
        <v>3</v>
      </c>
      <c r="B7" s="2">
        <v>14473</v>
      </c>
      <c r="C7" s="2">
        <v>20.59</v>
      </c>
      <c r="D7" s="2">
        <v>70275</v>
      </c>
      <c r="E7" s="2">
        <v>100</v>
      </c>
      <c r="G7">
        <f t="shared" si="0"/>
        <v>14473</v>
      </c>
      <c r="H7">
        <f t="shared" si="1"/>
        <v>20.59</v>
      </c>
      <c r="J7" t="str">
        <f t="shared" si="2"/>
        <v>14,473 (20.59)</v>
      </c>
    </row>
    <row r="8" spans="1:10" ht="17.25" hidden="1" thickBot="1" x14ac:dyDescent="0.35"/>
    <row r="9" spans="1:10" x14ac:dyDescent="0.3">
      <c r="A9" s="7" t="s">
        <v>5</v>
      </c>
      <c r="B9" s="9" t="s">
        <v>2</v>
      </c>
      <c r="C9" s="9" t="s">
        <v>3</v>
      </c>
      <c r="D9" s="5" t="s">
        <v>4</v>
      </c>
      <c r="E9" s="5" t="s">
        <v>4</v>
      </c>
    </row>
    <row r="10" spans="1:10" hidden="1" x14ac:dyDescent="0.3">
      <c r="A10" s="8"/>
      <c r="B10" s="10"/>
      <c r="C10" s="10"/>
      <c r="D10" s="3" t="s">
        <v>2</v>
      </c>
      <c r="E10" s="3" t="s">
        <v>3</v>
      </c>
    </row>
    <row r="11" spans="1:10" x14ac:dyDescent="0.3">
      <c r="A11" s="6">
        <v>1</v>
      </c>
      <c r="B11" s="2">
        <v>34146</v>
      </c>
      <c r="C11" s="2">
        <v>48.59</v>
      </c>
      <c r="D11" s="2">
        <v>34146</v>
      </c>
      <c r="E11" s="2">
        <v>48.59</v>
      </c>
      <c r="G11">
        <f t="shared" ref="G11:G12" si="3">B11</f>
        <v>34146</v>
      </c>
      <c r="H11">
        <f t="shared" ref="H11:H12" si="4">C11</f>
        <v>48.59</v>
      </c>
      <c r="J11" t="str">
        <f t="shared" ref="J11:J12" si="5">TEXT(G11,"#,##0")&amp;" ("&amp;TEXT(H11,"0.00")&amp;")"</f>
        <v>34,146 (48.59)</v>
      </c>
    </row>
    <row r="12" spans="1:10" ht="17.25" thickBot="1" x14ac:dyDescent="0.35">
      <c r="A12" s="6">
        <v>2</v>
      </c>
      <c r="B12" s="2">
        <v>36129</v>
      </c>
      <c r="C12" s="2">
        <v>51.41</v>
      </c>
      <c r="D12" s="2">
        <v>70275</v>
      </c>
      <c r="E12" s="2">
        <v>100</v>
      </c>
      <c r="G12">
        <f t="shared" si="3"/>
        <v>36129</v>
      </c>
      <c r="H12">
        <f t="shared" si="4"/>
        <v>51.41</v>
      </c>
      <c r="J12" t="str">
        <f t="shared" si="5"/>
        <v>36,129 (51.41)</v>
      </c>
    </row>
    <row r="13" spans="1:10" ht="17.25" hidden="1" thickBot="1" x14ac:dyDescent="0.35"/>
    <row r="14" spans="1:10" x14ac:dyDescent="0.3">
      <c r="A14" s="7" t="s">
        <v>6</v>
      </c>
      <c r="B14" s="9" t="s">
        <v>2</v>
      </c>
      <c r="C14" s="9" t="s">
        <v>3</v>
      </c>
      <c r="D14" s="5" t="s">
        <v>4</v>
      </c>
      <c r="E14" s="5" t="s">
        <v>4</v>
      </c>
    </row>
    <row r="15" spans="1:10" hidden="1" x14ac:dyDescent="0.3">
      <c r="A15" s="8"/>
      <c r="B15" s="10"/>
      <c r="C15" s="10"/>
      <c r="D15" s="3" t="s">
        <v>2</v>
      </c>
      <c r="E15" s="3" t="s">
        <v>3</v>
      </c>
    </row>
    <row r="16" spans="1:10" x14ac:dyDescent="0.3">
      <c r="A16" s="6">
        <v>1</v>
      </c>
      <c r="B16" s="2">
        <v>56490</v>
      </c>
      <c r="C16" s="2">
        <v>80.38</v>
      </c>
      <c r="D16" s="2">
        <v>56490</v>
      </c>
      <c r="E16" s="2">
        <v>80.38</v>
      </c>
      <c r="G16">
        <f t="shared" ref="G16:G17" si="6">B16</f>
        <v>56490</v>
      </c>
      <c r="H16">
        <f t="shared" ref="H16:H17" si="7">C16</f>
        <v>80.38</v>
      </c>
      <c r="J16" t="str">
        <f t="shared" ref="J16:J17" si="8">TEXT(G16,"#,##0")&amp;" ("&amp;TEXT(H16,"0.00")&amp;")"</f>
        <v>56,490 (80.38)</v>
      </c>
    </row>
    <row r="17" spans="1:10" ht="17.25" thickBot="1" x14ac:dyDescent="0.35">
      <c r="A17" s="6">
        <v>2</v>
      </c>
      <c r="B17" s="2">
        <v>13785</v>
      </c>
      <c r="C17" s="2">
        <v>19.62</v>
      </c>
      <c r="D17" s="2">
        <v>70275</v>
      </c>
      <c r="E17" s="2">
        <v>100</v>
      </c>
      <c r="G17">
        <f t="shared" si="6"/>
        <v>13785</v>
      </c>
      <c r="H17">
        <f t="shared" si="7"/>
        <v>19.62</v>
      </c>
      <c r="J17" t="str">
        <f t="shared" si="8"/>
        <v>13,785 (19.62)</v>
      </c>
    </row>
    <row r="18" spans="1:10" ht="17.25" hidden="1" thickBot="1" x14ac:dyDescent="0.35"/>
    <row r="19" spans="1:10" x14ac:dyDescent="0.3">
      <c r="A19" s="7" t="s">
        <v>7</v>
      </c>
      <c r="B19" s="9" t="s">
        <v>2</v>
      </c>
      <c r="C19" s="9" t="s">
        <v>3</v>
      </c>
      <c r="D19" s="5" t="s">
        <v>4</v>
      </c>
      <c r="E19" s="5" t="s">
        <v>4</v>
      </c>
    </row>
    <row r="20" spans="1:10" hidden="1" x14ac:dyDescent="0.3">
      <c r="A20" s="8"/>
      <c r="B20" s="10"/>
      <c r="C20" s="10"/>
      <c r="D20" s="3" t="s">
        <v>2</v>
      </c>
      <c r="E20" s="3" t="s">
        <v>3</v>
      </c>
    </row>
    <row r="21" spans="1:10" x14ac:dyDescent="0.3">
      <c r="A21" s="6">
        <v>1</v>
      </c>
      <c r="B21" s="2">
        <v>9468</v>
      </c>
      <c r="C21" s="2">
        <v>13.47</v>
      </c>
      <c r="D21" s="2">
        <v>9468</v>
      </c>
      <c r="E21" s="2">
        <v>13.47</v>
      </c>
      <c r="G21">
        <f t="shared" ref="G21:G24" si="9">B21</f>
        <v>9468</v>
      </c>
      <c r="H21">
        <f t="shared" ref="H21:H24" si="10">C21</f>
        <v>13.47</v>
      </c>
      <c r="J21" t="str">
        <f t="shared" ref="J21:J24" si="11">TEXT(G21,"#,##0")&amp;" ("&amp;TEXT(H21,"0.00")&amp;")"</f>
        <v>9,468 (13.47)</v>
      </c>
    </row>
    <row r="22" spans="1:10" x14ac:dyDescent="0.3">
      <c r="A22" s="6">
        <v>2</v>
      </c>
      <c r="B22" s="2">
        <v>8169</v>
      </c>
      <c r="C22" s="2">
        <v>11.62</v>
      </c>
      <c r="D22" s="2">
        <v>17637</v>
      </c>
      <c r="E22" s="2">
        <v>25.1</v>
      </c>
      <c r="G22">
        <f t="shared" si="9"/>
        <v>8169</v>
      </c>
      <c r="H22">
        <f t="shared" si="10"/>
        <v>11.62</v>
      </c>
      <c r="J22" t="str">
        <f t="shared" si="11"/>
        <v>8,169 (11.62)</v>
      </c>
    </row>
    <row r="23" spans="1:10" x14ac:dyDescent="0.3">
      <c r="A23" s="6">
        <v>3</v>
      </c>
      <c r="B23" s="2">
        <v>18157</v>
      </c>
      <c r="C23" s="2">
        <v>25.84</v>
      </c>
      <c r="D23" s="2">
        <v>35794</v>
      </c>
      <c r="E23" s="2">
        <v>50.93</v>
      </c>
      <c r="G23">
        <f t="shared" si="9"/>
        <v>18157</v>
      </c>
      <c r="H23">
        <f t="shared" si="10"/>
        <v>25.84</v>
      </c>
      <c r="J23" t="str">
        <f t="shared" si="11"/>
        <v>18,157 (25.84)</v>
      </c>
    </row>
    <row r="24" spans="1:10" ht="17.25" thickBot="1" x14ac:dyDescent="0.35">
      <c r="A24" s="6">
        <v>4</v>
      </c>
      <c r="B24" s="2">
        <v>34481</v>
      </c>
      <c r="C24" s="2">
        <v>49.07</v>
      </c>
      <c r="D24" s="2">
        <v>70275</v>
      </c>
      <c r="E24" s="2">
        <v>100</v>
      </c>
      <c r="G24">
        <f t="shared" si="9"/>
        <v>34481</v>
      </c>
      <c r="H24">
        <f t="shared" si="10"/>
        <v>49.07</v>
      </c>
      <c r="J24" t="str">
        <f t="shared" si="11"/>
        <v>34,481 (49.07)</v>
      </c>
    </row>
    <row r="25" spans="1:10" ht="17.25" hidden="1" thickBot="1" x14ac:dyDescent="0.35"/>
    <row r="26" spans="1:10" x14ac:dyDescent="0.3">
      <c r="A26" s="7" t="s">
        <v>8</v>
      </c>
      <c r="B26" s="9" t="s">
        <v>2</v>
      </c>
      <c r="C26" s="9" t="s">
        <v>3</v>
      </c>
      <c r="D26" s="5" t="s">
        <v>4</v>
      </c>
      <c r="E26" s="5" t="s">
        <v>4</v>
      </c>
    </row>
    <row r="27" spans="1:10" hidden="1" x14ac:dyDescent="0.3">
      <c r="A27" s="8"/>
      <c r="B27" s="10"/>
      <c r="C27" s="10"/>
      <c r="D27" s="3" t="s">
        <v>2</v>
      </c>
      <c r="E27" s="3" t="s">
        <v>3</v>
      </c>
    </row>
    <row r="28" spans="1:10" x14ac:dyDescent="0.3">
      <c r="A28" s="6">
        <v>1</v>
      </c>
      <c r="B28" s="2">
        <v>11642</v>
      </c>
      <c r="C28" s="2">
        <v>16.57</v>
      </c>
      <c r="D28" s="2">
        <v>11642</v>
      </c>
      <c r="E28" s="2">
        <v>16.57</v>
      </c>
      <c r="G28">
        <f t="shared" ref="G28:G31" si="12">B28</f>
        <v>11642</v>
      </c>
      <c r="H28">
        <f t="shared" ref="H28:H31" si="13">C28</f>
        <v>16.57</v>
      </c>
      <c r="J28" t="str">
        <f t="shared" ref="J28:J31" si="14">TEXT(G28,"#,##0")&amp;" ("&amp;TEXT(H28,"0.00")&amp;")"</f>
        <v>11,642 (16.57)</v>
      </c>
    </row>
    <row r="29" spans="1:10" x14ac:dyDescent="0.3">
      <c r="A29" s="6">
        <v>2</v>
      </c>
      <c r="B29" s="2">
        <v>17307</v>
      </c>
      <c r="C29" s="2">
        <v>24.63</v>
      </c>
      <c r="D29" s="2">
        <v>28949</v>
      </c>
      <c r="E29" s="2">
        <v>41.19</v>
      </c>
      <c r="G29">
        <f t="shared" si="12"/>
        <v>17307</v>
      </c>
      <c r="H29">
        <f t="shared" si="13"/>
        <v>24.63</v>
      </c>
      <c r="J29" t="str">
        <f t="shared" si="14"/>
        <v>17,307 (24.63)</v>
      </c>
    </row>
    <row r="30" spans="1:10" x14ac:dyDescent="0.3">
      <c r="A30" s="6">
        <v>3</v>
      </c>
      <c r="B30" s="2">
        <v>19995</v>
      </c>
      <c r="C30" s="2">
        <v>28.45</v>
      </c>
      <c r="D30" s="2">
        <v>48944</v>
      </c>
      <c r="E30" s="2">
        <v>69.650000000000006</v>
      </c>
      <c r="G30">
        <f t="shared" si="12"/>
        <v>19995</v>
      </c>
      <c r="H30">
        <f t="shared" si="13"/>
        <v>28.45</v>
      </c>
      <c r="J30" t="str">
        <f t="shared" si="14"/>
        <v>19,995 (28.45)</v>
      </c>
    </row>
    <row r="31" spans="1:10" ht="17.25" thickBot="1" x14ac:dyDescent="0.35">
      <c r="A31" s="6">
        <v>4</v>
      </c>
      <c r="B31" s="2">
        <v>21331</v>
      </c>
      <c r="C31" s="2">
        <v>30.35</v>
      </c>
      <c r="D31" s="2">
        <v>70275</v>
      </c>
      <c r="E31" s="2">
        <v>100</v>
      </c>
      <c r="G31">
        <f t="shared" si="12"/>
        <v>21331</v>
      </c>
      <c r="H31">
        <f t="shared" si="13"/>
        <v>30.35</v>
      </c>
      <c r="J31" t="str">
        <f t="shared" si="14"/>
        <v>21,331 (30.35)</v>
      </c>
    </row>
    <row r="32" spans="1:10" ht="17.25" hidden="1" thickBot="1" x14ac:dyDescent="0.35"/>
    <row r="33" spans="1:10" x14ac:dyDescent="0.3">
      <c r="A33" s="7" t="s">
        <v>9</v>
      </c>
      <c r="B33" s="9" t="s">
        <v>2</v>
      </c>
      <c r="C33" s="9" t="s">
        <v>3</v>
      </c>
      <c r="D33" s="5" t="s">
        <v>4</v>
      </c>
      <c r="E33" s="5" t="s">
        <v>4</v>
      </c>
    </row>
    <row r="34" spans="1:10" hidden="1" x14ac:dyDescent="0.3">
      <c r="A34" s="8"/>
      <c r="B34" s="10"/>
      <c r="C34" s="10"/>
      <c r="D34" s="3" t="s">
        <v>2</v>
      </c>
      <c r="E34" s="3" t="s">
        <v>3</v>
      </c>
    </row>
    <row r="35" spans="1:10" x14ac:dyDescent="0.3">
      <c r="A35" s="6">
        <v>1</v>
      </c>
      <c r="B35" s="2">
        <v>2835</v>
      </c>
      <c r="C35" s="2">
        <v>4.03</v>
      </c>
      <c r="D35" s="2">
        <v>2835</v>
      </c>
      <c r="E35" s="2">
        <v>4.03</v>
      </c>
      <c r="G35">
        <f t="shared" ref="G35:G38" si="15">B35</f>
        <v>2835</v>
      </c>
      <c r="H35">
        <f t="shared" ref="H35:H38" si="16">C35</f>
        <v>4.03</v>
      </c>
      <c r="J35" t="str">
        <f t="shared" ref="J35:J38" si="17">TEXT(G35,"#,##0")&amp;" ("&amp;TEXT(H35,"0.00")&amp;")"</f>
        <v>2,835 (4.03)</v>
      </c>
    </row>
    <row r="36" spans="1:10" x14ac:dyDescent="0.3">
      <c r="A36" s="6">
        <v>2</v>
      </c>
      <c r="B36" s="2">
        <v>27011</v>
      </c>
      <c r="C36" s="2">
        <v>38.44</v>
      </c>
      <c r="D36" s="2">
        <v>29846</v>
      </c>
      <c r="E36" s="2">
        <v>42.47</v>
      </c>
      <c r="G36">
        <f t="shared" si="15"/>
        <v>27011</v>
      </c>
      <c r="H36">
        <f t="shared" si="16"/>
        <v>38.44</v>
      </c>
      <c r="J36" t="str">
        <f t="shared" si="17"/>
        <v>27,011 (38.44)</v>
      </c>
    </row>
    <row r="37" spans="1:10" x14ac:dyDescent="0.3">
      <c r="A37" s="6">
        <v>3</v>
      </c>
      <c r="B37" s="2">
        <v>16645</v>
      </c>
      <c r="C37" s="2">
        <v>23.69</v>
      </c>
      <c r="D37" s="2">
        <v>46491</v>
      </c>
      <c r="E37" s="2">
        <v>66.16</v>
      </c>
      <c r="G37">
        <f t="shared" si="15"/>
        <v>16645</v>
      </c>
      <c r="H37">
        <f t="shared" si="16"/>
        <v>23.69</v>
      </c>
      <c r="J37" t="str">
        <f t="shared" si="17"/>
        <v>16,645 (23.69)</v>
      </c>
    </row>
    <row r="38" spans="1:10" ht="17.25" thickBot="1" x14ac:dyDescent="0.35">
      <c r="A38" s="6">
        <v>4</v>
      </c>
      <c r="B38" s="2">
        <v>23784</v>
      </c>
      <c r="C38" s="2">
        <v>33.840000000000003</v>
      </c>
      <c r="D38" s="2">
        <v>70275</v>
      </c>
      <c r="E38" s="2">
        <v>100</v>
      </c>
      <c r="G38">
        <f t="shared" si="15"/>
        <v>23784</v>
      </c>
      <c r="H38">
        <f t="shared" si="16"/>
        <v>33.840000000000003</v>
      </c>
      <c r="J38" t="str">
        <f t="shared" si="17"/>
        <v>23,784 (33.84)</v>
      </c>
    </row>
    <row r="39" spans="1:10" ht="17.25" hidden="1" thickBot="1" x14ac:dyDescent="0.35"/>
    <row r="40" spans="1:10" x14ac:dyDescent="0.3">
      <c r="A40" s="7" t="s">
        <v>10</v>
      </c>
      <c r="B40" s="9" t="s">
        <v>2</v>
      </c>
      <c r="C40" s="9" t="s">
        <v>3</v>
      </c>
      <c r="D40" s="5" t="s">
        <v>4</v>
      </c>
      <c r="E40" s="5" t="s">
        <v>4</v>
      </c>
    </row>
    <row r="41" spans="1:10" hidden="1" x14ac:dyDescent="0.3">
      <c r="A41" s="8"/>
      <c r="B41" s="10"/>
      <c r="C41" s="10"/>
      <c r="D41" s="3" t="s">
        <v>2</v>
      </c>
      <c r="E41" s="3" t="s">
        <v>3</v>
      </c>
    </row>
    <row r="42" spans="1:10" x14ac:dyDescent="0.3">
      <c r="A42" s="6">
        <v>1</v>
      </c>
      <c r="B42" s="2">
        <v>58114</v>
      </c>
      <c r="C42" s="2">
        <v>82.7</v>
      </c>
      <c r="D42" s="2">
        <v>58114</v>
      </c>
      <c r="E42" s="2">
        <v>82.7</v>
      </c>
      <c r="G42">
        <f t="shared" ref="G42:G43" si="18">B42</f>
        <v>58114</v>
      </c>
      <c r="H42">
        <f t="shared" ref="H42:H43" si="19">C42</f>
        <v>82.7</v>
      </c>
      <c r="J42" t="str">
        <f t="shared" ref="J42:J43" si="20">TEXT(G42,"#,##0")&amp;" ("&amp;TEXT(H42,"0.00")&amp;")"</f>
        <v>58,114 (82.70)</v>
      </c>
    </row>
    <row r="43" spans="1:10" ht="17.25" thickBot="1" x14ac:dyDescent="0.35">
      <c r="A43" s="6">
        <v>2</v>
      </c>
      <c r="B43" s="2">
        <v>12161</v>
      </c>
      <c r="C43" s="2">
        <v>17.3</v>
      </c>
      <c r="D43" s="2">
        <v>70275</v>
      </c>
      <c r="E43" s="2">
        <v>100</v>
      </c>
      <c r="G43">
        <f t="shared" si="18"/>
        <v>12161</v>
      </c>
      <c r="H43">
        <f t="shared" si="19"/>
        <v>17.3</v>
      </c>
      <c r="J43" t="str">
        <f t="shared" si="20"/>
        <v>12,161 (17.30)</v>
      </c>
    </row>
    <row r="44" spans="1:10" ht="17.25" hidden="1" thickBot="1" x14ac:dyDescent="0.35"/>
    <row r="45" spans="1:10" x14ac:dyDescent="0.3">
      <c r="A45" s="7" t="s">
        <v>11</v>
      </c>
      <c r="B45" s="9" t="s">
        <v>2</v>
      </c>
      <c r="C45" s="9" t="s">
        <v>3</v>
      </c>
      <c r="D45" s="5" t="s">
        <v>4</v>
      </c>
      <c r="E45" s="5" t="s">
        <v>4</v>
      </c>
    </row>
    <row r="46" spans="1:10" hidden="1" x14ac:dyDescent="0.3">
      <c r="A46" s="8"/>
      <c r="B46" s="10"/>
      <c r="C46" s="10"/>
      <c r="D46" s="3" t="s">
        <v>2</v>
      </c>
      <c r="E46" s="3" t="s">
        <v>3</v>
      </c>
    </row>
    <row r="47" spans="1:10" x14ac:dyDescent="0.3">
      <c r="A47" s="6">
        <v>1</v>
      </c>
      <c r="B47" s="2">
        <v>23415</v>
      </c>
      <c r="C47" s="2">
        <v>33.32</v>
      </c>
      <c r="D47" s="2">
        <v>23415</v>
      </c>
      <c r="E47" s="2">
        <v>33.32</v>
      </c>
      <c r="G47">
        <f t="shared" ref="G47:G49" si="21">B47</f>
        <v>23415</v>
      </c>
      <c r="H47">
        <f t="shared" ref="H47:H49" si="22">C47</f>
        <v>33.32</v>
      </c>
      <c r="J47" t="str">
        <f t="shared" ref="J47:J49" si="23">TEXT(G47,"#,##0")&amp;" ("&amp;TEXT(H47,"0.00")&amp;")"</f>
        <v>23,415 (33.32)</v>
      </c>
    </row>
    <row r="48" spans="1:10" x14ac:dyDescent="0.3">
      <c r="A48" s="6">
        <v>2</v>
      </c>
      <c r="B48" s="2">
        <v>33966</v>
      </c>
      <c r="C48" s="2">
        <v>48.33</v>
      </c>
      <c r="D48" s="2">
        <v>57381</v>
      </c>
      <c r="E48" s="2">
        <v>81.650000000000006</v>
      </c>
      <c r="G48">
        <f t="shared" si="21"/>
        <v>33966</v>
      </c>
      <c r="H48">
        <f t="shared" si="22"/>
        <v>48.33</v>
      </c>
      <c r="J48" t="str">
        <f t="shared" si="23"/>
        <v>33,966 (48.33)</v>
      </c>
    </row>
    <row r="49" spans="1:10" ht="17.25" thickBot="1" x14ac:dyDescent="0.35">
      <c r="A49" s="6">
        <v>3</v>
      </c>
      <c r="B49" s="2">
        <v>12894</v>
      </c>
      <c r="C49" s="2">
        <v>18.350000000000001</v>
      </c>
      <c r="D49" s="2">
        <v>70275</v>
      </c>
      <c r="E49" s="2">
        <v>100</v>
      </c>
      <c r="G49">
        <f t="shared" si="21"/>
        <v>12894</v>
      </c>
      <c r="H49">
        <f t="shared" si="22"/>
        <v>18.350000000000001</v>
      </c>
      <c r="J49" t="str">
        <f t="shared" si="23"/>
        <v>12,894 (18.35)</v>
      </c>
    </row>
    <row r="50" spans="1:10" ht="17.25" hidden="1" thickBot="1" x14ac:dyDescent="0.35"/>
    <row r="51" spans="1:10" x14ac:dyDescent="0.3">
      <c r="A51" s="7" t="s">
        <v>12</v>
      </c>
      <c r="B51" s="9" t="s">
        <v>2</v>
      </c>
      <c r="C51" s="9" t="s">
        <v>3</v>
      </c>
      <c r="D51" s="5" t="s">
        <v>4</v>
      </c>
      <c r="E51" s="5" t="s">
        <v>4</v>
      </c>
    </row>
    <row r="52" spans="1:10" hidden="1" x14ac:dyDescent="0.3">
      <c r="A52" s="8"/>
      <c r="B52" s="10"/>
      <c r="C52" s="10"/>
      <c r="D52" s="3" t="s">
        <v>2</v>
      </c>
      <c r="E52" s="3" t="s">
        <v>3</v>
      </c>
    </row>
    <row r="53" spans="1:10" x14ac:dyDescent="0.3">
      <c r="A53" s="6">
        <v>1</v>
      </c>
      <c r="B53" s="2">
        <v>18741</v>
      </c>
      <c r="C53" s="2">
        <v>26.67</v>
      </c>
      <c r="D53" s="2">
        <v>18741</v>
      </c>
      <c r="E53" s="2">
        <v>26.67</v>
      </c>
      <c r="G53">
        <f t="shared" ref="G53:G55" si="24">B53</f>
        <v>18741</v>
      </c>
      <c r="H53">
        <f t="shared" ref="H53:H55" si="25">C53</f>
        <v>26.67</v>
      </c>
      <c r="J53" t="str">
        <f t="shared" ref="J53:J55" si="26">TEXT(G53,"#,##0")&amp;" ("&amp;TEXT(H53,"0.00")&amp;")"</f>
        <v>18,741 (26.67)</v>
      </c>
    </row>
    <row r="54" spans="1:10" x14ac:dyDescent="0.3">
      <c r="A54" s="6">
        <v>2</v>
      </c>
      <c r="B54" s="2">
        <v>40433</v>
      </c>
      <c r="C54" s="2">
        <v>57.54</v>
      </c>
      <c r="D54" s="2">
        <v>59174</v>
      </c>
      <c r="E54" s="2">
        <v>84.2</v>
      </c>
      <c r="G54">
        <f t="shared" si="24"/>
        <v>40433</v>
      </c>
      <c r="H54">
        <f t="shared" si="25"/>
        <v>57.54</v>
      </c>
      <c r="J54" t="str">
        <f t="shared" si="26"/>
        <v>40,433 (57.54)</v>
      </c>
    </row>
    <row r="55" spans="1:10" ht="17.25" thickBot="1" x14ac:dyDescent="0.35">
      <c r="A55" s="6">
        <v>3</v>
      </c>
      <c r="B55" s="2">
        <v>11101</v>
      </c>
      <c r="C55" s="2">
        <v>15.8</v>
      </c>
      <c r="D55" s="2">
        <v>70275</v>
      </c>
      <c r="E55" s="2">
        <v>100</v>
      </c>
      <c r="G55">
        <f t="shared" si="24"/>
        <v>11101</v>
      </c>
      <c r="H55">
        <f t="shared" si="25"/>
        <v>15.8</v>
      </c>
      <c r="J55" t="str">
        <f t="shared" si="26"/>
        <v>11,101 (15.80)</v>
      </c>
    </row>
    <row r="56" spans="1:10" ht="17.25" hidden="1" thickBot="1" x14ac:dyDescent="0.35"/>
    <row r="57" spans="1:10" ht="16.5" customHeight="1" x14ac:dyDescent="0.3">
      <c r="A57" s="7" t="s">
        <v>13</v>
      </c>
      <c r="B57" s="9" t="s">
        <v>2</v>
      </c>
      <c r="C57" s="9" t="s">
        <v>3</v>
      </c>
      <c r="D57" s="5" t="s">
        <v>4</v>
      </c>
      <c r="E57" s="5" t="s">
        <v>4</v>
      </c>
    </row>
    <row r="58" spans="1:10" hidden="1" x14ac:dyDescent="0.3">
      <c r="A58" s="8"/>
      <c r="B58" s="10"/>
      <c r="C58" s="10"/>
      <c r="D58" s="3" t="s">
        <v>2</v>
      </c>
      <c r="E58" s="3" t="s">
        <v>3</v>
      </c>
    </row>
    <row r="59" spans="1:10" x14ac:dyDescent="0.3">
      <c r="A59" s="6">
        <v>1</v>
      </c>
      <c r="B59" s="2">
        <v>27483</v>
      </c>
      <c r="C59" s="2">
        <v>39.11</v>
      </c>
      <c r="D59" s="2">
        <v>27483</v>
      </c>
      <c r="E59" s="2">
        <v>39.11</v>
      </c>
      <c r="G59">
        <f t="shared" ref="G59:G61" si="27">B59</f>
        <v>27483</v>
      </c>
      <c r="H59">
        <f t="shared" ref="H59:H61" si="28">C59</f>
        <v>39.11</v>
      </c>
      <c r="J59" t="str">
        <f t="shared" ref="J59:J61" si="29">TEXT(G59,"#,##0")&amp;" ("&amp;TEXT(H59,"0.00")&amp;")"</f>
        <v>27,483 (39.11)</v>
      </c>
    </row>
    <row r="60" spans="1:10" x14ac:dyDescent="0.3">
      <c r="A60" s="6">
        <v>2</v>
      </c>
      <c r="B60" s="2">
        <v>25560</v>
      </c>
      <c r="C60" s="2">
        <v>36.369999999999997</v>
      </c>
      <c r="D60" s="2">
        <v>53043</v>
      </c>
      <c r="E60" s="2">
        <v>75.48</v>
      </c>
      <c r="G60">
        <f t="shared" si="27"/>
        <v>25560</v>
      </c>
      <c r="H60">
        <f t="shared" si="28"/>
        <v>36.369999999999997</v>
      </c>
      <c r="J60" t="str">
        <f t="shared" si="29"/>
        <v>25,560 (36.37)</v>
      </c>
    </row>
    <row r="61" spans="1:10" ht="17.25" thickBot="1" x14ac:dyDescent="0.35">
      <c r="A61" s="6">
        <v>3</v>
      </c>
      <c r="B61" s="2">
        <v>17232</v>
      </c>
      <c r="C61" s="2">
        <v>24.52</v>
      </c>
      <c r="D61" s="2">
        <v>70275</v>
      </c>
      <c r="E61" s="2">
        <v>100</v>
      </c>
      <c r="G61">
        <f t="shared" si="27"/>
        <v>17232</v>
      </c>
      <c r="H61">
        <f t="shared" si="28"/>
        <v>24.52</v>
      </c>
      <c r="J61" t="str">
        <f t="shared" si="29"/>
        <v>17,232 (24.52)</v>
      </c>
    </row>
    <row r="62" spans="1:10" ht="17.25" hidden="1" thickBot="1" x14ac:dyDescent="0.35"/>
    <row r="63" spans="1:10" ht="16.5" customHeight="1" x14ac:dyDescent="0.3">
      <c r="A63" s="7" t="s">
        <v>14</v>
      </c>
      <c r="B63" s="9" t="s">
        <v>2</v>
      </c>
      <c r="C63" s="9" t="s">
        <v>3</v>
      </c>
      <c r="D63" s="5" t="s">
        <v>4</v>
      </c>
      <c r="E63" s="5" t="s">
        <v>4</v>
      </c>
    </row>
    <row r="64" spans="1:10" hidden="1" x14ac:dyDescent="0.3">
      <c r="A64" s="8"/>
      <c r="B64" s="10"/>
      <c r="C64" s="10"/>
      <c r="D64" s="3" t="s">
        <v>2</v>
      </c>
      <c r="E64" s="3" t="s">
        <v>3</v>
      </c>
    </row>
    <row r="65" spans="1:10" x14ac:dyDescent="0.3">
      <c r="A65" s="6">
        <v>0</v>
      </c>
      <c r="B65" s="2">
        <v>53030</v>
      </c>
      <c r="C65" s="2">
        <v>75.459999999999994</v>
      </c>
      <c r="D65" s="2">
        <v>53030</v>
      </c>
      <c r="E65" s="2">
        <v>75.459999999999994</v>
      </c>
      <c r="G65">
        <f t="shared" ref="G65:G66" si="30">B65</f>
        <v>53030</v>
      </c>
      <c r="H65">
        <f t="shared" ref="H65:H66" si="31">C65</f>
        <v>75.459999999999994</v>
      </c>
      <c r="J65" t="str">
        <f t="shared" ref="J65:J66" si="32">TEXT(G65,"#,##0")&amp;" ("&amp;TEXT(H65,"0.00")&amp;")"</f>
        <v>53,030 (75.46)</v>
      </c>
    </row>
    <row r="66" spans="1:10" ht="17.25" thickBot="1" x14ac:dyDescent="0.35">
      <c r="A66" s="6">
        <v>1</v>
      </c>
      <c r="B66" s="2">
        <v>17245</v>
      </c>
      <c r="C66" s="2">
        <v>24.54</v>
      </c>
      <c r="D66" s="2">
        <v>70275</v>
      </c>
      <c r="E66" s="2">
        <v>100</v>
      </c>
      <c r="G66">
        <f t="shared" si="30"/>
        <v>17245</v>
      </c>
      <c r="H66">
        <f t="shared" si="31"/>
        <v>24.54</v>
      </c>
      <c r="J66" t="str">
        <f t="shared" si="32"/>
        <v>17,245 (24.54)</v>
      </c>
    </row>
    <row r="67" spans="1:10" ht="17.25" hidden="1" thickBot="1" x14ac:dyDescent="0.35"/>
    <row r="68" spans="1:10" ht="16.5" customHeight="1" x14ac:dyDescent="0.3">
      <c r="A68" s="7" t="s">
        <v>15</v>
      </c>
      <c r="B68" s="9" t="s">
        <v>2</v>
      </c>
      <c r="C68" s="9" t="s">
        <v>3</v>
      </c>
      <c r="D68" s="5" t="s">
        <v>4</v>
      </c>
      <c r="E68" s="5" t="s">
        <v>4</v>
      </c>
    </row>
    <row r="69" spans="1:10" hidden="1" x14ac:dyDescent="0.3">
      <c r="A69" s="8"/>
      <c r="B69" s="10"/>
      <c r="C69" s="10"/>
      <c r="D69" s="3" t="s">
        <v>2</v>
      </c>
      <c r="E69" s="3" t="s">
        <v>3</v>
      </c>
    </row>
    <row r="70" spans="1:10" x14ac:dyDescent="0.3">
      <c r="A70" s="6">
        <v>0</v>
      </c>
      <c r="B70" s="2">
        <v>55181</v>
      </c>
      <c r="C70" s="2">
        <v>78.52</v>
      </c>
      <c r="D70" s="2">
        <v>55181</v>
      </c>
      <c r="E70" s="2">
        <v>78.52</v>
      </c>
      <c r="G70">
        <f t="shared" ref="G70:G71" si="33">B70</f>
        <v>55181</v>
      </c>
      <c r="H70">
        <f t="shared" ref="H70:H71" si="34">C70</f>
        <v>78.52</v>
      </c>
      <c r="J70" t="str">
        <f t="shared" ref="J70:J71" si="35">TEXT(G70,"#,##0")&amp;" ("&amp;TEXT(H70,"0.00")&amp;")"</f>
        <v>55,181 (78.52)</v>
      </c>
    </row>
    <row r="71" spans="1:10" ht="17.25" thickBot="1" x14ac:dyDescent="0.35">
      <c r="A71" s="6">
        <v>1</v>
      </c>
      <c r="B71" s="2">
        <v>15094</v>
      </c>
      <c r="C71" s="2">
        <v>21.48</v>
      </c>
      <c r="D71" s="2">
        <v>70275</v>
      </c>
      <c r="E71" s="2">
        <v>100</v>
      </c>
      <c r="G71">
        <f t="shared" si="33"/>
        <v>15094</v>
      </c>
      <c r="H71">
        <f t="shared" si="34"/>
        <v>21.48</v>
      </c>
      <c r="J71" t="str">
        <f t="shared" si="35"/>
        <v>15,094 (21.48)</v>
      </c>
    </row>
    <row r="72" spans="1:10" ht="17.25" hidden="1" thickBot="1" x14ac:dyDescent="0.35"/>
    <row r="73" spans="1:10" ht="16.5" customHeight="1" x14ac:dyDescent="0.3">
      <c r="A73" s="7" t="s">
        <v>16</v>
      </c>
      <c r="B73" s="9" t="s">
        <v>2</v>
      </c>
      <c r="C73" s="9" t="s">
        <v>3</v>
      </c>
      <c r="D73" s="5" t="s">
        <v>4</v>
      </c>
      <c r="E73" s="5" t="s">
        <v>4</v>
      </c>
    </row>
    <row r="74" spans="1:10" hidden="1" x14ac:dyDescent="0.3">
      <c r="A74" s="8"/>
      <c r="B74" s="10"/>
      <c r="C74" s="10"/>
      <c r="D74" s="3" t="s">
        <v>2</v>
      </c>
      <c r="E74" s="3" t="s">
        <v>3</v>
      </c>
    </row>
    <row r="75" spans="1:10" x14ac:dyDescent="0.3">
      <c r="A75" s="6">
        <v>0</v>
      </c>
      <c r="B75" s="2">
        <v>59893</v>
      </c>
      <c r="C75" s="2">
        <v>85.23</v>
      </c>
      <c r="D75" s="2">
        <v>59893</v>
      </c>
      <c r="E75" s="2">
        <v>85.23</v>
      </c>
      <c r="G75">
        <f t="shared" ref="G75:G76" si="36">B75</f>
        <v>59893</v>
      </c>
      <c r="H75">
        <f t="shared" ref="H75:H76" si="37">C75</f>
        <v>85.23</v>
      </c>
      <c r="J75" t="str">
        <f t="shared" ref="J75:J76" si="38">TEXT(G75,"#,##0")&amp;" ("&amp;TEXT(H75,"0.00")&amp;")"</f>
        <v>59,893 (85.23)</v>
      </c>
    </row>
    <row r="76" spans="1:10" ht="17.25" thickBot="1" x14ac:dyDescent="0.35">
      <c r="A76" s="6">
        <v>1</v>
      </c>
      <c r="B76" s="2">
        <v>10382</v>
      </c>
      <c r="C76" s="2">
        <v>14.77</v>
      </c>
      <c r="D76" s="2">
        <v>70275</v>
      </c>
      <c r="E76" s="2">
        <v>100</v>
      </c>
      <c r="G76">
        <f t="shared" si="36"/>
        <v>10382</v>
      </c>
      <c r="H76">
        <f t="shared" si="37"/>
        <v>14.77</v>
      </c>
      <c r="J76" t="str">
        <f t="shared" si="38"/>
        <v>10,382 (14.77)</v>
      </c>
    </row>
    <row r="77" spans="1:10" ht="17.25" hidden="1" thickBot="1" x14ac:dyDescent="0.35"/>
    <row r="78" spans="1:10" x14ac:dyDescent="0.3">
      <c r="A78" s="7" t="s">
        <v>17</v>
      </c>
      <c r="B78" s="9" t="s">
        <v>2</v>
      </c>
      <c r="C78" s="9" t="s">
        <v>3</v>
      </c>
      <c r="D78" s="5" t="s">
        <v>4</v>
      </c>
      <c r="E78" s="5" t="s">
        <v>4</v>
      </c>
    </row>
    <row r="79" spans="1:10" hidden="1" x14ac:dyDescent="0.3">
      <c r="A79" s="8"/>
      <c r="B79" s="10"/>
      <c r="C79" s="10"/>
      <c r="D79" s="3" t="s">
        <v>2</v>
      </c>
      <c r="E79" s="3" t="s">
        <v>3</v>
      </c>
    </row>
    <row r="80" spans="1:10" x14ac:dyDescent="0.3">
      <c r="A80" s="6">
        <v>0</v>
      </c>
      <c r="B80" s="2">
        <v>68930</v>
      </c>
      <c r="C80" s="2">
        <v>98.09</v>
      </c>
      <c r="D80" s="2">
        <v>68930</v>
      </c>
      <c r="E80" s="2">
        <v>98.09</v>
      </c>
      <c r="G80">
        <f t="shared" ref="G80:G81" si="39">B80</f>
        <v>68930</v>
      </c>
      <c r="H80">
        <f t="shared" ref="H80:H81" si="40">C80</f>
        <v>98.09</v>
      </c>
      <c r="J80" t="str">
        <f t="shared" ref="J80:J81" si="41">TEXT(G80,"#,##0")&amp;" ("&amp;TEXT(H80,"0.00")&amp;")"</f>
        <v>68,930 (98.09)</v>
      </c>
    </row>
    <row r="81" spans="1:10" ht="17.25" thickBot="1" x14ac:dyDescent="0.35">
      <c r="A81" s="6">
        <v>1</v>
      </c>
      <c r="B81" s="2">
        <v>1345</v>
      </c>
      <c r="C81" s="2">
        <v>1.91</v>
      </c>
      <c r="D81" s="2">
        <v>70275</v>
      </c>
      <c r="E81" s="2">
        <v>100</v>
      </c>
      <c r="G81">
        <f t="shared" si="39"/>
        <v>1345</v>
      </c>
      <c r="H81">
        <f t="shared" si="40"/>
        <v>1.91</v>
      </c>
      <c r="J81" t="str">
        <f t="shared" si="41"/>
        <v>1,345 (1.91)</v>
      </c>
    </row>
    <row r="82" spans="1:10" ht="17.25" hidden="1" thickBot="1" x14ac:dyDescent="0.35"/>
    <row r="83" spans="1:10" x14ac:dyDescent="0.3">
      <c r="A83" s="7" t="s">
        <v>18</v>
      </c>
      <c r="B83" s="9" t="s">
        <v>2</v>
      </c>
      <c r="C83" s="9" t="s">
        <v>3</v>
      </c>
      <c r="D83" s="5" t="s">
        <v>4</v>
      </c>
      <c r="E83" s="5" t="s">
        <v>4</v>
      </c>
    </row>
    <row r="84" spans="1:10" hidden="1" x14ac:dyDescent="0.3">
      <c r="A84" s="8"/>
      <c r="B84" s="10"/>
      <c r="C84" s="10"/>
      <c r="D84" s="3" t="s">
        <v>2</v>
      </c>
      <c r="E84" s="3" t="s">
        <v>3</v>
      </c>
    </row>
    <row r="85" spans="1:10" x14ac:dyDescent="0.3">
      <c r="A85" s="6">
        <v>0</v>
      </c>
      <c r="B85" s="2">
        <v>69614</v>
      </c>
      <c r="C85" s="2">
        <v>99.06</v>
      </c>
      <c r="D85" s="2">
        <v>69614</v>
      </c>
      <c r="E85" s="2">
        <v>99.06</v>
      </c>
      <c r="G85">
        <f t="shared" ref="G85:G86" si="42">B85</f>
        <v>69614</v>
      </c>
      <c r="H85">
        <f t="shared" ref="H85:H86" si="43">C85</f>
        <v>99.06</v>
      </c>
      <c r="J85" t="str">
        <f t="shared" ref="J85:J86" si="44">TEXT(G85,"#,##0")&amp;" ("&amp;TEXT(H85,"0.00")&amp;")"</f>
        <v>69,614 (99.06)</v>
      </c>
    </row>
    <row r="86" spans="1:10" ht="17.25" thickBot="1" x14ac:dyDescent="0.35">
      <c r="A86" s="6">
        <v>1</v>
      </c>
      <c r="B86" s="2">
        <v>661</v>
      </c>
      <c r="C86" s="2">
        <v>0.94</v>
      </c>
      <c r="D86" s="2">
        <v>70275</v>
      </c>
      <c r="E86" s="2">
        <v>100</v>
      </c>
      <c r="G86">
        <f t="shared" si="42"/>
        <v>661</v>
      </c>
      <c r="H86">
        <f t="shared" si="43"/>
        <v>0.94</v>
      </c>
      <c r="J86" t="str">
        <f t="shared" si="44"/>
        <v>661 (0.94)</v>
      </c>
    </row>
    <row r="87" spans="1:10" hidden="1" x14ac:dyDescent="0.3"/>
    <row r="88" spans="1:10" x14ac:dyDescent="0.3">
      <c r="A88" s="7" t="s">
        <v>19</v>
      </c>
      <c r="B88" s="9" t="s">
        <v>2</v>
      </c>
      <c r="C88" s="9" t="s">
        <v>3</v>
      </c>
      <c r="D88" s="5" t="s">
        <v>4</v>
      </c>
      <c r="E88" s="5" t="s">
        <v>4</v>
      </c>
    </row>
    <row r="89" spans="1:10" hidden="1" x14ac:dyDescent="0.3">
      <c r="A89" s="8"/>
      <c r="B89" s="10"/>
      <c r="C89" s="10"/>
      <c r="D89" s="3" t="s">
        <v>2</v>
      </c>
      <c r="E89" s="3" t="s">
        <v>3</v>
      </c>
    </row>
    <row r="90" spans="1:10" x14ac:dyDescent="0.3">
      <c r="A90" s="6">
        <v>0</v>
      </c>
      <c r="B90" s="2">
        <v>69049</v>
      </c>
      <c r="C90" s="2">
        <v>98.26</v>
      </c>
      <c r="D90" s="2">
        <v>69049</v>
      </c>
      <c r="E90" s="2">
        <v>98.26</v>
      </c>
      <c r="G90">
        <f t="shared" ref="G90:G91" si="45">B90</f>
        <v>69049</v>
      </c>
      <c r="H90">
        <f t="shared" ref="H90:H91" si="46">C90</f>
        <v>98.26</v>
      </c>
      <c r="J90" t="str">
        <f t="shared" ref="J90:J91" si="47">TEXT(G90,"#,##0")&amp;" ("&amp;TEXT(H90,"0.00")&amp;")"</f>
        <v>69,049 (98.26)</v>
      </c>
    </row>
    <row r="91" spans="1:10" x14ac:dyDescent="0.3">
      <c r="A91" s="6">
        <v>1</v>
      </c>
      <c r="B91" s="2">
        <v>1226</v>
      </c>
      <c r="C91" s="2">
        <v>1.74</v>
      </c>
      <c r="D91" s="2">
        <v>70275</v>
      </c>
      <c r="E91" s="2">
        <v>100</v>
      </c>
      <c r="G91">
        <f t="shared" si="45"/>
        <v>1226</v>
      </c>
      <c r="H91">
        <f t="shared" si="46"/>
        <v>1.74</v>
      </c>
      <c r="J91" t="str">
        <f t="shared" si="47"/>
        <v>1,226 (1.74)</v>
      </c>
    </row>
  </sheetData>
  <autoFilter ref="A1:A91" xr:uid="{00000000-0001-0000-0000-000000000000}">
    <filterColumn colId="0">
      <customFilters>
        <customFilter operator="notEqual" val=" "/>
      </customFilters>
    </filterColumn>
  </autoFilter>
  <mergeCells count="48">
    <mergeCell ref="A83:A84"/>
    <mergeCell ref="B83:B84"/>
    <mergeCell ref="C83:C84"/>
    <mergeCell ref="A88:A89"/>
    <mergeCell ref="B88:B89"/>
    <mergeCell ref="C88:C89"/>
    <mergeCell ref="A73:A74"/>
    <mergeCell ref="B73:B74"/>
    <mergeCell ref="C73:C74"/>
    <mergeCell ref="A78:A79"/>
    <mergeCell ref="B78:B79"/>
    <mergeCell ref="C78:C79"/>
    <mergeCell ref="A63:A64"/>
    <mergeCell ref="B63:B64"/>
    <mergeCell ref="C63:C64"/>
    <mergeCell ref="A68:A69"/>
    <mergeCell ref="B68:B69"/>
    <mergeCell ref="C68:C69"/>
    <mergeCell ref="A51:A52"/>
    <mergeCell ref="B51:B52"/>
    <mergeCell ref="C51:C52"/>
    <mergeCell ref="A57:A58"/>
    <mergeCell ref="B57:B58"/>
    <mergeCell ref="C57:C58"/>
    <mergeCell ref="A40:A41"/>
    <mergeCell ref="B40:B41"/>
    <mergeCell ref="C40:C41"/>
    <mergeCell ref="A45:A46"/>
    <mergeCell ref="B45:B46"/>
    <mergeCell ref="C45:C46"/>
    <mergeCell ref="A26:A27"/>
    <mergeCell ref="B26:B27"/>
    <mergeCell ref="C26:C27"/>
    <mergeCell ref="A33:A34"/>
    <mergeCell ref="B33:B34"/>
    <mergeCell ref="C33:C34"/>
    <mergeCell ref="A14:A15"/>
    <mergeCell ref="B14:B15"/>
    <mergeCell ref="C14:C15"/>
    <mergeCell ref="A19:A20"/>
    <mergeCell ref="B19:B20"/>
    <mergeCell ref="C19:C20"/>
    <mergeCell ref="A3:A4"/>
    <mergeCell ref="B3:B4"/>
    <mergeCell ref="C3:C4"/>
    <mergeCell ref="A9:A10"/>
    <mergeCell ref="B9:B10"/>
    <mergeCell ref="C9:C10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5EFCB-A9DE-45FE-85FD-2C3EC16A5463}">
  <dimension ref="A1:Q281"/>
  <sheetViews>
    <sheetView topLeftCell="A258" workbookViewId="0">
      <selection activeCell="F279" sqref="F279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22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23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8541</v>
      </c>
      <c r="D6" s="11">
        <v>5592</v>
      </c>
      <c r="E6" s="11">
        <v>4153</v>
      </c>
      <c r="F6" s="11">
        <v>3345</v>
      </c>
      <c r="G6" s="11">
        <v>21631</v>
      </c>
      <c r="I6">
        <f>C6</f>
        <v>8541</v>
      </c>
      <c r="J6">
        <f t="shared" ref="J6" si="0">D6</f>
        <v>5592</v>
      </c>
      <c r="K6">
        <f t="shared" ref="K6" si="1">E6</f>
        <v>4153</v>
      </c>
      <c r="L6">
        <f t="shared" ref="L6" si="2">F6</f>
        <v>3345</v>
      </c>
      <c r="N6" t="str">
        <f>TEXT(I6,"#,##0")&amp;" ("&amp;TEXT(I7,"0.00")&amp;")"</f>
        <v>8,541 (48.61)</v>
      </c>
      <c r="O6" t="str">
        <f t="shared" ref="O6" si="3">TEXT(J6,"#,##0")&amp;" ("&amp;TEXT(J7,"0.00")&amp;")"</f>
        <v>5,592 (31.83)</v>
      </c>
      <c r="P6" t="str">
        <f t="shared" ref="P6" si="4">TEXT(K6,"#,##0")&amp;" ("&amp;TEXT(K7,"0.00")&amp;")"</f>
        <v>4,153 (23.65)</v>
      </c>
      <c r="Q6" t="str">
        <f t="shared" ref="Q6" si="5">TEXT(L6,"#,##0")&amp;" ("&amp;TEXT(L7,"0.00")&amp;")"</f>
        <v>3,345 (19.04)</v>
      </c>
    </row>
    <row r="7" spans="1:17" x14ac:dyDescent="0.3">
      <c r="A7" s="2"/>
      <c r="B7" s="8"/>
      <c r="C7" s="11">
        <v>12.15</v>
      </c>
      <c r="D7" s="11">
        <v>7.96</v>
      </c>
      <c r="E7" s="11">
        <v>5.91</v>
      </c>
      <c r="F7" s="11">
        <v>4.76</v>
      </c>
      <c r="G7" s="11">
        <v>30.78</v>
      </c>
      <c r="I7">
        <f>C9</f>
        <v>48.61</v>
      </c>
      <c r="J7">
        <f t="shared" ref="J7:J8" si="6">D9</f>
        <v>31.83</v>
      </c>
      <c r="K7">
        <f t="shared" ref="K7:K8" si="7">E9</f>
        <v>23.65</v>
      </c>
      <c r="L7">
        <f t="shared" ref="L7:L8" si="8">F9</f>
        <v>19.04</v>
      </c>
      <c r="N7" t="str">
        <f>TEXT(I8,"#,##0")&amp;" ("&amp;TEXT(I9,"0.00")&amp;")"</f>
        <v>6,897 (39.25)</v>
      </c>
      <c r="O7" t="str">
        <f t="shared" ref="O7" si="9">TEXT(J8,"#,##0")&amp;" ("&amp;TEXT(J9,"0.00")&amp;")"</f>
        <v>8,266 (47.04)</v>
      </c>
      <c r="P7" t="str">
        <f t="shared" ref="P7" si="10">TEXT(K8,"#,##0")&amp;" ("&amp;TEXT(K9,"0.00")&amp;")"</f>
        <v>8,895 (50.65)</v>
      </c>
      <c r="Q7" t="str">
        <f t="shared" ref="Q7" si="11">TEXT(L8,"#,##0")&amp;" ("&amp;TEXT(L9,"0.00")&amp;")"</f>
        <v>10,113 (57.56)</v>
      </c>
    </row>
    <row r="8" spans="1:17" x14ac:dyDescent="0.3">
      <c r="A8" s="2"/>
      <c r="B8" s="8"/>
      <c r="C8" s="11">
        <v>39.479999999999997</v>
      </c>
      <c r="D8" s="11">
        <v>25.85</v>
      </c>
      <c r="E8" s="11">
        <v>19.2</v>
      </c>
      <c r="F8" s="11">
        <v>15.46</v>
      </c>
      <c r="G8" s="11"/>
      <c r="I8">
        <f>C10</f>
        <v>6897</v>
      </c>
      <c r="J8">
        <f t="shared" si="6"/>
        <v>8266</v>
      </c>
      <c r="K8">
        <f t="shared" si="7"/>
        <v>8895</v>
      </c>
      <c r="L8">
        <f t="shared" si="8"/>
        <v>10113</v>
      </c>
      <c r="N8" t="str">
        <f>TEXT(I10,"#,##0")&amp;" ("&amp;TEXT(I11,"0.00")&amp;")"</f>
        <v>2,133 (12.14)</v>
      </c>
      <c r="O8" t="str">
        <f t="shared" ref="O8" si="12">TEXT(J10,"#,##0")&amp;" ("&amp;TEXT(J11,"0.00")&amp;")"</f>
        <v>3,713 (21.13)</v>
      </c>
      <c r="P8" t="str">
        <f t="shared" ref="P8" si="13">TEXT(K10,"#,##0")&amp;" ("&amp;TEXT(K11,"0.00")&amp;")"</f>
        <v>4,514 (25.70)</v>
      </c>
      <c r="Q8" t="str">
        <f t="shared" ref="Q8" si="14">TEXT(L10,"#,##0")&amp;" ("&amp;TEXT(L11,"0.00")&amp;")"</f>
        <v>4,113 (23.41)</v>
      </c>
    </row>
    <row r="9" spans="1:17" x14ac:dyDescent="0.3">
      <c r="A9" s="2"/>
      <c r="B9" s="8"/>
      <c r="C9" s="11">
        <v>48.61</v>
      </c>
      <c r="D9" s="11">
        <v>31.83</v>
      </c>
      <c r="E9" s="11">
        <v>23.65</v>
      </c>
      <c r="F9" s="11">
        <v>19.04</v>
      </c>
      <c r="G9" s="11"/>
      <c r="I9">
        <f>C13</f>
        <v>39.25</v>
      </c>
      <c r="J9">
        <f t="shared" ref="J9:J10" si="15">D13</f>
        <v>47.04</v>
      </c>
      <c r="K9">
        <f t="shared" ref="K9:K10" si="16">E13</f>
        <v>50.65</v>
      </c>
      <c r="L9">
        <f t="shared" ref="L9:L10" si="17">F13</f>
        <v>57.56</v>
      </c>
      <c r="N9" t="str">
        <f>TEXT(I12,"#,##0")&amp;" ("&amp;TEXT(I13,"0.00")&amp;")"</f>
        <v>17,571 (0.00)</v>
      </c>
      <c r="O9" t="str">
        <f t="shared" ref="O9" si="18">TEXT(J12,"#,##0")&amp;" ("&amp;TEXT(J13,"0.00")&amp;")"</f>
        <v>17,571 (0.00)</v>
      </c>
      <c r="P9" t="str">
        <f t="shared" ref="P9" si="19">TEXT(K12,"#,##0")&amp;" ("&amp;TEXT(K13,"0.00")&amp;")"</f>
        <v>17,562 (0.00)</v>
      </c>
      <c r="Q9" t="str">
        <f t="shared" ref="Q9" si="20">TEXT(L12,"#,##0")&amp;" ("&amp;TEXT(L13,"0.00")&amp;")"</f>
        <v>17,571 (0.00)</v>
      </c>
    </row>
    <row r="10" spans="1:17" x14ac:dyDescent="0.3">
      <c r="A10" s="2"/>
      <c r="B10" s="8">
        <v>2</v>
      </c>
      <c r="C10" s="11">
        <v>6897</v>
      </c>
      <c r="D10" s="11">
        <v>8266</v>
      </c>
      <c r="E10" s="11">
        <v>8895</v>
      </c>
      <c r="F10" s="11">
        <v>10113</v>
      </c>
      <c r="G10" s="11">
        <v>34171</v>
      </c>
      <c r="I10">
        <f>C14</f>
        <v>2133</v>
      </c>
      <c r="J10">
        <f t="shared" si="15"/>
        <v>3713</v>
      </c>
      <c r="K10">
        <f t="shared" si="16"/>
        <v>4514</v>
      </c>
      <c r="L10">
        <f t="shared" si="17"/>
        <v>4113</v>
      </c>
    </row>
    <row r="11" spans="1:17" x14ac:dyDescent="0.3">
      <c r="A11" s="2"/>
      <c r="B11" s="8"/>
      <c r="C11" s="11">
        <v>9.81</v>
      </c>
      <c r="D11" s="11">
        <v>11.76</v>
      </c>
      <c r="E11" s="11">
        <v>12.66</v>
      </c>
      <c r="F11" s="11">
        <v>14.39</v>
      </c>
      <c r="G11" s="11">
        <v>48.62</v>
      </c>
      <c r="I11">
        <f>C17</f>
        <v>12.14</v>
      </c>
      <c r="J11">
        <f t="shared" ref="J11:J12" si="21">D17</f>
        <v>21.13</v>
      </c>
      <c r="K11">
        <f t="shared" ref="K11:K12" si="22">E17</f>
        <v>25.7</v>
      </c>
      <c r="L11">
        <f t="shared" ref="L11:L12" si="23">F17</f>
        <v>23.41</v>
      </c>
    </row>
    <row r="12" spans="1:17" x14ac:dyDescent="0.3">
      <c r="A12" s="2"/>
      <c r="B12" s="8"/>
      <c r="C12" s="11">
        <v>20.18</v>
      </c>
      <c r="D12" s="11">
        <v>24.19</v>
      </c>
      <c r="E12" s="11">
        <v>26.03</v>
      </c>
      <c r="F12" s="11">
        <v>29.6</v>
      </c>
      <c r="G12" s="11"/>
      <c r="I12">
        <f>C18</f>
        <v>17571</v>
      </c>
      <c r="J12">
        <f t="shared" si="21"/>
        <v>17571</v>
      </c>
      <c r="K12">
        <f t="shared" si="22"/>
        <v>17562</v>
      </c>
      <c r="L12">
        <f t="shared" si="23"/>
        <v>17571</v>
      </c>
    </row>
    <row r="13" spans="1:17" x14ac:dyDescent="0.3">
      <c r="A13" s="2"/>
      <c r="B13" s="8"/>
      <c r="C13" s="11">
        <v>39.25</v>
      </c>
      <c r="D13" s="11">
        <v>47.04</v>
      </c>
      <c r="E13" s="11">
        <v>50.65</v>
      </c>
      <c r="F13" s="11">
        <v>57.56</v>
      </c>
      <c r="G13" s="11"/>
      <c r="I13">
        <f>C21</f>
        <v>0</v>
      </c>
      <c r="J13">
        <f t="shared" ref="J13" si="24">D21</f>
        <v>0</v>
      </c>
      <c r="K13">
        <f t="shared" ref="K13" si="25">E21</f>
        <v>0</v>
      </c>
      <c r="L13">
        <f t="shared" ref="L13" si="26">F21</f>
        <v>0</v>
      </c>
    </row>
    <row r="14" spans="1:17" x14ac:dyDescent="0.3">
      <c r="A14" s="2"/>
      <c r="B14" s="8">
        <v>3</v>
      </c>
      <c r="C14" s="11">
        <v>2133</v>
      </c>
      <c r="D14" s="11">
        <v>3713</v>
      </c>
      <c r="E14" s="11">
        <v>4514</v>
      </c>
      <c r="F14" s="11">
        <v>4113</v>
      </c>
      <c r="G14" s="11">
        <v>14473</v>
      </c>
    </row>
    <row r="15" spans="1:17" x14ac:dyDescent="0.3">
      <c r="A15" s="2"/>
      <c r="B15" s="8"/>
      <c r="C15" s="11">
        <v>3.04</v>
      </c>
      <c r="D15" s="11">
        <v>5.28</v>
      </c>
      <c r="E15" s="11">
        <v>6.42</v>
      </c>
      <c r="F15" s="11">
        <v>5.85</v>
      </c>
      <c r="G15" s="11">
        <v>20.59</v>
      </c>
    </row>
    <row r="16" spans="1:17" x14ac:dyDescent="0.3">
      <c r="A16" s="2"/>
      <c r="B16" s="8"/>
      <c r="C16" s="11">
        <v>14.74</v>
      </c>
      <c r="D16" s="11">
        <v>25.65</v>
      </c>
      <c r="E16" s="11">
        <v>31.19</v>
      </c>
      <c r="F16" s="11">
        <v>28.42</v>
      </c>
      <c r="G16" s="11"/>
    </row>
    <row r="17" spans="1:17" x14ac:dyDescent="0.3">
      <c r="A17" s="2"/>
      <c r="B17" s="8"/>
      <c r="C17" s="11">
        <v>12.14</v>
      </c>
      <c r="D17" s="11">
        <v>21.13</v>
      </c>
      <c r="E17" s="11">
        <v>25.7</v>
      </c>
      <c r="F17" s="11">
        <v>23.41</v>
      </c>
      <c r="G17" s="11"/>
    </row>
    <row r="18" spans="1:17" x14ac:dyDescent="0.3">
      <c r="A18" s="2"/>
      <c r="B18" s="8" t="s">
        <v>24</v>
      </c>
      <c r="C18" s="11">
        <v>17571</v>
      </c>
      <c r="D18" s="11">
        <v>17571</v>
      </c>
      <c r="E18" s="11">
        <v>17562</v>
      </c>
      <c r="F18" s="11">
        <v>17571</v>
      </c>
      <c r="G18" s="11">
        <v>70275</v>
      </c>
    </row>
    <row r="19" spans="1:17" x14ac:dyDescent="0.3">
      <c r="A19" s="2"/>
      <c r="B19" s="8"/>
      <c r="C19" s="11">
        <v>25</v>
      </c>
      <c r="D19" s="11">
        <v>25</v>
      </c>
      <c r="E19" s="11">
        <v>24.99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25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23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5494</v>
      </c>
      <c r="D25" s="11">
        <v>7831</v>
      </c>
      <c r="E25" s="11">
        <v>9349</v>
      </c>
      <c r="F25" s="11">
        <v>11472</v>
      </c>
      <c r="G25" s="11">
        <v>34146</v>
      </c>
      <c r="I25">
        <f>C25</f>
        <v>5494</v>
      </c>
      <c r="J25">
        <f t="shared" ref="J25" si="27">D25</f>
        <v>7831</v>
      </c>
      <c r="K25">
        <f t="shared" ref="K25" si="28">E25</f>
        <v>9349</v>
      </c>
      <c r="L25">
        <f t="shared" ref="L25" si="29">F25</f>
        <v>11472</v>
      </c>
      <c r="N25" t="str">
        <f>TEXT(I25,"#,##0")&amp;" ("&amp;TEXT(I26,"0.00")&amp;")"</f>
        <v>5,494 (31.27)</v>
      </c>
      <c r="O25" t="str">
        <f t="shared" ref="O25" si="30">TEXT(J25,"#,##0")&amp;" ("&amp;TEXT(J26,"0.00")&amp;")"</f>
        <v>7,831 (44.57)</v>
      </c>
      <c r="P25" t="str">
        <f t="shared" ref="P25" si="31">TEXT(K25,"#,##0")&amp;" ("&amp;TEXT(K26,"0.00")&amp;")"</f>
        <v>9,349 (53.23)</v>
      </c>
      <c r="Q25" t="str">
        <f t="shared" ref="Q25" si="32">TEXT(L25,"#,##0")&amp;" ("&amp;TEXT(L26,"0.00")&amp;")"</f>
        <v>11,472 (65.29)</v>
      </c>
    </row>
    <row r="26" spans="1:17" x14ac:dyDescent="0.3">
      <c r="A26" s="2"/>
      <c r="B26" s="8"/>
      <c r="C26" s="11">
        <v>7.82</v>
      </c>
      <c r="D26" s="11">
        <v>11.14</v>
      </c>
      <c r="E26" s="11">
        <v>13.3</v>
      </c>
      <c r="F26" s="11">
        <v>16.32</v>
      </c>
      <c r="G26" s="11">
        <v>48.59</v>
      </c>
      <c r="I26">
        <f>C28</f>
        <v>31.27</v>
      </c>
      <c r="J26">
        <f t="shared" ref="J26:J27" si="33">D28</f>
        <v>44.57</v>
      </c>
      <c r="K26">
        <f t="shared" ref="K26:K27" si="34">E28</f>
        <v>53.23</v>
      </c>
      <c r="L26">
        <f t="shared" ref="L26:L27" si="35">F28</f>
        <v>65.290000000000006</v>
      </c>
      <c r="N26" t="str">
        <f>TEXT(I27,"#,##0")&amp;" ("&amp;TEXT(I28,"0.00")&amp;")"</f>
        <v>12,077 (68.73)</v>
      </c>
      <c r="O26" t="str">
        <f t="shared" ref="O26" si="36">TEXT(J27,"#,##0")&amp;" ("&amp;TEXT(J28,"0.00")&amp;")"</f>
        <v>9,740 (55.43)</v>
      </c>
      <c r="P26" t="str">
        <f t="shared" ref="P26" si="37">TEXT(K27,"#,##0")&amp;" ("&amp;TEXT(K28,"0.00")&amp;")"</f>
        <v>8,213 (46.77)</v>
      </c>
      <c r="Q26" t="str">
        <f t="shared" ref="Q26" si="38">TEXT(L27,"#,##0")&amp;" ("&amp;TEXT(L28,"0.00")&amp;")"</f>
        <v>6,099 (34.71)</v>
      </c>
    </row>
    <row r="27" spans="1:17" x14ac:dyDescent="0.3">
      <c r="A27" s="2"/>
      <c r="B27" s="8"/>
      <c r="C27" s="11">
        <v>16.09</v>
      </c>
      <c r="D27" s="11">
        <v>22.93</v>
      </c>
      <c r="E27" s="11">
        <v>27.38</v>
      </c>
      <c r="F27" s="11">
        <v>33.6</v>
      </c>
      <c r="G27" s="11"/>
      <c r="I27">
        <f>C29</f>
        <v>12077</v>
      </c>
      <c r="J27">
        <f t="shared" si="33"/>
        <v>9740</v>
      </c>
      <c r="K27">
        <f t="shared" si="34"/>
        <v>8213</v>
      </c>
      <c r="L27">
        <f t="shared" si="35"/>
        <v>6099</v>
      </c>
      <c r="N27" t="str">
        <f>TEXT(I29,"#,##0")&amp;" ("&amp;TEXT(I30,"0.00")&amp;")"</f>
        <v>17,571 (0.00)</v>
      </c>
      <c r="O27" t="str">
        <f t="shared" ref="O27" si="39">TEXT(J29,"#,##0")&amp;" ("&amp;TEXT(J30,"0.00")&amp;")"</f>
        <v>17,571 (0.00)</v>
      </c>
      <c r="P27" t="str">
        <f t="shared" ref="P27" si="40">TEXT(K29,"#,##0")&amp;" ("&amp;TEXT(K30,"0.00")&amp;")"</f>
        <v>17,562 (0.00)</v>
      </c>
      <c r="Q27" t="str">
        <f t="shared" ref="Q27" si="41">TEXT(L29,"#,##0")&amp;" ("&amp;TEXT(L30,"0.00")&amp;")"</f>
        <v>17,571 (0.00)</v>
      </c>
    </row>
    <row r="28" spans="1:17" x14ac:dyDescent="0.3">
      <c r="A28" s="2"/>
      <c r="B28" s="8"/>
      <c r="C28" s="11">
        <v>31.27</v>
      </c>
      <c r="D28" s="11">
        <v>44.57</v>
      </c>
      <c r="E28" s="11">
        <v>53.23</v>
      </c>
      <c r="F28" s="11">
        <v>65.290000000000006</v>
      </c>
      <c r="G28" s="11"/>
      <c r="I28">
        <f>C32</f>
        <v>68.73</v>
      </c>
      <c r="J28">
        <f t="shared" ref="J28:J29" si="42">D32</f>
        <v>55.43</v>
      </c>
      <c r="K28">
        <f t="shared" ref="K28:K29" si="43">E32</f>
        <v>46.77</v>
      </c>
      <c r="L28">
        <f t="shared" ref="L28:L29" si="44">F32</f>
        <v>34.71</v>
      </c>
      <c r="N28" t="str">
        <f>TEXT(I31,"#,##0")&amp;" ("&amp;TEXT(I32,"0.00")&amp;")"</f>
        <v>0 (14692.00)</v>
      </c>
      <c r="O28" t="str">
        <f t="shared" ref="O28" si="45">TEXT(J31,"#,##0")&amp;" ("&amp;TEXT(J32,"0.00")&amp;")"</f>
        <v>0 (14217.00)</v>
      </c>
      <c r="P28" t="str">
        <f t="shared" ref="P28" si="46">TEXT(K31,"#,##0")&amp;" ("&amp;TEXT(K32,"0.00")&amp;")"</f>
        <v>0 (13938.00)</v>
      </c>
      <c r="Q28" t="str">
        <f t="shared" ref="Q28" si="47">TEXT(L31,"#,##0")&amp;" ("&amp;TEXT(L32,"0.00")&amp;")"</f>
        <v>0 (13643.00)</v>
      </c>
    </row>
    <row r="29" spans="1:17" x14ac:dyDescent="0.3">
      <c r="A29" s="2"/>
      <c r="B29" s="8">
        <v>2</v>
      </c>
      <c r="C29" s="11">
        <v>12077</v>
      </c>
      <c r="D29" s="11">
        <v>9740</v>
      </c>
      <c r="E29" s="11">
        <v>8213</v>
      </c>
      <c r="F29" s="11">
        <v>6099</v>
      </c>
      <c r="G29" s="11">
        <v>36129</v>
      </c>
      <c r="I29">
        <f>C33</f>
        <v>17571</v>
      </c>
      <c r="J29">
        <f t="shared" si="42"/>
        <v>17571</v>
      </c>
      <c r="K29">
        <f t="shared" si="43"/>
        <v>17562</v>
      </c>
      <c r="L29">
        <f t="shared" si="44"/>
        <v>17571</v>
      </c>
    </row>
    <row r="30" spans="1:17" x14ac:dyDescent="0.3">
      <c r="A30" s="2"/>
      <c r="B30" s="8"/>
      <c r="C30" s="11">
        <v>17.190000000000001</v>
      </c>
      <c r="D30" s="11">
        <v>13.86</v>
      </c>
      <c r="E30" s="11">
        <v>11.69</v>
      </c>
      <c r="F30" s="11">
        <v>8.68</v>
      </c>
      <c r="G30" s="11">
        <v>51.41</v>
      </c>
      <c r="I30">
        <f>C36</f>
        <v>0</v>
      </c>
      <c r="J30">
        <f t="shared" ref="J30:J31" si="48">D36</f>
        <v>0</v>
      </c>
      <c r="K30">
        <f t="shared" ref="K30:K31" si="49">E36</f>
        <v>0</v>
      </c>
      <c r="L30">
        <f t="shared" ref="L30:L31" si="50">F36</f>
        <v>0</v>
      </c>
    </row>
    <row r="31" spans="1:17" x14ac:dyDescent="0.3">
      <c r="A31" s="2"/>
      <c r="B31" s="8"/>
      <c r="C31" s="11">
        <v>33.43</v>
      </c>
      <c r="D31" s="11">
        <v>26.96</v>
      </c>
      <c r="E31" s="11">
        <v>22.73</v>
      </c>
      <c r="F31" s="11">
        <v>16.88</v>
      </c>
      <c r="G31" s="11"/>
      <c r="I31">
        <f>C37</f>
        <v>0</v>
      </c>
      <c r="J31">
        <f t="shared" si="48"/>
        <v>0</v>
      </c>
      <c r="K31">
        <f t="shared" si="49"/>
        <v>0</v>
      </c>
      <c r="L31">
        <f t="shared" si="50"/>
        <v>0</v>
      </c>
    </row>
    <row r="32" spans="1:17" x14ac:dyDescent="0.3">
      <c r="A32" s="2"/>
      <c r="B32" s="8"/>
      <c r="C32" s="11">
        <v>68.73</v>
      </c>
      <c r="D32" s="11">
        <v>55.43</v>
      </c>
      <c r="E32" s="11">
        <v>46.77</v>
      </c>
      <c r="F32" s="11">
        <v>34.71</v>
      </c>
      <c r="G32" s="11"/>
      <c r="I32">
        <f>C40</f>
        <v>14692</v>
      </c>
      <c r="J32">
        <f t="shared" ref="J32" si="51">D40</f>
        <v>14217</v>
      </c>
      <c r="K32">
        <f t="shared" ref="K32" si="52">E40</f>
        <v>13938</v>
      </c>
      <c r="L32">
        <f t="shared" ref="L32" si="53">F40</f>
        <v>13643</v>
      </c>
    </row>
    <row r="33" spans="1:17" x14ac:dyDescent="0.3">
      <c r="A33" s="2"/>
      <c r="B33" s="8" t="s">
        <v>24</v>
      </c>
      <c r="C33" s="11">
        <v>17571</v>
      </c>
      <c r="D33" s="11">
        <v>17571</v>
      </c>
      <c r="E33" s="11">
        <v>17562</v>
      </c>
      <c r="F33" s="11">
        <v>17571</v>
      </c>
      <c r="G33" s="11">
        <v>70275</v>
      </c>
    </row>
    <row r="34" spans="1:17" x14ac:dyDescent="0.3">
      <c r="A34" s="2"/>
      <c r="B34" s="8"/>
      <c r="C34" s="11">
        <v>25</v>
      </c>
      <c r="D34" s="11">
        <v>25</v>
      </c>
      <c r="E34" s="11">
        <v>24.99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26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23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14692</v>
      </c>
      <c r="D40" s="11">
        <v>14217</v>
      </c>
      <c r="E40" s="11">
        <v>13938</v>
      </c>
      <c r="F40" s="11">
        <v>13643</v>
      </c>
      <c r="G40" s="11">
        <v>56490</v>
      </c>
      <c r="I40">
        <f>C40</f>
        <v>14692</v>
      </c>
      <c r="J40">
        <f t="shared" ref="J40" si="54">D40</f>
        <v>14217</v>
      </c>
      <c r="K40">
        <f t="shared" ref="K40" si="55">E40</f>
        <v>13938</v>
      </c>
      <c r="L40">
        <f t="shared" ref="L40" si="56">F40</f>
        <v>13643</v>
      </c>
      <c r="N40" t="str">
        <f>TEXT(I40,"#,##0")&amp;" ("&amp;TEXT(I41,"0.00")&amp;")"</f>
        <v>14,692 (83.62)</v>
      </c>
      <c r="O40" t="str">
        <f t="shared" ref="O40" si="57">TEXT(J40,"#,##0")&amp;" ("&amp;TEXT(J41,"0.00")&amp;")"</f>
        <v>14,217 (80.91)</v>
      </c>
      <c r="P40" t="str">
        <f t="shared" ref="P40" si="58">TEXT(K40,"#,##0")&amp;" ("&amp;TEXT(K41,"0.00")&amp;")"</f>
        <v>13,938 (79.36)</v>
      </c>
      <c r="Q40" t="str">
        <f t="shared" ref="Q40" si="59">TEXT(L40,"#,##0")&amp;" ("&amp;TEXT(L41,"0.00")&amp;")"</f>
        <v>13,643 (77.64)</v>
      </c>
    </row>
    <row r="41" spans="1:17" x14ac:dyDescent="0.3">
      <c r="A41" s="2"/>
      <c r="B41" s="8"/>
      <c r="C41" s="11">
        <v>20.91</v>
      </c>
      <c r="D41" s="11">
        <v>20.23</v>
      </c>
      <c r="E41" s="11">
        <v>19.829999999999998</v>
      </c>
      <c r="F41" s="11">
        <v>19.41</v>
      </c>
      <c r="G41" s="11">
        <v>80.38</v>
      </c>
      <c r="I41">
        <f>C43</f>
        <v>83.62</v>
      </c>
      <c r="J41">
        <f t="shared" ref="J41:J42" si="60">D43</f>
        <v>80.91</v>
      </c>
      <c r="K41">
        <f t="shared" ref="K41:K42" si="61">E43</f>
        <v>79.36</v>
      </c>
      <c r="L41">
        <f t="shared" ref="L41:L42" si="62">F43</f>
        <v>77.64</v>
      </c>
      <c r="N41" t="str">
        <f>TEXT(I42,"#,##0")&amp;" ("&amp;TEXT(I43,"0.00")&amp;")"</f>
        <v>2,879 (16.38)</v>
      </c>
      <c r="O41" t="str">
        <f t="shared" ref="O41" si="63">TEXT(J42,"#,##0")&amp;" ("&amp;TEXT(J43,"0.00")&amp;")"</f>
        <v>3,354 (19.09)</v>
      </c>
      <c r="P41" t="str">
        <f t="shared" ref="P41" si="64">TEXT(K42,"#,##0")&amp;" ("&amp;TEXT(K43,"0.00")&amp;")"</f>
        <v>3,624 (20.64)</v>
      </c>
      <c r="Q41" t="str">
        <f t="shared" ref="Q41" si="65">TEXT(L42,"#,##0")&amp;" ("&amp;TEXT(L43,"0.00")&amp;")"</f>
        <v>3,928 (22.36)</v>
      </c>
    </row>
    <row r="42" spans="1:17" x14ac:dyDescent="0.3">
      <c r="A42" s="2"/>
      <c r="B42" s="8"/>
      <c r="C42" s="11">
        <v>26.01</v>
      </c>
      <c r="D42" s="11">
        <v>25.17</v>
      </c>
      <c r="E42" s="11">
        <v>24.67</v>
      </c>
      <c r="F42" s="11">
        <v>24.15</v>
      </c>
      <c r="G42" s="11"/>
      <c r="I42">
        <f>C44</f>
        <v>2879</v>
      </c>
      <c r="J42">
        <f t="shared" si="60"/>
        <v>3354</v>
      </c>
      <c r="K42">
        <f t="shared" si="61"/>
        <v>3624</v>
      </c>
      <c r="L42">
        <f t="shared" si="62"/>
        <v>3928</v>
      </c>
      <c r="N42" t="str">
        <f>TEXT(I44,"#,##0")&amp;" ("&amp;TEXT(I45,"0.00")&amp;")"</f>
        <v>17,571 (0.00)</v>
      </c>
      <c r="O42" t="str">
        <f t="shared" ref="O42" si="66">TEXT(J44,"#,##0")&amp;" ("&amp;TEXT(J45,"0.00")&amp;")"</f>
        <v>17,571 (0.00)</v>
      </c>
      <c r="P42" t="str">
        <f t="shared" ref="P42" si="67">TEXT(K44,"#,##0")&amp;" ("&amp;TEXT(K45,"0.00")&amp;")"</f>
        <v>17,562 (0.00)</v>
      </c>
      <c r="Q42" t="str">
        <f t="shared" ref="Q42" si="68">TEXT(L44,"#,##0")&amp;" ("&amp;TEXT(L45,"0.00")&amp;")"</f>
        <v>17,571 (0.00)</v>
      </c>
    </row>
    <row r="43" spans="1:17" x14ac:dyDescent="0.3">
      <c r="A43" s="2"/>
      <c r="B43" s="8"/>
      <c r="C43" s="11">
        <v>83.62</v>
      </c>
      <c r="D43" s="11">
        <v>80.91</v>
      </c>
      <c r="E43" s="11">
        <v>79.36</v>
      </c>
      <c r="F43" s="11">
        <v>77.64</v>
      </c>
      <c r="G43" s="11"/>
      <c r="I43">
        <f>C47</f>
        <v>16.38</v>
      </c>
      <c r="J43">
        <f t="shared" ref="J43:J44" si="69">D47</f>
        <v>19.09</v>
      </c>
      <c r="K43">
        <f t="shared" ref="K43:K44" si="70">E47</f>
        <v>20.64</v>
      </c>
      <c r="L43">
        <f t="shared" ref="L43:L44" si="71">F47</f>
        <v>22.36</v>
      </c>
      <c r="N43" t="str">
        <f>TEXT(I46,"#,##0")&amp;" ("&amp;TEXT(I47,"0.00")&amp;")"</f>
        <v>0 (1362.00)</v>
      </c>
      <c r="O43" t="str">
        <f t="shared" ref="O43" si="72">TEXT(J46,"#,##0")&amp;" ("&amp;TEXT(J47,"0.00")&amp;")"</f>
        <v>0 (2304.00)</v>
      </c>
      <c r="P43" t="str">
        <f t="shared" ref="P43" si="73">TEXT(K46,"#,##0")&amp;" ("&amp;TEXT(K47,"0.00")&amp;")"</f>
        <v>0 (2913.00)</v>
      </c>
      <c r="Q43" t="str">
        <f t="shared" ref="Q43" si="74">TEXT(L46,"#,##0")&amp;" ("&amp;TEXT(L47,"0.00")&amp;")"</f>
        <v>0 (2889.00)</v>
      </c>
    </row>
    <row r="44" spans="1:17" x14ac:dyDescent="0.3">
      <c r="A44" s="2"/>
      <c r="B44" s="8">
        <v>2</v>
      </c>
      <c r="C44" s="11">
        <v>2879</v>
      </c>
      <c r="D44" s="11">
        <v>3354</v>
      </c>
      <c r="E44" s="11">
        <v>3624</v>
      </c>
      <c r="F44" s="11">
        <v>3928</v>
      </c>
      <c r="G44" s="11">
        <v>13785</v>
      </c>
      <c r="I44">
        <f>C48</f>
        <v>17571</v>
      </c>
      <c r="J44">
        <f t="shared" si="69"/>
        <v>17571</v>
      </c>
      <c r="K44">
        <f t="shared" si="70"/>
        <v>17562</v>
      </c>
      <c r="L44">
        <f t="shared" si="71"/>
        <v>17571</v>
      </c>
    </row>
    <row r="45" spans="1:17" x14ac:dyDescent="0.3">
      <c r="A45" s="2"/>
      <c r="B45" s="8"/>
      <c r="C45" s="11">
        <v>4.0999999999999996</v>
      </c>
      <c r="D45" s="11">
        <v>4.7699999999999996</v>
      </c>
      <c r="E45" s="11">
        <v>5.16</v>
      </c>
      <c r="F45" s="11">
        <v>5.59</v>
      </c>
      <c r="G45" s="11">
        <v>19.62</v>
      </c>
      <c r="I45">
        <f>C51</f>
        <v>0</v>
      </c>
      <c r="J45">
        <f t="shared" ref="J45:J46" si="75">D51</f>
        <v>0</v>
      </c>
      <c r="K45">
        <f t="shared" ref="K45:K46" si="76">E51</f>
        <v>0</v>
      </c>
      <c r="L45">
        <f t="shared" ref="L45:L46" si="77">F51</f>
        <v>0</v>
      </c>
    </row>
    <row r="46" spans="1:17" x14ac:dyDescent="0.3">
      <c r="A46" s="2"/>
      <c r="B46" s="8"/>
      <c r="C46" s="11">
        <v>20.89</v>
      </c>
      <c r="D46" s="11">
        <v>24.33</v>
      </c>
      <c r="E46" s="11">
        <v>26.29</v>
      </c>
      <c r="F46" s="11">
        <v>28.49</v>
      </c>
      <c r="G46" s="11"/>
      <c r="I46">
        <f>C52</f>
        <v>0</v>
      </c>
      <c r="J46">
        <f t="shared" si="75"/>
        <v>0</v>
      </c>
      <c r="K46">
        <f t="shared" si="76"/>
        <v>0</v>
      </c>
      <c r="L46">
        <f t="shared" si="77"/>
        <v>0</v>
      </c>
    </row>
    <row r="47" spans="1:17" x14ac:dyDescent="0.3">
      <c r="A47" s="2"/>
      <c r="B47" s="8"/>
      <c r="C47" s="11">
        <v>16.38</v>
      </c>
      <c r="D47" s="11">
        <v>19.09</v>
      </c>
      <c r="E47" s="11">
        <v>20.64</v>
      </c>
      <c r="F47" s="11">
        <v>22.36</v>
      </c>
      <c r="G47" s="11"/>
      <c r="I47">
        <f>C55</f>
        <v>1362</v>
      </c>
      <c r="J47">
        <f t="shared" ref="J47" si="78">D55</f>
        <v>2304</v>
      </c>
      <c r="K47">
        <f t="shared" ref="K47" si="79">E55</f>
        <v>2913</v>
      </c>
      <c r="L47">
        <f t="shared" ref="L47" si="80">F55</f>
        <v>2889</v>
      </c>
    </row>
    <row r="48" spans="1:17" x14ac:dyDescent="0.3">
      <c r="A48" s="2"/>
      <c r="B48" s="8" t="s">
        <v>24</v>
      </c>
      <c r="C48" s="11">
        <v>17571</v>
      </c>
      <c r="D48" s="11">
        <v>17571</v>
      </c>
      <c r="E48" s="11">
        <v>17562</v>
      </c>
      <c r="F48" s="11">
        <v>17571</v>
      </c>
      <c r="G48" s="11">
        <v>70275</v>
      </c>
    </row>
    <row r="49" spans="1:17" x14ac:dyDescent="0.3">
      <c r="A49" s="2"/>
      <c r="B49" s="8"/>
      <c r="C49" s="11">
        <v>25</v>
      </c>
      <c r="D49" s="11">
        <v>25</v>
      </c>
      <c r="E49" s="11">
        <v>24.99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27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23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1362</v>
      </c>
      <c r="D55" s="11">
        <v>2304</v>
      </c>
      <c r="E55" s="11">
        <v>2913</v>
      </c>
      <c r="F55" s="11">
        <v>2889</v>
      </c>
      <c r="G55" s="11">
        <v>9468</v>
      </c>
      <c r="I55">
        <f>C55</f>
        <v>1362</v>
      </c>
      <c r="J55">
        <f t="shared" ref="J55" si="81">D55</f>
        <v>2304</v>
      </c>
      <c r="K55">
        <f t="shared" ref="K55" si="82">E55</f>
        <v>2913</v>
      </c>
      <c r="L55">
        <f t="shared" ref="L55" si="83">F55</f>
        <v>2889</v>
      </c>
      <c r="N55" t="str">
        <f>TEXT(I55,"#,##0")&amp;" ("&amp;TEXT(I56,"0.00")&amp;")"</f>
        <v>1,362 (7.75)</v>
      </c>
      <c r="O55" t="str">
        <f t="shared" ref="O55" si="84">TEXT(J55,"#,##0")&amp;" ("&amp;TEXT(J56,"0.00")&amp;")"</f>
        <v>2,304 (13.11)</v>
      </c>
      <c r="P55" t="str">
        <f t="shared" ref="P55" si="85">TEXT(K55,"#,##0")&amp;" ("&amp;TEXT(K56,"0.00")&amp;")"</f>
        <v>2,913 (16.59)</v>
      </c>
      <c r="Q55" t="str">
        <f t="shared" ref="Q55" si="86">TEXT(L55,"#,##0")&amp;" ("&amp;TEXT(L56,"0.00")&amp;")"</f>
        <v>2,889 (16.44)</v>
      </c>
    </row>
    <row r="56" spans="1:17" x14ac:dyDescent="0.3">
      <c r="A56" s="2"/>
      <c r="B56" s="8"/>
      <c r="C56" s="11">
        <v>1.94</v>
      </c>
      <c r="D56" s="11">
        <v>3.28</v>
      </c>
      <c r="E56" s="11">
        <v>4.1500000000000004</v>
      </c>
      <c r="F56" s="11">
        <v>4.1100000000000003</v>
      </c>
      <c r="G56" s="11">
        <v>13.47</v>
      </c>
      <c r="I56">
        <f>C58</f>
        <v>7.75</v>
      </c>
      <c r="J56">
        <f t="shared" ref="J56:J57" si="87">D58</f>
        <v>13.11</v>
      </c>
      <c r="K56">
        <f t="shared" ref="K56:K57" si="88">E58</f>
        <v>16.59</v>
      </c>
      <c r="L56">
        <f t="shared" ref="L56:L57" si="89">F58</f>
        <v>16.440000000000001</v>
      </c>
      <c r="N56" t="str">
        <f>TEXT(I57,"#,##0")&amp;" ("&amp;TEXT(I58,"0.00")&amp;")"</f>
        <v>1,354 (7.71)</v>
      </c>
      <c r="O56" t="str">
        <f t="shared" ref="O56" si="90">TEXT(J57,"#,##0")&amp;" ("&amp;TEXT(J58,"0.00")&amp;")"</f>
        <v>1,956 (11.13)</v>
      </c>
      <c r="P56" t="str">
        <f t="shared" ref="P56" si="91">TEXT(K57,"#,##0")&amp;" ("&amp;TEXT(K58,"0.00")&amp;")"</f>
        <v>2,381 (13.56)</v>
      </c>
      <c r="Q56" t="str">
        <f t="shared" ref="Q56" si="92">TEXT(L57,"#,##0")&amp;" ("&amp;TEXT(L58,"0.00")&amp;")"</f>
        <v>2,478 (14.10)</v>
      </c>
    </row>
    <row r="57" spans="1:17" x14ac:dyDescent="0.3">
      <c r="A57" s="2"/>
      <c r="B57" s="8"/>
      <c r="C57" s="11">
        <v>14.39</v>
      </c>
      <c r="D57" s="11">
        <v>24.33</v>
      </c>
      <c r="E57" s="11">
        <v>30.77</v>
      </c>
      <c r="F57" s="11">
        <v>30.51</v>
      </c>
      <c r="G57" s="11"/>
      <c r="I57">
        <f>C59</f>
        <v>1354</v>
      </c>
      <c r="J57">
        <f t="shared" si="87"/>
        <v>1956</v>
      </c>
      <c r="K57">
        <f t="shared" si="88"/>
        <v>2381</v>
      </c>
      <c r="L57">
        <f t="shared" si="89"/>
        <v>2478</v>
      </c>
      <c r="N57" t="str">
        <f>TEXT(I59,"#,##0")&amp;" ("&amp;TEXT(I60,"0.00")&amp;")"</f>
        <v>3,927 (22.35)</v>
      </c>
      <c r="O57" t="str">
        <f t="shared" ref="O57" si="93">TEXT(J59,"#,##0")&amp;" ("&amp;TEXT(J60,"0.00")&amp;")"</f>
        <v>4,617 (26.28)</v>
      </c>
      <c r="P57" t="str">
        <f t="shared" ref="P57" si="94">TEXT(K59,"#,##0")&amp;" ("&amp;TEXT(K60,"0.00")&amp;")"</f>
        <v>4,604 (26.22)</v>
      </c>
      <c r="Q57" t="str">
        <f t="shared" ref="Q57" si="95">TEXT(L59,"#,##0")&amp;" ("&amp;TEXT(L60,"0.00")&amp;")"</f>
        <v>5,009 (28.51)</v>
      </c>
    </row>
    <row r="58" spans="1:17" x14ac:dyDescent="0.3">
      <c r="A58" s="2"/>
      <c r="B58" s="8"/>
      <c r="C58" s="11">
        <v>7.75</v>
      </c>
      <c r="D58" s="11">
        <v>13.11</v>
      </c>
      <c r="E58" s="11">
        <v>16.59</v>
      </c>
      <c r="F58" s="11">
        <v>16.440000000000001</v>
      </c>
      <c r="G58" s="11"/>
      <c r="I58">
        <f>C62</f>
        <v>7.71</v>
      </c>
      <c r="J58">
        <f t="shared" ref="J58:J59" si="96">D62</f>
        <v>11.13</v>
      </c>
      <c r="K58">
        <f t="shared" ref="K58:K59" si="97">E62</f>
        <v>13.56</v>
      </c>
      <c r="L58">
        <f t="shared" ref="L58:L59" si="98">F62</f>
        <v>14.1</v>
      </c>
      <c r="N58" t="str">
        <f>TEXT(I61,"#,##0")&amp;" ("&amp;TEXT(I62,"0.00")&amp;")"</f>
        <v>10,928 (62.19)</v>
      </c>
      <c r="O58" t="str">
        <f t="shared" ref="O58:Q58" si="99">TEXT(J61,"#,##0")&amp;" ("&amp;TEXT(J62,"0.00")&amp;")"</f>
        <v>8,694 (49.48)</v>
      </c>
      <c r="P58" t="str">
        <f t="shared" si="99"/>
        <v>7,664 (43.64)</v>
      </c>
      <c r="Q58" t="str">
        <f t="shared" si="99"/>
        <v>7,195 (40.95)</v>
      </c>
    </row>
    <row r="59" spans="1:17" x14ac:dyDescent="0.3">
      <c r="A59" s="2"/>
      <c r="B59" s="8">
        <v>2</v>
      </c>
      <c r="C59" s="11">
        <v>1354</v>
      </c>
      <c r="D59" s="11">
        <v>1956</v>
      </c>
      <c r="E59" s="11">
        <v>2381</v>
      </c>
      <c r="F59" s="11">
        <v>2478</v>
      </c>
      <c r="G59" s="11">
        <v>8169</v>
      </c>
      <c r="I59">
        <f>C63</f>
        <v>3927</v>
      </c>
      <c r="J59">
        <f t="shared" si="96"/>
        <v>4617</v>
      </c>
      <c r="K59">
        <f t="shared" si="97"/>
        <v>4604</v>
      </c>
      <c r="L59">
        <f t="shared" si="98"/>
        <v>5009</v>
      </c>
    </row>
    <row r="60" spans="1:17" x14ac:dyDescent="0.3">
      <c r="A60" s="2"/>
      <c r="B60" s="8"/>
      <c r="C60" s="11">
        <v>1.93</v>
      </c>
      <c r="D60" s="11">
        <v>2.78</v>
      </c>
      <c r="E60" s="11">
        <v>3.39</v>
      </c>
      <c r="F60" s="11">
        <v>3.53</v>
      </c>
      <c r="G60" s="11">
        <v>11.62</v>
      </c>
      <c r="I60">
        <f>C66</f>
        <v>22.35</v>
      </c>
      <c r="J60">
        <f t="shared" ref="J60:J61" si="100">D66</f>
        <v>26.28</v>
      </c>
      <c r="K60">
        <f t="shared" ref="K60:K61" si="101">E66</f>
        <v>26.22</v>
      </c>
      <c r="L60">
        <f t="shared" ref="L60:L61" si="102">F66</f>
        <v>28.51</v>
      </c>
    </row>
    <row r="61" spans="1:17" x14ac:dyDescent="0.3">
      <c r="A61" s="2"/>
      <c r="B61" s="8"/>
      <c r="C61" s="11">
        <v>16.57</v>
      </c>
      <c r="D61" s="11">
        <v>23.94</v>
      </c>
      <c r="E61" s="11">
        <v>29.15</v>
      </c>
      <c r="F61" s="11">
        <v>30.33</v>
      </c>
      <c r="G61" s="11"/>
      <c r="I61">
        <f>C67</f>
        <v>10928</v>
      </c>
      <c r="J61">
        <f t="shared" si="100"/>
        <v>8694</v>
      </c>
      <c r="K61">
        <f t="shared" si="101"/>
        <v>7664</v>
      </c>
      <c r="L61">
        <f t="shared" si="102"/>
        <v>7195</v>
      </c>
    </row>
    <row r="62" spans="1:17" x14ac:dyDescent="0.3">
      <c r="A62" s="2"/>
      <c r="B62" s="8"/>
      <c r="C62" s="11">
        <v>7.71</v>
      </c>
      <c r="D62" s="11">
        <v>11.13</v>
      </c>
      <c r="E62" s="11">
        <v>13.56</v>
      </c>
      <c r="F62" s="11">
        <v>14.1</v>
      </c>
      <c r="G62" s="11"/>
      <c r="I62">
        <f>C70</f>
        <v>62.19</v>
      </c>
      <c r="J62">
        <f t="shared" ref="J62:L62" si="103">D70</f>
        <v>49.48</v>
      </c>
      <c r="K62">
        <f t="shared" si="103"/>
        <v>43.64</v>
      </c>
      <c r="L62">
        <f t="shared" si="103"/>
        <v>40.950000000000003</v>
      </c>
    </row>
    <row r="63" spans="1:17" x14ac:dyDescent="0.3">
      <c r="A63" s="2"/>
      <c r="B63" s="8">
        <v>3</v>
      </c>
      <c r="C63" s="11">
        <v>3927</v>
      </c>
      <c r="D63" s="11">
        <v>4617</v>
      </c>
      <c r="E63" s="11">
        <v>4604</v>
      </c>
      <c r="F63" s="11">
        <v>5009</v>
      </c>
      <c r="G63" s="11">
        <v>18157</v>
      </c>
    </row>
    <row r="64" spans="1:17" x14ac:dyDescent="0.3">
      <c r="A64" s="2"/>
      <c r="B64" s="8"/>
      <c r="C64" s="11">
        <v>5.59</v>
      </c>
      <c r="D64" s="11">
        <v>6.57</v>
      </c>
      <c r="E64" s="11">
        <v>6.55</v>
      </c>
      <c r="F64" s="11">
        <v>7.13</v>
      </c>
      <c r="G64" s="11">
        <v>25.84</v>
      </c>
    </row>
    <row r="65" spans="1:17" x14ac:dyDescent="0.3">
      <c r="A65" s="2"/>
      <c r="B65" s="8"/>
      <c r="C65" s="11">
        <v>21.63</v>
      </c>
      <c r="D65" s="11">
        <v>25.43</v>
      </c>
      <c r="E65" s="11">
        <v>25.36</v>
      </c>
      <c r="F65" s="11">
        <v>27.59</v>
      </c>
      <c r="G65" s="11"/>
    </row>
    <row r="66" spans="1:17" x14ac:dyDescent="0.3">
      <c r="A66" s="2"/>
      <c r="B66" s="8"/>
      <c r="C66" s="11">
        <v>22.35</v>
      </c>
      <c r="D66" s="11">
        <v>26.28</v>
      </c>
      <c r="E66" s="11">
        <v>26.22</v>
      </c>
      <c r="F66" s="11">
        <v>28.51</v>
      </c>
      <c r="G66" s="11"/>
    </row>
    <row r="67" spans="1:17" x14ac:dyDescent="0.3">
      <c r="A67" s="2"/>
      <c r="B67" s="8">
        <v>4</v>
      </c>
      <c r="C67" s="11">
        <v>10928</v>
      </c>
      <c r="D67" s="11">
        <v>8694</v>
      </c>
      <c r="E67" s="11">
        <v>7664</v>
      </c>
      <c r="F67" s="11">
        <v>7195</v>
      </c>
      <c r="G67" s="11">
        <v>34481</v>
      </c>
    </row>
    <row r="68" spans="1:17" x14ac:dyDescent="0.3">
      <c r="A68" s="2"/>
      <c r="B68" s="8"/>
      <c r="C68" s="11">
        <v>15.55</v>
      </c>
      <c r="D68" s="11">
        <v>12.37</v>
      </c>
      <c r="E68" s="11">
        <v>10.91</v>
      </c>
      <c r="F68" s="11">
        <v>10.24</v>
      </c>
      <c r="G68" s="11">
        <v>49.07</v>
      </c>
    </row>
    <row r="69" spans="1:17" x14ac:dyDescent="0.3">
      <c r="A69" s="2"/>
      <c r="B69" s="8"/>
      <c r="C69" s="11">
        <v>31.69</v>
      </c>
      <c r="D69" s="11">
        <v>25.21</v>
      </c>
      <c r="E69" s="11">
        <v>22.23</v>
      </c>
      <c r="F69" s="11">
        <v>20.87</v>
      </c>
      <c r="G69" s="11"/>
    </row>
    <row r="70" spans="1:17" x14ac:dyDescent="0.3">
      <c r="A70" s="2"/>
      <c r="B70" s="8"/>
      <c r="C70" s="11">
        <v>62.19</v>
      </c>
      <c r="D70" s="11">
        <v>49.48</v>
      </c>
      <c r="E70" s="11">
        <v>43.64</v>
      </c>
      <c r="F70" s="11">
        <v>40.950000000000003</v>
      </c>
      <c r="G70" s="11"/>
    </row>
    <row r="71" spans="1:17" x14ac:dyDescent="0.3">
      <c r="A71" s="2"/>
      <c r="B71" s="8" t="s">
        <v>24</v>
      </c>
      <c r="C71" s="11">
        <v>17571</v>
      </c>
      <c r="D71" s="11">
        <v>17571</v>
      </c>
      <c r="E71" s="11">
        <v>17562</v>
      </c>
      <c r="F71" s="11">
        <v>17571</v>
      </c>
      <c r="G71" s="11">
        <v>70275</v>
      </c>
    </row>
    <row r="72" spans="1:17" x14ac:dyDescent="0.3">
      <c r="A72" s="2"/>
      <c r="B72" s="8"/>
      <c r="C72" s="11">
        <v>25</v>
      </c>
      <c r="D72" s="11">
        <v>25</v>
      </c>
      <c r="E72" s="11">
        <v>24.99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28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23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2110</v>
      </c>
      <c r="D78" s="11">
        <v>2876</v>
      </c>
      <c r="E78" s="11">
        <v>3276</v>
      </c>
      <c r="F78" s="11">
        <v>3380</v>
      </c>
      <c r="G78" s="11">
        <v>11642</v>
      </c>
      <c r="I78">
        <f>C78</f>
        <v>2110</v>
      </c>
      <c r="J78">
        <f t="shared" ref="J78" si="104">D78</f>
        <v>2876</v>
      </c>
      <c r="K78">
        <f t="shared" ref="K78" si="105">E78</f>
        <v>3276</v>
      </c>
      <c r="L78">
        <f t="shared" ref="L78" si="106">F78</f>
        <v>3380</v>
      </c>
      <c r="N78" t="str">
        <f>TEXT(I78,"#,##0")&amp;" ("&amp;TEXT(I79,"0.00")&amp;")"</f>
        <v>2,110 (12.01)</v>
      </c>
      <c r="O78" t="str">
        <f t="shared" ref="O78" si="107">TEXT(J78,"#,##0")&amp;" ("&amp;TEXT(J79,"0.00")&amp;")"</f>
        <v>2,876 (16.37)</v>
      </c>
      <c r="P78" t="str">
        <f t="shared" ref="P78" si="108">TEXT(K78,"#,##0")&amp;" ("&amp;TEXT(K79,"0.00")&amp;")"</f>
        <v>3,276 (18.65)</v>
      </c>
      <c r="Q78" t="str">
        <f t="shared" ref="Q78" si="109">TEXT(L78,"#,##0")&amp;" ("&amp;TEXT(L79,"0.00")&amp;")"</f>
        <v>3,380 (19.24)</v>
      </c>
    </row>
    <row r="79" spans="1:17" x14ac:dyDescent="0.3">
      <c r="A79" s="2"/>
      <c r="B79" s="8"/>
      <c r="C79" s="11">
        <v>3</v>
      </c>
      <c r="D79" s="11">
        <v>4.09</v>
      </c>
      <c r="E79" s="11">
        <v>4.66</v>
      </c>
      <c r="F79" s="11">
        <v>4.8099999999999996</v>
      </c>
      <c r="G79" s="11">
        <v>16.57</v>
      </c>
      <c r="I79">
        <f>C81</f>
        <v>12.01</v>
      </c>
      <c r="J79">
        <f t="shared" ref="J79:J80" si="110">D81</f>
        <v>16.37</v>
      </c>
      <c r="K79">
        <f t="shared" ref="K79:K80" si="111">E81</f>
        <v>18.649999999999999</v>
      </c>
      <c r="L79">
        <f t="shared" ref="L79:L80" si="112">F81</f>
        <v>19.239999999999998</v>
      </c>
      <c r="N79" t="str">
        <f>TEXT(I80,"#,##0")&amp;" ("&amp;TEXT(I81,"0.00")&amp;")"</f>
        <v>4,102 (23.35)</v>
      </c>
      <c r="O79" t="str">
        <f t="shared" ref="O79" si="113">TEXT(J80,"#,##0")&amp;" ("&amp;TEXT(J81,"0.00")&amp;")"</f>
        <v>4,322 (24.60)</v>
      </c>
      <c r="P79" t="str">
        <f t="shared" ref="P79" si="114">TEXT(K80,"#,##0")&amp;" ("&amp;TEXT(K81,"0.00")&amp;")"</f>
        <v>4,412 (25.12)</v>
      </c>
      <c r="Q79" t="str">
        <f t="shared" ref="Q79" si="115">TEXT(L80,"#,##0")&amp;" ("&amp;TEXT(L81,"0.00")&amp;")"</f>
        <v>4,471 (25.45)</v>
      </c>
    </row>
    <row r="80" spans="1:17" x14ac:dyDescent="0.3">
      <c r="A80" s="2"/>
      <c r="B80" s="8"/>
      <c r="C80" s="11">
        <v>18.12</v>
      </c>
      <c r="D80" s="11">
        <v>24.7</v>
      </c>
      <c r="E80" s="11">
        <v>28.14</v>
      </c>
      <c r="F80" s="11">
        <v>29.03</v>
      </c>
      <c r="G80" s="11"/>
      <c r="I80">
        <f>C82</f>
        <v>4102</v>
      </c>
      <c r="J80">
        <f t="shared" si="110"/>
        <v>4322</v>
      </c>
      <c r="K80">
        <f t="shared" si="111"/>
        <v>4412</v>
      </c>
      <c r="L80">
        <f t="shared" si="112"/>
        <v>4471</v>
      </c>
      <c r="N80" t="str">
        <f>TEXT(I82,"#,##0")&amp;" ("&amp;TEXT(I83,"0.00")&amp;")"</f>
        <v>5,310 (30.22)</v>
      </c>
      <c r="O80" t="str">
        <f t="shared" ref="O80" si="116">TEXT(J82,"#,##0")&amp;" ("&amp;TEXT(J83,"0.00")&amp;")"</f>
        <v>5,054 (28.76)</v>
      </c>
      <c r="P80" t="str">
        <f t="shared" ref="P80" si="117">TEXT(K82,"#,##0")&amp;" ("&amp;TEXT(K83,"0.00")&amp;")"</f>
        <v>4,842 (27.57)</v>
      </c>
      <c r="Q80" t="str">
        <f t="shared" ref="Q80" si="118">TEXT(L82,"#,##0")&amp;" ("&amp;TEXT(L83,"0.00")&amp;")"</f>
        <v>4,789 (27.26)</v>
      </c>
    </row>
    <row r="81" spans="1:17" x14ac:dyDescent="0.3">
      <c r="A81" s="2"/>
      <c r="B81" s="8"/>
      <c r="C81" s="11">
        <v>12.01</v>
      </c>
      <c r="D81" s="11">
        <v>16.37</v>
      </c>
      <c r="E81" s="11">
        <v>18.649999999999999</v>
      </c>
      <c r="F81" s="11">
        <v>19.239999999999998</v>
      </c>
      <c r="G81" s="11"/>
      <c r="I81">
        <f>C85</f>
        <v>23.35</v>
      </c>
      <c r="J81">
        <f t="shared" ref="J81:J82" si="119">D85</f>
        <v>24.6</v>
      </c>
      <c r="K81">
        <f t="shared" ref="K81:K82" si="120">E85</f>
        <v>25.12</v>
      </c>
      <c r="L81">
        <f t="shared" ref="L81:L82" si="121">F85</f>
        <v>25.45</v>
      </c>
      <c r="N81" t="str">
        <f>TEXT(I84,"#,##0")&amp;" ("&amp;TEXT(I85,"0.00")&amp;")"</f>
        <v>6,049 (34.43)</v>
      </c>
      <c r="O81" t="str">
        <f t="shared" ref="O81" si="122">TEXT(J84,"#,##0")&amp;" ("&amp;TEXT(J85,"0.00")&amp;")"</f>
        <v>5,319 (30.27)</v>
      </c>
      <c r="P81" t="str">
        <f t="shared" ref="P81" si="123">TEXT(K84,"#,##0")&amp;" ("&amp;TEXT(K85,"0.00")&amp;")"</f>
        <v>5,032 (28.65)</v>
      </c>
      <c r="Q81" t="str">
        <f t="shared" ref="Q81" si="124">TEXT(L84,"#,##0")&amp;" ("&amp;TEXT(L85,"0.00")&amp;")"</f>
        <v>4,931 (28.06)</v>
      </c>
    </row>
    <row r="82" spans="1:17" x14ac:dyDescent="0.3">
      <c r="A82" s="2"/>
      <c r="B82" s="8">
        <v>2</v>
      </c>
      <c r="C82" s="11">
        <v>4102</v>
      </c>
      <c r="D82" s="11">
        <v>4322</v>
      </c>
      <c r="E82" s="11">
        <v>4412</v>
      </c>
      <c r="F82" s="11">
        <v>4471</v>
      </c>
      <c r="G82" s="11">
        <v>17307</v>
      </c>
      <c r="I82">
        <f>C86</f>
        <v>5310</v>
      </c>
      <c r="J82">
        <f t="shared" si="119"/>
        <v>5054</v>
      </c>
      <c r="K82">
        <f t="shared" si="120"/>
        <v>4842</v>
      </c>
      <c r="L82">
        <f t="shared" si="121"/>
        <v>4789</v>
      </c>
    </row>
    <row r="83" spans="1:17" x14ac:dyDescent="0.3">
      <c r="A83" s="2"/>
      <c r="B83" s="8"/>
      <c r="C83" s="11">
        <v>5.84</v>
      </c>
      <c r="D83" s="11">
        <v>6.15</v>
      </c>
      <c r="E83" s="11">
        <v>6.28</v>
      </c>
      <c r="F83" s="11">
        <v>6.36</v>
      </c>
      <c r="G83" s="11">
        <v>24.63</v>
      </c>
      <c r="I83">
        <f>C89</f>
        <v>30.22</v>
      </c>
      <c r="J83">
        <f t="shared" ref="J83:J84" si="125">D89</f>
        <v>28.76</v>
      </c>
      <c r="K83">
        <f t="shared" ref="K83:K84" si="126">E89</f>
        <v>27.57</v>
      </c>
      <c r="L83">
        <f t="shared" ref="L83:L84" si="127">F89</f>
        <v>27.26</v>
      </c>
    </row>
    <row r="84" spans="1:17" x14ac:dyDescent="0.3">
      <c r="A84" s="2"/>
      <c r="B84" s="8"/>
      <c r="C84" s="11">
        <v>23.7</v>
      </c>
      <c r="D84" s="11">
        <v>24.97</v>
      </c>
      <c r="E84" s="11">
        <v>25.49</v>
      </c>
      <c r="F84" s="11">
        <v>25.83</v>
      </c>
      <c r="G84" s="11"/>
      <c r="I84">
        <f>C90</f>
        <v>6049</v>
      </c>
      <c r="J84">
        <f t="shared" si="125"/>
        <v>5319</v>
      </c>
      <c r="K84">
        <f t="shared" si="126"/>
        <v>5032</v>
      </c>
      <c r="L84">
        <f t="shared" si="127"/>
        <v>4931</v>
      </c>
    </row>
    <row r="85" spans="1:17" x14ac:dyDescent="0.3">
      <c r="A85" s="2"/>
      <c r="B85" s="8"/>
      <c r="C85" s="11">
        <v>23.35</v>
      </c>
      <c r="D85" s="11">
        <v>24.6</v>
      </c>
      <c r="E85" s="11">
        <v>25.12</v>
      </c>
      <c r="F85" s="11">
        <v>25.45</v>
      </c>
      <c r="G85" s="11"/>
      <c r="I85">
        <f>C93</f>
        <v>34.43</v>
      </c>
      <c r="J85">
        <f t="shared" ref="J85" si="128">D93</f>
        <v>30.27</v>
      </c>
      <c r="K85">
        <f t="shared" ref="K85" si="129">E93</f>
        <v>28.65</v>
      </c>
      <c r="L85">
        <f t="shared" ref="L85" si="130">F93</f>
        <v>28.06</v>
      </c>
    </row>
    <row r="86" spans="1:17" x14ac:dyDescent="0.3">
      <c r="A86" s="2"/>
      <c r="B86" s="8">
        <v>3</v>
      </c>
      <c r="C86" s="11">
        <v>5310</v>
      </c>
      <c r="D86" s="11">
        <v>5054</v>
      </c>
      <c r="E86" s="11">
        <v>4842</v>
      </c>
      <c r="F86" s="11">
        <v>4789</v>
      </c>
      <c r="G86" s="11">
        <v>19995</v>
      </c>
    </row>
    <row r="87" spans="1:17" x14ac:dyDescent="0.3">
      <c r="A87" s="2"/>
      <c r="B87" s="8"/>
      <c r="C87" s="11">
        <v>7.56</v>
      </c>
      <c r="D87" s="11">
        <v>7.19</v>
      </c>
      <c r="E87" s="11">
        <v>6.89</v>
      </c>
      <c r="F87" s="11">
        <v>6.81</v>
      </c>
      <c r="G87" s="11">
        <v>28.45</v>
      </c>
    </row>
    <row r="88" spans="1:17" x14ac:dyDescent="0.3">
      <c r="A88" s="2"/>
      <c r="B88" s="8"/>
      <c r="C88" s="11">
        <v>26.56</v>
      </c>
      <c r="D88" s="11">
        <v>25.28</v>
      </c>
      <c r="E88" s="11">
        <v>24.22</v>
      </c>
      <c r="F88" s="11">
        <v>23.95</v>
      </c>
      <c r="G88" s="11"/>
    </row>
    <row r="89" spans="1:17" x14ac:dyDescent="0.3">
      <c r="A89" s="2"/>
      <c r="B89" s="8"/>
      <c r="C89" s="11">
        <v>30.22</v>
      </c>
      <c r="D89" s="11">
        <v>28.76</v>
      </c>
      <c r="E89" s="11">
        <v>27.57</v>
      </c>
      <c r="F89" s="11">
        <v>27.26</v>
      </c>
      <c r="G89" s="11"/>
    </row>
    <row r="90" spans="1:17" x14ac:dyDescent="0.3">
      <c r="A90" s="2"/>
      <c r="B90" s="8">
        <v>4</v>
      </c>
      <c r="C90" s="11">
        <v>6049</v>
      </c>
      <c r="D90" s="11">
        <v>5319</v>
      </c>
      <c r="E90" s="11">
        <v>5032</v>
      </c>
      <c r="F90" s="11">
        <v>4931</v>
      </c>
      <c r="G90" s="11">
        <v>21331</v>
      </c>
    </row>
    <row r="91" spans="1:17" x14ac:dyDescent="0.3">
      <c r="A91" s="2"/>
      <c r="B91" s="8"/>
      <c r="C91" s="11">
        <v>8.61</v>
      </c>
      <c r="D91" s="11">
        <v>7.57</v>
      </c>
      <c r="E91" s="11">
        <v>7.16</v>
      </c>
      <c r="F91" s="11">
        <v>7.02</v>
      </c>
      <c r="G91" s="11">
        <v>30.35</v>
      </c>
    </row>
    <row r="92" spans="1:17" x14ac:dyDescent="0.3">
      <c r="A92" s="2"/>
      <c r="B92" s="8"/>
      <c r="C92" s="11">
        <v>28.36</v>
      </c>
      <c r="D92" s="11">
        <v>24.94</v>
      </c>
      <c r="E92" s="11">
        <v>23.59</v>
      </c>
      <c r="F92" s="11">
        <v>23.12</v>
      </c>
      <c r="G92" s="11"/>
    </row>
    <row r="93" spans="1:17" x14ac:dyDescent="0.3">
      <c r="A93" s="2"/>
      <c r="B93" s="8"/>
      <c r="C93" s="11">
        <v>34.43</v>
      </c>
      <c r="D93" s="11">
        <v>30.27</v>
      </c>
      <c r="E93" s="11">
        <v>28.65</v>
      </c>
      <c r="F93" s="11">
        <v>28.06</v>
      </c>
      <c r="G93" s="11"/>
    </row>
    <row r="94" spans="1:17" x14ac:dyDescent="0.3">
      <c r="A94" s="2"/>
      <c r="B94" s="8" t="s">
        <v>24</v>
      </c>
      <c r="C94" s="11">
        <v>17571</v>
      </c>
      <c r="D94" s="11">
        <v>17571</v>
      </c>
      <c r="E94" s="11">
        <v>17562</v>
      </c>
      <c r="F94" s="11">
        <v>17571</v>
      </c>
      <c r="G94" s="11">
        <v>70275</v>
      </c>
    </row>
    <row r="95" spans="1:17" x14ac:dyDescent="0.3">
      <c r="A95" s="2"/>
      <c r="B95" s="8"/>
      <c r="C95" s="11">
        <v>25</v>
      </c>
      <c r="D95" s="11">
        <v>25</v>
      </c>
      <c r="E95" s="11">
        <v>24.99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29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23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1578</v>
      </c>
      <c r="D101" s="11">
        <v>802</v>
      </c>
      <c r="E101" s="11">
        <v>329</v>
      </c>
      <c r="F101" s="11">
        <v>126</v>
      </c>
      <c r="G101" s="11">
        <v>2835</v>
      </c>
      <c r="I101">
        <f>C101</f>
        <v>1578</v>
      </c>
      <c r="J101">
        <f t="shared" ref="J101" si="131">D101</f>
        <v>802</v>
      </c>
      <c r="K101">
        <f t="shared" ref="K101" si="132">E101</f>
        <v>329</v>
      </c>
      <c r="L101">
        <f t="shared" ref="L101" si="133">F101</f>
        <v>126</v>
      </c>
      <c r="N101" t="str">
        <f>TEXT(I101,"#,##0")&amp;" ("&amp;TEXT(I102,"0.00")&amp;")"</f>
        <v>1,578 (8.98)</v>
      </c>
      <c r="O101" t="str">
        <f t="shared" ref="O101" si="134">TEXT(J101,"#,##0")&amp;" ("&amp;TEXT(J102,"0.00")&amp;")"</f>
        <v>802 (4.56)</v>
      </c>
      <c r="P101" t="str">
        <f t="shared" ref="P101" si="135">TEXT(K101,"#,##0")&amp;" ("&amp;TEXT(K102,"0.00")&amp;")"</f>
        <v>329 (1.87)</v>
      </c>
      <c r="Q101" t="str">
        <f t="shared" ref="Q101" si="136">TEXT(L101,"#,##0")&amp;" ("&amp;TEXT(L102,"0.00")&amp;")"</f>
        <v>126 (0.72)</v>
      </c>
    </row>
    <row r="102" spans="1:17" x14ac:dyDescent="0.3">
      <c r="A102" s="2"/>
      <c r="B102" s="8"/>
      <c r="C102" s="11">
        <v>2.25</v>
      </c>
      <c r="D102" s="11">
        <v>1.1399999999999999</v>
      </c>
      <c r="E102" s="11">
        <v>0.47</v>
      </c>
      <c r="F102" s="11">
        <v>0.18</v>
      </c>
      <c r="G102" s="11">
        <v>4.03</v>
      </c>
      <c r="I102">
        <f>C104</f>
        <v>8.98</v>
      </c>
      <c r="J102">
        <f t="shared" ref="J102:J103" si="137">D104</f>
        <v>4.5599999999999996</v>
      </c>
      <c r="K102">
        <f t="shared" ref="K102:K103" si="138">E104</f>
        <v>1.87</v>
      </c>
      <c r="L102">
        <f t="shared" ref="L102:L103" si="139">F104</f>
        <v>0.72</v>
      </c>
      <c r="N102" t="str">
        <f>TEXT(I103,"#,##0")&amp;" ("&amp;TEXT(I104,"0.00")&amp;")"</f>
        <v>10,033 (57.10)</v>
      </c>
      <c r="O102" t="str">
        <f t="shared" ref="O102" si="140">TEXT(J103,"#,##0")&amp;" ("&amp;TEXT(J104,"0.00")&amp;")"</f>
        <v>7,714 (43.90)</v>
      </c>
      <c r="P102" t="str">
        <f t="shared" ref="P102" si="141">TEXT(K103,"#,##0")&amp;" ("&amp;TEXT(K104,"0.00")&amp;")"</f>
        <v>5,590 (31.83)</v>
      </c>
      <c r="Q102" t="str">
        <f t="shared" ref="Q102" si="142">TEXT(L103,"#,##0")&amp;" ("&amp;TEXT(L104,"0.00")&amp;")"</f>
        <v>3,674 (20.91)</v>
      </c>
    </row>
    <row r="103" spans="1:17" x14ac:dyDescent="0.3">
      <c r="A103" s="2"/>
      <c r="B103" s="8"/>
      <c r="C103" s="11">
        <v>55.66</v>
      </c>
      <c r="D103" s="11">
        <v>28.29</v>
      </c>
      <c r="E103" s="11">
        <v>11.6</v>
      </c>
      <c r="F103" s="11">
        <v>4.4400000000000004</v>
      </c>
      <c r="G103" s="11"/>
      <c r="I103">
        <f>C105</f>
        <v>10033</v>
      </c>
      <c r="J103">
        <f t="shared" si="137"/>
        <v>7714</v>
      </c>
      <c r="K103">
        <f t="shared" si="138"/>
        <v>5590</v>
      </c>
      <c r="L103">
        <f t="shared" si="139"/>
        <v>3674</v>
      </c>
      <c r="N103" t="str">
        <f>TEXT(I105,"#,##0")&amp;" ("&amp;TEXT(I106,"0.00")&amp;")"</f>
        <v>3,331 (18.96)</v>
      </c>
      <c r="O103" t="str">
        <f t="shared" ref="O103" si="143">TEXT(J105,"#,##0")&amp;" ("&amp;TEXT(J106,"0.00")&amp;")"</f>
        <v>4,265 (24.27)</v>
      </c>
      <c r="P103" t="str">
        <f t="shared" ref="P103" si="144">TEXT(K105,"#,##0")&amp;" ("&amp;TEXT(K106,"0.00")&amp;")"</f>
        <v>4,690 (26.71)</v>
      </c>
      <c r="Q103" t="str">
        <f t="shared" ref="Q103" si="145">TEXT(L105,"#,##0")&amp;" ("&amp;TEXT(L106,"0.00")&amp;")"</f>
        <v>4,359 (24.81)</v>
      </c>
    </row>
    <row r="104" spans="1:17" x14ac:dyDescent="0.3">
      <c r="A104" s="2"/>
      <c r="B104" s="8"/>
      <c r="C104" s="11">
        <v>8.98</v>
      </c>
      <c r="D104" s="11">
        <v>4.5599999999999996</v>
      </c>
      <c r="E104" s="11">
        <v>1.87</v>
      </c>
      <c r="F104" s="11">
        <v>0.72</v>
      </c>
      <c r="G104" s="11"/>
      <c r="I104">
        <f>C108</f>
        <v>57.1</v>
      </c>
      <c r="J104">
        <f t="shared" ref="J104:J105" si="146">D108</f>
        <v>43.9</v>
      </c>
      <c r="K104">
        <f t="shared" ref="K104:K105" si="147">E108</f>
        <v>31.83</v>
      </c>
      <c r="L104">
        <f t="shared" ref="L104:L105" si="148">F108</f>
        <v>20.91</v>
      </c>
      <c r="N104" t="str">
        <f>TEXT(I107,"#,##0")&amp;" ("&amp;TEXT(I108,"0.00")&amp;")"</f>
        <v>2,629 (14.96)</v>
      </c>
      <c r="O104" t="str">
        <f t="shared" ref="O104" si="149">TEXT(J107,"#,##0")&amp;" ("&amp;TEXT(J108,"0.00")&amp;")"</f>
        <v>4,790 (27.26)</v>
      </c>
      <c r="P104" t="str">
        <f t="shared" ref="P104" si="150">TEXT(K107,"#,##0")&amp;" ("&amp;TEXT(K108,"0.00")&amp;")"</f>
        <v>6,953 (39.59)</v>
      </c>
      <c r="Q104" t="str">
        <f t="shared" ref="Q104" si="151">TEXT(L107,"#,##0")&amp;" ("&amp;TEXT(L108,"0.00")&amp;")"</f>
        <v>9,412 (53.57)</v>
      </c>
    </row>
    <row r="105" spans="1:17" x14ac:dyDescent="0.3">
      <c r="A105" s="2"/>
      <c r="B105" s="8">
        <v>2</v>
      </c>
      <c r="C105" s="11">
        <v>10033</v>
      </c>
      <c r="D105" s="11">
        <v>7714</v>
      </c>
      <c r="E105" s="11">
        <v>5590</v>
      </c>
      <c r="F105" s="11">
        <v>3674</v>
      </c>
      <c r="G105" s="11">
        <v>27011</v>
      </c>
      <c r="I105">
        <f>C109</f>
        <v>3331</v>
      </c>
      <c r="J105">
        <f t="shared" si="146"/>
        <v>4265</v>
      </c>
      <c r="K105">
        <f t="shared" si="147"/>
        <v>4690</v>
      </c>
      <c r="L105">
        <f t="shared" si="148"/>
        <v>4359</v>
      </c>
    </row>
    <row r="106" spans="1:17" x14ac:dyDescent="0.3">
      <c r="A106" s="2"/>
      <c r="B106" s="8"/>
      <c r="C106" s="11">
        <v>14.28</v>
      </c>
      <c r="D106" s="11">
        <v>10.98</v>
      </c>
      <c r="E106" s="11">
        <v>7.95</v>
      </c>
      <c r="F106" s="11">
        <v>5.23</v>
      </c>
      <c r="G106" s="11">
        <v>38.44</v>
      </c>
      <c r="I106">
        <f>C112</f>
        <v>18.96</v>
      </c>
      <c r="J106">
        <f t="shared" ref="J106:J107" si="152">D112</f>
        <v>24.27</v>
      </c>
      <c r="K106">
        <f t="shared" ref="K106:K107" si="153">E112</f>
        <v>26.71</v>
      </c>
      <c r="L106">
        <f t="shared" ref="L106:L107" si="154">F112</f>
        <v>24.81</v>
      </c>
    </row>
    <row r="107" spans="1:17" x14ac:dyDescent="0.3">
      <c r="A107" s="2"/>
      <c r="B107" s="8"/>
      <c r="C107" s="11">
        <v>37.14</v>
      </c>
      <c r="D107" s="11">
        <v>28.56</v>
      </c>
      <c r="E107" s="11">
        <v>20.7</v>
      </c>
      <c r="F107" s="11">
        <v>13.6</v>
      </c>
      <c r="G107" s="11"/>
      <c r="I107">
        <f>C113</f>
        <v>2629</v>
      </c>
      <c r="J107">
        <f t="shared" si="152"/>
        <v>4790</v>
      </c>
      <c r="K107">
        <f t="shared" si="153"/>
        <v>6953</v>
      </c>
      <c r="L107">
        <f t="shared" si="154"/>
        <v>9412</v>
      </c>
    </row>
    <row r="108" spans="1:17" x14ac:dyDescent="0.3">
      <c r="A108" s="2"/>
      <c r="B108" s="8"/>
      <c r="C108" s="11">
        <v>57.1</v>
      </c>
      <c r="D108" s="11">
        <v>43.9</v>
      </c>
      <c r="E108" s="11">
        <v>31.83</v>
      </c>
      <c r="F108" s="11">
        <v>20.91</v>
      </c>
      <c r="G108" s="11"/>
      <c r="I108">
        <f>C116</f>
        <v>14.96</v>
      </c>
      <c r="J108">
        <f t="shared" ref="J108" si="155">D116</f>
        <v>27.26</v>
      </c>
      <c r="K108">
        <f t="shared" ref="K108" si="156">E116</f>
        <v>39.590000000000003</v>
      </c>
      <c r="L108">
        <f t="shared" ref="L108" si="157">F116</f>
        <v>53.57</v>
      </c>
    </row>
    <row r="109" spans="1:17" x14ac:dyDescent="0.3">
      <c r="A109" s="2"/>
      <c r="B109" s="8">
        <v>3</v>
      </c>
      <c r="C109" s="11">
        <v>3331</v>
      </c>
      <c r="D109" s="11">
        <v>4265</v>
      </c>
      <c r="E109" s="11">
        <v>4690</v>
      </c>
      <c r="F109" s="11">
        <v>4359</v>
      </c>
      <c r="G109" s="11">
        <v>16645</v>
      </c>
    </row>
    <row r="110" spans="1:17" x14ac:dyDescent="0.3">
      <c r="A110" s="2"/>
      <c r="B110" s="8"/>
      <c r="C110" s="11">
        <v>4.74</v>
      </c>
      <c r="D110" s="11">
        <v>6.07</v>
      </c>
      <c r="E110" s="11">
        <v>6.67</v>
      </c>
      <c r="F110" s="11">
        <v>6.2</v>
      </c>
      <c r="G110" s="11">
        <v>23.69</v>
      </c>
    </row>
    <row r="111" spans="1:17" x14ac:dyDescent="0.3">
      <c r="A111" s="2"/>
      <c r="B111" s="8"/>
      <c r="C111" s="11">
        <v>20.010000000000002</v>
      </c>
      <c r="D111" s="11">
        <v>25.62</v>
      </c>
      <c r="E111" s="11">
        <v>28.18</v>
      </c>
      <c r="F111" s="11">
        <v>26.19</v>
      </c>
      <c r="G111" s="11"/>
    </row>
    <row r="112" spans="1:17" x14ac:dyDescent="0.3">
      <c r="A112" s="2"/>
      <c r="B112" s="8"/>
      <c r="C112" s="11">
        <v>18.96</v>
      </c>
      <c r="D112" s="11">
        <v>24.27</v>
      </c>
      <c r="E112" s="11">
        <v>26.71</v>
      </c>
      <c r="F112" s="11">
        <v>24.81</v>
      </c>
      <c r="G112" s="11"/>
    </row>
    <row r="113" spans="1:17" x14ac:dyDescent="0.3">
      <c r="A113" s="2"/>
      <c r="B113" s="8">
        <v>4</v>
      </c>
      <c r="C113" s="11">
        <v>2629</v>
      </c>
      <c r="D113" s="11">
        <v>4790</v>
      </c>
      <c r="E113" s="11">
        <v>6953</v>
      </c>
      <c r="F113" s="11">
        <v>9412</v>
      </c>
      <c r="G113" s="11">
        <v>23784</v>
      </c>
    </row>
    <row r="114" spans="1:17" x14ac:dyDescent="0.3">
      <c r="A114" s="2"/>
      <c r="B114" s="8"/>
      <c r="C114" s="11">
        <v>3.74</v>
      </c>
      <c r="D114" s="11">
        <v>6.82</v>
      </c>
      <c r="E114" s="11">
        <v>9.89</v>
      </c>
      <c r="F114" s="11">
        <v>13.39</v>
      </c>
      <c r="G114" s="11">
        <v>33.840000000000003</v>
      </c>
    </row>
    <row r="115" spans="1:17" x14ac:dyDescent="0.3">
      <c r="A115" s="2"/>
      <c r="B115" s="8"/>
      <c r="C115" s="11">
        <v>11.05</v>
      </c>
      <c r="D115" s="11">
        <v>20.14</v>
      </c>
      <c r="E115" s="11">
        <v>29.23</v>
      </c>
      <c r="F115" s="11">
        <v>39.57</v>
      </c>
      <c r="G115" s="11"/>
    </row>
    <row r="116" spans="1:17" x14ac:dyDescent="0.3">
      <c r="A116" s="2"/>
      <c r="B116" s="8"/>
      <c r="C116" s="11">
        <v>14.96</v>
      </c>
      <c r="D116" s="11">
        <v>27.26</v>
      </c>
      <c r="E116" s="11">
        <v>39.590000000000003</v>
      </c>
      <c r="F116" s="11">
        <v>53.57</v>
      </c>
      <c r="G116" s="11"/>
    </row>
    <row r="117" spans="1:17" x14ac:dyDescent="0.3">
      <c r="A117" s="2"/>
      <c r="B117" s="8" t="s">
        <v>24</v>
      </c>
      <c r="C117" s="11">
        <v>17571</v>
      </c>
      <c r="D117" s="11">
        <v>17571</v>
      </c>
      <c r="E117" s="11">
        <v>17562</v>
      </c>
      <c r="F117" s="11">
        <v>17571</v>
      </c>
      <c r="G117" s="11">
        <v>70275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24.99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30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23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12685</v>
      </c>
      <c r="D124" s="11">
        <v>14455</v>
      </c>
      <c r="E124" s="11">
        <v>15257</v>
      </c>
      <c r="F124" s="11">
        <v>15717</v>
      </c>
      <c r="G124" s="11">
        <v>58114</v>
      </c>
      <c r="I124">
        <f>C124</f>
        <v>12685</v>
      </c>
      <c r="J124">
        <f t="shared" ref="J124" si="158">D124</f>
        <v>14455</v>
      </c>
      <c r="K124">
        <f t="shared" ref="K124" si="159">E124</f>
        <v>15257</v>
      </c>
      <c r="L124">
        <f t="shared" ref="L124" si="160">F124</f>
        <v>15717</v>
      </c>
      <c r="N124" t="str">
        <f>TEXT(I124,"#,##0")&amp;" ("&amp;TEXT(I125,"0.00")&amp;")"</f>
        <v>12,685 (72.19)</v>
      </c>
      <c r="O124" t="str">
        <f t="shared" ref="O124" si="161">TEXT(J124,"#,##0")&amp;" ("&amp;TEXT(J125,"0.00")&amp;")"</f>
        <v>14,455 (82.27)</v>
      </c>
      <c r="P124" t="str">
        <f t="shared" ref="P124" si="162">TEXT(K124,"#,##0")&amp;" ("&amp;TEXT(K125,"0.00")&amp;")"</f>
        <v>15,257 (86.88)</v>
      </c>
      <c r="Q124" t="str">
        <f t="shared" ref="Q124" si="163">TEXT(L124,"#,##0")&amp;" ("&amp;TEXT(L125,"0.00")&amp;")"</f>
        <v>15,717 (89.45)</v>
      </c>
    </row>
    <row r="125" spans="1:17" x14ac:dyDescent="0.3">
      <c r="A125" s="2"/>
      <c r="B125" s="8"/>
      <c r="C125" s="11">
        <v>18.05</v>
      </c>
      <c r="D125" s="11">
        <v>20.57</v>
      </c>
      <c r="E125" s="11">
        <v>21.71</v>
      </c>
      <c r="F125" s="11">
        <v>22.36</v>
      </c>
      <c r="G125" s="11">
        <v>82.7</v>
      </c>
      <c r="I125">
        <f>C127</f>
        <v>72.19</v>
      </c>
      <c r="J125">
        <f t="shared" ref="J125:J126" si="164">D127</f>
        <v>82.27</v>
      </c>
      <c r="K125">
        <f t="shared" ref="K125:K126" si="165">E127</f>
        <v>86.88</v>
      </c>
      <c r="L125">
        <f t="shared" ref="L125:L126" si="166">F127</f>
        <v>89.45</v>
      </c>
      <c r="N125" t="str">
        <f>TEXT(I126,"#,##0")&amp;" ("&amp;TEXT(I127,"0.00")&amp;")"</f>
        <v>4,886 (27.81)</v>
      </c>
      <c r="O125" t="str">
        <f t="shared" ref="O125" si="167">TEXT(J126,"#,##0")&amp;" ("&amp;TEXT(J127,"0.00")&amp;")"</f>
        <v>3,116 (17.73)</v>
      </c>
      <c r="P125" t="str">
        <f t="shared" ref="P125" si="168">TEXT(K126,"#,##0")&amp;" ("&amp;TEXT(K127,"0.00")&amp;")"</f>
        <v>2,305 (13.12)</v>
      </c>
      <c r="Q125" t="str">
        <f t="shared" ref="Q125" si="169">TEXT(L126,"#,##0")&amp;" ("&amp;TEXT(L127,"0.00")&amp;")"</f>
        <v>1,854 (10.55)</v>
      </c>
    </row>
    <row r="126" spans="1:17" x14ac:dyDescent="0.3">
      <c r="A126" s="2"/>
      <c r="B126" s="8"/>
      <c r="C126" s="11">
        <v>21.83</v>
      </c>
      <c r="D126" s="11">
        <v>24.87</v>
      </c>
      <c r="E126" s="11">
        <v>26.25</v>
      </c>
      <c r="F126" s="11">
        <v>27.05</v>
      </c>
      <c r="G126" s="11"/>
      <c r="I126">
        <f>C128</f>
        <v>4886</v>
      </c>
      <c r="J126">
        <f t="shared" si="164"/>
        <v>3116</v>
      </c>
      <c r="K126">
        <f t="shared" si="165"/>
        <v>2305</v>
      </c>
      <c r="L126">
        <f t="shared" si="166"/>
        <v>1854</v>
      </c>
      <c r="N126" t="str">
        <f>TEXT(I128,"#,##0")&amp;" ("&amp;TEXT(I129,"0.00")&amp;")"</f>
        <v>17,571 (0.00)</v>
      </c>
      <c r="O126" t="str">
        <f t="shared" ref="O126" si="170">TEXT(J128,"#,##0")&amp;" ("&amp;TEXT(J129,"0.00")&amp;")"</f>
        <v>17,571 (0.00)</v>
      </c>
      <c r="P126" t="str">
        <f t="shared" ref="P126" si="171">TEXT(K128,"#,##0")&amp;" ("&amp;TEXT(K129,"0.00")&amp;")"</f>
        <v>17,562 (0.00)</v>
      </c>
      <c r="Q126" t="str">
        <f t="shared" ref="Q126" si="172">TEXT(L128,"#,##0")&amp;" ("&amp;TEXT(L129,"0.00")&amp;")"</f>
        <v>17,571 (0.00)</v>
      </c>
    </row>
    <row r="127" spans="1:17" x14ac:dyDescent="0.3">
      <c r="A127" s="2"/>
      <c r="B127" s="8"/>
      <c r="C127" s="11">
        <v>72.19</v>
      </c>
      <c r="D127" s="11">
        <v>82.27</v>
      </c>
      <c r="E127" s="11">
        <v>86.88</v>
      </c>
      <c r="F127" s="11">
        <v>89.45</v>
      </c>
      <c r="G127" s="11"/>
      <c r="I127">
        <f>C131</f>
        <v>27.81</v>
      </c>
      <c r="J127">
        <f t="shared" ref="J127:J128" si="173">D131</f>
        <v>17.73</v>
      </c>
      <c r="K127">
        <f t="shared" ref="K127:K128" si="174">E131</f>
        <v>13.12</v>
      </c>
      <c r="L127">
        <f t="shared" ref="L127:L128" si="175">F131</f>
        <v>10.55</v>
      </c>
      <c r="N127" t="str">
        <f>TEXT(I130,"#,##0")&amp;" ("&amp;TEXT(I131,"0.00")&amp;")"</f>
        <v>0 (6863.00)</v>
      </c>
      <c r="O127" t="str">
        <f t="shared" ref="O127" si="176">TEXT(J130,"#,##0")&amp;" ("&amp;TEXT(J131,"0.00")&amp;")"</f>
        <v>0 (6057.00)</v>
      </c>
      <c r="P127" t="str">
        <f t="shared" ref="P127" si="177">TEXT(K130,"#,##0")&amp;" ("&amp;TEXT(K131,"0.00")&amp;")"</f>
        <v>0 (5581.00)</v>
      </c>
      <c r="Q127" t="str">
        <f t="shared" ref="Q127" si="178">TEXT(L130,"#,##0")&amp;" ("&amp;TEXT(L131,"0.00")&amp;")"</f>
        <v>0 (4914.00)</v>
      </c>
    </row>
    <row r="128" spans="1:17" x14ac:dyDescent="0.3">
      <c r="A128" s="2"/>
      <c r="B128" s="8">
        <v>2</v>
      </c>
      <c r="C128" s="11">
        <v>4886</v>
      </c>
      <c r="D128" s="11">
        <v>3116</v>
      </c>
      <c r="E128" s="11">
        <v>2305</v>
      </c>
      <c r="F128" s="11">
        <v>1854</v>
      </c>
      <c r="G128" s="11">
        <v>12161</v>
      </c>
      <c r="I128">
        <f>C132</f>
        <v>17571</v>
      </c>
      <c r="J128">
        <f t="shared" si="173"/>
        <v>17571</v>
      </c>
      <c r="K128">
        <f t="shared" si="174"/>
        <v>17562</v>
      </c>
      <c r="L128">
        <f t="shared" si="175"/>
        <v>17571</v>
      </c>
    </row>
    <row r="129" spans="1:17" x14ac:dyDescent="0.3">
      <c r="A129" s="2"/>
      <c r="B129" s="8"/>
      <c r="C129" s="11">
        <v>6.95</v>
      </c>
      <c r="D129" s="11">
        <v>4.43</v>
      </c>
      <c r="E129" s="11">
        <v>3.28</v>
      </c>
      <c r="F129" s="11">
        <v>2.64</v>
      </c>
      <c r="G129" s="11">
        <v>17.3</v>
      </c>
      <c r="I129">
        <f>C135</f>
        <v>0</v>
      </c>
      <c r="J129">
        <f t="shared" ref="J129:J130" si="179">D135</f>
        <v>0</v>
      </c>
      <c r="K129">
        <f t="shared" ref="K129:K130" si="180">E135</f>
        <v>0</v>
      </c>
      <c r="L129">
        <f t="shared" ref="L129:L130" si="181">F135</f>
        <v>0</v>
      </c>
    </row>
    <row r="130" spans="1:17" x14ac:dyDescent="0.3">
      <c r="A130" s="2"/>
      <c r="B130" s="8"/>
      <c r="C130" s="11">
        <v>40.18</v>
      </c>
      <c r="D130" s="11">
        <v>25.62</v>
      </c>
      <c r="E130" s="11">
        <v>18.95</v>
      </c>
      <c r="F130" s="11">
        <v>15.25</v>
      </c>
      <c r="G130" s="11"/>
      <c r="I130">
        <f>C136</f>
        <v>0</v>
      </c>
      <c r="J130">
        <f t="shared" si="179"/>
        <v>0</v>
      </c>
      <c r="K130">
        <f t="shared" si="180"/>
        <v>0</v>
      </c>
      <c r="L130">
        <f t="shared" si="181"/>
        <v>0</v>
      </c>
    </row>
    <row r="131" spans="1:17" x14ac:dyDescent="0.3">
      <c r="A131" s="2"/>
      <c r="B131" s="8"/>
      <c r="C131" s="11">
        <v>27.81</v>
      </c>
      <c r="D131" s="11">
        <v>17.73</v>
      </c>
      <c r="E131" s="11">
        <v>13.12</v>
      </c>
      <c r="F131" s="11">
        <v>10.55</v>
      </c>
      <c r="G131" s="11"/>
      <c r="I131">
        <f>C139</f>
        <v>6863</v>
      </c>
      <c r="J131">
        <f t="shared" ref="J131" si="182">D139</f>
        <v>6057</v>
      </c>
      <c r="K131">
        <f t="shared" ref="K131" si="183">E139</f>
        <v>5581</v>
      </c>
      <c r="L131">
        <f t="shared" ref="L131" si="184">F139</f>
        <v>4914</v>
      </c>
    </row>
    <row r="132" spans="1:17" x14ac:dyDescent="0.3">
      <c r="A132" s="2"/>
      <c r="B132" s="8" t="s">
        <v>24</v>
      </c>
      <c r="C132" s="11">
        <v>17571</v>
      </c>
      <c r="D132" s="11">
        <v>17571</v>
      </c>
      <c r="E132" s="11">
        <v>17562</v>
      </c>
      <c r="F132" s="11">
        <v>17571</v>
      </c>
      <c r="G132" s="11">
        <v>70275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24.99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31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23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6863</v>
      </c>
      <c r="D139" s="11">
        <v>6057</v>
      </c>
      <c r="E139" s="11">
        <v>5581</v>
      </c>
      <c r="F139" s="11">
        <v>4914</v>
      </c>
      <c r="G139" s="11">
        <v>23415</v>
      </c>
      <c r="I139">
        <f>C139</f>
        <v>6863</v>
      </c>
      <c r="J139">
        <f t="shared" ref="J139" si="185">D139</f>
        <v>6057</v>
      </c>
      <c r="K139">
        <f t="shared" ref="K139" si="186">E139</f>
        <v>5581</v>
      </c>
      <c r="L139">
        <f t="shared" ref="L139" si="187">F139</f>
        <v>4914</v>
      </c>
      <c r="N139" t="str">
        <f>TEXT(I139,"#,##0")&amp;" ("&amp;TEXT(I140,"0.00")&amp;")"</f>
        <v>6,863 (39.06)</v>
      </c>
      <c r="O139" t="str">
        <f t="shared" ref="O139" si="188">TEXT(J139,"#,##0")&amp;" ("&amp;TEXT(J140,"0.00")&amp;")"</f>
        <v>6,057 (34.47)</v>
      </c>
      <c r="P139" t="str">
        <f t="shared" ref="P139" si="189">TEXT(K139,"#,##0")&amp;" ("&amp;TEXT(K140,"0.00")&amp;")"</f>
        <v>5,581 (31.78)</v>
      </c>
      <c r="Q139" t="str">
        <f t="shared" ref="Q139" si="190">TEXT(L139,"#,##0")&amp;" ("&amp;TEXT(L140,"0.00")&amp;")"</f>
        <v>4,914 (27.97)</v>
      </c>
    </row>
    <row r="140" spans="1:17" x14ac:dyDescent="0.3">
      <c r="A140" s="2"/>
      <c r="B140" s="8"/>
      <c r="C140" s="11">
        <v>9.77</v>
      </c>
      <c r="D140" s="11">
        <v>8.6199999999999992</v>
      </c>
      <c r="E140" s="11">
        <v>7.94</v>
      </c>
      <c r="F140" s="11">
        <v>6.99</v>
      </c>
      <c r="G140" s="11">
        <v>33.32</v>
      </c>
      <c r="I140">
        <f>C142</f>
        <v>39.06</v>
      </c>
      <c r="J140">
        <f t="shared" ref="J140:J141" si="191">D142</f>
        <v>34.47</v>
      </c>
      <c r="K140">
        <f t="shared" ref="K140:K141" si="192">E142</f>
        <v>31.78</v>
      </c>
      <c r="L140">
        <f t="shared" ref="L140:L141" si="193">F142</f>
        <v>27.97</v>
      </c>
      <c r="N140" t="str">
        <f>TEXT(I141,"#,##0")&amp;" ("&amp;TEXT(I142,"0.00")&amp;")"</f>
        <v>8,134 (46.29)</v>
      </c>
      <c r="O140" t="str">
        <f t="shared" ref="O140" si="194">TEXT(J141,"#,##0")&amp;" ("&amp;TEXT(J142,"0.00")&amp;")"</f>
        <v>8,436 (48.01)</v>
      </c>
      <c r="P140" t="str">
        <f t="shared" ref="P140" si="195">TEXT(K141,"#,##0")&amp;" ("&amp;TEXT(K142,"0.00")&amp;")"</f>
        <v>8,607 (49.01)</v>
      </c>
      <c r="Q140" t="str">
        <f t="shared" ref="Q140" si="196">TEXT(L141,"#,##0")&amp;" ("&amp;TEXT(L142,"0.00")&amp;")"</f>
        <v>8,789 (50.02)</v>
      </c>
    </row>
    <row r="141" spans="1:17" x14ac:dyDescent="0.3">
      <c r="A141" s="2"/>
      <c r="B141" s="8"/>
      <c r="C141" s="11">
        <v>29.31</v>
      </c>
      <c r="D141" s="11">
        <v>25.87</v>
      </c>
      <c r="E141" s="11">
        <v>23.84</v>
      </c>
      <c r="F141" s="11">
        <v>20.99</v>
      </c>
      <c r="G141" s="11"/>
      <c r="I141">
        <f>C143</f>
        <v>8134</v>
      </c>
      <c r="J141">
        <f t="shared" si="191"/>
        <v>8436</v>
      </c>
      <c r="K141">
        <f t="shared" si="192"/>
        <v>8607</v>
      </c>
      <c r="L141">
        <f t="shared" si="193"/>
        <v>8789</v>
      </c>
      <c r="N141" t="str">
        <f>TEXT(I143,"#,##0")&amp;" ("&amp;TEXT(I144,"0.00")&amp;")"</f>
        <v>2,574 (14.65)</v>
      </c>
      <c r="O141" t="str">
        <f t="shared" ref="O141" si="197">TEXT(J143,"#,##0")&amp;" ("&amp;TEXT(J144,"0.00")&amp;")"</f>
        <v>3,078 (17.52)</v>
      </c>
      <c r="P141" t="str">
        <f t="shared" ref="P141" si="198">TEXT(K143,"#,##0")&amp;" ("&amp;TEXT(K144,"0.00")&amp;")"</f>
        <v>3,374 (19.21)</v>
      </c>
      <c r="Q141" t="str">
        <f t="shared" ref="Q141" si="199">TEXT(L143,"#,##0")&amp;" ("&amp;TEXT(L144,"0.00")&amp;")"</f>
        <v>3,868 (22.01)</v>
      </c>
    </row>
    <row r="142" spans="1:17" x14ac:dyDescent="0.3">
      <c r="A142" s="2"/>
      <c r="B142" s="8"/>
      <c r="C142" s="11">
        <v>39.06</v>
      </c>
      <c r="D142" s="11">
        <v>34.47</v>
      </c>
      <c r="E142" s="11">
        <v>31.78</v>
      </c>
      <c r="F142" s="11">
        <v>27.97</v>
      </c>
      <c r="G142" s="11"/>
      <c r="I142">
        <f>C146</f>
        <v>46.29</v>
      </c>
      <c r="J142">
        <f t="shared" ref="J142:J143" si="200">D146</f>
        <v>48.01</v>
      </c>
      <c r="K142">
        <f t="shared" ref="K142:K143" si="201">E146</f>
        <v>49.01</v>
      </c>
      <c r="L142">
        <f t="shared" ref="L142:L143" si="202">F146</f>
        <v>50.02</v>
      </c>
      <c r="N142" t="str">
        <f>TEXT(I145,"#,##0")&amp;" ("&amp;TEXT(I146,"0.00")&amp;")"</f>
        <v>17,571 (0.00)</v>
      </c>
      <c r="O142" t="str">
        <f t="shared" ref="O142" si="203">TEXT(J145,"#,##0")&amp;" ("&amp;TEXT(J146,"0.00")&amp;")"</f>
        <v>17,571 (0.00)</v>
      </c>
      <c r="P142" t="str">
        <f t="shared" ref="P142" si="204">TEXT(K145,"#,##0")&amp;" ("&amp;TEXT(K146,"0.00")&amp;")"</f>
        <v>17,562 (0.00)</v>
      </c>
      <c r="Q142" t="str">
        <f t="shared" ref="Q142" si="205">TEXT(L145,"#,##0")&amp;" ("&amp;TEXT(L146,"0.00")&amp;")"</f>
        <v>17,571 (0.00)</v>
      </c>
    </row>
    <row r="143" spans="1:17" x14ac:dyDescent="0.3">
      <c r="A143" s="2"/>
      <c r="B143" s="8">
        <v>2</v>
      </c>
      <c r="C143" s="11">
        <v>8134</v>
      </c>
      <c r="D143" s="11">
        <v>8436</v>
      </c>
      <c r="E143" s="11">
        <v>8607</v>
      </c>
      <c r="F143" s="11">
        <v>8789</v>
      </c>
      <c r="G143" s="11">
        <v>33966</v>
      </c>
      <c r="I143">
        <f>C147</f>
        <v>2574</v>
      </c>
      <c r="J143">
        <f t="shared" si="200"/>
        <v>3078</v>
      </c>
      <c r="K143">
        <f t="shared" si="201"/>
        <v>3374</v>
      </c>
      <c r="L143">
        <f t="shared" si="202"/>
        <v>3868</v>
      </c>
    </row>
    <row r="144" spans="1:17" x14ac:dyDescent="0.3">
      <c r="A144" s="2"/>
      <c r="B144" s="8"/>
      <c r="C144" s="11">
        <v>11.57</v>
      </c>
      <c r="D144" s="11">
        <v>12</v>
      </c>
      <c r="E144" s="11">
        <v>12.25</v>
      </c>
      <c r="F144" s="11">
        <v>12.51</v>
      </c>
      <c r="G144" s="11">
        <v>48.33</v>
      </c>
      <c r="I144">
        <f>C150</f>
        <v>14.65</v>
      </c>
      <c r="J144">
        <f t="shared" ref="J144:J145" si="206">D150</f>
        <v>17.52</v>
      </c>
      <c r="K144">
        <f t="shared" ref="K144:K145" si="207">E150</f>
        <v>19.21</v>
      </c>
      <c r="L144">
        <f t="shared" ref="L144:L145" si="208">F150</f>
        <v>22.01</v>
      </c>
    </row>
    <row r="145" spans="1:17" x14ac:dyDescent="0.3">
      <c r="A145" s="2"/>
      <c r="B145" s="8"/>
      <c r="C145" s="11">
        <v>23.95</v>
      </c>
      <c r="D145" s="11">
        <v>24.84</v>
      </c>
      <c r="E145" s="11">
        <v>25.34</v>
      </c>
      <c r="F145" s="11">
        <v>25.88</v>
      </c>
      <c r="G145" s="11"/>
      <c r="I145">
        <f>C151</f>
        <v>17571</v>
      </c>
      <c r="J145">
        <f t="shared" si="206"/>
        <v>17571</v>
      </c>
      <c r="K145">
        <f t="shared" si="207"/>
        <v>17562</v>
      </c>
      <c r="L145">
        <f t="shared" si="208"/>
        <v>17571</v>
      </c>
    </row>
    <row r="146" spans="1:17" x14ac:dyDescent="0.3">
      <c r="A146" s="2"/>
      <c r="B146" s="8"/>
      <c r="C146" s="11">
        <v>46.29</v>
      </c>
      <c r="D146" s="11">
        <v>48.01</v>
      </c>
      <c r="E146" s="11">
        <v>49.01</v>
      </c>
      <c r="F146" s="11">
        <v>50.02</v>
      </c>
      <c r="G146" s="11"/>
      <c r="I146">
        <f>C154</f>
        <v>0</v>
      </c>
      <c r="J146">
        <f t="shared" ref="J146" si="209">D154</f>
        <v>0</v>
      </c>
      <c r="K146">
        <f t="shared" ref="K146" si="210">E154</f>
        <v>0</v>
      </c>
      <c r="L146">
        <f t="shared" ref="L146" si="211">F154</f>
        <v>0</v>
      </c>
    </row>
    <row r="147" spans="1:17" x14ac:dyDescent="0.3">
      <c r="A147" s="2"/>
      <c r="B147" s="8">
        <v>3</v>
      </c>
      <c r="C147" s="11">
        <v>2574</v>
      </c>
      <c r="D147" s="11">
        <v>3078</v>
      </c>
      <c r="E147" s="11">
        <v>3374</v>
      </c>
      <c r="F147" s="11">
        <v>3868</v>
      </c>
      <c r="G147" s="11">
        <v>12894</v>
      </c>
    </row>
    <row r="148" spans="1:17" x14ac:dyDescent="0.3">
      <c r="A148" s="2"/>
      <c r="B148" s="8"/>
      <c r="C148" s="11">
        <v>3.66</v>
      </c>
      <c r="D148" s="11">
        <v>4.38</v>
      </c>
      <c r="E148" s="11">
        <v>4.8</v>
      </c>
      <c r="F148" s="11">
        <v>5.5</v>
      </c>
      <c r="G148" s="11">
        <v>18.350000000000001</v>
      </c>
    </row>
    <row r="149" spans="1:17" x14ac:dyDescent="0.3">
      <c r="A149" s="2"/>
      <c r="B149" s="8"/>
      <c r="C149" s="11">
        <v>19.96</v>
      </c>
      <c r="D149" s="11">
        <v>23.87</v>
      </c>
      <c r="E149" s="11">
        <v>26.17</v>
      </c>
      <c r="F149" s="11">
        <v>30</v>
      </c>
      <c r="G149" s="11"/>
    </row>
    <row r="150" spans="1:17" x14ac:dyDescent="0.3">
      <c r="A150" s="2"/>
      <c r="B150" s="8"/>
      <c r="C150" s="11">
        <v>14.65</v>
      </c>
      <c r="D150" s="11">
        <v>17.52</v>
      </c>
      <c r="E150" s="11">
        <v>19.21</v>
      </c>
      <c r="F150" s="11">
        <v>22.01</v>
      </c>
      <c r="G150" s="11"/>
    </row>
    <row r="151" spans="1:17" x14ac:dyDescent="0.3">
      <c r="A151" s="2"/>
      <c r="B151" s="8" t="s">
        <v>24</v>
      </c>
      <c r="C151" s="11">
        <v>17571</v>
      </c>
      <c r="D151" s="11">
        <v>17571</v>
      </c>
      <c r="E151" s="11">
        <v>17562</v>
      </c>
      <c r="F151" s="11">
        <v>17571</v>
      </c>
      <c r="G151" s="11">
        <v>70275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24.99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32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23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4889</v>
      </c>
      <c r="D158" s="11">
        <v>4577</v>
      </c>
      <c r="E158" s="11">
        <v>4547</v>
      </c>
      <c r="F158" s="11">
        <v>4728</v>
      </c>
      <c r="G158" s="11">
        <v>18741</v>
      </c>
      <c r="I158">
        <f>C158</f>
        <v>4889</v>
      </c>
      <c r="J158">
        <f t="shared" ref="J158" si="212">D158</f>
        <v>4577</v>
      </c>
      <c r="K158">
        <f t="shared" ref="K158" si="213">E158</f>
        <v>4547</v>
      </c>
      <c r="L158">
        <f t="shared" ref="L158" si="214">F158</f>
        <v>4728</v>
      </c>
      <c r="N158" t="str">
        <f>TEXT(I158,"#,##0")&amp;" ("&amp;TEXT(I159,"0.00")&amp;")"</f>
        <v>4,889 (27.82)</v>
      </c>
      <c r="O158" t="str">
        <f t="shared" ref="O158" si="215">TEXT(J158,"#,##0")&amp;" ("&amp;TEXT(J159,"0.00")&amp;")"</f>
        <v>4,577 (26.05)</v>
      </c>
      <c r="P158" t="str">
        <f t="shared" ref="P158" si="216">TEXT(K158,"#,##0")&amp;" ("&amp;TEXT(K159,"0.00")&amp;")"</f>
        <v>4,547 (25.89)</v>
      </c>
      <c r="Q158" t="str">
        <f t="shared" ref="Q158" si="217">TEXT(L158,"#,##0")&amp;" ("&amp;TEXT(L159,"0.00")&amp;")"</f>
        <v>4,728 (26.91)</v>
      </c>
    </row>
    <row r="159" spans="1:17" x14ac:dyDescent="0.3">
      <c r="A159" s="2"/>
      <c r="B159" s="8"/>
      <c r="C159" s="11">
        <v>6.96</v>
      </c>
      <c r="D159" s="11">
        <v>6.51</v>
      </c>
      <c r="E159" s="11">
        <v>6.47</v>
      </c>
      <c r="F159" s="11">
        <v>6.73</v>
      </c>
      <c r="G159" s="11">
        <v>26.67</v>
      </c>
      <c r="I159">
        <f>C161</f>
        <v>27.82</v>
      </c>
      <c r="J159">
        <f t="shared" ref="J159:J160" si="218">D161</f>
        <v>26.05</v>
      </c>
      <c r="K159">
        <f t="shared" ref="K159:K160" si="219">E161</f>
        <v>25.89</v>
      </c>
      <c r="L159">
        <f t="shared" ref="L159:L160" si="220">F161</f>
        <v>26.91</v>
      </c>
      <c r="N159" t="str">
        <f>TEXT(I160,"#,##0")&amp;" ("&amp;TEXT(I161,"0.00")&amp;")"</f>
        <v>10,343 (58.86)</v>
      </c>
      <c r="O159" t="str">
        <f t="shared" ref="O159" si="221">TEXT(J160,"#,##0")&amp;" ("&amp;TEXT(J161,"0.00")&amp;")"</f>
        <v>10,216 (58.14)</v>
      </c>
      <c r="P159" t="str">
        <f t="shared" ref="P159" si="222">TEXT(K160,"#,##0")&amp;" ("&amp;TEXT(K161,"0.00")&amp;")"</f>
        <v>10,026 (57.09)</v>
      </c>
      <c r="Q159" t="str">
        <f t="shared" ref="Q159" si="223">TEXT(L160,"#,##0")&amp;" ("&amp;TEXT(L161,"0.00")&amp;")"</f>
        <v>9,848 (56.05)</v>
      </c>
    </row>
    <row r="160" spans="1:17" x14ac:dyDescent="0.3">
      <c r="A160" s="2"/>
      <c r="B160" s="8"/>
      <c r="C160" s="11">
        <v>26.09</v>
      </c>
      <c r="D160" s="11">
        <v>24.42</v>
      </c>
      <c r="E160" s="11">
        <v>24.26</v>
      </c>
      <c r="F160" s="11">
        <v>25.23</v>
      </c>
      <c r="G160" s="11"/>
      <c r="I160">
        <f>C162</f>
        <v>10343</v>
      </c>
      <c r="J160">
        <f t="shared" si="218"/>
        <v>10216</v>
      </c>
      <c r="K160">
        <f t="shared" si="219"/>
        <v>10026</v>
      </c>
      <c r="L160">
        <f t="shared" si="220"/>
        <v>9848</v>
      </c>
      <c r="N160" t="str">
        <f>TEXT(I162,"#,##0")&amp;" ("&amp;TEXT(I163,"0.00")&amp;")"</f>
        <v>2,339 (13.31)</v>
      </c>
      <c r="O160" t="str">
        <f t="shared" ref="O160" si="224">TEXT(J162,"#,##0")&amp;" ("&amp;TEXT(J163,"0.00")&amp;")"</f>
        <v>2,778 (15.81)</v>
      </c>
      <c r="P160" t="str">
        <f t="shared" ref="P160" si="225">TEXT(K162,"#,##0")&amp;" ("&amp;TEXT(K163,"0.00")&amp;")"</f>
        <v>2,989 (17.02)</v>
      </c>
      <c r="Q160" t="str">
        <f t="shared" ref="Q160" si="226">TEXT(L162,"#,##0")&amp;" ("&amp;TEXT(L163,"0.00")&amp;")"</f>
        <v>2,995 (17.05)</v>
      </c>
    </row>
    <row r="161" spans="1:17" x14ac:dyDescent="0.3">
      <c r="A161" s="2"/>
      <c r="B161" s="8"/>
      <c r="C161" s="11">
        <v>27.82</v>
      </c>
      <c r="D161" s="11">
        <v>26.05</v>
      </c>
      <c r="E161" s="11">
        <v>25.89</v>
      </c>
      <c r="F161" s="11">
        <v>26.91</v>
      </c>
      <c r="G161" s="11"/>
      <c r="I161">
        <f>C165</f>
        <v>58.86</v>
      </c>
      <c r="J161">
        <f t="shared" ref="J161:J162" si="227">D165</f>
        <v>58.14</v>
      </c>
      <c r="K161">
        <f t="shared" ref="K161:K162" si="228">E165</f>
        <v>57.09</v>
      </c>
      <c r="L161">
        <f t="shared" ref="L161:L162" si="229">F165</f>
        <v>56.05</v>
      </c>
      <c r="N161" t="str">
        <f>TEXT(I164,"#,##0")&amp;" ("&amp;TEXT(I165,"0.00")&amp;")"</f>
        <v>17,571 (0.00)</v>
      </c>
      <c r="O161" t="str">
        <f t="shared" ref="O161" si="230">TEXT(J164,"#,##0")&amp;" ("&amp;TEXT(J165,"0.00")&amp;")"</f>
        <v>17,571 (0.00)</v>
      </c>
      <c r="P161" t="str">
        <f t="shared" ref="P161" si="231">TEXT(K164,"#,##0")&amp;" ("&amp;TEXT(K165,"0.00")&amp;")"</f>
        <v>17,562 (0.00)</v>
      </c>
      <c r="Q161" t="str">
        <f t="shared" ref="Q161" si="232">TEXT(L164,"#,##0")&amp;" ("&amp;TEXT(L165,"0.00")&amp;")"</f>
        <v>17,571 (0.00)</v>
      </c>
    </row>
    <row r="162" spans="1:17" x14ac:dyDescent="0.3">
      <c r="A162" s="2"/>
      <c r="B162" s="8">
        <v>2</v>
      </c>
      <c r="C162" s="11">
        <v>10343</v>
      </c>
      <c r="D162" s="11">
        <v>10216</v>
      </c>
      <c r="E162" s="11">
        <v>10026</v>
      </c>
      <c r="F162" s="11">
        <v>9848</v>
      </c>
      <c r="G162" s="11">
        <v>40433</v>
      </c>
      <c r="I162">
        <f>C166</f>
        <v>2339</v>
      </c>
      <c r="J162">
        <f t="shared" si="227"/>
        <v>2778</v>
      </c>
      <c r="K162">
        <f t="shared" si="228"/>
        <v>2989</v>
      </c>
      <c r="L162">
        <f t="shared" si="229"/>
        <v>2995</v>
      </c>
    </row>
    <row r="163" spans="1:17" x14ac:dyDescent="0.3">
      <c r="A163" s="2"/>
      <c r="B163" s="8"/>
      <c r="C163" s="11">
        <v>14.72</v>
      </c>
      <c r="D163" s="11">
        <v>14.54</v>
      </c>
      <c r="E163" s="11">
        <v>14.27</v>
      </c>
      <c r="F163" s="11">
        <v>14.01</v>
      </c>
      <c r="G163" s="11">
        <v>57.54</v>
      </c>
      <c r="I163">
        <f>C169</f>
        <v>13.31</v>
      </c>
      <c r="J163">
        <f t="shared" ref="J163:J164" si="233">D169</f>
        <v>15.81</v>
      </c>
      <c r="K163">
        <f t="shared" ref="K163:K164" si="234">E169</f>
        <v>17.02</v>
      </c>
      <c r="L163">
        <f t="shared" ref="L163:L164" si="235">F169</f>
        <v>17.05</v>
      </c>
    </row>
    <row r="164" spans="1:17" x14ac:dyDescent="0.3">
      <c r="A164" s="2"/>
      <c r="B164" s="8"/>
      <c r="C164" s="11">
        <v>25.58</v>
      </c>
      <c r="D164" s="11">
        <v>25.27</v>
      </c>
      <c r="E164" s="11">
        <v>24.8</v>
      </c>
      <c r="F164" s="11">
        <v>24.36</v>
      </c>
      <c r="G164" s="11"/>
      <c r="I164">
        <f>C170</f>
        <v>17571</v>
      </c>
      <c r="J164">
        <f t="shared" si="233"/>
        <v>17571</v>
      </c>
      <c r="K164">
        <f t="shared" si="234"/>
        <v>17562</v>
      </c>
      <c r="L164">
        <f t="shared" si="235"/>
        <v>17571</v>
      </c>
    </row>
    <row r="165" spans="1:17" x14ac:dyDescent="0.3">
      <c r="A165" s="2"/>
      <c r="B165" s="8"/>
      <c r="C165" s="11">
        <v>58.86</v>
      </c>
      <c r="D165" s="11">
        <v>58.14</v>
      </c>
      <c r="E165" s="11">
        <v>57.09</v>
      </c>
      <c r="F165" s="11">
        <v>56.05</v>
      </c>
      <c r="G165" s="11"/>
      <c r="I165">
        <f>C173</f>
        <v>0</v>
      </c>
      <c r="J165">
        <f t="shared" ref="J165" si="236">D173</f>
        <v>0</v>
      </c>
      <c r="K165">
        <f t="shared" ref="K165" si="237">E173</f>
        <v>0</v>
      </c>
      <c r="L165">
        <f t="shared" ref="L165" si="238">F173</f>
        <v>0</v>
      </c>
    </row>
    <row r="166" spans="1:17" x14ac:dyDescent="0.3">
      <c r="A166" s="2"/>
      <c r="B166" s="8">
        <v>3</v>
      </c>
      <c r="C166" s="11">
        <v>2339</v>
      </c>
      <c r="D166" s="11">
        <v>2778</v>
      </c>
      <c r="E166" s="11">
        <v>2989</v>
      </c>
      <c r="F166" s="11">
        <v>2995</v>
      </c>
      <c r="G166" s="11">
        <v>11101</v>
      </c>
    </row>
    <row r="167" spans="1:17" x14ac:dyDescent="0.3">
      <c r="A167" s="2"/>
      <c r="B167" s="8"/>
      <c r="C167" s="11">
        <v>3.33</v>
      </c>
      <c r="D167" s="11">
        <v>3.95</v>
      </c>
      <c r="E167" s="11">
        <v>4.25</v>
      </c>
      <c r="F167" s="11">
        <v>4.26</v>
      </c>
      <c r="G167" s="11">
        <v>15.8</v>
      </c>
    </row>
    <row r="168" spans="1:17" x14ac:dyDescent="0.3">
      <c r="A168" s="2"/>
      <c r="B168" s="8"/>
      <c r="C168" s="11">
        <v>21.07</v>
      </c>
      <c r="D168" s="11">
        <v>25.02</v>
      </c>
      <c r="E168" s="11">
        <v>26.93</v>
      </c>
      <c r="F168" s="11">
        <v>26.98</v>
      </c>
      <c r="G168" s="11"/>
    </row>
    <row r="169" spans="1:17" x14ac:dyDescent="0.3">
      <c r="A169" s="2"/>
      <c r="B169" s="8"/>
      <c r="C169" s="11">
        <v>13.31</v>
      </c>
      <c r="D169" s="11">
        <v>15.81</v>
      </c>
      <c r="E169" s="11">
        <v>17.02</v>
      </c>
      <c r="F169" s="11">
        <v>17.05</v>
      </c>
      <c r="G169" s="11"/>
    </row>
    <row r="170" spans="1:17" x14ac:dyDescent="0.3">
      <c r="A170" s="2"/>
      <c r="B170" s="8" t="s">
        <v>24</v>
      </c>
      <c r="C170" s="11">
        <v>17571</v>
      </c>
      <c r="D170" s="11">
        <v>17571</v>
      </c>
      <c r="E170" s="11">
        <v>17562</v>
      </c>
      <c r="F170" s="11">
        <v>17571</v>
      </c>
      <c r="G170" s="11">
        <v>70275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24.99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33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23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7301</v>
      </c>
      <c r="D177" s="11">
        <v>7275</v>
      </c>
      <c r="E177" s="11">
        <v>7013</v>
      </c>
      <c r="F177" s="11">
        <v>5894</v>
      </c>
      <c r="G177" s="11">
        <v>27483</v>
      </c>
      <c r="I177">
        <f>C177</f>
        <v>7301</v>
      </c>
      <c r="J177">
        <f t="shared" ref="J177" si="239">D177</f>
        <v>7275</v>
      </c>
      <c r="K177">
        <f t="shared" ref="K177" si="240">E177</f>
        <v>7013</v>
      </c>
      <c r="L177">
        <f t="shared" ref="L177" si="241">F177</f>
        <v>5894</v>
      </c>
      <c r="N177" t="str">
        <f>TEXT(I177,"#,##0")&amp;" ("&amp;TEXT(I178,"0.00")&amp;")"</f>
        <v>7,301 (41.55)</v>
      </c>
      <c r="O177" t="str">
        <f t="shared" ref="O177" si="242">TEXT(J177,"#,##0")&amp;" ("&amp;TEXT(J178,"0.00")&amp;")"</f>
        <v>7,275 (41.40)</v>
      </c>
      <c r="P177" t="str">
        <f t="shared" ref="P177" si="243">TEXT(K177,"#,##0")&amp;" ("&amp;TEXT(K178,"0.00")&amp;")"</f>
        <v>7,013 (39.93)</v>
      </c>
      <c r="Q177" t="str">
        <f t="shared" ref="Q177" si="244">TEXT(L177,"#,##0")&amp;" ("&amp;TEXT(L178,"0.00")&amp;")"</f>
        <v>5,894 (33.54)</v>
      </c>
    </row>
    <row r="178" spans="1:17" x14ac:dyDescent="0.3">
      <c r="A178" s="2"/>
      <c r="B178" s="8"/>
      <c r="C178" s="11">
        <v>10.39</v>
      </c>
      <c r="D178" s="11">
        <v>10.35</v>
      </c>
      <c r="E178" s="11">
        <v>9.98</v>
      </c>
      <c r="F178" s="11">
        <v>8.39</v>
      </c>
      <c r="G178" s="11">
        <v>39.11</v>
      </c>
      <c r="I178">
        <f>C180</f>
        <v>41.55</v>
      </c>
      <c r="J178">
        <f t="shared" ref="J178:J179" si="245">D180</f>
        <v>41.4</v>
      </c>
      <c r="K178">
        <f t="shared" ref="K178:K179" si="246">E180</f>
        <v>39.93</v>
      </c>
      <c r="L178">
        <f t="shared" ref="L178:L179" si="247">F180</f>
        <v>33.54</v>
      </c>
      <c r="N178" t="str">
        <f>TEXT(I179,"#,##0")&amp;" ("&amp;TEXT(I180,"0.00")&amp;")"</f>
        <v>7,232 (41.16)</v>
      </c>
      <c r="O178" t="str">
        <f t="shared" ref="O178" si="248">TEXT(J179,"#,##0")&amp;" ("&amp;TEXT(J180,"0.00")&amp;")"</f>
        <v>6,586 (37.48)</v>
      </c>
      <c r="P178" t="str">
        <f t="shared" ref="P178" si="249">TEXT(K179,"#,##0")&amp;" ("&amp;TEXT(K180,"0.00")&amp;")"</f>
        <v>6,125 (34.88)</v>
      </c>
      <c r="Q178" t="str">
        <f t="shared" ref="Q178" si="250">TEXT(L179,"#,##0")&amp;" ("&amp;TEXT(L180,"0.00")&amp;")"</f>
        <v>5,617 (31.97)</v>
      </c>
    </row>
    <row r="179" spans="1:17" x14ac:dyDescent="0.3">
      <c r="A179" s="2"/>
      <c r="B179" s="8"/>
      <c r="C179" s="11">
        <v>26.57</v>
      </c>
      <c r="D179" s="11">
        <v>26.47</v>
      </c>
      <c r="E179" s="11">
        <v>25.52</v>
      </c>
      <c r="F179" s="11">
        <v>21.45</v>
      </c>
      <c r="G179" s="11"/>
      <c r="I179">
        <f>C181</f>
        <v>7232</v>
      </c>
      <c r="J179">
        <f t="shared" si="245"/>
        <v>6586</v>
      </c>
      <c r="K179">
        <f t="shared" si="246"/>
        <v>6125</v>
      </c>
      <c r="L179">
        <f t="shared" si="247"/>
        <v>5617</v>
      </c>
      <c r="N179" t="str">
        <f>TEXT(I181,"#,##0")&amp;" ("&amp;TEXT(I182,"0.00")&amp;")"</f>
        <v>3,038 (17.29)</v>
      </c>
      <c r="O179" t="str">
        <f t="shared" ref="O179" si="251">TEXT(J181,"#,##0")&amp;" ("&amp;TEXT(J182,"0.00")&amp;")"</f>
        <v>3,710 (21.11)</v>
      </c>
      <c r="P179" t="str">
        <f t="shared" ref="P179" si="252">TEXT(K181,"#,##0")&amp;" ("&amp;TEXT(K182,"0.00")&amp;")"</f>
        <v>4,424 (25.19)</v>
      </c>
      <c r="Q179" t="str">
        <f t="shared" ref="Q179" si="253">TEXT(L181,"#,##0")&amp;" ("&amp;TEXT(L182,"0.00")&amp;")"</f>
        <v>6,060 (34.49)</v>
      </c>
    </row>
    <row r="180" spans="1:17" x14ac:dyDescent="0.3">
      <c r="A180" s="2"/>
      <c r="B180" s="8"/>
      <c r="C180" s="11">
        <v>41.55</v>
      </c>
      <c r="D180" s="11">
        <v>41.4</v>
      </c>
      <c r="E180" s="11">
        <v>39.93</v>
      </c>
      <c r="F180" s="11">
        <v>33.54</v>
      </c>
      <c r="G180" s="11"/>
      <c r="I180">
        <f>C184</f>
        <v>41.16</v>
      </c>
      <c r="J180">
        <f t="shared" ref="J180:J181" si="254">D184</f>
        <v>37.479999999999997</v>
      </c>
      <c r="K180">
        <f t="shared" ref="K180:K181" si="255">E184</f>
        <v>34.880000000000003</v>
      </c>
      <c r="L180">
        <f t="shared" ref="L180:L181" si="256">F184</f>
        <v>31.97</v>
      </c>
      <c r="N180" t="str">
        <f>TEXT(I183,"#,##0")&amp;" ("&amp;TEXT(I184,"0.00")&amp;")"</f>
        <v>17,571 (0.00)</v>
      </c>
      <c r="O180" t="str">
        <f t="shared" ref="O180" si="257">TEXT(J183,"#,##0")&amp;" ("&amp;TEXT(J184,"0.00")&amp;")"</f>
        <v>17,571 (0.00)</v>
      </c>
      <c r="P180" t="str">
        <f t="shared" ref="P180" si="258">TEXT(K183,"#,##0")&amp;" ("&amp;TEXT(K184,"0.00")&amp;")"</f>
        <v>17,562 (0.00)</v>
      </c>
      <c r="Q180" t="str">
        <f t="shared" ref="Q180" si="259">TEXT(L183,"#,##0")&amp;" ("&amp;TEXT(L184,"0.00")&amp;")"</f>
        <v>17,571 (0.00)</v>
      </c>
    </row>
    <row r="181" spans="1:17" x14ac:dyDescent="0.3">
      <c r="A181" s="2"/>
      <c r="B181" s="8">
        <v>2</v>
      </c>
      <c r="C181" s="11">
        <v>7232</v>
      </c>
      <c r="D181" s="11">
        <v>6586</v>
      </c>
      <c r="E181" s="11">
        <v>6125</v>
      </c>
      <c r="F181" s="11">
        <v>5617</v>
      </c>
      <c r="G181" s="11">
        <v>25560</v>
      </c>
      <c r="I181">
        <f>C185</f>
        <v>3038</v>
      </c>
      <c r="J181">
        <f t="shared" si="254"/>
        <v>3710</v>
      </c>
      <c r="K181">
        <f t="shared" si="255"/>
        <v>4424</v>
      </c>
      <c r="L181">
        <f t="shared" si="256"/>
        <v>6060</v>
      </c>
    </row>
    <row r="182" spans="1:17" x14ac:dyDescent="0.3">
      <c r="A182" s="2"/>
      <c r="B182" s="8"/>
      <c r="C182" s="11">
        <v>10.29</v>
      </c>
      <c r="D182" s="11">
        <v>9.3699999999999992</v>
      </c>
      <c r="E182" s="11">
        <v>8.7200000000000006</v>
      </c>
      <c r="F182" s="11">
        <v>7.99</v>
      </c>
      <c r="G182" s="11">
        <v>36.369999999999997</v>
      </c>
      <c r="I182">
        <f>C188</f>
        <v>17.29</v>
      </c>
      <c r="J182">
        <f t="shared" ref="J182:J183" si="260">D188</f>
        <v>21.11</v>
      </c>
      <c r="K182">
        <f t="shared" ref="K182:K183" si="261">E188</f>
        <v>25.19</v>
      </c>
      <c r="L182">
        <f t="shared" ref="L182:L183" si="262">F188</f>
        <v>34.49</v>
      </c>
    </row>
    <row r="183" spans="1:17" x14ac:dyDescent="0.3">
      <c r="A183" s="2"/>
      <c r="B183" s="8"/>
      <c r="C183" s="11">
        <v>28.29</v>
      </c>
      <c r="D183" s="11">
        <v>25.77</v>
      </c>
      <c r="E183" s="11">
        <v>23.96</v>
      </c>
      <c r="F183" s="11">
        <v>21.98</v>
      </c>
      <c r="G183" s="11"/>
      <c r="I183">
        <f>C189</f>
        <v>17571</v>
      </c>
      <c r="J183">
        <f t="shared" si="260"/>
        <v>17571</v>
      </c>
      <c r="K183">
        <f t="shared" si="261"/>
        <v>17562</v>
      </c>
      <c r="L183">
        <f t="shared" si="262"/>
        <v>17571</v>
      </c>
    </row>
    <row r="184" spans="1:17" x14ac:dyDescent="0.3">
      <c r="A184" s="2"/>
      <c r="B184" s="8"/>
      <c r="C184" s="11">
        <v>41.16</v>
      </c>
      <c r="D184" s="11">
        <v>37.479999999999997</v>
      </c>
      <c r="E184" s="11">
        <v>34.880000000000003</v>
      </c>
      <c r="F184" s="11">
        <v>31.97</v>
      </c>
      <c r="G184" s="11"/>
      <c r="I184">
        <f>C192</f>
        <v>0</v>
      </c>
      <c r="J184">
        <f t="shared" ref="J184" si="263">D192</f>
        <v>0</v>
      </c>
      <c r="K184">
        <f t="shared" ref="K184" si="264">E192</f>
        <v>0</v>
      </c>
      <c r="L184">
        <f t="shared" ref="L184" si="265">F192</f>
        <v>0</v>
      </c>
    </row>
    <row r="185" spans="1:17" x14ac:dyDescent="0.3">
      <c r="A185" s="2"/>
      <c r="B185" s="8">
        <v>3</v>
      </c>
      <c r="C185" s="11">
        <v>3038</v>
      </c>
      <c r="D185" s="11">
        <v>3710</v>
      </c>
      <c r="E185" s="11">
        <v>4424</v>
      </c>
      <c r="F185" s="11">
        <v>6060</v>
      </c>
      <c r="G185" s="11">
        <v>17232</v>
      </c>
    </row>
    <row r="186" spans="1:17" x14ac:dyDescent="0.3">
      <c r="A186" s="2"/>
      <c r="B186" s="8"/>
      <c r="C186" s="11">
        <v>4.32</v>
      </c>
      <c r="D186" s="11">
        <v>5.28</v>
      </c>
      <c r="E186" s="11">
        <v>6.3</v>
      </c>
      <c r="F186" s="11">
        <v>8.6199999999999992</v>
      </c>
      <c r="G186" s="11">
        <v>24.52</v>
      </c>
    </row>
    <row r="187" spans="1:17" x14ac:dyDescent="0.3">
      <c r="A187" s="2"/>
      <c r="B187" s="8"/>
      <c r="C187" s="11">
        <v>17.63</v>
      </c>
      <c r="D187" s="11">
        <v>21.53</v>
      </c>
      <c r="E187" s="11">
        <v>25.67</v>
      </c>
      <c r="F187" s="11">
        <v>35.17</v>
      </c>
      <c r="G187" s="11"/>
    </row>
    <row r="188" spans="1:17" x14ac:dyDescent="0.3">
      <c r="A188" s="2"/>
      <c r="B188" s="8"/>
      <c r="C188" s="11">
        <v>17.29</v>
      </c>
      <c r="D188" s="11">
        <v>21.11</v>
      </c>
      <c r="E188" s="11">
        <v>25.19</v>
      </c>
      <c r="F188" s="11">
        <v>34.49</v>
      </c>
      <c r="G188" s="11"/>
    </row>
    <row r="189" spans="1:17" x14ac:dyDescent="0.3">
      <c r="A189" s="2"/>
      <c r="B189" s="8" t="s">
        <v>24</v>
      </c>
      <c r="C189" s="11">
        <v>17571</v>
      </c>
      <c r="D189" s="11">
        <v>17571</v>
      </c>
      <c r="E189" s="11">
        <v>17562</v>
      </c>
      <c r="F189" s="11">
        <v>17571</v>
      </c>
      <c r="G189" s="11">
        <v>70275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24.99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34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23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14867</v>
      </c>
      <c r="D196" s="11">
        <v>13875</v>
      </c>
      <c r="E196" s="11">
        <v>13021</v>
      </c>
      <c r="F196" s="11">
        <v>11267</v>
      </c>
      <c r="G196" s="11">
        <v>53030</v>
      </c>
      <c r="I196">
        <f>C196</f>
        <v>14867</v>
      </c>
      <c r="J196">
        <f t="shared" ref="J196" si="266">D196</f>
        <v>13875</v>
      </c>
      <c r="K196">
        <f t="shared" ref="K196" si="267">E196</f>
        <v>13021</v>
      </c>
      <c r="L196">
        <f t="shared" ref="L196" si="268">F196</f>
        <v>11267</v>
      </c>
      <c r="N196" t="str">
        <f>TEXT(I196,"#,##0")&amp;" ("&amp;TEXT(I197,"0.00")&amp;")"</f>
        <v>14,867 (84.61)</v>
      </c>
      <c r="O196" t="str">
        <f t="shared" ref="O196" si="269">TEXT(J196,"#,##0")&amp;" ("&amp;TEXT(J197,"0.00")&amp;")"</f>
        <v>13,875 (78.97)</v>
      </c>
      <c r="P196" t="str">
        <f t="shared" ref="P196" si="270">TEXT(K196,"#,##0")&amp;" ("&amp;TEXT(K197,"0.00")&amp;")"</f>
        <v>13,021 (74.14)</v>
      </c>
      <c r="Q196" t="str">
        <f t="shared" ref="Q196" si="271">TEXT(L196,"#,##0")&amp;" ("&amp;TEXT(L197,"0.00")&amp;")"</f>
        <v>11,267 (64.12)</v>
      </c>
    </row>
    <row r="197" spans="1:17" x14ac:dyDescent="0.3">
      <c r="A197" s="2"/>
      <c r="B197" s="8"/>
      <c r="C197" s="11">
        <v>21.16</v>
      </c>
      <c r="D197" s="11">
        <v>19.739999999999998</v>
      </c>
      <c r="E197" s="11">
        <v>18.53</v>
      </c>
      <c r="F197" s="11">
        <v>16.03</v>
      </c>
      <c r="G197" s="11">
        <v>75.459999999999994</v>
      </c>
      <c r="I197">
        <f>C199</f>
        <v>84.61</v>
      </c>
      <c r="J197">
        <f t="shared" ref="J197:J198" si="272">D199</f>
        <v>78.97</v>
      </c>
      <c r="K197">
        <f t="shared" ref="K197:K198" si="273">E199</f>
        <v>74.14</v>
      </c>
      <c r="L197">
        <f t="shared" ref="L197:L198" si="274">F199</f>
        <v>64.12</v>
      </c>
      <c r="N197" t="str">
        <f>TEXT(I198,"#,##0")&amp;" ("&amp;TEXT(I199,"0.00")&amp;")"</f>
        <v>2,704 (15.39)</v>
      </c>
      <c r="O197" t="str">
        <f t="shared" ref="O197" si="275">TEXT(J198,"#,##0")&amp;" ("&amp;TEXT(J199,"0.00")&amp;")"</f>
        <v>3,696 (21.03)</v>
      </c>
      <c r="P197" t="str">
        <f t="shared" ref="P197" si="276">TEXT(K198,"#,##0")&amp;" ("&amp;TEXT(K199,"0.00")&amp;")"</f>
        <v>4,541 (25.86)</v>
      </c>
      <c r="Q197" t="str">
        <f t="shared" ref="Q197" si="277">TEXT(L198,"#,##0")&amp;" ("&amp;TEXT(L199,"0.00")&amp;")"</f>
        <v>6,304 (35.88)</v>
      </c>
    </row>
    <row r="198" spans="1:17" x14ac:dyDescent="0.3">
      <c r="A198" s="2"/>
      <c r="B198" s="8"/>
      <c r="C198" s="11">
        <v>28.04</v>
      </c>
      <c r="D198" s="11">
        <v>26.16</v>
      </c>
      <c r="E198" s="11">
        <v>24.55</v>
      </c>
      <c r="F198" s="11">
        <v>21.25</v>
      </c>
      <c r="G198" s="11"/>
      <c r="I198">
        <f>C200</f>
        <v>2704</v>
      </c>
      <c r="J198">
        <f t="shared" si="272"/>
        <v>3696</v>
      </c>
      <c r="K198">
        <f t="shared" si="273"/>
        <v>4541</v>
      </c>
      <c r="L198">
        <f t="shared" si="274"/>
        <v>6304</v>
      </c>
      <c r="N198" t="str">
        <f>TEXT(I200,"#,##0")&amp;" ("&amp;TEXT(I201,"0.00")&amp;")"</f>
        <v>17,571 (0.00)</v>
      </c>
      <c r="O198" t="str">
        <f t="shared" ref="O198" si="278">TEXT(J200,"#,##0")&amp;" ("&amp;TEXT(J201,"0.00")&amp;")"</f>
        <v>17,571 (0.00)</v>
      </c>
      <c r="P198" t="str">
        <f t="shared" ref="P198" si="279">TEXT(K200,"#,##0")&amp;" ("&amp;TEXT(K201,"0.00")&amp;")"</f>
        <v>17,562 (0.00)</v>
      </c>
      <c r="Q198" t="str">
        <f t="shared" ref="Q198" si="280">TEXT(L200,"#,##0")&amp;" ("&amp;TEXT(L201,"0.00")&amp;")"</f>
        <v>17,571 (0.00)</v>
      </c>
    </row>
    <row r="199" spans="1:17" x14ac:dyDescent="0.3">
      <c r="A199" s="2"/>
      <c r="B199" s="8"/>
      <c r="C199" s="11">
        <v>84.61</v>
      </c>
      <c r="D199" s="11">
        <v>78.97</v>
      </c>
      <c r="E199" s="11">
        <v>74.14</v>
      </c>
      <c r="F199" s="11">
        <v>64.12</v>
      </c>
      <c r="G199" s="11"/>
      <c r="I199">
        <f>C203</f>
        <v>15.39</v>
      </c>
      <c r="J199">
        <f t="shared" ref="J199:J200" si="281">D203</f>
        <v>21.03</v>
      </c>
      <c r="K199">
        <f t="shared" ref="K199:K200" si="282">E203</f>
        <v>25.86</v>
      </c>
      <c r="L199">
        <f t="shared" ref="L199:L200" si="283">F203</f>
        <v>35.880000000000003</v>
      </c>
      <c r="N199" t="str">
        <f>TEXT(I202,"#,##0")&amp;" ("&amp;TEXT(I203,"0.00")&amp;")"</f>
        <v>0 (15794.00)</v>
      </c>
      <c r="O199" t="str">
        <f t="shared" ref="O199" si="284">TEXT(J202,"#,##0")&amp;" ("&amp;TEXT(J203,"0.00")&amp;")"</f>
        <v>0 (14343.00)</v>
      </c>
      <c r="P199" t="str">
        <f t="shared" ref="P199" si="285">TEXT(K202,"#,##0")&amp;" ("&amp;TEXT(K203,"0.00")&amp;")"</f>
        <v>0 (13021.00)</v>
      </c>
      <c r="Q199" t="str">
        <f t="shared" ref="Q199" si="286">TEXT(L202,"#,##0")&amp;" ("&amp;TEXT(L203,"0.00")&amp;")"</f>
        <v>0 (12023.00)</v>
      </c>
    </row>
    <row r="200" spans="1:17" x14ac:dyDescent="0.3">
      <c r="A200" s="2"/>
      <c r="B200" s="8">
        <v>1</v>
      </c>
      <c r="C200" s="11">
        <v>2704</v>
      </c>
      <c r="D200" s="11">
        <v>3696</v>
      </c>
      <c r="E200" s="11">
        <v>4541</v>
      </c>
      <c r="F200" s="11">
        <v>6304</v>
      </c>
      <c r="G200" s="11">
        <v>17245</v>
      </c>
      <c r="I200">
        <f>C204</f>
        <v>17571</v>
      </c>
      <c r="J200">
        <f t="shared" si="281"/>
        <v>17571</v>
      </c>
      <c r="K200">
        <f t="shared" si="282"/>
        <v>17562</v>
      </c>
      <c r="L200">
        <f t="shared" si="283"/>
        <v>17571</v>
      </c>
    </row>
    <row r="201" spans="1:17" x14ac:dyDescent="0.3">
      <c r="A201" s="2"/>
      <c r="B201" s="8"/>
      <c r="C201" s="11">
        <v>3.85</v>
      </c>
      <c r="D201" s="11">
        <v>5.26</v>
      </c>
      <c r="E201" s="11">
        <v>6.46</v>
      </c>
      <c r="F201" s="11">
        <v>8.9700000000000006</v>
      </c>
      <c r="G201" s="11">
        <v>24.54</v>
      </c>
      <c r="I201">
        <f>C207</f>
        <v>0</v>
      </c>
      <c r="J201">
        <f t="shared" ref="J201:J202" si="287">D207</f>
        <v>0</v>
      </c>
      <c r="K201">
        <f t="shared" ref="K201:K202" si="288">E207</f>
        <v>0</v>
      </c>
      <c r="L201">
        <f t="shared" ref="L201:L202" si="289">F207</f>
        <v>0</v>
      </c>
    </row>
    <row r="202" spans="1:17" x14ac:dyDescent="0.3">
      <c r="A202" s="2"/>
      <c r="B202" s="8"/>
      <c r="C202" s="11">
        <v>15.68</v>
      </c>
      <c r="D202" s="11">
        <v>21.43</v>
      </c>
      <c r="E202" s="11">
        <v>26.33</v>
      </c>
      <c r="F202" s="11">
        <v>36.56</v>
      </c>
      <c r="G202" s="11"/>
      <c r="I202">
        <f>C208</f>
        <v>0</v>
      </c>
      <c r="J202">
        <f t="shared" si="287"/>
        <v>0</v>
      </c>
      <c r="K202">
        <f t="shared" si="288"/>
        <v>0</v>
      </c>
      <c r="L202">
        <f t="shared" si="289"/>
        <v>0</v>
      </c>
    </row>
    <row r="203" spans="1:17" x14ac:dyDescent="0.3">
      <c r="A203" s="2"/>
      <c r="B203" s="8"/>
      <c r="C203" s="11">
        <v>15.39</v>
      </c>
      <c r="D203" s="11">
        <v>21.03</v>
      </c>
      <c r="E203" s="11">
        <v>25.86</v>
      </c>
      <c r="F203" s="11">
        <v>35.880000000000003</v>
      </c>
      <c r="G203" s="11"/>
      <c r="I203">
        <f>C211</f>
        <v>15794</v>
      </c>
      <c r="J203">
        <f t="shared" ref="J203" si="290">D211</f>
        <v>14343</v>
      </c>
      <c r="K203">
        <f t="shared" ref="K203" si="291">E211</f>
        <v>13021</v>
      </c>
      <c r="L203">
        <f t="shared" ref="L203" si="292">F211</f>
        <v>12023</v>
      </c>
    </row>
    <row r="204" spans="1:17" x14ac:dyDescent="0.3">
      <c r="A204" s="2"/>
      <c r="B204" s="8" t="s">
        <v>24</v>
      </c>
      <c r="C204" s="11">
        <v>17571</v>
      </c>
      <c r="D204" s="11">
        <v>17571</v>
      </c>
      <c r="E204" s="11">
        <v>17562</v>
      </c>
      <c r="F204" s="11">
        <v>17571</v>
      </c>
      <c r="G204" s="11">
        <v>70275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24.99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35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23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15794</v>
      </c>
      <c r="D211" s="11">
        <v>14343</v>
      </c>
      <c r="E211" s="11">
        <v>13021</v>
      </c>
      <c r="F211" s="11">
        <v>12023</v>
      </c>
      <c r="G211" s="11">
        <v>55181</v>
      </c>
      <c r="I211">
        <f>C211</f>
        <v>15794</v>
      </c>
      <c r="J211">
        <f t="shared" ref="J211" si="293">D211</f>
        <v>14343</v>
      </c>
      <c r="K211">
        <f t="shared" ref="K211" si="294">E211</f>
        <v>13021</v>
      </c>
      <c r="L211">
        <f t="shared" ref="L211" si="295">F211</f>
        <v>12023</v>
      </c>
      <c r="N211" t="str">
        <f>TEXT(I211,"#,##0")&amp;" ("&amp;TEXT(I212,"0.00")&amp;")"</f>
        <v>15,794 (89.89)</v>
      </c>
      <c r="O211" t="str">
        <f t="shared" ref="O211" si="296">TEXT(J211,"#,##0")&amp;" ("&amp;TEXT(J212,"0.00")&amp;")"</f>
        <v>14,343 (81.63)</v>
      </c>
      <c r="P211" t="str">
        <f t="shared" ref="P211" si="297">TEXT(K211,"#,##0")&amp;" ("&amp;TEXT(K212,"0.00")&amp;")"</f>
        <v>13,021 (74.14)</v>
      </c>
      <c r="Q211" t="str">
        <f t="shared" ref="Q211" si="298">TEXT(L211,"#,##0")&amp;" ("&amp;TEXT(L212,"0.00")&amp;")"</f>
        <v>12,023 (68.43)</v>
      </c>
    </row>
    <row r="212" spans="1:17" x14ac:dyDescent="0.3">
      <c r="A212" s="2"/>
      <c r="B212" s="8"/>
      <c r="C212" s="11">
        <v>22.47</v>
      </c>
      <c r="D212" s="11">
        <v>20.41</v>
      </c>
      <c r="E212" s="11">
        <v>18.53</v>
      </c>
      <c r="F212" s="11">
        <v>17.11</v>
      </c>
      <c r="G212" s="11">
        <v>78.52</v>
      </c>
      <c r="I212">
        <f>C214</f>
        <v>89.89</v>
      </c>
      <c r="J212">
        <f t="shared" ref="J212:J213" si="299">D214</f>
        <v>81.63</v>
      </c>
      <c r="K212">
        <f t="shared" ref="K212:K213" si="300">E214</f>
        <v>74.14</v>
      </c>
      <c r="L212">
        <f t="shared" ref="L212:L213" si="301">F214</f>
        <v>68.430000000000007</v>
      </c>
      <c r="N212" t="str">
        <f>TEXT(I213,"#,##0")&amp;" ("&amp;TEXT(I214,"0.00")&amp;")"</f>
        <v>1,777 (10.11)</v>
      </c>
      <c r="O212" t="str">
        <f t="shared" ref="O212" si="302">TEXT(J213,"#,##0")&amp;" ("&amp;TEXT(J214,"0.00")&amp;")"</f>
        <v>3,228 (18.37)</v>
      </c>
      <c r="P212" t="str">
        <f t="shared" ref="P212" si="303">TEXT(K213,"#,##0")&amp;" ("&amp;TEXT(K214,"0.00")&amp;")"</f>
        <v>4,541 (25.86)</v>
      </c>
      <c r="Q212" t="str">
        <f t="shared" ref="Q212" si="304">TEXT(L213,"#,##0")&amp;" ("&amp;TEXT(L214,"0.00")&amp;")"</f>
        <v>5,548 (31.57)</v>
      </c>
    </row>
    <row r="213" spans="1:17" x14ac:dyDescent="0.3">
      <c r="A213" s="2"/>
      <c r="B213" s="8"/>
      <c r="C213" s="11">
        <v>28.62</v>
      </c>
      <c r="D213" s="11">
        <v>25.99</v>
      </c>
      <c r="E213" s="11">
        <v>23.6</v>
      </c>
      <c r="F213" s="11">
        <v>21.79</v>
      </c>
      <c r="G213" s="11"/>
      <c r="I213">
        <f>C215</f>
        <v>1777</v>
      </c>
      <c r="J213">
        <f t="shared" si="299"/>
        <v>3228</v>
      </c>
      <c r="K213">
        <f t="shared" si="300"/>
        <v>4541</v>
      </c>
      <c r="L213">
        <f t="shared" si="301"/>
        <v>5548</v>
      </c>
      <c r="N213" t="str">
        <f>TEXT(I215,"#,##0")&amp;" ("&amp;TEXT(I216,"0.00")&amp;")"</f>
        <v>17,571 (0.00)</v>
      </c>
      <c r="O213" t="str">
        <f t="shared" ref="O213" si="305">TEXT(J215,"#,##0")&amp;" ("&amp;TEXT(J216,"0.00")&amp;")"</f>
        <v>17,571 (0.00)</v>
      </c>
      <c r="P213" t="str">
        <f t="shared" ref="P213" si="306">TEXT(K215,"#,##0")&amp;" ("&amp;TEXT(K216,"0.00")&amp;")"</f>
        <v>17,562 (0.00)</v>
      </c>
      <c r="Q213" t="str">
        <f t="shared" ref="Q213" si="307">TEXT(L215,"#,##0")&amp;" ("&amp;TEXT(L216,"0.00")&amp;")"</f>
        <v>17,571 (0.00)</v>
      </c>
    </row>
    <row r="214" spans="1:17" x14ac:dyDescent="0.3">
      <c r="A214" s="2"/>
      <c r="B214" s="8"/>
      <c r="C214" s="11">
        <v>89.89</v>
      </c>
      <c r="D214" s="11">
        <v>81.63</v>
      </c>
      <c r="E214" s="11">
        <v>74.14</v>
      </c>
      <c r="F214" s="11">
        <v>68.430000000000007</v>
      </c>
      <c r="G214" s="11"/>
      <c r="I214">
        <f>C218</f>
        <v>10.11</v>
      </c>
      <c r="J214">
        <f t="shared" ref="J214:J215" si="308">D218</f>
        <v>18.37</v>
      </c>
      <c r="K214">
        <f t="shared" ref="K214:K215" si="309">E218</f>
        <v>25.86</v>
      </c>
      <c r="L214">
        <f t="shared" ref="L214:L215" si="310">F218</f>
        <v>31.57</v>
      </c>
      <c r="N214" t="str">
        <f>TEXT(I217,"#,##0")&amp;" ("&amp;TEXT(I218,"0.00")&amp;")"</f>
        <v>0 (16429.00)</v>
      </c>
      <c r="O214" t="str">
        <f t="shared" ref="O214" si="311">TEXT(J217,"#,##0")&amp;" ("&amp;TEXT(J218,"0.00")&amp;")"</f>
        <v>0 (15331.00)</v>
      </c>
      <c r="P214" t="str">
        <f t="shared" ref="P214" si="312">TEXT(K217,"#,##0")&amp;" ("&amp;TEXT(K218,"0.00")&amp;")"</f>
        <v>0 (14424.00)</v>
      </c>
      <c r="Q214" t="str">
        <f t="shared" ref="Q214" si="313">TEXT(L217,"#,##0")&amp;" ("&amp;TEXT(L218,"0.00")&amp;")"</f>
        <v>0 (13709.00)</v>
      </c>
    </row>
    <row r="215" spans="1:17" x14ac:dyDescent="0.3">
      <c r="A215" s="2"/>
      <c r="B215" s="8">
        <v>1</v>
      </c>
      <c r="C215" s="11">
        <v>1777</v>
      </c>
      <c r="D215" s="11">
        <v>3228</v>
      </c>
      <c r="E215" s="11">
        <v>4541</v>
      </c>
      <c r="F215" s="11">
        <v>5548</v>
      </c>
      <c r="G215" s="11">
        <v>15094</v>
      </c>
      <c r="I215">
        <f>C219</f>
        <v>17571</v>
      </c>
      <c r="J215">
        <f t="shared" si="308"/>
        <v>17571</v>
      </c>
      <c r="K215">
        <f t="shared" si="309"/>
        <v>17562</v>
      </c>
      <c r="L215">
        <f t="shared" si="310"/>
        <v>17571</v>
      </c>
    </row>
    <row r="216" spans="1:17" x14ac:dyDescent="0.3">
      <c r="A216" s="2"/>
      <c r="B216" s="8"/>
      <c r="C216" s="11">
        <v>2.5299999999999998</v>
      </c>
      <c r="D216" s="11">
        <v>4.59</v>
      </c>
      <c r="E216" s="11">
        <v>6.46</v>
      </c>
      <c r="F216" s="11">
        <v>7.89</v>
      </c>
      <c r="G216" s="11">
        <v>21.48</v>
      </c>
      <c r="I216">
        <f>C222</f>
        <v>0</v>
      </c>
      <c r="J216">
        <f t="shared" ref="J216:J217" si="314">D222</f>
        <v>0</v>
      </c>
      <c r="K216">
        <f t="shared" ref="K216:K217" si="315">E222</f>
        <v>0</v>
      </c>
      <c r="L216">
        <f t="shared" ref="L216:L217" si="316">F222</f>
        <v>0</v>
      </c>
    </row>
    <row r="217" spans="1:17" x14ac:dyDescent="0.3">
      <c r="A217" s="2"/>
      <c r="B217" s="8"/>
      <c r="C217" s="11">
        <v>11.77</v>
      </c>
      <c r="D217" s="11">
        <v>21.39</v>
      </c>
      <c r="E217" s="11">
        <v>30.08</v>
      </c>
      <c r="F217" s="11">
        <v>36.76</v>
      </c>
      <c r="G217" s="11"/>
      <c r="I217">
        <f>C223</f>
        <v>0</v>
      </c>
      <c r="J217">
        <f t="shared" si="314"/>
        <v>0</v>
      </c>
      <c r="K217">
        <f t="shared" si="315"/>
        <v>0</v>
      </c>
      <c r="L217">
        <f t="shared" si="316"/>
        <v>0</v>
      </c>
    </row>
    <row r="218" spans="1:17" x14ac:dyDescent="0.3">
      <c r="A218" s="2"/>
      <c r="B218" s="8"/>
      <c r="C218" s="11">
        <v>10.11</v>
      </c>
      <c r="D218" s="11">
        <v>18.37</v>
      </c>
      <c r="E218" s="11">
        <v>25.86</v>
      </c>
      <c r="F218" s="11">
        <v>31.57</v>
      </c>
      <c r="G218" s="11"/>
      <c r="I218">
        <f>C226</f>
        <v>16429</v>
      </c>
      <c r="J218">
        <f t="shared" ref="J218" si="317">D226</f>
        <v>15331</v>
      </c>
      <c r="K218">
        <f t="shared" ref="K218" si="318">E226</f>
        <v>14424</v>
      </c>
      <c r="L218">
        <f t="shared" ref="L218" si="319">F226</f>
        <v>13709</v>
      </c>
    </row>
    <row r="219" spans="1:17" x14ac:dyDescent="0.3">
      <c r="A219" s="2"/>
      <c r="B219" s="8" t="s">
        <v>24</v>
      </c>
      <c r="C219" s="11">
        <v>17571</v>
      </c>
      <c r="D219" s="11">
        <v>17571</v>
      </c>
      <c r="E219" s="11">
        <v>17562</v>
      </c>
      <c r="F219" s="11">
        <v>17571</v>
      </c>
      <c r="G219" s="11">
        <v>70275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24.99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36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23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16429</v>
      </c>
      <c r="D226" s="11">
        <v>15331</v>
      </c>
      <c r="E226" s="11">
        <v>14424</v>
      </c>
      <c r="F226" s="11">
        <v>13709</v>
      </c>
      <c r="G226" s="11">
        <v>59893</v>
      </c>
      <c r="I226">
        <f>C226</f>
        <v>16429</v>
      </c>
      <c r="J226">
        <f t="shared" ref="J226" si="320">D226</f>
        <v>15331</v>
      </c>
      <c r="K226">
        <f t="shared" ref="K226" si="321">E226</f>
        <v>14424</v>
      </c>
      <c r="L226">
        <f t="shared" ref="L226" si="322">F226</f>
        <v>13709</v>
      </c>
      <c r="N226" t="str">
        <f>TEXT(I226,"#,##0")&amp;" ("&amp;TEXT(I227,"0.00")&amp;")"</f>
        <v>16,429 (93.50)</v>
      </c>
      <c r="O226" t="str">
        <f t="shared" ref="O226" si="323">TEXT(J226,"#,##0")&amp;" ("&amp;TEXT(J227,"0.00")&amp;")"</f>
        <v>15,331 (87.25)</v>
      </c>
      <c r="P226" t="str">
        <f t="shared" ref="P226" si="324">TEXT(K226,"#,##0")&amp;" ("&amp;TEXT(K227,"0.00")&amp;")"</f>
        <v>14,424 (82.13)</v>
      </c>
      <c r="Q226" t="str">
        <f t="shared" ref="Q226" si="325">TEXT(L226,"#,##0")&amp;" ("&amp;TEXT(L227,"0.00")&amp;")"</f>
        <v>13,709 (78.02)</v>
      </c>
    </row>
    <row r="227" spans="1:17" x14ac:dyDescent="0.3">
      <c r="A227" s="2"/>
      <c r="B227" s="8"/>
      <c r="C227" s="11">
        <v>23.38</v>
      </c>
      <c r="D227" s="11">
        <v>21.82</v>
      </c>
      <c r="E227" s="11">
        <v>20.53</v>
      </c>
      <c r="F227" s="11">
        <v>19.510000000000002</v>
      </c>
      <c r="G227" s="11">
        <v>85.23</v>
      </c>
      <c r="I227">
        <f>C229</f>
        <v>93.5</v>
      </c>
      <c r="J227">
        <f t="shared" ref="J227:J228" si="326">D229</f>
        <v>87.25</v>
      </c>
      <c r="K227">
        <f t="shared" ref="K227:K228" si="327">E229</f>
        <v>82.13</v>
      </c>
      <c r="L227">
        <f t="shared" ref="L227:L228" si="328">F229</f>
        <v>78.02</v>
      </c>
      <c r="N227" t="str">
        <f>TEXT(I228,"#,##0")&amp;" ("&amp;TEXT(I229,"0.00")&amp;")"</f>
        <v>1,142 (6.50)</v>
      </c>
      <c r="O227" t="str">
        <f t="shared" ref="O227" si="329">TEXT(J228,"#,##0")&amp;" ("&amp;TEXT(J229,"0.00")&amp;")"</f>
        <v>2,240 (12.75)</v>
      </c>
      <c r="P227" t="str">
        <f t="shared" ref="P227" si="330">TEXT(K228,"#,##0")&amp;" ("&amp;TEXT(K229,"0.00")&amp;")"</f>
        <v>3,138 (17.87)</v>
      </c>
      <c r="Q227" t="str">
        <f t="shared" ref="Q227" si="331">TEXT(L228,"#,##0")&amp;" ("&amp;TEXT(L229,"0.00")&amp;")"</f>
        <v>3,862 (21.98)</v>
      </c>
    </row>
    <row r="228" spans="1:17" x14ac:dyDescent="0.3">
      <c r="A228" s="2"/>
      <c r="B228" s="8"/>
      <c r="C228" s="11">
        <v>27.43</v>
      </c>
      <c r="D228" s="11">
        <v>25.6</v>
      </c>
      <c r="E228" s="11">
        <v>24.08</v>
      </c>
      <c r="F228" s="11">
        <v>22.89</v>
      </c>
      <c r="G228" s="11"/>
      <c r="I228">
        <f>C230</f>
        <v>1142</v>
      </c>
      <c r="J228">
        <f t="shared" si="326"/>
        <v>2240</v>
      </c>
      <c r="K228">
        <f t="shared" si="327"/>
        <v>3138</v>
      </c>
      <c r="L228">
        <f t="shared" si="328"/>
        <v>3862</v>
      </c>
      <c r="N228" t="str">
        <f>TEXT(I230,"#,##0")&amp;" ("&amp;TEXT(I231,"0.00")&amp;")"</f>
        <v>17,571 (0.00)</v>
      </c>
      <c r="O228" t="str">
        <f t="shared" ref="O228" si="332">TEXT(J230,"#,##0")&amp;" ("&amp;TEXT(J231,"0.00")&amp;")"</f>
        <v>17,571 (0.00)</v>
      </c>
      <c r="P228" t="str">
        <f t="shared" ref="P228" si="333">TEXT(K230,"#,##0")&amp;" ("&amp;TEXT(K231,"0.00")&amp;")"</f>
        <v>17,562 (0.00)</v>
      </c>
      <c r="Q228" t="str">
        <f t="shared" ref="Q228" si="334">TEXT(L230,"#,##0")&amp;" ("&amp;TEXT(L231,"0.00")&amp;")"</f>
        <v>17,571 (0.00)</v>
      </c>
    </row>
    <row r="229" spans="1:17" x14ac:dyDescent="0.3">
      <c r="A229" s="2"/>
      <c r="B229" s="8"/>
      <c r="C229" s="11">
        <v>93.5</v>
      </c>
      <c r="D229" s="11">
        <v>87.25</v>
      </c>
      <c r="E229" s="11">
        <v>82.13</v>
      </c>
      <c r="F229" s="11">
        <v>78.02</v>
      </c>
      <c r="G229" s="11"/>
      <c r="I229">
        <f>C233</f>
        <v>6.5</v>
      </c>
      <c r="J229">
        <f t="shared" ref="J229:J230" si="335">D233</f>
        <v>12.75</v>
      </c>
      <c r="K229">
        <f t="shared" ref="K229:K230" si="336">E233</f>
        <v>17.87</v>
      </c>
      <c r="L229">
        <f t="shared" ref="L229:L230" si="337">F233</f>
        <v>21.98</v>
      </c>
      <c r="N229" t="str">
        <f>TEXT(I232,"#,##0")&amp;" ("&amp;TEXT(I233,"0.00")&amp;")"</f>
        <v>0 (17402.00)</v>
      </c>
      <c r="O229" t="str">
        <f t="shared" ref="O229" si="338">TEXT(J232,"#,##0")&amp;" ("&amp;TEXT(J233,"0.00")&amp;")"</f>
        <v>0 (17260.00)</v>
      </c>
      <c r="P229" t="str">
        <f t="shared" ref="P229" si="339">TEXT(K232,"#,##0")&amp;" ("&amp;TEXT(K233,"0.00")&amp;")"</f>
        <v>0 (17152.00)</v>
      </c>
      <c r="Q229" t="str">
        <f t="shared" ref="Q229" si="340">TEXT(L232,"#,##0")&amp;" ("&amp;TEXT(L233,"0.00")&amp;")"</f>
        <v>0 (17116.00)</v>
      </c>
    </row>
    <row r="230" spans="1:17" x14ac:dyDescent="0.3">
      <c r="A230" s="2"/>
      <c r="B230" s="8">
        <v>1</v>
      </c>
      <c r="C230" s="11">
        <v>1142</v>
      </c>
      <c r="D230" s="11">
        <v>2240</v>
      </c>
      <c r="E230" s="11">
        <v>3138</v>
      </c>
      <c r="F230" s="11">
        <v>3862</v>
      </c>
      <c r="G230" s="11">
        <v>10382</v>
      </c>
      <c r="I230">
        <f>C234</f>
        <v>17571</v>
      </c>
      <c r="J230">
        <f t="shared" si="335"/>
        <v>17571</v>
      </c>
      <c r="K230">
        <f t="shared" si="336"/>
        <v>17562</v>
      </c>
      <c r="L230">
        <f t="shared" si="337"/>
        <v>17571</v>
      </c>
    </row>
    <row r="231" spans="1:17" x14ac:dyDescent="0.3">
      <c r="A231" s="2"/>
      <c r="B231" s="8"/>
      <c r="C231" s="11">
        <v>1.63</v>
      </c>
      <c r="D231" s="11">
        <v>3.19</v>
      </c>
      <c r="E231" s="11">
        <v>4.47</v>
      </c>
      <c r="F231" s="11">
        <v>5.5</v>
      </c>
      <c r="G231" s="11">
        <v>14.77</v>
      </c>
      <c r="I231">
        <f>C237</f>
        <v>0</v>
      </c>
      <c r="J231">
        <f t="shared" ref="J231:J232" si="341">D237</f>
        <v>0</v>
      </c>
      <c r="K231">
        <f t="shared" ref="K231:K232" si="342">E237</f>
        <v>0</v>
      </c>
      <c r="L231">
        <f t="shared" ref="L231:L232" si="343">F237</f>
        <v>0</v>
      </c>
    </row>
    <row r="232" spans="1:17" x14ac:dyDescent="0.3">
      <c r="A232" s="2"/>
      <c r="B232" s="8"/>
      <c r="C232" s="11">
        <v>11</v>
      </c>
      <c r="D232" s="11">
        <v>21.58</v>
      </c>
      <c r="E232" s="11">
        <v>30.23</v>
      </c>
      <c r="F232" s="11">
        <v>37.200000000000003</v>
      </c>
      <c r="G232" s="11"/>
      <c r="I232">
        <f>C238</f>
        <v>0</v>
      </c>
      <c r="J232">
        <f t="shared" si="341"/>
        <v>0</v>
      </c>
      <c r="K232">
        <f t="shared" si="342"/>
        <v>0</v>
      </c>
      <c r="L232">
        <f t="shared" si="343"/>
        <v>0</v>
      </c>
    </row>
    <row r="233" spans="1:17" x14ac:dyDescent="0.3">
      <c r="A233" s="2"/>
      <c r="B233" s="8"/>
      <c r="C233" s="11">
        <v>6.5</v>
      </c>
      <c r="D233" s="11">
        <v>12.75</v>
      </c>
      <c r="E233" s="11">
        <v>17.87</v>
      </c>
      <c r="F233" s="11">
        <v>21.98</v>
      </c>
      <c r="G233" s="11"/>
      <c r="I233">
        <f>C241</f>
        <v>17402</v>
      </c>
      <c r="J233">
        <f t="shared" ref="J233" si="344">D241</f>
        <v>17260</v>
      </c>
      <c r="K233">
        <f t="shared" ref="K233" si="345">E241</f>
        <v>17152</v>
      </c>
      <c r="L233">
        <f t="shared" ref="L233" si="346">F241</f>
        <v>17116</v>
      </c>
    </row>
    <row r="234" spans="1:17" x14ac:dyDescent="0.3">
      <c r="A234" s="2"/>
      <c r="B234" s="8" t="s">
        <v>24</v>
      </c>
      <c r="C234" s="11">
        <v>17571</v>
      </c>
      <c r="D234" s="11">
        <v>17571</v>
      </c>
      <c r="E234" s="11">
        <v>17562</v>
      </c>
      <c r="F234" s="11">
        <v>17571</v>
      </c>
      <c r="G234" s="11">
        <v>70275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24.99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37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23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17402</v>
      </c>
      <c r="D241" s="11">
        <v>17260</v>
      </c>
      <c r="E241" s="11">
        <v>17152</v>
      </c>
      <c r="F241" s="11">
        <v>17116</v>
      </c>
      <c r="G241" s="11">
        <v>68930</v>
      </c>
      <c r="I241">
        <f>C241</f>
        <v>17402</v>
      </c>
      <c r="J241">
        <f t="shared" ref="J241" si="347">D241</f>
        <v>17260</v>
      </c>
      <c r="K241">
        <f t="shared" ref="K241" si="348">E241</f>
        <v>17152</v>
      </c>
      <c r="L241">
        <f t="shared" ref="L241" si="349">F241</f>
        <v>17116</v>
      </c>
      <c r="N241" t="str">
        <f>TEXT(I241,"#,##0")&amp;" ("&amp;TEXT(I242,"0.00")&amp;")"</f>
        <v>17,402 (99.04)</v>
      </c>
      <c r="O241" t="str">
        <f t="shared" ref="O241" si="350">TEXT(J241,"#,##0")&amp;" ("&amp;TEXT(J242,"0.00")&amp;")"</f>
        <v>17,260 (98.23)</v>
      </c>
      <c r="P241" t="str">
        <f t="shared" ref="P241" si="351">TEXT(K241,"#,##0")&amp;" ("&amp;TEXT(K242,"0.00")&amp;")"</f>
        <v>17,152 (97.67)</v>
      </c>
      <c r="Q241" t="str">
        <f t="shared" ref="Q241" si="352">TEXT(L241,"#,##0")&amp;" ("&amp;TEXT(L242,"0.00")&amp;")"</f>
        <v>17,116 (97.41)</v>
      </c>
    </row>
    <row r="242" spans="1:17" x14ac:dyDescent="0.3">
      <c r="A242" s="2"/>
      <c r="B242" s="8"/>
      <c r="C242" s="11">
        <v>24.76</v>
      </c>
      <c r="D242" s="11">
        <v>24.56</v>
      </c>
      <c r="E242" s="11">
        <v>24.41</v>
      </c>
      <c r="F242" s="11">
        <v>24.36</v>
      </c>
      <c r="G242" s="11">
        <v>98.09</v>
      </c>
      <c r="I242">
        <f>C244</f>
        <v>99.04</v>
      </c>
      <c r="J242">
        <f t="shared" ref="J242:J243" si="353">D244</f>
        <v>98.23</v>
      </c>
      <c r="K242">
        <f t="shared" ref="K242:K243" si="354">E244</f>
        <v>97.67</v>
      </c>
      <c r="L242">
        <f t="shared" ref="L242:L243" si="355">F244</f>
        <v>97.41</v>
      </c>
      <c r="N242" t="str">
        <f>TEXT(I243,"#,##0")&amp;" ("&amp;TEXT(I244,"0.00")&amp;")"</f>
        <v>169 (0.96)</v>
      </c>
      <c r="O242" t="str">
        <f t="shared" ref="O242" si="356">TEXT(J243,"#,##0")&amp;" ("&amp;TEXT(J244,"0.00")&amp;")"</f>
        <v>311 (1.77)</v>
      </c>
      <c r="P242" t="str">
        <f t="shared" ref="P242" si="357">TEXT(K243,"#,##0")&amp;" ("&amp;TEXT(K244,"0.00")&amp;")"</f>
        <v>410 (2.33)</v>
      </c>
      <c r="Q242" t="str">
        <f t="shared" ref="Q242" si="358">TEXT(L243,"#,##0")&amp;" ("&amp;TEXT(L244,"0.00")&amp;")"</f>
        <v>455 (2.59)</v>
      </c>
    </row>
    <row r="243" spans="1:17" x14ac:dyDescent="0.3">
      <c r="A243" s="2"/>
      <c r="B243" s="8"/>
      <c r="C243" s="11">
        <v>25.25</v>
      </c>
      <c r="D243" s="11">
        <v>25.04</v>
      </c>
      <c r="E243" s="11">
        <v>24.88</v>
      </c>
      <c r="F243" s="11">
        <v>24.83</v>
      </c>
      <c r="G243" s="11"/>
      <c r="I243">
        <f>C245</f>
        <v>169</v>
      </c>
      <c r="J243">
        <f t="shared" si="353"/>
        <v>311</v>
      </c>
      <c r="K243">
        <f t="shared" si="354"/>
        <v>410</v>
      </c>
      <c r="L243">
        <f t="shared" si="355"/>
        <v>455</v>
      </c>
      <c r="N243" t="str">
        <f>TEXT(I245,"#,##0")&amp;" ("&amp;TEXT(I246,"0.00")&amp;")"</f>
        <v>17,571 (0.00)</v>
      </c>
      <c r="O243" t="str">
        <f t="shared" ref="O243" si="359">TEXT(J245,"#,##0")&amp;" ("&amp;TEXT(J246,"0.00")&amp;")"</f>
        <v>17,571 (0.00)</v>
      </c>
      <c r="P243" t="str">
        <f t="shared" ref="P243" si="360">TEXT(K245,"#,##0")&amp;" ("&amp;TEXT(K246,"0.00")&amp;")"</f>
        <v>17,562 (0.00)</v>
      </c>
      <c r="Q243" t="str">
        <f t="shared" ref="Q243" si="361">TEXT(L245,"#,##0")&amp;" ("&amp;TEXT(L246,"0.00")&amp;")"</f>
        <v>17,571 (0.00)</v>
      </c>
    </row>
    <row r="244" spans="1:17" x14ac:dyDescent="0.3">
      <c r="A244" s="2"/>
      <c r="B244" s="8"/>
      <c r="C244" s="11">
        <v>99.04</v>
      </c>
      <c r="D244" s="11">
        <v>98.23</v>
      </c>
      <c r="E244" s="11">
        <v>97.67</v>
      </c>
      <c r="F244" s="11">
        <v>97.41</v>
      </c>
      <c r="G244" s="11"/>
      <c r="I244">
        <f>C248</f>
        <v>0.96</v>
      </c>
      <c r="J244">
        <f t="shared" ref="J244:J245" si="362">D248</f>
        <v>1.77</v>
      </c>
      <c r="K244">
        <f t="shared" ref="K244:K245" si="363">E248</f>
        <v>2.33</v>
      </c>
      <c r="L244">
        <f t="shared" ref="L244:L245" si="364">F248</f>
        <v>2.59</v>
      </c>
      <c r="N244" t="str">
        <f>TEXT(I247,"#,##0")&amp;" ("&amp;TEXT(I248,"0.00")&amp;")"</f>
        <v>0 (17478.00)</v>
      </c>
      <c r="O244" t="str">
        <f t="shared" ref="O244" si="365">TEXT(J247,"#,##0")&amp;" ("&amp;TEXT(J248,"0.00")&amp;")"</f>
        <v>0 (17410.00)</v>
      </c>
      <c r="P244" t="str">
        <f t="shared" ref="P244" si="366">TEXT(K247,"#,##0")&amp;" ("&amp;TEXT(K248,"0.00")&amp;")"</f>
        <v>0 (17366.00)</v>
      </c>
      <c r="Q244" t="str">
        <f t="shared" ref="Q244" si="367">TEXT(L247,"#,##0")&amp;" ("&amp;TEXT(L248,"0.00")&amp;")"</f>
        <v>0 (17360.00)</v>
      </c>
    </row>
    <row r="245" spans="1:17" x14ac:dyDescent="0.3">
      <c r="A245" s="2"/>
      <c r="B245" s="8">
        <v>1</v>
      </c>
      <c r="C245" s="11">
        <v>169</v>
      </c>
      <c r="D245" s="11">
        <v>311</v>
      </c>
      <c r="E245" s="11">
        <v>410</v>
      </c>
      <c r="F245" s="11">
        <v>455</v>
      </c>
      <c r="G245" s="11">
        <v>1345</v>
      </c>
      <c r="I245">
        <f>C249</f>
        <v>17571</v>
      </c>
      <c r="J245">
        <f t="shared" si="362"/>
        <v>17571</v>
      </c>
      <c r="K245">
        <f t="shared" si="363"/>
        <v>17562</v>
      </c>
      <c r="L245">
        <f t="shared" si="364"/>
        <v>17571</v>
      </c>
    </row>
    <row r="246" spans="1:17" x14ac:dyDescent="0.3">
      <c r="A246" s="2"/>
      <c r="B246" s="8"/>
      <c r="C246" s="11">
        <v>0.24</v>
      </c>
      <c r="D246" s="11">
        <v>0.44</v>
      </c>
      <c r="E246" s="11">
        <v>0.57999999999999996</v>
      </c>
      <c r="F246" s="11">
        <v>0.65</v>
      </c>
      <c r="G246" s="11">
        <v>1.91</v>
      </c>
      <c r="I246">
        <f>C252</f>
        <v>0</v>
      </c>
      <c r="J246">
        <f t="shared" ref="J246:J247" si="368">D252</f>
        <v>0</v>
      </c>
      <c r="K246">
        <f t="shared" ref="K246:K247" si="369">E252</f>
        <v>0</v>
      </c>
      <c r="L246">
        <f t="shared" ref="L246:L247" si="370">F252</f>
        <v>0</v>
      </c>
    </row>
    <row r="247" spans="1:17" x14ac:dyDescent="0.3">
      <c r="A247" s="2"/>
      <c r="B247" s="8"/>
      <c r="C247" s="11">
        <v>12.57</v>
      </c>
      <c r="D247" s="11">
        <v>23.12</v>
      </c>
      <c r="E247" s="11">
        <v>30.48</v>
      </c>
      <c r="F247" s="11">
        <v>33.83</v>
      </c>
      <c r="G247" s="11"/>
      <c r="I247">
        <f>C253</f>
        <v>0</v>
      </c>
      <c r="J247">
        <f t="shared" si="368"/>
        <v>0</v>
      </c>
      <c r="K247">
        <f t="shared" si="369"/>
        <v>0</v>
      </c>
      <c r="L247">
        <f t="shared" si="370"/>
        <v>0</v>
      </c>
    </row>
    <row r="248" spans="1:17" x14ac:dyDescent="0.3">
      <c r="A248" s="2"/>
      <c r="B248" s="8"/>
      <c r="C248" s="11">
        <v>0.96</v>
      </c>
      <c r="D248" s="11">
        <v>1.77</v>
      </c>
      <c r="E248" s="11">
        <v>2.33</v>
      </c>
      <c r="F248" s="11">
        <v>2.59</v>
      </c>
      <c r="G248" s="11"/>
      <c r="I248">
        <f>C256</f>
        <v>17478</v>
      </c>
      <c r="J248">
        <f t="shared" ref="J248" si="371">D256</f>
        <v>17410</v>
      </c>
      <c r="K248">
        <f t="shared" ref="K248" si="372">E256</f>
        <v>17366</v>
      </c>
      <c r="L248">
        <f t="shared" ref="L248" si="373">F256</f>
        <v>17360</v>
      </c>
    </row>
    <row r="249" spans="1:17" x14ac:dyDescent="0.3">
      <c r="A249" s="2"/>
      <c r="B249" s="8" t="s">
        <v>24</v>
      </c>
      <c r="C249" s="11">
        <v>17571</v>
      </c>
      <c r="D249" s="11">
        <v>17571</v>
      </c>
      <c r="E249" s="11">
        <v>17562</v>
      </c>
      <c r="F249" s="11">
        <v>17571</v>
      </c>
      <c r="G249" s="11">
        <v>70275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24.99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38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23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17478</v>
      </c>
      <c r="D256" s="11">
        <v>17410</v>
      </c>
      <c r="E256" s="11">
        <v>17366</v>
      </c>
      <c r="F256" s="11">
        <v>17360</v>
      </c>
      <c r="G256" s="11">
        <v>69614</v>
      </c>
      <c r="I256">
        <f>C256</f>
        <v>17478</v>
      </c>
      <c r="J256">
        <f t="shared" ref="J256" si="374">D256</f>
        <v>17410</v>
      </c>
      <c r="K256">
        <f t="shared" ref="K256" si="375">E256</f>
        <v>17366</v>
      </c>
      <c r="L256">
        <f t="shared" ref="L256" si="376">F256</f>
        <v>17360</v>
      </c>
      <c r="N256" t="str">
        <f>TEXT(I256,"#,##0")&amp;" ("&amp;TEXT(I257,"0.00")&amp;")"</f>
        <v>17,478 (99.47)</v>
      </c>
      <c r="O256" t="str">
        <f t="shared" ref="O256" si="377">TEXT(J256,"#,##0")&amp;" ("&amp;TEXT(J257,"0.00")&amp;")"</f>
        <v>17,410 (99.08)</v>
      </c>
      <c r="P256" t="str">
        <f t="shared" ref="P256" si="378">TEXT(K256,"#,##0")&amp;" ("&amp;TEXT(K257,"0.00")&amp;")"</f>
        <v>17,366 (98.88)</v>
      </c>
      <c r="Q256" t="str">
        <f t="shared" ref="Q256" si="379">TEXT(L256,"#,##0")&amp;" ("&amp;TEXT(L257,"0.00")&amp;")"</f>
        <v>17,360 (98.80)</v>
      </c>
    </row>
    <row r="257" spans="1:17" x14ac:dyDescent="0.3">
      <c r="A257" s="2"/>
      <c r="B257" s="8"/>
      <c r="C257" s="11">
        <v>24.87</v>
      </c>
      <c r="D257" s="11">
        <v>24.77</v>
      </c>
      <c r="E257" s="11">
        <v>24.71</v>
      </c>
      <c r="F257" s="11">
        <v>24.7</v>
      </c>
      <c r="G257" s="11">
        <v>99.06</v>
      </c>
      <c r="I257">
        <f>C259</f>
        <v>99.47</v>
      </c>
      <c r="J257">
        <f t="shared" ref="J257:J258" si="380">D259</f>
        <v>99.08</v>
      </c>
      <c r="K257">
        <f t="shared" ref="K257:K258" si="381">E259</f>
        <v>98.88</v>
      </c>
      <c r="L257">
        <f t="shared" ref="L257:L258" si="382">F259</f>
        <v>98.8</v>
      </c>
      <c r="N257" t="str">
        <f>TEXT(I258,"#,##0")&amp;" ("&amp;TEXT(I259,"0.00")&amp;")"</f>
        <v>93 (0.53)</v>
      </c>
      <c r="O257" t="str">
        <f t="shared" ref="O257" si="383">TEXT(J258,"#,##0")&amp;" ("&amp;TEXT(J259,"0.00")&amp;")"</f>
        <v>161 (0.92)</v>
      </c>
      <c r="P257" t="str">
        <f t="shared" ref="P257" si="384">TEXT(K258,"#,##0")&amp;" ("&amp;TEXT(K259,"0.00")&amp;")"</f>
        <v>196 (1.12)</v>
      </c>
      <c r="Q257" t="str">
        <f t="shared" ref="Q257" si="385">TEXT(L258,"#,##0")&amp;" ("&amp;TEXT(L259,"0.00")&amp;")"</f>
        <v>211 (1.20)</v>
      </c>
    </row>
    <row r="258" spans="1:17" x14ac:dyDescent="0.3">
      <c r="A258" s="2"/>
      <c r="B258" s="8"/>
      <c r="C258" s="11">
        <v>25.11</v>
      </c>
      <c r="D258" s="11">
        <v>25.01</v>
      </c>
      <c r="E258" s="11">
        <v>24.95</v>
      </c>
      <c r="F258" s="11">
        <v>24.94</v>
      </c>
      <c r="G258" s="11"/>
      <c r="I258">
        <f>C260</f>
        <v>93</v>
      </c>
      <c r="J258">
        <f t="shared" si="380"/>
        <v>161</v>
      </c>
      <c r="K258">
        <f t="shared" si="381"/>
        <v>196</v>
      </c>
      <c r="L258">
        <f t="shared" si="382"/>
        <v>211</v>
      </c>
      <c r="N258" t="str">
        <f>TEXT(I260,"#,##0")&amp;" ("&amp;TEXT(I261,"0.00")&amp;")"</f>
        <v>17,571 (0.00)</v>
      </c>
      <c r="O258" t="str">
        <f t="shared" ref="O258" si="386">TEXT(J260,"#,##0")&amp;" ("&amp;TEXT(J261,"0.00")&amp;")"</f>
        <v>17,571 (0.00)</v>
      </c>
      <c r="P258" t="str">
        <f t="shared" ref="P258" si="387">TEXT(K260,"#,##0")&amp;" ("&amp;TEXT(K261,"0.00")&amp;")"</f>
        <v>17,562 (0.00)</v>
      </c>
      <c r="Q258" t="str">
        <f t="shared" ref="Q258" si="388">TEXT(L260,"#,##0")&amp;" ("&amp;TEXT(L261,"0.00")&amp;")"</f>
        <v>17,571 (0.00)</v>
      </c>
    </row>
    <row r="259" spans="1:17" x14ac:dyDescent="0.3">
      <c r="A259" s="2"/>
      <c r="B259" s="8"/>
      <c r="C259" s="11">
        <v>99.47</v>
      </c>
      <c r="D259" s="11">
        <v>99.08</v>
      </c>
      <c r="E259" s="11">
        <v>98.88</v>
      </c>
      <c r="F259" s="11">
        <v>98.8</v>
      </c>
      <c r="G259" s="11"/>
      <c r="I259">
        <f>C263</f>
        <v>0.53</v>
      </c>
      <c r="J259">
        <f t="shared" ref="J259:J260" si="389">D263</f>
        <v>0.92</v>
      </c>
      <c r="K259">
        <f t="shared" ref="K259:K260" si="390">E263</f>
        <v>1.1200000000000001</v>
      </c>
      <c r="L259">
        <f t="shared" ref="L259:L260" si="391">F263</f>
        <v>1.2</v>
      </c>
      <c r="N259" t="str">
        <f>TEXT(I262,"#,##0")&amp;" ("&amp;TEXT(I263,"0.00")&amp;")"</f>
        <v>0 (17385.00)</v>
      </c>
      <c r="O259" t="str">
        <f t="shared" ref="O259" si="392">TEXT(J262,"#,##0")&amp;" ("&amp;TEXT(J263,"0.00")&amp;")"</f>
        <v>0 (17260.00)</v>
      </c>
      <c r="P259" t="str">
        <f t="shared" ref="P259" si="393">TEXT(K262,"#,##0")&amp;" ("&amp;TEXT(K263,"0.00")&amp;")"</f>
        <v>0 (17203.00)</v>
      </c>
      <c r="Q259" t="str">
        <f t="shared" ref="Q259" si="394">TEXT(L262,"#,##0")&amp;" ("&amp;TEXT(L263,"0.00")&amp;")"</f>
        <v>0 (17201.00)</v>
      </c>
    </row>
    <row r="260" spans="1:17" x14ac:dyDescent="0.3">
      <c r="A260" s="2"/>
      <c r="B260" s="8">
        <v>1</v>
      </c>
      <c r="C260" s="11">
        <v>93</v>
      </c>
      <c r="D260" s="11">
        <v>161</v>
      </c>
      <c r="E260" s="11">
        <v>196</v>
      </c>
      <c r="F260" s="11">
        <v>211</v>
      </c>
      <c r="G260" s="11">
        <v>661</v>
      </c>
      <c r="I260">
        <f>C264</f>
        <v>17571</v>
      </c>
      <c r="J260">
        <f t="shared" si="389"/>
        <v>17571</v>
      </c>
      <c r="K260">
        <f t="shared" si="390"/>
        <v>17562</v>
      </c>
      <c r="L260">
        <f t="shared" si="391"/>
        <v>17571</v>
      </c>
    </row>
    <row r="261" spans="1:17" x14ac:dyDescent="0.3">
      <c r="A261" s="2"/>
      <c r="B261" s="8"/>
      <c r="C261" s="11">
        <v>0.13</v>
      </c>
      <c r="D261" s="11">
        <v>0.23</v>
      </c>
      <c r="E261" s="11">
        <v>0.28000000000000003</v>
      </c>
      <c r="F261" s="11">
        <v>0.3</v>
      </c>
      <c r="G261" s="11">
        <v>0.94</v>
      </c>
      <c r="I261">
        <f>C267</f>
        <v>0</v>
      </c>
      <c r="J261">
        <f t="shared" ref="J261:J262" si="395">D267</f>
        <v>0</v>
      </c>
      <c r="K261">
        <f t="shared" ref="K261:K262" si="396">E267</f>
        <v>0</v>
      </c>
      <c r="L261">
        <f t="shared" ref="L261:L262" si="397">F267</f>
        <v>0</v>
      </c>
    </row>
    <row r="262" spans="1:17" x14ac:dyDescent="0.3">
      <c r="A262" s="2"/>
      <c r="B262" s="8"/>
      <c r="C262" s="11">
        <v>14.07</v>
      </c>
      <c r="D262" s="11">
        <v>24.36</v>
      </c>
      <c r="E262" s="11">
        <v>29.65</v>
      </c>
      <c r="F262" s="11">
        <v>31.92</v>
      </c>
      <c r="G262" s="11"/>
      <c r="I262">
        <f>C268</f>
        <v>0</v>
      </c>
      <c r="J262">
        <f t="shared" si="395"/>
        <v>0</v>
      </c>
      <c r="K262">
        <f t="shared" si="396"/>
        <v>0</v>
      </c>
      <c r="L262">
        <f t="shared" si="397"/>
        <v>0</v>
      </c>
    </row>
    <row r="263" spans="1:17" x14ac:dyDescent="0.3">
      <c r="A263" s="2"/>
      <c r="B263" s="8"/>
      <c r="C263" s="11">
        <v>0.53</v>
      </c>
      <c r="D263" s="11">
        <v>0.92</v>
      </c>
      <c r="E263" s="11">
        <v>1.1200000000000001</v>
      </c>
      <c r="F263" s="11">
        <v>1.2</v>
      </c>
      <c r="G263" s="11"/>
      <c r="I263">
        <f>C271</f>
        <v>17385</v>
      </c>
      <c r="J263">
        <f t="shared" ref="J263" si="398">D271</f>
        <v>17260</v>
      </c>
      <c r="K263">
        <f t="shared" ref="K263" si="399">E271</f>
        <v>17203</v>
      </c>
      <c r="L263">
        <f t="shared" ref="L263" si="400">F271</f>
        <v>17201</v>
      </c>
    </row>
    <row r="264" spans="1:17" x14ac:dyDescent="0.3">
      <c r="A264" s="2"/>
      <c r="B264" s="8" t="s">
        <v>24</v>
      </c>
      <c r="C264" s="11">
        <v>17571</v>
      </c>
      <c r="D264" s="11">
        <v>17571</v>
      </c>
      <c r="E264" s="11">
        <v>17562</v>
      </c>
      <c r="F264" s="11">
        <v>17571</v>
      </c>
      <c r="G264" s="11">
        <v>70275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24.99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39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23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17385</v>
      </c>
      <c r="D271" s="11">
        <v>17260</v>
      </c>
      <c r="E271" s="11">
        <v>17203</v>
      </c>
      <c r="F271" s="11">
        <v>17201</v>
      </c>
      <c r="G271" s="11">
        <v>69049</v>
      </c>
      <c r="I271">
        <f>C271</f>
        <v>17385</v>
      </c>
      <c r="J271">
        <f t="shared" ref="J271" si="401">D271</f>
        <v>17260</v>
      </c>
      <c r="K271">
        <f t="shared" ref="K271" si="402">E271</f>
        <v>17203</v>
      </c>
      <c r="L271">
        <f t="shared" ref="L271" si="403">F271</f>
        <v>17201</v>
      </c>
      <c r="N271" t="str">
        <f>TEXT(I271,"#,##0")&amp;" ("&amp;TEXT(I272,"0.00")&amp;")"</f>
        <v>17,385 (98.94)</v>
      </c>
      <c r="O271" t="str">
        <f t="shared" ref="O271" si="404">TEXT(J271,"#,##0")&amp;" ("&amp;TEXT(J272,"0.00")&amp;")"</f>
        <v>17,260 (98.23)</v>
      </c>
      <c r="P271" t="str">
        <f t="shared" ref="P271" si="405">TEXT(K271,"#,##0")&amp;" ("&amp;TEXT(K272,"0.00")&amp;")"</f>
        <v>17,203 (97.96)</v>
      </c>
      <c r="Q271" t="str">
        <f t="shared" ref="Q271" si="406">TEXT(L271,"#,##0")&amp;" ("&amp;TEXT(L272,"0.00")&amp;")"</f>
        <v>17,201 (97.89)</v>
      </c>
    </row>
    <row r="272" spans="1:17" x14ac:dyDescent="0.3">
      <c r="A272" s="2"/>
      <c r="B272" s="8"/>
      <c r="C272" s="11">
        <v>24.74</v>
      </c>
      <c r="D272" s="11">
        <v>24.56</v>
      </c>
      <c r="E272" s="11">
        <v>24.48</v>
      </c>
      <c r="F272" s="11">
        <v>24.48</v>
      </c>
      <c r="G272" s="11">
        <v>98.26</v>
      </c>
      <c r="I272">
        <f>C274</f>
        <v>98.94</v>
      </c>
      <c r="J272">
        <f t="shared" ref="J272:J273" si="407">D274</f>
        <v>98.23</v>
      </c>
      <c r="K272">
        <f t="shared" ref="K272:K273" si="408">E274</f>
        <v>97.96</v>
      </c>
      <c r="L272">
        <f t="shared" ref="L272:L273" si="409">F274</f>
        <v>97.89</v>
      </c>
      <c r="N272" t="str">
        <f>TEXT(I273,"#,##0")&amp;" ("&amp;TEXT(I274,"0.00")&amp;")"</f>
        <v>186 (1.06)</v>
      </c>
      <c r="O272" t="str">
        <f t="shared" ref="O272" si="410">TEXT(J273,"#,##0")&amp;" ("&amp;TEXT(J274,"0.00")&amp;")"</f>
        <v>311 (1.77)</v>
      </c>
      <c r="P272" t="str">
        <f t="shared" ref="P272" si="411">TEXT(K273,"#,##0")&amp;" ("&amp;TEXT(K274,"0.00")&amp;")"</f>
        <v>359 (2.04)</v>
      </c>
      <c r="Q272" t="str">
        <f t="shared" ref="Q272" si="412">TEXT(L273,"#,##0")&amp;" ("&amp;TEXT(L274,"0.00")&amp;")"</f>
        <v>370 (2.11)</v>
      </c>
    </row>
    <row r="273" spans="1:17" x14ac:dyDescent="0.3">
      <c r="A273" s="2"/>
      <c r="B273" s="8"/>
      <c r="C273" s="11">
        <v>25.18</v>
      </c>
      <c r="D273" s="11">
        <v>25</v>
      </c>
      <c r="E273" s="11">
        <v>24.91</v>
      </c>
      <c r="F273" s="11">
        <v>24.91</v>
      </c>
      <c r="G273" s="11"/>
      <c r="I273">
        <f>C275</f>
        <v>186</v>
      </c>
      <c r="J273">
        <f t="shared" si="407"/>
        <v>311</v>
      </c>
      <c r="K273">
        <f t="shared" si="408"/>
        <v>359</v>
      </c>
      <c r="L273">
        <f t="shared" si="409"/>
        <v>370</v>
      </c>
      <c r="N273" t="str">
        <f>TEXT(I275,"#,##0")&amp;" ("&amp;TEXT(I276,"0.00")&amp;")"</f>
        <v>17,571 (0.00)</v>
      </c>
      <c r="O273" t="str">
        <f t="shared" ref="O273" si="413">TEXT(J275,"#,##0")&amp;" ("&amp;TEXT(J276,"0.00")&amp;")"</f>
        <v>17,571 (0.00)</v>
      </c>
      <c r="P273" t="str">
        <f t="shared" ref="P273" si="414">TEXT(K275,"#,##0")&amp;" ("&amp;TEXT(K276,"0.00")&amp;")"</f>
        <v>17,562 (0.00)</v>
      </c>
      <c r="Q273" t="str">
        <f t="shared" ref="Q273" si="415">TEXT(L275,"#,##0")&amp;" ("&amp;TEXT(L276,"0.00")&amp;")"</f>
        <v>17,571 (0.00)</v>
      </c>
    </row>
    <row r="274" spans="1:17" x14ac:dyDescent="0.3">
      <c r="A274" s="2"/>
      <c r="B274" s="8"/>
      <c r="C274" s="11">
        <v>98.94</v>
      </c>
      <c r="D274" s="11">
        <v>98.23</v>
      </c>
      <c r="E274" s="11">
        <v>97.96</v>
      </c>
      <c r="F274" s="11">
        <v>97.89</v>
      </c>
      <c r="G274" s="11"/>
      <c r="I274">
        <f>C278</f>
        <v>1.06</v>
      </c>
      <c r="J274">
        <f t="shared" ref="J274:J275" si="416">D278</f>
        <v>1.77</v>
      </c>
      <c r="K274">
        <f t="shared" ref="K274:K275" si="417">E278</f>
        <v>2.04</v>
      </c>
      <c r="L274">
        <f t="shared" ref="L274:L275" si="418">F278</f>
        <v>2.11</v>
      </c>
      <c r="N274" t="str">
        <f>TEXT(I277,"#,##0")&amp;" ("&amp;TEXT(I278,"0.00")&amp;")"</f>
        <v>0 (0.00)</v>
      </c>
      <c r="O274" t="str">
        <f t="shared" ref="O274" si="419">TEXT(J277,"#,##0")&amp;" ("&amp;TEXT(J278,"0.00")&amp;")"</f>
        <v>0 (0.00)</v>
      </c>
      <c r="P274" t="str">
        <f t="shared" ref="P274" si="420">TEXT(K277,"#,##0")&amp;" ("&amp;TEXT(K278,"0.00")&amp;")"</f>
        <v>0 (0.00)</v>
      </c>
      <c r="Q274" t="str">
        <f t="shared" ref="Q274" si="421">TEXT(L277,"#,##0")&amp;" ("&amp;TEXT(L278,"0.00")&amp;")"</f>
        <v>0 (0.00)</v>
      </c>
    </row>
    <row r="275" spans="1:17" x14ac:dyDescent="0.3">
      <c r="A275" s="2"/>
      <c r="B275" s="8">
        <v>1</v>
      </c>
      <c r="C275" s="11">
        <v>186</v>
      </c>
      <c r="D275" s="11">
        <v>311</v>
      </c>
      <c r="E275" s="11">
        <v>359</v>
      </c>
      <c r="F275" s="11">
        <v>370</v>
      </c>
      <c r="G275" s="11">
        <v>1226</v>
      </c>
      <c r="I275">
        <f>C279</f>
        <v>17571</v>
      </c>
      <c r="J275">
        <f t="shared" si="416"/>
        <v>17571</v>
      </c>
      <c r="K275">
        <f t="shared" si="417"/>
        <v>17562</v>
      </c>
      <c r="L275">
        <f t="shared" si="418"/>
        <v>17571</v>
      </c>
    </row>
    <row r="276" spans="1:17" x14ac:dyDescent="0.3">
      <c r="A276" s="2"/>
      <c r="B276" s="8"/>
      <c r="C276" s="11">
        <v>0.26</v>
      </c>
      <c r="D276" s="11">
        <v>0.44</v>
      </c>
      <c r="E276" s="11">
        <v>0.51</v>
      </c>
      <c r="F276" s="11">
        <v>0.53</v>
      </c>
      <c r="G276" s="11">
        <v>1.74</v>
      </c>
      <c r="I276">
        <f>C282</f>
        <v>0</v>
      </c>
      <c r="J276">
        <f t="shared" ref="J276:J277" si="422">D282</f>
        <v>0</v>
      </c>
      <c r="K276">
        <f t="shared" ref="K276:K277" si="423">E282</f>
        <v>0</v>
      </c>
      <c r="L276">
        <f t="shared" ref="L276:L277" si="424">F282</f>
        <v>0</v>
      </c>
    </row>
    <row r="277" spans="1:17" x14ac:dyDescent="0.3">
      <c r="A277" s="2"/>
      <c r="B277" s="8"/>
      <c r="C277" s="11">
        <v>15.17</v>
      </c>
      <c r="D277" s="11">
        <v>25.37</v>
      </c>
      <c r="E277" s="11">
        <v>29.28</v>
      </c>
      <c r="F277" s="11">
        <v>30.18</v>
      </c>
      <c r="G277" s="11"/>
      <c r="I277">
        <f>C283</f>
        <v>0</v>
      </c>
      <c r="J277">
        <f t="shared" si="422"/>
        <v>0</v>
      </c>
      <c r="K277">
        <f t="shared" si="423"/>
        <v>0</v>
      </c>
      <c r="L277">
        <f t="shared" si="424"/>
        <v>0</v>
      </c>
    </row>
    <row r="278" spans="1:17" x14ac:dyDescent="0.3">
      <c r="A278" s="2"/>
      <c r="B278" s="8"/>
      <c r="C278" s="11">
        <v>1.06</v>
      </c>
      <c r="D278" s="11">
        <v>1.77</v>
      </c>
      <c r="E278" s="11">
        <v>2.04</v>
      </c>
      <c r="F278" s="11">
        <v>2.11</v>
      </c>
      <c r="G278" s="11"/>
      <c r="I278">
        <f>C286</f>
        <v>0</v>
      </c>
      <c r="J278">
        <f t="shared" ref="J278" si="425">D286</f>
        <v>0</v>
      </c>
      <c r="K278">
        <f t="shared" ref="K278" si="426">E286</f>
        <v>0</v>
      </c>
      <c r="L278">
        <f t="shared" ref="L278" si="427">F286</f>
        <v>0</v>
      </c>
    </row>
    <row r="279" spans="1:17" x14ac:dyDescent="0.3">
      <c r="A279" s="2"/>
      <c r="B279" s="8" t="s">
        <v>24</v>
      </c>
      <c r="C279" s="11">
        <v>17571</v>
      </c>
      <c r="D279" s="11">
        <v>17571</v>
      </c>
      <c r="E279" s="11">
        <v>17562</v>
      </c>
      <c r="F279" s="11">
        <v>17571</v>
      </c>
      <c r="G279" s="11">
        <v>70275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24.99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39B4E-92FA-43E9-B33C-75196D70F773}">
  <dimension ref="A1:Q281"/>
  <sheetViews>
    <sheetView workbookViewId="0">
      <selection activeCell="N271" sqref="N271:Q272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40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41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10000</v>
      </c>
      <c r="D6" s="11">
        <v>5993</v>
      </c>
      <c r="E6" s="11">
        <v>3686</v>
      </c>
      <c r="F6" s="11">
        <v>1952</v>
      </c>
      <c r="G6" s="11">
        <v>21631</v>
      </c>
      <c r="I6">
        <f>C6</f>
        <v>10000</v>
      </c>
      <c r="J6">
        <f t="shared" ref="J6:L6" si="0">D6</f>
        <v>5993</v>
      </c>
      <c r="K6">
        <f t="shared" si="0"/>
        <v>3686</v>
      </c>
      <c r="L6">
        <f t="shared" si="0"/>
        <v>1952</v>
      </c>
      <c r="N6" t="str">
        <f>TEXT(I6,"#,##0")&amp;" ("&amp;TEXT(I7,"0.00")&amp;")"</f>
        <v>10,000 (56.92)</v>
      </c>
      <c r="O6" t="str">
        <f t="shared" ref="O6:Q6" si="1">TEXT(J6,"#,##0")&amp;" ("&amp;TEXT(J7,"0.00")&amp;")"</f>
        <v>5,993 (34.11)</v>
      </c>
      <c r="P6" t="str">
        <f t="shared" si="1"/>
        <v>3,686 (20.98)</v>
      </c>
      <c r="Q6" t="str">
        <f t="shared" si="1"/>
        <v>1,952 (11.11)</v>
      </c>
    </row>
    <row r="7" spans="1:17" x14ac:dyDescent="0.3">
      <c r="A7" s="2"/>
      <c r="B7" s="8"/>
      <c r="C7" s="11">
        <v>14.23</v>
      </c>
      <c r="D7" s="11">
        <v>8.5299999999999994</v>
      </c>
      <c r="E7" s="11">
        <v>5.25</v>
      </c>
      <c r="F7" s="11">
        <v>2.78</v>
      </c>
      <c r="G7" s="11">
        <v>30.78</v>
      </c>
      <c r="I7">
        <f>C9</f>
        <v>56.92</v>
      </c>
      <c r="J7">
        <f t="shared" ref="J7:L8" si="2">D9</f>
        <v>34.11</v>
      </c>
      <c r="K7">
        <f t="shared" si="2"/>
        <v>20.98</v>
      </c>
      <c r="L7">
        <f t="shared" si="2"/>
        <v>11.11</v>
      </c>
      <c r="N7" t="str">
        <f>TEXT(I8,"#,##0")&amp;" ("&amp;TEXT(I9,"0.00")&amp;")"</f>
        <v>6,672 (37.98)</v>
      </c>
      <c r="O7" t="str">
        <f t="shared" ref="O7:Q7" si="3">TEXT(J8,"#,##0")&amp;" ("&amp;TEXT(J9,"0.00")&amp;")"</f>
        <v>8,974 (51.08)</v>
      </c>
      <c r="P7" t="str">
        <f t="shared" si="3"/>
        <v>9,354 (53.24)</v>
      </c>
      <c r="Q7" t="str">
        <f t="shared" si="3"/>
        <v>9,171 (52.20)</v>
      </c>
    </row>
    <row r="8" spans="1:17" x14ac:dyDescent="0.3">
      <c r="A8" s="2"/>
      <c r="B8" s="8"/>
      <c r="C8" s="11">
        <v>46.23</v>
      </c>
      <c r="D8" s="11">
        <v>27.71</v>
      </c>
      <c r="E8" s="11">
        <v>17.04</v>
      </c>
      <c r="F8" s="11">
        <v>9.02</v>
      </c>
      <c r="G8" s="11"/>
      <c r="I8">
        <f>C10</f>
        <v>6672</v>
      </c>
      <c r="J8">
        <f t="shared" si="2"/>
        <v>8974</v>
      </c>
      <c r="K8">
        <f t="shared" si="2"/>
        <v>9354</v>
      </c>
      <c r="L8">
        <f t="shared" si="2"/>
        <v>9171</v>
      </c>
      <c r="N8" t="str">
        <f>TEXT(I10,"#,##0")&amp;" ("&amp;TEXT(I11,"0.00")&amp;")"</f>
        <v>897 (5.11)</v>
      </c>
      <c r="O8" t="str">
        <f t="shared" ref="O8:Q8" si="4">TEXT(J10,"#,##0")&amp;" ("&amp;TEXT(J11,"0.00")&amp;")"</f>
        <v>2,601 (14.81)</v>
      </c>
      <c r="P8" t="str">
        <f t="shared" si="4"/>
        <v>4,530 (25.78)</v>
      </c>
      <c r="Q8" t="str">
        <f t="shared" si="4"/>
        <v>6,445 (36.69)</v>
      </c>
    </row>
    <row r="9" spans="1:17" x14ac:dyDescent="0.3">
      <c r="A9" s="2"/>
      <c r="B9" s="8"/>
      <c r="C9" s="11">
        <v>56.92</v>
      </c>
      <c r="D9" s="11">
        <v>34.11</v>
      </c>
      <c r="E9" s="11">
        <v>20.98</v>
      </c>
      <c r="F9" s="11">
        <v>11.11</v>
      </c>
      <c r="G9" s="11"/>
      <c r="I9">
        <f>C13</f>
        <v>37.979999999999997</v>
      </c>
      <c r="J9">
        <f t="shared" ref="J9:L10" si="5">D13</f>
        <v>51.08</v>
      </c>
      <c r="K9">
        <f t="shared" si="5"/>
        <v>53.24</v>
      </c>
      <c r="L9">
        <f t="shared" si="5"/>
        <v>52.2</v>
      </c>
      <c r="N9" t="str">
        <f>TEXT(I12,"#,##0")&amp;" ("&amp;TEXT(I13,"0.00")&amp;")"</f>
        <v>17,569 (0.00)</v>
      </c>
      <c r="O9" t="str">
        <f t="shared" ref="O9:Q9" si="6">TEXT(J12,"#,##0")&amp;" ("&amp;TEXT(J13,"0.00")&amp;")"</f>
        <v>17,568 (0.00)</v>
      </c>
      <c r="P9" t="str">
        <f t="shared" si="6"/>
        <v>17,570 (0.00)</v>
      </c>
      <c r="Q9" t="str">
        <f t="shared" si="6"/>
        <v>17,568 (0.00)</v>
      </c>
    </row>
    <row r="10" spans="1:17" x14ac:dyDescent="0.3">
      <c r="A10" s="2"/>
      <c r="B10" s="8">
        <v>2</v>
      </c>
      <c r="C10" s="11">
        <v>6672</v>
      </c>
      <c r="D10" s="11">
        <v>8974</v>
      </c>
      <c r="E10" s="11">
        <v>9354</v>
      </c>
      <c r="F10" s="11">
        <v>9171</v>
      </c>
      <c r="G10" s="11">
        <v>34171</v>
      </c>
      <c r="I10">
        <f>C14</f>
        <v>897</v>
      </c>
      <c r="J10">
        <f t="shared" si="5"/>
        <v>2601</v>
      </c>
      <c r="K10">
        <f t="shared" si="5"/>
        <v>4530</v>
      </c>
      <c r="L10">
        <f t="shared" si="5"/>
        <v>6445</v>
      </c>
    </row>
    <row r="11" spans="1:17" x14ac:dyDescent="0.3">
      <c r="A11" s="2"/>
      <c r="B11" s="8"/>
      <c r="C11" s="11">
        <v>9.49</v>
      </c>
      <c r="D11" s="11">
        <v>12.77</v>
      </c>
      <c r="E11" s="11">
        <v>13.31</v>
      </c>
      <c r="F11" s="11">
        <v>13.05</v>
      </c>
      <c r="G11" s="11">
        <v>48.62</v>
      </c>
      <c r="I11">
        <f>C17</f>
        <v>5.1100000000000003</v>
      </c>
      <c r="J11">
        <f t="shared" ref="J11:L12" si="7">D17</f>
        <v>14.81</v>
      </c>
      <c r="K11">
        <f t="shared" si="7"/>
        <v>25.78</v>
      </c>
      <c r="L11">
        <f t="shared" si="7"/>
        <v>36.69</v>
      </c>
    </row>
    <row r="12" spans="1:17" x14ac:dyDescent="0.3">
      <c r="A12" s="2"/>
      <c r="B12" s="8"/>
      <c r="C12" s="11">
        <v>19.53</v>
      </c>
      <c r="D12" s="11">
        <v>26.26</v>
      </c>
      <c r="E12" s="11">
        <v>27.37</v>
      </c>
      <c r="F12" s="11">
        <v>26.84</v>
      </c>
      <c r="G12" s="11"/>
      <c r="I12">
        <f>C18</f>
        <v>17569</v>
      </c>
      <c r="J12">
        <f t="shared" si="7"/>
        <v>17568</v>
      </c>
      <c r="K12">
        <f t="shared" si="7"/>
        <v>17570</v>
      </c>
      <c r="L12">
        <f t="shared" si="7"/>
        <v>17568</v>
      </c>
    </row>
    <row r="13" spans="1:17" x14ac:dyDescent="0.3">
      <c r="A13" s="2"/>
      <c r="B13" s="8"/>
      <c r="C13" s="11">
        <v>37.979999999999997</v>
      </c>
      <c r="D13" s="11">
        <v>51.08</v>
      </c>
      <c r="E13" s="11">
        <v>53.24</v>
      </c>
      <c r="F13" s="11">
        <v>52.2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897</v>
      </c>
      <c r="D14" s="11">
        <v>2601</v>
      </c>
      <c r="E14" s="11">
        <v>4530</v>
      </c>
      <c r="F14" s="11">
        <v>6445</v>
      </c>
      <c r="G14" s="11">
        <v>14473</v>
      </c>
    </row>
    <row r="15" spans="1:17" x14ac:dyDescent="0.3">
      <c r="A15" s="2"/>
      <c r="B15" s="8"/>
      <c r="C15" s="11">
        <v>1.28</v>
      </c>
      <c r="D15" s="11">
        <v>3.7</v>
      </c>
      <c r="E15" s="11">
        <v>6.45</v>
      </c>
      <c r="F15" s="11">
        <v>9.17</v>
      </c>
      <c r="G15" s="11">
        <v>20.59</v>
      </c>
    </row>
    <row r="16" spans="1:17" x14ac:dyDescent="0.3">
      <c r="A16" s="2"/>
      <c r="B16" s="8"/>
      <c r="C16" s="11">
        <v>6.2</v>
      </c>
      <c r="D16" s="11">
        <v>17.97</v>
      </c>
      <c r="E16" s="11">
        <v>31.3</v>
      </c>
      <c r="F16" s="11">
        <v>44.53</v>
      </c>
      <c r="G16" s="11"/>
    </row>
    <row r="17" spans="1:17" x14ac:dyDescent="0.3">
      <c r="A17" s="2"/>
      <c r="B17" s="8"/>
      <c r="C17" s="11">
        <v>5.1100000000000003</v>
      </c>
      <c r="D17" s="11">
        <v>14.81</v>
      </c>
      <c r="E17" s="11">
        <v>25.78</v>
      </c>
      <c r="F17" s="11">
        <v>36.69</v>
      </c>
      <c r="G17" s="11"/>
    </row>
    <row r="18" spans="1:17" x14ac:dyDescent="0.3">
      <c r="A18" s="2"/>
      <c r="B18" s="8" t="s">
        <v>24</v>
      </c>
      <c r="C18" s="11">
        <v>17569</v>
      </c>
      <c r="D18" s="11">
        <v>17568</v>
      </c>
      <c r="E18" s="11">
        <v>17570</v>
      </c>
      <c r="F18" s="11">
        <v>17568</v>
      </c>
      <c r="G18" s="11">
        <v>70275</v>
      </c>
    </row>
    <row r="19" spans="1:17" x14ac:dyDescent="0.3">
      <c r="A19" s="2"/>
      <c r="B19" s="8"/>
      <c r="C19" s="11">
        <v>25</v>
      </c>
      <c r="D19" s="11">
        <v>25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42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41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4952</v>
      </c>
      <c r="D25" s="11">
        <v>7966</v>
      </c>
      <c r="E25" s="11">
        <v>9955</v>
      </c>
      <c r="F25" s="11">
        <v>11273</v>
      </c>
      <c r="G25" s="11">
        <v>34146</v>
      </c>
      <c r="I25">
        <f>C25</f>
        <v>4952</v>
      </c>
      <c r="J25">
        <f t="shared" ref="J25:L25" si="9">D25</f>
        <v>7966</v>
      </c>
      <c r="K25">
        <f t="shared" si="9"/>
        <v>9955</v>
      </c>
      <c r="L25">
        <f t="shared" si="9"/>
        <v>11273</v>
      </c>
      <c r="N25" t="str">
        <f>TEXT(I25,"#,##0")&amp;" ("&amp;TEXT(I26,"0.00")&amp;")"</f>
        <v>4,952 (28.19)</v>
      </c>
      <c r="O25" t="str">
        <f t="shared" ref="O25:Q25" si="10">TEXT(J25,"#,##0")&amp;" ("&amp;TEXT(J26,"0.00")&amp;")"</f>
        <v>7,966 (45.34)</v>
      </c>
      <c r="P25" t="str">
        <f t="shared" si="10"/>
        <v>9,955 (56.66)</v>
      </c>
      <c r="Q25" t="str">
        <f t="shared" si="10"/>
        <v>11,273 (64.17)</v>
      </c>
    </row>
    <row r="26" spans="1:17" x14ac:dyDescent="0.3">
      <c r="A26" s="2"/>
      <c r="B26" s="8"/>
      <c r="C26" s="11">
        <v>7.05</v>
      </c>
      <c r="D26" s="11">
        <v>11.34</v>
      </c>
      <c r="E26" s="11">
        <v>14.17</v>
      </c>
      <c r="F26" s="11">
        <v>16.04</v>
      </c>
      <c r="G26" s="11">
        <v>48.59</v>
      </c>
      <c r="I26">
        <f>C28</f>
        <v>28.19</v>
      </c>
      <c r="J26">
        <f t="shared" ref="J26:L27" si="11">D28</f>
        <v>45.34</v>
      </c>
      <c r="K26">
        <f t="shared" si="11"/>
        <v>56.66</v>
      </c>
      <c r="L26">
        <f t="shared" si="11"/>
        <v>64.17</v>
      </c>
      <c r="N26" t="str">
        <f>TEXT(I27,"#,##0")&amp;" ("&amp;TEXT(I28,"0.00")&amp;")"</f>
        <v>12,617 (71.81)</v>
      </c>
      <c r="O26" t="str">
        <f t="shared" ref="O26:Q26" si="12">TEXT(J27,"#,##0")&amp;" ("&amp;TEXT(J28,"0.00")&amp;")"</f>
        <v>9,602 (54.66)</v>
      </c>
      <c r="P26" t="str">
        <f t="shared" si="12"/>
        <v>7,615 (43.34)</v>
      </c>
      <c r="Q26" t="str">
        <f t="shared" si="12"/>
        <v>6,295 (35.83)</v>
      </c>
    </row>
    <row r="27" spans="1:17" x14ac:dyDescent="0.3">
      <c r="A27" s="2"/>
      <c r="B27" s="8"/>
      <c r="C27" s="11">
        <v>14.5</v>
      </c>
      <c r="D27" s="11">
        <v>23.33</v>
      </c>
      <c r="E27" s="11">
        <v>29.15</v>
      </c>
      <c r="F27" s="11">
        <v>33.01</v>
      </c>
      <c r="G27" s="11"/>
      <c r="I27">
        <f>C29</f>
        <v>12617</v>
      </c>
      <c r="J27">
        <f t="shared" si="11"/>
        <v>9602</v>
      </c>
      <c r="K27">
        <f t="shared" si="11"/>
        <v>7615</v>
      </c>
      <c r="L27">
        <f t="shared" si="11"/>
        <v>6295</v>
      </c>
      <c r="N27" t="str">
        <f>TEXT(I29,"#,##0")&amp;" ("&amp;TEXT(I30,"0.00")&amp;")"</f>
        <v>17,569 (0.00)</v>
      </c>
      <c r="O27" t="str">
        <f t="shared" ref="O27:Q27" si="13">TEXT(J29,"#,##0")&amp;" ("&amp;TEXT(J30,"0.00")&amp;")"</f>
        <v>17,568 (0.00)</v>
      </c>
      <c r="P27" t="str">
        <f t="shared" si="13"/>
        <v>17,570 (0.00)</v>
      </c>
      <c r="Q27" t="str">
        <f t="shared" si="13"/>
        <v>17,568 (0.00)</v>
      </c>
    </row>
    <row r="28" spans="1:17" x14ac:dyDescent="0.3">
      <c r="A28" s="2"/>
      <c r="B28" s="8"/>
      <c r="C28" s="11">
        <v>28.19</v>
      </c>
      <c r="D28" s="11">
        <v>45.34</v>
      </c>
      <c r="E28" s="11">
        <v>56.66</v>
      </c>
      <c r="F28" s="11">
        <v>64.17</v>
      </c>
      <c r="G28" s="11"/>
      <c r="I28">
        <f>C32</f>
        <v>71.81</v>
      </c>
      <c r="J28">
        <f t="shared" ref="J28:L29" si="14">D32</f>
        <v>54.66</v>
      </c>
      <c r="K28">
        <f t="shared" si="14"/>
        <v>43.34</v>
      </c>
      <c r="L28">
        <f t="shared" si="14"/>
        <v>35.83</v>
      </c>
      <c r="N28" t="str">
        <f>TEXT(I31,"#,##0")&amp;" ("&amp;TEXT(I32,"0.00")&amp;")"</f>
        <v>0 (15156.00)</v>
      </c>
      <c r="O28" t="str">
        <f t="shared" ref="O28:Q28" si="15">TEXT(J31,"#,##0")&amp;" ("&amp;TEXT(J32,"0.00")&amp;")"</f>
        <v>0 (14362.00)</v>
      </c>
      <c r="P28" t="str">
        <f t="shared" si="15"/>
        <v>0 (13808.00)</v>
      </c>
      <c r="Q28" t="str">
        <f t="shared" si="15"/>
        <v>0 (13164.00)</v>
      </c>
    </row>
    <row r="29" spans="1:17" x14ac:dyDescent="0.3">
      <c r="A29" s="2"/>
      <c r="B29" s="8">
        <v>2</v>
      </c>
      <c r="C29" s="11">
        <v>12617</v>
      </c>
      <c r="D29" s="11">
        <v>9602</v>
      </c>
      <c r="E29" s="11">
        <v>7615</v>
      </c>
      <c r="F29" s="11">
        <v>6295</v>
      </c>
      <c r="G29" s="11">
        <v>36129</v>
      </c>
      <c r="I29">
        <f>C33</f>
        <v>17569</v>
      </c>
      <c r="J29">
        <f t="shared" si="14"/>
        <v>17568</v>
      </c>
      <c r="K29">
        <f t="shared" si="14"/>
        <v>17570</v>
      </c>
      <c r="L29">
        <f t="shared" si="14"/>
        <v>17568</v>
      </c>
    </row>
    <row r="30" spans="1:17" x14ac:dyDescent="0.3">
      <c r="A30" s="2"/>
      <c r="B30" s="8"/>
      <c r="C30" s="11">
        <v>17.95</v>
      </c>
      <c r="D30" s="11">
        <v>13.66</v>
      </c>
      <c r="E30" s="11">
        <v>10.84</v>
      </c>
      <c r="F30" s="11">
        <v>8.9600000000000009</v>
      </c>
      <c r="G30" s="11">
        <v>51.41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34.92</v>
      </c>
      <c r="D31" s="11">
        <v>26.58</v>
      </c>
      <c r="E31" s="11">
        <v>21.08</v>
      </c>
      <c r="F31" s="11">
        <v>17.420000000000002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71.81</v>
      </c>
      <c r="D32" s="11">
        <v>54.66</v>
      </c>
      <c r="E32" s="11">
        <v>43.34</v>
      </c>
      <c r="F32" s="11">
        <v>35.83</v>
      </c>
      <c r="G32" s="11"/>
      <c r="I32">
        <f>C40</f>
        <v>15156</v>
      </c>
      <c r="J32">
        <f t="shared" ref="J32:L32" si="17">D40</f>
        <v>14362</v>
      </c>
      <c r="K32">
        <f t="shared" si="17"/>
        <v>13808</v>
      </c>
      <c r="L32">
        <f t="shared" si="17"/>
        <v>13164</v>
      </c>
    </row>
    <row r="33" spans="1:17" x14ac:dyDescent="0.3">
      <c r="A33" s="2"/>
      <c r="B33" s="8" t="s">
        <v>24</v>
      </c>
      <c r="C33" s="11">
        <v>17569</v>
      </c>
      <c r="D33" s="11">
        <v>17568</v>
      </c>
      <c r="E33" s="11">
        <v>17570</v>
      </c>
      <c r="F33" s="11">
        <v>17568</v>
      </c>
      <c r="G33" s="11">
        <v>70275</v>
      </c>
    </row>
    <row r="34" spans="1:17" x14ac:dyDescent="0.3">
      <c r="A34" s="2"/>
      <c r="B34" s="8"/>
      <c r="C34" s="11">
        <v>25</v>
      </c>
      <c r="D34" s="11">
        <v>25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43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41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15156</v>
      </c>
      <c r="D40" s="11">
        <v>14362</v>
      </c>
      <c r="E40" s="11">
        <v>13808</v>
      </c>
      <c r="F40" s="11">
        <v>13164</v>
      </c>
      <c r="G40" s="11">
        <v>56490</v>
      </c>
      <c r="I40">
        <f>C40</f>
        <v>15156</v>
      </c>
      <c r="J40">
        <f t="shared" ref="J40:L40" si="18">D40</f>
        <v>14362</v>
      </c>
      <c r="K40">
        <f t="shared" si="18"/>
        <v>13808</v>
      </c>
      <c r="L40">
        <f t="shared" si="18"/>
        <v>13164</v>
      </c>
      <c r="N40" t="str">
        <f>TEXT(I40,"#,##0")&amp;" ("&amp;TEXT(I41,"0.00")&amp;")"</f>
        <v>15,156 (86.27)</v>
      </c>
      <c r="O40" t="str">
        <f t="shared" ref="O40:Q40" si="19">TEXT(J40,"#,##0")&amp;" ("&amp;TEXT(J41,"0.00")&amp;")"</f>
        <v>14,362 (81.75)</v>
      </c>
      <c r="P40" t="str">
        <f t="shared" si="19"/>
        <v>13,808 (78.59)</v>
      </c>
      <c r="Q40" t="str">
        <f t="shared" si="19"/>
        <v>13,164 (74.93)</v>
      </c>
    </row>
    <row r="41" spans="1:17" x14ac:dyDescent="0.3">
      <c r="A41" s="2"/>
      <c r="B41" s="8"/>
      <c r="C41" s="11">
        <v>21.57</v>
      </c>
      <c r="D41" s="11">
        <v>20.440000000000001</v>
      </c>
      <c r="E41" s="11">
        <v>19.649999999999999</v>
      </c>
      <c r="F41" s="11">
        <v>18.73</v>
      </c>
      <c r="G41" s="11">
        <v>80.38</v>
      </c>
      <c r="I41">
        <f>C43</f>
        <v>86.27</v>
      </c>
      <c r="J41">
        <f t="shared" ref="J41:L42" si="20">D43</f>
        <v>81.75</v>
      </c>
      <c r="K41">
        <f t="shared" si="20"/>
        <v>78.59</v>
      </c>
      <c r="L41">
        <f t="shared" si="20"/>
        <v>74.930000000000007</v>
      </c>
      <c r="N41" t="str">
        <f>TEXT(I42,"#,##0")&amp;" ("&amp;TEXT(I43,"0.00")&amp;")"</f>
        <v>2,413 (13.73)</v>
      </c>
      <c r="O41" t="str">
        <f t="shared" ref="O41:Q41" si="21">TEXT(J42,"#,##0")&amp;" ("&amp;TEXT(J43,"0.00")&amp;")"</f>
        <v>3,206 (18.25)</v>
      </c>
      <c r="P41" t="str">
        <f t="shared" si="21"/>
        <v>3,762 (21.41)</v>
      </c>
      <c r="Q41" t="str">
        <f t="shared" si="21"/>
        <v>4,404 (25.07)</v>
      </c>
    </row>
    <row r="42" spans="1:17" x14ac:dyDescent="0.3">
      <c r="A42" s="2"/>
      <c r="B42" s="8"/>
      <c r="C42" s="11">
        <v>26.83</v>
      </c>
      <c r="D42" s="11">
        <v>25.42</v>
      </c>
      <c r="E42" s="11">
        <v>24.44</v>
      </c>
      <c r="F42" s="11">
        <v>23.3</v>
      </c>
      <c r="G42" s="11"/>
      <c r="I42">
        <f>C44</f>
        <v>2413</v>
      </c>
      <c r="J42">
        <f t="shared" si="20"/>
        <v>3206</v>
      </c>
      <c r="K42">
        <f t="shared" si="20"/>
        <v>3762</v>
      </c>
      <c r="L42">
        <f t="shared" si="20"/>
        <v>4404</v>
      </c>
      <c r="N42" t="str">
        <f>TEXT(I44,"#,##0")&amp;" ("&amp;TEXT(I45,"0.00")&amp;")"</f>
        <v>17,569 (0.00)</v>
      </c>
      <c r="O42" t="str">
        <f t="shared" ref="O42:Q42" si="22">TEXT(J44,"#,##0")&amp;" ("&amp;TEXT(J45,"0.00")&amp;")"</f>
        <v>17,568 (0.00)</v>
      </c>
      <c r="P42" t="str">
        <f t="shared" si="22"/>
        <v>17,570 (0.00)</v>
      </c>
      <c r="Q42" t="str">
        <f t="shared" si="22"/>
        <v>17,568 (0.00)</v>
      </c>
    </row>
    <row r="43" spans="1:17" x14ac:dyDescent="0.3">
      <c r="A43" s="2"/>
      <c r="B43" s="8"/>
      <c r="C43" s="11">
        <v>86.27</v>
      </c>
      <c r="D43" s="11">
        <v>81.75</v>
      </c>
      <c r="E43" s="11">
        <v>78.59</v>
      </c>
      <c r="F43" s="11">
        <v>74.930000000000007</v>
      </c>
      <c r="G43" s="11"/>
      <c r="I43">
        <f>C47</f>
        <v>13.73</v>
      </c>
      <c r="J43">
        <f t="shared" ref="J43:L44" si="23">D47</f>
        <v>18.25</v>
      </c>
      <c r="K43">
        <f t="shared" si="23"/>
        <v>21.41</v>
      </c>
      <c r="L43">
        <f t="shared" si="23"/>
        <v>25.07</v>
      </c>
      <c r="N43" t="str">
        <f>TEXT(I46,"#,##0")&amp;" ("&amp;TEXT(I47,"0.00")&amp;")"</f>
        <v>0 (676.00)</v>
      </c>
      <c r="O43" t="str">
        <f t="shared" ref="O43:Q43" si="24">TEXT(J46,"#,##0")&amp;" ("&amp;TEXT(J47,"0.00")&amp;")"</f>
        <v>0 (1783.00)</v>
      </c>
      <c r="P43" t="str">
        <f t="shared" si="24"/>
        <v>0 (2924.00)</v>
      </c>
      <c r="Q43" t="str">
        <f t="shared" si="24"/>
        <v>0 (4085.00)</v>
      </c>
    </row>
    <row r="44" spans="1:17" x14ac:dyDescent="0.3">
      <c r="A44" s="2"/>
      <c r="B44" s="8">
        <v>2</v>
      </c>
      <c r="C44" s="11">
        <v>2413</v>
      </c>
      <c r="D44" s="11">
        <v>3206</v>
      </c>
      <c r="E44" s="11">
        <v>3762</v>
      </c>
      <c r="F44" s="11">
        <v>4404</v>
      </c>
      <c r="G44" s="11">
        <v>13785</v>
      </c>
      <c r="I44">
        <f>C48</f>
        <v>17569</v>
      </c>
      <c r="J44">
        <f t="shared" si="23"/>
        <v>17568</v>
      </c>
      <c r="K44">
        <f t="shared" si="23"/>
        <v>17570</v>
      </c>
      <c r="L44">
        <f t="shared" si="23"/>
        <v>17568</v>
      </c>
    </row>
    <row r="45" spans="1:17" x14ac:dyDescent="0.3">
      <c r="A45" s="2"/>
      <c r="B45" s="8"/>
      <c r="C45" s="11">
        <v>3.43</v>
      </c>
      <c r="D45" s="11">
        <v>4.5599999999999996</v>
      </c>
      <c r="E45" s="11">
        <v>5.35</v>
      </c>
      <c r="F45" s="11">
        <v>6.27</v>
      </c>
      <c r="G45" s="11">
        <v>19.62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17.5</v>
      </c>
      <c r="D46" s="11">
        <v>23.26</v>
      </c>
      <c r="E46" s="11">
        <v>27.29</v>
      </c>
      <c r="F46" s="11">
        <v>31.95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13.73</v>
      </c>
      <c r="D47" s="11">
        <v>18.25</v>
      </c>
      <c r="E47" s="11">
        <v>21.41</v>
      </c>
      <c r="F47" s="11">
        <v>25.07</v>
      </c>
      <c r="G47" s="11"/>
      <c r="I47">
        <f>C55</f>
        <v>676</v>
      </c>
      <c r="J47">
        <f t="shared" ref="J47:L47" si="26">D55</f>
        <v>1783</v>
      </c>
      <c r="K47">
        <f t="shared" si="26"/>
        <v>2924</v>
      </c>
      <c r="L47">
        <f t="shared" si="26"/>
        <v>4085</v>
      </c>
    </row>
    <row r="48" spans="1:17" x14ac:dyDescent="0.3">
      <c r="A48" s="2"/>
      <c r="B48" s="8" t="s">
        <v>24</v>
      </c>
      <c r="C48" s="11">
        <v>17569</v>
      </c>
      <c r="D48" s="11">
        <v>17568</v>
      </c>
      <c r="E48" s="11">
        <v>17570</v>
      </c>
      <c r="F48" s="11">
        <v>17568</v>
      </c>
      <c r="G48" s="11">
        <v>70275</v>
      </c>
    </row>
    <row r="49" spans="1:17" x14ac:dyDescent="0.3">
      <c r="A49" s="2"/>
      <c r="B49" s="8"/>
      <c r="C49" s="11">
        <v>25</v>
      </c>
      <c r="D49" s="11">
        <v>25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44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41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676</v>
      </c>
      <c r="D55" s="11">
        <v>1783</v>
      </c>
      <c r="E55" s="11">
        <v>2924</v>
      </c>
      <c r="F55" s="11">
        <v>4085</v>
      </c>
      <c r="G55" s="11">
        <v>9468</v>
      </c>
      <c r="I55">
        <f>C55</f>
        <v>676</v>
      </c>
      <c r="J55">
        <f t="shared" ref="J55:L55" si="27">D55</f>
        <v>1783</v>
      </c>
      <c r="K55">
        <f t="shared" si="27"/>
        <v>2924</v>
      </c>
      <c r="L55">
        <f t="shared" si="27"/>
        <v>4085</v>
      </c>
      <c r="N55" t="str">
        <f>TEXT(I55,"#,##0")&amp;" ("&amp;TEXT(I56,"0.00")&amp;")"</f>
        <v>676 (3.85)</v>
      </c>
      <c r="O55" t="str">
        <f t="shared" ref="O55:Q55" si="28">TEXT(J55,"#,##0")&amp;" ("&amp;TEXT(J56,"0.00")&amp;")"</f>
        <v>1,783 (10.15)</v>
      </c>
      <c r="P55" t="str">
        <f t="shared" si="28"/>
        <v>2,924 (16.64)</v>
      </c>
      <c r="Q55" t="str">
        <f t="shared" si="28"/>
        <v>4,085 (23.25)</v>
      </c>
    </row>
    <row r="56" spans="1:17" x14ac:dyDescent="0.3">
      <c r="A56" s="2"/>
      <c r="B56" s="8"/>
      <c r="C56" s="11">
        <v>0.96</v>
      </c>
      <c r="D56" s="11">
        <v>2.54</v>
      </c>
      <c r="E56" s="11">
        <v>4.16</v>
      </c>
      <c r="F56" s="11">
        <v>5.81</v>
      </c>
      <c r="G56" s="11">
        <v>13.47</v>
      </c>
      <c r="I56">
        <f>C58</f>
        <v>3.85</v>
      </c>
      <c r="J56">
        <f t="shared" ref="J56:L57" si="29">D58</f>
        <v>10.15</v>
      </c>
      <c r="K56">
        <f t="shared" si="29"/>
        <v>16.64</v>
      </c>
      <c r="L56">
        <f t="shared" si="29"/>
        <v>23.25</v>
      </c>
      <c r="N56" t="str">
        <f>TEXT(I57,"#,##0")&amp;" ("&amp;TEXT(I58,"0.00")&amp;")"</f>
        <v>902 (5.13)</v>
      </c>
      <c r="O56" t="str">
        <f t="shared" ref="O56:Q56" si="30">TEXT(J57,"#,##0")&amp;" ("&amp;TEXT(J58,"0.00")&amp;")"</f>
        <v>1,799 (10.24)</v>
      </c>
      <c r="P56" t="str">
        <f t="shared" si="30"/>
        <v>2,437 (13.87)</v>
      </c>
      <c r="Q56" t="str">
        <f t="shared" si="30"/>
        <v>3,031 (17.25)</v>
      </c>
    </row>
    <row r="57" spans="1:17" x14ac:dyDescent="0.3">
      <c r="A57" s="2"/>
      <c r="B57" s="8"/>
      <c r="C57" s="11">
        <v>7.14</v>
      </c>
      <c r="D57" s="11">
        <v>18.829999999999998</v>
      </c>
      <c r="E57" s="11">
        <v>30.88</v>
      </c>
      <c r="F57" s="11">
        <v>43.15</v>
      </c>
      <c r="G57" s="11"/>
      <c r="I57">
        <f>C59</f>
        <v>902</v>
      </c>
      <c r="J57">
        <f t="shared" si="29"/>
        <v>1799</v>
      </c>
      <c r="K57">
        <f t="shared" si="29"/>
        <v>2437</v>
      </c>
      <c r="L57">
        <f t="shared" si="29"/>
        <v>3031</v>
      </c>
      <c r="N57" t="str">
        <f>TEXT(I59,"#,##0")&amp;" ("&amp;TEXT(I60,"0.00")&amp;")"</f>
        <v>3,924 (22.33)</v>
      </c>
      <c r="O57" t="str">
        <f t="shared" ref="O57:Q57" si="31">TEXT(J59,"#,##0")&amp;" ("&amp;TEXT(J60,"0.00")&amp;")"</f>
        <v>4,715 (26.84)</v>
      </c>
      <c r="P57" t="str">
        <f t="shared" si="31"/>
        <v>4,780 (27.21)</v>
      </c>
      <c r="Q57" t="str">
        <f t="shared" si="31"/>
        <v>4,738 (26.97)</v>
      </c>
    </row>
    <row r="58" spans="1:17" x14ac:dyDescent="0.3">
      <c r="A58" s="2"/>
      <c r="B58" s="8"/>
      <c r="C58" s="11">
        <v>3.85</v>
      </c>
      <c r="D58" s="11">
        <v>10.15</v>
      </c>
      <c r="E58" s="11">
        <v>16.64</v>
      </c>
      <c r="F58" s="11">
        <v>23.25</v>
      </c>
      <c r="G58" s="11"/>
      <c r="I58">
        <f>C62</f>
        <v>5.13</v>
      </c>
      <c r="J58">
        <f t="shared" ref="J58:L59" si="32">D62</f>
        <v>10.24</v>
      </c>
      <c r="K58">
        <f t="shared" si="32"/>
        <v>13.87</v>
      </c>
      <c r="L58">
        <f t="shared" si="32"/>
        <v>17.25</v>
      </c>
      <c r="N58" t="str">
        <f>TEXT(I61,"#,##0")&amp;" ("&amp;TEXT(I62,"0.00")&amp;")"</f>
        <v>12,067 (68.68)</v>
      </c>
      <c r="O58" t="str">
        <f t="shared" ref="O58:Q58" si="33">TEXT(J61,"#,##0")&amp;" ("&amp;TEXT(J62,"0.00")&amp;")"</f>
        <v>9,271 (52.77)</v>
      </c>
      <c r="P58" t="str">
        <f t="shared" si="33"/>
        <v>7,429 (42.28)</v>
      </c>
      <c r="Q58" t="str">
        <f t="shared" si="33"/>
        <v>5,714 (32.53)</v>
      </c>
    </row>
    <row r="59" spans="1:17" x14ac:dyDescent="0.3">
      <c r="A59" s="2"/>
      <c r="B59" s="8">
        <v>2</v>
      </c>
      <c r="C59" s="11">
        <v>902</v>
      </c>
      <c r="D59" s="11">
        <v>1799</v>
      </c>
      <c r="E59" s="11">
        <v>2437</v>
      </c>
      <c r="F59" s="11">
        <v>3031</v>
      </c>
      <c r="G59" s="11">
        <v>8169</v>
      </c>
      <c r="I59">
        <f>C63</f>
        <v>3924</v>
      </c>
      <c r="J59">
        <f t="shared" si="32"/>
        <v>4715</v>
      </c>
      <c r="K59">
        <f t="shared" si="32"/>
        <v>4780</v>
      </c>
      <c r="L59">
        <f t="shared" si="32"/>
        <v>4738</v>
      </c>
    </row>
    <row r="60" spans="1:17" x14ac:dyDescent="0.3">
      <c r="A60" s="2"/>
      <c r="B60" s="8"/>
      <c r="C60" s="11">
        <v>1.28</v>
      </c>
      <c r="D60" s="11">
        <v>2.56</v>
      </c>
      <c r="E60" s="11">
        <v>3.47</v>
      </c>
      <c r="F60" s="11">
        <v>4.3099999999999996</v>
      </c>
      <c r="G60" s="11">
        <v>11.62</v>
      </c>
      <c r="I60">
        <f>C66</f>
        <v>22.33</v>
      </c>
      <c r="J60">
        <f t="shared" ref="J60:L61" si="34">D66</f>
        <v>26.84</v>
      </c>
      <c r="K60">
        <f t="shared" si="34"/>
        <v>27.21</v>
      </c>
      <c r="L60">
        <f t="shared" si="34"/>
        <v>26.97</v>
      </c>
    </row>
    <row r="61" spans="1:17" x14ac:dyDescent="0.3">
      <c r="A61" s="2"/>
      <c r="B61" s="8"/>
      <c r="C61" s="11">
        <v>11.04</v>
      </c>
      <c r="D61" s="11">
        <v>22.02</v>
      </c>
      <c r="E61" s="11">
        <v>29.83</v>
      </c>
      <c r="F61" s="11">
        <v>37.1</v>
      </c>
      <c r="G61" s="11"/>
      <c r="I61">
        <f>C67</f>
        <v>12067</v>
      </c>
      <c r="J61">
        <f t="shared" si="34"/>
        <v>9271</v>
      </c>
      <c r="K61">
        <f t="shared" si="34"/>
        <v>7429</v>
      </c>
      <c r="L61">
        <f t="shared" si="34"/>
        <v>5714</v>
      </c>
    </row>
    <row r="62" spans="1:17" x14ac:dyDescent="0.3">
      <c r="A62" s="2"/>
      <c r="B62" s="8"/>
      <c r="C62" s="11">
        <v>5.13</v>
      </c>
      <c r="D62" s="11">
        <v>10.24</v>
      </c>
      <c r="E62" s="11">
        <v>13.87</v>
      </c>
      <c r="F62" s="11">
        <v>17.25</v>
      </c>
      <c r="G62" s="11"/>
      <c r="I62">
        <f>C70</f>
        <v>68.680000000000007</v>
      </c>
      <c r="J62">
        <f t="shared" ref="J62:L62" si="35">D70</f>
        <v>52.77</v>
      </c>
      <c r="K62">
        <f t="shared" si="35"/>
        <v>42.28</v>
      </c>
      <c r="L62">
        <f t="shared" si="35"/>
        <v>32.53</v>
      </c>
    </row>
    <row r="63" spans="1:17" x14ac:dyDescent="0.3">
      <c r="A63" s="2"/>
      <c r="B63" s="8">
        <v>3</v>
      </c>
      <c r="C63" s="11">
        <v>3924</v>
      </c>
      <c r="D63" s="11">
        <v>4715</v>
      </c>
      <c r="E63" s="11">
        <v>4780</v>
      </c>
      <c r="F63" s="11">
        <v>4738</v>
      </c>
      <c r="G63" s="11">
        <v>18157</v>
      </c>
    </row>
    <row r="64" spans="1:17" x14ac:dyDescent="0.3">
      <c r="A64" s="2"/>
      <c r="B64" s="8"/>
      <c r="C64" s="11">
        <v>5.58</v>
      </c>
      <c r="D64" s="11">
        <v>6.71</v>
      </c>
      <c r="E64" s="11">
        <v>6.8</v>
      </c>
      <c r="F64" s="11">
        <v>6.74</v>
      </c>
      <c r="G64" s="11">
        <v>25.84</v>
      </c>
    </row>
    <row r="65" spans="1:17" x14ac:dyDescent="0.3">
      <c r="A65" s="2"/>
      <c r="B65" s="8"/>
      <c r="C65" s="11">
        <v>21.61</v>
      </c>
      <c r="D65" s="11">
        <v>25.97</v>
      </c>
      <c r="E65" s="11">
        <v>26.33</v>
      </c>
      <c r="F65" s="11">
        <v>26.09</v>
      </c>
      <c r="G65" s="11"/>
    </row>
    <row r="66" spans="1:17" x14ac:dyDescent="0.3">
      <c r="A66" s="2"/>
      <c r="B66" s="8"/>
      <c r="C66" s="11">
        <v>22.33</v>
      </c>
      <c r="D66" s="11">
        <v>26.84</v>
      </c>
      <c r="E66" s="11">
        <v>27.21</v>
      </c>
      <c r="F66" s="11">
        <v>26.97</v>
      </c>
      <c r="G66" s="11"/>
    </row>
    <row r="67" spans="1:17" x14ac:dyDescent="0.3">
      <c r="A67" s="2"/>
      <c r="B67" s="8">
        <v>4</v>
      </c>
      <c r="C67" s="11">
        <v>12067</v>
      </c>
      <c r="D67" s="11">
        <v>9271</v>
      </c>
      <c r="E67" s="11">
        <v>7429</v>
      </c>
      <c r="F67" s="11">
        <v>5714</v>
      </c>
      <c r="G67" s="11">
        <v>34481</v>
      </c>
    </row>
    <row r="68" spans="1:17" x14ac:dyDescent="0.3">
      <c r="A68" s="2"/>
      <c r="B68" s="8"/>
      <c r="C68" s="11">
        <v>17.170000000000002</v>
      </c>
      <c r="D68" s="11">
        <v>13.19</v>
      </c>
      <c r="E68" s="11">
        <v>10.57</v>
      </c>
      <c r="F68" s="11">
        <v>8.1300000000000008</v>
      </c>
      <c r="G68" s="11">
        <v>49.07</v>
      </c>
    </row>
    <row r="69" spans="1:17" x14ac:dyDescent="0.3">
      <c r="A69" s="2"/>
      <c r="B69" s="8"/>
      <c r="C69" s="11">
        <v>35</v>
      </c>
      <c r="D69" s="11">
        <v>26.89</v>
      </c>
      <c r="E69" s="11">
        <v>21.55</v>
      </c>
      <c r="F69" s="11">
        <v>16.57</v>
      </c>
      <c r="G69" s="11"/>
    </row>
    <row r="70" spans="1:17" x14ac:dyDescent="0.3">
      <c r="A70" s="2"/>
      <c r="B70" s="8"/>
      <c r="C70" s="11">
        <v>68.680000000000007</v>
      </c>
      <c r="D70" s="11">
        <v>52.77</v>
      </c>
      <c r="E70" s="11">
        <v>42.28</v>
      </c>
      <c r="F70" s="11">
        <v>32.53</v>
      </c>
      <c r="G70" s="11"/>
    </row>
    <row r="71" spans="1:17" x14ac:dyDescent="0.3">
      <c r="A71" s="2"/>
      <c r="B71" s="8" t="s">
        <v>24</v>
      </c>
      <c r="C71" s="11">
        <v>17569</v>
      </c>
      <c r="D71" s="11">
        <v>17568</v>
      </c>
      <c r="E71" s="11">
        <v>17570</v>
      </c>
      <c r="F71" s="11">
        <v>17568</v>
      </c>
      <c r="G71" s="11">
        <v>70275</v>
      </c>
    </row>
    <row r="72" spans="1:17" x14ac:dyDescent="0.3">
      <c r="A72" s="2"/>
      <c r="B72" s="8"/>
      <c r="C72" s="11">
        <v>25</v>
      </c>
      <c r="D72" s="11">
        <v>25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45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41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1566</v>
      </c>
      <c r="D78" s="11">
        <v>2413</v>
      </c>
      <c r="E78" s="11">
        <v>3205</v>
      </c>
      <c r="F78" s="11">
        <v>4458</v>
      </c>
      <c r="G78" s="11">
        <v>11642</v>
      </c>
      <c r="I78">
        <f>C78</f>
        <v>1566</v>
      </c>
      <c r="J78">
        <f t="shared" ref="J78:L78" si="36">D78</f>
        <v>2413</v>
      </c>
      <c r="K78">
        <f t="shared" si="36"/>
        <v>3205</v>
      </c>
      <c r="L78">
        <f t="shared" si="36"/>
        <v>4458</v>
      </c>
      <c r="N78" t="str">
        <f>TEXT(I78,"#,##0")&amp;" ("&amp;TEXT(I79,"0.00")&amp;")"</f>
        <v>1,566 (8.91)</v>
      </c>
      <c r="O78" t="str">
        <f t="shared" ref="O78:Q78" si="37">TEXT(J78,"#,##0")&amp;" ("&amp;TEXT(J79,"0.00")&amp;")"</f>
        <v>2,413 (13.74)</v>
      </c>
      <c r="P78" t="str">
        <f t="shared" si="37"/>
        <v>3,205 (18.24)</v>
      </c>
      <c r="Q78" t="str">
        <f t="shared" si="37"/>
        <v>4,458 (25.38)</v>
      </c>
    </row>
    <row r="79" spans="1:17" x14ac:dyDescent="0.3">
      <c r="A79" s="2"/>
      <c r="B79" s="8"/>
      <c r="C79" s="11">
        <v>2.23</v>
      </c>
      <c r="D79" s="11">
        <v>3.43</v>
      </c>
      <c r="E79" s="11">
        <v>4.5599999999999996</v>
      </c>
      <c r="F79" s="11">
        <v>6.34</v>
      </c>
      <c r="G79" s="11">
        <v>16.57</v>
      </c>
      <c r="I79">
        <f>C81</f>
        <v>8.91</v>
      </c>
      <c r="J79">
        <f t="shared" ref="J79:L80" si="38">D81</f>
        <v>13.74</v>
      </c>
      <c r="K79">
        <f t="shared" si="38"/>
        <v>18.239999999999998</v>
      </c>
      <c r="L79">
        <f t="shared" si="38"/>
        <v>25.38</v>
      </c>
      <c r="N79" t="str">
        <f>TEXT(I80,"#,##0")&amp;" ("&amp;TEXT(I81,"0.00")&amp;")"</f>
        <v>4,032 (22.95)</v>
      </c>
      <c r="O79" t="str">
        <f t="shared" ref="O79:Q79" si="39">TEXT(J80,"#,##0")&amp;" ("&amp;TEXT(J81,"0.00")&amp;")"</f>
        <v>4,200 (23.91)</v>
      </c>
      <c r="P79" t="str">
        <f t="shared" si="39"/>
        <v>4,392 (25.00)</v>
      </c>
      <c r="Q79" t="str">
        <f t="shared" si="39"/>
        <v>4,683 (26.66)</v>
      </c>
    </row>
    <row r="80" spans="1:17" x14ac:dyDescent="0.3">
      <c r="A80" s="2"/>
      <c r="B80" s="8"/>
      <c r="C80" s="11">
        <v>13.45</v>
      </c>
      <c r="D80" s="11">
        <v>20.73</v>
      </c>
      <c r="E80" s="11">
        <v>27.53</v>
      </c>
      <c r="F80" s="11">
        <v>38.29</v>
      </c>
      <c r="G80" s="11"/>
      <c r="I80">
        <f>C82</f>
        <v>4032</v>
      </c>
      <c r="J80">
        <f t="shared" si="38"/>
        <v>4200</v>
      </c>
      <c r="K80">
        <f t="shared" si="38"/>
        <v>4392</v>
      </c>
      <c r="L80">
        <f t="shared" si="38"/>
        <v>4683</v>
      </c>
      <c r="N80" t="str">
        <f>TEXT(I82,"#,##0")&amp;" ("&amp;TEXT(I83,"0.00")&amp;")"</f>
        <v>5,516 (31.40)</v>
      </c>
      <c r="O80" t="str">
        <f t="shared" ref="O80:Q80" si="40">TEXT(J82,"#,##0")&amp;" ("&amp;TEXT(J83,"0.00")&amp;")"</f>
        <v>5,295 (30.14)</v>
      </c>
      <c r="P80" t="str">
        <f t="shared" si="40"/>
        <v>4,938 (28.10)</v>
      </c>
      <c r="Q80" t="str">
        <f t="shared" si="40"/>
        <v>4,246 (24.17)</v>
      </c>
    </row>
    <row r="81" spans="1:17" x14ac:dyDescent="0.3">
      <c r="A81" s="2"/>
      <c r="B81" s="8"/>
      <c r="C81" s="11">
        <v>8.91</v>
      </c>
      <c r="D81" s="11">
        <v>13.74</v>
      </c>
      <c r="E81" s="11">
        <v>18.239999999999998</v>
      </c>
      <c r="F81" s="11">
        <v>25.38</v>
      </c>
      <c r="G81" s="11"/>
      <c r="I81">
        <f>C85</f>
        <v>22.95</v>
      </c>
      <c r="J81">
        <f t="shared" ref="J81:L82" si="41">D85</f>
        <v>23.91</v>
      </c>
      <c r="K81">
        <f t="shared" si="41"/>
        <v>25</v>
      </c>
      <c r="L81">
        <f t="shared" si="41"/>
        <v>26.66</v>
      </c>
      <c r="N81" t="str">
        <f>TEXT(I84,"#,##0")&amp;" ("&amp;TEXT(I85,"0.00")&amp;")"</f>
        <v>6,455 (36.74)</v>
      </c>
      <c r="O81" t="str">
        <f t="shared" ref="O81:Q81" si="42">TEXT(J84,"#,##0")&amp;" ("&amp;TEXT(J85,"0.00")&amp;")"</f>
        <v>5,660 (32.22)</v>
      </c>
      <c r="P81" t="str">
        <f t="shared" si="42"/>
        <v>5,035 (28.66)</v>
      </c>
      <c r="Q81" t="str">
        <f t="shared" si="42"/>
        <v>4,181 (23.80)</v>
      </c>
    </row>
    <row r="82" spans="1:17" x14ac:dyDescent="0.3">
      <c r="A82" s="2"/>
      <c r="B82" s="8">
        <v>2</v>
      </c>
      <c r="C82" s="11">
        <v>4032</v>
      </c>
      <c r="D82" s="11">
        <v>4200</v>
      </c>
      <c r="E82" s="11">
        <v>4392</v>
      </c>
      <c r="F82" s="11">
        <v>4683</v>
      </c>
      <c r="G82" s="11">
        <v>17307</v>
      </c>
      <c r="I82">
        <f>C86</f>
        <v>5516</v>
      </c>
      <c r="J82">
        <f t="shared" si="41"/>
        <v>5295</v>
      </c>
      <c r="K82">
        <f t="shared" si="41"/>
        <v>4938</v>
      </c>
      <c r="L82">
        <f t="shared" si="41"/>
        <v>4246</v>
      </c>
    </row>
    <row r="83" spans="1:17" x14ac:dyDescent="0.3">
      <c r="A83" s="2"/>
      <c r="B83" s="8"/>
      <c r="C83" s="11">
        <v>5.74</v>
      </c>
      <c r="D83" s="11">
        <v>5.98</v>
      </c>
      <c r="E83" s="11">
        <v>6.25</v>
      </c>
      <c r="F83" s="11">
        <v>6.66</v>
      </c>
      <c r="G83" s="11">
        <v>24.63</v>
      </c>
      <c r="I83">
        <f>C89</f>
        <v>31.4</v>
      </c>
      <c r="J83">
        <f t="shared" ref="J83:L84" si="43">D89</f>
        <v>30.14</v>
      </c>
      <c r="K83">
        <f t="shared" si="43"/>
        <v>28.1</v>
      </c>
      <c r="L83">
        <f t="shared" si="43"/>
        <v>24.17</v>
      </c>
    </row>
    <row r="84" spans="1:17" x14ac:dyDescent="0.3">
      <c r="A84" s="2"/>
      <c r="B84" s="8"/>
      <c r="C84" s="11">
        <v>23.3</v>
      </c>
      <c r="D84" s="11">
        <v>24.27</v>
      </c>
      <c r="E84" s="11">
        <v>25.38</v>
      </c>
      <c r="F84" s="11">
        <v>27.06</v>
      </c>
      <c r="G84" s="11"/>
      <c r="I84">
        <f>C90</f>
        <v>6455</v>
      </c>
      <c r="J84">
        <f t="shared" si="43"/>
        <v>5660</v>
      </c>
      <c r="K84">
        <f t="shared" si="43"/>
        <v>5035</v>
      </c>
      <c r="L84">
        <f t="shared" si="43"/>
        <v>4181</v>
      </c>
    </row>
    <row r="85" spans="1:17" x14ac:dyDescent="0.3">
      <c r="A85" s="2"/>
      <c r="B85" s="8"/>
      <c r="C85" s="11">
        <v>22.95</v>
      </c>
      <c r="D85" s="11">
        <v>23.91</v>
      </c>
      <c r="E85" s="11">
        <v>25</v>
      </c>
      <c r="F85" s="11">
        <v>26.66</v>
      </c>
      <c r="G85" s="11"/>
      <c r="I85">
        <f>C93</f>
        <v>36.74</v>
      </c>
      <c r="J85">
        <f t="shared" ref="J85:L85" si="44">D93</f>
        <v>32.22</v>
      </c>
      <c r="K85">
        <f t="shared" si="44"/>
        <v>28.66</v>
      </c>
      <c r="L85">
        <f t="shared" si="44"/>
        <v>23.8</v>
      </c>
    </row>
    <row r="86" spans="1:17" x14ac:dyDescent="0.3">
      <c r="A86" s="2"/>
      <c r="B86" s="8">
        <v>3</v>
      </c>
      <c r="C86" s="11">
        <v>5516</v>
      </c>
      <c r="D86" s="11">
        <v>5295</v>
      </c>
      <c r="E86" s="11">
        <v>4938</v>
      </c>
      <c r="F86" s="11">
        <v>4246</v>
      </c>
      <c r="G86" s="11">
        <v>19995</v>
      </c>
    </row>
    <row r="87" spans="1:17" x14ac:dyDescent="0.3">
      <c r="A87" s="2"/>
      <c r="B87" s="8"/>
      <c r="C87" s="11">
        <v>7.85</v>
      </c>
      <c r="D87" s="11">
        <v>7.53</v>
      </c>
      <c r="E87" s="11">
        <v>7.03</v>
      </c>
      <c r="F87" s="11">
        <v>6.04</v>
      </c>
      <c r="G87" s="11">
        <v>28.45</v>
      </c>
    </row>
    <row r="88" spans="1:17" x14ac:dyDescent="0.3">
      <c r="A88" s="2"/>
      <c r="B88" s="8"/>
      <c r="C88" s="11">
        <v>27.59</v>
      </c>
      <c r="D88" s="11">
        <v>26.48</v>
      </c>
      <c r="E88" s="11">
        <v>24.7</v>
      </c>
      <c r="F88" s="11">
        <v>21.24</v>
      </c>
      <c r="G88" s="11"/>
    </row>
    <row r="89" spans="1:17" x14ac:dyDescent="0.3">
      <c r="A89" s="2"/>
      <c r="B89" s="8"/>
      <c r="C89" s="11">
        <v>31.4</v>
      </c>
      <c r="D89" s="11">
        <v>30.14</v>
      </c>
      <c r="E89" s="11">
        <v>28.1</v>
      </c>
      <c r="F89" s="11">
        <v>24.17</v>
      </c>
      <c r="G89" s="11"/>
    </row>
    <row r="90" spans="1:17" x14ac:dyDescent="0.3">
      <c r="A90" s="2"/>
      <c r="B90" s="8">
        <v>4</v>
      </c>
      <c r="C90" s="11">
        <v>6455</v>
      </c>
      <c r="D90" s="11">
        <v>5660</v>
      </c>
      <c r="E90" s="11">
        <v>5035</v>
      </c>
      <c r="F90" s="11">
        <v>4181</v>
      </c>
      <c r="G90" s="11">
        <v>21331</v>
      </c>
    </row>
    <row r="91" spans="1:17" x14ac:dyDescent="0.3">
      <c r="A91" s="2"/>
      <c r="B91" s="8"/>
      <c r="C91" s="11">
        <v>9.19</v>
      </c>
      <c r="D91" s="11">
        <v>8.0500000000000007</v>
      </c>
      <c r="E91" s="11">
        <v>7.16</v>
      </c>
      <c r="F91" s="11">
        <v>5.95</v>
      </c>
      <c r="G91" s="11">
        <v>30.35</v>
      </c>
    </row>
    <row r="92" spans="1:17" x14ac:dyDescent="0.3">
      <c r="A92" s="2"/>
      <c r="B92" s="8"/>
      <c r="C92" s="11">
        <v>30.26</v>
      </c>
      <c r="D92" s="11">
        <v>26.53</v>
      </c>
      <c r="E92" s="11">
        <v>23.6</v>
      </c>
      <c r="F92" s="11">
        <v>19.600000000000001</v>
      </c>
      <c r="G92" s="11"/>
    </row>
    <row r="93" spans="1:17" x14ac:dyDescent="0.3">
      <c r="A93" s="2"/>
      <c r="B93" s="8"/>
      <c r="C93" s="11">
        <v>36.74</v>
      </c>
      <c r="D93" s="11">
        <v>32.22</v>
      </c>
      <c r="E93" s="11">
        <v>28.66</v>
      </c>
      <c r="F93" s="11">
        <v>23.8</v>
      </c>
      <c r="G93" s="11"/>
    </row>
    <row r="94" spans="1:17" x14ac:dyDescent="0.3">
      <c r="A94" s="2"/>
      <c r="B94" s="8" t="s">
        <v>24</v>
      </c>
      <c r="C94" s="11">
        <v>17569</v>
      </c>
      <c r="D94" s="11">
        <v>17568</v>
      </c>
      <c r="E94" s="11">
        <v>17570</v>
      </c>
      <c r="F94" s="11">
        <v>17568</v>
      </c>
      <c r="G94" s="11">
        <v>70275</v>
      </c>
    </row>
    <row r="95" spans="1:17" x14ac:dyDescent="0.3">
      <c r="A95" s="2"/>
      <c r="B95" s="8"/>
      <c r="C95" s="11">
        <v>25</v>
      </c>
      <c r="D95" s="11">
        <v>25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46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41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1564</v>
      </c>
      <c r="D101" s="11">
        <v>807</v>
      </c>
      <c r="E101" s="11">
        <v>322</v>
      </c>
      <c r="F101" s="11">
        <v>142</v>
      </c>
      <c r="G101" s="11">
        <v>2835</v>
      </c>
      <c r="I101">
        <f>C101</f>
        <v>1564</v>
      </c>
      <c r="J101">
        <f t="shared" ref="J101:L101" si="45">D101</f>
        <v>807</v>
      </c>
      <c r="K101">
        <f t="shared" si="45"/>
        <v>322</v>
      </c>
      <c r="L101">
        <f t="shared" si="45"/>
        <v>142</v>
      </c>
      <c r="N101" t="str">
        <f>TEXT(I101,"#,##0")&amp;" ("&amp;TEXT(I102,"0.00")&amp;")"</f>
        <v>1,564 (8.90)</v>
      </c>
      <c r="O101" t="str">
        <f t="shared" ref="O101:Q101" si="46">TEXT(J101,"#,##0")&amp;" ("&amp;TEXT(J102,"0.00")&amp;")"</f>
        <v>807 (4.59)</v>
      </c>
      <c r="P101" t="str">
        <f t="shared" si="46"/>
        <v>322 (1.83)</v>
      </c>
      <c r="Q101" t="str">
        <f t="shared" si="46"/>
        <v>142 (0.81)</v>
      </c>
    </row>
    <row r="102" spans="1:17" x14ac:dyDescent="0.3">
      <c r="A102" s="2"/>
      <c r="B102" s="8"/>
      <c r="C102" s="11">
        <v>2.23</v>
      </c>
      <c r="D102" s="11">
        <v>1.1499999999999999</v>
      </c>
      <c r="E102" s="11">
        <v>0.46</v>
      </c>
      <c r="F102" s="11">
        <v>0.2</v>
      </c>
      <c r="G102" s="11">
        <v>4.03</v>
      </c>
      <c r="I102">
        <f>C104</f>
        <v>8.9</v>
      </c>
      <c r="J102">
        <f t="shared" ref="J102:L103" si="47">D104</f>
        <v>4.59</v>
      </c>
      <c r="K102">
        <f t="shared" si="47"/>
        <v>1.83</v>
      </c>
      <c r="L102">
        <f t="shared" si="47"/>
        <v>0.81</v>
      </c>
      <c r="N102" t="str">
        <f>TEXT(I103,"#,##0")&amp;" ("&amp;TEXT(I104,"0.00")&amp;")"</f>
        <v>10,189 (57.99)</v>
      </c>
      <c r="O102" t="str">
        <f t="shared" ref="O102:Q102" si="48">TEXT(J103,"#,##0")&amp;" ("&amp;TEXT(J104,"0.00")&amp;")"</f>
        <v>7,329 (41.72)</v>
      </c>
      <c r="P102" t="str">
        <f t="shared" si="48"/>
        <v>5,320 (30.28)</v>
      </c>
      <c r="Q102" t="str">
        <f t="shared" si="48"/>
        <v>4,173 (23.75)</v>
      </c>
    </row>
    <row r="103" spans="1:17" x14ac:dyDescent="0.3">
      <c r="A103" s="2"/>
      <c r="B103" s="8"/>
      <c r="C103" s="11">
        <v>55.17</v>
      </c>
      <c r="D103" s="11">
        <v>28.47</v>
      </c>
      <c r="E103" s="11">
        <v>11.36</v>
      </c>
      <c r="F103" s="11">
        <v>5.01</v>
      </c>
      <c r="G103" s="11"/>
      <c r="I103">
        <f>C105</f>
        <v>10189</v>
      </c>
      <c r="J103">
        <f t="shared" si="47"/>
        <v>7329</v>
      </c>
      <c r="K103">
        <f t="shared" si="47"/>
        <v>5320</v>
      </c>
      <c r="L103">
        <f t="shared" si="47"/>
        <v>4173</v>
      </c>
      <c r="N103" t="str">
        <f>TEXT(I105,"#,##0")&amp;" ("&amp;TEXT(I106,"0.00")&amp;")"</f>
        <v>3,220 (18.33)</v>
      </c>
      <c r="O103" t="str">
        <f t="shared" ref="O103:Q103" si="49">TEXT(J105,"#,##0")&amp;" ("&amp;TEXT(J106,"0.00")&amp;")"</f>
        <v>4,275 (24.33)</v>
      </c>
      <c r="P103" t="str">
        <f t="shared" si="49"/>
        <v>4,592 (26.14)</v>
      </c>
      <c r="Q103" t="str">
        <f t="shared" si="49"/>
        <v>4,558 (25.94)</v>
      </c>
    </row>
    <row r="104" spans="1:17" x14ac:dyDescent="0.3">
      <c r="A104" s="2"/>
      <c r="B104" s="8"/>
      <c r="C104" s="11">
        <v>8.9</v>
      </c>
      <c r="D104" s="11">
        <v>4.59</v>
      </c>
      <c r="E104" s="11">
        <v>1.83</v>
      </c>
      <c r="F104" s="11">
        <v>0.81</v>
      </c>
      <c r="G104" s="11"/>
      <c r="I104">
        <f>C108</f>
        <v>57.99</v>
      </c>
      <c r="J104">
        <f t="shared" ref="J104:L105" si="50">D108</f>
        <v>41.72</v>
      </c>
      <c r="K104">
        <f t="shared" si="50"/>
        <v>30.28</v>
      </c>
      <c r="L104">
        <f t="shared" si="50"/>
        <v>23.75</v>
      </c>
      <c r="N104" t="str">
        <f>TEXT(I107,"#,##0")&amp;" ("&amp;TEXT(I108,"0.00")&amp;")"</f>
        <v>2,596 (14.78)</v>
      </c>
      <c r="O104" t="str">
        <f t="shared" ref="O104:Q104" si="51">TEXT(J107,"#,##0")&amp;" ("&amp;TEXT(J108,"0.00")&amp;")"</f>
        <v>5,157 (29.35)</v>
      </c>
      <c r="P104" t="str">
        <f t="shared" si="51"/>
        <v>7,336 (41.75)</v>
      </c>
      <c r="Q104" t="str">
        <f t="shared" si="51"/>
        <v>8,695 (49.49)</v>
      </c>
    </row>
    <row r="105" spans="1:17" x14ac:dyDescent="0.3">
      <c r="A105" s="2"/>
      <c r="B105" s="8">
        <v>2</v>
      </c>
      <c r="C105" s="11">
        <v>10189</v>
      </c>
      <c r="D105" s="11">
        <v>7329</v>
      </c>
      <c r="E105" s="11">
        <v>5320</v>
      </c>
      <c r="F105" s="11">
        <v>4173</v>
      </c>
      <c r="G105" s="11">
        <v>27011</v>
      </c>
      <c r="I105">
        <f>C109</f>
        <v>3220</v>
      </c>
      <c r="J105">
        <f t="shared" si="50"/>
        <v>4275</v>
      </c>
      <c r="K105">
        <f t="shared" si="50"/>
        <v>4592</v>
      </c>
      <c r="L105">
        <f t="shared" si="50"/>
        <v>4558</v>
      </c>
    </row>
    <row r="106" spans="1:17" x14ac:dyDescent="0.3">
      <c r="A106" s="2"/>
      <c r="B106" s="8"/>
      <c r="C106" s="11">
        <v>14.5</v>
      </c>
      <c r="D106" s="11">
        <v>10.43</v>
      </c>
      <c r="E106" s="11">
        <v>7.57</v>
      </c>
      <c r="F106" s="11">
        <v>5.94</v>
      </c>
      <c r="G106" s="11">
        <v>38.44</v>
      </c>
      <c r="I106">
        <f>C112</f>
        <v>18.329999999999998</v>
      </c>
      <c r="J106">
        <f t="shared" ref="J106:L107" si="52">D112</f>
        <v>24.33</v>
      </c>
      <c r="K106">
        <f t="shared" si="52"/>
        <v>26.14</v>
      </c>
      <c r="L106">
        <f t="shared" si="52"/>
        <v>25.94</v>
      </c>
    </row>
    <row r="107" spans="1:17" x14ac:dyDescent="0.3">
      <c r="A107" s="2"/>
      <c r="B107" s="8"/>
      <c r="C107" s="11">
        <v>37.72</v>
      </c>
      <c r="D107" s="11">
        <v>27.13</v>
      </c>
      <c r="E107" s="11">
        <v>19.7</v>
      </c>
      <c r="F107" s="11">
        <v>15.45</v>
      </c>
      <c r="G107" s="11"/>
      <c r="I107">
        <f>C113</f>
        <v>2596</v>
      </c>
      <c r="J107">
        <f t="shared" si="52"/>
        <v>5157</v>
      </c>
      <c r="K107">
        <f t="shared" si="52"/>
        <v>7336</v>
      </c>
      <c r="L107">
        <f t="shared" si="52"/>
        <v>8695</v>
      </c>
    </row>
    <row r="108" spans="1:17" x14ac:dyDescent="0.3">
      <c r="A108" s="2"/>
      <c r="B108" s="8"/>
      <c r="C108" s="11">
        <v>57.99</v>
      </c>
      <c r="D108" s="11">
        <v>41.72</v>
      </c>
      <c r="E108" s="11">
        <v>30.28</v>
      </c>
      <c r="F108" s="11">
        <v>23.75</v>
      </c>
      <c r="G108" s="11"/>
      <c r="I108">
        <f>C116</f>
        <v>14.78</v>
      </c>
      <c r="J108">
        <f t="shared" ref="J108:L108" si="53">D116</f>
        <v>29.35</v>
      </c>
      <c r="K108">
        <f t="shared" si="53"/>
        <v>41.75</v>
      </c>
      <c r="L108">
        <f t="shared" si="53"/>
        <v>49.49</v>
      </c>
    </row>
    <row r="109" spans="1:17" x14ac:dyDescent="0.3">
      <c r="A109" s="2"/>
      <c r="B109" s="8">
        <v>3</v>
      </c>
      <c r="C109" s="11">
        <v>3220</v>
      </c>
      <c r="D109" s="11">
        <v>4275</v>
      </c>
      <c r="E109" s="11">
        <v>4592</v>
      </c>
      <c r="F109" s="11">
        <v>4558</v>
      </c>
      <c r="G109" s="11">
        <v>16645</v>
      </c>
    </row>
    <row r="110" spans="1:17" x14ac:dyDescent="0.3">
      <c r="A110" s="2"/>
      <c r="B110" s="8"/>
      <c r="C110" s="11">
        <v>4.58</v>
      </c>
      <c r="D110" s="11">
        <v>6.08</v>
      </c>
      <c r="E110" s="11">
        <v>6.53</v>
      </c>
      <c r="F110" s="11">
        <v>6.49</v>
      </c>
      <c r="G110" s="11">
        <v>23.69</v>
      </c>
    </row>
    <row r="111" spans="1:17" x14ac:dyDescent="0.3">
      <c r="A111" s="2"/>
      <c r="B111" s="8"/>
      <c r="C111" s="11">
        <v>19.350000000000001</v>
      </c>
      <c r="D111" s="11">
        <v>25.68</v>
      </c>
      <c r="E111" s="11">
        <v>27.59</v>
      </c>
      <c r="F111" s="11">
        <v>27.38</v>
      </c>
      <c r="G111" s="11"/>
    </row>
    <row r="112" spans="1:17" x14ac:dyDescent="0.3">
      <c r="A112" s="2"/>
      <c r="B112" s="8"/>
      <c r="C112" s="11">
        <v>18.329999999999998</v>
      </c>
      <c r="D112" s="11">
        <v>24.33</v>
      </c>
      <c r="E112" s="11">
        <v>26.14</v>
      </c>
      <c r="F112" s="11">
        <v>25.94</v>
      </c>
      <c r="G112" s="11"/>
    </row>
    <row r="113" spans="1:17" x14ac:dyDescent="0.3">
      <c r="A113" s="2"/>
      <c r="B113" s="8">
        <v>4</v>
      </c>
      <c r="C113" s="11">
        <v>2596</v>
      </c>
      <c r="D113" s="11">
        <v>5157</v>
      </c>
      <c r="E113" s="11">
        <v>7336</v>
      </c>
      <c r="F113" s="11">
        <v>8695</v>
      </c>
      <c r="G113" s="11">
        <v>23784</v>
      </c>
    </row>
    <row r="114" spans="1:17" x14ac:dyDescent="0.3">
      <c r="A114" s="2"/>
      <c r="B114" s="8"/>
      <c r="C114" s="11">
        <v>3.69</v>
      </c>
      <c r="D114" s="11">
        <v>7.34</v>
      </c>
      <c r="E114" s="11">
        <v>10.44</v>
      </c>
      <c r="F114" s="11">
        <v>12.37</v>
      </c>
      <c r="G114" s="11">
        <v>33.840000000000003</v>
      </c>
    </row>
    <row r="115" spans="1:17" x14ac:dyDescent="0.3">
      <c r="A115" s="2"/>
      <c r="B115" s="8"/>
      <c r="C115" s="11">
        <v>10.91</v>
      </c>
      <c r="D115" s="11">
        <v>21.68</v>
      </c>
      <c r="E115" s="11">
        <v>30.84</v>
      </c>
      <c r="F115" s="11">
        <v>36.56</v>
      </c>
      <c r="G115" s="11"/>
    </row>
    <row r="116" spans="1:17" x14ac:dyDescent="0.3">
      <c r="A116" s="2"/>
      <c r="B116" s="8"/>
      <c r="C116" s="11">
        <v>14.78</v>
      </c>
      <c r="D116" s="11">
        <v>29.35</v>
      </c>
      <c r="E116" s="11">
        <v>41.75</v>
      </c>
      <c r="F116" s="11">
        <v>49.49</v>
      </c>
      <c r="G116" s="11"/>
    </row>
    <row r="117" spans="1:17" x14ac:dyDescent="0.3">
      <c r="A117" s="2"/>
      <c r="B117" s="8" t="s">
        <v>24</v>
      </c>
      <c r="C117" s="11">
        <v>17569</v>
      </c>
      <c r="D117" s="11">
        <v>17568</v>
      </c>
      <c r="E117" s="11">
        <v>17570</v>
      </c>
      <c r="F117" s="11">
        <v>17568</v>
      </c>
      <c r="G117" s="11">
        <v>70275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47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41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11602</v>
      </c>
      <c r="D124" s="11">
        <v>14365</v>
      </c>
      <c r="E124" s="11">
        <v>15740</v>
      </c>
      <c r="F124" s="11">
        <v>16407</v>
      </c>
      <c r="G124" s="11">
        <v>58114</v>
      </c>
      <c r="I124">
        <f>C124</f>
        <v>11602</v>
      </c>
      <c r="J124">
        <f t="shared" ref="J124:L124" si="54">D124</f>
        <v>14365</v>
      </c>
      <c r="K124">
        <f t="shared" si="54"/>
        <v>15740</v>
      </c>
      <c r="L124">
        <f t="shared" si="54"/>
        <v>16407</v>
      </c>
      <c r="N124" t="str">
        <f>TEXT(I124,"#,##0")&amp;" ("&amp;TEXT(I125,"0.00")&amp;")"</f>
        <v>11,602 (66.04)</v>
      </c>
      <c r="O124" t="str">
        <f t="shared" ref="O124:Q124" si="55">TEXT(J124,"#,##0")&amp;" ("&amp;TEXT(J125,"0.00")&amp;")"</f>
        <v>14,365 (81.77)</v>
      </c>
      <c r="P124" t="str">
        <f t="shared" si="55"/>
        <v>15,740 (89.58)</v>
      </c>
      <c r="Q124" t="str">
        <f t="shared" si="55"/>
        <v>16,407 (93.39)</v>
      </c>
    </row>
    <row r="125" spans="1:17" x14ac:dyDescent="0.3">
      <c r="A125" s="2"/>
      <c r="B125" s="8"/>
      <c r="C125" s="11">
        <v>16.510000000000002</v>
      </c>
      <c r="D125" s="11">
        <v>20.440000000000001</v>
      </c>
      <c r="E125" s="11">
        <v>22.4</v>
      </c>
      <c r="F125" s="11">
        <v>23.35</v>
      </c>
      <c r="G125" s="11">
        <v>82.7</v>
      </c>
      <c r="I125">
        <f>C127</f>
        <v>66.040000000000006</v>
      </c>
      <c r="J125">
        <f t="shared" ref="J125:L126" si="56">D127</f>
        <v>81.77</v>
      </c>
      <c r="K125">
        <f t="shared" si="56"/>
        <v>89.58</v>
      </c>
      <c r="L125">
        <f t="shared" si="56"/>
        <v>93.39</v>
      </c>
      <c r="N125" t="str">
        <f>TEXT(I126,"#,##0")&amp;" ("&amp;TEXT(I127,"0.00")&amp;")"</f>
        <v>5,967 (33.96)</v>
      </c>
      <c r="O125" t="str">
        <f t="shared" ref="O125:Q125" si="57">TEXT(J126,"#,##0")&amp;" ("&amp;TEXT(J127,"0.00")&amp;")"</f>
        <v>3,203 (18.23)</v>
      </c>
      <c r="P125" t="str">
        <f t="shared" si="57"/>
        <v>1,830 (10.42)</v>
      </c>
      <c r="Q125" t="str">
        <f t="shared" si="57"/>
        <v>1,161 (6.61)</v>
      </c>
    </row>
    <row r="126" spans="1:17" x14ac:dyDescent="0.3">
      <c r="A126" s="2"/>
      <c r="B126" s="8"/>
      <c r="C126" s="11">
        <v>19.96</v>
      </c>
      <c r="D126" s="11">
        <v>24.72</v>
      </c>
      <c r="E126" s="11">
        <v>27.08</v>
      </c>
      <c r="F126" s="11">
        <v>28.23</v>
      </c>
      <c r="G126" s="11"/>
      <c r="I126">
        <f>C128</f>
        <v>5967</v>
      </c>
      <c r="J126">
        <f t="shared" si="56"/>
        <v>3203</v>
      </c>
      <c r="K126">
        <f t="shared" si="56"/>
        <v>1830</v>
      </c>
      <c r="L126">
        <f t="shared" si="56"/>
        <v>1161</v>
      </c>
      <c r="N126" t="str">
        <f>TEXT(I128,"#,##0")&amp;" ("&amp;TEXT(I129,"0.00")&amp;")"</f>
        <v>17,569 (0.00)</v>
      </c>
      <c r="O126" t="str">
        <f t="shared" ref="O126:Q126" si="58">TEXT(J128,"#,##0")&amp;" ("&amp;TEXT(J129,"0.00")&amp;")"</f>
        <v>17,568 (0.00)</v>
      </c>
      <c r="P126" t="str">
        <f t="shared" si="58"/>
        <v>17,570 (0.00)</v>
      </c>
      <c r="Q126" t="str">
        <f t="shared" si="58"/>
        <v>17,568 (0.00)</v>
      </c>
    </row>
    <row r="127" spans="1:17" x14ac:dyDescent="0.3">
      <c r="A127" s="2"/>
      <c r="B127" s="8"/>
      <c r="C127" s="11">
        <v>66.040000000000006</v>
      </c>
      <c r="D127" s="11">
        <v>81.77</v>
      </c>
      <c r="E127" s="11">
        <v>89.58</v>
      </c>
      <c r="F127" s="11">
        <v>93.39</v>
      </c>
      <c r="G127" s="11"/>
      <c r="I127">
        <f>C131</f>
        <v>33.96</v>
      </c>
      <c r="J127">
        <f t="shared" ref="J127:L128" si="59">D131</f>
        <v>18.23</v>
      </c>
      <c r="K127">
        <f t="shared" si="59"/>
        <v>10.42</v>
      </c>
      <c r="L127">
        <f t="shared" si="59"/>
        <v>6.61</v>
      </c>
      <c r="N127" t="str">
        <f>TEXT(I130,"#,##0")&amp;" ("&amp;TEXT(I131,"0.00")&amp;")"</f>
        <v>0 (7346.00)</v>
      </c>
      <c r="O127" t="str">
        <f t="shared" ref="O127:Q127" si="60">TEXT(J130,"#,##0")&amp;" ("&amp;TEXT(J131,"0.00")&amp;")"</f>
        <v>0 (6148.00)</v>
      </c>
      <c r="P127" t="str">
        <f t="shared" si="60"/>
        <v>0 (5437.00)</v>
      </c>
      <c r="Q127" t="str">
        <f t="shared" si="60"/>
        <v>0 (4484.00)</v>
      </c>
    </row>
    <row r="128" spans="1:17" x14ac:dyDescent="0.3">
      <c r="A128" s="2"/>
      <c r="B128" s="8">
        <v>2</v>
      </c>
      <c r="C128" s="11">
        <v>5967</v>
      </c>
      <c r="D128" s="11">
        <v>3203</v>
      </c>
      <c r="E128" s="11">
        <v>1830</v>
      </c>
      <c r="F128" s="11">
        <v>1161</v>
      </c>
      <c r="G128" s="11">
        <v>12161</v>
      </c>
      <c r="I128">
        <f>C132</f>
        <v>17569</v>
      </c>
      <c r="J128">
        <f t="shared" si="59"/>
        <v>17568</v>
      </c>
      <c r="K128">
        <f t="shared" si="59"/>
        <v>17570</v>
      </c>
      <c r="L128">
        <f t="shared" si="59"/>
        <v>17568</v>
      </c>
    </row>
    <row r="129" spans="1:17" x14ac:dyDescent="0.3">
      <c r="A129" s="2"/>
      <c r="B129" s="8"/>
      <c r="C129" s="11">
        <v>8.49</v>
      </c>
      <c r="D129" s="11">
        <v>4.5599999999999996</v>
      </c>
      <c r="E129" s="11">
        <v>2.6</v>
      </c>
      <c r="F129" s="11">
        <v>1.65</v>
      </c>
      <c r="G129" s="11">
        <v>17.3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49.07</v>
      </c>
      <c r="D130" s="11">
        <v>26.34</v>
      </c>
      <c r="E130" s="11">
        <v>15.05</v>
      </c>
      <c r="F130" s="11">
        <v>9.5500000000000007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33.96</v>
      </c>
      <c r="D131" s="11">
        <v>18.23</v>
      </c>
      <c r="E131" s="11">
        <v>10.42</v>
      </c>
      <c r="F131" s="11">
        <v>6.61</v>
      </c>
      <c r="G131" s="11"/>
      <c r="I131">
        <f>C139</f>
        <v>7346</v>
      </c>
      <c r="J131">
        <f t="shared" ref="J131:L131" si="62">D139</f>
        <v>6148</v>
      </c>
      <c r="K131">
        <f t="shared" si="62"/>
        <v>5437</v>
      </c>
      <c r="L131">
        <f t="shared" si="62"/>
        <v>4484</v>
      </c>
    </row>
    <row r="132" spans="1:17" x14ac:dyDescent="0.3">
      <c r="A132" s="2"/>
      <c r="B132" s="8" t="s">
        <v>24</v>
      </c>
      <c r="C132" s="11">
        <v>17569</v>
      </c>
      <c r="D132" s="11">
        <v>17568</v>
      </c>
      <c r="E132" s="11">
        <v>17570</v>
      </c>
      <c r="F132" s="11">
        <v>17568</v>
      </c>
      <c r="G132" s="11">
        <v>70275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48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41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7346</v>
      </c>
      <c r="D139" s="11">
        <v>6148</v>
      </c>
      <c r="E139" s="11">
        <v>5437</v>
      </c>
      <c r="F139" s="11">
        <v>4484</v>
      </c>
      <c r="G139" s="11">
        <v>23415</v>
      </c>
      <c r="I139">
        <f>C139</f>
        <v>7346</v>
      </c>
      <c r="J139">
        <f t="shared" ref="J139:L139" si="63">D139</f>
        <v>6148</v>
      </c>
      <c r="K139">
        <f t="shared" si="63"/>
        <v>5437</v>
      </c>
      <c r="L139">
        <f t="shared" si="63"/>
        <v>4484</v>
      </c>
      <c r="N139" t="str">
        <f>TEXT(I139,"#,##0")&amp;" ("&amp;TEXT(I140,"0.00")&amp;")"</f>
        <v>7,346 (41.81)</v>
      </c>
      <c r="O139" t="str">
        <f t="shared" ref="O139:Q139" si="64">TEXT(J139,"#,##0")&amp;" ("&amp;TEXT(J140,"0.00")&amp;")"</f>
        <v>6,148 (35.00)</v>
      </c>
      <c r="P139" t="str">
        <f t="shared" si="64"/>
        <v>5,437 (30.94)</v>
      </c>
      <c r="Q139" t="str">
        <f t="shared" si="64"/>
        <v>4,484 (25.52)</v>
      </c>
    </row>
    <row r="140" spans="1:17" x14ac:dyDescent="0.3">
      <c r="A140" s="2"/>
      <c r="B140" s="8"/>
      <c r="C140" s="11">
        <v>10.45</v>
      </c>
      <c r="D140" s="11">
        <v>8.75</v>
      </c>
      <c r="E140" s="11">
        <v>7.74</v>
      </c>
      <c r="F140" s="11">
        <v>6.38</v>
      </c>
      <c r="G140" s="11">
        <v>33.32</v>
      </c>
      <c r="I140">
        <f>C142</f>
        <v>41.81</v>
      </c>
      <c r="J140">
        <f t="shared" ref="J140:L141" si="65">D142</f>
        <v>35</v>
      </c>
      <c r="K140">
        <f t="shared" si="65"/>
        <v>30.94</v>
      </c>
      <c r="L140">
        <f t="shared" si="65"/>
        <v>25.52</v>
      </c>
      <c r="N140" t="str">
        <f>TEXT(I141,"#,##0")&amp;" ("&amp;TEXT(I142,"0.00")&amp;")"</f>
        <v>8,034 (45.73)</v>
      </c>
      <c r="O140" t="str">
        <f t="shared" ref="O140:Q140" si="66">TEXT(J141,"#,##0")&amp;" ("&amp;TEXT(J142,"0.00")&amp;")"</f>
        <v>8,638 (49.17)</v>
      </c>
      <c r="P140" t="str">
        <f t="shared" si="66"/>
        <v>8,675 (49.37)</v>
      </c>
      <c r="Q140" t="str">
        <f t="shared" si="66"/>
        <v>8,619 (49.06)</v>
      </c>
    </row>
    <row r="141" spans="1:17" x14ac:dyDescent="0.3">
      <c r="A141" s="2"/>
      <c r="B141" s="8"/>
      <c r="C141" s="11">
        <v>31.37</v>
      </c>
      <c r="D141" s="11">
        <v>26.26</v>
      </c>
      <c r="E141" s="11">
        <v>23.22</v>
      </c>
      <c r="F141" s="11">
        <v>19.149999999999999</v>
      </c>
      <c r="G141" s="11"/>
      <c r="I141">
        <f>C143</f>
        <v>8034</v>
      </c>
      <c r="J141">
        <f t="shared" si="65"/>
        <v>8638</v>
      </c>
      <c r="K141">
        <f t="shared" si="65"/>
        <v>8675</v>
      </c>
      <c r="L141">
        <f t="shared" si="65"/>
        <v>8619</v>
      </c>
      <c r="N141" t="str">
        <f>TEXT(I143,"#,##0")&amp;" ("&amp;TEXT(I144,"0.00")&amp;")"</f>
        <v>2,189 (12.46)</v>
      </c>
      <c r="O141" t="str">
        <f t="shared" ref="O141:Q141" si="67">TEXT(J143,"#,##0")&amp;" ("&amp;TEXT(J144,"0.00")&amp;")"</f>
        <v>2,782 (15.84)</v>
      </c>
      <c r="P141" t="str">
        <f t="shared" si="67"/>
        <v>3,458 (19.68)</v>
      </c>
      <c r="Q141" t="str">
        <f t="shared" si="67"/>
        <v>4,465 (25.42)</v>
      </c>
    </row>
    <row r="142" spans="1:17" x14ac:dyDescent="0.3">
      <c r="A142" s="2"/>
      <c r="B142" s="8"/>
      <c r="C142" s="11">
        <v>41.81</v>
      </c>
      <c r="D142" s="11">
        <v>35</v>
      </c>
      <c r="E142" s="11">
        <v>30.94</v>
      </c>
      <c r="F142" s="11">
        <v>25.52</v>
      </c>
      <c r="G142" s="11"/>
      <c r="I142">
        <f>C146</f>
        <v>45.73</v>
      </c>
      <c r="J142">
        <f t="shared" ref="J142:L143" si="68">D146</f>
        <v>49.17</v>
      </c>
      <c r="K142">
        <f t="shared" si="68"/>
        <v>49.37</v>
      </c>
      <c r="L142">
        <f t="shared" si="68"/>
        <v>49.06</v>
      </c>
      <c r="N142" t="str">
        <f>TEXT(I145,"#,##0")&amp;" ("&amp;TEXT(I146,"0.00")&amp;")"</f>
        <v>17,569 (0.00)</v>
      </c>
      <c r="O142" t="str">
        <f t="shared" ref="O142:Q142" si="69">TEXT(J145,"#,##0")&amp;" ("&amp;TEXT(J146,"0.00")&amp;")"</f>
        <v>17,568 (0.00)</v>
      </c>
      <c r="P142" t="str">
        <f t="shared" si="69"/>
        <v>17,570 (0.00)</v>
      </c>
      <c r="Q142" t="str">
        <f t="shared" si="69"/>
        <v>17,568 (0.00)</v>
      </c>
    </row>
    <row r="143" spans="1:17" x14ac:dyDescent="0.3">
      <c r="A143" s="2"/>
      <c r="B143" s="8">
        <v>2</v>
      </c>
      <c r="C143" s="11">
        <v>8034</v>
      </c>
      <c r="D143" s="11">
        <v>8638</v>
      </c>
      <c r="E143" s="11">
        <v>8675</v>
      </c>
      <c r="F143" s="11">
        <v>8619</v>
      </c>
      <c r="G143" s="11">
        <v>33966</v>
      </c>
      <c r="I143">
        <f>C147</f>
        <v>2189</v>
      </c>
      <c r="J143">
        <f t="shared" si="68"/>
        <v>2782</v>
      </c>
      <c r="K143">
        <f t="shared" si="68"/>
        <v>3458</v>
      </c>
      <c r="L143">
        <f t="shared" si="68"/>
        <v>4465</v>
      </c>
    </row>
    <row r="144" spans="1:17" x14ac:dyDescent="0.3">
      <c r="A144" s="2"/>
      <c r="B144" s="8"/>
      <c r="C144" s="11">
        <v>11.43</v>
      </c>
      <c r="D144" s="11">
        <v>12.29</v>
      </c>
      <c r="E144" s="11">
        <v>12.34</v>
      </c>
      <c r="F144" s="11">
        <v>12.26</v>
      </c>
      <c r="G144" s="11">
        <v>48.33</v>
      </c>
      <c r="I144">
        <f>C150</f>
        <v>12.46</v>
      </c>
      <c r="J144">
        <f t="shared" ref="J144:L145" si="70">D150</f>
        <v>15.84</v>
      </c>
      <c r="K144">
        <f t="shared" si="70"/>
        <v>19.68</v>
      </c>
      <c r="L144">
        <f t="shared" si="70"/>
        <v>25.42</v>
      </c>
    </row>
    <row r="145" spans="1:17" x14ac:dyDescent="0.3">
      <c r="A145" s="2"/>
      <c r="B145" s="8"/>
      <c r="C145" s="11">
        <v>23.65</v>
      </c>
      <c r="D145" s="11">
        <v>25.43</v>
      </c>
      <c r="E145" s="11">
        <v>25.54</v>
      </c>
      <c r="F145" s="11">
        <v>25.38</v>
      </c>
      <c r="G145" s="11"/>
      <c r="I145">
        <f>C151</f>
        <v>17569</v>
      </c>
      <c r="J145">
        <f t="shared" si="70"/>
        <v>17568</v>
      </c>
      <c r="K145">
        <f t="shared" si="70"/>
        <v>17570</v>
      </c>
      <c r="L145">
        <f t="shared" si="70"/>
        <v>17568</v>
      </c>
    </row>
    <row r="146" spans="1:17" x14ac:dyDescent="0.3">
      <c r="A146" s="2"/>
      <c r="B146" s="8"/>
      <c r="C146" s="11">
        <v>45.73</v>
      </c>
      <c r="D146" s="11">
        <v>49.17</v>
      </c>
      <c r="E146" s="11">
        <v>49.37</v>
      </c>
      <c r="F146" s="11">
        <v>49.06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2189</v>
      </c>
      <c r="D147" s="11">
        <v>2782</v>
      </c>
      <c r="E147" s="11">
        <v>3458</v>
      </c>
      <c r="F147" s="11">
        <v>4465</v>
      </c>
      <c r="G147" s="11">
        <v>12894</v>
      </c>
    </row>
    <row r="148" spans="1:17" x14ac:dyDescent="0.3">
      <c r="A148" s="2"/>
      <c r="B148" s="8"/>
      <c r="C148" s="11">
        <v>3.11</v>
      </c>
      <c r="D148" s="11">
        <v>3.96</v>
      </c>
      <c r="E148" s="11">
        <v>4.92</v>
      </c>
      <c r="F148" s="11">
        <v>6.35</v>
      </c>
      <c r="G148" s="11">
        <v>18.350000000000001</v>
      </c>
    </row>
    <row r="149" spans="1:17" x14ac:dyDescent="0.3">
      <c r="A149" s="2"/>
      <c r="B149" s="8"/>
      <c r="C149" s="11">
        <v>16.98</v>
      </c>
      <c r="D149" s="11">
        <v>21.58</v>
      </c>
      <c r="E149" s="11">
        <v>26.82</v>
      </c>
      <c r="F149" s="11">
        <v>34.630000000000003</v>
      </c>
      <c r="G149" s="11"/>
    </row>
    <row r="150" spans="1:17" x14ac:dyDescent="0.3">
      <c r="A150" s="2"/>
      <c r="B150" s="8"/>
      <c r="C150" s="11">
        <v>12.46</v>
      </c>
      <c r="D150" s="11">
        <v>15.84</v>
      </c>
      <c r="E150" s="11">
        <v>19.68</v>
      </c>
      <c r="F150" s="11">
        <v>25.42</v>
      </c>
      <c r="G150" s="11"/>
    </row>
    <row r="151" spans="1:17" x14ac:dyDescent="0.3">
      <c r="A151" s="2"/>
      <c r="B151" s="8" t="s">
        <v>24</v>
      </c>
      <c r="C151" s="11">
        <v>17569</v>
      </c>
      <c r="D151" s="11">
        <v>17568</v>
      </c>
      <c r="E151" s="11">
        <v>17570</v>
      </c>
      <c r="F151" s="11">
        <v>17568</v>
      </c>
      <c r="G151" s="11">
        <v>70275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49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41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5043</v>
      </c>
      <c r="D158" s="11">
        <v>4742</v>
      </c>
      <c r="E158" s="11">
        <v>4618</v>
      </c>
      <c r="F158" s="11">
        <v>4338</v>
      </c>
      <c r="G158" s="11">
        <v>18741</v>
      </c>
      <c r="I158">
        <f>C158</f>
        <v>5043</v>
      </c>
      <c r="J158">
        <f t="shared" ref="J158:L158" si="72">D158</f>
        <v>4742</v>
      </c>
      <c r="K158">
        <f t="shared" si="72"/>
        <v>4618</v>
      </c>
      <c r="L158">
        <f t="shared" si="72"/>
        <v>4338</v>
      </c>
      <c r="N158" t="str">
        <f>TEXT(I158,"#,##0")&amp;" ("&amp;TEXT(I159,"0.00")&amp;")"</f>
        <v>5,043 (28.70)</v>
      </c>
      <c r="O158" t="str">
        <f t="shared" ref="O158:Q158" si="73">TEXT(J158,"#,##0")&amp;" ("&amp;TEXT(J159,"0.00")&amp;")"</f>
        <v>4,742 (26.99)</v>
      </c>
      <c r="P158" t="str">
        <f t="shared" si="73"/>
        <v>4,618 (26.28)</v>
      </c>
      <c r="Q158" t="str">
        <f t="shared" si="73"/>
        <v>4,338 (24.69)</v>
      </c>
    </row>
    <row r="159" spans="1:17" x14ac:dyDescent="0.3">
      <c r="A159" s="2"/>
      <c r="B159" s="8"/>
      <c r="C159" s="11">
        <v>7.18</v>
      </c>
      <c r="D159" s="11">
        <v>6.75</v>
      </c>
      <c r="E159" s="11">
        <v>6.57</v>
      </c>
      <c r="F159" s="11">
        <v>6.17</v>
      </c>
      <c r="G159" s="11">
        <v>26.67</v>
      </c>
      <c r="I159">
        <f>C161</f>
        <v>28.7</v>
      </c>
      <c r="J159">
        <f t="shared" ref="J159:L160" si="74">D161</f>
        <v>26.99</v>
      </c>
      <c r="K159">
        <f t="shared" si="74"/>
        <v>26.28</v>
      </c>
      <c r="L159">
        <f t="shared" si="74"/>
        <v>24.69</v>
      </c>
      <c r="N159" t="str">
        <f>TEXT(I160,"#,##0")&amp;" ("&amp;TEXT(I161,"0.00")&amp;")"</f>
        <v>10,482 (59.66)</v>
      </c>
      <c r="O159" t="str">
        <f t="shared" ref="O159:Q159" si="75">TEXT(J160,"#,##0")&amp;" ("&amp;TEXT(J161,"0.00")&amp;")"</f>
        <v>10,298 (58.62)</v>
      </c>
      <c r="P159" t="str">
        <f t="shared" si="75"/>
        <v>10,011 (56.98)</v>
      </c>
      <c r="Q159" t="str">
        <f t="shared" si="75"/>
        <v>9,642 (54.88)</v>
      </c>
    </row>
    <row r="160" spans="1:17" x14ac:dyDescent="0.3">
      <c r="A160" s="2"/>
      <c r="B160" s="8"/>
      <c r="C160" s="11">
        <v>26.91</v>
      </c>
      <c r="D160" s="11">
        <v>25.3</v>
      </c>
      <c r="E160" s="11">
        <v>24.64</v>
      </c>
      <c r="F160" s="11">
        <v>23.15</v>
      </c>
      <c r="G160" s="11"/>
      <c r="I160">
        <f>C162</f>
        <v>10482</v>
      </c>
      <c r="J160">
        <f t="shared" si="74"/>
        <v>10298</v>
      </c>
      <c r="K160">
        <f t="shared" si="74"/>
        <v>10011</v>
      </c>
      <c r="L160">
        <f t="shared" si="74"/>
        <v>9642</v>
      </c>
      <c r="N160" t="str">
        <f>TEXT(I162,"#,##0")&amp;" ("&amp;TEXT(I163,"0.00")&amp;")"</f>
        <v>2,044 (11.63)</v>
      </c>
      <c r="O160" t="str">
        <f t="shared" ref="O160:Q160" si="76">TEXT(J162,"#,##0")&amp;" ("&amp;TEXT(J163,"0.00")&amp;")"</f>
        <v>2,528 (14.39)</v>
      </c>
      <c r="P160" t="str">
        <f t="shared" si="76"/>
        <v>2,941 (16.74)</v>
      </c>
      <c r="Q160" t="str">
        <f t="shared" si="76"/>
        <v>3,588 (20.42)</v>
      </c>
    </row>
    <row r="161" spans="1:17" x14ac:dyDescent="0.3">
      <c r="A161" s="2"/>
      <c r="B161" s="8"/>
      <c r="C161" s="11">
        <v>28.7</v>
      </c>
      <c r="D161" s="11">
        <v>26.99</v>
      </c>
      <c r="E161" s="11">
        <v>26.28</v>
      </c>
      <c r="F161" s="11">
        <v>24.69</v>
      </c>
      <c r="G161" s="11"/>
      <c r="I161">
        <f>C165</f>
        <v>59.66</v>
      </c>
      <c r="J161">
        <f t="shared" ref="J161:L162" si="77">D165</f>
        <v>58.62</v>
      </c>
      <c r="K161">
        <f t="shared" si="77"/>
        <v>56.98</v>
      </c>
      <c r="L161">
        <f t="shared" si="77"/>
        <v>54.88</v>
      </c>
      <c r="N161" t="str">
        <f>TEXT(I164,"#,##0")&amp;" ("&amp;TEXT(I165,"0.00")&amp;")"</f>
        <v>17,569 (0.00)</v>
      </c>
      <c r="O161" t="str">
        <f t="shared" ref="O161:Q161" si="78">TEXT(J164,"#,##0")&amp;" ("&amp;TEXT(J165,"0.00")&amp;")"</f>
        <v>17,568 (0.00)</v>
      </c>
      <c r="P161" t="str">
        <f t="shared" si="78"/>
        <v>17,570 (0.00)</v>
      </c>
      <c r="Q161" t="str">
        <f t="shared" si="78"/>
        <v>17,568 (0.00)</v>
      </c>
    </row>
    <row r="162" spans="1:17" x14ac:dyDescent="0.3">
      <c r="A162" s="2"/>
      <c r="B162" s="8">
        <v>2</v>
      </c>
      <c r="C162" s="11">
        <v>10482</v>
      </c>
      <c r="D162" s="11">
        <v>10298</v>
      </c>
      <c r="E162" s="11">
        <v>10011</v>
      </c>
      <c r="F162" s="11">
        <v>9642</v>
      </c>
      <c r="G162" s="11">
        <v>40433</v>
      </c>
      <c r="I162">
        <f>C166</f>
        <v>2044</v>
      </c>
      <c r="J162">
        <f t="shared" si="77"/>
        <v>2528</v>
      </c>
      <c r="K162">
        <f t="shared" si="77"/>
        <v>2941</v>
      </c>
      <c r="L162">
        <f t="shared" si="77"/>
        <v>3588</v>
      </c>
    </row>
    <row r="163" spans="1:17" x14ac:dyDescent="0.3">
      <c r="A163" s="2"/>
      <c r="B163" s="8"/>
      <c r="C163" s="11">
        <v>14.92</v>
      </c>
      <c r="D163" s="11">
        <v>14.65</v>
      </c>
      <c r="E163" s="11">
        <v>14.25</v>
      </c>
      <c r="F163" s="11">
        <v>13.72</v>
      </c>
      <c r="G163" s="11">
        <v>57.54</v>
      </c>
      <c r="I163">
        <f>C169</f>
        <v>11.63</v>
      </c>
      <c r="J163">
        <f t="shared" ref="J163:L164" si="79">D169</f>
        <v>14.39</v>
      </c>
      <c r="K163">
        <f t="shared" si="79"/>
        <v>16.739999999999998</v>
      </c>
      <c r="L163">
        <f t="shared" si="79"/>
        <v>20.420000000000002</v>
      </c>
    </row>
    <row r="164" spans="1:17" x14ac:dyDescent="0.3">
      <c r="A164" s="2"/>
      <c r="B164" s="8"/>
      <c r="C164" s="11">
        <v>25.92</v>
      </c>
      <c r="D164" s="11">
        <v>25.47</v>
      </c>
      <c r="E164" s="11">
        <v>24.76</v>
      </c>
      <c r="F164" s="11">
        <v>23.85</v>
      </c>
      <c r="G164" s="11"/>
      <c r="I164">
        <f>C170</f>
        <v>17569</v>
      </c>
      <c r="J164">
        <f t="shared" si="79"/>
        <v>17568</v>
      </c>
      <c r="K164">
        <f t="shared" si="79"/>
        <v>17570</v>
      </c>
      <c r="L164">
        <f t="shared" si="79"/>
        <v>17568</v>
      </c>
    </row>
    <row r="165" spans="1:17" x14ac:dyDescent="0.3">
      <c r="A165" s="2"/>
      <c r="B165" s="8"/>
      <c r="C165" s="11">
        <v>59.66</v>
      </c>
      <c r="D165" s="11">
        <v>58.62</v>
      </c>
      <c r="E165" s="11">
        <v>56.98</v>
      </c>
      <c r="F165" s="11">
        <v>54.88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2044</v>
      </c>
      <c r="D166" s="11">
        <v>2528</v>
      </c>
      <c r="E166" s="11">
        <v>2941</v>
      </c>
      <c r="F166" s="11">
        <v>3588</v>
      </c>
      <c r="G166" s="11">
        <v>11101</v>
      </c>
    </row>
    <row r="167" spans="1:17" x14ac:dyDescent="0.3">
      <c r="A167" s="2"/>
      <c r="B167" s="8"/>
      <c r="C167" s="11">
        <v>2.91</v>
      </c>
      <c r="D167" s="11">
        <v>3.6</v>
      </c>
      <c r="E167" s="11">
        <v>4.18</v>
      </c>
      <c r="F167" s="11">
        <v>5.1100000000000003</v>
      </c>
      <c r="G167" s="11">
        <v>15.8</v>
      </c>
    </row>
    <row r="168" spans="1:17" x14ac:dyDescent="0.3">
      <c r="A168" s="2"/>
      <c r="B168" s="8"/>
      <c r="C168" s="11">
        <v>18.41</v>
      </c>
      <c r="D168" s="11">
        <v>22.77</v>
      </c>
      <c r="E168" s="11">
        <v>26.49</v>
      </c>
      <c r="F168" s="11">
        <v>32.32</v>
      </c>
      <c r="G168" s="11"/>
    </row>
    <row r="169" spans="1:17" x14ac:dyDescent="0.3">
      <c r="A169" s="2"/>
      <c r="B169" s="8"/>
      <c r="C169" s="11">
        <v>11.63</v>
      </c>
      <c r="D169" s="11">
        <v>14.39</v>
      </c>
      <c r="E169" s="11">
        <v>16.739999999999998</v>
      </c>
      <c r="F169" s="11">
        <v>20.420000000000002</v>
      </c>
      <c r="G169" s="11"/>
    </row>
    <row r="170" spans="1:17" x14ac:dyDescent="0.3">
      <c r="A170" s="2"/>
      <c r="B170" s="8" t="s">
        <v>24</v>
      </c>
      <c r="C170" s="11">
        <v>17569</v>
      </c>
      <c r="D170" s="11">
        <v>17568</v>
      </c>
      <c r="E170" s="11">
        <v>17570</v>
      </c>
      <c r="F170" s="11">
        <v>17568</v>
      </c>
      <c r="G170" s="11">
        <v>70275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50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41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7043</v>
      </c>
      <c r="D177" s="11">
        <v>7051</v>
      </c>
      <c r="E177" s="11">
        <v>6896</v>
      </c>
      <c r="F177" s="11">
        <v>6493</v>
      </c>
      <c r="G177" s="11">
        <v>27483</v>
      </c>
      <c r="I177">
        <f>C177</f>
        <v>7043</v>
      </c>
      <c r="J177">
        <f t="shared" ref="J177:L177" si="81">D177</f>
        <v>7051</v>
      </c>
      <c r="K177">
        <f t="shared" si="81"/>
        <v>6896</v>
      </c>
      <c r="L177">
        <f t="shared" si="81"/>
        <v>6493</v>
      </c>
      <c r="N177" t="str">
        <f>TEXT(I177,"#,##0")&amp;" ("&amp;TEXT(I178,"0.00")&amp;")"</f>
        <v>7,043 (40.09)</v>
      </c>
      <c r="O177" t="str">
        <f t="shared" ref="O177:Q177" si="82">TEXT(J177,"#,##0")&amp;" ("&amp;TEXT(J178,"0.00")&amp;")"</f>
        <v>7,051 (40.14)</v>
      </c>
      <c r="P177" t="str">
        <f t="shared" si="82"/>
        <v>6,896 (39.25)</v>
      </c>
      <c r="Q177" t="str">
        <f t="shared" si="82"/>
        <v>6,493 (36.96)</v>
      </c>
    </row>
    <row r="178" spans="1:17" x14ac:dyDescent="0.3">
      <c r="A178" s="2"/>
      <c r="B178" s="8"/>
      <c r="C178" s="11">
        <v>10.02</v>
      </c>
      <c r="D178" s="11">
        <v>10.029999999999999</v>
      </c>
      <c r="E178" s="11">
        <v>9.81</v>
      </c>
      <c r="F178" s="11">
        <v>9.24</v>
      </c>
      <c r="G178" s="11">
        <v>39.11</v>
      </c>
      <c r="I178">
        <f>C180</f>
        <v>40.090000000000003</v>
      </c>
      <c r="J178">
        <f t="shared" ref="J178:L179" si="83">D180</f>
        <v>40.14</v>
      </c>
      <c r="K178">
        <f t="shared" si="83"/>
        <v>39.25</v>
      </c>
      <c r="L178">
        <f t="shared" si="83"/>
        <v>36.96</v>
      </c>
      <c r="N178" t="str">
        <f>TEXT(I179,"#,##0")&amp;" ("&amp;TEXT(I180,"0.00")&amp;")"</f>
        <v>7,704 (43.85)</v>
      </c>
      <c r="O178" t="str">
        <f t="shared" ref="O178:Q178" si="84">TEXT(J179,"#,##0")&amp;" ("&amp;TEXT(J180,"0.00")&amp;")"</f>
        <v>6,684 (38.05)</v>
      </c>
      <c r="P178" t="str">
        <f t="shared" si="84"/>
        <v>6,032 (34.33)</v>
      </c>
      <c r="Q178" t="str">
        <f t="shared" si="84"/>
        <v>5,140 (29.26)</v>
      </c>
    </row>
    <row r="179" spans="1:17" x14ac:dyDescent="0.3">
      <c r="A179" s="2"/>
      <c r="B179" s="8"/>
      <c r="C179" s="11">
        <v>25.63</v>
      </c>
      <c r="D179" s="11">
        <v>25.66</v>
      </c>
      <c r="E179" s="11">
        <v>25.09</v>
      </c>
      <c r="F179" s="11">
        <v>23.63</v>
      </c>
      <c r="G179" s="11"/>
      <c r="I179">
        <f>C181</f>
        <v>7704</v>
      </c>
      <c r="J179">
        <f t="shared" si="83"/>
        <v>6684</v>
      </c>
      <c r="K179">
        <f t="shared" si="83"/>
        <v>6032</v>
      </c>
      <c r="L179">
        <f t="shared" si="83"/>
        <v>5140</v>
      </c>
      <c r="N179" t="str">
        <f>TEXT(I181,"#,##0")&amp;" ("&amp;TEXT(I182,"0.00")&amp;")"</f>
        <v>2,822 (16.06)</v>
      </c>
      <c r="O179" t="str">
        <f t="shared" ref="O179:Q179" si="85">TEXT(J181,"#,##0")&amp;" ("&amp;TEXT(J182,"0.00")&amp;")"</f>
        <v>3,833 (21.82)</v>
      </c>
      <c r="P179" t="str">
        <f t="shared" si="85"/>
        <v>4,642 (26.42)</v>
      </c>
      <c r="Q179" t="str">
        <f t="shared" si="85"/>
        <v>5,935 (33.78)</v>
      </c>
    </row>
    <row r="180" spans="1:17" x14ac:dyDescent="0.3">
      <c r="A180" s="2"/>
      <c r="B180" s="8"/>
      <c r="C180" s="11">
        <v>40.090000000000003</v>
      </c>
      <c r="D180" s="11">
        <v>40.14</v>
      </c>
      <c r="E180" s="11">
        <v>39.25</v>
      </c>
      <c r="F180" s="11">
        <v>36.96</v>
      </c>
      <c r="G180" s="11"/>
      <c r="I180">
        <f>C184</f>
        <v>43.85</v>
      </c>
      <c r="J180">
        <f t="shared" ref="J180:L181" si="86">D184</f>
        <v>38.049999999999997</v>
      </c>
      <c r="K180">
        <f t="shared" si="86"/>
        <v>34.33</v>
      </c>
      <c r="L180">
        <f t="shared" si="86"/>
        <v>29.26</v>
      </c>
      <c r="N180" t="str">
        <f>TEXT(I183,"#,##0")&amp;" ("&amp;TEXT(I184,"0.00")&amp;")"</f>
        <v>17,569 (0.00)</v>
      </c>
      <c r="O180" t="str">
        <f t="shared" ref="O180:Q180" si="87">TEXT(J183,"#,##0")&amp;" ("&amp;TEXT(J184,"0.00")&amp;")"</f>
        <v>17,568 (0.00)</v>
      </c>
      <c r="P180" t="str">
        <f t="shared" si="87"/>
        <v>17,570 (0.00)</v>
      </c>
      <c r="Q180" t="str">
        <f t="shared" si="87"/>
        <v>17,568 (0.00)</v>
      </c>
    </row>
    <row r="181" spans="1:17" x14ac:dyDescent="0.3">
      <c r="A181" s="2"/>
      <c r="B181" s="8">
        <v>2</v>
      </c>
      <c r="C181" s="11">
        <v>7704</v>
      </c>
      <c r="D181" s="11">
        <v>6684</v>
      </c>
      <c r="E181" s="11">
        <v>6032</v>
      </c>
      <c r="F181" s="11">
        <v>5140</v>
      </c>
      <c r="G181" s="11">
        <v>25560</v>
      </c>
      <c r="I181">
        <f>C185</f>
        <v>2822</v>
      </c>
      <c r="J181">
        <f t="shared" si="86"/>
        <v>3833</v>
      </c>
      <c r="K181">
        <f t="shared" si="86"/>
        <v>4642</v>
      </c>
      <c r="L181">
        <f t="shared" si="86"/>
        <v>5935</v>
      </c>
    </row>
    <row r="182" spans="1:17" x14ac:dyDescent="0.3">
      <c r="A182" s="2"/>
      <c r="B182" s="8"/>
      <c r="C182" s="11">
        <v>10.96</v>
      </c>
      <c r="D182" s="11">
        <v>9.51</v>
      </c>
      <c r="E182" s="11">
        <v>8.58</v>
      </c>
      <c r="F182" s="11">
        <v>7.31</v>
      </c>
      <c r="G182" s="11">
        <v>36.369999999999997</v>
      </c>
      <c r="I182">
        <f>C188</f>
        <v>16.059999999999999</v>
      </c>
      <c r="J182">
        <f t="shared" ref="J182:L183" si="88">D188</f>
        <v>21.82</v>
      </c>
      <c r="K182">
        <f t="shared" si="88"/>
        <v>26.42</v>
      </c>
      <c r="L182">
        <f t="shared" si="88"/>
        <v>33.78</v>
      </c>
    </row>
    <row r="183" spans="1:17" x14ac:dyDescent="0.3">
      <c r="A183" s="2"/>
      <c r="B183" s="8"/>
      <c r="C183" s="11">
        <v>30.14</v>
      </c>
      <c r="D183" s="11">
        <v>26.15</v>
      </c>
      <c r="E183" s="11">
        <v>23.6</v>
      </c>
      <c r="F183" s="11">
        <v>20.11</v>
      </c>
      <c r="G183" s="11"/>
      <c r="I183">
        <f>C189</f>
        <v>17569</v>
      </c>
      <c r="J183">
        <f t="shared" si="88"/>
        <v>17568</v>
      </c>
      <c r="K183">
        <f t="shared" si="88"/>
        <v>17570</v>
      </c>
      <c r="L183">
        <f t="shared" si="88"/>
        <v>17568</v>
      </c>
    </row>
    <row r="184" spans="1:17" x14ac:dyDescent="0.3">
      <c r="A184" s="2"/>
      <c r="B184" s="8"/>
      <c r="C184" s="11">
        <v>43.85</v>
      </c>
      <c r="D184" s="11">
        <v>38.049999999999997</v>
      </c>
      <c r="E184" s="11">
        <v>34.33</v>
      </c>
      <c r="F184" s="11">
        <v>29.26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2822</v>
      </c>
      <c r="D185" s="11">
        <v>3833</v>
      </c>
      <c r="E185" s="11">
        <v>4642</v>
      </c>
      <c r="F185" s="11">
        <v>5935</v>
      </c>
      <c r="G185" s="11">
        <v>17232</v>
      </c>
    </row>
    <row r="186" spans="1:17" x14ac:dyDescent="0.3">
      <c r="A186" s="2"/>
      <c r="B186" s="8"/>
      <c r="C186" s="11">
        <v>4.0199999999999996</v>
      </c>
      <c r="D186" s="11">
        <v>5.45</v>
      </c>
      <c r="E186" s="11">
        <v>6.61</v>
      </c>
      <c r="F186" s="11">
        <v>8.4499999999999993</v>
      </c>
      <c r="G186" s="11">
        <v>24.52</v>
      </c>
    </row>
    <row r="187" spans="1:17" x14ac:dyDescent="0.3">
      <c r="A187" s="2"/>
      <c r="B187" s="8"/>
      <c r="C187" s="11">
        <v>16.38</v>
      </c>
      <c r="D187" s="11">
        <v>22.24</v>
      </c>
      <c r="E187" s="11">
        <v>26.94</v>
      </c>
      <c r="F187" s="11">
        <v>34.44</v>
      </c>
      <c r="G187" s="11"/>
    </row>
    <row r="188" spans="1:17" x14ac:dyDescent="0.3">
      <c r="A188" s="2"/>
      <c r="B188" s="8"/>
      <c r="C188" s="11">
        <v>16.059999999999999</v>
      </c>
      <c r="D188" s="11">
        <v>21.82</v>
      </c>
      <c r="E188" s="11">
        <v>26.42</v>
      </c>
      <c r="F188" s="11">
        <v>33.78</v>
      </c>
      <c r="G188" s="11"/>
    </row>
    <row r="189" spans="1:17" x14ac:dyDescent="0.3">
      <c r="A189" s="2"/>
      <c r="B189" s="8" t="s">
        <v>24</v>
      </c>
      <c r="C189" s="11">
        <v>17569</v>
      </c>
      <c r="D189" s="11">
        <v>17568</v>
      </c>
      <c r="E189" s="11">
        <v>17570</v>
      </c>
      <c r="F189" s="11">
        <v>17568</v>
      </c>
      <c r="G189" s="11">
        <v>70275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51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41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14850</v>
      </c>
      <c r="D196" s="11">
        <v>13635</v>
      </c>
      <c r="E196" s="11">
        <v>12811</v>
      </c>
      <c r="F196" s="11">
        <v>11734</v>
      </c>
      <c r="G196" s="11">
        <v>53030</v>
      </c>
      <c r="I196">
        <f>C196</f>
        <v>14850</v>
      </c>
      <c r="J196">
        <f t="shared" ref="J196:L196" si="90">D196</f>
        <v>13635</v>
      </c>
      <c r="K196">
        <f t="shared" si="90"/>
        <v>12811</v>
      </c>
      <c r="L196">
        <f t="shared" si="90"/>
        <v>11734</v>
      </c>
      <c r="N196" t="str">
        <f>TEXT(I196,"#,##0")&amp;" ("&amp;TEXT(I197,"0.00")&amp;")"</f>
        <v>14,850 (84.52)</v>
      </c>
      <c r="O196" t="str">
        <f t="shared" ref="O196:Q196" si="91">TEXT(J196,"#,##0")&amp;" ("&amp;TEXT(J197,"0.00")&amp;")"</f>
        <v>13,635 (77.61)</v>
      </c>
      <c r="P196" t="str">
        <f t="shared" si="91"/>
        <v>12,811 (72.91)</v>
      </c>
      <c r="Q196" t="str">
        <f t="shared" si="91"/>
        <v>11,734 (66.79)</v>
      </c>
    </row>
    <row r="197" spans="1:17" x14ac:dyDescent="0.3">
      <c r="A197" s="2"/>
      <c r="B197" s="8"/>
      <c r="C197" s="11">
        <v>21.13</v>
      </c>
      <c r="D197" s="11">
        <v>19.399999999999999</v>
      </c>
      <c r="E197" s="11">
        <v>18.23</v>
      </c>
      <c r="F197" s="11">
        <v>16.7</v>
      </c>
      <c r="G197" s="11">
        <v>75.459999999999994</v>
      </c>
      <c r="I197">
        <f>C199</f>
        <v>84.52</v>
      </c>
      <c r="J197">
        <f t="shared" ref="J197:L198" si="92">D199</f>
        <v>77.61</v>
      </c>
      <c r="K197">
        <f t="shared" si="92"/>
        <v>72.91</v>
      </c>
      <c r="L197">
        <f t="shared" si="92"/>
        <v>66.790000000000006</v>
      </c>
      <c r="N197" t="str">
        <f>TEXT(I198,"#,##0")&amp;" ("&amp;TEXT(I199,"0.00")&amp;")"</f>
        <v>2,719 (15.48)</v>
      </c>
      <c r="O197" t="str">
        <f t="shared" ref="O197:Q197" si="93">TEXT(J198,"#,##0")&amp;" ("&amp;TEXT(J199,"0.00")&amp;")"</f>
        <v>3,933 (22.39)</v>
      </c>
      <c r="P197" t="str">
        <f t="shared" si="93"/>
        <v>4,759 (27.09)</v>
      </c>
      <c r="Q197" t="str">
        <f t="shared" si="93"/>
        <v>5,834 (33.21)</v>
      </c>
    </row>
    <row r="198" spans="1:17" x14ac:dyDescent="0.3">
      <c r="A198" s="2"/>
      <c r="B198" s="8"/>
      <c r="C198" s="11">
        <v>28</v>
      </c>
      <c r="D198" s="11">
        <v>25.71</v>
      </c>
      <c r="E198" s="11">
        <v>24.16</v>
      </c>
      <c r="F198" s="11">
        <v>22.13</v>
      </c>
      <c r="G198" s="11"/>
      <c r="I198">
        <f>C200</f>
        <v>2719</v>
      </c>
      <c r="J198">
        <f t="shared" si="92"/>
        <v>3933</v>
      </c>
      <c r="K198">
        <f t="shared" si="92"/>
        <v>4759</v>
      </c>
      <c r="L198">
        <f t="shared" si="92"/>
        <v>5834</v>
      </c>
      <c r="N198" t="str">
        <f>TEXT(I200,"#,##0")&amp;" ("&amp;TEXT(I201,"0.00")&amp;")"</f>
        <v>17,569 (0.00)</v>
      </c>
      <c r="O198" t="str">
        <f t="shared" ref="O198:Q198" si="94">TEXT(J200,"#,##0")&amp;" ("&amp;TEXT(J201,"0.00")&amp;")"</f>
        <v>17,568 (0.00)</v>
      </c>
      <c r="P198" t="str">
        <f t="shared" si="94"/>
        <v>17,570 (0.00)</v>
      </c>
      <c r="Q198" t="str">
        <f t="shared" si="94"/>
        <v>17,568 (0.00)</v>
      </c>
    </row>
    <row r="199" spans="1:17" x14ac:dyDescent="0.3">
      <c r="A199" s="2"/>
      <c r="B199" s="8"/>
      <c r="C199" s="11">
        <v>84.52</v>
      </c>
      <c r="D199" s="11">
        <v>77.61</v>
      </c>
      <c r="E199" s="11">
        <v>72.91</v>
      </c>
      <c r="F199" s="11">
        <v>66.790000000000006</v>
      </c>
      <c r="G199" s="11"/>
      <c r="I199">
        <f>C203</f>
        <v>15.48</v>
      </c>
      <c r="J199">
        <f t="shared" ref="J199:L200" si="95">D203</f>
        <v>22.39</v>
      </c>
      <c r="K199">
        <f t="shared" si="95"/>
        <v>27.09</v>
      </c>
      <c r="L199">
        <f t="shared" si="95"/>
        <v>33.21</v>
      </c>
      <c r="N199" t="str">
        <f>TEXT(I202,"#,##0")&amp;" ("&amp;TEXT(I203,"0.00")&amp;")"</f>
        <v>0 (16589.00)</v>
      </c>
      <c r="O199" t="str">
        <f t="shared" ref="O199:Q199" si="96">TEXT(J202,"#,##0")&amp;" ("&amp;TEXT(J203,"0.00")&amp;")"</f>
        <v>0 (14869.00)</v>
      </c>
      <c r="P199" t="str">
        <f t="shared" si="96"/>
        <v>0 (12966.00)</v>
      </c>
      <c r="Q199" t="str">
        <f t="shared" si="96"/>
        <v>0 (10757.00)</v>
      </c>
    </row>
    <row r="200" spans="1:17" x14ac:dyDescent="0.3">
      <c r="A200" s="2"/>
      <c r="B200" s="8">
        <v>1</v>
      </c>
      <c r="C200" s="11">
        <v>2719</v>
      </c>
      <c r="D200" s="11">
        <v>3933</v>
      </c>
      <c r="E200" s="11">
        <v>4759</v>
      </c>
      <c r="F200" s="11">
        <v>5834</v>
      </c>
      <c r="G200" s="11">
        <v>17245</v>
      </c>
      <c r="I200">
        <f>C204</f>
        <v>17569</v>
      </c>
      <c r="J200">
        <f t="shared" si="95"/>
        <v>17568</v>
      </c>
      <c r="K200">
        <f t="shared" si="95"/>
        <v>17570</v>
      </c>
      <c r="L200">
        <f t="shared" si="95"/>
        <v>17568</v>
      </c>
    </row>
    <row r="201" spans="1:17" x14ac:dyDescent="0.3">
      <c r="A201" s="2"/>
      <c r="B201" s="8"/>
      <c r="C201" s="11">
        <v>3.87</v>
      </c>
      <c r="D201" s="11">
        <v>5.6</v>
      </c>
      <c r="E201" s="11">
        <v>6.77</v>
      </c>
      <c r="F201" s="11">
        <v>8.3000000000000007</v>
      </c>
      <c r="G201" s="11">
        <v>24.54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15.77</v>
      </c>
      <c r="D202" s="11">
        <v>22.81</v>
      </c>
      <c r="E202" s="11">
        <v>27.6</v>
      </c>
      <c r="F202" s="11">
        <v>33.83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15.48</v>
      </c>
      <c r="D203" s="11">
        <v>22.39</v>
      </c>
      <c r="E203" s="11">
        <v>27.09</v>
      </c>
      <c r="F203" s="11">
        <v>33.21</v>
      </c>
      <c r="G203" s="11"/>
      <c r="I203">
        <f>C211</f>
        <v>16589</v>
      </c>
      <c r="J203">
        <f t="shared" ref="J203:L203" si="98">D211</f>
        <v>14869</v>
      </c>
      <c r="K203">
        <f t="shared" si="98"/>
        <v>12966</v>
      </c>
      <c r="L203">
        <f t="shared" si="98"/>
        <v>10757</v>
      </c>
    </row>
    <row r="204" spans="1:17" x14ac:dyDescent="0.3">
      <c r="A204" s="2"/>
      <c r="B204" s="8" t="s">
        <v>24</v>
      </c>
      <c r="C204" s="11">
        <v>17569</v>
      </c>
      <c r="D204" s="11">
        <v>17568</v>
      </c>
      <c r="E204" s="11">
        <v>17570</v>
      </c>
      <c r="F204" s="11">
        <v>17568</v>
      </c>
      <c r="G204" s="11">
        <v>70275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52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41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16589</v>
      </c>
      <c r="D211" s="11">
        <v>14869</v>
      </c>
      <c r="E211" s="11">
        <v>12966</v>
      </c>
      <c r="F211" s="11">
        <v>10757</v>
      </c>
      <c r="G211" s="11">
        <v>55181</v>
      </c>
      <c r="I211">
        <f>C211</f>
        <v>16589</v>
      </c>
      <c r="J211">
        <f t="shared" ref="J211:L211" si="99">D211</f>
        <v>14869</v>
      </c>
      <c r="K211">
        <f t="shared" si="99"/>
        <v>12966</v>
      </c>
      <c r="L211">
        <f t="shared" si="99"/>
        <v>10757</v>
      </c>
      <c r="N211" t="str">
        <f>TEXT(I211,"#,##0")&amp;" ("&amp;TEXT(I212,"0.00")&amp;")"</f>
        <v>16,589 (94.42)</v>
      </c>
      <c r="O211" t="str">
        <f t="shared" ref="O211:Q211" si="100">TEXT(J211,"#,##0")&amp;" ("&amp;TEXT(J212,"0.00")&amp;")"</f>
        <v>14,869 (84.64)</v>
      </c>
      <c r="P211" t="str">
        <f t="shared" si="100"/>
        <v>12,966 (73.80)</v>
      </c>
      <c r="Q211" t="str">
        <f t="shared" si="100"/>
        <v>10,757 (61.23)</v>
      </c>
    </row>
    <row r="212" spans="1:17" x14ac:dyDescent="0.3">
      <c r="A212" s="2"/>
      <c r="B212" s="8"/>
      <c r="C212" s="11">
        <v>23.61</v>
      </c>
      <c r="D212" s="11">
        <v>21.16</v>
      </c>
      <c r="E212" s="11">
        <v>18.45</v>
      </c>
      <c r="F212" s="11">
        <v>15.31</v>
      </c>
      <c r="G212" s="11">
        <v>78.52</v>
      </c>
      <c r="I212">
        <f>C214</f>
        <v>94.42</v>
      </c>
      <c r="J212">
        <f t="shared" ref="J212:L213" si="101">D214</f>
        <v>84.64</v>
      </c>
      <c r="K212">
        <f t="shared" si="101"/>
        <v>73.8</v>
      </c>
      <c r="L212">
        <f t="shared" si="101"/>
        <v>61.23</v>
      </c>
      <c r="N212" t="str">
        <f>TEXT(I213,"#,##0")&amp;" ("&amp;TEXT(I214,"0.00")&amp;")"</f>
        <v>980 (5.58)</v>
      </c>
      <c r="O212" t="str">
        <f t="shared" ref="O212:Q212" si="102">TEXT(J213,"#,##0")&amp;" ("&amp;TEXT(J214,"0.00")&amp;")"</f>
        <v>2,699 (15.36)</v>
      </c>
      <c r="P212" t="str">
        <f t="shared" si="102"/>
        <v>4,604 (26.20)</v>
      </c>
      <c r="Q212" t="str">
        <f t="shared" si="102"/>
        <v>6,811 (38.77)</v>
      </c>
    </row>
    <row r="213" spans="1:17" x14ac:dyDescent="0.3">
      <c r="A213" s="2"/>
      <c r="B213" s="8"/>
      <c r="C213" s="11">
        <v>30.06</v>
      </c>
      <c r="D213" s="11">
        <v>26.95</v>
      </c>
      <c r="E213" s="11">
        <v>23.5</v>
      </c>
      <c r="F213" s="11">
        <v>19.489999999999998</v>
      </c>
      <c r="G213" s="11"/>
      <c r="I213">
        <f>C215</f>
        <v>980</v>
      </c>
      <c r="J213">
        <f t="shared" si="101"/>
        <v>2699</v>
      </c>
      <c r="K213">
        <f t="shared" si="101"/>
        <v>4604</v>
      </c>
      <c r="L213">
        <f t="shared" si="101"/>
        <v>6811</v>
      </c>
      <c r="N213" t="str">
        <f>TEXT(I215,"#,##0")&amp;" ("&amp;TEXT(I216,"0.00")&amp;")"</f>
        <v>17,569 (0.00)</v>
      </c>
      <c r="O213" t="str">
        <f t="shared" ref="O213:Q213" si="103">TEXT(J215,"#,##0")&amp;" ("&amp;TEXT(J216,"0.00")&amp;")"</f>
        <v>17,568 (0.00)</v>
      </c>
      <c r="P213" t="str">
        <f t="shared" si="103"/>
        <v>17,570 (0.00)</v>
      </c>
      <c r="Q213" t="str">
        <f t="shared" si="103"/>
        <v>17,568 (0.00)</v>
      </c>
    </row>
    <row r="214" spans="1:17" x14ac:dyDescent="0.3">
      <c r="A214" s="2"/>
      <c r="B214" s="8"/>
      <c r="C214" s="11">
        <v>94.42</v>
      </c>
      <c r="D214" s="11">
        <v>84.64</v>
      </c>
      <c r="E214" s="11">
        <v>73.8</v>
      </c>
      <c r="F214" s="11">
        <v>61.23</v>
      </c>
      <c r="G214" s="11"/>
      <c r="I214">
        <f>C218</f>
        <v>5.58</v>
      </c>
      <c r="J214">
        <f t="shared" ref="J214:L215" si="104">D218</f>
        <v>15.36</v>
      </c>
      <c r="K214">
        <f t="shared" si="104"/>
        <v>26.2</v>
      </c>
      <c r="L214">
        <f t="shared" si="104"/>
        <v>38.770000000000003</v>
      </c>
      <c r="N214" t="str">
        <f>TEXT(I217,"#,##0")&amp;" ("&amp;TEXT(I218,"0.00")&amp;")"</f>
        <v>0 (16830.00)</v>
      </c>
      <c r="O214" t="str">
        <f t="shared" ref="O214:Q214" si="105">TEXT(J217,"#,##0")&amp;" ("&amp;TEXT(J218,"0.00")&amp;")"</f>
        <v>0 (15576.00)</v>
      </c>
      <c r="P214" t="str">
        <f t="shared" si="105"/>
        <v>0 (14382.00)</v>
      </c>
      <c r="Q214" t="str">
        <f t="shared" si="105"/>
        <v>0 (13105.00)</v>
      </c>
    </row>
    <row r="215" spans="1:17" x14ac:dyDescent="0.3">
      <c r="A215" s="2"/>
      <c r="B215" s="8">
        <v>1</v>
      </c>
      <c r="C215" s="11">
        <v>980</v>
      </c>
      <c r="D215" s="11">
        <v>2699</v>
      </c>
      <c r="E215" s="11">
        <v>4604</v>
      </c>
      <c r="F215" s="11">
        <v>6811</v>
      </c>
      <c r="G215" s="11">
        <v>15094</v>
      </c>
      <c r="I215">
        <f>C219</f>
        <v>17569</v>
      </c>
      <c r="J215">
        <f t="shared" si="104"/>
        <v>17568</v>
      </c>
      <c r="K215">
        <f t="shared" si="104"/>
        <v>17570</v>
      </c>
      <c r="L215">
        <f t="shared" si="104"/>
        <v>17568</v>
      </c>
    </row>
    <row r="216" spans="1:17" x14ac:dyDescent="0.3">
      <c r="A216" s="2"/>
      <c r="B216" s="8"/>
      <c r="C216" s="11">
        <v>1.39</v>
      </c>
      <c r="D216" s="11">
        <v>3.84</v>
      </c>
      <c r="E216" s="11">
        <v>6.55</v>
      </c>
      <c r="F216" s="11">
        <v>9.69</v>
      </c>
      <c r="G216" s="11">
        <v>21.48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6.49</v>
      </c>
      <c r="D217" s="11">
        <v>17.88</v>
      </c>
      <c r="E217" s="11">
        <v>30.5</v>
      </c>
      <c r="F217" s="11">
        <v>45.12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5.58</v>
      </c>
      <c r="D218" s="11">
        <v>15.36</v>
      </c>
      <c r="E218" s="11">
        <v>26.2</v>
      </c>
      <c r="F218" s="11">
        <v>38.770000000000003</v>
      </c>
      <c r="G218" s="11"/>
      <c r="I218">
        <f>C226</f>
        <v>16830</v>
      </c>
      <c r="J218">
        <f t="shared" ref="J218:L218" si="107">D226</f>
        <v>15576</v>
      </c>
      <c r="K218">
        <f t="shared" si="107"/>
        <v>14382</v>
      </c>
      <c r="L218">
        <f t="shared" si="107"/>
        <v>13105</v>
      </c>
    </row>
    <row r="219" spans="1:17" x14ac:dyDescent="0.3">
      <c r="A219" s="2"/>
      <c r="B219" s="8" t="s">
        <v>24</v>
      </c>
      <c r="C219" s="11">
        <v>17569</v>
      </c>
      <c r="D219" s="11">
        <v>17568</v>
      </c>
      <c r="E219" s="11">
        <v>17570</v>
      </c>
      <c r="F219" s="11">
        <v>17568</v>
      </c>
      <c r="G219" s="11">
        <v>70275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53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41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16830</v>
      </c>
      <c r="D226" s="11">
        <v>15576</v>
      </c>
      <c r="E226" s="11">
        <v>14382</v>
      </c>
      <c r="F226" s="11">
        <v>13105</v>
      </c>
      <c r="G226" s="11">
        <v>59893</v>
      </c>
      <c r="I226">
        <f>C226</f>
        <v>16830</v>
      </c>
      <c r="J226">
        <f t="shared" ref="J226:L226" si="108">D226</f>
        <v>15576</v>
      </c>
      <c r="K226">
        <f t="shared" si="108"/>
        <v>14382</v>
      </c>
      <c r="L226">
        <f t="shared" si="108"/>
        <v>13105</v>
      </c>
      <c r="N226" t="str">
        <f>TEXT(I226,"#,##0")&amp;" ("&amp;TEXT(I227,"0.00")&amp;")"</f>
        <v>16,830 (95.79)</v>
      </c>
      <c r="O226" t="str">
        <f t="shared" ref="O226:Q226" si="109">TEXT(J226,"#,##0")&amp;" ("&amp;TEXT(J227,"0.00")&amp;")"</f>
        <v>15,576 (88.66)</v>
      </c>
      <c r="P226" t="str">
        <f t="shared" si="109"/>
        <v>14,382 (81.86)</v>
      </c>
      <c r="Q226" t="str">
        <f t="shared" si="109"/>
        <v>13,105 (74.60)</v>
      </c>
    </row>
    <row r="227" spans="1:17" x14ac:dyDescent="0.3">
      <c r="A227" s="2"/>
      <c r="B227" s="8"/>
      <c r="C227" s="11">
        <v>23.95</v>
      </c>
      <c r="D227" s="11">
        <v>22.16</v>
      </c>
      <c r="E227" s="11">
        <v>20.47</v>
      </c>
      <c r="F227" s="11">
        <v>18.649999999999999</v>
      </c>
      <c r="G227" s="11">
        <v>85.23</v>
      </c>
      <c r="I227">
        <f>C229</f>
        <v>95.79</v>
      </c>
      <c r="J227">
        <f t="shared" ref="J227:L228" si="110">D229</f>
        <v>88.66</v>
      </c>
      <c r="K227">
        <f t="shared" si="110"/>
        <v>81.86</v>
      </c>
      <c r="L227">
        <f t="shared" si="110"/>
        <v>74.599999999999994</v>
      </c>
      <c r="N227" t="str">
        <f>TEXT(I228,"#,##0")&amp;" ("&amp;TEXT(I229,"0.00")&amp;")"</f>
        <v>739 (4.21)</v>
      </c>
      <c r="O227" t="str">
        <f t="shared" ref="O227:Q227" si="111">TEXT(J228,"#,##0")&amp;" ("&amp;TEXT(J229,"0.00")&amp;")"</f>
        <v>1,992 (11.34)</v>
      </c>
      <c r="P227" t="str">
        <f t="shared" si="111"/>
        <v>3,188 (18.14)</v>
      </c>
      <c r="Q227" t="str">
        <f t="shared" si="111"/>
        <v>4,463 (25.40)</v>
      </c>
    </row>
    <row r="228" spans="1:17" x14ac:dyDescent="0.3">
      <c r="A228" s="2"/>
      <c r="B228" s="8"/>
      <c r="C228" s="11">
        <v>28.1</v>
      </c>
      <c r="D228" s="11">
        <v>26.01</v>
      </c>
      <c r="E228" s="11">
        <v>24.01</v>
      </c>
      <c r="F228" s="11">
        <v>21.88</v>
      </c>
      <c r="G228" s="11"/>
      <c r="I228">
        <f>C230</f>
        <v>739</v>
      </c>
      <c r="J228">
        <f t="shared" si="110"/>
        <v>1992</v>
      </c>
      <c r="K228">
        <f t="shared" si="110"/>
        <v>3188</v>
      </c>
      <c r="L228">
        <f t="shared" si="110"/>
        <v>4463</v>
      </c>
      <c r="N228" t="str">
        <f>TEXT(I230,"#,##0")&amp;" ("&amp;TEXT(I231,"0.00")&amp;")"</f>
        <v>17,569 (0.00)</v>
      </c>
      <c r="O228" t="str">
        <f t="shared" ref="O228:Q228" si="112">TEXT(J230,"#,##0")&amp;" ("&amp;TEXT(J231,"0.00")&amp;")"</f>
        <v>17,568 (0.00)</v>
      </c>
      <c r="P228" t="str">
        <f t="shared" si="112"/>
        <v>17,570 (0.00)</v>
      </c>
      <c r="Q228" t="str">
        <f t="shared" si="112"/>
        <v>17,568 (0.00)</v>
      </c>
    </row>
    <row r="229" spans="1:17" x14ac:dyDescent="0.3">
      <c r="A229" s="2"/>
      <c r="B229" s="8"/>
      <c r="C229" s="11">
        <v>95.79</v>
      </c>
      <c r="D229" s="11">
        <v>88.66</v>
      </c>
      <c r="E229" s="11">
        <v>81.86</v>
      </c>
      <c r="F229" s="11">
        <v>74.599999999999994</v>
      </c>
      <c r="G229" s="11"/>
      <c r="I229">
        <f>C233</f>
        <v>4.21</v>
      </c>
      <c r="J229">
        <f t="shared" ref="J229:L230" si="113">D233</f>
        <v>11.34</v>
      </c>
      <c r="K229">
        <f t="shared" si="113"/>
        <v>18.14</v>
      </c>
      <c r="L229">
        <f t="shared" si="113"/>
        <v>25.4</v>
      </c>
      <c r="N229" t="str">
        <f>TEXT(I232,"#,##0")&amp;" ("&amp;TEXT(I233,"0.00")&amp;")"</f>
        <v>0 (17488.00)</v>
      </c>
      <c r="O229" t="str">
        <f t="shared" ref="O229:Q229" si="114">TEXT(J232,"#,##0")&amp;" ("&amp;TEXT(J233,"0.00")&amp;")"</f>
        <v>0 (17325.00)</v>
      </c>
      <c r="P229" t="str">
        <f t="shared" si="114"/>
        <v>0 (17186.00)</v>
      </c>
      <c r="Q229" t="str">
        <f t="shared" si="114"/>
        <v>0 (16931.00)</v>
      </c>
    </row>
    <row r="230" spans="1:17" x14ac:dyDescent="0.3">
      <c r="A230" s="2"/>
      <c r="B230" s="8">
        <v>1</v>
      </c>
      <c r="C230" s="11">
        <v>739</v>
      </c>
      <c r="D230" s="11">
        <v>1992</v>
      </c>
      <c r="E230" s="11">
        <v>3188</v>
      </c>
      <c r="F230" s="11">
        <v>4463</v>
      </c>
      <c r="G230" s="11">
        <v>10382</v>
      </c>
      <c r="I230">
        <f>C234</f>
        <v>17569</v>
      </c>
      <c r="J230">
        <f t="shared" si="113"/>
        <v>17568</v>
      </c>
      <c r="K230">
        <f t="shared" si="113"/>
        <v>17570</v>
      </c>
      <c r="L230">
        <f t="shared" si="113"/>
        <v>17568</v>
      </c>
    </row>
    <row r="231" spans="1:17" x14ac:dyDescent="0.3">
      <c r="A231" s="2"/>
      <c r="B231" s="8"/>
      <c r="C231" s="11">
        <v>1.05</v>
      </c>
      <c r="D231" s="11">
        <v>2.83</v>
      </c>
      <c r="E231" s="11">
        <v>4.54</v>
      </c>
      <c r="F231" s="11">
        <v>6.35</v>
      </c>
      <c r="G231" s="11">
        <v>14.77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7.12</v>
      </c>
      <c r="D232" s="11">
        <v>19.190000000000001</v>
      </c>
      <c r="E232" s="11">
        <v>30.71</v>
      </c>
      <c r="F232" s="11">
        <v>42.99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4.21</v>
      </c>
      <c r="D233" s="11">
        <v>11.34</v>
      </c>
      <c r="E233" s="11">
        <v>18.14</v>
      </c>
      <c r="F233" s="11">
        <v>25.4</v>
      </c>
      <c r="G233" s="11"/>
      <c r="I233">
        <f>C241</f>
        <v>17488</v>
      </c>
      <c r="J233">
        <f t="shared" ref="J233:L233" si="116">D241</f>
        <v>17325</v>
      </c>
      <c r="K233">
        <f t="shared" si="116"/>
        <v>17186</v>
      </c>
      <c r="L233">
        <f t="shared" si="116"/>
        <v>16931</v>
      </c>
    </row>
    <row r="234" spans="1:17" x14ac:dyDescent="0.3">
      <c r="A234" s="2"/>
      <c r="B234" s="8" t="s">
        <v>24</v>
      </c>
      <c r="C234" s="11">
        <v>17569</v>
      </c>
      <c r="D234" s="11">
        <v>17568</v>
      </c>
      <c r="E234" s="11">
        <v>17570</v>
      </c>
      <c r="F234" s="11">
        <v>17568</v>
      </c>
      <c r="G234" s="11">
        <v>70275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54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41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17488</v>
      </c>
      <c r="D241" s="11">
        <v>17325</v>
      </c>
      <c r="E241" s="11">
        <v>17186</v>
      </c>
      <c r="F241" s="11">
        <v>16931</v>
      </c>
      <c r="G241" s="11">
        <v>68930</v>
      </c>
      <c r="I241">
        <f>C241</f>
        <v>17488</v>
      </c>
      <c r="J241">
        <f t="shared" ref="J241:L241" si="117">D241</f>
        <v>17325</v>
      </c>
      <c r="K241">
        <f t="shared" si="117"/>
        <v>17186</v>
      </c>
      <c r="L241">
        <f t="shared" si="117"/>
        <v>16931</v>
      </c>
      <c r="N241" t="str">
        <f>TEXT(I241,"#,##0")&amp;" ("&amp;TEXT(I242,"0.00")&amp;")"</f>
        <v>17,488 (99.54)</v>
      </c>
      <c r="O241" t="str">
        <f t="shared" ref="O241:Q241" si="118">TEXT(J241,"#,##0")&amp;" ("&amp;TEXT(J242,"0.00")&amp;")"</f>
        <v>17,325 (98.62)</v>
      </c>
      <c r="P241" t="str">
        <f t="shared" si="118"/>
        <v>17,186 (97.81)</v>
      </c>
      <c r="Q241" t="str">
        <f t="shared" si="118"/>
        <v>16,931 (96.37)</v>
      </c>
    </row>
    <row r="242" spans="1:17" x14ac:dyDescent="0.3">
      <c r="A242" s="2"/>
      <c r="B242" s="8"/>
      <c r="C242" s="11">
        <v>24.89</v>
      </c>
      <c r="D242" s="11">
        <v>24.65</v>
      </c>
      <c r="E242" s="11">
        <v>24.46</v>
      </c>
      <c r="F242" s="11">
        <v>24.09</v>
      </c>
      <c r="G242" s="11">
        <v>98.09</v>
      </c>
      <c r="I242">
        <f>C244</f>
        <v>99.54</v>
      </c>
      <c r="J242">
        <f t="shared" ref="J242:L243" si="119">D244</f>
        <v>98.62</v>
      </c>
      <c r="K242">
        <f t="shared" si="119"/>
        <v>97.81</v>
      </c>
      <c r="L242">
        <f t="shared" si="119"/>
        <v>96.37</v>
      </c>
      <c r="N242" t="str">
        <f>TEXT(I243,"#,##0")&amp;" ("&amp;TEXT(I244,"0.00")&amp;")"</f>
        <v>81 (0.46)</v>
      </c>
      <c r="O242" t="str">
        <f t="shared" ref="O242:Q242" si="120">TEXT(J243,"#,##0")&amp;" ("&amp;TEXT(J244,"0.00")&amp;")"</f>
        <v>243 (1.38)</v>
      </c>
      <c r="P242" t="str">
        <f t="shared" si="120"/>
        <v>384 (2.19)</v>
      </c>
      <c r="Q242" t="str">
        <f t="shared" si="120"/>
        <v>637 (3.63)</v>
      </c>
    </row>
    <row r="243" spans="1:17" x14ac:dyDescent="0.3">
      <c r="A243" s="2"/>
      <c r="B243" s="8"/>
      <c r="C243" s="11">
        <v>25.37</v>
      </c>
      <c r="D243" s="11">
        <v>25.13</v>
      </c>
      <c r="E243" s="11">
        <v>24.93</v>
      </c>
      <c r="F243" s="11">
        <v>24.56</v>
      </c>
      <c r="G243" s="11"/>
      <c r="I243">
        <f>C245</f>
        <v>81</v>
      </c>
      <c r="J243">
        <f t="shared" si="119"/>
        <v>243</v>
      </c>
      <c r="K243">
        <f t="shared" si="119"/>
        <v>384</v>
      </c>
      <c r="L243">
        <f t="shared" si="119"/>
        <v>637</v>
      </c>
      <c r="N243" t="str">
        <f>TEXT(I245,"#,##0")&amp;" ("&amp;TEXT(I246,"0.00")&amp;")"</f>
        <v>17,569 (0.00)</v>
      </c>
      <c r="O243" t="str">
        <f t="shared" ref="O243:Q243" si="121">TEXT(J245,"#,##0")&amp;" ("&amp;TEXT(J246,"0.00")&amp;")"</f>
        <v>17,568 (0.00)</v>
      </c>
      <c r="P243" t="str">
        <f t="shared" si="121"/>
        <v>17,570 (0.00)</v>
      </c>
      <c r="Q243" t="str">
        <f t="shared" si="121"/>
        <v>17,568 (0.00)</v>
      </c>
    </row>
    <row r="244" spans="1:17" x14ac:dyDescent="0.3">
      <c r="A244" s="2"/>
      <c r="B244" s="8"/>
      <c r="C244" s="11">
        <v>99.54</v>
      </c>
      <c r="D244" s="11">
        <v>98.62</v>
      </c>
      <c r="E244" s="11">
        <v>97.81</v>
      </c>
      <c r="F244" s="11">
        <v>96.37</v>
      </c>
      <c r="G244" s="11"/>
      <c r="I244">
        <f>C248</f>
        <v>0.46</v>
      </c>
      <c r="J244">
        <f t="shared" ref="J244:L245" si="122">D248</f>
        <v>1.38</v>
      </c>
      <c r="K244">
        <f t="shared" si="122"/>
        <v>2.19</v>
      </c>
      <c r="L244">
        <f t="shared" si="122"/>
        <v>3.63</v>
      </c>
      <c r="N244" t="str">
        <f>TEXT(I247,"#,##0")&amp;" ("&amp;TEXT(I248,"0.00")&amp;")"</f>
        <v>0 (17538.00)</v>
      </c>
      <c r="O244" t="str">
        <f t="shared" ref="O244:Q244" si="123">TEXT(J247,"#,##0")&amp;" ("&amp;TEXT(J248,"0.00")&amp;")"</f>
        <v>0 (17445.00)</v>
      </c>
      <c r="P244" t="str">
        <f t="shared" si="123"/>
        <v>0 (17375.00)</v>
      </c>
      <c r="Q244" t="str">
        <f t="shared" si="123"/>
        <v>0 (17256.00)</v>
      </c>
    </row>
    <row r="245" spans="1:17" x14ac:dyDescent="0.3">
      <c r="A245" s="2"/>
      <c r="B245" s="8">
        <v>1</v>
      </c>
      <c r="C245" s="11">
        <v>81</v>
      </c>
      <c r="D245" s="11">
        <v>243</v>
      </c>
      <c r="E245" s="11">
        <v>384</v>
      </c>
      <c r="F245" s="11">
        <v>637</v>
      </c>
      <c r="G245" s="11">
        <v>1345</v>
      </c>
      <c r="I245">
        <f>C249</f>
        <v>17569</v>
      </c>
      <c r="J245">
        <f t="shared" si="122"/>
        <v>17568</v>
      </c>
      <c r="K245">
        <f t="shared" si="122"/>
        <v>17570</v>
      </c>
      <c r="L245">
        <f t="shared" si="122"/>
        <v>17568</v>
      </c>
    </row>
    <row r="246" spans="1:17" x14ac:dyDescent="0.3">
      <c r="A246" s="2"/>
      <c r="B246" s="8"/>
      <c r="C246" s="11">
        <v>0.12</v>
      </c>
      <c r="D246" s="11">
        <v>0.35</v>
      </c>
      <c r="E246" s="11">
        <v>0.55000000000000004</v>
      </c>
      <c r="F246" s="11">
        <v>0.91</v>
      </c>
      <c r="G246" s="11">
        <v>1.91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6.02</v>
      </c>
      <c r="D247" s="11">
        <v>18.07</v>
      </c>
      <c r="E247" s="11">
        <v>28.55</v>
      </c>
      <c r="F247" s="11">
        <v>47.36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0.46</v>
      </c>
      <c r="D248" s="11">
        <v>1.38</v>
      </c>
      <c r="E248" s="11">
        <v>2.19</v>
      </c>
      <c r="F248" s="11">
        <v>3.63</v>
      </c>
      <c r="G248" s="11"/>
      <c r="I248">
        <f>C256</f>
        <v>17538</v>
      </c>
      <c r="J248">
        <f t="shared" ref="J248:L248" si="125">D256</f>
        <v>17445</v>
      </c>
      <c r="K248">
        <f t="shared" si="125"/>
        <v>17375</v>
      </c>
      <c r="L248">
        <f t="shared" si="125"/>
        <v>17256</v>
      </c>
    </row>
    <row r="249" spans="1:17" x14ac:dyDescent="0.3">
      <c r="A249" s="2"/>
      <c r="B249" s="8" t="s">
        <v>24</v>
      </c>
      <c r="C249" s="11">
        <v>17569</v>
      </c>
      <c r="D249" s="11">
        <v>17568</v>
      </c>
      <c r="E249" s="11">
        <v>17570</v>
      </c>
      <c r="F249" s="11">
        <v>17568</v>
      </c>
      <c r="G249" s="11">
        <v>70275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55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41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17538</v>
      </c>
      <c r="D256" s="11">
        <v>17445</v>
      </c>
      <c r="E256" s="11">
        <v>17375</v>
      </c>
      <c r="F256" s="11">
        <v>17256</v>
      </c>
      <c r="G256" s="11">
        <v>69614</v>
      </c>
      <c r="I256">
        <f>C256</f>
        <v>17538</v>
      </c>
      <c r="J256">
        <f t="shared" ref="J256:L256" si="126">D256</f>
        <v>17445</v>
      </c>
      <c r="K256">
        <f t="shared" si="126"/>
        <v>17375</v>
      </c>
      <c r="L256">
        <f t="shared" si="126"/>
        <v>17256</v>
      </c>
      <c r="N256" t="str">
        <f>TEXT(I256,"#,##0")&amp;" ("&amp;TEXT(I257,"0.00")&amp;")"</f>
        <v>17,538 (99.82)</v>
      </c>
      <c r="O256" t="str">
        <f t="shared" ref="O256:Q256" si="127">TEXT(J256,"#,##0")&amp;" ("&amp;TEXT(J257,"0.00")&amp;")"</f>
        <v>17,445 (99.30)</v>
      </c>
      <c r="P256" t="str">
        <f t="shared" si="127"/>
        <v>17,375 (98.89)</v>
      </c>
      <c r="Q256" t="str">
        <f t="shared" si="127"/>
        <v>17,256 (98.22)</v>
      </c>
    </row>
    <row r="257" spans="1:17" x14ac:dyDescent="0.3">
      <c r="A257" s="2"/>
      <c r="B257" s="8"/>
      <c r="C257" s="11">
        <v>24.96</v>
      </c>
      <c r="D257" s="11">
        <v>24.82</v>
      </c>
      <c r="E257" s="11">
        <v>24.72</v>
      </c>
      <c r="F257" s="11">
        <v>24.55</v>
      </c>
      <c r="G257" s="11">
        <v>99.06</v>
      </c>
      <c r="I257">
        <f>C259</f>
        <v>99.82</v>
      </c>
      <c r="J257">
        <f t="shared" ref="J257:L258" si="128">D259</f>
        <v>99.3</v>
      </c>
      <c r="K257">
        <f t="shared" si="128"/>
        <v>98.89</v>
      </c>
      <c r="L257">
        <f t="shared" si="128"/>
        <v>98.22</v>
      </c>
      <c r="N257" t="str">
        <f>TEXT(I258,"#,##0")&amp;" ("&amp;TEXT(I259,"0.00")&amp;")"</f>
        <v>31 (0.18)</v>
      </c>
      <c r="O257" t="str">
        <f t="shared" ref="O257:Q257" si="129">TEXT(J258,"#,##0")&amp;" ("&amp;TEXT(J259,"0.00")&amp;")"</f>
        <v>123 (0.70)</v>
      </c>
      <c r="P257" t="str">
        <f t="shared" si="129"/>
        <v>195 (1.11)</v>
      </c>
      <c r="Q257" t="str">
        <f t="shared" si="129"/>
        <v>312 (1.78)</v>
      </c>
    </row>
    <row r="258" spans="1:17" x14ac:dyDescent="0.3">
      <c r="A258" s="2"/>
      <c r="B258" s="8"/>
      <c r="C258" s="11">
        <v>25.19</v>
      </c>
      <c r="D258" s="11">
        <v>25.06</v>
      </c>
      <c r="E258" s="11">
        <v>24.96</v>
      </c>
      <c r="F258" s="11">
        <v>24.79</v>
      </c>
      <c r="G258" s="11"/>
      <c r="I258">
        <f>C260</f>
        <v>31</v>
      </c>
      <c r="J258">
        <f t="shared" si="128"/>
        <v>123</v>
      </c>
      <c r="K258">
        <f t="shared" si="128"/>
        <v>195</v>
      </c>
      <c r="L258">
        <f t="shared" si="128"/>
        <v>312</v>
      </c>
      <c r="N258" t="str">
        <f>TEXT(I260,"#,##0")&amp;" ("&amp;TEXT(I261,"0.00")&amp;")"</f>
        <v>17,569 (0.00)</v>
      </c>
      <c r="O258" t="str">
        <f t="shared" ref="O258:Q258" si="130">TEXT(J260,"#,##0")&amp;" ("&amp;TEXT(J261,"0.00")&amp;")"</f>
        <v>17,568 (0.00)</v>
      </c>
      <c r="P258" t="str">
        <f t="shared" si="130"/>
        <v>17,570 (0.00)</v>
      </c>
      <c r="Q258" t="str">
        <f t="shared" si="130"/>
        <v>17,568 (0.00)</v>
      </c>
    </row>
    <row r="259" spans="1:17" x14ac:dyDescent="0.3">
      <c r="A259" s="2"/>
      <c r="B259" s="8"/>
      <c r="C259" s="11">
        <v>99.82</v>
      </c>
      <c r="D259" s="11">
        <v>99.3</v>
      </c>
      <c r="E259" s="11">
        <v>98.89</v>
      </c>
      <c r="F259" s="11">
        <v>98.22</v>
      </c>
      <c r="G259" s="11"/>
      <c r="I259">
        <f>C263</f>
        <v>0.18</v>
      </c>
      <c r="J259">
        <f t="shared" ref="J259:L260" si="131">D263</f>
        <v>0.7</v>
      </c>
      <c r="K259">
        <f t="shared" si="131"/>
        <v>1.1100000000000001</v>
      </c>
      <c r="L259">
        <f t="shared" si="131"/>
        <v>1.78</v>
      </c>
      <c r="N259" t="str">
        <f>TEXT(I262,"#,##0")&amp;" ("&amp;TEXT(I263,"0.00")&amp;")"</f>
        <v>0 (17479.00)</v>
      </c>
      <c r="O259" t="str">
        <f t="shared" ref="O259:Q259" si="132">TEXT(J262,"#,##0")&amp;" ("&amp;TEXT(J263,"0.00")&amp;")"</f>
        <v>0 (17346.00)</v>
      </c>
      <c r="P259" t="str">
        <f t="shared" si="132"/>
        <v>0 (17205.00)</v>
      </c>
      <c r="Q259" t="str">
        <f t="shared" si="132"/>
        <v>0 (17019.00)</v>
      </c>
    </row>
    <row r="260" spans="1:17" x14ac:dyDescent="0.3">
      <c r="A260" s="2"/>
      <c r="B260" s="8">
        <v>1</v>
      </c>
      <c r="C260" s="11">
        <v>31</v>
      </c>
      <c r="D260" s="11">
        <v>123</v>
      </c>
      <c r="E260" s="11">
        <v>195</v>
      </c>
      <c r="F260" s="11">
        <v>312</v>
      </c>
      <c r="G260" s="11">
        <v>661</v>
      </c>
      <c r="I260">
        <f>C264</f>
        <v>17569</v>
      </c>
      <c r="J260">
        <f t="shared" si="131"/>
        <v>17568</v>
      </c>
      <c r="K260">
        <f t="shared" si="131"/>
        <v>17570</v>
      </c>
      <c r="L260">
        <f t="shared" si="131"/>
        <v>17568</v>
      </c>
    </row>
    <row r="261" spans="1:17" x14ac:dyDescent="0.3">
      <c r="A261" s="2"/>
      <c r="B261" s="8"/>
      <c r="C261" s="11">
        <v>0.04</v>
      </c>
      <c r="D261" s="11">
        <v>0.18</v>
      </c>
      <c r="E261" s="11">
        <v>0.28000000000000003</v>
      </c>
      <c r="F261" s="11">
        <v>0.44</v>
      </c>
      <c r="G261" s="11">
        <v>0.94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4.6900000000000004</v>
      </c>
      <c r="D262" s="11">
        <v>18.61</v>
      </c>
      <c r="E262" s="11">
        <v>29.5</v>
      </c>
      <c r="F262" s="11">
        <v>47.2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0.18</v>
      </c>
      <c r="D263" s="11">
        <v>0.7</v>
      </c>
      <c r="E263" s="11">
        <v>1.1100000000000001</v>
      </c>
      <c r="F263" s="11">
        <v>1.78</v>
      </c>
      <c r="G263" s="11"/>
      <c r="I263">
        <f>C271</f>
        <v>17479</v>
      </c>
      <c r="J263">
        <f t="shared" ref="J263:L263" si="134">D271</f>
        <v>17346</v>
      </c>
      <c r="K263">
        <f t="shared" si="134"/>
        <v>17205</v>
      </c>
      <c r="L263">
        <f t="shared" si="134"/>
        <v>17019</v>
      </c>
    </row>
    <row r="264" spans="1:17" x14ac:dyDescent="0.3">
      <c r="A264" s="2"/>
      <c r="B264" s="8" t="s">
        <v>24</v>
      </c>
      <c r="C264" s="11">
        <v>17569</v>
      </c>
      <c r="D264" s="11">
        <v>17568</v>
      </c>
      <c r="E264" s="11">
        <v>17570</v>
      </c>
      <c r="F264" s="11">
        <v>17568</v>
      </c>
      <c r="G264" s="11">
        <v>70275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56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41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17479</v>
      </c>
      <c r="D271" s="11">
        <v>17346</v>
      </c>
      <c r="E271" s="11">
        <v>17205</v>
      </c>
      <c r="F271" s="11">
        <v>17019</v>
      </c>
      <c r="G271" s="11">
        <v>69049</v>
      </c>
      <c r="I271">
        <f>C271</f>
        <v>17479</v>
      </c>
      <c r="J271">
        <f t="shared" ref="J271:L271" si="135">D271</f>
        <v>17346</v>
      </c>
      <c r="K271">
        <f t="shared" si="135"/>
        <v>17205</v>
      </c>
      <c r="L271">
        <f t="shared" si="135"/>
        <v>17019</v>
      </c>
      <c r="N271" t="str">
        <f>TEXT(I271,"#,##0")&amp;" ("&amp;TEXT(I272,"0.00")&amp;")"</f>
        <v>17,479 (99.49)</v>
      </c>
      <c r="O271" t="str">
        <f t="shared" ref="O271:Q271" si="136">TEXT(J271,"#,##0")&amp;" ("&amp;TEXT(J272,"0.00")&amp;")"</f>
        <v>17,346 (98.74)</v>
      </c>
      <c r="P271" t="str">
        <f t="shared" si="136"/>
        <v>17,205 (97.92)</v>
      </c>
      <c r="Q271" t="str">
        <f t="shared" si="136"/>
        <v>17,019 (96.88)</v>
      </c>
    </row>
    <row r="272" spans="1:17" x14ac:dyDescent="0.3">
      <c r="A272" s="2"/>
      <c r="B272" s="8"/>
      <c r="C272" s="11">
        <v>24.87</v>
      </c>
      <c r="D272" s="11">
        <v>24.68</v>
      </c>
      <c r="E272" s="11">
        <v>24.48</v>
      </c>
      <c r="F272" s="11">
        <v>24.22</v>
      </c>
      <c r="G272" s="11">
        <v>98.26</v>
      </c>
      <c r="I272">
        <f>C274</f>
        <v>99.49</v>
      </c>
      <c r="J272">
        <f t="shared" ref="J272:L273" si="137">D274</f>
        <v>98.74</v>
      </c>
      <c r="K272">
        <f t="shared" si="137"/>
        <v>97.92</v>
      </c>
      <c r="L272">
        <f t="shared" si="137"/>
        <v>96.88</v>
      </c>
      <c r="N272" t="str">
        <f>TEXT(I273,"#,##0")&amp;" ("&amp;TEXT(I274,"0.00")&amp;")"</f>
        <v>90 (0.51)</v>
      </c>
      <c r="O272" t="str">
        <f t="shared" ref="O272:Q272" si="138">TEXT(J273,"#,##0")&amp;" ("&amp;TEXT(J274,"0.00")&amp;")"</f>
        <v>222 (1.26)</v>
      </c>
      <c r="P272" t="str">
        <f t="shared" si="138"/>
        <v>365 (2.08)</v>
      </c>
      <c r="Q272" t="str">
        <f t="shared" si="138"/>
        <v>549 (3.13)</v>
      </c>
    </row>
    <row r="273" spans="1:17" x14ac:dyDescent="0.3">
      <c r="A273" s="2"/>
      <c r="B273" s="8"/>
      <c r="C273" s="11">
        <v>25.31</v>
      </c>
      <c r="D273" s="11">
        <v>25.12</v>
      </c>
      <c r="E273" s="11">
        <v>24.92</v>
      </c>
      <c r="F273" s="11">
        <v>24.65</v>
      </c>
      <c r="G273" s="11"/>
      <c r="I273">
        <f>C275</f>
        <v>90</v>
      </c>
      <c r="J273">
        <f t="shared" si="137"/>
        <v>222</v>
      </c>
      <c r="K273">
        <f t="shared" si="137"/>
        <v>365</v>
      </c>
      <c r="L273">
        <f t="shared" si="137"/>
        <v>549</v>
      </c>
      <c r="N273" t="str">
        <f>TEXT(I275,"#,##0")&amp;" ("&amp;TEXT(I276,"0.00")&amp;")"</f>
        <v>17,569 (0.00)</v>
      </c>
      <c r="O273" t="str">
        <f t="shared" ref="O273:Q273" si="139">TEXT(J275,"#,##0")&amp;" ("&amp;TEXT(J276,"0.00")&amp;")"</f>
        <v>17,568 (0.00)</v>
      </c>
      <c r="P273" t="str">
        <f t="shared" si="139"/>
        <v>17,570 (0.00)</v>
      </c>
      <c r="Q273" t="str">
        <f t="shared" si="139"/>
        <v>17,568 (0.00)</v>
      </c>
    </row>
    <row r="274" spans="1:17" x14ac:dyDescent="0.3">
      <c r="A274" s="2"/>
      <c r="B274" s="8"/>
      <c r="C274" s="11">
        <v>99.49</v>
      </c>
      <c r="D274" s="11">
        <v>98.74</v>
      </c>
      <c r="E274" s="11">
        <v>97.92</v>
      </c>
      <c r="F274" s="11">
        <v>96.88</v>
      </c>
      <c r="G274" s="11"/>
      <c r="I274">
        <f>C278</f>
        <v>0.51</v>
      </c>
      <c r="J274">
        <f t="shared" ref="J274:L275" si="140">D278</f>
        <v>1.26</v>
      </c>
      <c r="K274">
        <f t="shared" si="140"/>
        <v>2.08</v>
      </c>
      <c r="L274">
        <f t="shared" si="140"/>
        <v>3.13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90</v>
      </c>
      <c r="D275" s="11">
        <v>222</v>
      </c>
      <c r="E275" s="11">
        <v>365</v>
      </c>
      <c r="F275" s="11">
        <v>549</v>
      </c>
      <c r="G275" s="11">
        <v>1226</v>
      </c>
      <c r="I275">
        <f>C279</f>
        <v>17569</v>
      </c>
      <c r="J275">
        <f t="shared" si="140"/>
        <v>17568</v>
      </c>
      <c r="K275">
        <f t="shared" si="140"/>
        <v>17570</v>
      </c>
      <c r="L275">
        <f t="shared" si="140"/>
        <v>17568</v>
      </c>
    </row>
    <row r="276" spans="1:17" x14ac:dyDescent="0.3">
      <c r="A276" s="2"/>
      <c r="B276" s="8"/>
      <c r="C276" s="11">
        <v>0.13</v>
      </c>
      <c r="D276" s="11">
        <v>0.32</v>
      </c>
      <c r="E276" s="11">
        <v>0.52</v>
      </c>
      <c r="F276" s="11">
        <v>0.78</v>
      </c>
      <c r="G276" s="11">
        <v>1.74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7.34</v>
      </c>
      <c r="D277" s="11">
        <v>18.11</v>
      </c>
      <c r="E277" s="11">
        <v>29.77</v>
      </c>
      <c r="F277" s="11">
        <v>44.78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0.51</v>
      </c>
      <c r="D278" s="11">
        <v>1.26</v>
      </c>
      <c r="E278" s="11">
        <v>2.08</v>
      </c>
      <c r="F278" s="11">
        <v>3.13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17569</v>
      </c>
      <c r="D279" s="11">
        <v>17568</v>
      </c>
      <c r="E279" s="11">
        <v>17570</v>
      </c>
      <c r="F279" s="11">
        <v>17568</v>
      </c>
      <c r="G279" s="11">
        <v>70275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FC6AD-288F-4ACB-9B03-4F28655A5BFA}">
  <dimension ref="A1:Q281"/>
  <sheetViews>
    <sheetView workbookViewId="0">
      <selection activeCell="C18" sqref="C18:F18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57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58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7734</v>
      </c>
      <c r="D6" s="11">
        <v>5694</v>
      </c>
      <c r="E6" s="11">
        <v>4333</v>
      </c>
      <c r="F6" s="11">
        <v>3870</v>
      </c>
      <c r="G6" s="11">
        <v>21631</v>
      </c>
      <c r="I6">
        <f>C6</f>
        <v>7734</v>
      </c>
      <c r="J6">
        <f t="shared" ref="J6:L6" si="0">D6</f>
        <v>5694</v>
      </c>
      <c r="K6">
        <f t="shared" si="0"/>
        <v>4333</v>
      </c>
      <c r="L6">
        <f t="shared" si="0"/>
        <v>3870</v>
      </c>
      <c r="N6" t="str">
        <f>TEXT(I6,"#,##0")&amp;" ("&amp;TEXT(I7,"0.00")&amp;")"</f>
        <v>7,734 (44.05)</v>
      </c>
      <c r="O6" t="str">
        <f t="shared" ref="O6:Q6" si="1">TEXT(J6,"#,##0")&amp;" ("&amp;TEXT(J7,"0.00")&amp;")"</f>
        <v>5,694 (32.39)</v>
      </c>
      <c r="P6" t="str">
        <f t="shared" si="1"/>
        <v>4,333 (24.66)</v>
      </c>
      <c r="Q6" t="str">
        <f t="shared" si="1"/>
        <v>3,870 (22.03)</v>
      </c>
    </row>
    <row r="7" spans="1:17" x14ac:dyDescent="0.3">
      <c r="A7" s="2"/>
      <c r="B7" s="8"/>
      <c r="C7" s="11">
        <v>11.01</v>
      </c>
      <c r="D7" s="11">
        <v>8.1</v>
      </c>
      <c r="E7" s="11">
        <v>6.17</v>
      </c>
      <c r="F7" s="11">
        <v>5.51</v>
      </c>
      <c r="G7" s="11">
        <v>30.78</v>
      </c>
      <c r="I7">
        <f>C9</f>
        <v>44.05</v>
      </c>
      <c r="J7">
        <f t="shared" ref="J7:L8" si="2">D9</f>
        <v>32.39</v>
      </c>
      <c r="K7">
        <f t="shared" si="2"/>
        <v>24.66</v>
      </c>
      <c r="L7">
        <f t="shared" si="2"/>
        <v>22.03</v>
      </c>
      <c r="N7" t="str">
        <f>TEXT(I8,"#,##0")&amp;" ("&amp;TEXT(I9,"0.00")&amp;")"</f>
        <v>7,402 (42.16)</v>
      </c>
      <c r="O7" t="str">
        <f t="shared" ref="O7:Q7" si="3">TEXT(J8,"#,##0")&amp;" ("&amp;TEXT(J9,"0.00")&amp;")"</f>
        <v>8,191 (46.60)</v>
      </c>
      <c r="P7" t="str">
        <f t="shared" si="3"/>
        <v>8,830 (50.26)</v>
      </c>
      <c r="Q7" t="str">
        <f t="shared" si="3"/>
        <v>9,748 (55.48)</v>
      </c>
    </row>
    <row r="8" spans="1:17" x14ac:dyDescent="0.3">
      <c r="A8" s="2"/>
      <c r="B8" s="8"/>
      <c r="C8" s="11">
        <v>35.75</v>
      </c>
      <c r="D8" s="11">
        <v>26.32</v>
      </c>
      <c r="E8" s="11">
        <v>20.03</v>
      </c>
      <c r="F8" s="11">
        <v>17.89</v>
      </c>
      <c r="G8" s="11"/>
      <c r="I8">
        <f>C10</f>
        <v>7402</v>
      </c>
      <c r="J8">
        <f t="shared" si="2"/>
        <v>8191</v>
      </c>
      <c r="K8">
        <f t="shared" si="2"/>
        <v>8830</v>
      </c>
      <c r="L8">
        <f t="shared" si="2"/>
        <v>9748</v>
      </c>
      <c r="N8" t="str">
        <f>TEXT(I10,"#,##0")&amp;" ("&amp;TEXT(I11,"0.00")&amp;")"</f>
        <v>2,423 (13.80)</v>
      </c>
      <c r="O8" t="str">
        <f t="shared" ref="O8:Q8" si="4">TEXT(J10,"#,##0")&amp;" ("&amp;TEXT(J11,"0.00")&amp;")"</f>
        <v>3,693 (21.01)</v>
      </c>
      <c r="P8" t="str">
        <f t="shared" si="4"/>
        <v>4,406 (25.08)</v>
      </c>
      <c r="Q8" t="str">
        <f t="shared" si="4"/>
        <v>3,951 (22.49)</v>
      </c>
    </row>
    <row r="9" spans="1:17" x14ac:dyDescent="0.3">
      <c r="A9" s="2"/>
      <c r="B9" s="8"/>
      <c r="C9" s="11">
        <v>44.05</v>
      </c>
      <c r="D9" s="11">
        <v>32.39</v>
      </c>
      <c r="E9" s="11">
        <v>24.66</v>
      </c>
      <c r="F9" s="11">
        <v>22.03</v>
      </c>
      <c r="G9" s="11"/>
      <c r="I9">
        <f>C13</f>
        <v>42.16</v>
      </c>
      <c r="J9">
        <f t="shared" ref="J9:L10" si="5">D13</f>
        <v>46.6</v>
      </c>
      <c r="K9">
        <f t="shared" si="5"/>
        <v>50.26</v>
      </c>
      <c r="L9">
        <f t="shared" si="5"/>
        <v>55.48</v>
      </c>
      <c r="N9" t="str">
        <f>TEXT(I12,"#,##0")&amp;" ("&amp;TEXT(I13,"0.00")&amp;")"</f>
        <v>17,559 (0.00)</v>
      </c>
      <c r="O9" t="str">
        <f t="shared" ref="O9:Q9" si="6">TEXT(J12,"#,##0")&amp;" ("&amp;TEXT(J13,"0.00")&amp;")"</f>
        <v>17,578 (0.00)</v>
      </c>
      <c r="P9" t="str">
        <f t="shared" si="6"/>
        <v>17,569 (0.00)</v>
      </c>
      <c r="Q9" t="str">
        <f t="shared" si="6"/>
        <v>17,569 (0.00)</v>
      </c>
    </row>
    <row r="10" spans="1:17" x14ac:dyDescent="0.3">
      <c r="A10" s="2"/>
      <c r="B10" s="8">
        <v>2</v>
      </c>
      <c r="C10" s="11">
        <v>7402</v>
      </c>
      <c r="D10" s="11">
        <v>8191</v>
      </c>
      <c r="E10" s="11">
        <v>8830</v>
      </c>
      <c r="F10" s="11">
        <v>9748</v>
      </c>
      <c r="G10" s="11">
        <v>34171</v>
      </c>
      <c r="I10">
        <f>C14</f>
        <v>2423</v>
      </c>
      <c r="J10">
        <f t="shared" si="5"/>
        <v>3693</v>
      </c>
      <c r="K10">
        <f t="shared" si="5"/>
        <v>4406</v>
      </c>
      <c r="L10">
        <f t="shared" si="5"/>
        <v>3951</v>
      </c>
    </row>
    <row r="11" spans="1:17" x14ac:dyDescent="0.3">
      <c r="A11" s="2"/>
      <c r="B11" s="8"/>
      <c r="C11" s="11">
        <v>10.53</v>
      </c>
      <c r="D11" s="11">
        <v>11.66</v>
      </c>
      <c r="E11" s="11">
        <v>12.56</v>
      </c>
      <c r="F11" s="11">
        <v>13.87</v>
      </c>
      <c r="G11" s="11">
        <v>48.62</v>
      </c>
      <c r="I11">
        <f>C17</f>
        <v>13.8</v>
      </c>
      <c r="J11">
        <f t="shared" ref="J11:L12" si="7">D17</f>
        <v>21.01</v>
      </c>
      <c r="K11">
        <f t="shared" si="7"/>
        <v>25.08</v>
      </c>
      <c r="L11">
        <f t="shared" si="7"/>
        <v>22.49</v>
      </c>
    </row>
    <row r="12" spans="1:17" x14ac:dyDescent="0.3">
      <c r="A12" s="2"/>
      <c r="B12" s="8"/>
      <c r="C12" s="11">
        <v>21.66</v>
      </c>
      <c r="D12" s="11">
        <v>23.97</v>
      </c>
      <c r="E12" s="11">
        <v>25.84</v>
      </c>
      <c r="F12" s="11">
        <v>28.53</v>
      </c>
      <c r="G12" s="11"/>
      <c r="I12">
        <f>C18</f>
        <v>17559</v>
      </c>
      <c r="J12">
        <f t="shared" si="7"/>
        <v>17578</v>
      </c>
      <c r="K12">
        <f t="shared" si="7"/>
        <v>17569</v>
      </c>
      <c r="L12">
        <f t="shared" si="7"/>
        <v>17569</v>
      </c>
    </row>
    <row r="13" spans="1:17" x14ac:dyDescent="0.3">
      <c r="A13" s="2"/>
      <c r="B13" s="8"/>
      <c r="C13" s="11">
        <v>42.16</v>
      </c>
      <c r="D13" s="11">
        <v>46.6</v>
      </c>
      <c r="E13" s="11">
        <v>50.26</v>
      </c>
      <c r="F13" s="11">
        <v>55.48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2423</v>
      </c>
      <c r="D14" s="11">
        <v>3693</v>
      </c>
      <c r="E14" s="11">
        <v>4406</v>
      </c>
      <c r="F14" s="11">
        <v>3951</v>
      </c>
      <c r="G14" s="11">
        <v>14473</v>
      </c>
    </row>
    <row r="15" spans="1:17" x14ac:dyDescent="0.3">
      <c r="A15" s="2"/>
      <c r="B15" s="8"/>
      <c r="C15" s="11">
        <v>3.45</v>
      </c>
      <c r="D15" s="11">
        <v>5.26</v>
      </c>
      <c r="E15" s="11">
        <v>6.27</v>
      </c>
      <c r="F15" s="11">
        <v>5.62</v>
      </c>
      <c r="G15" s="11">
        <v>20.59</v>
      </c>
    </row>
    <row r="16" spans="1:17" x14ac:dyDescent="0.3">
      <c r="A16" s="2"/>
      <c r="B16" s="8"/>
      <c r="C16" s="11">
        <v>16.739999999999998</v>
      </c>
      <c r="D16" s="11">
        <v>25.52</v>
      </c>
      <c r="E16" s="11">
        <v>30.44</v>
      </c>
      <c r="F16" s="11">
        <v>27.3</v>
      </c>
      <c r="G16" s="11"/>
    </row>
    <row r="17" spans="1:17" x14ac:dyDescent="0.3">
      <c r="A17" s="2"/>
      <c r="B17" s="8"/>
      <c r="C17" s="11">
        <v>13.8</v>
      </c>
      <c r="D17" s="11">
        <v>21.01</v>
      </c>
      <c r="E17" s="11">
        <v>25.08</v>
      </c>
      <c r="F17" s="11">
        <v>22.49</v>
      </c>
      <c r="G17" s="11"/>
    </row>
    <row r="18" spans="1:17" x14ac:dyDescent="0.3">
      <c r="A18" s="2"/>
      <c r="B18" s="8" t="s">
        <v>24</v>
      </c>
      <c r="C18" s="11">
        <v>17559</v>
      </c>
      <c r="D18" s="11">
        <v>17578</v>
      </c>
      <c r="E18" s="11">
        <v>17569</v>
      </c>
      <c r="F18" s="11">
        <v>17569</v>
      </c>
      <c r="G18" s="11">
        <v>70275</v>
      </c>
    </row>
    <row r="19" spans="1:17" x14ac:dyDescent="0.3">
      <c r="A19" s="2"/>
      <c r="B19" s="8"/>
      <c r="C19" s="11">
        <v>24.99</v>
      </c>
      <c r="D19" s="11">
        <v>25.01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59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58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5040</v>
      </c>
      <c r="D25" s="11">
        <v>7712</v>
      </c>
      <c r="E25" s="11">
        <v>9608</v>
      </c>
      <c r="F25" s="11">
        <v>11786</v>
      </c>
      <c r="G25" s="11">
        <v>34146</v>
      </c>
      <c r="I25">
        <f>C25</f>
        <v>5040</v>
      </c>
      <c r="J25">
        <f t="shared" ref="J25:L25" si="9">D25</f>
        <v>7712</v>
      </c>
      <c r="K25">
        <f t="shared" si="9"/>
        <v>9608</v>
      </c>
      <c r="L25">
        <f t="shared" si="9"/>
        <v>11786</v>
      </c>
      <c r="N25" t="str">
        <f>TEXT(I25,"#,##0")&amp;" ("&amp;TEXT(I26,"0.00")&amp;")"</f>
        <v>5,040 (28.70)</v>
      </c>
      <c r="O25" t="str">
        <f t="shared" ref="O25:Q25" si="10">TEXT(J25,"#,##0")&amp;" ("&amp;TEXT(J26,"0.00")&amp;")"</f>
        <v>7,712 (43.87)</v>
      </c>
      <c r="P25" t="str">
        <f t="shared" si="10"/>
        <v>9,608 (54.69)</v>
      </c>
      <c r="Q25" t="str">
        <f t="shared" si="10"/>
        <v>11,786 (67.08)</v>
      </c>
    </row>
    <row r="26" spans="1:17" x14ac:dyDescent="0.3">
      <c r="A26" s="2"/>
      <c r="B26" s="8"/>
      <c r="C26" s="11">
        <v>7.17</v>
      </c>
      <c r="D26" s="11">
        <v>10.97</v>
      </c>
      <c r="E26" s="11">
        <v>13.67</v>
      </c>
      <c r="F26" s="11">
        <v>16.77</v>
      </c>
      <c r="G26" s="11">
        <v>48.59</v>
      </c>
      <c r="I26">
        <f>C28</f>
        <v>28.7</v>
      </c>
      <c r="J26">
        <f t="shared" ref="J26:L27" si="11">D28</f>
        <v>43.87</v>
      </c>
      <c r="K26">
        <f t="shared" si="11"/>
        <v>54.69</v>
      </c>
      <c r="L26">
        <f t="shared" si="11"/>
        <v>67.08</v>
      </c>
      <c r="N26" t="str">
        <f>TEXT(I27,"#,##0")&amp;" ("&amp;TEXT(I28,"0.00")&amp;")"</f>
        <v>12,519 (71.30)</v>
      </c>
      <c r="O26" t="str">
        <f t="shared" ref="O26:Q26" si="12">TEXT(J27,"#,##0")&amp;" ("&amp;TEXT(J28,"0.00")&amp;")"</f>
        <v>9,866 (56.13)</v>
      </c>
      <c r="P26" t="str">
        <f t="shared" si="12"/>
        <v>7,961 (45.31)</v>
      </c>
      <c r="Q26" t="str">
        <f t="shared" si="12"/>
        <v>5,783 (32.92)</v>
      </c>
    </row>
    <row r="27" spans="1:17" x14ac:dyDescent="0.3">
      <c r="A27" s="2"/>
      <c r="B27" s="8"/>
      <c r="C27" s="11">
        <v>14.76</v>
      </c>
      <c r="D27" s="11">
        <v>22.59</v>
      </c>
      <c r="E27" s="11">
        <v>28.14</v>
      </c>
      <c r="F27" s="11">
        <v>34.520000000000003</v>
      </c>
      <c r="G27" s="11"/>
      <c r="I27">
        <f>C29</f>
        <v>12519</v>
      </c>
      <c r="J27">
        <f t="shared" si="11"/>
        <v>9866</v>
      </c>
      <c r="K27">
        <f t="shared" si="11"/>
        <v>7961</v>
      </c>
      <c r="L27">
        <f t="shared" si="11"/>
        <v>5783</v>
      </c>
      <c r="N27" t="str">
        <f>TEXT(I29,"#,##0")&amp;" ("&amp;TEXT(I30,"0.00")&amp;")"</f>
        <v>17,559 (0.00)</v>
      </c>
      <c r="O27" t="str">
        <f t="shared" ref="O27:Q27" si="13">TEXT(J29,"#,##0")&amp;" ("&amp;TEXT(J30,"0.00")&amp;")"</f>
        <v>17,578 (0.00)</v>
      </c>
      <c r="P27" t="str">
        <f t="shared" si="13"/>
        <v>17,569 (0.00)</v>
      </c>
      <c r="Q27" t="str">
        <f t="shared" si="13"/>
        <v>17,569 (0.00)</v>
      </c>
    </row>
    <row r="28" spans="1:17" x14ac:dyDescent="0.3">
      <c r="A28" s="2"/>
      <c r="B28" s="8"/>
      <c r="C28" s="11">
        <v>28.7</v>
      </c>
      <c r="D28" s="11">
        <v>43.87</v>
      </c>
      <c r="E28" s="11">
        <v>54.69</v>
      </c>
      <c r="F28" s="11">
        <v>67.08</v>
      </c>
      <c r="G28" s="11"/>
      <c r="I28">
        <f>C32</f>
        <v>71.3</v>
      </c>
      <c r="J28">
        <f t="shared" ref="J28:L29" si="14">D32</f>
        <v>56.13</v>
      </c>
      <c r="K28">
        <f t="shared" si="14"/>
        <v>45.31</v>
      </c>
      <c r="L28">
        <f t="shared" si="14"/>
        <v>32.92</v>
      </c>
      <c r="N28" t="str">
        <f>TEXT(I31,"#,##0")&amp;" ("&amp;TEXT(I32,"0.00")&amp;")"</f>
        <v>0 (14690.00)</v>
      </c>
      <c r="O28" t="str">
        <f t="shared" ref="O28:Q28" si="15">TEXT(J31,"#,##0")&amp;" ("&amp;TEXT(J32,"0.00")&amp;")"</f>
        <v>0 (14184.00)</v>
      </c>
      <c r="P28" t="str">
        <f t="shared" si="15"/>
        <v>0 (13955.00)</v>
      </c>
      <c r="Q28" t="str">
        <f t="shared" si="15"/>
        <v>0 (13661.00)</v>
      </c>
    </row>
    <row r="29" spans="1:17" x14ac:dyDescent="0.3">
      <c r="A29" s="2"/>
      <c r="B29" s="8">
        <v>2</v>
      </c>
      <c r="C29" s="11">
        <v>12519</v>
      </c>
      <c r="D29" s="11">
        <v>9866</v>
      </c>
      <c r="E29" s="11">
        <v>7961</v>
      </c>
      <c r="F29" s="11">
        <v>5783</v>
      </c>
      <c r="G29" s="11">
        <v>36129</v>
      </c>
      <c r="I29">
        <f>C33</f>
        <v>17559</v>
      </c>
      <c r="J29">
        <f t="shared" si="14"/>
        <v>17578</v>
      </c>
      <c r="K29">
        <f t="shared" si="14"/>
        <v>17569</v>
      </c>
      <c r="L29">
        <f t="shared" si="14"/>
        <v>17569</v>
      </c>
    </row>
    <row r="30" spans="1:17" x14ac:dyDescent="0.3">
      <c r="A30" s="2"/>
      <c r="B30" s="8"/>
      <c r="C30" s="11">
        <v>17.809999999999999</v>
      </c>
      <c r="D30" s="11">
        <v>14.04</v>
      </c>
      <c r="E30" s="11">
        <v>11.33</v>
      </c>
      <c r="F30" s="11">
        <v>8.23</v>
      </c>
      <c r="G30" s="11">
        <v>51.41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34.65</v>
      </c>
      <c r="D31" s="11">
        <v>27.31</v>
      </c>
      <c r="E31" s="11">
        <v>22.03</v>
      </c>
      <c r="F31" s="11">
        <v>16.010000000000002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71.3</v>
      </c>
      <c r="D32" s="11">
        <v>56.13</v>
      </c>
      <c r="E32" s="11">
        <v>45.31</v>
      </c>
      <c r="F32" s="11">
        <v>32.92</v>
      </c>
      <c r="G32" s="11"/>
      <c r="I32">
        <f>C40</f>
        <v>14690</v>
      </c>
      <c r="J32">
        <f t="shared" ref="J32:L32" si="17">D40</f>
        <v>14184</v>
      </c>
      <c r="K32">
        <f t="shared" si="17"/>
        <v>13955</v>
      </c>
      <c r="L32">
        <f t="shared" si="17"/>
        <v>13661</v>
      </c>
    </row>
    <row r="33" spans="1:17" x14ac:dyDescent="0.3">
      <c r="A33" s="2"/>
      <c r="B33" s="8" t="s">
        <v>24</v>
      </c>
      <c r="C33" s="11">
        <v>17559</v>
      </c>
      <c r="D33" s="11">
        <v>17578</v>
      </c>
      <c r="E33" s="11">
        <v>17569</v>
      </c>
      <c r="F33" s="11">
        <v>17569</v>
      </c>
      <c r="G33" s="11">
        <v>70275</v>
      </c>
    </row>
    <row r="34" spans="1:17" x14ac:dyDescent="0.3">
      <c r="A34" s="2"/>
      <c r="B34" s="8"/>
      <c r="C34" s="11">
        <v>24.99</v>
      </c>
      <c r="D34" s="11">
        <v>25.01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60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58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14690</v>
      </c>
      <c r="D40" s="11">
        <v>14184</v>
      </c>
      <c r="E40" s="11">
        <v>13955</v>
      </c>
      <c r="F40" s="11">
        <v>13661</v>
      </c>
      <c r="G40" s="11">
        <v>56490</v>
      </c>
      <c r="I40">
        <f>C40</f>
        <v>14690</v>
      </c>
      <c r="J40">
        <f t="shared" ref="J40:L40" si="18">D40</f>
        <v>14184</v>
      </c>
      <c r="K40">
        <f t="shared" si="18"/>
        <v>13955</v>
      </c>
      <c r="L40">
        <f t="shared" si="18"/>
        <v>13661</v>
      </c>
      <c r="N40" t="str">
        <f>TEXT(I40,"#,##0")&amp;" ("&amp;TEXT(I41,"0.00")&amp;")"</f>
        <v>14,690 (83.66)</v>
      </c>
      <c r="O40" t="str">
        <f t="shared" ref="O40:Q40" si="19">TEXT(J40,"#,##0")&amp;" ("&amp;TEXT(J41,"0.00")&amp;")"</f>
        <v>14,184 (80.69)</v>
      </c>
      <c r="P40" t="str">
        <f t="shared" si="19"/>
        <v>13,955 (79.43)</v>
      </c>
      <c r="Q40" t="str">
        <f t="shared" si="19"/>
        <v>13,661 (77.76)</v>
      </c>
    </row>
    <row r="41" spans="1:17" x14ac:dyDescent="0.3">
      <c r="A41" s="2"/>
      <c r="B41" s="8"/>
      <c r="C41" s="11">
        <v>20.9</v>
      </c>
      <c r="D41" s="11">
        <v>20.18</v>
      </c>
      <c r="E41" s="11">
        <v>19.86</v>
      </c>
      <c r="F41" s="11">
        <v>19.440000000000001</v>
      </c>
      <c r="G41" s="11">
        <v>80.38</v>
      </c>
      <c r="I41">
        <f>C43</f>
        <v>83.66</v>
      </c>
      <c r="J41">
        <f t="shared" ref="J41:L42" si="20">D43</f>
        <v>80.69</v>
      </c>
      <c r="K41">
        <f t="shared" si="20"/>
        <v>79.430000000000007</v>
      </c>
      <c r="L41">
        <f t="shared" si="20"/>
        <v>77.760000000000005</v>
      </c>
      <c r="N41" t="str">
        <f>TEXT(I42,"#,##0")&amp;" ("&amp;TEXT(I43,"0.00")&amp;")"</f>
        <v>2,869 (16.34)</v>
      </c>
      <c r="O41" t="str">
        <f t="shared" ref="O41:Q41" si="21">TEXT(J42,"#,##0")&amp;" ("&amp;TEXT(J43,"0.00")&amp;")"</f>
        <v>3,394 (19.31)</v>
      </c>
      <c r="P41" t="str">
        <f t="shared" si="21"/>
        <v>3,614 (20.57)</v>
      </c>
      <c r="Q41" t="str">
        <f t="shared" si="21"/>
        <v>3,908 (22.24)</v>
      </c>
    </row>
    <row r="42" spans="1:17" x14ac:dyDescent="0.3">
      <c r="A42" s="2"/>
      <c r="B42" s="8"/>
      <c r="C42" s="11">
        <v>26</v>
      </c>
      <c r="D42" s="11">
        <v>25.11</v>
      </c>
      <c r="E42" s="11">
        <v>24.7</v>
      </c>
      <c r="F42" s="11">
        <v>24.18</v>
      </c>
      <c r="G42" s="11"/>
      <c r="I42">
        <f>C44</f>
        <v>2869</v>
      </c>
      <c r="J42">
        <f t="shared" si="20"/>
        <v>3394</v>
      </c>
      <c r="K42">
        <f t="shared" si="20"/>
        <v>3614</v>
      </c>
      <c r="L42">
        <f t="shared" si="20"/>
        <v>3908</v>
      </c>
      <c r="N42" t="str">
        <f>TEXT(I44,"#,##0")&amp;" ("&amp;TEXT(I45,"0.00")&amp;")"</f>
        <v>17,559 (0.00)</v>
      </c>
      <c r="O42" t="str">
        <f t="shared" ref="O42:Q42" si="22">TEXT(J44,"#,##0")&amp;" ("&amp;TEXT(J45,"0.00")&amp;")"</f>
        <v>17,578 (0.00)</v>
      </c>
      <c r="P42" t="str">
        <f t="shared" si="22"/>
        <v>17,569 (0.00)</v>
      </c>
      <c r="Q42" t="str">
        <f t="shared" si="22"/>
        <v>17,569 (0.00)</v>
      </c>
    </row>
    <row r="43" spans="1:17" x14ac:dyDescent="0.3">
      <c r="A43" s="2"/>
      <c r="B43" s="8"/>
      <c r="C43" s="11">
        <v>83.66</v>
      </c>
      <c r="D43" s="11">
        <v>80.69</v>
      </c>
      <c r="E43" s="11">
        <v>79.430000000000007</v>
      </c>
      <c r="F43" s="11">
        <v>77.760000000000005</v>
      </c>
      <c r="G43" s="11"/>
      <c r="I43">
        <f>C47</f>
        <v>16.34</v>
      </c>
      <c r="J43">
        <f t="shared" ref="J43:L44" si="23">D47</f>
        <v>19.309999999999999</v>
      </c>
      <c r="K43">
        <f t="shared" si="23"/>
        <v>20.57</v>
      </c>
      <c r="L43">
        <f t="shared" si="23"/>
        <v>22.24</v>
      </c>
      <c r="N43" t="str">
        <f>TEXT(I46,"#,##0")&amp;" ("&amp;TEXT(I47,"0.00")&amp;")"</f>
        <v>0 (1520.00)</v>
      </c>
      <c r="O43" t="str">
        <f t="shared" ref="O43:Q43" si="24">TEXT(J46,"#,##0")&amp;" ("&amp;TEXT(J47,"0.00")&amp;")"</f>
        <v>0 (2360.00)</v>
      </c>
      <c r="P43" t="str">
        <f t="shared" si="24"/>
        <v>0 (2800.00)</v>
      </c>
      <c r="Q43" t="str">
        <f t="shared" si="24"/>
        <v>0 (2788.00)</v>
      </c>
    </row>
    <row r="44" spans="1:17" x14ac:dyDescent="0.3">
      <c r="A44" s="2"/>
      <c r="B44" s="8">
        <v>2</v>
      </c>
      <c r="C44" s="11">
        <v>2869</v>
      </c>
      <c r="D44" s="11">
        <v>3394</v>
      </c>
      <c r="E44" s="11">
        <v>3614</v>
      </c>
      <c r="F44" s="11">
        <v>3908</v>
      </c>
      <c r="G44" s="11">
        <v>13785</v>
      </c>
      <c r="I44">
        <f>C48</f>
        <v>17559</v>
      </c>
      <c r="J44">
        <f t="shared" si="23"/>
        <v>17578</v>
      </c>
      <c r="K44">
        <f t="shared" si="23"/>
        <v>17569</v>
      </c>
      <c r="L44">
        <f t="shared" si="23"/>
        <v>17569</v>
      </c>
    </row>
    <row r="45" spans="1:17" x14ac:dyDescent="0.3">
      <c r="A45" s="2"/>
      <c r="B45" s="8"/>
      <c r="C45" s="11">
        <v>4.08</v>
      </c>
      <c r="D45" s="11">
        <v>4.83</v>
      </c>
      <c r="E45" s="11">
        <v>5.14</v>
      </c>
      <c r="F45" s="11">
        <v>5.56</v>
      </c>
      <c r="G45" s="11">
        <v>19.62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20.81</v>
      </c>
      <c r="D46" s="11">
        <v>24.62</v>
      </c>
      <c r="E46" s="11">
        <v>26.22</v>
      </c>
      <c r="F46" s="11">
        <v>28.35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16.34</v>
      </c>
      <c r="D47" s="11">
        <v>19.309999999999999</v>
      </c>
      <c r="E47" s="11">
        <v>20.57</v>
      </c>
      <c r="F47" s="11">
        <v>22.24</v>
      </c>
      <c r="G47" s="11"/>
      <c r="I47">
        <f>C55</f>
        <v>1520</v>
      </c>
      <c r="J47">
        <f t="shared" ref="J47:L47" si="26">D55</f>
        <v>2360</v>
      </c>
      <c r="K47">
        <f t="shared" si="26"/>
        <v>2800</v>
      </c>
      <c r="L47">
        <f t="shared" si="26"/>
        <v>2788</v>
      </c>
    </row>
    <row r="48" spans="1:17" x14ac:dyDescent="0.3">
      <c r="A48" s="2"/>
      <c r="B48" s="8" t="s">
        <v>24</v>
      </c>
      <c r="C48" s="11">
        <v>17559</v>
      </c>
      <c r="D48" s="11">
        <v>17578</v>
      </c>
      <c r="E48" s="11">
        <v>17569</v>
      </c>
      <c r="F48" s="11">
        <v>17569</v>
      </c>
      <c r="G48" s="11">
        <v>70275</v>
      </c>
    </row>
    <row r="49" spans="1:17" x14ac:dyDescent="0.3">
      <c r="A49" s="2"/>
      <c r="B49" s="8"/>
      <c r="C49" s="11">
        <v>24.99</v>
      </c>
      <c r="D49" s="11">
        <v>25.01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61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58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1520</v>
      </c>
      <c r="D55" s="11">
        <v>2360</v>
      </c>
      <c r="E55" s="11">
        <v>2800</v>
      </c>
      <c r="F55" s="11">
        <v>2788</v>
      </c>
      <c r="G55" s="11">
        <v>9468</v>
      </c>
      <c r="I55">
        <f>C55</f>
        <v>1520</v>
      </c>
      <c r="J55">
        <f t="shared" ref="J55:L55" si="27">D55</f>
        <v>2360</v>
      </c>
      <c r="K55">
        <f t="shared" si="27"/>
        <v>2800</v>
      </c>
      <c r="L55">
        <f t="shared" si="27"/>
        <v>2788</v>
      </c>
      <c r="N55" t="str">
        <f>TEXT(I55,"#,##0")&amp;" ("&amp;TEXT(I56,"0.00")&amp;")"</f>
        <v>1,520 (8.66)</v>
      </c>
      <c r="O55" t="str">
        <f t="shared" ref="O55:Q55" si="28">TEXT(J55,"#,##0")&amp;" ("&amp;TEXT(J56,"0.00")&amp;")"</f>
        <v>2,360 (13.43)</v>
      </c>
      <c r="P55" t="str">
        <f t="shared" si="28"/>
        <v>2,800 (15.94)</v>
      </c>
      <c r="Q55" t="str">
        <f t="shared" si="28"/>
        <v>2,788 (15.87)</v>
      </c>
    </row>
    <row r="56" spans="1:17" x14ac:dyDescent="0.3">
      <c r="A56" s="2"/>
      <c r="B56" s="8"/>
      <c r="C56" s="11">
        <v>2.16</v>
      </c>
      <c r="D56" s="11">
        <v>3.36</v>
      </c>
      <c r="E56" s="11">
        <v>3.98</v>
      </c>
      <c r="F56" s="11">
        <v>3.97</v>
      </c>
      <c r="G56" s="11">
        <v>13.47</v>
      </c>
      <c r="I56">
        <f>C58</f>
        <v>8.66</v>
      </c>
      <c r="J56">
        <f t="shared" ref="J56:L57" si="29">D58</f>
        <v>13.43</v>
      </c>
      <c r="K56">
        <f t="shared" si="29"/>
        <v>15.94</v>
      </c>
      <c r="L56">
        <f t="shared" si="29"/>
        <v>15.87</v>
      </c>
      <c r="N56" t="str">
        <f>TEXT(I57,"#,##0")&amp;" ("&amp;TEXT(I58,"0.00")&amp;")"</f>
        <v>1,461 (8.32)</v>
      </c>
      <c r="O56" t="str">
        <f t="shared" ref="O56:Q56" si="30">TEXT(J57,"#,##0")&amp;" ("&amp;TEXT(J58,"0.00")&amp;")"</f>
        <v>1,909 (10.86)</v>
      </c>
      <c r="P56" t="str">
        <f t="shared" si="30"/>
        <v>2,399 (13.65)</v>
      </c>
      <c r="Q56" t="str">
        <f t="shared" si="30"/>
        <v>2,400 (13.66)</v>
      </c>
    </row>
    <row r="57" spans="1:17" x14ac:dyDescent="0.3">
      <c r="A57" s="2"/>
      <c r="B57" s="8"/>
      <c r="C57" s="11">
        <v>16.05</v>
      </c>
      <c r="D57" s="11">
        <v>24.93</v>
      </c>
      <c r="E57" s="11">
        <v>29.57</v>
      </c>
      <c r="F57" s="11">
        <v>29.45</v>
      </c>
      <c r="G57" s="11"/>
      <c r="I57">
        <f>C59</f>
        <v>1461</v>
      </c>
      <c r="J57">
        <f t="shared" si="29"/>
        <v>1909</v>
      </c>
      <c r="K57">
        <f t="shared" si="29"/>
        <v>2399</v>
      </c>
      <c r="L57">
        <f t="shared" si="29"/>
        <v>2400</v>
      </c>
      <c r="N57" t="str">
        <f>TEXT(I59,"#,##0")&amp;" ("&amp;TEXT(I60,"0.00")&amp;")"</f>
        <v>4,203 (23.94)</v>
      </c>
      <c r="O57" t="str">
        <f t="shared" ref="O57:Q57" si="31">TEXT(J59,"#,##0")&amp;" ("&amp;TEXT(J60,"0.00")&amp;")"</f>
        <v>4,561 (25.95)</v>
      </c>
      <c r="P57" t="str">
        <f t="shared" si="31"/>
        <v>4,612 (26.25)</v>
      </c>
      <c r="Q57" t="str">
        <f t="shared" si="31"/>
        <v>4,781 (27.21)</v>
      </c>
    </row>
    <row r="58" spans="1:17" x14ac:dyDescent="0.3">
      <c r="A58" s="2"/>
      <c r="B58" s="8"/>
      <c r="C58" s="11">
        <v>8.66</v>
      </c>
      <c r="D58" s="11">
        <v>13.43</v>
      </c>
      <c r="E58" s="11">
        <v>15.94</v>
      </c>
      <c r="F58" s="11">
        <v>15.87</v>
      </c>
      <c r="G58" s="11"/>
      <c r="I58">
        <f>C62</f>
        <v>8.32</v>
      </c>
      <c r="J58">
        <f t="shared" ref="J58:L59" si="32">D62</f>
        <v>10.86</v>
      </c>
      <c r="K58">
        <f t="shared" si="32"/>
        <v>13.65</v>
      </c>
      <c r="L58">
        <f t="shared" si="32"/>
        <v>13.66</v>
      </c>
      <c r="N58" t="str">
        <f>TEXT(I61,"#,##0")&amp;" ("&amp;TEXT(I62,"0.00")&amp;")"</f>
        <v>10,375 (59.09)</v>
      </c>
      <c r="O58" t="str">
        <f t="shared" ref="O58:Q58" si="33">TEXT(J61,"#,##0")&amp;" ("&amp;TEXT(J62,"0.00")&amp;")"</f>
        <v>8,748 (49.77)</v>
      </c>
      <c r="P58" t="str">
        <f t="shared" si="33"/>
        <v>7,758 (44.16)</v>
      </c>
      <c r="Q58" t="str">
        <f t="shared" si="33"/>
        <v>7,600 (43.26)</v>
      </c>
    </row>
    <row r="59" spans="1:17" x14ac:dyDescent="0.3">
      <c r="A59" s="2"/>
      <c r="B59" s="8">
        <v>2</v>
      </c>
      <c r="C59" s="11">
        <v>1461</v>
      </c>
      <c r="D59" s="11">
        <v>1909</v>
      </c>
      <c r="E59" s="11">
        <v>2399</v>
      </c>
      <c r="F59" s="11">
        <v>2400</v>
      </c>
      <c r="G59" s="11">
        <v>8169</v>
      </c>
      <c r="I59">
        <f>C63</f>
        <v>4203</v>
      </c>
      <c r="J59">
        <f t="shared" si="32"/>
        <v>4561</v>
      </c>
      <c r="K59">
        <f t="shared" si="32"/>
        <v>4612</v>
      </c>
      <c r="L59">
        <f t="shared" si="32"/>
        <v>4781</v>
      </c>
    </row>
    <row r="60" spans="1:17" x14ac:dyDescent="0.3">
      <c r="A60" s="2"/>
      <c r="B60" s="8"/>
      <c r="C60" s="11">
        <v>2.08</v>
      </c>
      <c r="D60" s="11">
        <v>2.72</v>
      </c>
      <c r="E60" s="11">
        <v>3.41</v>
      </c>
      <c r="F60" s="11">
        <v>3.42</v>
      </c>
      <c r="G60" s="11">
        <v>11.62</v>
      </c>
      <c r="I60">
        <f>C66</f>
        <v>23.94</v>
      </c>
      <c r="J60">
        <f t="shared" ref="J60:L61" si="34">D66</f>
        <v>25.95</v>
      </c>
      <c r="K60">
        <f t="shared" si="34"/>
        <v>26.25</v>
      </c>
      <c r="L60">
        <f t="shared" si="34"/>
        <v>27.21</v>
      </c>
    </row>
    <row r="61" spans="1:17" x14ac:dyDescent="0.3">
      <c r="A61" s="2"/>
      <c r="B61" s="8"/>
      <c r="C61" s="11">
        <v>17.88</v>
      </c>
      <c r="D61" s="11">
        <v>23.37</v>
      </c>
      <c r="E61" s="11">
        <v>29.37</v>
      </c>
      <c r="F61" s="11">
        <v>29.38</v>
      </c>
      <c r="G61" s="11"/>
      <c r="I61">
        <f>C67</f>
        <v>10375</v>
      </c>
      <c r="J61">
        <f t="shared" si="34"/>
        <v>8748</v>
      </c>
      <c r="K61">
        <f t="shared" si="34"/>
        <v>7758</v>
      </c>
      <c r="L61">
        <f t="shared" si="34"/>
        <v>7600</v>
      </c>
    </row>
    <row r="62" spans="1:17" x14ac:dyDescent="0.3">
      <c r="A62" s="2"/>
      <c r="B62" s="8"/>
      <c r="C62" s="11">
        <v>8.32</v>
      </c>
      <c r="D62" s="11">
        <v>10.86</v>
      </c>
      <c r="E62" s="11">
        <v>13.65</v>
      </c>
      <c r="F62" s="11">
        <v>13.66</v>
      </c>
      <c r="G62" s="11"/>
      <c r="I62">
        <f>C70</f>
        <v>59.09</v>
      </c>
      <c r="J62">
        <f t="shared" ref="J62:L62" si="35">D70</f>
        <v>49.77</v>
      </c>
      <c r="K62">
        <f t="shared" si="35"/>
        <v>44.16</v>
      </c>
      <c r="L62">
        <f t="shared" si="35"/>
        <v>43.26</v>
      </c>
    </row>
    <row r="63" spans="1:17" x14ac:dyDescent="0.3">
      <c r="A63" s="2"/>
      <c r="B63" s="8">
        <v>3</v>
      </c>
      <c r="C63" s="11">
        <v>4203</v>
      </c>
      <c r="D63" s="11">
        <v>4561</v>
      </c>
      <c r="E63" s="11">
        <v>4612</v>
      </c>
      <c r="F63" s="11">
        <v>4781</v>
      </c>
      <c r="G63" s="11">
        <v>18157</v>
      </c>
    </row>
    <row r="64" spans="1:17" x14ac:dyDescent="0.3">
      <c r="A64" s="2"/>
      <c r="B64" s="8"/>
      <c r="C64" s="11">
        <v>5.98</v>
      </c>
      <c r="D64" s="11">
        <v>6.49</v>
      </c>
      <c r="E64" s="11">
        <v>6.56</v>
      </c>
      <c r="F64" s="11">
        <v>6.8</v>
      </c>
      <c r="G64" s="11">
        <v>25.84</v>
      </c>
    </row>
    <row r="65" spans="1:17" x14ac:dyDescent="0.3">
      <c r="A65" s="2"/>
      <c r="B65" s="8"/>
      <c r="C65" s="11">
        <v>23.15</v>
      </c>
      <c r="D65" s="11">
        <v>25.12</v>
      </c>
      <c r="E65" s="11">
        <v>25.4</v>
      </c>
      <c r="F65" s="11">
        <v>26.33</v>
      </c>
      <c r="G65" s="11"/>
    </row>
    <row r="66" spans="1:17" x14ac:dyDescent="0.3">
      <c r="A66" s="2"/>
      <c r="B66" s="8"/>
      <c r="C66" s="11">
        <v>23.94</v>
      </c>
      <c r="D66" s="11">
        <v>25.95</v>
      </c>
      <c r="E66" s="11">
        <v>26.25</v>
      </c>
      <c r="F66" s="11">
        <v>27.21</v>
      </c>
      <c r="G66" s="11"/>
    </row>
    <row r="67" spans="1:17" x14ac:dyDescent="0.3">
      <c r="A67" s="2"/>
      <c r="B67" s="8">
        <v>4</v>
      </c>
      <c r="C67" s="11">
        <v>10375</v>
      </c>
      <c r="D67" s="11">
        <v>8748</v>
      </c>
      <c r="E67" s="11">
        <v>7758</v>
      </c>
      <c r="F67" s="11">
        <v>7600</v>
      </c>
      <c r="G67" s="11">
        <v>34481</v>
      </c>
    </row>
    <row r="68" spans="1:17" x14ac:dyDescent="0.3">
      <c r="A68" s="2"/>
      <c r="B68" s="8"/>
      <c r="C68" s="11">
        <v>14.76</v>
      </c>
      <c r="D68" s="11">
        <v>12.45</v>
      </c>
      <c r="E68" s="11">
        <v>11.04</v>
      </c>
      <c r="F68" s="11">
        <v>10.81</v>
      </c>
      <c r="G68" s="11">
        <v>49.07</v>
      </c>
    </row>
    <row r="69" spans="1:17" x14ac:dyDescent="0.3">
      <c r="A69" s="2"/>
      <c r="B69" s="8"/>
      <c r="C69" s="11">
        <v>30.09</v>
      </c>
      <c r="D69" s="11">
        <v>25.37</v>
      </c>
      <c r="E69" s="11">
        <v>22.5</v>
      </c>
      <c r="F69" s="11">
        <v>22.04</v>
      </c>
      <c r="G69" s="11"/>
    </row>
    <row r="70" spans="1:17" x14ac:dyDescent="0.3">
      <c r="A70" s="2"/>
      <c r="B70" s="8"/>
      <c r="C70" s="11">
        <v>59.09</v>
      </c>
      <c r="D70" s="11">
        <v>49.77</v>
      </c>
      <c r="E70" s="11">
        <v>44.16</v>
      </c>
      <c r="F70" s="11">
        <v>43.26</v>
      </c>
      <c r="G70" s="11"/>
    </row>
    <row r="71" spans="1:17" x14ac:dyDescent="0.3">
      <c r="A71" s="2"/>
      <c r="B71" s="8" t="s">
        <v>24</v>
      </c>
      <c r="C71" s="11">
        <v>17559</v>
      </c>
      <c r="D71" s="11">
        <v>17578</v>
      </c>
      <c r="E71" s="11">
        <v>17569</v>
      </c>
      <c r="F71" s="11">
        <v>17569</v>
      </c>
      <c r="G71" s="11">
        <v>70275</v>
      </c>
    </row>
    <row r="72" spans="1:17" x14ac:dyDescent="0.3">
      <c r="A72" s="2"/>
      <c r="B72" s="8"/>
      <c r="C72" s="11">
        <v>24.99</v>
      </c>
      <c r="D72" s="11">
        <v>25.01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62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58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2205</v>
      </c>
      <c r="D78" s="11">
        <v>2849</v>
      </c>
      <c r="E78" s="11">
        <v>3298</v>
      </c>
      <c r="F78" s="11">
        <v>3290</v>
      </c>
      <c r="G78" s="11">
        <v>11642</v>
      </c>
      <c r="I78">
        <f>C78</f>
        <v>2205</v>
      </c>
      <c r="J78">
        <f t="shared" ref="J78:L78" si="36">D78</f>
        <v>2849</v>
      </c>
      <c r="K78">
        <f t="shared" si="36"/>
        <v>3298</v>
      </c>
      <c r="L78">
        <f t="shared" si="36"/>
        <v>3290</v>
      </c>
      <c r="N78" t="str">
        <f>TEXT(I78,"#,##0")&amp;" ("&amp;TEXT(I79,"0.00")&amp;")"</f>
        <v>2,205 (12.56)</v>
      </c>
      <c r="O78" t="str">
        <f t="shared" ref="O78:Q78" si="37">TEXT(J78,"#,##0")&amp;" ("&amp;TEXT(J79,"0.00")&amp;")"</f>
        <v>2,849 (16.21)</v>
      </c>
      <c r="P78" t="str">
        <f t="shared" si="37"/>
        <v>3,298 (18.77)</v>
      </c>
      <c r="Q78" t="str">
        <f t="shared" si="37"/>
        <v>3,290 (18.73)</v>
      </c>
    </row>
    <row r="79" spans="1:17" x14ac:dyDescent="0.3">
      <c r="A79" s="2"/>
      <c r="B79" s="8"/>
      <c r="C79" s="11">
        <v>3.14</v>
      </c>
      <c r="D79" s="11">
        <v>4.05</v>
      </c>
      <c r="E79" s="11">
        <v>4.6900000000000004</v>
      </c>
      <c r="F79" s="11">
        <v>4.68</v>
      </c>
      <c r="G79" s="11">
        <v>16.57</v>
      </c>
      <c r="I79">
        <f>C81</f>
        <v>12.56</v>
      </c>
      <c r="J79">
        <f t="shared" ref="J79:L80" si="38">D81</f>
        <v>16.21</v>
      </c>
      <c r="K79">
        <f t="shared" si="38"/>
        <v>18.77</v>
      </c>
      <c r="L79">
        <f t="shared" si="38"/>
        <v>18.73</v>
      </c>
      <c r="N79" t="str">
        <f>TEXT(I80,"#,##0")&amp;" ("&amp;TEXT(I81,"0.00")&amp;")"</f>
        <v>4,076 (23.21)</v>
      </c>
      <c r="O79" t="str">
        <f t="shared" ref="O79:Q79" si="39">TEXT(J80,"#,##0")&amp;" ("&amp;TEXT(J81,"0.00")&amp;")"</f>
        <v>4,274 (24.31)</v>
      </c>
      <c r="P79" t="str">
        <f t="shared" si="39"/>
        <v>4,483 (25.52)</v>
      </c>
      <c r="Q79" t="str">
        <f t="shared" si="39"/>
        <v>4,474 (25.47)</v>
      </c>
    </row>
    <row r="80" spans="1:17" x14ac:dyDescent="0.3">
      <c r="A80" s="2"/>
      <c r="B80" s="8"/>
      <c r="C80" s="11">
        <v>18.940000000000001</v>
      </c>
      <c r="D80" s="11">
        <v>24.47</v>
      </c>
      <c r="E80" s="11">
        <v>28.33</v>
      </c>
      <c r="F80" s="11">
        <v>28.26</v>
      </c>
      <c r="G80" s="11"/>
      <c r="I80">
        <f>C82</f>
        <v>4076</v>
      </c>
      <c r="J80">
        <f t="shared" si="38"/>
        <v>4274</v>
      </c>
      <c r="K80">
        <f t="shared" si="38"/>
        <v>4483</v>
      </c>
      <c r="L80">
        <f t="shared" si="38"/>
        <v>4474</v>
      </c>
      <c r="N80" t="str">
        <f>TEXT(I82,"#,##0")&amp;" ("&amp;TEXT(I83,"0.00")&amp;")"</f>
        <v>5,223 (29.75)</v>
      </c>
      <c r="O80" t="str">
        <f t="shared" ref="O80:Q80" si="40">TEXT(J82,"#,##0")&amp;" ("&amp;TEXT(J83,"0.00")&amp;")"</f>
        <v>5,134 (29.21)</v>
      </c>
      <c r="P80" t="str">
        <f t="shared" si="40"/>
        <v>4,805 (27.35)</v>
      </c>
      <c r="Q80" t="str">
        <f t="shared" si="40"/>
        <v>4,833 (27.51)</v>
      </c>
    </row>
    <row r="81" spans="1:17" x14ac:dyDescent="0.3">
      <c r="A81" s="2"/>
      <c r="B81" s="8"/>
      <c r="C81" s="11">
        <v>12.56</v>
      </c>
      <c r="D81" s="11">
        <v>16.21</v>
      </c>
      <c r="E81" s="11">
        <v>18.77</v>
      </c>
      <c r="F81" s="11">
        <v>18.73</v>
      </c>
      <c r="G81" s="11"/>
      <c r="I81">
        <f>C85</f>
        <v>23.21</v>
      </c>
      <c r="J81">
        <f t="shared" ref="J81:L82" si="41">D85</f>
        <v>24.31</v>
      </c>
      <c r="K81">
        <f t="shared" si="41"/>
        <v>25.52</v>
      </c>
      <c r="L81">
        <f t="shared" si="41"/>
        <v>25.47</v>
      </c>
      <c r="N81" t="str">
        <f>TEXT(I84,"#,##0")&amp;" ("&amp;TEXT(I85,"0.00")&amp;")"</f>
        <v>6,055 (34.48)</v>
      </c>
      <c r="O81" t="str">
        <f t="shared" ref="O81:Q81" si="42">TEXT(J84,"#,##0")&amp;" ("&amp;TEXT(J85,"0.00")&amp;")"</f>
        <v>5,321 (30.27)</v>
      </c>
      <c r="P81" t="str">
        <f t="shared" si="42"/>
        <v>4,983 (28.36)</v>
      </c>
      <c r="Q81" t="str">
        <f t="shared" si="42"/>
        <v>4,972 (28.30)</v>
      </c>
    </row>
    <row r="82" spans="1:17" x14ac:dyDescent="0.3">
      <c r="A82" s="2"/>
      <c r="B82" s="8">
        <v>2</v>
      </c>
      <c r="C82" s="11">
        <v>4076</v>
      </c>
      <c r="D82" s="11">
        <v>4274</v>
      </c>
      <c r="E82" s="11">
        <v>4483</v>
      </c>
      <c r="F82" s="11">
        <v>4474</v>
      </c>
      <c r="G82" s="11">
        <v>17307</v>
      </c>
      <c r="I82">
        <f>C86</f>
        <v>5223</v>
      </c>
      <c r="J82">
        <f t="shared" si="41"/>
        <v>5134</v>
      </c>
      <c r="K82">
        <f t="shared" si="41"/>
        <v>4805</v>
      </c>
      <c r="L82">
        <f t="shared" si="41"/>
        <v>4833</v>
      </c>
    </row>
    <row r="83" spans="1:17" x14ac:dyDescent="0.3">
      <c r="A83" s="2"/>
      <c r="B83" s="8"/>
      <c r="C83" s="11">
        <v>5.8</v>
      </c>
      <c r="D83" s="11">
        <v>6.08</v>
      </c>
      <c r="E83" s="11">
        <v>6.38</v>
      </c>
      <c r="F83" s="11">
        <v>6.37</v>
      </c>
      <c r="G83" s="11">
        <v>24.63</v>
      </c>
      <c r="I83">
        <f>C89</f>
        <v>29.75</v>
      </c>
      <c r="J83">
        <f t="shared" ref="J83:L84" si="43">D89</f>
        <v>29.21</v>
      </c>
      <c r="K83">
        <f t="shared" si="43"/>
        <v>27.35</v>
      </c>
      <c r="L83">
        <f t="shared" si="43"/>
        <v>27.51</v>
      </c>
    </row>
    <row r="84" spans="1:17" x14ac:dyDescent="0.3">
      <c r="A84" s="2"/>
      <c r="B84" s="8"/>
      <c r="C84" s="11">
        <v>23.55</v>
      </c>
      <c r="D84" s="11">
        <v>24.7</v>
      </c>
      <c r="E84" s="11">
        <v>25.9</v>
      </c>
      <c r="F84" s="11">
        <v>25.85</v>
      </c>
      <c r="G84" s="11"/>
      <c r="I84">
        <f>C90</f>
        <v>6055</v>
      </c>
      <c r="J84">
        <f t="shared" si="43"/>
        <v>5321</v>
      </c>
      <c r="K84">
        <f t="shared" si="43"/>
        <v>4983</v>
      </c>
      <c r="L84">
        <f t="shared" si="43"/>
        <v>4972</v>
      </c>
    </row>
    <row r="85" spans="1:17" x14ac:dyDescent="0.3">
      <c r="A85" s="2"/>
      <c r="B85" s="8"/>
      <c r="C85" s="11">
        <v>23.21</v>
      </c>
      <c r="D85" s="11">
        <v>24.31</v>
      </c>
      <c r="E85" s="11">
        <v>25.52</v>
      </c>
      <c r="F85" s="11">
        <v>25.47</v>
      </c>
      <c r="G85" s="11"/>
      <c r="I85">
        <f>C93</f>
        <v>34.479999999999997</v>
      </c>
      <c r="J85">
        <f t="shared" ref="J85:L85" si="44">D93</f>
        <v>30.27</v>
      </c>
      <c r="K85">
        <f t="shared" si="44"/>
        <v>28.36</v>
      </c>
      <c r="L85">
        <f t="shared" si="44"/>
        <v>28.3</v>
      </c>
    </row>
    <row r="86" spans="1:17" x14ac:dyDescent="0.3">
      <c r="A86" s="2"/>
      <c r="B86" s="8">
        <v>3</v>
      </c>
      <c r="C86" s="11">
        <v>5223</v>
      </c>
      <c r="D86" s="11">
        <v>5134</v>
      </c>
      <c r="E86" s="11">
        <v>4805</v>
      </c>
      <c r="F86" s="11">
        <v>4833</v>
      </c>
      <c r="G86" s="11">
        <v>19995</v>
      </c>
    </row>
    <row r="87" spans="1:17" x14ac:dyDescent="0.3">
      <c r="A87" s="2"/>
      <c r="B87" s="8"/>
      <c r="C87" s="11">
        <v>7.43</v>
      </c>
      <c r="D87" s="11">
        <v>7.31</v>
      </c>
      <c r="E87" s="11">
        <v>6.84</v>
      </c>
      <c r="F87" s="11">
        <v>6.88</v>
      </c>
      <c r="G87" s="11">
        <v>28.45</v>
      </c>
    </row>
    <row r="88" spans="1:17" x14ac:dyDescent="0.3">
      <c r="A88" s="2"/>
      <c r="B88" s="8"/>
      <c r="C88" s="11">
        <v>26.12</v>
      </c>
      <c r="D88" s="11">
        <v>25.68</v>
      </c>
      <c r="E88" s="11">
        <v>24.03</v>
      </c>
      <c r="F88" s="11">
        <v>24.17</v>
      </c>
      <c r="G88" s="11"/>
    </row>
    <row r="89" spans="1:17" x14ac:dyDescent="0.3">
      <c r="A89" s="2"/>
      <c r="B89" s="8"/>
      <c r="C89" s="11">
        <v>29.75</v>
      </c>
      <c r="D89" s="11">
        <v>29.21</v>
      </c>
      <c r="E89" s="11">
        <v>27.35</v>
      </c>
      <c r="F89" s="11">
        <v>27.51</v>
      </c>
      <c r="G89" s="11"/>
    </row>
    <row r="90" spans="1:17" x14ac:dyDescent="0.3">
      <c r="A90" s="2"/>
      <c r="B90" s="8">
        <v>4</v>
      </c>
      <c r="C90" s="11">
        <v>6055</v>
      </c>
      <c r="D90" s="11">
        <v>5321</v>
      </c>
      <c r="E90" s="11">
        <v>4983</v>
      </c>
      <c r="F90" s="11">
        <v>4972</v>
      </c>
      <c r="G90" s="11">
        <v>21331</v>
      </c>
    </row>
    <row r="91" spans="1:17" x14ac:dyDescent="0.3">
      <c r="A91" s="2"/>
      <c r="B91" s="8"/>
      <c r="C91" s="11">
        <v>8.6199999999999992</v>
      </c>
      <c r="D91" s="11">
        <v>7.57</v>
      </c>
      <c r="E91" s="11">
        <v>7.09</v>
      </c>
      <c r="F91" s="11">
        <v>7.08</v>
      </c>
      <c r="G91" s="11">
        <v>30.35</v>
      </c>
    </row>
    <row r="92" spans="1:17" x14ac:dyDescent="0.3">
      <c r="A92" s="2"/>
      <c r="B92" s="8"/>
      <c r="C92" s="11">
        <v>28.39</v>
      </c>
      <c r="D92" s="11">
        <v>24.94</v>
      </c>
      <c r="E92" s="11">
        <v>23.36</v>
      </c>
      <c r="F92" s="11">
        <v>23.31</v>
      </c>
      <c r="G92" s="11"/>
    </row>
    <row r="93" spans="1:17" x14ac:dyDescent="0.3">
      <c r="A93" s="2"/>
      <c r="B93" s="8"/>
      <c r="C93" s="11">
        <v>34.479999999999997</v>
      </c>
      <c r="D93" s="11">
        <v>30.27</v>
      </c>
      <c r="E93" s="11">
        <v>28.36</v>
      </c>
      <c r="F93" s="11">
        <v>28.3</v>
      </c>
      <c r="G93" s="11"/>
    </row>
    <row r="94" spans="1:17" x14ac:dyDescent="0.3">
      <c r="A94" s="2"/>
      <c r="B94" s="8" t="s">
        <v>24</v>
      </c>
      <c r="C94" s="11">
        <v>17559</v>
      </c>
      <c r="D94" s="11">
        <v>17578</v>
      </c>
      <c r="E94" s="11">
        <v>17569</v>
      </c>
      <c r="F94" s="11">
        <v>17569</v>
      </c>
      <c r="G94" s="11">
        <v>70275</v>
      </c>
    </row>
    <row r="95" spans="1:17" x14ac:dyDescent="0.3">
      <c r="A95" s="2"/>
      <c r="B95" s="8"/>
      <c r="C95" s="11">
        <v>24.99</v>
      </c>
      <c r="D95" s="11">
        <v>25.01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63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58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1598</v>
      </c>
      <c r="D101" s="11">
        <v>800</v>
      </c>
      <c r="E101" s="11">
        <v>307</v>
      </c>
      <c r="F101" s="11">
        <v>130</v>
      </c>
      <c r="G101" s="11">
        <v>2835</v>
      </c>
      <c r="I101">
        <f>C101</f>
        <v>1598</v>
      </c>
      <c r="J101">
        <f t="shared" ref="J101:L101" si="45">D101</f>
        <v>800</v>
      </c>
      <c r="K101">
        <f t="shared" si="45"/>
        <v>307</v>
      </c>
      <c r="L101">
        <f t="shared" si="45"/>
        <v>130</v>
      </c>
      <c r="N101" t="str">
        <f>TEXT(I101,"#,##0")&amp;" ("&amp;TEXT(I102,"0.00")&amp;")"</f>
        <v>1,598 (9.10)</v>
      </c>
      <c r="O101" t="str">
        <f t="shared" ref="O101:Q101" si="46">TEXT(J101,"#,##0")&amp;" ("&amp;TEXT(J102,"0.00")&amp;")"</f>
        <v>800 (4.55)</v>
      </c>
      <c r="P101" t="str">
        <f t="shared" si="46"/>
        <v>307 (1.75)</v>
      </c>
      <c r="Q101" t="str">
        <f t="shared" si="46"/>
        <v>130 (0.74)</v>
      </c>
    </row>
    <row r="102" spans="1:17" x14ac:dyDescent="0.3">
      <c r="A102" s="2"/>
      <c r="B102" s="8"/>
      <c r="C102" s="11">
        <v>2.27</v>
      </c>
      <c r="D102" s="11">
        <v>1.1399999999999999</v>
      </c>
      <c r="E102" s="11">
        <v>0.44</v>
      </c>
      <c r="F102" s="11">
        <v>0.18</v>
      </c>
      <c r="G102" s="11">
        <v>4.03</v>
      </c>
      <c r="I102">
        <f>C104</f>
        <v>9.1</v>
      </c>
      <c r="J102">
        <f t="shared" ref="J102:L103" si="47">D104</f>
        <v>4.55</v>
      </c>
      <c r="K102">
        <f t="shared" si="47"/>
        <v>1.75</v>
      </c>
      <c r="L102">
        <f t="shared" si="47"/>
        <v>0.74</v>
      </c>
      <c r="N102" t="str">
        <f>TEXT(I103,"#,##0")&amp;" ("&amp;TEXT(I104,"0.00")&amp;")"</f>
        <v>9,976 (56.81)</v>
      </c>
      <c r="O102" t="str">
        <f t="shared" ref="O102:Q102" si="48">TEXT(J103,"#,##0")&amp;" ("&amp;TEXT(J104,"0.00")&amp;")"</f>
        <v>7,712 (43.87)</v>
      </c>
      <c r="P102" t="str">
        <f t="shared" si="48"/>
        <v>5,584 (31.78)</v>
      </c>
      <c r="Q102" t="str">
        <f t="shared" si="48"/>
        <v>3,739 (21.28)</v>
      </c>
    </row>
    <row r="103" spans="1:17" x14ac:dyDescent="0.3">
      <c r="A103" s="2"/>
      <c r="B103" s="8"/>
      <c r="C103" s="11">
        <v>56.37</v>
      </c>
      <c r="D103" s="11">
        <v>28.22</v>
      </c>
      <c r="E103" s="11">
        <v>10.83</v>
      </c>
      <c r="F103" s="11">
        <v>4.59</v>
      </c>
      <c r="G103" s="11"/>
      <c r="I103">
        <f>C105</f>
        <v>9976</v>
      </c>
      <c r="J103">
        <f t="shared" si="47"/>
        <v>7712</v>
      </c>
      <c r="K103">
        <f t="shared" si="47"/>
        <v>5584</v>
      </c>
      <c r="L103">
        <f t="shared" si="47"/>
        <v>3739</v>
      </c>
      <c r="N103" t="str">
        <f>TEXT(I105,"#,##0")&amp;" ("&amp;TEXT(I106,"0.00")&amp;")"</f>
        <v>3,311 (18.86)</v>
      </c>
      <c r="O103" t="str">
        <f t="shared" ref="O103:Q103" si="49">TEXT(J105,"#,##0")&amp;" ("&amp;TEXT(J106,"0.00")&amp;")"</f>
        <v>4,160 (23.67)</v>
      </c>
      <c r="P103" t="str">
        <f t="shared" si="49"/>
        <v>4,700 (26.75)</v>
      </c>
      <c r="Q103" t="str">
        <f t="shared" si="49"/>
        <v>4,474 (25.47)</v>
      </c>
    </row>
    <row r="104" spans="1:17" x14ac:dyDescent="0.3">
      <c r="A104" s="2"/>
      <c r="B104" s="8"/>
      <c r="C104" s="11">
        <v>9.1</v>
      </c>
      <c r="D104" s="11">
        <v>4.55</v>
      </c>
      <c r="E104" s="11">
        <v>1.75</v>
      </c>
      <c r="F104" s="11">
        <v>0.74</v>
      </c>
      <c r="G104" s="11"/>
      <c r="I104">
        <f>C108</f>
        <v>56.81</v>
      </c>
      <c r="J104">
        <f t="shared" ref="J104:L105" si="50">D108</f>
        <v>43.87</v>
      </c>
      <c r="K104">
        <f t="shared" si="50"/>
        <v>31.78</v>
      </c>
      <c r="L104">
        <f t="shared" si="50"/>
        <v>21.28</v>
      </c>
      <c r="N104" t="str">
        <f>TEXT(I107,"#,##0")&amp;" ("&amp;TEXT(I108,"0.00")&amp;")"</f>
        <v>2,674 (15.23)</v>
      </c>
      <c r="O104" t="str">
        <f t="shared" ref="O104:Q104" si="51">TEXT(J107,"#,##0")&amp;" ("&amp;TEXT(J108,"0.00")&amp;")"</f>
        <v>4,906 (27.91)</v>
      </c>
      <c r="P104" t="str">
        <f t="shared" si="51"/>
        <v>6,978 (39.72)</v>
      </c>
      <c r="Q104" t="str">
        <f t="shared" si="51"/>
        <v>9,226 (52.51)</v>
      </c>
    </row>
    <row r="105" spans="1:17" x14ac:dyDescent="0.3">
      <c r="A105" s="2"/>
      <c r="B105" s="8">
        <v>2</v>
      </c>
      <c r="C105" s="11">
        <v>9976</v>
      </c>
      <c r="D105" s="11">
        <v>7712</v>
      </c>
      <c r="E105" s="11">
        <v>5584</v>
      </c>
      <c r="F105" s="11">
        <v>3739</v>
      </c>
      <c r="G105" s="11">
        <v>27011</v>
      </c>
      <c r="I105">
        <f>C109</f>
        <v>3311</v>
      </c>
      <c r="J105">
        <f t="shared" si="50"/>
        <v>4160</v>
      </c>
      <c r="K105">
        <f t="shared" si="50"/>
        <v>4700</v>
      </c>
      <c r="L105">
        <f t="shared" si="50"/>
        <v>4474</v>
      </c>
    </row>
    <row r="106" spans="1:17" x14ac:dyDescent="0.3">
      <c r="A106" s="2"/>
      <c r="B106" s="8"/>
      <c r="C106" s="11">
        <v>14.2</v>
      </c>
      <c r="D106" s="11">
        <v>10.97</v>
      </c>
      <c r="E106" s="11">
        <v>7.95</v>
      </c>
      <c r="F106" s="11">
        <v>5.32</v>
      </c>
      <c r="G106" s="11">
        <v>38.44</v>
      </c>
      <c r="I106">
        <f>C112</f>
        <v>18.86</v>
      </c>
      <c r="J106">
        <f t="shared" ref="J106:L107" si="52">D112</f>
        <v>23.67</v>
      </c>
      <c r="K106">
        <f t="shared" si="52"/>
        <v>26.75</v>
      </c>
      <c r="L106">
        <f t="shared" si="52"/>
        <v>25.47</v>
      </c>
    </row>
    <row r="107" spans="1:17" x14ac:dyDescent="0.3">
      <c r="A107" s="2"/>
      <c r="B107" s="8"/>
      <c r="C107" s="11">
        <v>36.93</v>
      </c>
      <c r="D107" s="11">
        <v>28.55</v>
      </c>
      <c r="E107" s="11">
        <v>20.67</v>
      </c>
      <c r="F107" s="11">
        <v>13.84</v>
      </c>
      <c r="G107" s="11"/>
      <c r="I107">
        <f>C113</f>
        <v>2674</v>
      </c>
      <c r="J107">
        <f t="shared" si="52"/>
        <v>4906</v>
      </c>
      <c r="K107">
        <f t="shared" si="52"/>
        <v>6978</v>
      </c>
      <c r="L107">
        <f t="shared" si="52"/>
        <v>9226</v>
      </c>
    </row>
    <row r="108" spans="1:17" x14ac:dyDescent="0.3">
      <c r="A108" s="2"/>
      <c r="B108" s="8"/>
      <c r="C108" s="11">
        <v>56.81</v>
      </c>
      <c r="D108" s="11">
        <v>43.87</v>
      </c>
      <c r="E108" s="11">
        <v>31.78</v>
      </c>
      <c r="F108" s="11">
        <v>21.28</v>
      </c>
      <c r="G108" s="11"/>
      <c r="I108">
        <f>C116</f>
        <v>15.23</v>
      </c>
      <c r="J108">
        <f t="shared" ref="J108:L108" si="53">D116</f>
        <v>27.91</v>
      </c>
      <c r="K108">
        <f t="shared" si="53"/>
        <v>39.72</v>
      </c>
      <c r="L108">
        <f t="shared" si="53"/>
        <v>52.51</v>
      </c>
    </row>
    <row r="109" spans="1:17" x14ac:dyDescent="0.3">
      <c r="A109" s="2"/>
      <c r="B109" s="8">
        <v>3</v>
      </c>
      <c r="C109" s="11">
        <v>3311</v>
      </c>
      <c r="D109" s="11">
        <v>4160</v>
      </c>
      <c r="E109" s="11">
        <v>4700</v>
      </c>
      <c r="F109" s="11">
        <v>4474</v>
      </c>
      <c r="G109" s="11">
        <v>16645</v>
      </c>
    </row>
    <row r="110" spans="1:17" x14ac:dyDescent="0.3">
      <c r="A110" s="2"/>
      <c r="B110" s="8"/>
      <c r="C110" s="11">
        <v>4.71</v>
      </c>
      <c r="D110" s="11">
        <v>5.92</v>
      </c>
      <c r="E110" s="11">
        <v>6.69</v>
      </c>
      <c r="F110" s="11">
        <v>6.37</v>
      </c>
      <c r="G110" s="11">
        <v>23.69</v>
      </c>
    </row>
    <row r="111" spans="1:17" x14ac:dyDescent="0.3">
      <c r="A111" s="2"/>
      <c r="B111" s="8"/>
      <c r="C111" s="11">
        <v>19.89</v>
      </c>
      <c r="D111" s="11">
        <v>24.99</v>
      </c>
      <c r="E111" s="11">
        <v>28.24</v>
      </c>
      <c r="F111" s="11">
        <v>26.88</v>
      </c>
      <c r="G111" s="11"/>
    </row>
    <row r="112" spans="1:17" x14ac:dyDescent="0.3">
      <c r="A112" s="2"/>
      <c r="B112" s="8"/>
      <c r="C112" s="11">
        <v>18.86</v>
      </c>
      <c r="D112" s="11">
        <v>23.67</v>
      </c>
      <c r="E112" s="11">
        <v>26.75</v>
      </c>
      <c r="F112" s="11">
        <v>25.47</v>
      </c>
      <c r="G112" s="11"/>
    </row>
    <row r="113" spans="1:17" x14ac:dyDescent="0.3">
      <c r="A113" s="2"/>
      <c r="B113" s="8">
        <v>4</v>
      </c>
      <c r="C113" s="11">
        <v>2674</v>
      </c>
      <c r="D113" s="11">
        <v>4906</v>
      </c>
      <c r="E113" s="11">
        <v>6978</v>
      </c>
      <c r="F113" s="11">
        <v>9226</v>
      </c>
      <c r="G113" s="11">
        <v>23784</v>
      </c>
    </row>
    <row r="114" spans="1:17" x14ac:dyDescent="0.3">
      <c r="A114" s="2"/>
      <c r="B114" s="8"/>
      <c r="C114" s="11">
        <v>3.81</v>
      </c>
      <c r="D114" s="11">
        <v>6.98</v>
      </c>
      <c r="E114" s="11">
        <v>9.93</v>
      </c>
      <c r="F114" s="11">
        <v>13.13</v>
      </c>
      <c r="G114" s="11">
        <v>33.840000000000003</v>
      </c>
    </row>
    <row r="115" spans="1:17" x14ac:dyDescent="0.3">
      <c r="A115" s="2"/>
      <c r="B115" s="8"/>
      <c r="C115" s="11">
        <v>11.24</v>
      </c>
      <c r="D115" s="11">
        <v>20.63</v>
      </c>
      <c r="E115" s="11">
        <v>29.34</v>
      </c>
      <c r="F115" s="11">
        <v>38.79</v>
      </c>
      <c r="G115" s="11"/>
    </row>
    <row r="116" spans="1:17" x14ac:dyDescent="0.3">
      <c r="A116" s="2"/>
      <c r="B116" s="8"/>
      <c r="C116" s="11">
        <v>15.23</v>
      </c>
      <c r="D116" s="11">
        <v>27.91</v>
      </c>
      <c r="E116" s="11">
        <v>39.72</v>
      </c>
      <c r="F116" s="11">
        <v>52.51</v>
      </c>
      <c r="G116" s="11"/>
    </row>
    <row r="117" spans="1:17" x14ac:dyDescent="0.3">
      <c r="A117" s="2"/>
      <c r="B117" s="8" t="s">
        <v>24</v>
      </c>
      <c r="C117" s="11">
        <v>17559</v>
      </c>
      <c r="D117" s="11">
        <v>17578</v>
      </c>
      <c r="E117" s="11">
        <v>17569</v>
      </c>
      <c r="F117" s="11">
        <v>17569</v>
      </c>
      <c r="G117" s="11">
        <v>70275</v>
      </c>
    </row>
    <row r="118" spans="1:17" x14ac:dyDescent="0.3">
      <c r="A118" s="2"/>
      <c r="B118" s="8"/>
      <c r="C118" s="11">
        <v>24.99</v>
      </c>
      <c r="D118" s="11">
        <v>25.01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64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58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13102</v>
      </c>
      <c r="D124" s="11">
        <v>14329</v>
      </c>
      <c r="E124" s="11">
        <v>15234</v>
      </c>
      <c r="F124" s="11">
        <v>15449</v>
      </c>
      <c r="G124" s="11">
        <v>58114</v>
      </c>
      <c r="I124">
        <f>C124</f>
        <v>13102</v>
      </c>
      <c r="J124">
        <f t="shared" ref="J124:L124" si="54">D124</f>
        <v>14329</v>
      </c>
      <c r="K124">
        <f t="shared" si="54"/>
        <v>15234</v>
      </c>
      <c r="L124">
        <f t="shared" si="54"/>
        <v>15449</v>
      </c>
      <c r="N124" t="str">
        <f>TEXT(I124,"#,##0")&amp;" ("&amp;TEXT(I125,"0.00")&amp;")"</f>
        <v>13,102 (74.62)</v>
      </c>
      <c r="O124" t="str">
        <f t="shared" ref="O124:Q124" si="55">TEXT(J124,"#,##0")&amp;" ("&amp;TEXT(J125,"0.00")&amp;")"</f>
        <v>14,329 (81.52)</v>
      </c>
      <c r="P124" t="str">
        <f t="shared" si="55"/>
        <v>15,234 (86.71)</v>
      </c>
      <c r="Q124" t="str">
        <f t="shared" si="55"/>
        <v>15,449 (87.93)</v>
      </c>
    </row>
    <row r="125" spans="1:17" x14ac:dyDescent="0.3">
      <c r="A125" s="2"/>
      <c r="B125" s="8"/>
      <c r="C125" s="11">
        <v>18.64</v>
      </c>
      <c r="D125" s="11">
        <v>20.39</v>
      </c>
      <c r="E125" s="11">
        <v>21.68</v>
      </c>
      <c r="F125" s="11">
        <v>21.98</v>
      </c>
      <c r="G125" s="11">
        <v>82.7</v>
      </c>
      <c r="I125">
        <f>C127</f>
        <v>74.62</v>
      </c>
      <c r="J125">
        <f t="shared" ref="J125:L126" si="56">D127</f>
        <v>81.52</v>
      </c>
      <c r="K125">
        <f t="shared" si="56"/>
        <v>86.71</v>
      </c>
      <c r="L125">
        <f t="shared" si="56"/>
        <v>87.93</v>
      </c>
      <c r="N125" t="str">
        <f>TEXT(I126,"#,##0")&amp;" ("&amp;TEXT(I127,"0.00")&amp;")"</f>
        <v>4,457 (25.38)</v>
      </c>
      <c r="O125" t="str">
        <f t="shared" ref="O125:Q125" si="57">TEXT(J126,"#,##0")&amp;" ("&amp;TEXT(J127,"0.00")&amp;")"</f>
        <v>3,249 (18.48)</v>
      </c>
      <c r="P125" t="str">
        <f t="shared" si="57"/>
        <v>2,335 (13.29)</v>
      </c>
      <c r="Q125" t="str">
        <f t="shared" si="57"/>
        <v>2,120 (12.07)</v>
      </c>
    </row>
    <row r="126" spans="1:17" x14ac:dyDescent="0.3">
      <c r="A126" s="2"/>
      <c r="B126" s="8"/>
      <c r="C126" s="11">
        <v>22.55</v>
      </c>
      <c r="D126" s="11">
        <v>24.66</v>
      </c>
      <c r="E126" s="11">
        <v>26.21</v>
      </c>
      <c r="F126" s="11">
        <v>26.58</v>
      </c>
      <c r="G126" s="11"/>
      <c r="I126">
        <f>C128</f>
        <v>4457</v>
      </c>
      <c r="J126">
        <f t="shared" si="56"/>
        <v>3249</v>
      </c>
      <c r="K126">
        <f t="shared" si="56"/>
        <v>2335</v>
      </c>
      <c r="L126">
        <f t="shared" si="56"/>
        <v>2120</v>
      </c>
      <c r="N126" t="str">
        <f>TEXT(I128,"#,##0")&amp;" ("&amp;TEXT(I129,"0.00")&amp;")"</f>
        <v>17,559 (0.00)</v>
      </c>
      <c r="O126" t="str">
        <f t="shared" ref="O126:Q126" si="58">TEXT(J128,"#,##0")&amp;" ("&amp;TEXT(J129,"0.00")&amp;")"</f>
        <v>17,578 (0.00)</v>
      </c>
      <c r="P126" t="str">
        <f t="shared" si="58"/>
        <v>17,569 (0.00)</v>
      </c>
      <c r="Q126" t="str">
        <f t="shared" si="58"/>
        <v>17,569 (0.00)</v>
      </c>
    </row>
    <row r="127" spans="1:17" x14ac:dyDescent="0.3">
      <c r="A127" s="2"/>
      <c r="B127" s="8"/>
      <c r="C127" s="11">
        <v>74.62</v>
      </c>
      <c r="D127" s="11">
        <v>81.52</v>
      </c>
      <c r="E127" s="11">
        <v>86.71</v>
      </c>
      <c r="F127" s="11">
        <v>87.93</v>
      </c>
      <c r="G127" s="11"/>
      <c r="I127">
        <f>C131</f>
        <v>25.38</v>
      </c>
      <c r="J127">
        <f t="shared" ref="J127:L128" si="59">D131</f>
        <v>18.48</v>
      </c>
      <c r="K127">
        <f t="shared" si="59"/>
        <v>13.29</v>
      </c>
      <c r="L127">
        <f t="shared" si="59"/>
        <v>12.07</v>
      </c>
      <c r="N127" t="str">
        <f>TEXT(I130,"#,##0")&amp;" ("&amp;TEXT(I131,"0.00")&amp;")"</f>
        <v>0 (6730.00)</v>
      </c>
      <c r="O127" t="str">
        <f t="shared" ref="O127:Q127" si="60">TEXT(J130,"#,##0")&amp;" ("&amp;TEXT(J131,"0.00")&amp;")"</f>
        <v>0 (5960.00)</v>
      </c>
      <c r="P127" t="str">
        <f t="shared" si="60"/>
        <v>0 (5540.00)</v>
      </c>
      <c r="Q127" t="str">
        <f t="shared" si="60"/>
        <v>0 (5185.00)</v>
      </c>
    </row>
    <row r="128" spans="1:17" x14ac:dyDescent="0.3">
      <c r="A128" s="2"/>
      <c r="B128" s="8">
        <v>2</v>
      </c>
      <c r="C128" s="11">
        <v>4457</v>
      </c>
      <c r="D128" s="11">
        <v>3249</v>
      </c>
      <c r="E128" s="11">
        <v>2335</v>
      </c>
      <c r="F128" s="11">
        <v>2120</v>
      </c>
      <c r="G128" s="11">
        <v>12161</v>
      </c>
      <c r="I128">
        <f>C132</f>
        <v>17559</v>
      </c>
      <c r="J128">
        <f t="shared" si="59"/>
        <v>17578</v>
      </c>
      <c r="K128">
        <f t="shared" si="59"/>
        <v>17569</v>
      </c>
      <c r="L128">
        <f t="shared" si="59"/>
        <v>17569</v>
      </c>
    </row>
    <row r="129" spans="1:17" x14ac:dyDescent="0.3">
      <c r="A129" s="2"/>
      <c r="B129" s="8"/>
      <c r="C129" s="11">
        <v>6.34</v>
      </c>
      <c r="D129" s="11">
        <v>4.62</v>
      </c>
      <c r="E129" s="11">
        <v>3.32</v>
      </c>
      <c r="F129" s="11">
        <v>3.02</v>
      </c>
      <c r="G129" s="11">
        <v>17.3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36.65</v>
      </c>
      <c r="D130" s="11">
        <v>26.72</v>
      </c>
      <c r="E130" s="11">
        <v>19.2</v>
      </c>
      <c r="F130" s="11">
        <v>17.43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25.38</v>
      </c>
      <c r="D131" s="11">
        <v>18.48</v>
      </c>
      <c r="E131" s="11">
        <v>13.29</v>
      </c>
      <c r="F131" s="11">
        <v>12.07</v>
      </c>
      <c r="G131" s="11"/>
      <c r="I131">
        <f>C139</f>
        <v>6730</v>
      </c>
      <c r="J131">
        <f t="shared" ref="J131:L131" si="62">D139</f>
        <v>5960</v>
      </c>
      <c r="K131">
        <f t="shared" si="62"/>
        <v>5540</v>
      </c>
      <c r="L131">
        <f t="shared" si="62"/>
        <v>5185</v>
      </c>
    </row>
    <row r="132" spans="1:17" x14ac:dyDescent="0.3">
      <c r="A132" s="2"/>
      <c r="B132" s="8" t="s">
        <v>24</v>
      </c>
      <c r="C132" s="11">
        <v>17559</v>
      </c>
      <c r="D132" s="11">
        <v>17578</v>
      </c>
      <c r="E132" s="11">
        <v>17569</v>
      </c>
      <c r="F132" s="11">
        <v>17569</v>
      </c>
      <c r="G132" s="11">
        <v>70275</v>
      </c>
    </row>
    <row r="133" spans="1:17" x14ac:dyDescent="0.3">
      <c r="A133" s="2"/>
      <c r="B133" s="8"/>
      <c r="C133" s="11">
        <v>24.99</v>
      </c>
      <c r="D133" s="11">
        <v>25.01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65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58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6730</v>
      </c>
      <c r="D139" s="11">
        <v>5960</v>
      </c>
      <c r="E139" s="11">
        <v>5540</v>
      </c>
      <c r="F139" s="11">
        <v>5185</v>
      </c>
      <c r="G139" s="11">
        <v>23415</v>
      </c>
      <c r="I139">
        <f>C139</f>
        <v>6730</v>
      </c>
      <c r="J139">
        <f t="shared" ref="J139:L139" si="63">D139</f>
        <v>5960</v>
      </c>
      <c r="K139">
        <f t="shared" si="63"/>
        <v>5540</v>
      </c>
      <c r="L139">
        <f t="shared" si="63"/>
        <v>5185</v>
      </c>
      <c r="N139" t="str">
        <f>TEXT(I139,"#,##0")&amp;" ("&amp;TEXT(I140,"0.00")&amp;")"</f>
        <v>6,730 (38.33)</v>
      </c>
      <c r="O139" t="str">
        <f t="shared" ref="O139:Q139" si="64">TEXT(J139,"#,##0")&amp;" ("&amp;TEXT(J140,"0.00")&amp;")"</f>
        <v>5,960 (33.91)</v>
      </c>
      <c r="P139" t="str">
        <f t="shared" si="64"/>
        <v>5,540 (31.53)</v>
      </c>
      <c r="Q139" t="str">
        <f t="shared" si="64"/>
        <v>5,185 (29.51)</v>
      </c>
    </row>
    <row r="140" spans="1:17" x14ac:dyDescent="0.3">
      <c r="A140" s="2"/>
      <c r="B140" s="8"/>
      <c r="C140" s="11">
        <v>9.58</v>
      </c>
      <c r="D140" s="11">
        <v>8.48</v>
      </c>
      <c r="E140" s="11">
        <v>7.88</v>
      </c>
      <c r="F140" s="11">
        <v>7.38</v>
      </c>
      <c r="G140" s="11">
        <v>33.32</v>
      </c>
      <c r="I140">
        <f>C142</f>
        <v>38.33</v>
      </c>
      <c r="J140">
        <f t="shared" ref="J140:L141" si="65">D142</f>
        <v>33.909999999999997</v>
      </c>
      <c r="K140">
        <f t="shared" si="65"/>
        <v>31.53</v>
      </c>
      <c r="L140">
        <f t="shared" si="65"/>
        <v>29.51</v>
      </c>
      <c r="N140" t="str">
        <f>TEXT(I141,"#,##0")&amp;" ("&amp;TEXT(I142,"0.00")&amp;")"</f>
        <v>8,263 (47.06)</v>
      </c>
      <c r="O140" t="str">
        <f t="shared" ref="O140:Q140" si="66">TEXT(J141,"#,##0")&amp;" ("&amp;TEXT(J142,"0.00")&amp;")"</f>
        <v>8,540 (48.58)</v>
      </c>
      <c r="P140" t="str">
        <f t="shared" si="66"/>
        <v>8,529 (48.55)</v>
      </c>
      <c r="Q140" t="str">
        <f t="shared" si="66"/>
        <v>8,634 (49.14)</v>
      </c>
    </row>
    <row r="141" spans="1:17" x14ac:dyDescent="0.3">
      <c r="A141" s="2"/>
      <c r="B141" s="8"/>
      <c r="C141" s="11">
        <v>28.74</v>
      </c>
      <c r="D141" s="11">
        <v>25.45</v>
      </c>
      <c r="E141" s="11">
        <v>23.66</v>
      </c>
      <c r="F141" s="11">
        <v>22.14</v>
      </c>
      <c r="G141" s="11"/>
      <c r="I141">
        <f>C143</f>
        <v>8263</v>
      </c>
      <c r="J141">
        <f t="shared" si="65"/>
        <v>8540</v>
      </c>
      <c r="K141">
        <f t="shared" si="65"/>
        <v>8529</v>
      </c>
      <c r="L141">
        <f t="shared" si="65"/>
        <v>8634</v>
      </c>
      <c r="N141" t="str">
        <f>TEXT(I143,"#,##0")&amp;" ("&amp;TEXT(I144,"0.00")&amp;")"</f>
        <v>2,566 (14.61)</v>
      </c>
      <c r="O141" t="str">
        <f t="shared" ref="O141:Q141" si="67">TEXT(J143,"#,##0")&amp;" ("&amp;TEXT(J144,"0.00")&amp;")"</f>
        <v>3,078 (17.51)</v>
      </c>
      <c r="P141" t="str">
        <f t="shared" si="67"/>
        <v>3,500 (19.92)</v>
      </c>
      <c r="Q141" t="str">
        <f t="shared" si="67"/>
        <v>3,750 (21.34)</v>
      </c>
    </row>
    <row r="142" spans="1:17" x14ac:dyDescent="0.3">
      <c r="A142" s="2"/>
      <c r="B142" s="8"/>
      <c r="C142" s="11">
        <v>38.33</v>
      </c>
      <c r="D142" s="11">
        <v>33.909999999999997</v>
      </c>
      <c r="E142" s="11">
        <v>31.53</v>
      </c>
      <c r="F142" s="11">
        <v>29.51</v>
      </c>
      <c r="G142" s="11"/>
      <c r="I142">
        <f>C146</f>
        <v>47.06</v>
      </c>
      <c r="J142">
        <f t="shared" ref="J142:L143" si="68">D146</f>
        <v>48.58</v>
      </c>
      <c r="K142">
        <f t="shared" si="68"/>
        <v>48.55</v>
      </c>
      <c r="L142">
        <f t="shared" si="68"/>
        <v>49.14</v>
      </c>
      <c r="N142" t="str">
        <f>TEXT(I145,"#,##0")&amp;" ("&amp;TEXT(I146,"0.00")&amp;")"</f>
        <v>17,559 (0.00)</v>
      </c>
      <c r="O142" t="str">
        <f t="shared" ref="O142:Q142" si="69">TEXT(J145,"#,##0")&amp;" ("&amp;TEXT(J146,"0.00")&amp;")"</f>
        <v>17,578 (0.00)</v>
      </c>
      <c r="P142" t="str">
        <f t="shared" si="69"/>
        <v>17,569 (0.00)</v>
      </c>
      <c r="Q142" t="str">
        <f t="shared" si="69"/>
        <v>17,569 (0.00)</v>
      </c>
    </row>
    <row r="143" spans="1:17" x14ac:dyDescent="0.3">
      <c r="A143" s="2"/>
      <c r="B143" s="8">
        <v>2</v>
      </c>
      <c r="C143" s="11">
        <v>8263</v>
      </c>
      <c r="D143" s="11">
        <v>8540</v>
      </c>
      <c r="E143" s="11">
        <v>8529</v>
      </c>
      <c r="F143" s="11">
        <v>8634</v>
      </c>
      <c r="G143" s="11">
        <v>33966</v>
      </c>
      <c r="I143">
        <f>C147</f>
        <v>2566</v>
      </c>
      <c r="J143">
        <f t="shared" si="68"/>
        <v>3078</v>
      </c>
      <c r="K143">
        <f t="shared" si="68"/>
        <v>3500</v>
      </c>
      <c r="L143">
        <f t="shared" si="68"/>
        <v>3750</v>
      </c>
    </row>
    <row r="144" spans="1:17" x14ac:dyDescent="0.3">
      <c r="A144" s="2"/>
      <c r="B144" s="8"/>
      <c r="C144" s="11">
        <v>11.76</v>
      </c>
      <c r="D144" s="11">
        <v>12.15</v>
      </c>
      <c r="E144" s="11">
        <v>12.14</v>
      </c>
      <c r="F144" s="11">
        <v>12.29</v>
      </c>
      <c r="G144" s="11">
        <v>48.33</v>
      </c>
      <c r="I144">
        <f>C150</f>
        <v>14.61</v>
      </c>
      <c r="J144">
        <f t="shared" ref="J144:L145" si="70">D150</f>
        <v>17.510000000000002</v>
      </c>
      <c r="K144">
        <f t="shared" si="70"/>
        <v>19.920000000000002</v>
      </c>
      <c r="L144">
        <f t="shared" si="70"/>
        <v>21.34</v>
      </c>
    </row>
    <row r="145" spans="1:17" x14ac:dyDescent="0.3">
      <c r="A145" s="2"/>
      <c r="B145" s="8"/>
      <c r="C145" s="11">
        <v>24.33</v>
      </c>
      <c r="D145" s="11">
        <v>25.14</v>
      </c>
      <c r="E145" s="11">
        <v>25.11</v>
      </c>
      <c r="F145" s="11">
        <v>25.42</v>
      </c>
      <c r="G145" s="11"/>
      <c r="I145">
        <f>C151</f>
        <v>17559</v>
      </c>
      <c r="J145">
        <f t="shared" si="70"/>
        <v>17578</v>
      </c>
      <c r="K145">
        <f t="shared" si="70"/>
        <v>17569</v>
      </c>
      <c r="L145">
        <f t="shared" si="70"/>
        <v>17569</v>
      </c>
    </row>
    <row r="146" spans="1:17" x14ac:dyDescent="0.3">
      <c r="A146" s="2"/>
      <c r="B146" s="8"/>
      <c r="C146" s="11">
        <v>47.06</v>
      </c>
      <c r="D146" s="11">
        <v>48.58</v>
      </c>
      <c r="E146" s="11">
        <v>48.55</v>
      </c>
      <c r="F146" s="11">
        <v>49.14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2566</v>
      </c>
      <c r="D147" s="11">
        <v>3078</v>
      </c>
      <c r="E147" s="11">
        <v>3500</v>
      </c>
      <c r="F147" s="11">
        <v>3750</v>
      </c>
      <c r="G147" s="11">
        <v>12894</v>
      </c>
    </row>
    <row r="148" spans="1:17" x14ac:dyDescent="0.3">
      <c r="A148" s="2"/>
      <c r="B148" s="8"/>
      <c r="C148" s="11">
        <v>3.65</v>
      </c>
      <c r="D148" s="11">
        <v>4.38</v>
      </c>
      <c r="E148" s="11">
        <v>4.9800000000000004</v>
      </c>
      <c r="F148" s="11">
        <v>5.34</v>
      </c>
      <c r="G148" s="11">
        <v>18.350000000000001</v>
      </c>
    </row>
    <row r="149" spans="1:17" x14ac:dyDescent="0.3">
      <c r="A149" s="2"/>
      <c r="B149" s="8"/>
      <c r="C149" s="11">
        <v>19.899999999999999</v>
      </c>
      <c r="D149" s="11">
        <v>23.87</v>
      </c>
      <c r="E149" s="11">
        <v>27.14</v>
      </c>
      <c r="F149" s="11">
        <v>29.08</v>
      </c>
      <c r="G149" s="11"/>
    </row>
    <row r="150" spans="1:17" x14ac:dyDescent="0.3">
      <c r="A150" s="2"/>
      <c r="B150" s="8"/>
      <c r="C150" s="11">
        <v>14.61</v>
      </c>
      <c r="D150" s="11">
        <v>17.510000000000002</v>
      </c>
      <c r="E150" s="11">
        <v>19.920000000000002</v>
      </c>
      <c r="F150" s="11">
        <v>21.34</v>
      </c>
      <c r="G150" s="11"/>
    </row>
    <row r="151" spans="1:17" x14ac:dyDescent="0.3">
      <c r="A151" s="2"/>
      <c r="B151" s="8" t="s">
        <v>24</v>
      </c>
      <c r="C151" s="11">
        <v>17559</v>
      </c>
      <c r="D151" s="11">
        <v>17578</v>
      </c>
      <c r="E151" s="11">
        <v>17569</v>
      </c>
      <c r="F151" s="11">
        <v>17569</v>
      </c>
      <c r="G151" s="11">
        <v>70275</v>
      </c>
    </row>
    <row r="152" spans="1:17" x14ac:dyDescent="0.3">
      <c r="A152" s="2"/>
      <c r="B152" s="8"/>
      <c r="C152" s="11">
        <v>24.99</v>
      </c>
      <c r="D152" s="11">
        <v>25.01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66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58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4789</v>
      </c>
      <c r="D158" s="11">
        <v>4615</v>
      </c>
      <c r="E158" s="11">
        <v>4568</v>
      </c>
      <c r="F158" s="11">
        <v>4769</v>
      </c>
      <c r="G158" s="11">
        <v>18741</v>
      </c>
      <c r="I158">
        <f>C158</f>
        <v>4789</v>
      </c>
      <c r="J158">
        <f t="shared" ref="J158:L158" si="72">D158</f>
        <v>4615</v>
      </c>
      <c r="K158">
        <f t="shared" si="72"/>
        <v>4568</v>
      </c>
      <c r="L158">
        <f t="shared" si="72"/>
        <v>4769</v>
      </c>
      <c r="N158" t="str">
        <f>TEXT(I158,"#,##0")&amp;" ("&amp;TEXT(I159,"0.00")&amp;")"</f>
        <v>4,789 (27.27)</v>
      </c>
      <c r="O158" t="str">
        <f t="shared" ref="O158:Q158" si="73">TEXT(J158,"#,##0")&amp;" ("&amp;TEXT(J159,"0.00")&amp;")"</f>
        <v>4,615 (26.25)</v>
      </c>
      <c r="P158" t="str">
        <f t="shared" si="73"/>
        <v>4,568 (26.00)</v>
      </c>
      <c r="Q158" t="str">
        <f t="shared" si="73"/>
        <v>4,769 (27.14)</v>
      </c>
    </row>
    <row r="159" spans="1:17" x14ac:dyDescent="0.3">
      <c r="A159" s="2"/>
      <c r="B159" s="8"/>
      <c r="C159" s="11">
        <v>6.81</v>
      </c>
      <c r="D159" s="11">
        <v>6.57</v>
      </c>
      <c r="E159" s="11">
        <v>6.5</v>
      </c>
      <c r="F159" s="11">
        <v>6.79</v>
      </c>
      <c r="G159" s="11">
        <v>26.67</v>
      </c>
      <c r="I159">
        <f>C161</f>
        <v>27.27</v>
      </c>
      <c r="J159">
        <f t="shared" ref="J159:L160" si="74">D161</f>
        <v>26.25</v>
      </c>
      <c r="K159">
        <f t="shared" si="74"/>
        <v>26</v>
      </c>
      <c r="L159">
        <f t="shared" si="74"/>
        <v>27.14</v>
      </c>
      <c r="N159" t="str">
        <f>TEXT(I160,"#,##0")&amp;" ("&amp;TEXT(I161,"0.00")&amp;")"</f>
        <v>10,313 (58.73)</v>
      </c>
      <c r="O159" t="str">
        <f t="shared" ref="O159:Q159" si="75">TEXT(J160,"#,##0")&amp;" ("&amp;TEXT(J161,"0.00")&amp;")"</f>
        <v>10,267 (58.41)</v>
      </c>
      <c r="P159" t="str">
        <f t="shared" si="75"/>
        <v>9,976 (56.78)</v>
      </c>
      <c r="Q159" t="str">
        <f t="shared" si="75"/>
        <v>9,877 (56.22)</v>
      </c>
    </row>
    <row r="160" spans="1:17" x14ac:dyDescent="0.3">
      <c r="A160" s="2"/>
      <c r="B160" s="8"/>
      <c r="C160" s="11">
        <v>25.55</v>
      </c>
      <c r="D160" s="11">
        <v>24.63</v>
      </c>
      <c r="E160" s="11">
        <v>24.37</v>
      </c>
      <c r="F160" s="11">
        <v>25.45</v>
      </c>
      <c r="G160" s="11"/>
      <c r="I160">
        <f>C162</f>
        <v>10313</v>
      </c>
      <c r="J160">
        <f t="shared" si="74"/>
        <v>10267</v>
      </c>
      <c r="K160">
        <f t="shared" si="74"/>
        <v>9976</v>
      </c>
      <c r="L160">
        <f t="shared" si="74"/>
        <v>9877</v>
      </c>
      <c r="N160" t="str">
        <f>TEXT(I162,"#,##0")&amp;" ("&amp;TEXT(I163,"0.00")&amp;")"</f>
        <v>2,457 (13.99)</v>
      </c>
      <c r="O160" t="str">
        <f t="shared" ref="O160:Q160" si="76">TEXT(J162,"#,##0")&amp;" ("&amp;TEXT(J163,"0.00")&amp;")"</f>
        <v>2,696 (15.34)</v>
      </c>
      <c r="P160" t="str">
        <f t="shared" si="76"/>
        <v>3,025 (17.22)</v>
      </c>
      <c r="Q160" t="str">
        <f t="shared" si="76"/>
        <v>2,923 (16.64)</v>
      </c>
    </row>
    <row r="161" spans="1:17" x14ac:dyDescent="0.3">
      <c r="A161" s="2"/>
      <c r="B161" s="8"/>
      <c r="C161" s="11">
        <v>27.27</v>
      </c>
      <c r="D161" s="11">
        <v>26.25</v>
      </c>
      <c r="E161" s="11">
        <v>26</v>
      </c>
      <c r="F161" s="11">
        <v>27.14</v>
      </c>
      <c r="G161" s="11"/>
      <c r="I161">
        <f>C165</f>
        <v>58.73</v>
      </c>
      <c r="J161">
        <f t="shared" ref="J161:L162" si="77">D165</f>
        <v>58.41</v>
      </c>
      <c r="K161">
        <f t="shared" si="77"/>
        <v>56.78</v>
      </c>
      <c r="L161">
        <f t="shared" si="77"/>
        <v>56.22</v>
      </c>
      <c r="N161" t="str">
        <f>TEXT(I164,"#,##0")&amp;" ("&amp;TEXT(I165,"0.00")&amp;")"</f>
        <v>17,559 (0.00)</v>
      </c>
      <c r="O161" t="str">
        <f t="shared" ref="O161:Q161" si="78">TEXT(J164,"#,##0")&amp;" ("&amp;TEXT(J165,"0.00")&amp;")"</f>
        <v>17,578 (0.00)</v>
      </c>
      <c r="P161" t="str">
        <f t="shared" si="78"/>
        <v>17,569 (0.00)</v>
      </c>
      <c r="Q161" t="str">
        <f t="shared" si="78"/>
        <v>17,569 (0.00)</v>
      </c>
    </row>
    <row r="162" spans="1:17" x14ac:dyDescent="0.3">
      <c r="A162" s="2"/>
      <c r="B162" s="8">
        <v>2</v>
      </c>
      <c r="C162" s="11">
        <v>10313</v>
      </c>
      <c r="D162" s="11">
        <v>10267</v>
      </c>
      <c r="E162" s="11">
        <v>9976</v>
      </c>
      <c r="F162" s="11">
        <v>9877</v>
      </c>
      <c r="G162" s="11">
        <v>40433</v>
      </c>
      <c r="I162">
        <f>C166</f>
        <v>2457</v>
      </c>
      <c r="J162">
        <f t="shared" si="77"/>
        <v>2696</v>
      </c>
      <c r="K162">
        <f t="shared" si="77"/>
        <v>3025</v>
      </c>
      <c r="L162">
        <f t="shared" si="77"/>
        <v>2923</v>
      </c>
    </row>
    <row r="163" spans="1:17" x14ac:dyDescent="0.3">
      <c r="A163" s="2"/>
      <c r="B163" s="8"/>
      <c r="C163" s="11">
        <v>14.68</v>
      </c>
      <c r="D163" s="11">
        <v>14.61</v>
      </c>
      <c r="E163" s="11">
        <v>14.2</v>
      </c>
      <c r="F163" s="11">
        <v>14.05</v>
      </c>
      <c r="G163" s="11">
        <v>57.54</v>
      </c>
      <c r="I163">
        <f>C169</f>
        <v>13.99</v>
      </c>
      <c r="J163">
        <f t="shared" ref="J163:L164" si="79">D169</f>
        <v>15.34</v>
      </c>
      <c r="K163">
        <f t="shared" si="79"/>
        <v>17.22</v>
      </c>
      <c r="L163">
        <f t="shared" si="79"/>
        <v>16.64</v>
      </c>
    </row>
    <row r="164" spans="1:17" x14ac:dyDescent="0.3">
      <c r="A164" s="2"/>
      <c r="B164" s="8"/>
      <c r="C164" s="11">
        <v>25.51</v>
      </c>
      <c r="D164" s="11">
        <v>25.39</v>
      </c>
      <c r="E164" s="11">
        <v>24.67</v>
      </c>
      <c r="F164" s="11">
        <v>24.43</v>
      </c>
      <c r="G164" s="11"/>
      <c r="I164">
        <f>C170</f>
        <v>17559</v>
      </c>
      <c r="J164">
        <f t="shared" si="79"/>
        <v>17578</v>
      </c>
      <c r="K164">
        <f t="shared" si="79"/>
        <v>17569</v>
      </c>
      <c r="L164">
        <f t="shared" si="79"/>
        <v>17569</v>
      </c>
    </row>
    <row r="165" spans="1:17" x14ac:dyDescent="0.3">
      <c r="A165" s="2"/>
      <c r="B165" s="8"/>
      <c r="C165" s="11">
        <v>58.73</v>
      </c>
      <c r="D165" s="11">
        <v>58.41</v>
      </c>
      <c r="E165" s="11">
        <v>56.78</v>
      </c>
      <c r="F165" s="11">
        <v>56.22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2457</v>
      </c>
      <c r="D166" s="11">
        <v>2696</v>
      </c>
      <c r="E166" s="11">
        <v>3025</v>
      </c>
      <c r="F166" s="11">
        <v>2923</v>
      </c>
      <c r="G166" s="11">
        <v>11101</v>
      </c>
    </row>
    <row r="167" spans="1:17" x14ac:dyDescent="0.3">
      <c r="A167" s="2"/>
      <c r="B167" s="8"/>
      <c r="C167" s="11">
        <v>3.5</v>
      </c>
      <c r="D167" s="11">
        <v>3.84</v>
      </c>
      <c r="E167" s="11">
        <v>4.3</v>
      </c>
      <c r="F167" s="11">
        <v>4.16</v>
      </c>
      <c r="G167" s="11">
        <v>15.8</v>
      </c>
    </row>
    <row r="168" spans="1:17" x14ac:dyDescent="0.3">
      <c r="A168" s="2"/>
      <c r="B168" s="8"/>
      <c r="C168" s="11">
        <v>22.13</v>
      </c>
      <c r="D168" s="11">
        <v>24.29</v>
      </c>
      <c r="E168" s="11">
        <v>27.25</v>
      </c>
      <c r="F168" s="11">
        <v>26.33</v>
      </c>
      <c r="G168" s="11"/>
    </row>
    <row r="169" spans="1:17" x14ac:dyDescent="0.3">
      <c r="A169" s="2"/>
      <c r="B169" s="8"/>
      <c r="C169" s="11">
        <v>13.99</v>
      </c>
      <c r="D169" s="11">
        <v>15.34</v>
      </c>
      <c r="E169" s="11">
        <v>17.22</v>
      </c>
      <c r="F169" s="11">
        <v>16.64</v>
      </c>
      <c r="G169" s="11"/>
    </row>
    <row r="170" spans="1:17" x14ac:dyDescent="0.3">
      <c r="A170" s="2"/>
      <c r="B170" s="8" t="s">
        <v>24</v>
      </c>
      <c r="C170" s="11">
        <v>17559</v>
      </c>
      <c r="D170" s="11">
        <v>17578</v>
      </c>
      <c r="E170" s="11">
        <v>17569</v>
      </c>
      <c r="F170" s="11">
        <v>17569</v>
      </c>
      <c r="G170" s="11">
        <v>70275</v>
      </c>
    </row>
    <row r="171" spans="1:17" x14ac:dyDescent="0.3">
      <c r="A171" s="2"/>
      <c r="B171" s="8"/>
      <c r="C171" s="11">
        <v>24.99</v>
      </c>
      <c r="D171" s="11">
        <v>25.01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67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58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6997</v>
      </c>
      <c r="D177" s="11">
        <v>7210</v>
      </c>
      <c r="E177" s="11">
        <v>7040</v>
      </c>
      <c r="F177" s="11">
        <v>6236</v>
      </c>
      <c r="G177" s="11">
        <v>27483</v>
      </c>
      <c r="I177">
        <f>C177</f>
        <v>6997</v>
      </c>
      <c r="J177">
        <f t="shared" ref="J177:L177" si="81">D177</f>
        <v>7210</v>
      </c>
      <c r="K177">
        <f t="shared" si="81"/>
        <v>7040</v>
      </c>
      <c r="L177">
        <f t="shared" si="81"/>
        <v>6236</v>
      </c>
      <c r="N177" t="str">
        <f>TEXT(I177,"#,##0")&amp;" ("&amp;TEXT(I178,"0.00")&amp;")"</f>
        <v>6,997 (39.85)</v>
      </c>
      <c r="O177" t="str">
        <f t="shared" ref="O177:Q177" si="82">TEXT(J177,"#,##0")&amp;" ("&amp;TEXT(J178,"0.00")&amp;")"</f>
        <v>7,210 (41.02)</v>
      </c>
      <c r="P177" t="str">
        <f t="shared" si="82"/>
        <v>7,040 (40.07)</v>
      </c>
      <c r="Q177" t="str">
        <f t="shared" si="82"/>
        <v>6,236 (35.49)</v>
      </c>
    </row>
    <row r="178" spans="1:17" x14ac:dyDescent="0.3">
      <c r="A178" s="2"/>
      <c r="B178" s="8"/>
      <c r="C178" s="11">
        <v>9.9600000000000009</v>
      </c>
      <c r="D178" s="11">
        <v>10.26</v>
      </c>
      <c r="E178" s="11">
        <v>10.02</v>
      </c>
      <c r="F178" s="11">
        <v>8.8699999999999992</v>
      </c>
      <c r="G178" s="11">
        <v>39.11</v>
      </c>
      <c r="I178">
        <f>C180</f>
        <v>39.85</v>
      </c>
      <c r="J178">
        <f t="shared" ref="J178:L179" si="83">D180</f>
        <v>41.02</v>
      </c>
      <c r="K178">
        <f t="shared" si="83"/>
        <v>40.07</v>
      </c>
      <c r="L178">
        <f t="shared" si="83"/>
        <v>35.49</v>
      </c>
      <c r="N178" t="str">
        <f>TEXT(I179,"#,##0")&amp;" ("&amp;TEXT(I180,"0.00")&amp;")"</f>
        <v>7,007 (39.91)</v>
      </c>
      <c r="O178" t="str">
        <f t="shared" ref="O178:Q178" si="84">TEXT(J179,"#,##0")&amp;" ("&amp;TEXT(J180,"0.00")&amp;")"</f>
        <v>6,542 (37.22)</v>
      </c>
      <c r="P178" t="str">
        <f t="shared" si="84"/>
        <v>6,126 (34.87)</v>
      </c>
      <c r="Q178" t="str">
        <f t="shared" si="84"/>
        <v>5,885 (33.50)</v>
      </c>
    </row>
    <row r="179" spans="1:17" x14ac:dyDescent="0.3">
      <c r="A179" s="2"/>
      <c r="B179" s="8"/>
      <c r="C179" s="11">
        <v>25.46</v>
      </c>
      <c r="D179" s="11">
        <v>26.23</v>
      </c>
      <c r="E179" s="11">
        <v>25.62</v>
      </c>
      <c r="F179" s="11">
        <v>22.69</v>
      </c>
      <c r="G179" s="11"/>
      <c r="I179">
        <f>C181</f>
        <v>7007</v>
      </c>
      <c r="J179">
        <f t="shared" si="83"/>
        <v>6542</v>
      </c>
      <c r="K179">
        <f t="shared" si="83"/>
        <v>6126</v>
      </c>
      <c r="L179">
        <f t="shared" si="83"/>
        <v>5885</v>
      </c>
      <c r="N179" t="str">
        <f>TEXT(I181,"#,##0")&amp;" ("&amp;TEXT(I182,"0.00")&amp;")"</f>
        <v>3,555 (20.25)</v>
      </c>
      <c r="O179" t="str">
        <f t="shared" ref="O179:Q179" si="85">TEXT(J181,"#,##0")&amp;" ("&amp;TEXT(J182,"0.00")&amp;")"</f>
        <v>3,826 (21.77)</v>
      </c>
      <c r="P179" t="str">
        <f t="shared" si="85"/>
        <v>4,403 (25.06)</v>
      </c>
      <c r="Q179" t="str">
        <f t="shared" si="85"/>
        <v>5,448 (31.01)</v>
      </c>
    </row>
    <row r="180" spans="1:17" x14ac:dyDescent="0.3">
      <c r="A180" s="2"/>
      <c r="B180" s="8"/>
      <c r="C180" s="11">
        <v>39.85</v>
      </c>
      <c r="D180" s="11">
        <v>41.02</v>
      </c>
      <c r="E180" s="11">
        <v>40.07</v>
      </c>
      <c r="F180" s="11">
        <v>35.49</v>
      </c>
      <c r="G180" s="11"/>
      <c r="I180">
        <f>C184</f>
        <v>39.909999999999997</v>
      </c>
      <c r="J180">
        <f t="shared" ref="J180:L181" si="86">D184</f>
        <v>37.22</v>
      </c>
      <c r="K180">
        <f t="shared" si="86"/>
        <v>34.869999999999997</v>
      </c>
      <c r="L180">
        <f t="shared" si="86"/>
        <v>33.5</v>
      </c>
      <c r="N180" t="str">
        <f>TEXT(I183,"#,##0")&amp;" ("&amp;TEXT(I184,"0.00")&amp;")"</f>
        <v>17,559 (0.00)</v>
      </c>
      <c r="O180" t="str">
        <f t="shared" ref="O180:Q180" si="87">TEXT(J183,"#,##0")&amp;" ("&amp;TEXT(J184,"0.00")&amp;")"</f>
        <v>17,578 (0.00)</v>
      </c>
      <c r="P180" t="str">
        <f t="shared" si="87"/>
        <v>17,569 (0.00)</v>
      </c>
      <c r="Q180" t="str">
        <f t="shared" si="87"/>
        <v>17,569 (0.00)</v>
      </c>
    </row>
    <row r="181" spans="1:17" x14ac:dyDescent="0.3">
      <c r="A181" s="2"/>
      <c r="B181" s="8">
        <v>2</v>
      </c>
      <c r="C181" s="11">
        <v>7007</v>
      </c>
      <c r="D181" s="11">
        <v>6542</v>
      </c>
      <c r="E181" s="11">
        <v>6126</v>
      </c>
      <c r="F181" s="11">
        <v>5885</v>
      </c>
      <c r="G181" s="11">
        <v>25560</v>
      </c>
      <c r="I181">
        <f>C185</f>
        <v>3555</v>
      </c>
      <c r="J181">
        <f t="shared" si="86"/>
        <v>3826</v>
      </c>
      <c r="K181">
        <f t="shared" si="86"/>
        <v>4403</v>
      </c>
      <c r="L181">
        <f t="shared" si="86"/>
        <v>5448</v>
      </c>
    </row>
    <row r="182" spans="1:17" x14ac:dyDescent="0.3">
      <c r="A182" s="2"/>
      <c r="B182" s="8"/>
      <c r="C182" s="11">
        <v>9.9700000000000006</v>
      </c>
      <c r="D182" s="11">
        <v>9.31</v>
      </c>
      <c r="E182" s="11">
        <v>8.7200000000000006</v>
      </c>
      <c r="F182" s="11">
        <v>8.3699999999999992</v>
      </c>
      <c r="G182" s="11">
        <v>36.369999999999997</v>
      </c>
      <c r="I182">
        <f>C188</f>
        <v>20.25</v>
      </c>
      <c r="J182">
        <f t="shared" ref="J182:L183" si="88">D188</f>
        <v>21.77</v>
      </c>
      <c r="K182">
        <f t="shared" si="88"/>
        <v>25.06</v>
      </c>
      <c r="L182">
        <f t="shared" si="88"/>
        <v>31.01</v>
      </c>
    </row>
    <row r="183" spans="1:17" x14ac:dyDescent="0.3">
      <c r="A183" s="2"/>
      <c r="B183" s="8"/>
      <c r="C183" s="11">
        <v>27.41</v>
      </c>
      <c r="D183" s="11">
        <v>25.59</v>
      </c>
      <c r="E183" s="11">
        <v>23.97</v>
      </c>
      <c r="F183" s="11">
        <v>23.02</v>
      </c>
      <c r="G183" s="11"/>
      <c r="I183">
        <f>C189</f>
        <v>17559</v>
      </c>
      <c r="J183">
        <f t="shared" si="88"/>
        <v>17578</v>
      </c>
      <c r="K183">
        <f t="shared" si="88"/>
        <v>17569</v>
      </c>
      <c r="L183">
        <f t="shared" si="88"/>
        <v>17569</v>
      </c>
    </row>
    <row r="184" spans="1:17" x14ac:dyDescent="0.3">
      <c r="A184" s="2"/>
      <c r="B184" s="8"/>
      <c r="C184" s="11">
        <v>39.909999999999997</v>
      </c>
      <c r="D184" s="11">
        <v>37.22</v>
      </c>
      <c r="E184" s="11">
        <v>34.869999999999997</v>
      </c>
      <c r="F184" s="11">
        <v>33.5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3555</v>
      </c>
      <c r="D185" s="11">
        <v>3826</v>
      </c>
      <c r="E185" s="11">
        <v>4403</v>
      </c>
      <c r="F185" s="11">
        <v>5448</v>
      </c>
      <c r="G185" s="11">
        <v>17232</v>
      </c>
    </row>
    <row r="186" spans="1:17" x14ac:dyDescent="0.3">
      <c r="A186" s="2"/>
      <c r="B186" s="8"/>
      <c r="C186" s="11">
        <v>5.0599999999999996</v>
      </c>
      <c r="D186" s="11">
        <v>5.44</v>
      </c>
      <c r="E186" s="11">
        <v>6.27</v>
      </c>
      <c r="F186" s="11">
        <v>7.75</v>
      </c>
      <c r="G186" s="11">
        <v>24.52</v>
      </c>
    </row>
    <row r="187" spans="1:17" x14ac:dyDescent="0.3">
      <c r="A187" s="2"/>
      <c r="B187" s="8"/>
      <c r="C187" s="11">
        <v>20.63</v>
      </c>
      <c r="D187" s="11">
        <v>22.2</v>
      </c>
      <c r="E187" s="11">
        <v>25.55</v>
      </c>
      <c r="F187" s="11">
        <v>31.62</v>
      </c>
      <c r="G187" s="11"/>
    </row>
    <row r="188" spans="1:17" x14ac:dyDescent="0.3">
      <c r="A188" s="2"/>
      <c r="B188" s="8"/>
      <c r="C188" s="11">
        <v>20.25</v>
      </c>
      <c r="D188" s="11">
        <v>21.77</v>
      </c>
      <c r="E188" s="11">
        <v>25.06</v>
      </c>
      <c r="F188" s="11">
        <v>31.01</v>
      </c>
      <c r="G188" s="11"/>
    </row>
    <row r="189" spans="1:17" x14ac:dyDescent="0.3">
      <c r="A189" s="2"/>
      <c r="B189" s="8" t="s">
        <v>24</v>
      </c>
      <c r="C189" s="11">
        <v>17559</v>
      </c>
      <c r="D189" s="11">
        <v>17578</v>
      </c>
      <c r="E189" s="11">
        <v>17569</v>
      </c>
      <c r="F189" s="11">
        <v>17569</v>
      </c>
      <c r="G189" s="11">
        <v>70275</v>
      </c>
    </row>
    <row r="190" spans="1:17" x14ac:dyDescent="0.3">
      <c r="A190" s="2"/>
      <c r="B190" s="8"/>
      <c r="C190" s="11">
        <v>24.99</v>
      </c>
      <c r="D190" s="11">
        <v>25.01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68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58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15145</v>
      </c>
      <c r="D196" s="11">
        <v>13953</v>
      </c>
      <c r="E196" s="11">
        <v>12958</v>
      </c>
      <c r="F196" s="11">
        <v>10974</v>
      </c>
      <c r="G196" s="11">
        <v>53030</v>
      </c>
      <c r="I196">
        <f>C196</f>
        <v>15145</v>
      </c>
      <c r="J196">
        <f t="shared" ref="J196:L196" si="90">D196</f>
        <v>13953</v>
      </c>
      <c r="K196">
        <f t="shared" si="90"/>
        <v>12958</v>
      </c>
      <c r="L196">
        <f t="shared" si="90"/>
        <v>10974</v>
      </c>
      <c r="N196" t="str">
        <f>TEXT(I196,"#,##0")&amp;" ("&amp;TEXT(I197,"0.00")&amp;")"</f>
        <v>15,145 (86.25)</v>
      </c>
      <c r="O196" t="str">
        <f t="shared" ref="O196:Q196" si="91">TEXT(J196,"#,##0")&amp;" ("&amp;TEXT(J197,"0.00")&amp;")"</f>
        <v>13,953 (79.38)</v>
      </c>
      <c r="P196" t="str">
        <f t="shared" si="91"/>
        <v>12,958 (73.75)</v>
      </c>
      <c r="Q196" t="str">
        <f t="shared" si="91"/>
        <v>10,974 (62.46)</v>
      </c>
    </row>
    <row r="197" spans="1:17" x14ac:dyDescent="0.3">
      <c r="A197" s="2"/>
      <c r="B197" s="8"/>
      <c r="C197" s="11">
        <v>21.55</v>
      </c>
      <c r="D197" s="11">
        <v>19.850000000000001</v>
      </c>
      <c r="E197" s="11">
        <v>18.440000000000001</v>
      </c>
      <c r="F197" s="11">
        <v>15.62</v>
      </c>
      <c r="G197" s="11">
        <v>75.459999999999994</v>
      </c>
      <c r="I197">
        <f>C199</f>
        <v>86.25</v>
      </c>
      <c r="J197">
        <f t="shared" ref="J197:L198" si="92">D199</f>
        <v>79.38</v>
      </c>
      <c r="K197">
        <f t="shared" si="92"/>
        <v>73.75</v>
      </c>
      <c r="L197">
        <f t="shared" si="92"/>
        <v>62.46</v>
      </c>
      <c r="N197" t="str">
        <f>TEXT(I198,"#,##0")&amp;" ("&amp;TEXT(I199,"0.00")&amp;")"</f>
        <v>2,414 (13.75)</v>
      </c>
      <c r="O197" t="str">
        <f t="shared" ref="O197:Q197" si="93">TEXT(J198,"#,##0")&amp;" ("&amp;TEXT(J199,"0.00")&amp;")"</f>
        <v>3,625 (20.62)</v>
      </c>
      <c r="P197" t="str">
        <f t="shared" si="93"/>
        <v>4,611 (26.25)</v>
      </c>
      <c r="Q197" t="str">
        <f t="shared" si="93"/>
        <v>6,595 (37.54)</v>
      </c>
    </row>
    <row r="198" spans="1:17" x14ac:dyDescent="0.3">
      <c r="A198" s="2"/>
      <c r="B198" s="8"/>
      <c r="C198" s="11">
        <v>28.56</v>
      </c>
      <c r="D198" s="11">
        <v>26.31</v>
      </c>
      <c r="E198" s="11">
        <v>24.44</v>
      </c>
      <c r="F198" s="11">
        <v>20.69</v>
      </c>
      <c r="G198" s="11"/>
      <c r="I198">
        <f>C200</f>
        <v>2414</v>
      </c>
      <c r="J198">
        <f t="shared" si="92"/>
        <v>3625</v>
      </c>
      <c r="K198">
        <f t="shared" si="92"/>
        <v>4611</v>
      </c>
      <c r="L198">
        <f t="shared" si="92"/>
        <v>6595</v>
      </c>
      <c r="N198" t="str">
        <f>TEXT(I200,"#,##0")&amp;" ("&amp;TEXT(I201,"0.00")&amp;")"</f>
        <v>17,559 (0.00)</v>
      </c>
      <c r="O198" t="str">
        <f t="shared" ref="O198:Q198" si="94">TEXT(J200,"#,##0")&amp;" ("&amp;TEXT(J201,"0.00")&amp;")"</f>
        <v>17,578 (0.00)</v>
      </c>
      <c r="P198" t="str">
        <f t="shared" si="94"/>
        <v>17,569 (0.00)</v>
      </c>
      <c r="Q198" t="str">
        <f t="shared" si="94"/>
        <v>17,569 (0.00)</v>
      </c>
    </row>
    <row r="199" spans="1:17" x14ac:dyDescent="0.3">
      <c r="A199" s="2"/>
      <c r="B199" s="8"/>
      <c r="C199" s="11">
        <v>86.25</v>
      </c>
      <c r="D199" s="11">
        <v>79.38</v>
      </c>
      <c r="E199" s="11">
        <v>73.75</v>
      </c>
      <c r="F199" s="11">
        <v>62.46</v>
      </c>
      <c r="G199" s="11"/>
      <c r="I199">
        <f>C203</f>
        <v>13.75</v>
      </c>
      <c r="J199">
        <f t="shared" ref="J199:L200" si="95">D203</f>
        <v>20.62</v>
      </c>
      <c r="K199">
        <f t="shared" si="95"/>
        <v>26.25</v>
      </c>
      <c r="L199">
        <f t="shared" si="95"/>
        <v>37.54</v>
      </c>
      <c r="N199" t="str">
        <f>TEXT(I202,"#,##0")&amp;" ("&amp;TEXT(I203,"0.00")&amp;")"</f>
        <v>0 (15453.00)</v>
      </c>
      <c r="O199" t="str">
        <f t="shared" ref="O199:Q199" si="96">TEXT(J202,"#,##0")&amp;" ("&amp;TEXT(J203,"0.00")&amp;")"</f>
        <v>0 (14224.00)</v>
      </c>
      <c r="P199" t="str">
        <f t="shared" si="96"/>
        <v>0 (13016.00)</v>
      </c>
      <c r="Q199" t="str">
        <f t="shared" si="96"/>
        <v>0 (12488.00)</v>
      </c>
    </row>
    <row r="200" spans="1:17" x14ac:dyDescent="0.3">
      <c r="A200" s="2"/>
      <c r="B200" s="8">
        <v>1</v>
      </c>
      <c r="C200" s="11">
        <v>2414</v>
      </c>
      <c r="D200" s="11">
        <v>3625</v>
      </c>
      <c r="E200" s="11">
        <v>4611</v>
      </c>
      <c r="F200" s="11">
        <v>6595</v>
      </c>
      <c r="G200" s="11">
        <v>17245</v>
      </c>
      <c r="I200">
        <f>C204</f>
        <v>17559</v>
      </c>
      <c r="J200">
        <f t="shared" si="95"/>
        <v>17578</v>
      </c>
      <c r="K200">
        <f t="shared" si="95"/>
        <v>17569</v>
      </c>
      <c r="L200">
        <f t="shared" si="95"/>
        <v>17569</v>
      </c>
    </row>
    <row r="201" spans="1:17" x14ac:dyDescent="0.3">
      <c r="A201" s="2"/>
      <c r="B201" s="8"/>
      <c r="C201" s="11">
        <v>3.44</v>
      </c>
      <c r="D201" s="11">
        <v>5.16</v>
      </c>
      <c r="E201" s="11">
        <v>6.56</v>
      </c>
      <c r="F201" s="11">
        <v>9.3800000000000008</v>
      </c>
      <c r="G201" s="11">
        <v>24.54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14</v>
      </c>
      <c r="D202" s="11">
        <v>21.02</v>
      </c>
      <c r="E202" s="11">
        <v>26.74</v>
      </c>
      <c r="F202" s="11">
        <v>38.24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13.75</v>
      </c>
      <c r="D203" s="11">
        <v>20.62</v>
      </c>
      <c r="E203" s="11">
        <v>26.25</v>
      </c>
      <c r="F203" s="11">
        <v>37.54</v>
      </c>
      <c r="G203" s="11"/>
      <c r="I203">
        <f>C211</f>
        <v>15453</v>
      </c>
      <c r="J203">
        <f t="shared" ref="J203:L203" si="98">D211</f>
        <v>14224</v>
      </c>
      <c r="K203">
        <f t="shared" si="98"/>
        <v>13016</v>
      </c>
      <c r="L203">
        <f t="shared" si="98"/>
        <v>12488</v>
      </c>
    </row>
    <row r="204" spans="1:17" x14ac:dyDescent="0.3">
      <c r="A204" s="2"/>
      <c r="B204" s="8" t="s">
        <v>24</v>
      </c>
      <c r="C204" s="11">
        <v>17559</v>
      </c>
      <c r="D204" s="11">
        <v>17578</v>
      </c>
      <c r="E204" s="11">
        <v>17569</v>
      </c>
      <c r="F204" s="11">
        <v>17569</v>
      </c>
      <c r="G204" s="11">
        <v>70275</v>
      </c>
    </row>
    <row r="205" spans="1:17" x14ac:dyDescent="0.3">
      <c r="A205" s="2"/>
      <c r="B205" s="8"/>
      <c r="C205" s="11">
        <v>24.99</v>
      </c>
      <c r="D205" s="11">
        <v>25.01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69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58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15453</v>
      </c>
      <c r="D211" s="11">
        <v>14224</v>
      </c>
      <c r="E211" s="11">
        <v>13016</v>
      </c>
      <c r="F211" s="11">
        <v>12488</v>
      </c>
      <c r="G211" s="11">
        <v>55181</v>
      </c>
      <c r="I211">
        <f>C211</f>
        <v>15453</v>
      </c>
      <c r="J211">
        <f t="shared" ref="J211:L211" si="99">D211</f>
        <v>14224</v>
      </c>
      <c r="K211">
        <f t="shared" si="99"/>
        <v>13016</v>
      </c>
      <c r="L211">
        <f t="shared" si="99"/>
        <v>12488</v>
      </c>
      <c r="N211" t="str">
        <f>TEXT(I211,"#,##0")&amp;" ("&amp;TEXT(I212,"0.00")&amp;")"</f>
        <v>15,453 (88.01)</v>
      </c>
      <c r="O211" t="str">
        <f t="shared" ref="O211:Q211" si="100">TEXT(J211,"#,##0")&amp;" ("&amp;TEXT(J212,"0.00")&amp;")"</f>
        <v>14,224 (80.92)</v>
      </c>
      <c r="P211" t="str">
        <f t="shared" si="100"/>
        <v>13,016 (74.09)</v>
      </c>
      <c r="Q211" t="str">
        <f t="shared" si="100"/>
        <v>12,488 (71.08)</v>
      </c>
    </row>
    <row r="212" spans="1:17" x14ac:dyDescent="0.3">
      <c r="A212" s="2"/>
      <c r="B212" s="8"/>
      <c r="C212" s="11">
        <v>21.99</v>
      </c>
      <c r="D212" s="11">
        <v>20.239999999999998</v>
      </c>
      <c r="E212" s="11">
        <v>18.52</v>
      </c>
      <c r="F212" s="11">
        <v>17.77</v>
      </c>
      <c r="G212" s="11">
        <v>78.52</v>
      </c>
      <c r="I212">
        <f>C214</f>
        <v>88.01</v>
      </c>
      <c r="J212">
        <f t="shared" ref="J212:L213" si="101">D214</f>
        <v>80.92</v>
      </c>
      <c r="K212">
        <f t="shared" si="101"/>
        <v>74.09</v>
      </c>
      <c r="L212">
        <f t="shared" si="101"/>
        <v>71.08</v>
      </c>
      <c r="N212" t="str">
        <f>TEXT(I213,"#,##0")&amp;" ("&amp;TEXT(I214,"0.00")&amp;")"</f>
        <v>2,106 (11.99)</v>
      </c>
      <c r="O212" t="str">
        <f t="shared" ref="O212:Q212" si="102">TEXT(J213,"#,##0")&amp;" ("&amp;TEXT(J214,"0.00")&amp;")"</f>
        <v>3,354 (19.08)</v>
      </c>
      <c r="P212" t="str">
        <f t="shared" si="102"/>
        <v>4,553 (25.91)</v>
      </c>
      <c r="Q212" t="str">
        <f t="shared" si="102"/>
        <v>5,081 (28.92)</v>
      </c>
    </row>
    <row r="213" spans="1:17" x14ac:dyDescent="0.3">
      <c r="A213" s="2"/>
      <c r="B213" s="8"/>
      <c r="C213" s="11">
        <v>28</v>
      </c>
      <c r="D213" s="11">
        <v>25.78</v>
      </c>
      <c r="E213" s="11">
        <v>23.59</v>
      </c>
      <c r="F213" s="11">
        <v>22.63</v>
      </c>
      <c r="G213" s="11"/>
      <c r="I213">
        <f>C215</f>
        <v>2106</v>
      </c>
      <c r="J213">
        <f t="shared" si="101"/>
        <v>3354</v>
      </c>
      <c r="K213">
        <f t="shared" si="101"/>
        <v>4553</v>
      </c>
      <c r="L213">
        <f t="shared" si="101"/>
        <v>5081</v>
      </c>
      <c r="N213" t="str">
        <f>TEXT(I215,"#,##0")&amp;" ("&amp;TEXT(I216,"0.00")&amp;")"</f>
        <v>17,559 (0.00)</v>
      </c>
      <c r="O213" t="str">
        <f t="shared" ref="O213:Q213" si="103">TEXT(J215,"#,##0")&amp;" ("&amp;TEXT(J216,"0.00")&amp;")"</f>
        <v>17,578 (0.00)</v>
      </c>
      <c r="P213" t="str">
        <f t="shared" si="103"/>
        <v>17,569 (0.00)</v>
      </c>
      <c r="Q213" t="str">
        <f t="shared" si="103"/>
        <v>17,569 (0.00)</v>
      </c>
    </row>
    <row r="214" spans="1:17" x14ac:dyDescent="0.3">
      <c r="A214" s="2"/>
      <c r="B214" s="8"/>
      <c r="C214" s="11">
        <v>88.01</v>
      </c>
      <c r="D214" s="11">
        <v>80.92</v>
      </c>
      <c r="E214" s="11">
        <v>74.09</v>
      </c>
      <c r="F214" s="11">
        <v>71.08</v>
      </c>
      <c r="G214" s="11"/>
      <c r="I214">
        <f>C218</f>
        <v>11.99</v>
      </c>
      <c r="J214">
        <f t="shared" ref="J214:L215" si="104">D218</f>
        <v>19.079999999999998</v>
      </c>
      <c r="K214">
        <f t="shared" si="104"/>
        <v>25.91</v>
      </c>
      <c r="L214">
        <f t="shared" si="104"/>
        <v>28.92</v>
      </c>
      <c r="N214" t="str">
        <f>TEXT(I217,"#,##0")&amp;" ("&amp;TEXT(I218,"0.00")&amp;")"</f>
        <v>0 (16000.00)</v>
      </c>
      <c r="O214" t="str">
        <f t="shared" ref="O214:Q214" si="105">TEXT(J217,"#,##0")&amp;" ("&amp;TEXT(J218,"0.00")&amp;")"</f>
        <v>0 (15184.00)</v>
      </c>
      <c r="P214" t="str">
        <f t="shared" si="105"/>
        <v>0 (14458.00)</v>
      </c>
      <c r="Q214" t="str">
        <f t="shared" si="105"/>
        <v>0 (14251.00)</v>
      </c>
    </row>
    <row r="215" spans="1:17" x14ac:dyDescent="0.3">
      <c r="A215" s="2"/>
      <c r="B215" s="8">
        <v>1</v>
      </c>
      <c r="C215" s="11">
        <v>2106</v>
      </c>
      <c r="D215" s="11">
        <v>3354</v>
      </c>
      <c r="E215" s="11">
        <v>4553</v>
      </c>
      <c r="F215" s="11">
        <v>5081</v>
      </c>
      <c r="G215" s="11">
        <v>15094</v>
      </c>
      <c r="I215">
        <f>C219</f>
        <v>17559</v>
      </c>
      <c r="J215">
        <f t="shared" si="104"/>
        <v>17578</v>
      </c>
      <c r="K215">
        <f t="shared" si="104"/>
        <v>17569</v>
      </c>
      <c r="L215">
        <f t="shared" si="104"/>
        <v>17569</v>
      </c>
    </row>
    <row r="216" spans="1:17" x14ac:dyDescent="0.3">
      <c r="A216" s="2"/>
      <c r="B216" s="8"/>
      <c r="C216" s="11">
        <v>3</v>
      </c>
      <c r="D216" s="11">
        <v>4.7699999999999996</v>
      </c>
      <c r="E216" s="11">
        <v>6.48</v>
      </c>
      <c r="F216" s="11">
        <v>7.23</v>
      </c>
      <c r="G216" s="11">
        <v>21.48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13.95</v>
      </c>
      <c r="D217" s="11">
        <v>22.22</v>
      </c>
      <c r="E217" s="11">
        <v>30.16</v>
      </c>
      <c r="F217" s="11">
        <v>33.659999999999997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11.99</v>
      </c>
      <c r="D218" s="11">
        <v>19.079999999999998</v>
      </c>
      <c r="E218" s="11">
        <v>25.91</v>
      </c>
      <c r="F218" s="11">
        <v>28.92</v>
      </c>
      <c r="G218" s="11"/>
      <c r="I218">
        <f>C226</f>
        <v>16000</v>
      </c>
      <c r="J218">
        <f t="shared" ref="J218:L218" si="107">D226</f>
        <v>15184</v>
      </c>
      <c r="K218">
        <f t="shared" si="107"/>
        <v>14458</v>
      </c>
      <c r="L218">
        <f t="shared" si="107"/>
        <v>14251</v>
      </c>
    </row>
    <row r="219" spans="1:17" x14ac:dyDescent="0.3">
      <c r="A219" s="2"/>
      <c r="B219" s="8" t="s">
        <v>24</v>
      </c>
      <c r="C219" s="11">
        <v>17559</v>
      </c>
      <c r="D219" s="11">
        <v>17578</v>
      </c>
      <c r="E219" s="11">
        <v>17569</v>
      </c>
      <c r="F219" s="11">
        <v>17569</v>
      </c>
      <c r="G219" s="11">
        <v>70275</v>
      </c>
    </row>
    <row r="220" spans="1:17" x14ac:dyDescent="0.3">
      <c r="A220" s="2"/>
      <c r="B220" s="8"/>
      <c r="C220" s="11">
        <v>24.99</v>
      </c>
      <c r="D220" s="11">
        <v>25.01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70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58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16000</v>
      </c>
      <c r="D226" s="11">
        <v>15184</v>
      </c>
      <c r="E226" s="11">
        <v>14458</v>
      </c>
      <c r="F226" s="11">
        <v>14251</v>
      </c>
      <c r="G226" s="11">
        <v>59893</v>
      </c>
      <c r="I226">
        <f>C226</f>
        <v>16000</v>
      </c>
      <c r="J226">
        <f t="shared" ref="J226:L226" si="108">D226</f>
        <v>15184</v>
      </c>
      <c r="K226">
        <f t="shared" si="108"/>
        <v>14458</v>
      </c>
      <c r="L226">
        <f t="shared" si="108"/>
        <v>14251</v>
      </c>
      <c r="N226" t="str">
        <f>TEXT(I226,"#,##0")&amp;" ("&amp;TEXT(I227,"0.00")&amp;")"</f>
        <v>16,000 (91.12)</v>
      </c>
      <c r="O226" t="str">
        <f t="shared" ref="O226:Q226" si="109">TEXT(J226,"#,##0")&amp;" ("&amp;TEXT(J227,"0.00")&amp;")"</f>
        <v>15,184 (86.38)</v>
      </c>
      <c r="P226" t="str">
        <f t="shared" si="109"/>
        <v>14,458 (82.29)</v>
      </c>
      <c r="Q226" t="str">
        <f t="shared" si="109"/>
        <v>14,251 (81.11)</v>
      </c>
    </row>
    <row r="227" spans="1:17" x14ac:dyDescent="0.3">
      <c r="A227" s="2"/>
      <c r="B227" s="8"/>
      <c r="C227" s="11">
        <v>22.77</v>
      </c>
      <c r="D227" s="11">
        <v>21.61</v>
      </c>
      <c r="E227" s="11">
        <v>20.57</v>
      </c>
      <c r="F227" s="11">
        <v>20.28</v>
      </c>
      <c r="G227" s="11">
        <v>85.23</v>
      </c>
      <c r="I227">
        <f>C229</f>
        <v>91.12</v>
      </c>
      <c r="J227">
        <f t="shared" ref="J227:L228" si="110">D229</f>
        <v>86.38</v>
      </c>
      <c r="K227">
        <f t="shared" si="110"/>
        <v>82.29</v>
      </c>
      <c r="L227">
        <f t="shared" si="110"/>
        <v>81.11</v>
      </c>
      <c r="N227" t="str">
        <f>TEXT(I228,"#,##0")&amp;" ("&amp;TEXT(I229,"0.00")&amp;")"</f>
        <v>1,559 (8.88)</v>
      </c>
      <c r="O227" t="str">
        <f t="shared" ref="O227:Q227" si="111">TEXT(J228,"#,##0")&amp;" ("&amp;TEXT(J229,"0.00")&amp;")"</f>
        <v>2,394 (13.62)</v>
      </c>
      <c r="P227" t="str">
        <f t="shared" si="111"/>
        <v>3,111 (17.71)</v>
      </c>
      <c r="Q227" t="str">
        <f t="shared" si="111"/>
        <v>3,318 (18.89)</v>
      </c>
    </row>
    <row r="228" spans="1:17" x14ac:dyDescent="0.3">
      <c r="A228" s="2"/>
      <c r="B228" s="8"/>
      <c r="C228" s="11">
        <v>26.71</v>
      </c>
      <c r="D228" s="11">
        <v>25.35</v>
      </c>
      <c r="E228" s="11">
        <v>24.14</v>
      </c>
      <c r="F228" s="11">
        <v>23.79</v>
      </c>
      <c r="G228" s="11"/>
      <c r="I228">
        <f>C230</f>
        <v>1559</v>
      </c>
      <c r="J228">
        <f t="shared" si="110"/>
        <v>2394</v>
      </c>
      <c r="K228">
        <f t="shared" si="110"/>
        <v>3111</v>
      </c>
      <c r="L228">
        <f t="shared" si="110"/>
        <v>3318</v>
      </c>
      <c r="N228" t="str">
        <f>TEXT(I230,"#,##0")&amp;" ("&amp;TEXT(I231,"0.00")&amp;")"</f>
        <v>17,559 (0.00)</v>
      </c>
      <c r="O228" t="str">
        <f t="shared" ref="O228:Q228" si="112">TEXT(J230,"#,##0")&amp;" ("&amp;TEXT(J231,"0.00")&amp;")"</f>
        <v>17,578 (0.00)</v>
      </c>
      <c r="P228" t="str">
        <f t="shared" si="112"/>
        <v>17,569 (0.00)</v>
      </c>
      <c r="Q228" t="str">
        <f t="shared" si="112"/>
        <v>17,569 (0.00)</v>
      </c>
    </row>
    <row r="229" spans="1:17" x14ac:dyDescent="0.3">
      <c r="A229" s="2"/>
      <c r="B229" s="8"/>
      <c r="C229" s="11">
        <v>91.12</v>
      </c>
      <c r="D229" s="11">
        <v>86.38</v>
      </c>
      <c r="E229" s="11">
        <v>82.29</v>
      </c>
      <c r="F229" s="11">
        <v>81.11</v>
      </c>
      <c r="G229" s="11"/>
      <c r="I229">
        <f>C233</f>
        <v>8.8800000000000008</v>
      </c>
      <c r="J229">
        <f t="shared" ref="J229:L230" si="113">D233</f>
        <v>13.62</v>
      </c>
      <c r="K229">
        <f t="shared" si="113"/>
        <v>17.71</v>
      </c>
      <c r="L229">
        <f t="shared" si="113"/>
        <v>18.89</v>
      </c>
      <c r="N229" t="str">
        <f>TEXT(I232,"#,##0")&amp;" ("&amp;TEXT(I233,"0.00")&amp;")"</f>
        <v>0 (17387.00)</v>
      </c>
      <c r="O229" t="str">
        <f t="shared" ref="O229:Q229" si="114">TEXT(J232,"#,##0")&amp;" ("&amp;TEXT(J233,"0.00")&amp;")"</f>
        <v>0 (17286.00)</v>
      </c>
      <c r="P229" t="str">
        <f t="shared" si="114"/>
        <v>0 (17123.00)</v>
      </c>
      <c r="Q229" t="str">
        <f t="shared" si="114"/>
        <v>0 (17134.00)</v>
      </c>
    </row>
    <row r="230" spans="1:17" x14ac:dyDescent="0.3">
      <c r="A230" s="2"/>
      <c r="B230" s="8">
        <v>1</v>
      </c>
      <c r="C230" s="11">
        <v>1559</v>
      </c>
      <c r="D230" s="11">
        <v>2394</v>
      </c>
      <c r="E230" s="11">
        <v>3111</v>
      </c>
      <c r="F230" s="11">
        <v>3318</v>
      </c>
      <c r="G230" s="11">
        <v>10382</v>
      </c>
      <c r="I230">
        <f>C234</f>
        <v>17559</v>
      </c>
      <c r="J230">
        <f t="shared" si="113"/>
        <v>17578</v>
      </c>
      <c r="K230">
        <f t="shared" si="113"/>
        <v>17569</v>
      </c>
      <c r="L230">
        <f t="shared" si="113"/>
        <v>17569</v>
      </c>
    </row>
    <row r="231" spans="1:17" x14ac:dyDescent="0.3">
      <c r="A231" s="2"/>
      <c r="B231" s="8"/>
      <c r="C231" s="11">
        <v>2.2200000000000002</v>
      </c>
      <c r="D231" s="11">
        <v>3.41</v>
      </c>
      <c r="E231" s="11">
        <v>4.43</v>
      </c>
      <c r="F231" s="11">
        <v>4.72</v>
      </c>
      <c r="G231" s="11">
        <v>14.77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15.02</v>
      </c>
      <c r="D232" s="11">
        <v>23.06</v>
      </c>
      <c r="E232" s="11">
        <v>29.97</v>
      </c>
      <c r="F232" s="11">
        <v>31.96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8.8800000000000008</v>
      </c>
      <c r="D233" s="11">
        <v>13.62</v>
      </c>
      <c r="E233" s="11">
        <v>17.71</v>
      </c>
      <c r="F233" s="11">
        <v>18.89</v>
      </c>
      <c r="G233" s="11"/>
      <c r="I233">
        <f>C241</f>
        <v>17387</v>
      </c>
      <c r="J233">
        <f t="shared" ref="J233:L233" si="116">D241</f>
        <v>17286</v>
      </c>
      <c r="K233">
        <f t="shared" si="116"/>
        <v>17123</v>
      </c>
      <c r="L233">
        <f t="shared" si="116"/>
        <v>17134</v>
      </c>
    </row>
    <row r="234" spans="1:17" x14ac:dyDescent="0.3">
      <c r="A234" s="2"/>
      <c r="B234" s="8" t="s">
        <v>24</v>
      </c>
      <c r="C234" s="11">
        <v>17559</v>
      </c>
      <c r="D234" s="11">
        <v>17578</v>
      </c>
      <c r="E234" s="11">
        <v>17569</v>
      </c>
      <c r="F234" s="11">
        <v>17569</v>
      </c>
      <c r="G234" s="11">
        <v>70275</v>
      </c>
    </row>
    <row r="235" spans="1:17" x14ac:dyDescent="0.3">
      <c r="A235" s="2"/>
      <c r="B235" s="8"/>
      <c r="C235" s="11">
        <v>24.99</v>
      </c>
      <c r="D235" s="11">
        <v>25.01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71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58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17387</v>
      </c>
      <c r="D241" s="11">
        <v>17286</v>
      </c>
      <c r="E241" s="11">
        <v>17123</v>
      </c>
      <c r="F241" s="11">
        <v>17134</v>
      </c>
      <c r="G241" s="11">
        <v>68930</v>
      </c>
      <c r="I241">
        <f>C241</f>
        <v>17387</v>
      </c>
      <c r="J241">
        <f t="shared" ref="J241:L241" si="117">D241</f>
        <v>17286</v>
      </c>
      <c r="K241">
        <f t="shared" si="117"/>
        <v>17123</v>
      </c>
      <c r="L241">
        <f t="shared" si="117"/>
        <v>17134</v>
      </c>
      <c r="N241" t="str">
        <f>TEXT(I241,"#,##0")&amp;" ("&amp;TEXT(I242,"0.00")&amp;")"</f>
        <v>17,387 (99.02)</v>
      </c>
      <c r="O241" t="str">
        <f t="shared" ref="O241:Q241" si="118">TEXT(J241,"#,##0")&amp;" ("&amp;TEXT(J242,"0.00")&amp;")"</f>
        <v>17,286 (98.34)</v>
      </c>
      <c r="P241" t="str">
        <f t="shared" si="118"/>
        <v>17,123 (97.46)</v>
      </c>
      <c r="Q241" t="str">
        <f t="shared" si="118"/>
        <v>17,134 (97.52)</v>
      </c>
    </row>
    <row r="242" spans="1:17" x14ac:dyDescent="0.3">
      <c r="A242" s="2"/>
      <c r="B242" s="8"/>
      <c r="C242" s="11">
        <v>24.74</v>
      </c>
      <c r="D242" s="11">
        <v>24.6</v>
      </c>
      <c r="E242" s="11">
        <v>24.37</v>
      </c>
      <c r="F242" s="11">
        <v>24.38</v>
      </c>
      <c r="G242" s="11">
        <v>98.09</v>
      </c>
      <c r="I242">
        <f>C244</f>
        <v>99.02</v>
      </c>
      <c r="J242">
        <f t="shared" ref="J242:L243" si="119">D244</f>
        <v>98.34</v>
      </c>
      <c r="K242">
        <f t="shared" si="119"/>
        <v>97.46</v>
      </c>
      <c r="L242">
        <f t="shared" si="119"/>
        <v>97.52</v>
      </c>
      <c r="N242" t="str">
        <f>TEXT(I243,"#,##0")&amp;" ("&amp;TEXT(I244,"0.00")&amp;")"</f>
        <v>172 (0.98)</v>
      </c>
      <c r="O242" t="str">
        <f t="shared" ref="O242:Q242" si="120">TEXT(J243,"#,##0")&amp;" ("&amp;TEXT(J244,"0.00")&amp;")"</f>
        <v>292 (1.66)</v>
      </c>
      <c r="P242" t="str">
        <f t="shared" si="120"/>
        <v>446 (2.54)</v>
      </c>
      <c r="Q242" t="str">
        <f t="shared" si="120"/>
        <v>435 (2.48)</v>
      </c>
    </row>
    <row r="243" spans="1:17" x14ac:dyDescent="0.3">
      <c r="A243" s="2"/>
      <c r="B243" s="8"/>
      <c r="C243" s="11">
        <v>25.22</v>
      </c>
      <c r="D243" s="11">
        <v>25.08</v>
      </c>
      <c r="E243" s="11">
        <v>24.84</v>
      </c>
      <c r="F243" s="11">
        <v>24.86</v>
      </c>
      <c r="G243" s="11"/>
      <c r="I243">
        <f>C245</f>
        <v>172</v>
      </c>
      <c r="J243">
        <f t="shared" si="119"/>
        <v>292</v>
      </c>
      <c r="K243">
        <f t="shared" si="119"/>
        <v>446</v>
      </c>
      <c r="L243">
        <f t="shared" si="119"/>
        <v>435</v>
      </c>
      <c r="N243" t="str">
        <f>TEXT(I245,"#,##0")&amp;" ("&amp;TEXT(I246,"0.00")&amp;")"</f>
        <v>17,559 (0.00)</v>
      </c>
      <c r="O243" t="str">
        <f t="shared" ref="O243:Q243" si="121">TEXT(J245,"#,##0")&amp;" ("&amp;TEXT(J246,"0.00")&amp;")"</f>
        <v>17,578 (0.00)</v>
      </c>
      <c r="P243" t="str">
        <f t="shared" si="121"/>
        <v>17,569 (0.00)</v>
      </c>
      <c r="Q243" t="str">
        <f t="shared" si="121"/>
        <v>17,569 (0.00)</v>
      </c>
    </row>
    <row r="244" spans="1:17" x14ac:dyDescent="0.3">
      <c r="A244" s="2"/>
      <c r="B244" s="8"/>
      <c r="C244" s="11">
        <v>99.02</v>
      </c>
      <c r="D244" s="11">
        <v>98.34</v>
      </c>
      <c r="E244" s="11">
        <v>97.46</v>
      </c>
      <c r="F244" s="11">
        <v>97.52</v>
      </c>
      <c r="G244" s="11"/>
      <c r="I244">
        <f>C248</f>
        <v>0.98</v>
      </c>
      <c r="J244">
        <f t="shared" ref="J244:L245" si="122">D248</f>
        <v>1.66</v>
      </c>
      <c r="K244">
        <f t="shared" si="122"/>
        <v>2.54</v>
      </c>
      <c r="L244">
        <f t="shared" si="122"/>
        <v>2.48</v>
      </c>
      <c r="N244" t="str">
        <f>TEXT(I247,"#,##0")&amp;" ("&amp;TEXT(I248,"0.00")&amp;")"</f>
        <v>0 (17469.00)</v>
      </c>
      <c r="O244" t="str">
        <f t="shared" ref="O244:Q244" si="123">TEXT(J247,"#,##0")&amp;" ("&amp;TEXT(J248,"0.00")&amp;")"</f>
        <v>0 (17412.00)</v>
      </c>
      <c r="P244" t="str">
        <f t="shared" si="123"/>
        <v>0 (17376.00)</v>
      </c>
      <c r="Q244" t="str">
        <f t="shared" si="123"/>
        <v>0 (17357.00)</v>
      </c>
    </row>
    <row r="245" spans="1:17" x14ac:dyDescent="0.3">
      <c r="A245" s="2"/>
      <c r="B245" s="8">
        <v>1</v>
      </c>
      <c r="C245" s="11">
        <v>172</v>
      </c>
      <c r="D245" s="11">
        <v>292</v>
      </c>
      <c r="E245" s="11">
        <v>446</v>
      </c>
      <c r="F245" s="11">
        <v>435</v>
      </c>
      <c r="G245" s="11">
        <v>1345</v>
      </c>
      <c r="I245">
        <f>C249</f>
        <v>17559</v>
      </c>
      <c r="J245">
        <f t="shared" si="122"/>
        <v>17578</v>
      </c>
      <c r="K245">
        <f t="shared" si="122"/>
        <v>17569</v>
      </c>
      <c r="L245">
        <f t="shared" si="122"/>
        <v>17569</v>
      </c>
    </row>
    <row r="246" spans="1:17" x14ac:dyDescent="0.3">
      <c r="A246" s="2"/>
      <c r="B246" s="8"/>
      <c r="C246" s="11">
        <v>0.24</v>
      </c>
      <c r="D246" s="11">
        <v>0.42</v>
      </c>
      <c r="E246" s="11">
        <v>0.63</v>
      </c>
      <c r="F246" s="11">
        <v>0.62</v>
      </c>
      <c r="G246" s="11">
        <v>1.91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12.79</v>
      </c>
      <c r="D247" s="11">
        <v>21.71</v>
      </c>
      <c r="E247" s="11">
        <v>33.159999999999997</v>
      </c>
      <c r="F247" s="11">
        <v>32.340000000000003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0.98</v>
      </c>
      <c r="D248" s="11">
        <v>1.66</v>
      </c>
      <c r="E248" s="11">
        <v>2.54</v>
      </c>
      <c r="F248" s="11">
        <v>2.48</v>
      </c>
      <c r="G248" s="11"/>
      <c r="I248">
        <f>C256</f>
        <v>17469</v>
      </c>
      <c r="J248">
        <f t="shared" ref="J248:L248" si="125">D256</f>
        <v>17412</v>
      </c>
      <c r="K248">
        <f t="shared" si="125"/>
        <v>17376</v>
      </c>
      <c r="L248">
        <f t="shared" si="125"/>
        <v>17357</v>
      </c>
    </row>
    <row r="249" spans="1:17" x14ac:dyDescent="0.3">
      <c r="A249" s="2"/>
      <c r="B249" s="8" t="s">
        <v>24</v>
      </c>
      <c r="C249" s="11">
        <v>17559</v>
      </c>
      <c r="D249" s="11">
        <v>17578</v>
      </c>
      <c r="E249" s="11">
        <v>17569</v>
      </c>
      <c r="F249" s="11">
        <v>17569</v>
      </c>
      <c r="G249" s="11">
        <v>70275</v>
      </c>
    </row>
    <row r="250" spans="1:17" x14ac:dyDescent="0.3">
      <c r="A250" s="2"/>
      <c r="B250" s="8"/>
      <c r="C250" s="11">
        <v>24.99</v>
      </c>
      <c r="D250" s="11">
        <v>25.01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72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58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17469</v>
      </c>
      <c r="D256" s="11">
        <v>17412</v>
      </c>
      <c r="E256" s="11">
        <v>17376</v>
      </c>
      <c r="F256" s="11">
        <v>17357</v>
      </c>
      <c r="G256" s="11">
        <v>69614</v>
      </c>
      <c r="I256">
        <f>C256</f>
        <v>17469</v>
      </c>
      <c r="J256">
        <f t="shared" ref="J256:L256" si="126">D256</f>
        <v>17412</v>
      </c>
      <c r="K256">
        <f t="shared" si="126"/>
        <v>17376</v>
      </c>
      <c r="L256">
        <f t="shared" si="126"/>
        <v>17357</v>
      </c>
      <c r="N256" t="str">
        <f>TEXT(I256,"#,##0")&amp;" ("&amp;TEXT(I257,"0.00")&amp;")"</f>
        <v>17,469 (99.49)</v>
      </c>
      <c r="O256" t="str">
        <f t="shared" ref="O256:Q256" si="127">TEXT(J256,"#,##0")&amp;" ("&amp;TEXT(J257,"0.00")&amp;")"</f>
        <v>17,412 (99.06)</v>
      </c>
      <c r="P256" t="str">
        <f t="shared" si="127"/>
        <v>17,376 (98.90)</v>
      </c>
      <c r="Q256" t="str">
        <f t="shared" si="127"/>
        <v>17,357 (98.79)</v>
      </c>
    </row>
    <row r="257" spans="1:17" x14ac:dyDescent="0.3">
      <c r="A257" s="2"/>
      <c r="B257" s="8"/>
      <c r="C257" s="11">
        <v>24.86</v>
      </c>
      <c r="D257" s="11">
        <v>24.78</v>
      </c>
      <c r="E257" s="11">
        <v>24.73</v>
      </c>
      <c r="F257" s="11">
        <v>24.7</v>
      </c>
      <c r="G257" s="11">
        <v>99.06</v>
      </c>
      <c r="I257">
        <f>C259</f>
        <v>99.49</v>
      </c>
      <c r="J257">
        <f t="shared" ref="J257:L258" si="128">D259</f>
        <v>99.06</v>
      </c>
      <c r="K257">
        <f t="shared" si="128"/>
        <v>98.9</v>
      </c>
      <c r="L257">
        <f t="shared" si="128"/>
        <v>98.79</v>
      </c>
      <c r="N257" t="str">
        <f>TEXT(I258,"#,##0")&amp;" ("&amp;TEXT(I259,"0.00")&amp;")"</f>
        <v>90 (0.51)</v>
      </c>
      <c r="O257" t="str">
        <f t="shared" ref="O257:Q257" si="129">TEXT(J258,"#,##0")&amp;" ("&amp;TEXT(J259,"0.00")&amp;")"</f>
        <v>166 (0.94)</v>
      </c>
      <c r="P257" t="str">
        <f t="shared" si="129"/>
        <v>193 (1.10)</v>
      </c>
      <c r="Q257" t="str">
        <f t="shared" si="129"/>
        <v>212 (1.21)</v>
      </c>
    </row>
    <row r="258" spans="1:17" x14ac:dyDescent="0.3">
      <c r="A258" s="2"/>
      <c r="B258" s="8"/>
      <c r="C258" s="11">
        <v>25.09</v>
      </c>
      <c r="D258" s="11">
        <v>25.01</v>
      </c>
      <c r="E258" s="11">
        <v>24.96</v>
      </c>
      <c r="F258" s="11">
        <v>24.93</v>
      </c>
      <c r="G258" s="11"/>
      <c r="I258">
        <f>C260</f>
        <v>90</v>
      </c>
      <c r="J258">
        <f t="shared" si="128"/>
        <v>166</v>
      </c>
      <c r="K258">
        <f t="shared" si="128"/>
        <v>193</v>
      </c>
      <c r="L258">
        <f t="shared" si="128"/>
        <v>212</v>
      </c>
      <c r="N258" t="str">
        <f>TEXT(I260,"#,##0")&amp;" ("&amp;TEXT(I261,"0.00")&amp;")"</f>
        <v>17,559 (0.00)</v>
      </c>
      <c r="O258" t="str">
        <f t="shared" ref="O258:Q258" si="130">TEXT(J260,"#,##0")&amp;" ("&amp;TEXT(J261,"0.00")&amp;")"</f>
        <v>17,578 (0.00)</v>
      </c>
      <c r="P258" t="str">
        <f t="shared" si="130"/>
        <v>17,569 (0.00)</v>
      </c>
      <c r="Q258" t="str">
        <f t="shared" si="130"/>
        <v>17,569 (0.00)</v>
      </c>
    </row>
    <row r="259" spans="1:17" x14ac:dyDescent="0.3">
      <c r="A259" s="2"/>
      <c r="B259" s="8"/>
      <c r="C259" s="11">
        <v>99.49</v>
      </c>
      <c r="D259" s="11">
        <v>99.06</v>
      </c>
      <c r="E259" s="11">
        <v>98.9</v>
      </c>
      <c r="F259" s="11">
        <v>98.79</v>
      </c>
      <c r="G259" s="11"/>
      <c r="I259">
        <f>C263</f>
        <v>0.51</v>
      </c>
      <c r="J259">
        <f t="shared" ref="J259:L260" si="131">D263</f>
        <v>0.94</v>
      </c>
      <c r="K259">
        <f t="shared" si="131"/>
        <v>1.1000000000000001</v>
      </c>
      <c r="L259">
        <f t="shared" si="131"/>
        <v>1.21</v>
      </c>
      <c r="N259" t="str">
        <f>TEXT(I262,"#,##0")&amp;" ("&amp;TEXT(I263,"0.00")&amp;")"</f>
        <v>0 (17365.00)</v>
      </c>
      <c r="O259" t="str">
        <f t="shared" ref="O259:Q259" si="132">TEXT(J262,"#,##0")&amp;" ("&amp;TEXT(J263,"0.00")&amp;")"</f>
        <v>0 (17273.00)</v>
      </c>
      <c r="P259" t="str">
        <f t="shared" si="132"/>
        <v>0 (17200.00)</v>
      </c>
      <c r="Q259" t="str">
        <f t="shared" si="132"/>
        <v>0 (17211.00)</v>
      </c>
    </row>
    <row r="260" spans="1:17" x14ac:dyDescent="0.3">
      <c r="A260" s="2"/>
      <c r="B260" s="8">
        <v>1</v>
      </c>
      <c r="C260" s="11">
        <v>90</v>
      </c>
      <c r="D260" s="11">
        <v>166</v>
      </c>
      <c r="E260" s="11">
        <v>193</v>
      </c>
      <c r="F260" s="11">
        <v>212</v>
      </c>
      <c r="G260" s="11">
        <v>661</v>
      </c>
      <c r="I260">
        <f>C264</f>
        <v>17559</v>
      </c>
      <c r="J260">
        <f t="shared" si="131"/>
        <v>17578</v>
      </c>
      <c r="K260">
        <f t="shared" si="131"/>
        <v>17569</v>
      </c>
      <c r="L260">
        <f t="shared" si="131"/>
        <v>17569</v>
      </c>
    </row>
    <row r="261" spans="1:17" x14ac:dyDescent="0.3">
      <c r="A261" s="2"/>
      <c r="B261" s="8"/>
      <c r="C261" s="11">
        <v>0.13</v>
      </c>
      <c r="D261" s="11">
        <v>0.24</v>
      </c>
      <c r="E261" s="11">
        <v>0.27</v>
      </c>
      <c r="F261" s="11">
        <v>0.3</v>
      </c>
      <c r="G261" s="11">
        <v>0.94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13.62</v>
      </c>
      <c r="D262" s="11">
        <v>25.11</v>
      </c>
      <c r="E262" s="11">
        <v>29.2</v>
      </c>
      <c r="F262" s="11">
        <v>32.07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0.51</v>
      </c>
      <c r="D263" s="11">
        <v>0.94</v>
      </c>
      <c r="E263" s="11">
        <v>1.1000000000000001</v>
      </c>
      <c r="F263" s="11">
        <v>1.21</v>
      </c>
      <c r="G263" s="11"/>
      <c r="I263">
        <f>C271</f>
        <v>17365</v>
      </c>
      <c r="J263">
        <f t="shared" ref="J263:L263" si="134">D271</f>
        <v>17273</v>
      </c>
      <c r="K263">
        <f t="shared" si="134"/>
        <v>17200</v>
      </c>
      <c r="L263">
        <f t="shared" si="134"/>
        <v>17211</v>
      </c>
    </row>
    <row r="264" spans="1:17" x14ac:dyDescent="0.3">
      <c r="A264" s="2"/>
      <c r="B264" s="8" t="s">
        <v>24</v>
      </c>
      <c r="C264" s="11">
        <v>17559</v>
      </c>
      <c r="D264" s="11">
        <v>17578</v>
      </c>
      <c r="E264" s="11">
        <v>17569</v>
      </c>
      <c r="F264" s="11">
        <v>17569</v>
      </c>
      <c r="G264" s="11">
        <v>70275</v>
      </c>
    </row>
    <row r="265" spans="1:17" x14ac:dyDescent="0.3">
      <c r="A265" s="2"/>
      <c r="B265" s="8"/>
      <c r="C265" s="11">
        <v>24.99</v>
      </c>
      <c r="D265" s="11">
        <v>25.01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73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58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17365</v>
      </c>
      <c r="D271" s="11">
        <v>17273</v>
      </c>
      <c r="E271" s="11">
        <v>17200</v>
      </c>
      <c r="F271" s="11">
        <v>17211</v>
      </c>
      <c r="G271" s="11">
        <v>69049</v>
      </c>
      <c r="I271">
        <f>C271</f>
        <v>17365</v>
      </c>
      <c r="J271">
        <f t="shared" ref="J271:L271" si="135">D271</f>
        <v>17273</v>
      </c>
      <c r="K271">
        <f t="shared" si="135"/>
        <v>17200</v>
      </c>
      <c r="L271">
        <f t="shared" si="135"/>
        <v>17211</v>
      </c>
      <c r="N271" t="str">
        <f>TEXT(I271,"#,##0")&amp;" ("&amp;TEXT(I272,"0.00")&amp;")"</f>
        <v>17,365 (98.90)</v>
      </c>
      <c r="O271" t="str">
        <f t="shared" ref="O271:Q271" si="136">TEXT(J271,"#,##0")&amp;" ("&amp;TEXT(J272,"0.00")&amp;")"</f>
        <v>17,273 (98.26)</v>
      </c>
      <c r="P271" t="str">
        <f t="shared" si="136"/>
        <v>17,200 (97.90)</v>
      </c>
      <c r="Q271" t="str">
        <f t="shared" si="136"/>
        <v>17,211 (97.96)</v>
      </c>
    </row>
    <row r="272" spans="1:17" x14ac:dyDescent="0.3">
      <c r="A272" s="2"/>
      <c r="B272" s="8"/>
      <c r="C272" s="11">
        <v>24.71</v>
      </c>
      <c r="D272" s="11">
        <v>24.58</v>
      </c>
      <c r="E272" s="11">
        <v>24.48</v>
      </c>
      <c r="F272" s="11">
        <v>24.49</v>
      </c>
      <c r="G272" s="11">
        <v>98.26</v>
      </c>
      <c r="I272">
        <f>C274</f>
        <v>98.9</v>
      </c>
      <c r="J272">
        <f t="shared" ref="J272:L273" si="137">D274</f>
        <v>98.26</v>
      </c>
      <c r="K272">
        <f t="shared" si="137"/>
        <v>97.9</v>
      </c>
      <c r="L272">
        <f t="shared" si="137"/>
        <v>97.96</v>
      </c>
      <c r="N272" t="str">
        <f>TEXT(I273,"#,##0")&amp;" ("&amp;TEXT(I274,"0.00")&amp;")"</f>
        <v>194 (1.10)</v>
      </c>
      <c r="O272" t="str">
        <f t="shared" ref="O272:Q272" si="138">TEXT(J273,"#,##0")&amp;" ("&amp;TEXT(J274,"0.00")&amp;")"</f>
        <v>305 (1.74)</v>
      </c>
      <c r="P272" t="str">
        <f t="shared" si="138"/>
        <v>369 (2.10)</v>
      </c>
      <c r="Q272" t="str">
        <f t="shared" si="138"/>
        <v>358 (2.04)</v>
      </c>
    </row>
    <row r="273" spans="1:17" x14ac:dyDescent="0.3">
      <c r="A273" s="2"/>
      <c r="B273" s="8"/>
      <c r="C273" s="11">
        <v>25.15</v>
      </c>
      <c r="D273" s="11">
        <v>25.02</v>
      </c>
      <c r="E273" s="11">
        <v>24.91</v>
      </c>
      <c r="F273" s="11">
        <v>24.93</v>
      </c>
      <c r="G273" s="11"/>
      <c r="I273">
        <f>C275</f>
        <v>194</v>
      </c>
      <c r="J273">
        <f t="shared" si="137"/>
        <v>305</v>
      </c>
      <c r="K273">
        <f t="shared" si="137"/>
        <v>369</v>
      </c>
      <c r="L273">
        <f t="shared" si="137"/>
        <v>358</v>
      </c>
      <c r="N273" t="str">
        <f>TEXT(I275,"#,##0")&amp;" ("&amp;TEXT(I276,"0.00")&amp;")"</f>
        <v>17,559 (0.00)</v>
      </c>
      <c r="O273" t="str">
        <f t="shared" ref="O273:Q273" si="139">TEXT(J275,"#,##0")&amp;" ("&amp;TEXT(J276,"0.00")&amp;")"</f>
        <v>17,578 (0.00)</v>
      </c>
      <c r="P273" t="str">
        <f t="shared" si="139"/>
        <v>17,569 (0.00)</v>
      </c>
      <c r="Q273" t="str">
        <f t="shared" si="139"/>
        <v>17,569 (0.00)</v>
      </c>
    </row>
    <row r="274" spans="1:17" x14ac:dyDescent="0.3">
      <c r="A274" s="2"/>
      <c r="B274" s="8"/>
      <c r="C274" s="11">
        <v>98.9</v>
      </c>
      <c r="D274" s="11">
        <v>98.26</v>
      </c>
      <c r="E274" s="11">
        <v>97.9</v>
      </c>
      <c r="F274" s="11">
        <v>97.96</v>
      </c>
      <c r="G274" s="11"/>
      <c r="I274">
        <f>C278</f>
        <v>1.1000000000000001</v>
      </c>
      <c r="J274">
        <f t="shared" ref="J274:L275" si="140">D278</f>
        <v>1.74</v>
      </c>
      <c r="K274">
        <f t="shared" si="140"/>
        <v>2.1</v>
      </c>
      <c r="L274">
        <f t="shared" si="140"/>
        <v>2.04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194</v>
      </c>
      <c r="D275" s="11">
        <v>305</v>
      </c>
      <c r="E275" s="11">
        <v>369</v>
      </c>
      <c r="F275" s="11">
        <v>358</v>
      </c>
      <c r="G275" s="11">
        <v>1226</v>
      </c>
      <c r="I275">
        <f>C279</f>
        <v>17559</v>
      </c>
      <c r="J275">
        <f t="shared" si="140"/>
        <v>17578</v>
      </c>
      <c r="K275">
        <f t="shared" si="140"/>
        <v>17569</v>
      </c>
      <c r="L275">
        <f t="shared" si="140"/>
        <v>17569</v>
      </c>
    </row>
    <row r="276" spans="1:17" x14ac:dyDescent="0.3">
      <c r="A276" s="2"/>
      <c r="B276" s="8"/>
      <c r="C276" s="11">
        <v>0.28000000000000003</v>
      </c>
      <c r="D276" s="11">
        <v>0.43</v>
      </c>
      <c r="E276" s="11">
        <v>0.53</v>
      </c>
      <c r="F276" s="11">
        <v>0.51</v>
      </c>
      <c r="G276" s="11">
        <v>1.74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15.82</v>
      </c>
      <c r="D277" s="11">
        <v>24.88</v>
      </c>
      <c r="E277" s="11">
        <v>30.1</v>
      </c>
      <c r="F277" s="11">
        <v>29.2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1.1000000000000001</v>
      </c>
      <c r="D278" s="11">
        <v>1.74</v>
      </c>
      <c r="E278" s="11">
        <v>2.1</v>
      </c>
      <c r="F278" s="11">
        <v>2.04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17559</v>
      </c>
      <c r="D279" s="11">
        <v>17578</v>
      </c>
      <c r="E279" s="11">
        <v>17569</v>
      </c>
      <c r="F279" s="11">
        <v>17569</v>
      </c>
      <c r="G279" s="11">
        <v>70275</v>
      </c>
    </row>
    <row r="280" spans="1:17" x14ac:dyDescent="0.3">
      <c r="A280" s="2"/>
      <c r="B280" s="8"/>
      <c r="C280" s="11">
        <v>24.99</v>
      </c>
      <c r="D280" s="11">
        <v>25.01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DF1-6259-4E06-91F4-931C4C9D3E00}">
  <dimension ref="A1:Q281"/>
  <sheetViews>
    <sheetView topLeftCell="A247" workbookViewId="0">
      <selection activeCell="L268" sqref="L268"/>
    </sheetView>
  </sheetViews>
  <sheetFormatPr defaultRowHeight="16.5" x14ac:dyDescent="0.3"/>
  <cols>
    <col min="14" max="17" width="13.5" bestFit="1" customWidth="1"/>
  </cols>
  <sheetData>
    <row r="1" spans="1:17" x14ac:dyDescent="0.3">
      <c r="A1" s="1" t="s">
        <v>0</v>
      </c>
    </row>
    <row r="2" spans="1:17" ht="17.25" thickBot="1" x14ac:dyDescent="0.35"/>
    <row r="3" spans="1:17" ht="16.5" customHeight="1" x14ac:dyDescent="0.3">
      <c r="A3" s="4" t="s">
        <v>2</v>
      </c>
      <c r="B3" s="7" t="s">
        <v>74</v>
      </c>
      <c r="C3" s="9"/>
      <c r="D3" s="9"/>
      <c r="E3" s="9"/>
      <c r="F3" s="9"/>
      <c r="G3" s="9"/>
    </row>
    <row r="4" spans="1:17" ht="16.5" customHeight="1" x14ac:dyDescent="0.3">
      <c r="A4" s="6" t="s">
        <v>3</v>
      </c>
      <c r="B4" s="8" t="s">
        <v>1</v>
      </c>
      <c r="C4" s="12" t="s">
        <v>75</v>
      </c>
      <c r="D4" s="12"/>
      <c r="E4" s="12"/>
      <c r="F4" s="12"/>
      <c r="G4" s="12"/>
    </row>
    <row r="5" spans="1:17" x14ac:dyDescent="0.3">
      <c r="A5" s="6" t="s">
        <v>20</v>
      </c>
      <c r="B5" s="8"/>
      <c r="C5" s="3">
        <v>1</v>
      </c>
      <c r="D5" s="3">
        <v>2</v>
      </c>
      <c r="E5" s="3">
        <v>3</v>
      </c>
      <c r="F5" s="3">
        <v>4</v>
      </c>
      <c r="G5" s="3" t="s">
        <v>24</v>
      </c>
    </row>
    <row r="6" spans="1:17" ht="33" x14ac:dyDescent="0.3">
      <c r="A6" s="6" t="s">
        <v>21</v>
      </c>
      <c r="B6" s="8">
        <v>1</v>
      </c>
      <c r="C6" s="11">
        <v>8297</v>
      </c>
      <c r="D6" s="11">
        <v>5234</v>
      </c>
      <c r="E6" s="11">
        <v>3843</v>
      </c>
      <c r="F6" s="11">
        <v>4257</v>
      </c>
      <c r="G6" s="11">
        <v>21631</v>
      </c>
      <c r="I6">
        <f>C6</f>
        <v>8297</v>
      </c>
      <c r="J6">
        <f t="shared" ref="J6:L6" si="0">D6</f>
        <v>5234</v>
      </c>
      <c r="K6">
        <f t="shared" si="0"/>
        <v>3843</v>
      </c>
      <c r="L6">
        <f t="shared" si="0"/>
        <v>4257</v>
      </c>
      <c r="N6" t="str">
        <f>TEXT(I6,"#,##0")&amp;" ("&amp;TEXT(I7,"0.00")&amp;")"</f>
        <v>8,297 (47.23)</v>
      </c>
      <c r="O6" t="str">
        <f t="shared" ref="O6:Q6" si="1">TEXT(J6,"#,##0")&amp;" ("&amp;TEXT(J7,"0.00")&amp;")"</f>
        <v>5,234 (29.79)</v>
      </c>
      <c r="P6" t="str">
        <f t="shared" si="1"/>
        <v>3,843 (21.87)</v>
      </c>
      <c r="Q6" t="str">
        <f t="shared" si="1"/>
        <v>4,257 (24.23)</v>
      </c>
    </row>
    <row r="7" spans="1:17" x14ac:dyDescent="0.3">
      <c r="A7" s="2"/>
      <c r="B7" s="8"/>
      <c r="C7" s="11">
        <v>11.81</v>
      </c>
      <c r="D7" s="11">
        <v>7.45</v>
      </c>
      <c r="E7" s="11">
        <v>5.47</v>
      </c>
      <c r="F7" s="11">
        <v>6.06</v>
      </c>
      <c r="G7" s="11">
        <v>30.78</v>
      </c>
      <c r="I7">
        <f>C9</f>
        <v>47.23</v>
      </c>
      <c r="J7">
        <f t="shared" ref="J7:L8" si="2">D9</f>
        <v>29.79</v>
      </c>
      <c r="K7">
        <f t="shared" si="2"/>
        <v>21.87</v>
      </c>
      <c r="L7">
        <f t="shared" si="2"/>
        <v>24.23</v>
      </c>
      <c r="N7" t="str">
        <f>TEXT(I8,"#,##0")&amp;" ("&amp;TEXT(I9,"0.00")&amp;")"</f>
        <v>6,969 (39.67)</v>
      </c>
      <c r="O7" t="str">
        <f t="shared" ref="O7:Q7" si="3">TEXT(J8,"#,##0")&amp;" ("&amp;TEXT(J9,"0.00")&amp;")"</f>
        <v>8,643 (49.19)</v>
      </c>
      <c r="P7" t="str">
        <f t="shared" si="3"/>
        <v>9,139 (52.02)</v>
      </c>
      <c r="Q7" t="str">
        <f t="shared" si="3"/>
        <v>9,420 (53.62)</v>
      </c>
    </row>
    <row r="8" spans="1:17" x14ac:dyDescent="0.3">
      <c r="A8" s="2"/>
      <c r="B8" s="8"/>
      <c r="C8" s="11">
        <v>38.36</v>
      </c>
      <c r="D8" s="11">
        <v>24.2</v>
      </c>
      <c r="E8" s="11">
        <v>17.77</v>
      </c>
      <c r="F8" s="11">
        <v>19.68</v>
      </c>
      <c r="G8" s="11"/>
      <c r="I8">
        <f>C10</f>
        <v>6969</v>
      </c>
      <c r="J8">
        <f t="shared" si="2"/>
        <v>8643</v>
      </c>
      <c r="K8">
        <f t="shared" si="2"/>
        <v>9139</v>
      </c>
      <c r="L8">
        <f t="shared" si="2"/>
        <v>9420</v>
      </c>
      <c r="N8" t="str">
        <f>TEXT(I10,"#,##0")&amp;" ("&amp;TEXT(I11,"0.00")&amp;")"</f>
        <v>2,303 (13.11)</v>
      </c>
      <c r="O8" t="str">
        <f t="shared" ref="O8:Q8" si="4">TEXT(J10,"#,##0")&amp;" ("&amp;TEXT(J11,"0.00")&amp;")"</f>
        <v>3,692 (21.01)</v>
      </c>
      <c r="P8" t="str">
        <f t="shared" si="4"/>
        <v>4,587 (26.11)</v>
      </c>
      <c r="Q8" t="str">
        <f t="shared" si="4"/>
        <v>3,891 (22.15)</v>
      </c>
    </row>
    <row r="9" spans="1:17" x14ac:dyDescent="0.3">
      <c r="A9" s="2"/>
      <c r="B9" s="8"/>
      <c r="C9" s="11">
        <v>47.23</v>
      </c>
      <c r="D9" s="11">
        <v>29.79</v>
      </c>
      <c r="E9" s="11">
        <v>21.87</v>
      </c>
      <c r="F9" s="11">
        <v>24.23</v>
      </c>
      <c r="G9" s="11"/>
      <c r="I9">
        <f>C13</f>
        <v>39.67</v>
      </c>
      <c r="J9">
        <f t="shared" ref="J9:L10" si="5">D13</f>
        <v>49.19</v>
      </c>
      <c r="K9">
        <f t="shared" si="5"/>
        <v>52.02</v>
      </c>
      <c r="L9">
        <f t="shared" si="5"/>
        <v>53.62</v>
      </c>
      <c r="N9" t="str">
        <f>TEXT(I12,"#,##0")&amp;" ("&amp;TEXT(I13,"0.00")&amp;")"</f>
        <v>17,569 (0.00)</v>
      </c>
      <c r="O9" t="str">
        <f t="shared" ref="O9:Q9" si="6">TEXT(J12,"#,##0")&amp;" ("&amp;TEXT(J13,"0.00")&amp;")"</f>
        <v>17,569 (0.00)</v>
      </c>
      <c r="P9" t="str">
        <f t="shared" si="6"/>
        <v>17,569 (0.00)</v>
      </c>
      <c r="Q9" t="str">
        <f t="shared" si="6"/>
        <v>17,568 (0.00)</v>
      </c>
    </row>
    <row r="10" spans="1:17" x14ac:dyDescent="0.3">
      <c r="A10" s="2"/>
      <c r="B10" s="8">
        <v>2</v>
      </c>
      <c r="C10" s="11">
        <v>6969</v>
      </c>
      <c r="D10" s="11">
        <v>8643</v>
      </c>
      <c r="E10" s="11">
        <v>9139</v>
      </c>
      <c r="F10" s="11">
        <v>9420</v>
      </c>
      <c r="G10" s="11">
        <v>34171</v>
      </c>
      <c r="I10">
        <f>C14</f>
        <v>2303</v>
      </c>
      <c r="J10">
        <f t="shared" si="5"/>
        <v>3692</v>
      </c>
      <c r="K10">
        <f t="shared" si="5"/>
        <v>4587</v>
      </c>
      <c r="L10">
        <f t="shared" si="5"/>
        <v>3891</v>
      </c>
    </row>
    <row r="11" spans="1:17" x14ac:dyDescent="0.3">
      <c r="A11" s="2"/>
      <c r="B11" s="8"/>
      <c r="C11" s="11">
        <v>9.92</v>
      </c>
      <c r="D11" s="11">
        <v>12.3</v>
      </c>
      <c r="E11" s="11">
        <v>13</v>
      </c>
      <c r="F11" s="11">
        <v>13.4</v>
      </c>
      <c r="G11" s="11">
        <v>48.62</v>
      </c>
      <c r="I11">
        <f>C17</f>
        <v>13.11</v>
      </c>
      <c r="J11">
        <f t="shared" ref="J11:L12" si="7">D17</f>
        <v>21.01</v>
      </c>
      <c r="K11">
        <f t="shared" si="7"/>
        <v>26.11</v>
      </c>
      <c r="L11">
        <f t="shared" si="7"/>
        <v>22.15</v>
      </c>
    </row>
    <row r="12" spans="1:17" x14ac:dyDescent="0.3">
      <c r="A12" s="2"/>
      <c r="B12" s="8"/>
      <c r="C12" s="11">
        <v>20.39</v>
      </c>
      <c r="D12" s="11">
        <v>25.29</v>
      </c>
      <c r="E12" s="11">
        <v>26.74</v>
      </c>
      <c r="F12" s="11">
        <v>27.57</v>
      </c>
      <c r="G12" s="11"/>
      <c r="I12">
        <f>C18</f>
        <v>17569</v>
      </c>
      <c r="J12">
        <f t="shared" si="7"/>
        <v>17569</v>
      </c>
      <c r="K12">
        <f t="shared" si="7"/>
        <v>17569</v>
      </c>
      <c r="L12">
        <f t="shared" si="7"/>
        <v>17568</v>
      </c>
    </row>
    <row r="13" spans="1:17" x14ac:dyDescent="0.3">
      <c r="A13" s="2"/>
      <c r="B13" s="8"/>
      <c r="C13" s="11">
        <v>39.67</v>
      </c>
      <c r="D13" s="11">
        <v>49.19</v>
      </c>
      <c r="E13" s="11">
        <v>52.02</v>
      </c>
      <c r="F13" s="11">
        <v>53.62</v>
      </c>
      <c r="G13" s="11"/>
      <c r="I13">
        <f>C21</f>
        <v>0</v>
      </c>
      <c r="J13">
        <f t="shared" ref="J13:L13" si="8">D21</f>
        <v>0</v>
      </c>
      <c r="K13">
        <f t="shared" si="8"/>
        <v>0</v>
      </c>
      <c r="L13">
        <f t="shared" si="8"/>
        <v>0</v>
      </c>
    </row>
    <row r="14" spans="1:17" x14ac:dyDescent="0.3">
      <c r="A14" s="2"/>
      <c r="B14" s="8">
        <v>3</v>
      </c>
      <c r="C14" s="11">
        <v>2303</v>
      </c>
      <c r="D14" s="11">
        <v>3692</v>
      </c>
      <c r="E14" s="11">
        <v>4587</v>
      </c>
      <c r="F14" s="11">
        <v>3891</v>
      </c>
      <c r="G14" s="11">
        <v>14473</v>
      </c>
    </row>
    <row r="15" spans="1:17" x14ac:dyDescent="0.3">
      <c r="A15" s="2"/>
      <c r="B15" s="8"/>
      <c r="C15" s="11">
        <v>3.28</v>
      </c>
      <c r="D15" s="11">
        <v>5.25</v>
      </c>
      <c r="E15" s="11">
        <v>6.53</v>
      </c>
      <c r="F15" s="11">
        <v>5.54</v>
      </c>
      <c r="G15" s="11">
        <v>20.59</v>
      </c>
    </row>
    <row r="16" spans="1:17" x14ac:dyDescent="0.3">
      <c r="A16" s="2"/>
      <c r="B16" s="8"/>
      <c r="C16" s="11">
        <v>15.91</v>
      </c>
      <c r="D16" s="11">
        <v>25.51</v>
      </c>
      <c r="E16" s="11">
        <v>31.69</v>
      </c>
      <c r="F16" s="11">
        <v>26.88</v>
      </c>
      <c r="G16" s="11"/>
    </row>
    <row r="17" spans="1:17" x14ac:dyDescent="0.3">
      <c r="A17" s="2"/>
      <c r="B17" s="8"/>
      <c r="C17" s="11">
        <v>13.11</v>
      </c>
      <c r="D17" s="11">
        <v>21.01</v>
      </c>
      <c r="E17" s="11">
        <v>26.11</v>
      </c>
      <c r="F17" s="11">
        <v>22.15</v>
      </c>
      <c r="G17" s="11"/>
    </row>
    <row r="18" spans="1:17" x14ac:dyDescent="0.3">
      <c r="A18" s="2"/>
      <c r="B18" s="8" t="s">
        <v>24</v>
      </c>
      <c r="C18" s="11">
        <v>17569</v>
      </c>
      <c r="D18" s="11">
        <v>17569</v>
      </c>
      <c r="E18" s="11">
        <v>17569</v>
      </c>
      <c r="F18" s="11">
        <v>17568</v>
      </c>
      <c r="G18" s="11">
        <v>70275</v>
      </c>
    </row>
    <row r="19" spans="1:17" x14ac:dyDescent="0.3">
      <c r="A19" s="2"/>
      <c r="B19" s="8"/>
      <c r="C19" s="11">
        <v>25</v>
      </c>
      <c r="D19" s="11">
        <v>25</v>
      </c>
      <c r="E19" s="11">
        <v>25</v>
      </c>
      <c r="F19" s="11">
        <v>25</v>
      </c>
      <c r="G19" s="11">
        <v>100</v>
      </c>
    </row>
    <row r="20" spans="1:17" x14ac:dyDescent="0.3">
      <c r="A20" s="2"/>
      <c r="B20" s="13"/>
      <c r="C20" s="13"/>
      <c r="D20" s="13"/>
      <c r="E20" s="13"/>
      <c r="F20" s="13"/>
      <c r="G20" s="13"/>
    </row>
    <row r="21" spans="1:17" ht="17.25" thickBot="1" x14ac:dyDescent="0.35"/>
    <row r="22" spans="1:17" ht="16.5" customHeight="1" x14ac:dyDescent="0.3">
      <c r="A22" s="4" t="s">
        <v>2</v>
      </c>
      <c r="B22" s="7" t="s">
        <v>76</v>
      </c>
      <c r="C22" s="9"/>
      <c r="D22" s="9"/>
      <c r="E22" s="9"/>
      <c r="F22" s="9"/>
      <c r="G22" s="9"/>
    </row>
    <row r="23" spans="1:17" ht="16.5" customHeight="1" x14ac:dyDescent="0.3">
      <c r="A23" s="6" t="s">
        <v>3</v>
      </c>
      <c r="B23" s="8" t="s">
        <v>5</v>
      </c>
      <c r="C23" s="12" t="s">
        <v>75</v>
      </c>
      <c r="D23" s="12"/>
      <c r="E23" s="12"/>
      <c r="F23" s="12"/>
      <c r="G23" s="12"/>
    </row>
    <row r="24" spans="1:17" x14ac:dyDescent="0.3">
      <c r="A24" s="6" t="s">
        <v>20</v>
      </c>
      <c r="B24" s="8"/>
      <c r="C24" s="3">
        <v>1</v>
      </c>
      <c r="D24" s="3">
        <v>2</v>
      </c>
      <c r="E24" s="3">
        <v>3</v>
      </c>
      <c r="F24" s="3">
        <v>4</v>
      </c>
      <c r="G24" s="3" t="s">
        <v>24</v>
      </c>
    </row>
    <row r="25" spans="1:17" ht="33" x14ac:dyDescent="0.3">
      <c r="A25" s="6" t="s">
        <v>21</v>
      </c>
      <c r="B25" s="8">
        <v>1</v>
      </c>
      <c r="C25" s="11">
        <v>5133</v>
      </c>
      <c r="D25" s="11">
        <v>7986</v>
      </c>
      <c r="E25" s="11">
        <v>9923</v>
      </c>
      <c r="F25" s="11">
        <v>11104</v>
      </c>
      <c r="G25" s="11">
        <v>34146</v>
      </c>
      <c r="I25">
        <f>C25</f>
        <v>5133</v>
      </c>
      <c r="J25">
        <f t="shared" ref="J25:L25" si="9">D25</f>
        <v>7986</v>
      </c>
      <c r="K25">
        <f t="shared" si="9"/>
        <v>9923</v>
      </c>
      <c r="L25">
        <f t="shared" si="9"/>
        <v>11104</v>
      </c>
      <c r="N25" t="str">
        <f>TEXT(I25,"#,##0")&amp;" ("&amp;TEXT(I26,"0.00")&amp;")"</f>
        <v>5,133 (29.22)</v>
      </c>
      <c r="O25" t="str">
        <f t="shared" ref="O25:Q25" si="10">TEXT(J25,"#,##0")&amp;" ("&amp;TEXT(J26,"0.00")&amp;")"</f>
        <v>7,986 (45.46)</v>
      </c>
      <c r="P25" t="str">
        <f t="shared" si="10"/>
        <v>9,923 (56.48)</v>
      </c>
      <c r="Q25" t="str">
        <f t="shared" si="10"/>
        <v>11,104 (63.21)</v>
      </c>
    </row>
    <row r="26" spans="1:17" x14ac:dyDescent="0.3">
      <c r="A26" s="2"/>
      <c r="B26" s="8"/>
      <c r="C26" s="11">
        <v>7.3</v>
      </c>
      <c r="D26" s="11">
        <v>11.36</v>
      </c>
      <c r="E26" s="11">
        <v>14.12</v>
      </c>
      <c r="F26" s="11">
        <v>15.8</v>
      </c>
      <c r="G26" s="11">
        <v>48.59</v>
      </c>
      <c r="I26">
        <f>C28</f>
        <v>29.22</v>
      </c>
      <c r="J26">
        <f t="shared" ref="J26:L27" si="11">D28</f>
        <v>45.46</v>
      </c>
      <c r="K26">
        <f t="shared" si="11"/>
        <v>56.48</v>
      </c>
      <c r="L26">
        <f t="shared" si="11"/>
        <v>63.21</v>
      </c>
      <c r="N26" t="str">
        <f>TEXT(I27,"#,##0")&amp;" ("&amp;TEXT(I28,"0.00")&amp;")"</f>
        <v>12,436 (70.78)</v>
      </c>
      <c r="O26" t="str">
        <f t="shared" ref="O26:Q26" si="12">TEXT(J27,"#,##0")&amp;" ("&amp;TEXT(J28,"0.00")&amp;")"</f>
        <v>9,583 (54.54)</v>
      </c>
      <c r="P26" t="str">
        <f t="shared" si="12"/>
        <v>7,646 (43.52)</v>
      </c>
      <c r="Q26" t="str">
        <f t="shared" si="12"/>
        <v>6,464 (36.79)</v>
      </c>
    </row>
    <row r="27" spans="1:17" x14ac:dyDescent="0.3">
      <c r="A27" s="2"/>
      <c r="B27" s="8"/>
      <c r="C27" s="11">
        <v>15.03</v>
      </c>
      <c r="D27" s="11">
        <v>23.39</v>
      </c>
      <c r="E27" s="11">
        <v>29.06</v>
      </c>
      <c r="F27" s="11">
        <v>32.520000000000003</v>
      </c>
      <c r="G27" s="11"/>
      <c r="I27">
        <f>C29</f>
        <v>12436</v>
      </c>
      <c r="J27">
        <f t="shared" si="11"/>
        <v>9583</v>
      </c>
      <c r="K27">
        <f t="shared" si="11"/>
        <v>7646</v>
      </c>
      <c r="L27">
        <f t="shared" si="11"/>
        <v>6464</v>
      </c>
      <c r="N27" t="str">
        <f>TEXT(I29,"#,##0")&amp;" ("&amp;TEXT(I30,"0.00")&amp;")"</f>
        <v>17,569 (0.00)</v>
      </c>
      <c r="O27" t="str">
        <f t="shared" ref="O27:Q27" si="13">TEXT(J29,"#,##0")&amp;" ("&amp;TEXT(J30,"0.00")&amp;")"</f>
        <v>17,569 (0.00)</v>
      </c>
      <c r="P27" t="str">
        <f t="shared" si="13"/>
        <v>17,569 (0.00)</v>
      </c>
      <c r="Q27" t="str">
        <f t="shared" si="13"/>
        <v>17,568 (0.00)</v>
      </c>
    </row>
    <row r="28" spans="1:17" x14ac:dyDescent="0.3">
      <c r="A28" s="2"/>
      <c r="B28" s="8"/>
      <c r="C28" s="11">
        <v>29.22</v>
      </c>
      <c r="D28" s="11">
        <v>45.46</v>
      </c>
      <c r="E28" s="11">
        <v>56.48</v>
      </c>
      <c r="F28" s="11">
        <v>63.21</v>
      </c>
      <c r="G28" s="11"/>
      <c r="I28">
        <f>C32</f>
        <v>70.78</v>
      </c>
      <c r="J28">
        <f t="shared" ref="J28:L29" si="14">D32</f>
        <v>54.54</v>
      </c>
      <c r="K28">
        <f t="shared" si="14"/>
        <v>43.52</v>
      </c>
      <c r="L28">
        <f t="shared" si="14"/>
        <v>36.79</v>
      </c>
      <c r="N28" t="str">
        <f>TEXT(I31,"#,##0")&amp;" ("&amp;TEXT(I32,"0.00")&amp;")"</f>
        <v>0 (14779.00)</v>
      </c>
      <c r="O28" t="str">
        <f t="shared" ref="O28:Q28" si="15">TEXT(J31,"#,##0")&amp;" ("&amp;TEXT(J32,"0.00")&amp;")"</f>
        <v>0 (14107.00)</v>
      </c>
      <c r="P28" t="str">
        <f t="shared" si="15"/>
        <v>0 (13917.00)</v>
      </c>
      <c r="Q28" t="str">
        <f t="shared" si="15"/>
        <v>0 (13687.00)</v>
      </c>
    </row>
    <row r="29" spans="1:17" x14ac:dyDescent="0.3">
      <c r="A29" s="2"/>
      <c r="B29" s="8">
        <v>2</v>
      </c>
      <c r="C29" s="11">
        <v>12436</v>
      </c>
      <c r="D29" s="11">
        <v>9583</v>
      </c>
      <c r="E29" s="11">
        <v>7646</v>
      </c>
      <c r="F29" s="11">
        <v>6464</v>
      </c>
      <c r="G29" s="11">
        <v>36129</v>
      </c>
      <c r="I29">
        <f>C33</f>
        <v>17569</v>
      </c>
      <c r="J29">
        <f t="shared" si="14"/>
        <v>17569</v>
      </c>
      <c r="K29">
        <f t="shared" si="14"/>
        <v>17569</v>
      </c>
      <c r="L29">
        <f t="shared" si="14"/>
        <v>17568</v>
      </c>
    </row>
    <row r="30" spans="1:17" x14ac:dyDescent="0.3">
      <c r="A30" s="2"/>
      <c r="B30" s="8"/>
      <c r="C30" s="11">
        <v>17.7</v>
      </c>
      <c r="D30" s="11">
        <v>13.64</v>
      </c>
      <c r="E30" s="11">
        <v>10.88</v>
      </c>
      <c r="F30" s="11">
        <v>9.1999999999999993</v>
      </c>
      <c r="G30" s="11">
        <v>51.41</v>
      </c>
      <c r="I30">
        <f>C36</f>
        <v>0</v>
      </c>
      <c r="J30">
        <f t="shared" ref="J30:L31" si="16">D36</f>
        <v>0</v>
      </c>
      <c r="K30">
        <f t="shared" si="16"/>
        <v>0</v>
      </c>
      <c r="L30">
        <f t="shared" si="16"/>
        <v>0</v>
      </c>
    </row>
    <row r="31" spans="1:17" x14ac:dyDescent="0.3">
      <c r="A31" s="2"/>
      <c r="B31" s="8"/>
      <c r="C31" s="11">
        <v>34.42</v>
      </c>
      <c r="D31" s="11">
        <v>26.52</v>
      </c>
      <c r="E31" s="11">
        <v>21.16</v>
      </c>
      <c r="F31" s="11">
        <v>17.89</v>
      </c>
      <c r="G31" s="11"/>
      <c r="I31">
        <f>C37</f>
        <v>0</v>
      </c>
      <c r="J31">
        <f t="shared" si="16"/>
        <v>0</v>
      </c>
      <c r="K31">
        <f t="shared" si="16"/>
        <v>0</v>
      </c>
      <c r="L31">
        <f t="shared" si="16"/>
        <v>0</v>
      </c>
    </row>
    <row r="32" spans="1:17" x14ac:dyDescent="0.3">
      <c r="A32" s="2"/>
      <c r="B32" s="8"/>
      <c r="C32" s="11">
        <v>70.78</v>
      </c>
      <c r="D32" s="11">
        <v>54.54</v>
      </c>
      <c r="E32" s="11">
        <v>43.52</v>
      </c>
      <c r="F32" s="11">
        <v>36.79</v>
      </c>
      <c r="G32" s="11"/>
      <c r="I32">
        <f>C40</f>
        <v>14779</v>
      </c>
      <c r="J32">
        <f t="shared" ref="J32:L32" si="17">D40</f>
        <v>14107</v>
      </c>
      <c r="K32">
        <f t="shared" si="17"/>
        <v>13917</v>
      </c>
      <c r="L32">
        <f t="shared" si="17"/>
        <v>13687</v>
      </c>
    </row>
    <row r="33" spans="1:17" x14ac:dyDescent="0.3">
      <c r="A33" s="2"/>
      <c r="B33" s="8" t="s">
        <v>24</v>
      </c>
      <c r="C33" s="11">
        <v>17569</v>
      </c>
      <c r="D33" s="11">
        <v>17569</v>
      </c>
      <c r="E33" s="11">
        <v>17569</v>
      </c>
      <c r="F33" s="11">
        <v>17568</v>
      </c>
      <c r="G33" s="11">
        <v>70275</v>
      </c>
    </row>
    <row r="34" spans="1:17" x14ac:dyDescent="0.3">
      <c r="A34" s="2"/>
      <c r="B34" s="8"/>
      <c r="C34" s="11">
        <v>25</v>
      </c>
      <c r="D34" s="11">
        <v>25</v>
      </c>
      <c r="E34" s="11">
        <v>25</v>
      </c>
      <c r="F34" s="11">
        <v>25</v>
      </c>
      <c r="G34" s="11">
        <v>100</v>
      </c>
    </row>
    <row r="35" spans="1:17" x14ac:dyDescent="0.3">
      <c r="A35" s="2"/>
      <c r="B35" s="13"/>
      <c r="C35" s="13"/>
      <c r="D35" s="13"/>
      <c r="E35" s="13"/>
      <c r="F35" s="13"/>
      <c r="G35" s="13"/>
    </row>
    <row r="36" spans="1:17" ht="17.25" thickBot="1" x14ac:dyDescent="0.35"/>
    <row r="37" spans="1:17" ht="16.5" customHeight="1" x14ac:dyDescent="0.3">
      <c r="A37" s="4" t="s">
        <v>2</v>
      </c>
      <c r="B37" s="7" t="s">
        <v>77</v>
      </c>
      <c r="C37" s="9"/>
      <c r="D37" s="9"/>
      <c r="E37" s="9"/>
      <c r="F37" s="9"/>
      <c r="G37" s="9"/>
    </row>
    <row r="38" spans="1:17" ht="16.5" customHeight="1" x14ac:dyDescent="0.3">
      <c r="A38" s="6" t="s">
        <v>3</v>
      </c>
      <c r="B38" s="8" t="s">
        <v>6</v>
      </c>
      <c r="C38" s="12" t="s">
        <v>75</v>
      </c>
      <c r="D38" s="12"/>
      <c r="E38" s="12"/>
      <c r="F38" s="12"/>
      <c r="G38" s="12"/>
    </row>
    <row r="39" spans="1:17" x14ac:dyDescent="0.3">
      <c r="A39" s="6" t="s">
        <v>20</v>
      </c>
      <c r="B39" s="8"/>
      <c r="C39" s="3">
        <v>1</v>
      </c>
      <c r="D39" s="3">
        <v>2</v>
      </c>
      <c r="E39" s="3">
        <v>3</v>
      </c>
      <c r="F39" s="3">
        <v>4</v>
      </c>
      <c r="G39" s="3" t="s">
        <v>24</v>
      </c>
    </row>
    <row r="40" spans="1:17" ht="33" x14ac:dyDescent="0.3">
      <c r="A40" s="6" t="s">
        <v>21</v>
      </c>
      <c r="B40" s="8">
        <v>1</v>
      </c>
      <c r="C40" s="11">
        <v>14779</v>
      </c>
      <c r="D40" s="11">
        <v>14107</v>
      </c>
      <c r="E40" s="11">
        <v>13917</v>
      </c>
      <c r="F40" s="11">
        <v>13687</v>
      </c>
      <c r="G40" s="11">
        <v>56490</v>
      </c>
      <c r="I40">
        <f>C40</f>
        <v>14779</v>
      </c>
      <c r="J40">
        <f t="shared" ref="J40:L40" si="18">D40</f>
        <v>14107</v>
      </c>
      <c r="K40">
        <f t="shared" si="18"/>
        <v>13917</v>
      </c>
      <c r="L40">
        <f t="shared" si="18"/>
        <v>13687</v>
      </c>
      <c r="N40" t="str">
        <f>TEXT(I40,"#,##0")&amp;" ("&amp;TEXT(I41,"0.00")&amp;")"</f>
        <v>14,779 (84.12)</v>
      </c>
      <c r="O40" t="str">
        <f t="shared" ref="O40:Q40" si="19">TEXT(J40,"#,##0")&amp;" ("&amp;TEXT(J41,"0.00")&amp;")"</f>
        <v>14,107 (80.29)</v>
      </c>
      <c r="P40" t="str">
        <f t="shared" si="19"/>
        <v>13,917 (79.21)</v>
      </c>
      <c r="Q40" t="str">
        <f t="shared" si="19"/>
        <v>13,687 (77.91)</v>
      </c>
    </row>
    <row r="41" spans="1:17" x14ac:dyDescent="0.3">
      <c r="A41" s="2"/>
      <c r="B41" s="8"/>
      <c r="C41" s="11">
        <v>21.03</v>
      </c>
      <c r="D41" s="11">
        <v>20.07</v>
      </c>
      <c r="E41" s="11">
        <v>19.8</v>
      </c>
      <c r="F41" s="11">
        <v>19.48</v>
      </c>
      <c r="G41" s="11">
        <v>80.38</v>
      </c>
      <c r="I41">
        <f>C43</f>
        <v>84.12</v>
      </c>
      <c r="J41">
        <f t="shared" ref="J41:L42" si="20">D43</f>
        <v>80.290000000000006</v>
      </c>
      <c r="K41">
        <f t="shared" si="20"/>
        <v>79.209999999999994</v>
      </c>
      <c r="L41">
        <f t="shared" si="20"/>
        <v>77.91</v>
      </c>
      <c r="N41" t="str">
        <f>TEXT(I42,"#,##0")&amp;" ("&amp;TEXT(I43,"0.00")&amp;")"</f>
        <v>2,790 (15.88)</v>
      </c>
      <c r="O41" t="str">
        <f t="shared" ref="O41:Q41" si="21">TEXT(J42,"#,##0")&amp;" ("&amp;TEXT(J43,"0.00")&amp;")"</f>
        <v>3,462 (19.71)</v>
      </c>
      <c r="P41" t="str">
        <f t="shared" si="21"/>
        <v>3,652 (20.79)</v>
      </c>
      <c r="Q41" t="str">
        <f t="shared" si="21"/>
        <v>3,881 (22.09)</v>
      </c>
    </row>
    <row r="42" spans="1:17" x14ac:dyDescent="0.3">
      <c r="A42" s="2"/>
      <c r="B42" s="8"/>
      <c r="C42" s="11">
        <v>26.16</v>
      </c>
      <c r="D42" s="11">
        <v>24.97</v>
      </c>
      <c r="E42" s="11">
        <v>24.64</v>
      </c>
      <c r="F42" s="11">
        <v>24.23</v>
      </c>
      <c r="G42" s="11"/>
      <c r="I42">
        <f>C44</f>
        <v>2790</v>
      </c>
      <c r="J42">
        <f t="shared" si="20"/>
        <v>3462</v>
      </c>
      <c r="K42">
        <f t="shared" si="20"/>
        <v>3652</v>
      </c>
      <c r="L42">
        <f t="shared" si="20"/>
        <v>3881</v>
      </c>
      <c r="N42" t="str">
        <f>TEXT(I44,"#,##0")&amp;" ("&amp;TEXT(I45,"0.00")&amp;")"</f>
        <v>17,569 (0.00)</v>
      </c>
      <c r="O42" t="str">
        <f t="shared" ref="O42:Q42" si="22">TEXT(J44,"#,##0")&amp;" ("&amp;TEXT(J45,"0.00")&amp;")"</f>
        <v>17,569 (0.00)</v>
      </c>
      <c r="P42" t="str">
        <f t="shared" si="22"/>
        <v>17,569 (0.00)</v>
      </c>
      <c r="Q42" t="str">
        <f t="shared" si="22"/>
        <v>17,568 (0.00)</v>
      </c>
    </row>
    <row r="43" spans="1:17" x14ac:dyDescent="0.3">
      <c r="A43" s="2"/>
      <c r="B43" s="8"/>
      <c r="C43" s="11">
        <v>84.12</v>
      </c>
      <c r="D43" s="11">
        <v>80.290000000000006</v>
      </c>
      <c r="E43" s="11">
        <v>79.209999999999994</v>
      </c>
      <c r="F43" s="11">
        <v>77.91</v>
      </c>
      <c r="G43" s="11"/>
      <c r="I43">
        <f>C47</f>
        <v>15.88</v>
      </c>
      <c r="J43">
        <f t="shared" ref="J43:L44" si="23">D47</f>
        <v>19.71</v>
      </c>
      <c r="K43">
        <f t="shared" si="23"/>
        <v>20.79</v>
      </c>
      <c r="L43">
        <f t="shared" si="23"/>
        <v>22.09</v>
      </c>
      <c r="N43" t="str">
        <f>TEXT(I46,"#,##0")&amp;" ("&amp;TEXT(I47,"0.00")&amp;")"</f>
        <v>0 (1374.00)</v>
      </c>
      <c r="O43" t="str">
        <f t="shared" ref="O43:Q43" si="24">TEXT(J46,"#,##0")&amp;" ("&amp;TEXT(J47,"0.00")&amp;")"</f>
        <v>0 (2359.00)</v>
      </c>
      <c r="P43" t="str">
        <f t="shared" si="24"/>
        <v>0 (2927.00)</v>
      </c>
      <c r="Q43" t="str">
        <f t="shared" si="24"/>
        <v>0 (2808.00)</v>
      </c>
    </row>
    <row r="44" spans="1:17" x14ac:dyDescent="0.3">
      <c r="A44" s="2"/>
      <c r="B44" s="8">
        <v>2</v>
      </c>
      <c r="C44" s="11">
        <v>2790</v>
      </c>
      <c r="D44" s="11">
        <v>3462</v>
      </c>
      <c r="E44" s="11">
        <v>3652</v>
      </c>
      <c r="F44" s="11">
        <v>3881</v>
      </c>
      <c r="G44" s="11">
        <v>13785</v>
      </c>
      <c r="I44">
        <f>C48</f>
        <v>17569</v>
      </c>
      <c r="J44">
        <f t="shared" si="23"/>
        <v>17569</v>
      </c>
      <c r="K44">
        <f t="shared" si="23"/>
        <v>17569</v>
      </c>
      <c r="L44">
        <f t="shared" si="23"/>
        <v>17568</v>
      </c>
    </row>
    <row r="45" spans="1:17" x14ac:dyDescent="0.3">
      <c r="A45" s="2"/>
      <c r="B45" s="8"/>
      <c r="C45" s="11">
        <v>3.97</v>
      </c>
      <c r="D45" s="11">
        <v>4.93</v>
      </c>
      <c r="E45" s="11">
        <v>5.2</v>
      </c>
      <c r="F45" s="11">
        <v>5.52</v>
      </c>
      <c r="G45" s="11">
        <v>19.62</v>
      </c>
      <c r="I45">
        <f>C51</f>
        <v>0</v>
      </c>
      <c r="J45">
        <f t="shared" ref="J45:L46" si="25">D51</f>
        <v>0</v>
      </c>
      <c r="K45">
        <f t="shared" si="25"/>
        <v>0</v>
      </c>
      <c r="L45">
        <f t="shared" si="25"/>
        <v>0</v>
      </c>
    </row>
    <row r="46" spans="1:17" x14ac:dyDescent="0.3">
      <c r="A46" s="2"/>
      <c r="B46" s="8"/>
      <c r="C46" s="11">
        <v>20.239999999999998</v>
      </c>
      <c r="D46" s="11">
        <v>25.11</v>
      </c>
      <c r="E46" s="11">
        <v>26.49</v>
      </c>
      <c r="F46" s="11">
        <v>28.15</v>
      </c>
      <c r="G46" s="11"/>
      <c r="I46">
        <f>C52</f>
        <v>0</v>
      </c>
      <c r="J46">
        <f t="shared" si="25"/>
        <v>0</v>
      </c>
      <c r="K46">
        <f t="shared" si="25"/>
        <v>0</v>
      </c>
      <c r="L46">
        <f t="shared" si="25"/>
        <v>0</v>
      </c>
    </row>
    <row r="47" spans="1:17" x14ac:dyDescent="0.3">
      <c r="A47" s="2"/>
      <c r="B47" s="8"/>
      <c r="C47" s="11">
        <v>15.88</v>
      </c>
      <c r="D47" s="11">
        <v>19.71</v>
      </c>
      <c r="E47" s="11">
        <v>20.79</v>
      </c>
      <c r="F47" s="11">
        <v>22.09</v>
      </c>
      <c r="G47" s="11"/>
      <c r="I47">
        <f>C55</f>
        <v>1374</v>
      </c>
      <c r="J47">
        <f t="shared" ref="J47:L47" si="26">D55</f>
        <v>2359</v>
      </c>
      <c r="K47">
        <f t="shared" si="26"/>
        <v>2927</v>
      </c>
      <c r="L47">
        <f t="shared" si="26"/>
        <v>2808</v>
      </c>
    </row>
    <row r="48" spans="1:17" x14ac:dyDescent="0.3">
      <c r="A48" s="2"/>
      <c r="B48" s="8" t="s">
        <v>24</v>
      </c>
      <c r="C48" s="11">
        <v>17569</v>
      </c>
      <c r="D48" s="11">
        <v>17569</v>
      </c>
      <c r="E48" s="11">
        <v>17569</v>
      </c>
      <c r="F48" s="11">
        <v>17568</v>
      </c>
      <c r="G48" s="11">
        <v>70275</v>
      </c>
    </row>
    <row r="49" spans="1:17" x14ac:dyDescent="0.3">
      <c r="A49" s="2"/>
      <c r="B49" s="8"/>
      <c r="C49" s="11">
        <v>25</v>
      </c>
      <c r="D49" s="11">
        <v>25</v>
      </c>
      <c r="E49" s="11">
        <v>25</v>
      </c>
      <c r="F49" s="11">
        <v>25</v>
      </c>
      <c r="G49" s="11">
        <v>100</v>
      </c>
    </row>
    <row r="50" spans="1:17" x14ac:dyDescent="0.3">
      <c r="A50" s="2"/>
      <c r="B50" s="13"/>
      <c r="C50" s="13"/>
      <c r="D50" s="13"/>
      <c r="E50" s="13"/>
      <c r="F50" s="13"/>
      <c r="G50" s="13"/>
    </row>
    <row r="51" spans="1:17" ht="17.25" thickBot="1" x14ac:dyDescent="0.35"/>
    <row r="52" spans="1:17" ht="16.5" customHeight="1" x14ac:dyDescent="0.3">
      <c r="A52" s="4" t="s">
        <v>2</v>
      </c>
      <c r="B52" s="7" t="s">
        <v>78</v>
      </c>
      <c r="C52" s="9"/>
      <c r="D52" s="9"/>
      <c r="E52" s="9"/>
      <c r="F52" s="9"/>
      <c r="G52" s="9"/>
    </row>
    <row r="53" spans="1:17" ht="16.5" customHeight="1" x14ac:dyDescent="0.3">
      <c r="A53" s="6" t="s">
        <v>3</v>
      </c>
      <c r="B53" s="8" t="s">
        <v>7</v>
      </c>
      <c r="C53" s="12" t="s">
        <v>75</v>
      </c>
      <c r="D53" s="12"/>
      <c r="E53" s="12"/>
      <c r="F53" s="12"/>
      <c r="G53" s="12"/>
    </row>
    <row r="54" spans="1:17" x14ac:dyDescent="0.3">
      <c r="A54" s="6" t="s">
        <v>20</v>
      </c>
      <c r="B54" s="8"/>
      <c r="C54" s="3">
        <v>1</v>
      </c>
      <c r="D54" s="3">
        <v>2</v>
      </c>
      <c r="E54" s="3">
        <v>3</v>
      </c>
      <c r="F54" s="3">
        <v>4</v>
      </c>
      <c r="G54" s="3" t="s">
        <v>24</v>
      </c>
    </row>
    <row r="55" spans="1:17" ht="33" x14ac:dyDescent="0.3">
      <c r="A55" s="6" t="s">
        <v>21</v>
      </c>
      <c r="B55" s="8">
        <v>1</v>
      </c>
      <c r="C55" s="11">
        <v>1374</v>
      </c>
      <c r="D55" s="11">
        <v>2359</v>
      </c>
      <c r="E55" s="11">
        <v>2927</v>
      </c>
      <c r="F55" s="11">
        <v>2808</v>
      </c>
      <c r="G55" s="11">
        <v>9468</v>
      </c>
      <c r="I55">
        <f>C55</f>
        <v>1374</v>
      </c>
      <c r="J55">
        <f t="shared" ref="J55:L55" si="27">D55</f>
        <v>2359</v>
      </c>
      <c r="K55">
        <f t="shared" si="27"/>
        <v>2927</v>
      </c>
      <c r="L55">
        <f t="shared" si="27"/>
        <v>2808</v>
      </c>
      <c r="N55" t="str">
        <f>TEXT(I55,"#,##0")&amp;" ("&amp;TEXT(I56,"0.00")&amp;")"</f>
        <v>1,374 (7.82)</v>
      </c>
      <c r="O55" t="str">
        <f t="shared" ref="O55:Q55" si="28">TEXT(J55,"#,##0")&amp;" ("&amp;TEXT(J56,"0.00")&amp;")"</f>
        <v>2,359 (13.43)</v>
      </c>
      <c r="P55" t="str">
        <f t="shared" si="28"/>
        <v>2,927 (16.66)</v>
      </c>
      <c r="Q55" t="str">
        <f t="shared" si="28"/>
        <v>2,808 (15.98)</v>
      </c>
    </row>
    <row r="56" spans="1:17" x14ac:dyDescent="0.3">
      <c r="A56" s="2"/>
      <c r="B56" s="8"/>
      <c r="C56" s="11">
        <v>1.96</v>
      </c>
      <c r="D56" s="11">
        <v>3.36</v>
      </c>
      <c r="E56" s="11">
        <v>4.17</v>
      </c>
      <c r="F56" s="11">
        <v>4</v>
      </c>
      <c r="G56" s="11">
        <v>13.47</v>
      </c>
      <c r="I56">
        <f>C58</f>
        <v>7.82</v>
      </c>
      <c r="J56">
        <f t="shared" ref="J56:L57" si="29">D58</f>
        <v>13.43</v>
      </c>
      <c r="K56">
        <f t="shared" si="29"/>
        <v>16.66</v>
      </c>
      <c r="L56">
        <f t="shared" si="29"/>
        <v>15.98</v>
      </c>
      <c r="N56" t="str">
        <f>TEXT(I57,"#,##0")&amp;" ("&amp;TEXT(I58,"0.00")&amp;")"</f>
        <v>1,299 (7.39)</v>
      </c>
      <c r="O56" t="str">
        <f t="shared" ref="O56:Q56" si="30">TEXT(J57,"#,##0")&amp;" ("&amp;TEXT(J58,"0.00")&amp;")"</f>
        <v>2,034 (11.58)</v>
      </c>
      <c r="P56" t="str">
        <f t="shared" si="30"/>
        <v>2,478 (14.10)</v>
      </c>
      <c r="Q56" t="str">
        <f t="shared" si="30"/>
        <v>2,358 (13.42)</v>
      </c>
    </row>
    <row r="57" spans="1:17" x14ac:dyDescent="0.3">
      <c r="A57" s="2"/>
      <c r="B57" s="8"/>
      <c r="C57" s="11">
        <v>14.51</v>
      </c>
      <c r="D57" s="11">
        <v>24.92</v>
      </c>
      <c r="E57" s="11">
        <v>30.91</v>
      </c>
      <c r="F57" s="11">
        <v>29.66</v>
      </c>
      <c r="G57" s="11"/>
      <c r="I57">
        <f>C59</f>
        <v>1299</v>
      </c>
      <c r="J57">
        <f t="shared" si="29"/>
        <v>2034</v>
      </c>
      <c r="K57">
        <f t="shared" si="29"/>
        <v>2478</v>
      </c>
      <c r="L57">
        <f t="shared" si="29"/>
        <v>2358</v>
      </c>
      <c r="N57" t="str">
        <f>TEXT(I59,"#,##0")&amp;" ("&amp;TEXT(I60,"0.00")&amp;")"</f>
        <v>4,064 (23.13)</v>
      </c>
      <c r="O57" t="str">
        <f t="shared" ref="O57:Q57" si="31">TEXT(J59,"#,##0")&amp;" ("&amp;TEXT(J60,"0.00")&amp;")"</f>
        <v>4,609 (26.23)</v>
      </c>
      <c r="P57" t="str">
        <f t="shared" si="31"/>
        <v>4,753 (27.05)</v>
      </c>
      <c r="Q57" t="str">
        <f t="shared" si="31"/>
        <v>4,731 (26.93)</v>
      </c>
    </row>
    <row r="58" spans="1:17" x14ac:dyDescent="0.3">
      <c r="A58" s="2"/>
      <c r="B58" s="8"/>
      <c r="C58" s="11">
        <v>7.82</v>
      </c>
      <c r="D58" s="11">
        <v>13.43</v>
      </c>
      <c r="E58" s="11">
        <v>16.66</v>
      </c>
      <c r="F58" s="11">
        <v>15.98</v>
      </c>
      <c r="G58" s="11"/>
      <c r="I58">
        <f>C62</f>
        <v>7.39</v>
      </c>
      <c r="J58">
        <f t="shared" ref="J58:L59" si="32">D62</f>
        <v>11.58</v>
      </c>
      <c r="K58">
        <f t="shared" si="32"/>
        <v>14.1</v>
      </c>
      <c r="L58">
        <f t="shared" si="32"/>
        <v>13.42</v>
      </c>
      <c r="N58" t="str">
        <f>TEXT(I61,"#,##0")&amp;" ("&amp;TEXT(I62,"0.00")&amp;")"</f>
        <v>10,832 (61.65)</v>
      </c>
      <c r="O58" t="str">
        <f t="shared" ref="O58:Q58" si="33">TEXT(J61,"#,##0")&amp;" ("&amp;TEXT(J62,"0.00")&amp;")"</f>
        <v>8,567 (48.76)</v>
      </c>
      <c r="P58" t="str">
        <f t="shared" si="33"/>
        <v>7,411 (42.18)</v>
      </c>
      <c r="Q58" t="str">
        <f t="shared" si="33"/>
        <v>7,671 (43.66)</v>
      </c>
    </row>
    <row r="59" spans="1:17" x14ac:dyDescent="0.3">
      <c r="A59" s="2"/>
      <c r="B59" s="8">
        <v>2</v>
      </c>
      <c r="C59" s="11">
        <v>1299</v>
      </c>
      <c r="D59" s="11">
        <v>2034</v>
      </c>
      <c r="E59" s="11">
        <v>2478</v>
      </c>
      <c r="F59" s="11">
        <v>2358</v>
      </c>
      <c r="G59" s="11">
        <v>8169</v>
      </c>
      <c r="I59">
        <f>C63</f>
        <v>4064</v>
      </c>
      <c r="J59">
        <f t="shared" si="32"/>
        <v>4609</v>
      </c>
      <c r="K59">
        <f t="shared" si="32"/>
        <v>4753</v>
      </c>
      <c r="L59">
        <f t="shared" si="32"/>
        <v>4731</v>
      </c>
    </row>
    <row r="60" spans="1:17" x14ac:dyDescent="0.3">
      <c r="A60" s="2"/>
      <c r="B60" s="8"/>
      <c r="C60" s="11">
        <v>1.85</v>
      </c>
      <c r="D60" s="11">
        <v>2.89</v>
      </c>
      <c r="E60" s="11">
        <v>3.53</v>
      </c>
      <c r="F60" s="11">
        <v>3.36</v>
      </c>
      <c r="G60" s="11">
        <v>11.62</v>
      </c>
      <c r="I60">
        <f>C66</f>
        <v>23.13</v>
      </c>
      <c r="J60">
        <f t="shared" ref="J60:L61" si="34">D66</f>
        <v>26.23</v>
      </c>
      <c r="K60">
        <f t="shared" si="34"/>
        <v>27.05</v>
      </c>
      <c r="L60">
        <f t="shared" si="34"/>
        <v>26.93</v>
      </c>
    </row>
    <row r="61" spans="1:17" x14ac:dyDescent="0.3">
      <c r="A61" s="2"/>
      <c r="B61" s="8"/>
      <c r="C61" s="11">
        <v>15.9</v>
      </c>
      <c r="D61" s="11">
        <v>24.9</v>
      </c>
      <c r="E61" s="11">
        <v>30.33</v>
      </c>
      <c r="F61" s="11">
        <v>28.87</v>
      </c>
      <c r="G61" s="11"/>
      <c r="I61">
        <f>C67</f>
        <v>10832</v>
      </c>
      <c r="J61">
        <f t="shared" si="34"/>
        <v>8567</v>
      </c>
      <c r="K61">
        <f t="shared" si="34"/>
        <v>7411</v>
      </c>
      <c r="L61">
        <f t="shared" si="34"/>
        <v>7671</v>
      </c>
    </row>
    <row r="62" spans="1:17" x14ac:dyDescent="0.3">
      <c r="A62" s="2"/>
      <c r="B62" s="8"/>
      <c r="C62" s="11">
        <v>7.39</v>
      </c>
      <c r="D62" s="11">
        <v>11.58</v>
      </c>
      <c r="E62" s="11">
        <v>14.1</v>
      </c>
      <c r="F62" s="11">
        <v>13.42</v>
      </c>
      <c r="G62" s="11"/>
      <c r="I62">
        <f>C70</f>
        <v>61.65</v>
      </c>
      <c r="J62">
        <f t="shared" ref="J62:L62" si="35">D70</f>
        <v>48.76</v>
      </c>
      <c r="K62">
        <f t="shared" si="35"/>
        <v>42.18</v>
      </c>
      <c r="L62">
        <f t="shared" si="35"/>
        <v>43.66</v>
      </c>
    </row>
    <row r="63" spans="1:17" x14ac:dyDescent="0.3">
      <c r="A63" s="2"/>
      <c r="B63" s="8">
        <v>3</v>
      </c>
      <c r="C63" s="11">
        <v>4064</v>
      </c>
      <c r="D63" s="11">
        <v>4609</v>
      </c>
      <c r="E63" s="11">
        <v>4753</v>
      </c>
      <c r="F63" s="11">
        <v>4731</v>
      </c>
      <c r="G63" s="11">
        <v>18157</v>
      </c>
    </row>
    <row r="64" spans="1:17" x14ac:dyDescent="0.3">
      <c r="A64" s="2"/>
      <c r="B64" s="8"/>
      <c r="C64" s="11">
        <v>5.78</v>
      </c>
      <c r="D64" s="11">
        <v>6.56</v>
      </c>
      <c r="E64" s="11">
        <v>6.76</v>
      </c>
      <c r="F64" s="11">
        <v>6.73</v>
      </c>
      <c r="G64" s="11">
        <v>25.84</v>
      </c>
    </row>
    <row r="65" spans="1:17" x14ac:dyDescent="0.3">
      <c r="A65" s="2"/>
      <c r="B65" s="8"/>
      <c r="C65" s="11">
        <v>22.38</v>
      </c>
      <c r="D65" s="11">
        <v>25.38</v>
      </c>
      <c r="E65" s="11">
        <v>26.18</v>
      </c>
      <c r="F65" s="11">
        <v>26.06</v>
      </c>
      <c r="G65" s="11"/>
    </row>
    <row r="66" spans="1:17" x14ac:dyDescent="0.3">
      <c r="A66" s="2"/>
      <c r="B66" s="8"/>
      <c r="C66" s="11">
        <v>23.13</v>
      </c>
      <c r="D66" s="11">
        <v>26.23</v>
      </c>
      <c r="E66" s="11">
        <v>27.05</v>
      </c>
      <c r="F66" s="11">
        <v>26.93</v>
      </c>
      <c r="G66" s="11"/>
    </row>
    <row r="67" spans="1:17" x14ac:dyDescent="0.3">
      <c r="A67" s="2"/>
      <c r="B67" s="8">
        <v>4</v>
      </c>
      <c r="C67" s="11">
        <v>10832</v>
      </c>
      <c r="D67" s="11">
        <v>8567</v>
      </c>
      <c r="E67" s="11">
        <v>7411</v>
      </c>
      <c r="F67" s="11">
        <v>7671</v>
      </c>
      <c r="G67" s="11">
        <v>34481</v>
      </c>
    </row>
    <row r="68" spans="1:17" x14ac:dyDescent="0.3">
      <c r="A68" s="2"/>
      <c r="B68" s="8"/>
      <c r="C68" s="11">
        <v>15.41</v>
      </c>
      <c r="D68" s="11">
        <v>12.19</v>
      </c>
      <c r="E68" s="11">
        <v>10.55</v>
      </c>
      <c r="F68" s="11">
        <v>10.92</v>
      </c>
      <c r="G68" s="11">
        <v>49.07</v>
      </c>
    </row>
    <row r="69" spans="1:17" x14ac:dyDescent="0.3">
      <c r="A69" s="2"/>
      <c r="B69" s="8"/>
      <c r="C69" s="11">
        <v>31.41</v>
      </c>
      <c r="D69" s="11">
        <v>24.85</v>
      </c>
      <c r="E69" s="11">
        <v>21.49</v>
      </c>
      <c r="F69" s="11">
        <v>22.25</v>
      </c>
      <c r="G69" s="11"/>
    </row>
    <row r="70" spans="1:17" x14ac:dyDescent="0.3">
      <c r="A70" s="2"/>
      <c r="B70" s="8"/>
      <c r="C70" s="11">
        <v>61.65</v>
      </c>
      <c r="D70" s="11">
        <v>48.76</v>
      </c>
      <c r="E70" s="11">
        <v>42.18</v>
      </c>
      <c r="F70" s="11">
        <v>43.66</v>
      </c>
      <c r="G70" s="11"/>
    </row>
    <row r="71" spans="1:17" x14ac:dyDescent="0.3">
      <c r="A71" s="2"/>
      <c r="B71" s="8" t="s">
        <v>24</v>
      </c>
      <c r="C71" s="11">
        <v>17569</v>
      </c>
      <c r="D71" s="11">
        <v>17569</v>
      </c>
      <c r="E71" s="11">
        <v>17569</v>
      </c>
      <c r="F71" s="11">
        <v>17568</v>
      </c>
      <c r="G71" s="11">
        <v>70275</v>
      </c>
    </row>
    <row r="72" spans="1:17" x14ac:dyDescent="0.3">
      <c r="A72" s="2"/>
      <c r="B72" s="8"/>
      <c r="C72" s="11">
        <v>25</v>
      </c>
      <c r="D72" s="11">
        <v>25</v>
      </c>
      <c r="E72" s="11">
        <v>25</v>
      </c>
      <c r="F72" s="11">
        <v>25</v>
      </c>
      <c r="G72" s="11">
        <v>100</v>
      </c>
    </row>
    <row r="73" spans="1:17" x14ac:dyDescent="0.3">
      <c r="A73" s="2"/>
      <c r="B73" s="13"/>
      <c r="C73" s="13"/>
      <c r="D73" s="13"/>
      <c r="E73" s="13"/>
      <c r="F73" s="13"/>
      <c r="G73" s="13"/>
    </row>
    <row r="74" spans="1:17" ht="17.25" thickBot="1" x14ac:dyDescent="0.35"/>
    <row r="75" spans="1:17" ht="16.5" customHeight="1" x14ac:dyDescent="0.3">
      <c r="A75" s="4" t="s">
        <v>2</v>
      </c>
      <c r="B75" s="7" t="s">
        <v>79</v>
      </c>
      <c r="C75" s="9"/>
      <c r="D75" s="9"/>
      <c r="E75" s="9"/>
      <c r="F75" s="9"/>
      <c r="G75" s="9"/>
    </row>
    <row r="76" spans="1:17" ht="16.5" customHeight="1" x14ac:dyDescent="0.3">
      <c r="A76" s="6" t="s">
        <v>3</v>
      </c>
      <c r="B76" s="8" t="s">
        <v>8</v>
      </c>
      <c r="C76" s="12" t="s">
        <v>75</v>
      </c>
      <c r="D76" s="12"/>
      <c r="E76" s="12"/>
      <c r="F76" s="12"/>
      <c r="G76" s="12"/>
    </row>
    <row r="77" spans="1:17" x14ac:dyDescent="0.3">
      <c r="A77" s="6" t="s">
        <v>20</v>
      </c>
      <c r="B77" s="8"/>
      <c r="C77" s="3">
        <v>1</v>
      </c>
      <c r="D77" s="3">
        <v>2</v>
      </c>
      <c r="E77" s="3">
        <v>3</v>
      </c>
      <c r="F77" s="3">
        <v>4</v>
      </c>
      <c r="G77" s="3" t="s">
        <v>24</v>
      </c>
    </row>
    <row r="78" spans="1:17" ht="33" x14ac:dyDescent="0.3">
      <c r="A78" s="6" t="s">
        <v>21</v>
      </c>
      <c r="B78" s="8">
        <v>1</v>
      </c>
      <c r="C78" s="11">
        <v>2400</v>
      </c>
      <c r="D78" s="11">
        <v>2852</v>
      </c>
      <c r="E78" s="11">
        <v>3120</v>
      </c>
      <c r="F78" s="11">
        <v>3270</v>
      </c>
      <c r="G78" s="11">
        <v>11642</v>
      </c>
      <c r="I78">
        <f>C78</f>
        <v>2400</v>
      </c>
      <c r="J78">
        <f t="shared" ref="J78:L78" si="36">D78</f>
        <v>2852</v>
      </c>
      <c r="K78">
        <f t="shared" si="36"/>
        <v>3120</v>
      </c>
      <c r="L78">
        <f t="shared" si="36"/>
        <v>3270</v>
      </c>
      <c r="N78" t="str">
        <f>TEXT(I78,"#,##0")&amp;" ("&amp;TEXT(I79,"0.00")&amp;")"</f>
        <v>2,400 (13.66)</v>
      </c>
      <c r="O78" t="str">
        <f t="shared" ref="O78:Q78" si="37">TEXT(J78,"#,##0")&amp;" ("&amp;TEXT(J79,"0.00")&amp;")"</f>
        <v>2,852 (16.23)</v>
      </c>
      <c r="P78" t="str">
        <f t="shared" si="37"/>
        <v>3,120 (17.76)</v>
      </c>
      <c r="Q78" t="str">
        <f t="shared" si="37"/>
        <v>3,270 (18.61)</v>
      </c>
    </row>
    <row r="79" spans="1:17" x14ac:dyDescent="0.3">
      <c r="A79" s="2"/>
      <c r="B79" s="8"/>
      <c r="C79" s="11">
        <v>3.42</v>
      </c>
      <c r="D79" s="11">
        <v>4.0599999999999996</v>
      </c>
      <c r="E79" s="11">
        <v>4.4400000000000004</v>
      </c>
      <c r="F79" s="11">
        <v>4.6500000000000004</v>
      </c>
      <c r="G79" s="11">
        <v>16.57</v>
      </c>
      <c r="I79">
        <f>C81</f>
        <v>13.66</v>
      </c>
      <c r="J79">
        <f t="shared" ref="J79:L80" si="38">D81</f>
        <v>16.23</v>
      </c>
      <c r="K79">
        <f t="shared" si="38"/>
        <v>17.760000000000002</v>
      </c>
      <c r="L79">
        <f t="shared" si="38"/>
        <v>18.61</v>
      </c>
      <c r="N79" t="str">
        <f>TEXT(I80,"#,##0")&amp;" ("&amp;TEXT(I81,"0.00")&amp;")"</f>
        <v>4,001 (22.77)</v>
      </c>
      <c r="O79" t="str">
        <f t="shared" ref="O79:Q79" si="39">TEXT(J80,"#,##0")&amp;" ("&amp;TEXT(J81,"0.00")&amp;")"</f>
        <v>4,231 (24.08)</v>
      </c>
      <c r="P79" t="str">
        <f t="shared" si="39"/>
        <v>4,514 (25.69)</v>
      </c>
      <c r="Q79" t="str">
        <f t="shared" si="39"/>
        <v>4,561 (25.96)</v>
      </c>
    </row>
    <row r="80" spans="1:17" x14ac:dyDescent="0.3">
      <c r="A80" s="2"/>
      <c r="B80" s="8"/>
      <c r="C80" s="11">
        <v>20.62</v>
      </c>
      <c r="D80" s="11">
        <v>24.5</v>
      </c>
      <c r="E80" s="11">
        <v>26.8</v>
      </c>
      <c r="F80" s="11">
        <v>28.09</v>
      </c>
      <c r="G80" s="11"/>
      <c r="I80">
        <f>C82</f>
        <v>4001</v>
      </c>
      <c r="J80">
        <f t="shared" si="38"/>
        <v>4231</v>
      </c>
      <c r="K80">
        <f t="shared" si="38"/>
        <v>4514</v>
      </c>
      <c r="L80">
        <f t="shared" si="38"/>
        <v>4561</v>
      </c>
      <c r="N80" t="str">
        <f>TEXT(I82,"#,##0")&amp;" ("&amp;TEXT(I83,"0.00")&amp;")"</f>
        <v>5,199 (29.59)</v>
      </c>
      <c r="O80" t="str">
        <f t="shared" ref="O80:Q80" si="40">TEXT(J82,"#,##0")&amp;" ("&amp;TEXT(J83,"0.00")&amp;")"</f>
        <v>5,005 (28.49)</v>
      </c>
      <c r="P80" t="str">
        <f t="shared" si="40"/>
        <v>4,865 (27.69)</v>
      </c>
      <c r="Q80" t="str">
        <f t="shared" si="40"/>
        <v>4,926 (28.04)</v>
      </c>
    </row>
    <row r="81" spans="1:17" x14ac:dyDescent="0.3">
      <c r="A81" s="2"/>
      <c r="B81" s="8"/>
      <c r="C81" s="11">
        <v>13.66</v>
      </c>
      <c r="D81" s="11">
        <v>16.23</v>
      </c>
      <c r="E81" s="11">
        <v>17.760000000000002</v>
      </c>
      <c r="F81" s="11">
        <v>18.61</v>
      </c>
      <c r="G81" s="11"/>
      <c r="I81">
        <f>C85</f>
        <v>22.77</v>
      </c>
      <c r="J81">
        <f t="shared" ref="J81:L82" si="41">D85</f>
        <v>24.08</v>
      </c>
      <c r="K81">
        <f t="shared" si="41"/>
        <v>25.69</v>
      </c>
      <c r="L81">
        <f t="shared" si="41"/>
        <v>25.96</v>
      </c>
      <c r="N81" t="str">
        <f>TEXT(I84,"#,##0")&amp;" ("&amp;TEXT(I85,"0.00")&amp;")"</f>
        <v>5,969 (33.97)</v>
      </c>
      <c r="O81" t="str">
        <f t="shared" ref="O81:Q81" si="42">TEXT(J84,"#,##0")&amp;" ("&amp;TEXT(J85,"0.00")&amp;")"</f>
        <v>5,481 (31.20)</v>
      </c>
      <c r="P81" t="str">
        <f t="shared" si="42"/>
        <v>5,070 (28.86)</v>
      </c>
      <c r="Q81" t="str">
        <f t="shared" si="42"/>
        <v>4,811 (27.39)</v>
      </c>
    </row>
    <row r="82" spans="1:17" x14ac:dyDescent="0.3">
      <c r="A82" s="2"/>
      <c r="B82" s="8">
        <v>2</v>
      </c>
      <c r="C82" s="11">
        <v>4001</v>
      </c>
      <c r="D82" s="11">
        <v>4231</v>
      </c>
      <c r="E82" s="11">
        <v>4514</v>
      </c>
      <c r="F82" s="11">
        <v>4561</v>
      </c>
      <c r="G82" s="11">
        <v>17307</v>
      </c>
      <c r="I82">
        <f>C86</f>
        <v>5199</v>
      </c>
      <c r="J82">
        <f t="shared" si="41"/>
        <v>5005</v>
      </c>
      <c r="K82">
        <f t="shared" si="41"/>
        <v>4865</v>
      </c>
      <c r="L82">
        <f t="shared" si="41"/>
        <v>4926</v>
      </c>
    </row>
    <row r="83" spans="1:17" x14ac:dyDescent="0.3">
      <c r="A83" s="2"/>
      <c r="B83" s="8"/>
      <c r="C83" s="11">
        <v>5.69</v>
      </c>
      <c r="D83" s="11">
        <v>6.02</v>
      </c>
      <c r="E83" s="11">
        <v>6.42</v>
      </c>
      <c r="F83" s="11">
        <v>6.49</v>
      </c>
      <c r="G83" s="11">
        <v>24.63</v>
      </c>
      <c r="I83">
        <f>C89</f>
        <v>29.59</v>
      </c>
      <c r="J83">
        <f t="shared" ref="J83:L84" si="43">D89</f>
        <v>28.49</v>
      </c>
      <c r="K83">
        <f t="shared" si="43"/>
        <v>27.69</v>
      </c>
      <c r="L83">
        <f t="shared" si="43"/>
        <v>28.04</v>
      </c>
    </row>
    <row r="84" spans="1:17" x14ac:dyDescent="0.3">
      <c r="A84" s="2"/>
      <c r="B84" s="8"/>
      <c r="C84" s="11">
        <v>23.12</v>
      </c>
      <c r="D84" s="11">
        <v>24.45</v>
      </c>
      <c r="E84" s="11">
        <v>26.08</v>
      </c>
      <c r="F84" s="11">
        <v>26.35</v>
      </c>
      <c r="G84" s="11"/>
      <c r="I84">
        <f>C90</f>
        <v>5969</v>
      </c>
      <c r="J84">
        <f t="shared" si="43"/>
        <v>5481</v>
      </c>
      <c r="K84">
        <f t="shared" si="43"/>
        <v>5070</v>
      </c>
      <c r="L84">
        <f t="shared" si="43"/>
        <v>4811</v>
      </c>
    </row>
    <row r="85" spans="1:17" x14ac:dyDescent="0.3">
      <c r="A85" s="2"/>
      <c r="B85" s="8"/>
      <c r="C85" s="11">
        <v>22.77</v>
      </c>
      <c r="D85" s="11">
        <v>24.08</v>
      </c>
      <c r="E85" s="11">
        <v>25.69</v>
      </c>
      <c r="F85" s="11">
        <v>25.96</v>
      </c>
      <c r="G85" s="11"/>
      <c r="I85">
        <f>C93</f>
        <v>33.97</v>
      </c>
      <c r="J85">
        <f t="shared" ref="J85:L85" si="44">D93</f>
        <v>31.2</v>
      </c>
      <c r="K85">
        <f t="shared" si="44"/>
        <v>28.86</v>
      </c>
      <c r="L85">
        <f t="shared" si="44"/>
        <v>27.39</v>
      </c>
    </row>
    <row r="86" spans="1:17" x14ac:dyDescent="0.3">
      <c r="A86" s="2"/>
      <c r="B86" s="8">
        <v>3</v>
      </c>
      <c r="C86" s="11">
        <v>5199</v>
      </c>
      <c r="D86" s="11">
        <v>5005</v>
      </c>
      <c r="E86" s="11">
        <v>4865</v>
      </c>
      <c r="F86" s="11">
        <v>4926</v>
      </c>
      <c r="G86" s="11">
        <v>19995</v>
      </c>
    </row>
    <row r="87" spans="1:17" x14ac:dyDescent="0.3">
      <c r="A87" s="2"/>
      <c r="B87" s="8"/>
      <c r="C87" s="11">
        <v>7.4</v>
      </c>
      <c r="D87" s="11">
        <v>7.12</v>
      </c>
      <c r="E87" s="11">
        <v>6.92</v>
      </c>
      <c r="F87" s="11">
        <v>7.01</v>
      </c>
      <c r="G87" s="11">
        <v>28.45</v>
      </c>
    </row>
    <row r="88" spans="1:17" x14ac:dyDescent="0.3">
      <c r="A88" s="2"/>
      <c r="B88" s="8"/>
      <c r="C88" s="11">
        <v>26</v>
      </c>
      <c r="D88" s="11">
        <v>25.03</v>
      </c>
      <c r="E88" s="11">
        <v>24.33</v>
      </c>
      <c r="F88" s="11">
        <v>24.64</v>
      </c>
      <c r="G88" s="11"/>
    </row>
    <row r="89" spans="1:17" x14ac:dyDescent="0.3">
      <c r="A89" s="2"/>
      <c r="B89" s="8"/>
      <c r="C89" s="11">
        <v>29.59</v>
      </c>
      <c r="D89" s="11">
        <v>28.49</v>
      </c>
      <c r="E89" s="11">
        <v>27.69</v>
      </c>
      <c r="F89" s="11">
        <v>28.04</v>
      </c>
      <c r="G89" s="11"/>
    </row>
    <row r="90" spans="1:17" x14ac:dyDescent="0.3">
      <c r="A90" s="2"/>
      <c r="B90" s="8">
        <v>4</v>
      </c>
      <c r="C90" s="11">
        <v>5969</v>
      </c>
      <c r="D90" s="11">
        <v>5481</v>
      </c>
      <c r="E90" s="11">
        <v>5070</v>
      </c>
      <c r="F90" s="11">
        <v>4811</v>
      </c>
      <c r="G90" s="11">
        <v>21331</v>
      </c>
    </row>
    <row r="91" spans="1:17" x14ac:dyDescent="0.3">
      <c r="A91" s="2"/>
      <c r="B91" s="8"/>
      <c r="C91" s="11">
        <v>8.49</v>
      </c>
      <c r="D91" s="11">
        <v>7.8</v>
      </c>
      <c r="E91" s="11">
        <v>7.21</v>
      </c>
      <c r="F91" s="11">
        <v>6.85</v>
      </c>
      <c r="G91" s="11">
        <v>30.35</v>
      </c>
    </row>
    <row r="92" spans="1:17" x14ac:dyDescent="0.3">
      <c r="A92" s="2"/>
      <c r="B92" s="8"/>
      <c r="C92" s="11">
        <v>27.98</v>
      </c>
      <c r="D92" s="11">
        <v>25.69</v>
      </c>
      <c r="E92" s="11">
        <v>23.77</v>
      </c>
      <c r="F92" s="11">
        <v>22.55</v>
      </c>
      <c r="G92" s="11"/>
    </row>
    <row r="93" spans="1:17" x14ac:dyDescent="0.3">
      <c r="A93" s="2"/>
      <c r="B93" s="8"/>
      <c r="C93" s="11">
        <v>33.97</v>
      </c>
      <c r="D93" s="11">
        <v>31.2</v>
      </c>
      <c r="E93" s="11">
        <v>28.86</v>
      </c>
      <c r="F93" s="11">
        <v>27.39</v>
      </c>
      <c r="G93" s="11"/>
    </row>
    <row r="94" spans="1:17" x14ac:dyDescent="0.3">
      <c r="A94" s="2"/>
      <c r="B94" s="8" t="s">
        <v>24</v>
      </c>
      <c r="C94" s="11">
        <v>17569</v>
      </c>
      <c r="D94" s="11">
        <v>17569</v>
      </c>
      <c r="E94" s="11">
        <v>17569</v>
      </c>
      <c r="F94" s="11">
        <v>17568</v>
      </c>
      <c r="G94" s="11">
        <v>70275</v>
      </c>
    </row>
    <row r="95" spans="1:17" x14ac:dyDescent="0.3">
      <c r="A95" s="2"/>
      <c r="B95" s="8"/>
      <c r="C95" s="11">
        <v>25</v>
      </c>
      <c r="D95" s="11">
        <v>25</v>
      </c>
      <c r="E95" s="11">
        <v>25</v>
      </c>
      <c r="F95" s="11">
        <v>25</v>
      </c>
      <c r="G95" s="11">
        <v>100</v>
      </c>
    </row>
    <row r="96" spans="1:17" x14ac:dyDescent="0.3">
      <c r="A96" s="2"/>
      <c r="B96" s="13"/>
      <c r="C96" s="13"/>
      <c r="D96" s="13"/>
      <c r="E96" s="13"/>
      <c r="F96" s="13"/>
      <c r="G96" s="13"/>
    </row>
    <row r="97" spans="1:17" ht="17.25" thickBot="1" x14ac:dyDescent="0.35"/>
    <row r="98" spans="1:17" ht="16.5" customHeight="1" x14ac:dyDescent="0.3">
      <c r="A98" s="4" t="s">
        <v>2</v>
      </c>
      <c r="B98" s="7" t="s">
        <v>80</v>
      </c>
      <c r="C98" s="9"/>
      <c r="D98" s="9"/>
      <c r="E98" s="9"/>
      <c r="F98" s="9"/>
      <c r="G98" s="9"/>
    </row>
    <row r="99" spans="1:17" ht="16.5" customHeight="1" x14ac:dyDescent="0.3">
      <c r="A99" s="6" t="s">
        <v>3</v>
      </c>
      <c r="B99" s="8" t="s">
        <v>9</v>
      </c>
      <c r="C99" s="12" t="s">
        <v>75</v>
      </c>
      <c r="D99" s="12"/>
      <c r="E99" s="12"/>
      <c r="F99" s="12"/>
      <c r="G99" s="12"/>
    </row>
    <row r="100" spans="1:17" x14ac:dyDescent="0.3">
      <c r="A100" s="6" t="s">
        <v>20</v>
      </c>
      <c r="B100" s="8"/>
      <c r="C100" s="3">
        <v>1</v>
      </c>
      <c r="D100" s="3">
        <v>2</v>
      </c>
      <c r="E100" s="3">
        <v>3</v>
      </c>
      <c r="F100" s="3">
        <v>4</v>
      </c>
      <c r="G100" s="3" t="s">
        <v>24</v>
      </c>
    </row>
    <row r="101" spans="1:17" ht="33" x14ac:dyDescent="0.3">
      <c r="A101" s="6" t="s">
        <v>21</v>
      </c>
      <c r="B101" s="8">
        <v>1</v>
      </c>
      <c r="C101" s="11">
        <v>2810</v>
      </c>
      <c r="D101" s="11">
        <v>24</v>
      </c>
      <c r="E101" s="11">
        <v>1</v>
      </c>
      <c r="F101" s="11">
        <v>0</v>
      </c>
      <c r="G101" s="11">
        <v>2835</v>
      </c>
      <c r="I101">
        <f>C101</f>
        <v>2810</v>
      </c>
      <c r="J101">
        <f t="shared" ref="J101:L101" si="45">D101</f>
        <v>24</v>
      </c>
      <c r="K101">
        <f t="shared" si="45"/>
        <v>1</v>
      </c>
      <c r="L101">
        <f t="shared" si="45"/>
        <v>0</v>
      </c>
      <c r="N101" t="str">
        <f>TEXT(I101,"#,##0")&amp;" ("&amp;TEXT(I102,"0.00")&amp;")"</f>
        <v>2,810 (15.99)</v>
      </c>
      <c r="O101" t="str">
        <f t="shared" ref="O101:Q101" si="46">TEXT(J101,"#,##0")&amp;" ("&amp;TEXT(J102,"0.00")&amp;")"</f>
        <v>24 (0.14)</v>
      </c>
      <c r="P101" t="str">
        <f t="shared" si="46"/>
        <v>1 (0.01)</v>
      </c>
      <c r="Q101" t="str">
        <f t="shared" si="46"/>
        <v>0 (0.00)</v>
      </c>
    </row>
    <row r="102" spans="1:17" x14ac:dyDescent="0.3">
      <c r="A102" s="2"/>
      <c r="B102" s="8"/>
      <c r="C102" s="11">
        <v>4</v>
      </c>
      <c r="D102" s="11">
        <v>0.03</v>
      </c>
      <c r="E102" s="11">
        <v>0</v>
      </c>
      <c r="F102" s="11">
        <v>0</v>
      </c>
      <c r="G102" s="11">
        <v>4.03</v>
      </c>
      <c r="I102">
        <f>C104</f>
        <v>15.99</v>
      </c>
      <c r="J102">
        <f t="shared" ref="J102:L103" si="47">D104</f>
        <v>0.14000000000000001</v>
      </c>
      <c r="K102">
        <f t="shared" si="47"/>
        <v>0.01</v>
      </c>
      <c r="L102">
        <f t="shared" si="47"/>
        <v>0</v>
      </c>
      <c r="N102" t="str">
        <f>TEXT(I103,"#,##0")&amp;" ("&amp;TEXT(I104,"0.00")&amp;")"</f>
        <v>14,288 (81.33)</v>
      </c>
      <c r="O102" t="str">
        <f t="shared" ref="O102:Q102" si="48">TEXT(J103,"#,##0")&amp;" ("&amp;TEXT(J104,"0.00")&amp;")"</f>
        <v>9,954 (56.66)</v>
      </c>
      <c r="P102" t="str">
        <f t="shared" si="48"/>
        <v>2,506 (14.26)</v>
      </c>
      <c r="Q102" t="str">
        <f t="shared" si="48"/>
        <v>263 (1.50)</v>
      </c>
    </row>
    <row r="103" spans="1:17" x14ac:dyDescent="0.3">
      <c r="A103" s="2"/>
      <c r="B103" s="8"/>
      <c r="C103" s="11">
        <v>99.12</v>
      </c>
      <c r="D103" s="11">
        <v>0.85</v>
      </c>
      <c r="E103" s="11">
        <v>0.04</v>
      </c>
      <c r="F103" s="11">
        <v>0</v>
      </c>
      <c r="G103" s="11"/>
      <c r="I103">
        <f>C105</f>
        <v>14288</v>
      </c>
      <c r="J103">
        <f t="shared" si="47"/>
        <v>9954</v>
      </c>
      <c r="K103">
        <f t="shared" si="47"/>
        <v>2506</v>
      </c>
      <c r="L103">
        <f t="shared" si="47"/>
        <v>263</v>
      </c>
      <c r="N103" t="str">
        <f>TEXT(I105,"#,##0")&amp;" ("&amp;TEXT(I106,"0.00")&amp;")"</f>
        <v>466 (2.65)</v>
      </c>
      <c r="O103" t="str">
        <f t="shared" ref="O103:Q103" si="49">TEXT(J105,"#,##0")&amp;" ("&amp;TEXT(J106,"0.00")&amp;")"</f>
        <v>6,505 (37.03)</v>
      </c>
      <c r="P103" t="str">
        <f t="shared" si="49"/>
        <v>7,627 (43.41)</v>
      </c>
      <c r="Q103" t="str">
        <f t="shared" si="49"/>
        <v>2,047 (11.65)</v>
      </c>
    </row>
    <row r="104" spans="1:17" x14ac:dyDescent="0.3">
      <c r="A104" s="2"/>
      <c r="B104" s="8"/>
      <c r="C104" s="11">
        <v>15.99</v>
      </c>
      <c r="D104" s="11">
        <v>0.14000000000000001</v>
      </c>
      <c r="E104" s="11">
        <v>0.01</v>
      </c>
      <c r="F104" s="11">
        <v>0</v>
      </c>
      <c r="G104" s="11"/>
      <c r="I104">
        <f>C108</f>
        <v>81.33</v>
      </c>
      <c r="J104">
        <f t="shared" ref="J104:L105" si="50">D108</f>
        <v>56.66</v>
      </c>
      <c r="K104">
        <f t="shared" si="50"/>
        <v>14.26</v>
      </c>
      <c r="L104">
        <f t="shared" si="50"/>
        <v>1.5</v>
      </c>
      <c r="N104" t="str">
        <f>TEXT(I107,"#,##0")&amp;" ("&amp;TEXT(I108,"0.00")&amp;")"</f>
        <v>5 (0.03)</v>
      </c>
      <c r="O104" t="str">
        <f t="shared" ref="O104:Q104" si="51">TEXT(J107,"#,##0")&amp;" ("&amp;TEXT(J108,"0.00")&amp;")"</f>
        <v>1,086 (6.18)</v>
      </c>
      <c r="P104" t="str">
        <f t="shared" si="51"/>
        <v>7,435 (42.32)</v>
      </c>
      <c r="Q104" t="str">
        <f t="shared" si="51"/>
        <v>15,258 (86.85)</v>
      </c>
    </row>
    <row r="105" spans="1:17" x14ac:dyDescent="0.3">
      <c r="A105" s="2"/>
      <c r="B105" s="8">
        <v>2</v>
      </c>
      <c r="C105" s="11">
        <v>14288</v>
      </c>
      <c r="D105" s="11">
        <v>9954</v>
      </c>
      <c r="E105" s="11">
        <v>2506</v>
      </c>
      <c r="F105" s="11">
        <v>263</v>
      </c>
      <c r="G105" s="11">
        <v>27011</v>
      </c>
      <c r="I105">
        <f>C109</f>
        <v>466</v>
      </c>
      <c r="J105">
        <f t="shared" si="50"/>
        <v>6505</v>
      </c>
      <c r="K105">
        <f t="shared" si="50"/>
        <v>7627</v>
      </c>
      <c r="L105">
        <f t="shared" si="50"/>
        <v>2047</v>
      </c>
    </row>
    <row r="106" spans="1:17" x14ac:dyDescent="0.3">
      <c r="A106" s="2"/>
      <c r="B106" s="8"/>
      <c r="C106" s="11">
        <v>20.329999999999998</v>
      </c>
      <c r="D106" s="11">
        <v>14.16</v>
      </c>
      <c r="E106" s="11">
        <v>3.57</v>
      </c>
      <c r="F106" s="11">
        <v>0.37</v>
      </c>
      <c r="G106" s="11">
        <v>38.44</v>
      </c>
      <c r="I106">
        <f>C112</f>
        <v>2.65</v>
      </c>
      <c r="J106">
        <f t="shared" ref="J106:L107" si="52">D112</f>
        <v>37.03</v>
      </c>
      <c r="K106">
        <f t="shared" si="52"/>
        <v>43.41</v>
      </c>
      <c r="L106">
        <f t="shared" si="52"/>
        <v>11.65</v>
      </c>
    </row>
    <row r="107" spans="1:17" x14ac:dyDescent="0.3">
      <c r="A107" s="2"/>
      <c r="B107" s="8"/>
      <c r="C107" s="11">
        <v>52.9</v>
      </c>
      <c r="D107" s="11">
        <v>36.85</v>
      </c>
      <c r="E107" s="11">
        <v>9.2799999999999994</v>
      </c>
      <c r="F107" s="11">
        <v>0.97</v>
      </c>
      <c r="G107" s="11"/>
      <c r="I107">
        <f>C113</f>
        <v>5</v>
      </c>
      <c r="J107">
        <f t="shared" si="52"/>
        <v>1086</v>
      </c>
      <c r="K107">
        <f t="shared" si="52"/>
        <v>7435</v>
      </c>
      <c r="L107">
        <f t="shared" si="52"/>
        <v>15258</v>
      </c>
    </row>
    <row r="108" spans="1:17" x14ac:dyDescent="0.3">
      <c r="A108" s="2"/>
      <c r="B108" s="8"/>
      <c r="C108" s="11">
        <v>81.33</v>
      </c>
      <c r="D108" s="11">
        <v>56.66</v>
      </c>
      <c r="E108" s="11">
        <v>14.26</v>
      </c>
      <c r="F108" s="11">
        <v>1.5</v>
      </c>
      <c r="G108" s="11"/>
      <c r="I108">
        <f>C116</f>
        <v>0.03</v>
      </c>
      <c r="J108">
        <f t="shared" ref="J108:L108" si="53">D116</f>
        <v>6.18</v>
      </c>
      <c r="K108">
        <f t="shared" si="53"/>
        <v>42.32</v>
      </c>
      <c r="L108">
        <f t="shared" si="53"/>
        <v>86.85</v>
      </c>
    </row>
    <row r="109" spans="1:17" x14ac:dyDescent="0.3">
      <c r="A109" s="2"/>
      <c r="B109" s="8">
        <v>3</v>
      </c>
      <c r="C109" s="11">
        <v>466</v>
      </c>
      <c r="D109" s="11">
        <v>6505</v>
      </c>
      <c r="E109" s="11">
        <v>7627</v>
      </c>
      <c r="F109" s="11">
        <v>2047</v>
      </c>
      <c r="G109" s="11">
        <v>16645</v>
      </c>
    </row>
    <row r="110" spans="1:17" x14ac:dyDescent="0.3">
      <c r="A110" s="2"/>
      <c r="B110" s="8"/>
      <c r="C110" s="11">
        <v>0.66</v>
      </c>
      <c r="D110" s="11">
        <v>9.26</v>
      </c>
      <c r="E110" s="11">
        <v>10.85</v>
      </c>
      <c r="F110" s="11">
        <v>2.91</v>
      </c>
      <c r="G110" s="11">
        <v>23.69</v>
      </c>
    </row>
    <row r="111" spans="1:17" x14ac:dyDescent="0.3">
      <c r="A111" s="2"/>
      <c r="B111" s="8"/>
      <c r="C111" s="11">
        <v>2.8</v>
      </c>
      <c r="D111" s="11">
        <v>39.08</v>
      </c>
      <c r="E111" s="11">
        <v>45.82</v>
      </c>
      <c r="F111" s="11">
        <v>12.3</v>
      </c>
      <c r="G111" s="11"/>
    </row>
    <row r="112" spans="1:17" x14ac:dyDescent="0.3">
      <c r="A112" s="2"/>
      <c r="B112" s="8"/>
      <c r="C112" s="11">
        <v>2.65</v>
      </c>
      <c r="D112" s="11">
        <v>37.03</v>
      </c>
      <c r="E112" s="11">
        <v>43.41</v>
      </c>
      <c r="F112" s="11">
        <v>11.65</v>
      </c>
      <c r="G112" s="11"/>
    </row>
    <row r="113" spans="1:17" x14ac:dyDescent="0.3">
      <c r="A113" s="2"/>
      <c r="B113" s="8">
        <v>4</v>
      </c>
      <c r="C113" s="11">
        <v>5</v>
      </c>
      <c r="D113" s="11">
        <v>1086</v>
      </c>
      <c r="E113" s="11">
        <v>7435</v>
      </c>
      <c r="F113" s="11">
        <v>15258</v>
      </c>
      <c r="G113" s="11">
        <v>23784</v>
      </c>
    </row>
    <row r="114" spans="1:17" x14ac:dyDescent="0.3">
      <c r="A114" s="2"/>
      <c r="B114" s="8"/>
      <c r="C114" s="11">
        <v>0.01</v>
      </c>
      <c r="D114" s="11">
        <v>1.55</v>
      </c>
      <c r="E114" s="11">
        <v>10.58</v>
      </c>
      <c r="F114" s="11">
        <v>21.71</v>
      </c>
      <c r="G114" s="11">
        <v>33.840000000000003</v>
      </c>
    </row>
    <row r="115" spans="1:17" x14ac:dyDescent="0.3">
      <c r="A115" s="2"/>
      <c r="B115" s="8"/>
      <c r="C115" s="11">
        <v>0.02</v>
      </c>
      <c r="D115" s="11">
        <v>4.57</v>
      </c>
      <c r="E115" s="11">
        <v>31.26</v>
      </c>
      <c r="F115" s="11">
        <v>64.150000000000006</v>
      </c>
      <c r="G115" s="11"/>
    </row>
    <row r="116" spans="1:17" x14ac:dyDescent="0.3">
      <c r="A116" s="2"/>
      <c r="B116" s="8"/>
      <c r="C116" s="11">
        <v>0.03</v>
      </c>
      <c r="D116" s="11">
        <v>6.18</v>
      </c>
      <c r="E116" s="11">
        <v>42.32</v>
      </c>
      <c r="F116" s="11">
        <v>86.85</v>
      </c>
      <c r="G116" s="11"/>
    </row>
    <row r="117" spans="1:17" x14ac:dyDescent="0.3">
      <c r="A117" s="2"/>
      <c r="B117" s="8" t="s">
        <v>24</v>
      </c>
      <c r="C117" s="11">
        <v>17569</v>
      </c>
      <c r="D117" s="11">
        <v>17569</v>
      </c>
      <c r="E117" s="11">
        <v>17569</v>
      </c>
      <c r="F117" s="11">
        <v>17568</v>
      </c>
      <c r="G117" s="11">
        <v>70275</v>
      </c>
    </row>
    <row r="118" spans="1:17" x14ac:dyDescent="0.3">
      <c r="A118" s="2"/>
      <c r="B118" s="8"/>
      <c r="C118" s="11">
        <v>25</v>
      </c>
      <c r="D118" s="11">
        <v>25</v>
      </c>
      <c r="E118" s="11">
        <v>25</v>
      </c>
      <c r="F118" s="11">
        <v>25</v>
      </c>
      <c r="G118" s="11">
        <v>100</v>
      </c>
    </row>
    <row r="119" spans="1:17" x14ac:dyDescent="0.3">
      <c r="A119" s="2"/>
      <c r="B119" s="13"/>
      <c r="C119" s="13"/>
      <c r="D119" s="13"/>
      <c r="E119" s="13"/>
      <c r="F119" s="13"/>
      <c r="G119" s="13"/>
    </row>
    <row r="120" spans="1:17" ht="17.25" thickBot="1" x14ac:dyDescent="0.35"/>
    <row r="121" spans="1:17" ht="16.5" customHeight="1" x14ac:dyDescent="0.3">
      <c r="A121" s="4" t="s">
        <v>2</v>
      </c>
      <c r="B121" s="7" t="s">
        <v>81</v>
      </c>
      <c r="C121" s="9"/>
      <c r="D121" s="9"/>
      <c r="E121" s="9"/>
      <c r="F121" s="9"/>
      <c r="G121" s="9"/>
    </row>
    <row r="122" spans="1:17" ht="16.5" customHeight="1" x14ac:dyDescent="0.3">
      <c r="A122" s="6" t="s">
        <v>3</v>
      </c>
      <c r="B122" s="8" t="s">
        <v>10</v>
      </c>
      <c r="C122" s="12" t="s">
        <v>75</v>
      </c>
      <c r="D122" s="12"/>
      <c r="E122" s="12"/>
      <c r="F122" s="12"/>
      <c r="G122" s="12"/>
    </row>
    <row r="123" spans="1:17" x14ac:dyDescent="0.3">
      <c r="A123" s="6" t="s">
        <v>20</v>
      </c>
      <c r="B123" s="8"/>
      <c r="C123" s="3">
        <v>1</v>
      </c>
      <c r="D123" s="3">
        <v>2</v>
      </c>
      <c r="E123" s="3">
        <v>3</v>
      </c>
      <c r="F123" s="3">
        <v>4</v>
      </c>
      <c r="G123" s="3" t="s">
        <v>24</v>
      </c>
    </row>
    <row r="124" spans="1:17" ht="33" x14ac:dyDescent="0.3">
      <c r="A124" s="6" t="s">
        <v>21</v>
      </c>
      <c r="B124" s="8">
        <v>1</v>
      </c>
      <c r="C124" s="11">
        <v>12623</v>
      </c>
      <c r="D124" s="11">
        <v>14735</v>
      </c>
      <c r="E124" s="11">
        <v>15497</v>
      </c>
      <c r="F124" s="11">
        <v>15259</v>
      </c>
      <c r="G124" s="11">
        <v>58114</v>
      </c>
      <c r="I124">
        <f>C124</f>
        <v>12623</v>
      </c>
      <c r="J124">
        <f t="shared" ref="J124:L124" si="54">D124</f>
        <v>14735</v>
      </c>
      <c r="K124">
        <f t="shared" si="54"/>
        <v>15497</v>
      </c>
      <c r="L124">
        <f t="shared" si="54"/>
        <v>15259</v>
      </c>
      <c r="N124" t="str">
        <f>TEXT(I124,"#,##0")&amp;" ("&amp;TEXT(I125,"0.00")&amp;")"</f>
        <v>12,623 (71.85)</v>
      </c>
      <c r="O124" t="str">
        <f t="shared" ref="O124:Q124" si="55">TEXT(J124,"#,##0")&amp;" ("&amp;TEXT(J125,"0.00")&amp;")"</f>
        <v>14,735 (83.87)</v>
      </c>
      <c r="P124" t="str">
        <f t="shared" si="55"/>
        <v>15,497 (88.21)</v>
      </c>
      <c r="Q124" t="str">
        <f t="shared" si="55"/>
        <v>15,259 (86.86)</v>
      </c>
    </row>
    <row r="125" spans="1:17" x14ac:dyDescent="0.3">
      <c r="A125" s="2"/>
      <c r="B125" s="8"/>
      <c r="C125" s="11">
        <v>17.96</v>
      </c>
      <c r="D125" s="11">
        <v>20.97</v>
      </c>
      <c r="E125" s="11">
        <v>22.05</v>
      </c>
      <c r="F125" s="11">
        <v>21.71</v>
      </c>
      <c r="G125" s="11">
        <v>82.7</v>
      </c>
      <c r="I125">
        <f>C127</f>
        <v>71.849999999999994</v>
      </c>
      <c r="J125">
        <f t="shared" ref="J125:L126" si="56">D127</f>
        <v>83.87</v>
      </c>
      <c r="K125">
        <f t="shared" si="56"/>
        <v>88.21</v>
      </c>
      <c r="L125">
        <f t="shared" si="56"/>
        <v>86.86</v>
      </c>
      <c r="N125" t="str">
        <f>TEXT(I126,"#,##0")&amp;" ("&amp;TEXT(I127,"0.00")&amp;")"</f>
        <v>4,946 (28.15)</v>
      </c>
      <c r="O125" t="str">
        <f t="shared" ref="O125:Q125" si="57">TEXT(J126,"#,##0")&amp;" ("&amp;TEXT(J127,"0.00")&amp;")"</f>
        <v>2,834 (16.13)</v>
      </c>
      <c r="P125" t="str">
        <f t="shared" si="57"/>
        <v>2,072 (11.79)</v>
      </c>
      <c r="Q125" t="str">
        <f t="shared" si="57"/>
        <v>2,309 (13.14)</v>
      </c>
    </row>
    <row r="126" spans="1:17" x14ac:dyDescent="0.3">
      <c r="A126" s="2"/>
      <c r="B126" s="8"/>
      <c r="C126" s="11">
        <v>21.72</v>
      </c>
      <c r="D126" s="11">
        <v>25.36</v>
      </c>
      <c r="E126" s="11">
        <v>26.67</v>
      </c>
      <c r="F126" s="11">
        <v>26.26</v>
      </c>
      <c r="G126" s="11"/>
      <c r="I126">
        <f>C128</f>
        <v>4946</v>
      </c>
      <c r="J126">
        <f t="shared" si="56"/>
        <v>2834</v>
      </c>
      <c r="K126">
        <f t="shared" si="56"/>
        <v>2072</v>
      </c>
      <c r="L126">
        <f t="shared" si="56"/>
        <v>2309</v>
      </c>
      <c r="N126" t="str">
        <f>TEXT(I128,"#,##0")&amp;" ("&amp;TEXT(I129,"0.00")&amp;")"</f>
        <v>17,569 (0.00)</v>
      </c>
      <c r="O126" t="str">
        <f t="shared" ref="O126:Q126" si="58">TEXT(J128,"#,##0")&amp;" ("&amp;TEXT(J129,"0.00")&amp;")"</f>
        <v>17,569 (0.00)</v>
      </c>
      <c r="P126" t="str">
        <f t="shared" si="58"/>
        <v>17,569 (0.00)</v>
      </c>
      <c r="Q126" t="str">
        <f t="shared" si="58"/>
        <v>17,568 (0.00)</v>
      </c>
    </row>
    <row r="127" spans="1:17" x14ac:dyDescent="0.3">
      <c r="A127" s="2"/>
      <c r="B127" s="8"/>
      <c r="C127" s="11">
        <v>71.849999999999994</v>
      </c>
      <c r="D127" s="11">
        <v>83.87</v>
      </c>
      <c r="E127" s="11">
        <v>88.21</v>
      </c>
      <c r="F127" s="11">
        <v>86.86</v>
      </c>
      <c r="G127" s="11"/>
      <c r="I127">
        <f>C131</f>
        <v>28.15</v>
      </c>
      <c r="J127">
        <f t="shared" ref="J127:L128" si="59">D131</f>
        <v>16.13</v>
      </c>
      <c r="K127">
        <f t="shared" si="59"/>
        <v>11.79</v>
      </c>
      <c r="L127">
        <f t="shared" si="59"/>
        <v>13.14</v>
      </c>
      <c r="N127" t="str">
        <f>TEXT(I130,"#,##0")&amp;" ("&amp;TEXT(I131,"0.00")&amp;")"</f>
        <v>0 (6333.00)</v>
      </c>
      <c r="O127" t="str">
        <f t="shared" ref="O127:Q127" si="60">TEXT(J130,"#,##0")&amp;" ("&amp;TEXT(J131,"0.00")&amp;")"</f>
        <v>0 (6371.00)</v>
      </c>
      <c r="P127" t="str">
        <f t="shared" si="60"/>
        <v>0 (5818.00)</v>
      </c>
      <c r="Q127" t="str">
        <f t="shared" si="60"/>
        <v>0 (4893.00)</v>
      </c>
    </row>
    <row r="128" spans="1:17" x14ac:dyDescent="0.3">
      <c r="A128" s="2"/>
      <c r="B128" s="8">
        <v>2</v>
      </c>
      <c r="C128" s="11">
        <v>4946</v>
      </c>
      <c r="D128" s="11">
        <v>2834</v>
      </c>
      <c r="E128" s="11">
        <v>2072</v>
      </c>
      <c r="F128" s="11">
        <v>2309</v>
      </c>
      <c r="G128" s="11">
        <v>12161</v>
      </c>
      <c r="I128">
        <f>C132</f>
        <v>17569</v>
      </c>
      <c r="J128">
        <f t="shared" si="59"/>
        <v>17569</v>
      </c>
      <c r="K128">
        <f t="shared" si="59"/>
        <v>17569</v>
      </c>
      <c r="L128">
        <f t="shared" si="59"/>
        <v>17568</v>
      </c>
    </row>
    <row r="129" spans="1:17" x14ac:dyDescent="0.3">
      <c r="A129" s="2"/>
      <c r="B129" s="8"/>
      <c r="C129" s="11">
        <v>7.04</v>
      </c>
      <c r="D129" s="11">
        <v>4.03</v>
      </c>
      <c r="E129" s="11">
        <v>2.95</v>
      </c>
      <c r="F129" s="11">
        <v>3.29</v>
      </c>
      <c r="G129" s="11">
        <v>17.3</v>
      </c>
      <c r="I129">
        <f>C135</f>
        <v>0</v>
      </c>
      <c r="J129">
        <f t="shared" ref="J129:L130" si="61">D135</f>
        <v>0</v>
      </c>
      <c r="K129">
        <f t="shared" si="61"/>
        <v>0</v>
      </c>
      <c r="L129">
        <f t="shared" si="61"/>
        <v>0</v>
      </c>
    </row>
    <row r="130" spans="1:17" x14ac:dyDescent="0.3">
      <c r="A130" s="2"/>
      <c r="B130" s="8"/>
      <c r="C130" s="11">
        <v>40.67</v>
      </c>
      <c r="D130" s="11">
        <v>23.3</v>
      </c>
      <c r="E130" s="11">
        <v>17.04</v>
      </c>
      <c r="F130" s="11">
        <v>18.989999999999998</v>
      </c>
      <c r="G130" s="11"/>
      <c r="I130">
        <f>C136</f>
        <v>0</v>
      </c>
      <c r="J130">
        <f t="shared" si="61"/>
        <v>0</v>
      </c>
      <c r="K130">
        <f t="shared" si="61"/>
        <v>0</v>
      </c>
      <c r="L130">
        <f t="shared" si="61"/>
        <v>0</v>
      </c>
    </row>
    <row r="131" spans="1:17" x14ac:dyDescent="0.3">
      <c r="A131" s="2"/>
      <c r="B131" s="8"/>
      <c r="C131" s="11">
        <v>28.15</v>
      </c>
      <c r="D131" s="11">
        <v>16.13</v>
      </c>
      <c r="E131" s="11">
        <v>11.79</v>
      </c>
      <c r="F131" s="11">
        <v>13.14</v>
      </c>
      <c r="G131" s="11"/>
      <c r="I131">
        <f>C139</f>
        <v>6333</v>
      </c>
      <c r="J131">
        <f t="shared" ref="J131:L131" si="62">D139</f>
        <v>6371</v>
      </c>
      <c r="K131">
        <f t="shared" si="62"/>
        <v>5818</v>
      </c>
      <c r="L131">
        <f t="shared" si="62"/>
        <v>4893</v>
      </c>
    </row>
    <row r="132" spans="1:17" x14ac:dyDescent="0.3">
      <c r="A132" s="2"/>
      <c r="B132" s="8" t="s">
        <v>24</v>
      </c>
      <c r="C132" s="11">
        <v>17569</v>
      </c>
      <c r="D132" s="11">
        <v>17569</v>
      </c>
      <c r="E132" s="11">
        <v>17569</v>
      </c>
      <c r="F132" s="11">
        <v>17568</v>
      </c>
      <c r="G132" s="11">
        <v>70275</v>
      </c>
    </row>
    <row r="133" spans="1:17" x14ac:dyDescent="0.3">
      <c r="A133" s="2"/>
      <c r="B133" s="8"/>
      <c r="C133" s="11">
        <v>25</v>
      </c>
      <c r="D133" s="11">
        <v>25</v>
      </c>
      <c r="E133" s="11">
        <v>25</v>
      </c>
      <c r="F133" s="11">
        <v>25</v>
      </c>
      <c r="G133" s="11">
        <v>100</v>
      </c>
    </row>
    <row r="134" spans="1:17" x14ac:dyDescent="0.3">
      <c r="A134" s="2"/>
      <c r="B134" s="13"/>
      <c r="C134" s="13"/>
      <c r="D134" s="13"/>
      <c r="E134" s="13"/>
      <c r="F134" s="13"/>
      <c r="G134" s="13"/>
    </row>
    <row r="135" spans="1:17" ht="17.25" thickBot="1" x14ac:dyDescent="0.35"/>
    <row r="136" spans="1:17" ht="16.5" customHeight="1" x14ac:dyDescent="0.3">
      <c r="A136" s="4" t="s">
        <v>2</v>
      </c>
      <c r="B136" s="7" t="s">
        <v>82</v>
      </c>
      <c r="C136" s="9"/>
      <c r="D136" s="9"/>
      <c r="E136" s="9"/>
      <c r="F136" s="9"/>
      <c r="G136" s="9"/>
    </row>
    <row r="137" spans="1:17" ht="16.5" customHeight="1" x14ac:dyDescent="0.3">
      <c r="A137" s="6" t="s">
        <v>3</v>
      </c>
      <c r="B137" s="8" t="s">
        <v>11</v>
      </c>
      <c r="C137" s="12" t="s">
        <v>75</v>
      </c>
      <c r="D137" s="12"/>
      <c r="E137" s="12"/>
      <c r="F137" s="12"/>
      <c r="G137" s="12"/>
    </row>
    <row r="138" spans="1:17" x14ac:dyDescent="0.3">
      <c r="A138" s="6" t="s">
        <v>20</v>
      </c>
      <c r="B138" s="8"/>
      <c r="C138" s="3">
        <v>1</v>
      </c>
      <c r="D138" s="3">
        <v>2</v>
      </c>
      <c r="E138" s="3">
        <v>3</v>
      </c>
      <c r="F138" s="3">
        <v>4</v>
      </c>
      <c r="G138" s="3" t="s">
        <v>24</v>
      </c>
    </row>
    <row r="139" spans="1:17" ht="33" x14ac:dyDescent="0.3">
      <c r="A139" s="6" t="s">
        <v>21</v>
      </c>
      <c r="B139" s="8">
        <v>1</v>
      </c>
      <c r="C139" s="11">
        <v>6333</v>
      </c>
      <c r="D139" s="11">
        <v>6371</v>
      </c>
      <c r="E139" s="11">
        <v>5818</v>
      </c>
      <c r="F139" s="11">
        <v>4893</v>
      </c>
      <c r="G139" s="11">
        <v>23415</v>
      </c>
      <c r="I139">
        <f>C139</f>
        <v>6333</v>
      </c>
      <c r="J139">
        <f t="shared" ref="J139:L139" si="63">D139</f>
        <v>6371</v>
      </c>
      <c r="K139">
        <f t="shared" si="63"/>
        <v>5818</v>
      </c>
      <c r="L139">
        <f t="shared" si="63"/>
        <v>4893</v>
      </c>
      <c r="N139" t="str">
        <f>TEXT(I139,"#,##0")&amp;" ("&amp;TEXT(I140,"0.00")&amp;")"</f>
        <v>6,333 (36.05)</v>
      </c>
      <c r="O139" t="str">
        <f t="shared" ref="O139:Q139" si="64">TEXT(J139,"#,##0")&amp;" ("&amp;TEXT(J140,"0.00")&amp;")"</f>
        <v>6,371 (36.26)</v>
      </c>
      <c r="P139" t="str">
        <f t="shared" si="64"/>
        <v>5,818 (33.12)</v>
      </c>
      <c r="Q139" t="str">
        <f t="shared" si="64"/>
        <v>4,893 (27.85)</v>
      </c>
    </row>
    <row r="140" spans="1:17" x14ac:dyDescent="0.3">
      <c r="A140" s="2"/>
      <c r="B140" s="8"/>
      <c r="C140" s="11">
        <v>9.01</v>
      </c>
      <c r="D140" s="11">
        <v>9.07</v>
      </c>
      <c r="E140" s="11">
        <v>8.2799999999999994</v>
      </c>
      <c r="F140" s="11">
        <v>6.96</v>
      </c>
      <c r="G140" s="11">
        <v>33.32</v>
      </c>
      <c r="I140">
        <f>C142</f>
        <v>36.049999999999997</v>
      </c>
      <c r="J140">
        <f t="shared" ref="J140:L141" si="65">D142</f>
        <v>36.26</v>
      </c>
      <c r="K140">
        <f t="shared" si="65"/>
        <v>33.119999999999997</v>
      </c>
      <c r="L140">
        <f t="shared" si="65"/>
        <v>27.85</v>
      </c>
      <c r="N140" t="str">
        <f>TEXT(I141,"#,##0")&amp;" ("&amp;TEXT(I142,"0.00")&amp;")"</f>
        <v>8,519 (48.49)</v>
      </c>
      <c r="O140" t="str">
        <f t="shared" ref="O140:Q140" si="66">TEXT(J141,"#,##0")&amp;" ("&amp;TEXT(J142,"0.00")&amp;")"</f>
        <v>8,341 (47.48)</v>
      </c>
      <c r="P140" t="str">
        <f t="shared" si="66"/>
        <v>8,492 (48.34)</v>
      </c>
      <c r="Q140" t="str">
        <f t="shared" si="66"/>
        <v>8,614 (49.03)</v>
      </c>
    </row>
    <row r="141" spans="1:17" x14ac:dyDescent="0.3">
      <c r="A141" s="2"/>
      <c r="B141" s="8"/>
      <c r="C141" s="11">
        <v>27.05</v>
      </c>
      <c r="D141" s="11">
        <v>27.21</v>
      </c>
      <c r="E141" s="11">
        <v>24.85</v>
      </c>
      <c r="F141" s="11">
        <v>20.9</v>
      </c>
      <c r="G141" s="11"/>
      <c r="I141">
        <f>C143</f>
        <v>8519</v>
      </c>
      <c r="J141">
        <f t="shared" si="65"/>
        <v>8341</v>
      </c>
      <c r="K141">
        <f t="shared" si="65"/>
        <v>8492</v>
      </c>
      <c r="L141">
        <f t="shared" si="65"/>
        <v>8614</v>
      </c>
      <c r="N141" t="str">
        <f>TEXT(I143,"#,##0")&amp;" ("&amp;TEXT(I144,"0.00")&amp;")"</f>
        <v>2,717 (15.46)</v>
      </c>
      <c r="O141" t="str">
        <f t="shared" ref="O141:Q141" si="67">TEXT(J143,"#,##0")&amp;" ("&amp;TEXT(J144,"0.00")&amp;")"</f>
        <v>2,857 (16.26)</v>
      </c>
      <c r="P141" t="str">
        <f t="shared" si="67"/>
        <v>3,259 (18.55)</v>
      </c>
      <c r="Q141" t="str">
        <f t="shared" si="67"/>
        <v>4,061 (23.12)</v>
      </c>
    </row>
    <row r="142" spans="1:17" x14ac:dyDescent="0.3">
      <c r="A142" s="2"/>
      <c r="B142" s="8"/>
      <c r="C142" s="11">
        <v>36.049999999999997</v>
      </c>
      <c r="D142" s="11">
        <v>36.26</v>
      </c>
      <c r="E142" s="11">
        <v>33.119999999999997</v>
      </c>
      <c r="F142" s="11">
        <v>27.85</v>
      </c>
      <c r="G142" s="11"/>
      <c r="I142">
        <f>C146</f>
        <v>48.49</v>
      </c>
      <c r="J142">
        <f t="shared" ref="J142:L143" si="68">D146</f>
        <v>47.48</v>
      </c>
      <c r="K142">
        <f t="shared" si="68"/>
        <v>48.34</v>
      </c>
      <c r="L142">
        <f t="shared" si="68"/>
        <v>49.03</v>
      </c>
      <c r="N142" t="str">
        <f>TEXT(I145,"#,##0")&amp;" ("&amp;TEXT(I146,"0.00")&amp;")"</f>
        <v>17,569 (0.00)</v>
      </c>
      <c r="O142" t="str">
        <f t="shared" ref="O142:Q142" si="69">TEXT(J145,"#,##0")&amp;" ("&amp;TEXT(J146,"0.00")&amp;")"</f>
        <v>17,569 (0.00)</v>
      </c>
      <c r="P142" t="str">
        <f t="shared" si="69"/>
        <v>17,569 (0.00)</v>
      </c>
      <c r="Q142" t="str">
        <f t="shared" si="69"/>
        <v>17,568 (0.00)</v>
      </c>
    </row>
    <row r="143" spans="1:17" x14ac:dyDescent="0.3">
      <c r="A143" s="2"/>
      <c r="B143" s="8">
        <v>2</v>
      </c>
      <c r="C143" s="11">
        <v>8519</v>
      </c>
      <c r="D143" s="11">
        <v>8341</v>
      </c>
      <c r="E143" s="11">
        <v>8492</v>
      </c>
      <c r="F143" s="11">
        <v>8614</v>
      </c>
      <c r="G143" s="11">
        <v>33966</v>
      </c>
      <c r="I143">
        <f>C147</f>
        <v>2717</v>
      </c>
      <c r="J143">
        <f t="shared" si="68"/>
        <v>2857</v>
      </c>
      <c r="K143">
        <f t="shared" si="68"/>
        <v>3259</v>
      </c>
      <c r="L143">
        <f t="shared" si="68"/>
        <v>4061</v>
      </c>
    </row>
    <row r="144" spans="1:17" x14ac:dyDescent="0.3">
      <c r="A144" s="2"/>
      <c r="B144" s="8"/>
      <c r="C144" s="11">
        <v>12.12</v>
      </c>
      <c r="D144" s="11">
        <v>11.87</v>
      </c>
      <c r="E144" s="11">
        <v>12.08</v>
      </c>
      <c r="F144" s="11">
        <v>12.26</v>
      </c>
      <c r="G144" s="11">
        <v>48.33</v>
      </c>
      <c r="I144">
        <f>C150</f>
        <v>15.46</v>
      </c>
      <c r="J144">
        <f t="shared" ref="J144:L145" si="70">D150</f>
        <v>16.260000000000002</v>
      </c>
      <c r="K144">
        <f t="shared" si="70"/>
        <v>18.55</v>
      </c>
      <c r="L144">
        <f t="shared" si="70"/>
        <v>23.12</v>
      </c>
    </row>
    <row r="145" spans="1:17" x14ac:dyDescent="0.3">
      <c r="A145" s="2"/>
      <c r="B145" s="8"/>
      <c r="C145" s="11">
        <v>25.08</v>
      </c>
      <c r="D145" s="11">
        <v>24.56</v>
      </c>
      <c r="E145" s="11">
        <v>25</v>
      </c>
      <c r="F145" s="11">
        <v>25.36</v>
      </c>
      <c r="G145" s="11"/>
      <c r="I145">
        <f>C151</f>
        <v>17569</v>
      </c>
      <c r="J145">
        <f t="shared" si="70"/>
        <v>17569</v>
      </c>
      <c r="K145">
        <f t="shared" si="70"/>
        <v>17569</v>
      </c>
      <c r="L145">
        <f t="shared" si="70"/>
        <v>17568</v>
      </c>
    </row>
    <row r="146" spans="1:17" x14ac:dyDescent="0.3">
      <c r="A146" s="2"/>
      <c r="B146" s="8"/>
      <c r="C146" s="11">
        <v>48.49</v>
      </c>
      <c r="D146" s="11">
        <v>47.48</v>
      </c>
      <c r="E146" s="11">
        <v>48.34</v>
      </c>
      <c r="F146" s="11">
        <v>49.03</v>
      </c>
      <c r="G146" s="11"/>
      <c r="I146">
        <f>C154</f>
        <v>0</v>
      </c>
      <c r="J146">
        <f t="shared" ref="J146:L146" si="71">D154</f>
        <v>0</v>
      </c>
      <c r="K146">
        <f t="shared" si="71"/>
        <v>0</v>
      </c>
      <c r="L146">
        <f t="shared" si="71"/>
        <v>0</v>
      </c>
    </row>
    <row r="147" spans="1:17" x14ac:dyDescent="0.3">
      <c r="A147" s="2"/>
      <c r="B147" s="8">
        <v>3</v>
      </c>
      <c r="C147" s="11">
        <v>2717</v>
      </c>
      <c r="D147" s="11">
        <v>2857</v>
      </c>
      <c r="E147" s="11">
        <v>3259</v>
      </c>
      <c r="F147" s="11">
        <v>4061</v>
      </c>
      <c r="G147" s="11">
        <v>12894</v>
      </c>
    </row>
    <row r="148" spans="1:17" x14ac:dyDescent="0.3">
      <c r="A148" s="2"/>
      <c r="B148" s="8"/>
      <c r="C148" s="11">
        <v>3.87</v>
      </c>
      <c r="D148" s="11">
        <v>4.07</v>
      </c>
      <c r="E148" s="11">
        <v>4.6399999999999997</v>
      </c>
      <c r="F148" s="11">
        <v>5.78</v>
      </c>
      <c r="G148" s="11">
        <v>18.350000000000001</v>
      </c>
    </row>
    <row r="149" spans="1:17" x14ac:dyDescent="0.3">
      <c r="A149" s="2"/>
      <c r="B149" s="8"/>
      <c r="C149" s="11">
        <v>21.07</v>
      </c>
      <c r="D149" s="11">
        <v>22.16</v>
      </c>
      <c r="E149" s="11">
        <v>25.28</v>
      </c>
      <c r="F149" s="11">
        <v>31.5</v>
      </c>
      <c r="G149" s="11"/>
    </row>
    <row r="150" spans="1:17" x14ac:dyDescent="0.3">
      <c r="A150" s="2"/>
      <c r="B150" s="8"/>
      <c r="C150" s="11">
        <v>15.46</v>
      </c>
      <c r="D150" s="11">
        <v>16.260000000000002</v>
      </c>
      <c r="E150" s="11">
        <v>18.55</v>
      </c>
      <c r="F150" s="11">
        <v>23.12</v>
      </c>
      <c r="G150" s="11"/>
    </row>
    <row r="151" spans="1:17" x14ac:dyDescent="0.3">
      <c r="A151" s="2"/>
      <c r="B151" s="8" t="s">
        <v>24</v>
      </c>
      <c r="C151" s="11">
        <v>17569</v>
      </c>
      <c r="D151" s="11">
        <v>17569</v>
      </c>
      <c r="E151" s="11">
        <v>17569</v>
      </c>
      <c r="F151" s="11">
        <v>17568</v>
      </c>
      <c r="G151" s="11">
        <v>70275</v>
      </c>
    </row>
    <row r="152" spans="1:17" x14ac:dyDescent="0.3">
      <c r="A152" s="2"/>
      <c r="B152" s="8"/>
      <c r="C152" s="11">
        <v>25</v>
      </c>
      <c r="D152" s="11">
        <v>25</v>
      </c>
      <c r="E152" s="11">
        <v>25</v>
      </c>
      <c r="F152" s="11">
        <v>25</v>
      </c>
      <c r="G152" s="11">
        <v>100</v>
      </c>
    </row>
    <row r="153" spans="1:17" x14ac:dyDescent="0.3">
      <c r="A153" s="2"/>
      <c r="B153" s="13"/>
      <c r="C153" s="13"/>
      <c r="D153" s="13"/>
      <c r="E153" s="13"/>
      <c r="F153" s="13"/>
      <c r="G153" s="13"/>
    </row>
    <row r="154" spans="1:17" ht="17.25" thickBot="1" x14ac:dyDescent="0.35"/>
    <row r="155" spans="1:17" ht="16.5" customHeight="1" x14ac:dyDescent="0.3">
      <c r="A155" s="4" t="s">
        <v>2</v>
      </c>
      <c r="B155" s="7" t="s">
        <v>83</v>
      </c>
      <c r="C155" s="9"/>
      <c r="D155" s="9"/>
      <c r="E155" s="9"/>
      <c r="F155" s="9"/>
      <c r="G155" s="9"/>
    </row>
    <row r="156" spans="1:17" ht="16.5" customHeight="1" x14ac:dyDescent="0.3">
      <c r="A156" s="6" t="s">
        <v>3</v>
      </c>
      <c r="B156" s="8" t="s">
        <v>12</v>
      </c>
      <c r="C156" s="12" t="s">
        <v>75</v>
      </c>
      <c r="D156" s="12"/>
      <c r="E156" s="12"/>
      <c r="F156" s="12"/>
      <c r="G156" s="12"/>
    </row>
    <row r="157" spans="1:17" x14ac:dyDescent="0.3">
      <c r="A157" s="6" t="s">
        <v>20</v>
      </c>
      <c r="B157" s="8"/>
      <c r="C157" s="3">
        <v>1</v>
      </c>
      <c r="D157" s="3">
        <v>2</v>
      </c>
      <c r="E157" s="3">
        <v>3</v>
      </c>
      <c r="F157" s="3">
        <v>4</v>
      </c>
      <c r="G157" s="3" t="s">
        <v>24</v>
      </c>
    </row>
    <row r="158" spans="1:17" ht="33" x14ac:dyDescent="0.3">
      <c r="A158" s="6" t="s">
        <v>21</v>
      </c>
      <c r="B158" s="8">
        <v>1</v>
      </c>
      <c r="C158" s="11">
        <v>5017</v>
      </c>
      <c r="D158" s="11">
        <v>4456</v>
      </c>
      <c r="E158" s="11">
        <v>4316</v>
      </c>
      <c r="F158" s="11">
        <v>4952</v>
      </c>
      <c r="G158" s="11">
        <v>18741</v>
      </c>
      <c r="I158">
        <f>C158</f>
        <v>5017</v>
      </c>
      <c r="J158">
        <f t="shared" ref="J158:L158" si="72">D158</f>
        <v>4456</v>
      </c>
      <c r="K158">
        <f t="shared" si="72"/>
        <v>4316</v>
      </c>
      <c r="L158">
        <f t="shared" si="72"/>
        <v>4952</v>
      </c>
      <c r="N158" t="str">
        <f>TEXT(I158,"#,##0")&amp;" ("&amp;TEXT(I159,"0.00")&amp;")"</f>
        <v>5,017 (28.56)</v>
      </c>
      <c r="O158" t="str">
        <f t="shared" ref="O158:Q158" si="73">TEXT(J158,"#,##0")&amp;" ("&amp;TEXT(J159,"0.00")&amp;")"</f>
        <v>4,456 (25.36)</v>
      </c>
      <c r="P158" t="str">
        <f t="shared" si="73"/>
        <v>4,316 (24.57)</v>
      </c>
      <c r="Q158" t="str">
        <f t="shared" si="73"/>
        <v>4,952 (28.19)</v>
      </c>
    </row>
    <row r="159" spans="1:17" x14ac:dyDescent="0.3">
      <c r="A159" s="2"/>
      <c r="B159" s="8"/>
      <c r="C159" s="11">
        <v>7.14</v>
      </c>
      <c r="D159" s="11">
        <v>6.34</v>
      </c>
      <c r="E159" s="11">
        <v>6.14</v>
      </c>
      <c r="F159" s="11">
        <v>7.05</v>
      </c>
      <c r="G159" s="11">
        <v>26.67</v>
      </c>
      <c r="I159">
        <f>C161</f>
        <v>28.56</v>
      </c>
      <c r="J159">
        <f t="shared" ref="J159:L160" si="74">D161</f>
        <v>25.36</v>
      </c>
      <c r="K159">
        <f t="shared" si="74"/>
        <v>24.57</v>
      </c>
      <c r="L159">
        <f t="shared" si="74"/>
        <v>28.19</v>
      </c>
      <c r="N159" t="str">
        <f>TEXT(I160,"#,##0")&amp;" ("&amp;TEXT(I161,"0.00")&amp;")"</f>
        <v>10,274 (58.48)</v>
      </c>
      <c r="O159" t="str">
        <f t="shared" ref="O159:Q159" si="75">TEXT(J160,"#,##0")&amp;" ("&amp;TEXT(J161,"0.00")&amp;")"</f>
        <v>10,278 (58.50)</v>
      </c>
      <c r="P159" t="str">
        <f t="shared" si="75"/>
        <v>10,141 (57.72)</v>
      </c>
      <c r="Q159" t="str">
        <f t="shared" si="75"/>
        <v>9,740 (55.44)</v>
      </c>
    </row>
    <row r="160" spans="1:17" x14ac:dyDescent="0.3">
      <c r="A160" s="2"/>
      <c r="B160" s="8"/>
      <c r="C160" s="11">
        <v>26.77</v>
      </c>
      <c r="D160" s="11">
        <v>23.78</v>
      </c>
      <c r="E160" s="11">
        <v>23.03</v>
      </c>
      <c r="F160" s="11">
        <v>26.42</v>
      </c>
      <c r="G160" s="11"/>
      <c r="I160">
        <f>C162</f>
        <v>10274</v>
      </c>
      <c r="J160">
        <f t="shared" si="74"/>
        <v>10278</v>
      </c>
      <c r="K160">
        <f t="shared" si="74"/>
        <v>10141</v>
      </c>
      <c r="L160">
        <f t="shared" si="74"/>
        <v>9740</v>
      </c>
      <c r="N160" t="str">
        <f>TEXT(I162,"#,##0")&amp;" ("&amp;TEXT(I163,"0.00")&amp;")"</f>
        <v>2,278 (12.97)</v>
      </c>
      <c r="O160" t="str">
        <f t="shared" ref="O160:Q160" si="76">TEXT(J162,"#,##0")&amp;" ("&amp;TEXT(J163,"0.00")&amp;")"</f>
        <v>2,835 (16.14)</v>
      </c>
      <c r="P160" t="str">
        <f t="shared" si="76"/>
        <v>3,112 (17.71)</v>
      </c>
      <c r="Q160" t="str">
        <f t="shared" si="76"/>
        <v>2,876 (16.37)</v>
      </c>
    </row>
    <row r="161" spans="1:17" x14ac:dyDescent="0.3">
      <c r="A161" s="2"/>
      <c r="B161" s="8"/>
      <c r="C161" s="11">
        <v>28.56</v>
      </c>
      <c r="D161" s="11">
        <v>25.36</v>
      </c>
      <c r="E161" s="11">
        <v>24.57</v>
      </c>
      <c r="F161" s="11">
        <v>28.19</v>
      </c>
      <c r="G161" s="11"/>
      <c r="I161">
        <f>C165</f>
        <v>58.48</v>
      </c>
      <c r="J161">
        <f t="shared" ref="J161:L162" si="77">D165</f>
        <v>58.5</v>
      </c>
      <c r="K161">
        <f t="shared" si="77"/>
        <v>57.72</v>
      </c>
      <c r="L161">
        <f t="shared" si="77"/>
        <v>55.44</v>
      </c>
      <c r="N161" t="str">
        <f>TEXT(I164,"#,##0")&amp;" ("&amp;TEXT(I165,"0.00")&amp;")"</f>
        <v>17,569 (0.00)</v>
      </c>
      <c r="O161" t="str">
        <f t="shared" ref="O161:Q161" si="78">TEXT(J164,"#,##0")&amp;" ("&amp;TEXT(J165,"0.00")&amp;")"</f>
        <v>17,569 (0.00)</v>
      </c>
      <c r="P161" t="str">
        <f t="shared" si="78"/>
        <v>17,569 (0.00)</v>
      </c>
      <c r="Q161" t="str">
        <f t="shared" si="78"/>
        <v>17,568 (0.00)</v>
      </c>
    </row>
    <row r="162" spans="1:17" x14ac:dyDescent="0.3">
      <c r="A162" s="2"/>
      <c r="B162" s="8">
        <v>2</v>
      </c>
      <c r="C162" s="11">
        <v>10274</v>
      </c>
      <c r="D162" s="11">
        <v>10278</v>
      </c>
      <c r="E162" s="11">
        <v>10141</v>
      </c>
      <c r="F162" s="11">
        <v>9740</v>
      </c>
      <c r="G162" s="11">
        <v>40433</v>
      </c>
      <c r="I162">
        <f>C166</f>
        <v>2278</v>
      </c>
      <c r="J162">
        <f t="shared" si="77"/>
        <v>2835</v>
      </c>
      <c r="K162">
        <f t="shared" si="77"/>
        <v>3112</v>
      </c>
      <c r="L162">
        <f t="shared" si="77"/>
        <v>2876</v>
      </c>
    </row>
    <row r="163" spans="1:17" x14ac:dyDescent="0.3">
      <c r="A163" s="2"/>
      <c r="B163" s="8"/>
      <c r="C163" s="11">
        <v>14.62</v>
      </c>
      <c r="D163" s="11">
        <v>14.63</v>
      </c>
      <c r="E163" s="11">
        <v>14.43</v>
      </c>
      <c r="F163" s="11">
        <v>13.86</v>
      </c>
      <c r="G163" s="11">
        <v>57.54</v>
      </c>
      <c r="I163">
        <f>C169</f>
        <v>12.97</v>
      </c>
      <c r="J163">
        <f t="shared" ref="J163:L164" si="79">D169</f>
        <v>16.14</v>
      </c>
      <c r="K163">
        <f t="shared" si="79"/>
        <v>17.71</v>
      </c>
      <c r="L163">
        <f t="shared" si="79"/>
        <v>16.37</v>
      </c>
    </row>
    <row r="164" spans="1:17" x14ac:dyDescent="0.3">
      <c r="A164" s="2"/>
      <c r="B164" s="8"/>
      <c r="C164" s="11">
        <v>25.41</v>
      </c>
      <c r="D164" s="11">
        <v>25.42</v>
      </c>
      <c r="E164" s="11">
        <v>25.08</v>
      </c>
      <c r="F164" s="11">
        <v>24.09</v>
      </c>
      <c r="G164" s="11"/>
      <c r="I164">
        <f>C170</f>
        <v>17569</v>
      </c>
      <c r="J164">
        <f t="shared" si="79"/>
        <v>17569</v>
      </c>
      <c r="K164">
        <f t="shared" si="79"/>
        <v>17569</v>
      </c>
      <c r="L164">
        <f t="shared" si="79"/>
        <v>17568</v>
      </c>
    </row>
    <row r="165" spans="1:17" x14ac:dyDescent="0.3">
      <c r="A165" s="2"/>
      <c r="B165" s="8"/>
      <c r="C165" s="11">
        <v>58.48</v>
      </c>
      <c r="D165" s="11">
        <v>58.5</v>
      </c>
      <c r="E165" s="11">
        <v>57.72</v>
      </c>
      <c r="F165" s="11">
        <v>55.44</v>
      </c>
      <c r="G165" s="11"/>
      <c r="I165">
        <f>C173</f>
        <v>0</v>
      </c>
      <c r="J165">
        <f t="shared" ref="J165:L165" si="80">D173</f>
        <v>0</v>
      </c>
      <c r="K165">
        <f t="shared" si="80"/>
        <v>0</v>
      </c>
      <c r="L165">
        <f t="shared" si="80"/>
        <v>0</v>
      </c>
    </row>
    <row r="166" spans="1:17" x14ac:dyDescent="0.3">
      <c r="A166" s="2"/>
      <c r="B166" s="8">
        <v>3</v>
      </c>
      <c r="C166" s="11">
        <v>2278</v>
      </c>
      <c r="D166" s="11">
        <v>2835</v>
      </c>
      <c r="E166" s="11">
        <v>3112</v>
      </c>
      <c r="F166" s="11">
        <v>2876</v>
      </c>
      <c r="G166" s="11">
        <v>11101</v>
      </c>
    </row>
    <row r="167" spans="1:17" x14ac:dyDescent="0.3">
      <c r="A167" s="2"/>
      <c r="B167" s="8"/>
      <c r="C167" s="11">
        <v>3.24</v>
      </c>
      <c r="D167" s="11">
        <v>4.03</v>
      </c>
      <c r="E167" s="11">
        <v>4.43</v>
      </c>
      <c r="F167" s="11">
        <v>4.09</v>
      </c>
      <c r="G167" s="11">
        <v>15.8</v>
      </c>
    </row>
    <row r="168" spans="1:17" x14ac:dyDescent="0.3">
      <c r="A168" s="2"/>
      <c r="B168" s="8"/>
      <c r="C168" s="11">
        <v>20.52</v>
      </c>
      <c r="D168" s="11">
        <v>25.54</v>
      </c>
      <c r="E168" s="11">
        <v>28.03</v>
      </c>
      <c r="F168" s="11">
        <v>25.91</v>
      </c>
      <c r="G168" s="11"/>
    </row>
    <row r="169" spans="1:17" x14ac:dyDescent="0.3">
      <c r="A169" s="2"/>
      <c r="B169" s="8"/>
      <c r="C169" s="11">
        <v>12.97</v>
      </c>
      <c r="D169" s="11">
        <v>16.14</v>
      </c>
      <c r="E169" s="11">
        <v>17.71</v>
      </c>
      <c r="F169" s="11">
        <v>16.37</v>
      </c>
      <c r="G169" s="11"/>
    </row>
    <row r="170" spans="1:17" x14ac:dyDescent="0.3">
      <c r="A170" s="2"/>
      <c r="B170" s="8" t="s">
        <v>24</v>
      </c>
      <c r="C170" s="11">
        <v>17569</v>
      </c>
      <c r="D170" s="11">
        <v>17569</v>
      </c>
      <c r="E170" s="11">
        <v>17569</v>
      </c>
      <c r="F170" s="11">
        <v>17568</v>
      </c>
      <c r="G170" s="11">
        <v>70275</v>
      </c>
    </row>
    <row r="171" spans="1:17" x14ac:dyDescent="0.3">
      <c r="A171" s="2"/>
      <c r="B171" s="8"/>
      <c r="C171" s="11">
        <v>25</v>
      </c>
      <c r="D171" s="11">
        <v>25</v>
      </c>
      <c r="E171" s="11">
        <v>25</v>
      </c>
      <c r="F171" s="11">
        <v>25</v>
      </c>
      <c r="G171" s="11">
        <v>100</v>
      </c>
    </row>
    <row r="172" spans="1:17" x14ac:dyDescent="0.3">
      <c r="A172" s="2"/>
      <c r="B172" s="13"/>
      <c r="C172" s="13"/>
      <c r="D172" s="13"/>
      <c r="E172" s="13"/>
      <c r="F172" s="13"/>
      <c r="G172" s="13"/>
    </row>
    <row r="173" spans="1:17" ht="17.25" thickBot="1" x14ac:dyDescent="0.35"/>
    <row r="174" spans="1:17" ht="16.5" customHeight="1" x14ac:dyDescent="0.3">
      <c r="A174" s="4" t="s">
        <v>2</v>
      </c>
      <c r="B174" s="7" t="s">
        <v>84</v>
      </c>
      <c r="C174" s="9"/>
      <c r="D174" s="9"/>
      <c r="E174" s="9"/>
      <c r="F174" s="9"/>
      <c r="G174" s="9"/>
    </row>
    <row r="175" spans="1:17" ht="16.5" customHeight="1" x14ac:dyDescent="0.3">
      <c r="A175" s="6" t="s">
        <v>3</v>
      </c>
      <c r="B175" s="8" t="s">
        <v>13</v>
      </c>
      <c r="C175" s="12" t="s">
        <v>75</v>
      </c>
      <c r="D175" s="12"/>
      <c r="E175" s="12"/>
      <c r="F175" s="12"/>
      <c r="G175" s="12"/>
    </row>
    <row r="176" spans="1:17" x14ac:dyDescent="0.3">
      <c r="A176" s="6" t="s">
        <v>20</v>
      </c>
      <c r="B176" s="8"/>
      <c r="C176" s="3">
        <v>1</v>
      </c>
      <c r="D176" s="3">
        <v>2</v>
      </c>
      <c r="E176" s="3">
        <v>3</v>
      </c>
      <c r="F176" s="3">
        <v>4</v>
      </c>
      <c r="G176" s="3" t="s">
        <v>24</v>
      </c>
    </row>
    <row r="177" spans="1:17" ht="33" x14ac:dyDescent="0.3">
      <c r="A177" s="6" t="s">
        <v>21</v>
      </c>
      <c r="B177" s="8">
        <v>1</v>
      </c>
      <c r="C177" s="11">
        <v>7053</v>
      </c>
      <c r="D177" s="11">
        <v>6961</v>
      </c>
      <c r="E177" s="11">
        <v>6786</v>
      </c>
      <c r="F177" s="11">
        <v>6683</v>
      </c>
      <c r="G177" s="11">
        <v>27483</v>
      </c>
      <c r="I177">
        <f>C177</f>
        <v>7053</v>
      </c>
      <c r="J177">
        <f t="shared" ref="J177:L177" si="81">D177</f>
        <v>6961</v>
      </c>
      <c r="K177">
        <f t="shared" si="81"/>
        <v>6786</v>
      </c>
      <c r="L177">
        <f t="shared" si="81"/>
        <v>6683</v>
      </c>
      <c r="N177" t="str">
        <f>TEXT(I177,"#,##0")&amp;" ("&amp;TEXT(I178,"0.00")&amp;")"</f>
        <v>7,053 (40.14)</v>
      </c>
      <c r="O177" t="str">
        <f t="shared" ref="O177:Q177" si="82">TEXT(J177,"#,##0")&amp;" ("&amp;TEXT(J178,"0.00")&amp;")"</f>
        <v>6,961 (39.62)</v>
      </c>
      <c r="P177" t="str">
        <f t="shared" si="82"/>
        <v>6,786 (38.62)</v>
      </c>
      <c r="Q177" t="str">
        <f t="shared" si="82"/>
        <v>6,683 (38.04)</v>
      </c>
    </row>
    <row r="178" spans="1:17" x14ac:dyDescent="0.3">
      <c r="A178" s="2"/>
      <c r="B178" s="8"/>
      <c r="C178" s="11">
        <v>10.039999999999999</v>
      </c>
      <c r="D178" s="11">
        <v>9.91</v>
      </c>
      <c r="E178" s="11">
        <v>9.66</v>
      </c>
      <c r="F178" s="11">
        <v>9.51</v>
      </c>
      <c r="G178" s="11">
        <v>39.11</v>
      </c>
      <c r="I178">
        <f>C180</f>
        <v>40.14</v>
      </c>
      <c r="J178">
        <f t="shared" ref="J178:L179" si="83">D180</f>
        <v>39.619999999999997</v>
      </c>
      <c r="K178">
        <f t="shared" si="83"/>
        <v>38.619999999999997</v>
      </c>
      <c r="L178">
        <f t="shared" si="83"/>
        <v>38.04</v>
      </c>
      <c r="N178" t="str">
        <f>TEXT(I179,"#,##0")&amp;" ("&amp;TEXT(I180,"0.00")&amp;")"</f>
        <v>6,791 (38.65)</v>
      </c>
      <c r="O178" t="str">
        <f t="shared" ref="O178:Q178" si="84">TEXT(J179,"#,##0")&amp;" ("&amp;TEXT(J180,"0.00")&amp;")"</f>
        <v>6,534 (37.19)</v>
      </c>
      <c r="P178" t="str">
        <f t="shared" si="84"/>
        <v>6,164 (35.08)</v>
      </c>
      <c r="Q178" t="str">
        <f t="shared" si="84"/>
        <v>6,071 (34.56)</v>
      </c>
    </row>
    <row r="179" spans="1:17" x14ac:dyDescent="0.3">
      <c r="A179" s="2"/>
      <c r="B179" s="8"/>
      <c r="C179" s="11">
        <v>25.66</v>
      </c>
      <c r="D179" s="11">
        <v>25.33</v>
      </c>
      <c r="E179" s="11">
        <v>24.69</v>
      </c>
      <c r="F179" s="11">
        <v>24.32</v>
      </c>
      <c r="G179" s="11"/>
      <c r="I179">
        <f>C181</f>
        <v>6791</v>
      </c>
      <c r="J179">
        <f t="shared" si="83"/>
        <v>6534</v>
      </c>
      <c r="K179">
        <f t="shared" si="83"/>
        <v>6164</v>
      </c>
      <c r="L179">
        <f t="shared" si="83"/>
        <v>6071</v>
      </c>
      <c r="N179" t="str">
        <f>TEXT(I181,"#,##0")&amp;" ("&amp;TEXT(I182,"0.00")&amp;")"</f>
        <v>3,725 (21.20)</v>
      </c>
      <c r="O179" t="str">
        <f t="shared" ref="O179:Q179" si="85">TEXT(J181,"#,##0")&amp;" ("&amp;TEXT(J182,"0.00")&amp;")"</f>
        <v>4,074 (23.19)</v>
      </c>
      <c r="P179" t="str">
        <f t="shared" si="85"/>
        <v>4,619 (26.29)</v>
      </c>
      <c r="Q179" t="str">
        <f t="shared" si="85"/>
        <v>4,814 (27.40)</v>
      </c>
    </row>
    <row r="180" spans="1:17" x14ac:dyDescent="0.3">
      <c r="A180" s="2"/>
      <c r="B180" s="8"/>
      <c r="C180" s="11">
        <v>40.14</v>
      </c>
      <c r="D180" s="11">
        <v>39.619999999999997</v>
      </c>
      <c r="E180" s="11">
        <v>38.619999999999997</v>
      </c>
      <c r="F180" s="11">
        <v>38.04</v>
      </c>
      <c r="G180" s="11"/>
      <c r="I180">
        <f>C184</f>
        <v>38.65</v>
      </c>
      <c r="J180">
        <f t="shared" ref="J180:L181" si="86">D184</f>
        <v>37.19</v>
      </c>
      <c r="K180">
        <f t="shared" si="86"/>
        <v>35.08</v>
      </c>
      <c r="L180">
        <f t="shared" si="86"/>
        <v>34.56</v>
      </c>
      <c r="N180" t="str">
        <f>TEXT(I183,"#,##0")&amp;" ("&amp;TEXT(I184,"0.00")&amp;")"</f>
        <v>17,569 (0.00)</v>
      </c>
      <c r="O180" t="str">
        <f t="shared" ref="O180:Q180" si="87">TEXT(J183,"#,##0")&amp;" ("&amp;TEXT(J184,"0.00")&amp;")"</f>
        <v>17,569 (0.00)</v>
      </c>
      <c r="P180" t="str">
        <f t="shared" si="87"/>
        <v>17,569 (0.00)</v>
      </c>
      <c r="Q180" t="str">
        <f t="shared" si="87"/>
        <v>17,568 (0.00)</v>
      </c>
    </row>
    <row r="181" spans="1:17" x14ac:dyDescent="0.3">
      <c r="A181" s="2"/>
      <c r="B181" s="8">
        <v>2</v>
      </c>
      <c r="C181" s="11">
        <v>6791</v>
      </c>
      <c r="D181" s="11">
        <v>6534</v>
      </c>
      <c r="E181" s="11">
        <v>6164</v>
      </c>
      <c r="F181" s="11">
        <v>6071</v>
      </c>
      <c r="G181" s="11">
        <v>25560</v>
      </c>
      <c r="I181">
        <f>C185</f>
        <v>3725</v>
      </c>
      <c r="J181">
        <f t="shared" si="86"/>
        <v>4074</v>
      </c>
      <c r="K181">
        <f t="shared" si="86"/>
        <v>4619</v>
      </c>
      <c r="L181">
        <f t="shared" si="86"/>
        <v>4814</v>
      </c>
    </row>
    <row r="182" spans="1:17" x14ac:dyDescent="0.3">
      <c r="A182" s="2"/>
      <c r="B182" s="8"/>
      <c r="C182" s="11">
        <v>9.66</v>
      </c>
      <c r="D182" s="11">
        <v>9.3000000000000007</v>
      </c>
      <c r="E182" s="11">
        <v>8.77</v>
      </c>
      <c r="F182" s="11">
        <v>8.64</v>
      </c>
      <c r="G182" s="11">
        <v>36.369999999999997</v>
      </c>
      <c r="I182">
        <f>C188</f>
        <v>21.2</v>
      </c>
      <c r="J182">
        <f t="shared" ref="J182:L183" si="88">D188</f>
        <v>23.19</v>
      </c>
      <c r="K182">
        <f t="shared" si="88"/>
        <v>26.29</v>
      </c>
      <c r="L182">
        <f t="shared" si="88"/>
        <v>27.4</v>
      </c>
    </row>
    <row r="183" spans="1:17" x14ac:dyDescent="0.3">
      <c r="A183" s="2"/>
      <c r="B183" s="8"/>
      <c r="C183" s="11">
        <v>26.57</v>
      </c>
      <c r="D183" s="11">
        <v>25.56</v>
      </c>
      <c r="E183" s="11">
        <v>24.12</v>
      </c>
      <c r="F183" s="11">
        <v>23.75</v>
      </c>
      <c r="G183" s="11"/>
      <c r="I183">
        <f>C189</f>
        <v>17569</v>
      </c>
      <c r="J183">
        <f t="shared" si="88"/>
        <v>17569</v>
      </c>
      <c r="K183">
        <f t="shared" si="88"/>
        <v>17569</v>
      </c>
      <c r="L183">
        <f t="shared" si="88"/>
        <v>17568</v>
      </c>
    </row>
    <row r="184" spans="1:17" x14ac:dyDescent="0.3">
      <c r="A184" s="2"/>
      <c r="B184" s="8"/>
      <c r="C184" s="11">
        <v>38.65</v>
      </c>
      <c r="D184" s="11">
        <v>37.19</v>
      </c>
      <c r="E184" s="11">
        <v>35.08</v>
      </c>
      <c r="F184" s="11">
        <v>34.56</v>
      </c>
      <c r="G184" s="11"/>
      <c r="I184">
        <f>C192</f>
        <v>0</v>
      </c>
      <c r="J184">
        <f t="shared" ref="J184:L184" si="89">D192</f>
        <v>0</v>
      </c>
      <c r="K184">
        <f t="shared" si="89"/>
        <v>0</v>
      </c>
      <c r="L184">
        <f t="shared" si="89"/>
        <v>0</v>
      </c>
    </row>
    <row r="185" spans="1:17" x14ac:dyDescent="0.3">
      <c r="A185" s="2"/>
      <c r="B185" s="8">
        <v>3</v>
      </c>
      <c r="C185" s="11">
        <v>3725</v>
      </c>
      <c r="D185" s="11">
        <v>4074</v>
      </c>
      <c r="E185" s="11">
        <v>4619</v>
      </c>
      <c r="F185" s="11">
        <v>4814</v>
      </c>
      <c r="G185" s="11">
        <v>17232</v>
      </c>
    </row>
    <row r="186" spans="1:17" x14ac:dyDescent="0.3">
      <c r="A186" s="2"/>
      <c r="B186" s="8"/>
      <c r="C186" s="11">
        <v>5.3</v>
      </c>
      <c r="D186" s="11">
        <v>5.8</v>
      </c>
      <c r="E186" s="11">
        <v>6.57</v>
      </c>
      <c r="F186" s="11">
        <v>6.85</v>
      </c>
      <c r="G186" s="11">
        <v>24.52</v>
      </c>
    </row>
    <row r="187" spans="1:17" x14ac:dyDescent="0.3">
      <c r="A187" s="2"/>
      <c r="B187" s="8"/>
      <c r="C187" s="11">
        <v>21.62</v>
      </c>
      <c r="D187" s="11">
        <v>23.64</v>
      </c>
      <c r="E187" s="11">
        <v>26.8</v>
      </c>
      <c r="F187" s="11">
        <v>27.94</v>
      </c>
      <c r="G187" s="11"/>
    </row>
    <row r="188" spans="1:17" x14ac:dyDescent="0.3">
      <c r="A188" s="2"/>
      <c r="B188" s="8"/>
      <c r="C188" s="11">
        <v>21.2</v>
      </c>
      <c r="D188" s="11">
        <v>23.19</v>
      </c>
      <c r="E188" s="11">
        <v>26.29</v>
      </c>
      <c r="F188" s="11">
        <v>27.4</v>
      </c>
      <c r="G188" s="11"/>
    </row>
    <row r="189" spans="1:17" x14ac:dyDescent="0.3">
      <c r="A189" s="2"/>
      <c r="B189" s="8" t="s">
        <v>24</v>
      </c>
      <c r="C189" s="11">
        <v>17569</v>
      </c>
      <c r="D189" s="11">
        <v>17569</v>
      </c>
      <c r="E189" s="11">
        <v>17569</v>
      </c>
      <c r="F189" s="11">
        <v>17568</v>
      </c>
      <c r="G189" s="11">
        <v>70275</v>
      </c>
    </row>
    <row r="190" spans="1:17" x14ac:dyDescent="0.3">
      <c r="A190" s="2"/>
      <c r="B190" s="8"/>
      <c r="C190" s="11">
        <v>25</v>
      </c>
      <c r="D190" s="11">
        <v>25</v>
      </c>
      <c r="E190" s="11">
        <v>25</v>
      </c>
      <c r="F190" s="11">
        <v>25</v>
      </c>
      <c r="G190" s="11">
        <v>100</v>
      </c>
    </row>
    <row r="191" spans="1:17" x14ac:dyDescent="0.3">
      <c r="A191" s="2"/>
      <c r="B191" s="13"/>
      <c r="C191" s="13"/>
      <c r="D191" s="13"/>
      <c r="E191" s="13"/>
      <c r="F191" s="13"/>
      <c r="G191" s="13"/>
    </row>
    <row r="192" spans="1:17" ht="17.25" thickBot="1" x14ac:dyDescent="0.35"/>
    <row r="193" spans="1:17" ht="16.5" customHeight="1" x14ac:dyDescent="0.3">
      <c r="A193" s="4" t="s">
        <v>2</v>
      </c>
      <c r="B193" s="7" t="s">
        <v>85</v>
      </c>
      <c r="C193" s="9"/>
      <c r="D193" s="9"/>
      <c r="E193" s="9"/>
      <c r="F193" s="9"/>
      <c r="G193" s="9"/>
    </row>
    <row r="194" spans="1:17" ht="16.5" customHeight="1" x14ac:dyDescent="0.3">
      <c r="A194" s="6" t="s">
        <v>3</v>
      </c>
      <c r="B194" s="8" t="s">
        <v>14</v>
      </c>
      <c r="C194" s="12" t="s">
        <v>75</v>
      </c>
      <c r="D194" s="12"/>
      <c r="E194" s="12"/>
      <c r="F194" s="12"/>
      <c r="G194" s="12"/>
    </row>
    <row r="195" spans="1:17" x14ac:dyDescent="0.3">
      <c r="A195" s="6" t="s">
        <v>20</v>
      </c>
      <c r="B195" s="8"/>
      <c r="C195" s="3">
        <v>1</v>
      </c>
      <c r="D195" s="3">
        <v>2</v>
      </c>
      <c r="E195" s="3">
        <v>3</v>
      </c>
      <c r="F195" s="3">
        <v>4</v>
      </c>
      <c r="G195" s="3" t="s">
        <v>24</v>
      </c>
    </row>
    <row r="196" spans="1:17" ht="33" x14ac:dyDescent="0.3">
      <c r="A196" s="6" t="s">
        <v>21</v>
      </c>
      <c r="B196" s="8">
        <v>0</v>
      </c>
      <c r="C196" s="11">
        <v>14405</v>
      </c>
      <c r="D196" s="11">
        <v>13696</v>
      </c>
      <c r="E196" s="11">
        <v>12947</v>
      </c>
      <c r="F196" s="11">
        <v>11982</v>
      </c>
      <c r="G196" s="11">
        <v>53030</v>
      </c>
      <c r="I196">
        <f>C196</f>
        <v>14405</v>
      </c>
      <c r="J196">
        <f t="shared" ref="J196:L196" si="90">D196</f>
        <v>13696</v>
      </c>
      <c r="K196">
        <f t="shared" si="90"/>
        <v>12947</v>
      </c>
      <c r="L196">
        <f t="shared" si="90"/>
        <v>11982</v>
      </c>
      <c r="N196" t="str">
        <f>TEXT(I196,"#,##0")&amp;" ("&amp;TEXT(I197,"0.00")&amp;")"</f>
        <v>14,405 (81.99)</v>
      </c>
      <c r="O196" t="str">
        <f t="shared" ref="O196:Q196" si="91">TEXT(J196,"#,##0")&amp;" ("&amp;TEXT(J197,"0.00")&amp;")"</f>
        <v>13,696 (77.96)</v>
      </c>
      <c r="P196" t="str">
        <f t="shared" si="91"/>
        <v>12,947 (73.69)</v>
      </c>
      <c r="Q196" t="str">
        <f t="shared" si="91"/>
        <v>11,982 (68.20)</v>
      </c>
    </row>
    <row r="197" spans="1:17" x14ac:dyDescent="0.3">
      <c r="A197" s="2"/>
      <c r="B197" s="8"/>
      <c r="C197" s="11">
        <v>20.5</v>
      </c>
      <c r="D197" s="11">
        <v>19.489999999999998</v>
      </c>
      <c r="E197" s="11">
        <v>18.420000000000002</v>
      </c>
      <c r="F197" s="11">
        <v>17.05</v>
      </c>
      <c r="G197" s="11">
        <v>75.459999999999994</v>
      </c>
      <c r="I197">
        <f>C199</f>
        <v>81.99</v>
      </c>
      <c r="J197">
        <f t="shared" ref="J197:L198" si="92">D199</f>
        <v>77.959999999999994</v>
      </c>
      <c r="K197">
        <f t="shared" si="92"/>
        <v>73.69</v>
      </c>
      <c r="L197">
        <f t="shared" si="92"/>
        <v>68.2</v>
      </c>
      <c r="N197" t="str">
        <f>TEXT(I198,"#,##0")&amp;" ("&amp;TEXT(I199,"0.00")&amp;")"</f>
        <v>3,164 (18.01)</v>
      </c>
      <c r="O197" t="str">
        <f t="shared" ref="O197:Q197" si="93">TEXT(J198,"#,##0")&amp;" ("&amp;TEXT(J199,"0.00")&amp;")"</f>
        <v>3,873 (22.04)</v>
      </c>
      <c r="P197" t="str">
        <f t="shared" si="93"/>
        <v>4,622 (26.31)</v>
      </c>
      <c r="Q197" t="str">
        <f t="shared" si="93"/>
        <v>5,586 (31.80)</v>
      </c>
    </row>
    <row r="198" spans="1:17" x14ac:dyDescent="0.3">
      <c r="A198" s="2"/>
      <c r="B198" s="8"/>
      <c r="C198" s="11">
        <v>27.16</v>
      </c>
      <c r="D198" s="11">
        <v>25.83</v>
      </c>
      <c r="E198" s="11">
        <v>24.41</v>
      </c>
      <c r="F198" s="11">
        <v>22.59</v>
      </c>
      <c r="G198" s="11"/>
      <c r="I198">
        <f>C200</f>
        <v>3164</v>
      </c>
      <c r="J198">
        <f t="shared" si="92"/>
        <v>3873</v>
      </c>
      <c r="K198">
        <f t="shared" si="92"/>
        <v>4622</v>
      </c>
      <c r="L198">
        <f t="shared" si="92"/>
        <v>5586</v>
      </c>
      <c r="N198" t="str">
        <f>TEXT(I200,"#,##0")&amp;" ("&amp;TEXT(I201,"0.00")&amp;")"</f>
        <v>17,569 (0.00)</v>
      </c>
      <c r="O198" t="str">
        <f t="shared" ref="O198:Q198" si="94">TEXT(J200,"#,##0")&amp;" ("&amp;TEXT(J201,"0.00")&amp;")"</f>
        <v>17,569 (0.00)</v>
      </c>
      <c r="P198" t="str">
        <f t="shared" si="94"/>
        <v>17,569 (0.00)</v>
      </c>
      <c r="Q198" t="str">
        <f t="shared" si="94"/>
        <v>17,568 (0.00)</v>
      </c>
    </row>
    <row r="199" spans="1:17" x14ac:dyDescent="0.3">
      <c r="A199" s="2"/>
      <c r="B199" s="8"/>
      <c r="C199" s="11">
        <v>81.99</v>
      </c>
      <c r="D199" s="11">
        <v>77.959999999999994</v>
      </c>
      <c r="E199" s="11">
        <v>73.69</v>
      </c>
      <c r="F199" s="11">
        <v>68.2</v>
      </c>
      <c r="G199" s="11"/>
      <c r="I199">
        <f>C203</f>
        <v>18.010000000000002</v>
      </c>
      <c r="J199">
        <f t="shared" ref="J199:L200" si="95">D203</f>
        <v>22.04</v>
      </c>
      <c r="K199">
        <f t="shared" si="95"/>
        <v>26.31</v>
      </c>
      <c r="L199">
        <f t="shared" si="95"/>
        <v>31.8</v>
      </c>
      <c r="N199" t="str">
        <f>TEXT(I202,"#,##0")&amp;" ("&amp;TEXT(I203,"0.00")&amp;")"</f>
        <v>0 (16144.00)</v>
      </c>
      <c r="O199" t="str">
        <f t="shared" ref="O199:Q199" si="96">TEXT(J202,"#,##0")&amp;" ("&amp;TEXT(J203,"0.00")&amp;")"</f>
        <v>0 (14593.00)</v>
      </c>
      <c r="P199" t="str">
        <f t="shared" si="96"/>
        <v>0 (12876.00)</v>
      </c>
      <c r="Q199" t="str">
        <f t="shared" si="96"/>
        <v>0 (11568.00)</v>
      </c>
    </row>
    <row r="200" spans="1:17" x14ac:dyDescent="0.3">
      <c r="A200" s="2"/>
      <c r="B200" s="8">
        <v>1</v>
      </c>
      <c r="C200" s="11">
        <v>3164</v>
      </c>
      <c r="D200" s="11">
        <v>3873</v>
      </c>
      <c r="E200" s="11">
        <v>4622</v>
      </c>
      <c r="F200" s="11">
        <v>5586</v>
      </c>
      <c r="G200" s="11">
        <v>17245</v>
      </c>
      <c r="I200">
        <f>C204</f>
        <v>17569</v>
      </c>
      <c r="J200">
        <f t="shared" si="95"/>
        <v>17569</v>
      </c>
      <c r="K200">
        <f t="shared" si="95"/>
        <v>17569</v>
      </c>
      <c r="L200">
        <f t="shared" si="95"/>
        <v>17568</v>
      </c>
    </row>
    <row r="201" spans="1:17" x14ac:dyDescent="0.3">
      <c r="A201" s="2"/>
      <c r="B201" s="8"/>
      <c r="C201" s="11">
        <v>4.5</v>
      </c>
      <c r="D201" s="11">
        <v>5.51</v>
      </c>
      <c r="E201" s="11">
        <v>6.58</v>
      </c>
      <c r="F201" s="11">
        <v>7.95</v>
      </c>
      <c r="G201" s="11">
        <v>24.54</v>
      </c>
      <c r="I201">
        <f>C207</f>
        <v>0</v>
      </c>
      <c r="J201">
        <f t="shared" ref="J201:L202" si="97">D207</f>
        <v>0</v>
      </c>
      <c r="K201">
        <f t="shared" si="97"/>
        <v>0</v>
      </c>
      <c r="L201">
        <f t="shared" si="97"/>
        <v>0</v>
      </c>
    </row>
    <row r="202" spans="1:17" x14ac:dyDescent="0.3">
      <c r="A202" s="2"/>
      <c r="B202" s="8"/>
      <c r="C202" s="11">
        <v>18.350000000000001</v>
      </c>
      <c r="D202" s="11">
        <v>22.46</v>
      </c>
      <c r="E202" s="11">
        <v>26.8</v>
      </c>
      <c r="F202" s="11">
        <v>32.39</v>
      </c>
      <c r="G202" s="11"/>
      <c r="I202">
        <f>C208</f>
        <v>0</v>
      </c>
      <c r="J202">
        <f t="shared" si="97"/>
        <v>0</v>
      </c>
      <c r="K202">
        <f t="shared" si="97"/>
        <v>0</v>
      </c>
      <c r="L202">
        <f t="shared" si="97"/>
        <v>0</v>
      </c>
    </row>
    <row r="203" spans="1:17" x14ac:dyDescent="0.3">
      <c r="A203" s="2"/>
      <c r="B203" s="8"/>
      <c r="C203" s="11">
        <v>18.010000000000002</v>
      </c>
      <c r="D203" s="11">
        <v>22.04</v>
      </c>
      <c r="E203" s="11">
        <v>26.31</v>
      </c>
      <c r="F203" s="11">
        <v>31.8</v>
      </c>
      <c r="G203" s="11"/>
      <c r="I203">
        <f>C211</f>
        <v>16144</v>
      </c>
      <c r="J203">
        <f t="shared" ref="J203:L203" si="98">D211</f>
        <v>14593</v>
      </c>
      <c r="K203">
        <f t="shared" si="98"/>
        <v>12876</v>
      </c>
      <c r="L203">
        <f t="shared" si="98"/>
        <v>11568</v>
      </c>
    </row>
    <row r="204" spans="1:17" x14ac:dyDescent="0.3">
      <c r="A204" s="2"/>
      <c r="B204" s="8" t="s">
        <v>24</v>
      </c>
      <c r="C204" s="11">
        <v>17569</v>
      </c>
      <c r="D204" s="11">
        <v>17569</v>
      </c>
      <c r="E204" s="11">
        <v>17569</v>
      </c>
      <c r="F204" s="11">
        <v>17568</v>
      </c>
      <c r="G204" s="11">
        <v>70275</v>
      </c>
    </row>
    <row r="205" spans="1:17" x14ac:dyDescent="0.3">
      <c r="A205" s="2"/>
      <c r="B205" s="8"/>
      <c r="C205" s="11">
        <v>25</v>
      </c>
      <c r="D205" s="11">
        <v>25</v>
      </c>
      <c r="E205" s="11">
        <v>25</v>
      </c>
      <c r="F205" s="11">
        <v>25</v>
      </c>
      <c r="G205" s="11">
        <v>100</v>
      </c>
    </row>
    <row r="206" spans="1:17" x14ac:dyDescent="0.3">
      <c r="A206" s="2"/>
      <c r="B206" s="13"/>
      <c r="C206" s="13"/>
      <c r="D206" s="13"/>
      <c r="E206" s="13"/>
      <c r="F206" s="13"/>
      <c r="G206" s="13"/>
    </row>
    <row r="207" spans="1:17" ht="17.25" thickBot="1" x14ac:dyDescent="0.35"/>
    <row r="208" spans="1:17" ht="16.5" customHeight="1" x14ac:dyDescent="0.3">
      <c r="A208" s="4" t="s">
        <v>2</v>
      </c>
      <c r="B208" s="7" t="s">
        <v>86</v>
      </c>
      <c r="C208" s="9"/>
      <c r="D208" s="9"/>
      <c r="E208" s="9"/>
      <c r="F208" s="9"/>
      <c r="G208" s="9"/>
    </row>
    <row r="209" spans="1:17" ht="16.5" customHeight="1" x14ac:dyDescent="0.3">
      <c r="A209" s="6" t="s">
        <v>3</v>
      </c>
      <c r="B209" s="8" t="s">
        <v>15</v>
      </c>
      <c r="C209" s="12" t="s">
        <v>75</v>
      </c>
      <c r="D209" s="12"/>
      <c r="E209" s="12"/>
      <c r="F209" s="12"/>
      <c r="G209" s="12"/>
    </row>
    <row r="210" spans="1:17" x14ac:dyDescent="0.3">
      <c r="A210" s="6" t="s">
        <v>20</v>
      </c>
      <c r="B210" s="8"/>
      <c r="C210" s="3">
        <v>1</v>
      </c>
      <c r="D210" s="3">
        <v>2</v>
      </c>
      <c r="E210" s="3">
        <v>3</v>
      </c>
      <c r="F210" s="3">
        <v>4</v>
      </c>
      <c r="G210" s="3" t="s">
        <v>24</v>
      </c>
    </row>
    <row r="211" spans="1:17" ht="33" x14ac:dyDescent="0.3">
      <c r="A211" s="6" t="s">
        <v>21</v>
      </c>
      <c r="B211" s="8">
        <v>0</v>
      </c>
      <c r="C211" s="11">
        <v>16144</v>
      </c>
      <c r="D211" s="11">
        <v>14593</v>
      </c>
      <c r="E211" s="11">
        <v>12876</v>
      </c>
      <c r="F211" s="11">
        <v>11568</v>
      </c>
      <c r="G211" s="11">
        <v>55181</v>
      </c>
      <c r="I211">
        <f>C211</f>
        <v>16144</v>
      </c>
      <c r="J211">
        <f t="shared" ref="J211:L211" si="99">D211</f>
        <v>14593</v>
      </c>
      <c r="K211">
        <f t="shared" si="99"/>
        <v>12876</v>
      </c>
      <c r="L211">
        <f t="shared" si="99"/>
        <v>11568</v>
      </c>
      <c r="N211" t="str">
        <f>TEXT(I211,"#,##0")&amp;" ("&amp;TEXT(I212,"0.00")&amp;")"</f>
        <v>16,144 (91.89)</v>
      </c>
      <c r="O211" t="str">
        <f t="shared" ref="O211:Q211" si="100">TEXT(J211,"#,##0")&amp;" ("&amp;TEXT(J212,"0.00")&amp;")"</f>
        <v>14,593 (83.06)</v>
      </c>
      <c r="P211" t="str">
        <f t="shared" si="100"/>
        <v>12,876 (73.29)</v>
      </c>
      <c r="Q211" t="str">
        <f t="shared" si="100"/>
        <v>11,568 (65.85)</v>
      </c>
    </row>
    <row r="212" spans="1:17" x14ac:dyDescent="0.3">
      <c r="A212" s="2"/>
      <c r="B212" s="8"/>
      <c r="C212" s="11">
        <v>22.97</v>
      </c>
      <c r="D212" s="11">
        <v>20.77</v>
      </c>
      <c r="E212" s="11">
        <v>18.32</v>
      </c>
      <c r="F212" s="11">
        <v>16.46</v>
      </c>
      <c r="G212" s="11">
        <v>78.52</v>
      </c>
      <c r="I212">
        <f>C214</f>
        <v>91.89</v>
      </c>
      <c r="J212">
        <f t="shared" ref="J212:L213" si="101">D214</f>
        <v>83.06</v>
      </c>
      <c r="K212">
        <f t="shared" si="101"/>
        <v>73.290000000000006</v>
      </c>
      <c r="L212">
        <f t="shared" si="101"/>
        <v>65.849999999999994</v>
      </c>
      <c r="N212" t="str">
        <f>TEXT(I213,"#,##0")&amp;" ("&amp;TEXT(I214,"0.00")&amp;")"</f>
        <v>1,425 (8.11)</v>
      </c>
      <c r="O212" t="str">
        <f t="shared" ref="O212:Q212" si="102">TEXT(J213,"#,##0")&amp;" ("&amp;TEXT(J214,"0.00")&amp;")"</f>
        <v>2,976 (16.94)</v>
      </c>
      <c r="P212" t="str">
        <f t="shared" si="102"/>
        <v>4,693 (26.71)</v>
      </c>
      <c r="Q212" t="str">
        <f t="shared" si="102"/>
        <v>6,000 (34.15)</v>
      </c>
    </row>
    <row r="213" spans="1:17" x14ac:dyDescent="0.3">
      <c r="A213" s="2"/>
      <c r="B213" s="8"/>
      <c r="C213" s="11">
        <v>29.26</v>
      </c>
      <c r="D213" s="11">
        <v>26.45</v>
      </c>
      <c r="E213" s="11">
        <v>23.33</v>
      </c>
      <c r="F213" s="11">
        <v>20.96</v>
      </c>
      <c r="G213" s="11"/>
      <c r="I213">
        <f>C215</f>
        <v>1425</v>
      </c>
      <c r="J213">
        <f t="shared" si="101"/>
        <v>2976</v>
      </c>
      <c r="K213">
        <f t="shared" si="101"/>
        <v>4693</v>
      </c>
      <c r="L213">
        <f t="shared" si="101"/>
        <v>6000</v>
      </c>
      <c r="N213" t="str">
        <f>TEXT(I215,"#,##0")&amp;" ("&amp;TEXT(I216,"0.00")&amp;")"</f>
        <v>17,569 (0.00)</v>
      </c>
      <c r="O213" t="str">
        <f t="shared" ref="O213:Q213" si="103">TEXT(J215,"#,##0")&amp;" ("&amp;TEXT(J216,"0.00")&amp;")"</f>
        <v>17,569 (0.00)</v>
      </c>
      <c r="P213" t="str">
        <f t="shared" si="103"/>
        <v>17,569 (0.00)</v>
      </c>
      <c r="Q213" t="str">
        <f t="shared" si="103"/>
        <v>17,568 (0.00)</v>
      </c>
    </row>
    <row r="214" spans="1:17" x14ac:dyDescent="0.3">
      <c r="A214" s="2"/>
      <c r="B214" s="8"/>
      <c r="C214" s="11">
        <v>91.89</v>
      </c>
      <c r="D214" s="11">
        <v>83.06</v>
      </c>
      <c r="E214" s="11">
        <v>73.290000000000006</v>
      </c>
      <c r="F214" s="11">
        <v>65.849999999999994</v>
      </c>
      <c r="G214" s="11"/>
      <c r="I214">
        <f>C218</f>
        <v>8.11</v>
      </c>
      <c r="J214">
        <f t="shared" ref="J214:L215" si="104">D218</f>
        <v>16.940000000000001</v>
      </c>
      <c r="K214">
        <f t="shared" si="104"/>
        <v>26.71</v>
      </c>
      <c r="L214">
        <f t="shared" si="104"/>
        <v>34.15</v>
      </c>
      <c r="N214" t="str">
        <f>TEXT(I217,"#,##0")&amp;" ("&amp;TEXT(I218,"0.00")&amp;")"</f>
        <v>0 (16426.00)</v>
      </c>
      <c r="O214" t="str">
        <f t="shared" ref="O214:Q214" si="105">TEXT(J217,"#,##0")&amp;" ("&amp;TEXT(J218,"0.00")&amp;")"</f>
        <v>0 (15283.00)</v>
      </c>
      <c r="P214" t="str">
        <f t="shared" si="105"/>
        <v>0 (14350.00)</v>
      </c>
      <c r="Q214" t="str">
        <f t="shared" si="105"/>
        <v>0 (13834.00)</v>
      </c>
    </row>
    <row r="215" spans="1:17" x14ac:dyDescent="0.3">
      <c r="A215" s="2"/>
      <c r="B215" s="8">
        <v>1</v>
      </c>
      <c r="C215" s="11">
        <v>1425</v>
      </c>
      <c r="D215" s="11">
        <v>2976</v>
      </c>
      <c r="E215" s="11">
        <v>4693</v>
      </c>
      <c r="F215" s="11">
        <v>6000</v>
      </c>
      <c r="G215" s="11">
        <v>15094</v>
      </c>
      <c r="I215">
        <f>C219</f>
        <v>17569</v>
      </c>
      <c r="J215">
        <f t="shared" si="104"/>
        <v>17569</v>
      </c>
      <c r="K215">
        <f t="shared" si="104"/>
        <v>17569</v>
      </c>
      <c r="L215">
        <f t="shared" si="104"/>
        <v>17568</v>
      </c>
    </row>
    <row r="216" spans="1:17" x14ac:dyDescent="0.3">
      <c r="A216" s="2"/>
      <c r="B216" s="8"/>
      <c r="C216" s="11">
        <v>2.0299999999999998</v>
      </c>
      <c r="D216" s="11">
        <v>4.2300000000000004</v>
      </c>
      <c r="E216" s="11">
        <v>6.68</v>
      </c>
      <c r="F216" s="11">
        <v>8.5399999999999991</v>
      </c>
      <c r="G216" s="11">
        <v>21.48</v>
      </c>
      <c r="I216">
        <f>C222</f>
        <v>0</v>
      </c>
      <c r="J216">
        <f t="shared" ref="J216:L217" si="106">D222</f>
        <v>0</v>
      </c>
      <c r="K216">
        <f t="shared" si="106"/>
        <v>0</v>
      </c>
      <c r="L216">
        <f t="shared" si="106"/>
        <v>0</v>
      </c>
    </row>
    <row r="217" spans="1:17" x14ac:dyDescent="0.3">
      <c r="A217" s="2"/>
      <c r="B217" s="8"/>
      <c r="C217" s="11">
        <v>9.44</v>
      </c>
      <c r="D217" s="11">
        <v>19.72</v>
      </c>
      <c r="E217" s="11">
        <v>31.09</v>
      </c>
      <c r="F217" s="11">
        <v>39.75</v>
      </c>
      <c r="G217" s="11"/>
      <c r="I217">
        <f>C223</f>
        <v>0</v>
      </c>
      <c r="J217">
        <f t="shared" si="106"/>
        <v>0</v>
      </c>
      <c r="K217">
        <f t="shared" si="106"/>
        <v>0</v>
      </c>
      <c r="L217">
        <f t="shared" si="106"/>
        <v>0</v>
      </c>
    </row>
    <row r="218" spans="1:17" x14ac:dyDescent="0.3">
      <c r="A218" s="2"/>
      <c r="B218" s="8"/>
      <c r="C218" s="11">
        <v>8.11</v>
      </c>
      <c r="D218" s="11">
        <v>16.940000000000001</v>
      </c>
      <c r="E218" s="11">
        <v>26.71</v>
      </c>
      <c r="F218" s="11">
        <v>34.15</v>
      </c>
      <c r="G218" s="11"/>
      <c r="I218">
        <f>C226</f>
        <v>16426</v>
      </c>
      <c r="J218">
        <f t="shared" ref="J218:L218" si="107">D226</f>
        <v>15283</v>
      </c>
      <c r="K218">
        <f t="shared" si="107"/>
        <v>14350</v>
      </c>
      <c r="L218">
        <f t="shared" si="107"/>
        <v>13834</v>
      </c>
    </row>
    <row r="219" spans="1:17" x14ac:dyDescent="0.3">
      <c r="A219" s="2"/>
      <c r="B219" s="8" t="s">
        <v>24</v>
      </c>
      <c r="C219" s="11">
        <v>17569</v>
      </c>
      <c r="D219" s="11">
        <v>17569</v>
      </c>
      <c r="E219" s="11">
        <v>17569</v>
      </c>
      <c r="F219" s="11">
        <v>17568</v>
      </c>
      <c r="G219" s="11">
        <v>70275</v>
      </c>
    </row>
    <row r="220" spans="1:17" x14ac:dyDescent="0.3">
      <c r="A220" s="2"/>
      <c r="B220" s="8"/>
      <c r="C220" s="11">
        <v>25</v>
      </c>
      <c r="D220" s="11">
        <v>25</v>
      </c>
      <c r="E220" s="11">
        <v>25</v>
      </c>
      <c r="F220" s="11">
        <v>25</v>
      </c>
      <c r="G220" s="11">
        <v>100</v>
      </c>
    </row>
    <row r="221" spans="1:17" x14ac:dyDescent="0.3">
      <c r="A221" s="2"/>
      <c r="B221" s="13"/>
      <c r="C221" s="13"/>
      <c r="D221" s="13"/>
      <c r="E221" s="13"/>
      <c r="F221" s="13"/>
      <c r="G221" s="13"/>
    </row>
    <row r="222" spans="1:17" ht="17.25" thickBot="1" x14ac:dyDescent="0.35"/>
    <row r="223" spans="1:17" ht="16.5" customHeight="1" x14ac:dyDescent="0.3">
      <c r="A223" s="4" t="s">
        <v>2</v>
      </c>
      <c r="B223" s="7" t="s">
        <v>87</v>
      </c>
      <c r="C223" s="9"/>
      <c r="D223" s="9"/>
      <c r="E223" s="9"/>
      <c r="F223" s="9"/>
      <c r="G223" s="9"/>
    </row>
    <row r="224" spans="1:17" ht="16.5" customHeight="1" x14ac:dyDescent="0.3">
      <c r="A224" s="6" t="s">
        <v>3</v>
      </c>
      <c r="B224" s="8" t="s">
        <v>16</v>
      </c>
      <c r="C224" s="12" t="s">
        <v>75</v>
      </c>
      <c r="D224" s="12"/>
      <c r="E224" s="12"/>
      <c r="F224" s="12"/>
      <c r="G224" s="12"/>
    </row>
    <row r="225" spans="1:17" x14ac:dyDescent="0.3">
      <c r="A225" s="6" t="s">
        <v>20</v>
      </c>
      <c r="B225" s="8"/>
      <c r="C225" s="3">
        <v>1</v>
      </c>
      <c r="D225" s="3">
        <v>2</v>
      </c>
      <c r="E225" s="3">
        <v>3</v>
      </c>
      <c r="F225" s="3">
        <v>4</v>
      </c>
      <c r="G225" s="3" t="s">
        <v>24</v>
      </c>
    </row>
    <row r="226" spans="1:17" ht="33" x14ac:dyDescent="0.3">
      <c r="A226" s="6" t="s">
        <v>21</v>
      </c>
      <c r="B226" s="8">
        <v>0</v>
      </c>
      <c r="C226" s="11">
        <v>16426</v>
      </c>
      <c r="D226" s="11">
        <v>15283</v>
      </c>
      <c r="E226" s="11">
        <v>14350</v>
      </c>
      <c r="F226" s="11">
        <v>13834</v>
      </c>
      <c r="G226" s="11">
        <v>59893</v>
      </c>
      <c r="I226">
        <f>C226</f>
        <v>16426</v>
      </c>
      <c r="J226">
        <f t="shared" ref="J226:L226" si="108">D226</f>
        <v>15283</v>
      </c>
      <c r="K226">
        <f t="shared" si="108"/>
        <v>14350</v>
      </c>
      <c r="L226">
        <f t="shared" si="108"/>
        <v>13834</v>
      </c>
      <c r="N226" t="str">
        <f>TEXT(I226,"#,##0")&amp;" ("&amp;TEXT(I227,"0.00")&amp;")"</f>
        <v>16,426 (93.49)</v>
      </c>
      <c r="O226" t="str">
        <f t="shared" ref="O226:Q226" si="109">TEXT(J226,"#,##0")&amp;" ("&amp;TEXT(J227,"0.00")&amp;")"</f>
        <v>15,283 (86.99)</v>
      </c>
      <c r="P226" t="str">
        <f t="shared" si="109"/>
        <v>14,350 (81.68)</v>
      </c>
      <c r="Q226" t="str">
        <f t="shared" si="109"/>
        <v>13,834 (78.75)</v>
      </c>
    </row>
    <row r="227" spans="1:17" x14ac:dyDescent="0.3">
      <c r="A227" s="2"/>
      <c r="B227" s="8"/>
      <c r="C227" s="11">
        <v>23.37</v>
      </c>
      <c r="D227" s="11">
        <v>21.75</v>
      </c>
      <c r="E227" s="11">
        <v>20.420000000000002</v>
      </c>
      <c r="F227" s="11">
        <v>19.690000000000001</v>
      </c>
      <c r="G227" s="11">
        <v>85.23</v>
      </c>
      <c r="I227">
        <f>C229</f>
        <v>93.49</v>
      </c>
      <c r="J227">
        <f t="shared" ref="J227:L228" si="110">D229</f>
        <v>86.99</v>
      </c>
      <c r="K227">
        <f t="shared" si="110"/>
        <v>81.680000000000007</v>
      </c>
      <c r="L227">
        <f t="shared" si="110"/>
        <v>78.75</v>
      </c>
      <c r="N227" t="str">
        <f>TEXT(I228,"#,##0")&amp;" ("&amp;TEXT(I229,"0.00")&amp;")"</f>
        <v>1,143 (6.51)</v>
      </c>
      <c r="O227" t="str">
        <f t="shared" ref="O227:Q227" si="111">TEXT(J228,"#,##0")&amp;" ("&amp;TEXT(J229,"0.00")&amp;")"</f>
        <v>2,286 (13.01)</v>
      </c>
      <c r="P227" t="str">
        <f t="shared" si="111"/>
        <v>3,219 (18.32)</v>
      </c>
      <c r="Q227" t="str">
        <f t="shared" si="111"/>
        <v>3,734 (21.25)</v>
      </c>
    </row>
    <row r="228" spans="1:17" x14ac:dyDescent="0.3">
      <c r="A228" s="2"/>
      <c r="B228" s="8"/>
      <c r="C228" s="11">
        <v>27.43</v>
      </c>
      <c r="D228" s="11">
        <v>25.52</v>
      </c>
      <c r="E228" s="11">
        <v>23.96</v>
      </c>
      <c r="F228" s="11">
        <v>23.1</v>
      </c>
      <c r="G228" s="11"/>
      <c r="I228">
        <f>C230</f>
        <v>1143</v>
      </c>
      <c r="J228">
        <f t="shared" si="110"/>
        <v>2286</v>
      </c>
      <c r="K228">
        <f t="shared" si="110"/>
        <v>3219</v>
      </c>
      <c r="L228">
        <f t="shared" si="110"/>
        <v>3734</v>
      </c>
      <c r="N228" t="str">
        <f>TEXT(I230,"#,##0")&amp;" ("&amp;TEXT(I231,"0.00")&amp;")"</f>
        <v>17,569 (0.00)</v>
      </c>
      <c r="O228" t="str">
        <f t="shared" ref="O228:Q228" si="112">TEXT(J230,"#,##0")&amp;" ("&amp;TEXT(J231,"0.00")&amp;")"</f>
        <v>17,569 (0.00)</v>
      </c>
      <c r="P228" t="str">
        <f t="shared" si="112"/>
        <v>17,569 (0.00)</v>
      </c>
      <c r="Q228" t="str">
        <f t="shared" si="112"/>
        <v>17,568 (0.00)</v>
      </c>
    </row>
    <row r="229" spans="1:17" x14ac:dyDescent="0.3">
      <c r="A229" s="2"/>
      <c r="B229" s="8"/>
      <c r="C229" s="11">
        <v>93.49</v>
      </c>
      <c r="D229" s="11">
        <v>86.99</v>
      </c>
      <c r="E229" s="11">
        <v>81.680000000000007</v>
      </c>
      <c r="F229" s="11">
        <v>78.75</v>
      </c>
      <c r="G229" s="11"/>
      <c r="I229">
        <f>C233</f>
        <v>6.51</v>
      </c>
      <c r="J229">
        <f t="shared" ref="J229:L230" si="113">D233</f>
        <v>13.01</v>
      </c>
      <c r="K229">
        <f t="shared" si="113"/>
        <v>18.32</v>
      </c>
      <c r="L229">
        <f t="shared" si="113"/>
        <v>21.25</v>
      </c>
      <c r="N229" t="str">
        <f>TEXT(I232,"#,##0")&amp;" ("&amp;TEXT(I233,"0.00")&amp;")"</f>
        <v>0 (17432.00)</v>
      </c>
      <c r="O229" t="str">
        <f t="shared" ref="O229:Q229" si="114">TEXT(J232,"#,##0")&amp;" ("&amp;TEXT(J233,"0.00")&amp;")"</f>
        <v>0 (17261.00)</v>
      </c>
      <c r="P229" t="str">
        <f t="shared" si="114"/>
        <v>0 (17132.00)</v>
      </c>
      <c r="Q229" t="str">
        <f t="shared" si="114"/>
        <v>0 (17105.00)</v>
      </c>
    </row>
    <row r="230" spans="1:17" x14ac:dyDescent="0.3">
      <c r="A230" s="2"/>
      <c r="B230" s="8">
        <v>1</v>
      </c>
      <c r="C230" s="11">
        <v>1143</v>
      </c>
      <c r="D230" s="11">
        <v>2286</v>
      </c>
      <c r="E230" s="11">
        <v>3219</v>
      </c>
      <c r="F230" s="11">
        <v>3734</v>
      </c>
      <c r="G230" s="11">
        <v>10382</v>
      </c>
      <c r="I230">
        <f>C234</f>
        <v>17569</v>
      </c>
      <c r="J230">
        <f t="shared" si="113"/>
        <v>17569</v>
      </c>
      <c r="K230">
        <f t="shared" si="113"/>
        <v>17569</v>
      </c>
      <c r="L230">
        <f t="shared" si="113"/>
        <v>17568</v>
      </c>
    </row>
    <row r="231" spans="1:17" x14ac:dyDescent="0.3">
      <c r="A231" s="2"/>
      <c r="B231" s="8"/>
      <c r="C231" s="11">
        <v>1.63</v>
      </c>
      <c r="D231" s="11">
        <v>3.25</v>
      </c>
      <c r="E231" s="11">
        <v>4.58</v>
      </c>
      <c r="F231" s="11">
        <v>5.31</v>
      </c>
      <c r="G231" s="11">
        <v>14.77</v>
      </c>
      <c r="I231">
        <f>C237</f>
        <v>0</v>
      </c>
      <c r="J231">
        <f t="shared" ref="J231:L232" si="115">D237</f>
        <v>0</v>
      </c>
      <c r="K231">
        <f t="shared" si="115"/>
        <v>0</v>
      </c>
      <c r="L231">
        <f t="shared" si="115"/>
        <v>0</v>
      </c>
    </row>
    <row r="232" spans="1:17" x14ac:dyDescent="0.3">
      <c r="A232" s="2"/>
      <c r="B232" s="8"/>
      <c r="C232" s="11">
        <v>11.01</v>
      </c>
      <c r="D232" s="11">
        <v>22.02</v>
      </c>
      <c r="E232" s="11">
        <v>31.01</v>
      </c>
      <c r="F232" s="11">
        <v>35.97</v>
      </c>
      <c r="G232" s="11"/>
      <c r="I232">
        <f>C238</f>
        <v>0</v>
      </c>
      <c r="J232">
        <f t="shared" si="115"/>
        <v>0</v>
      </c>
      <c r="K232">
        <f t="shared" si="115"/>
        <v>0</v>
      </c>
      <c r="L232">
        <f t="shared" si="115"/>
        <v>0</v>
      </c>
    </row>
    <row r="233" spans="1:17" x14ac:dyDescent="0.3">
      <c r="A233" s="2"/>
      <c r="B233" s="8"/>
      <c r="C233" s="11">
        <v>6.51</v>
      </c>
      <c r="D233" s="11">
        <v>13.01</v>
      </c>
      <c r="E233" s="11">
        <v>18.32</v>
      </c>
      <c r="F233" s="11">
        <v>21.25</v>
      </c>
      <c r="G233" s="11"/>
      <c r="I233">
        <f>C241</f>
        <v>17432</v>
      </c>
      <c r="J233">
        <f t="shared" ref="J233:L233" si="116">D241</f>
        <v>17261</v>
      </c>
      <c r="K233">
        <f t="shared" si="116"/>
        <v>17132</v>
      </c>
      <c r="L233">
        <f t="shared" si="116"/>
        <v>17105</v>
      </c>
    </row>
    <row r="234" spans="1:17" x14ac:dyDescent="0.3">
      <c r="A234" s="2"/>
      <c r="B234" s="8" t="s">
        <v>24</v>
      </c>
      <c r="C234" s="11">
        <v>17569</v>
      </c>
      <c r="D234" s="11">
        <v>17569</v>
      </c>
      <c r="E234" s="11">
        <v>17569</v>
      </c>
      <c r="F234" s="11">
        <v>17568</v>
      </c>
      <c r="G234" s="11">
        <v>70275</v>
      </c>
    </row>
    <row r="235" spans="1:17" x14ac:dyDescent="0.3">
      <c r="A235" s="2"/>
      <c r="B235" s="8"/>
      <c r="C235" s="11">
        <v>25</v>
      </c>
      <c r="D235" s="11">
        <v>25</v>
      </c>
      <c r="E235" s="11">
        <v>25</v>
      </c>
      <c r="F235" s="11">
        <v>25</v>
      </c>
      <c r="G235" s="11">
        <v>100</v>
      </c>
    </row>
    <row r="236" spans="1:17" x14ac:dyDescent="0.3">
      <c r="A236" s="2"/>
      <c r="B236" s="13"/>
      <c r="C236" s="13"/>
      <c r="D236" s="13"/>
      <c r="E236" s="13"/>
      <c r="F236" s="13"/>
      <c r="G236" s="13"/>
    </row>
    <row r="237" spans="1:17" ht="17.25" thickBot="1" x14ac:dyDescent="0.35"/>
    <row r="238" spans="1:17" ht="16.5" customHeight="1" x14ac:dyDescent="0.3">
      <c r="A238" s="4" t="s">
        <v>2</v>
      </c>
      <c r="B238" s="7" t="s">
        <v>88</v>
      </c>
      <c r="C238" s="9"/>
      <c r="D238" s="9"/>
      <c r="E238" s="9"/>
      <c r="F238" s="9"/>
      <c r="G238" s="9"/>
    </row>
    <row r="239" spans="1:17" ht="16.5" customHeight="1" x14ac:dyDescent="0.3">
      <c r="A239" s="6" t="s">
        <v>3</v>
      </c>
      <c r="B239" s="8" t="s">
        <v>17</v>
      </c>
      <c r="C239" s="12" t="s">
        <v>75</v>
      </c>
      <c r="D239" s="12"/>
      <c r="E239" s="12"/>
      <c r="F239" s="12"/>
      <c r="G239" s="12"/>
    </row>
    <row r="240" spans="1:17" x14ac:dyDescent="0.3">
      <c r="A240" s="6" t="s">
        <v>20</v>
      </c>
      <c r="B240" s="8"/>
      <c r="C240" s="3">
        <v>1</v>
      </c>
      <c r="D240" s="3">
        <v>2</v>
      </c>
      <c r="E240" s="3">
        <v>3</v>
      </c>
      <c r="F240" s="3">
        <v>4</v>
      </c>
      <c r="G240" s="3" t="s">
        <v>24</v>
      </c>
    </row>
    <row r="241" spans="1:17" ht="33" x14ac:dyDescent="0.3">
      <c r="A241" s="6" t="s">
        <v>21</v>
      </c>
      <c r="B241" s="8">
        <v>0</v>
      </c>
      <c r="C241" s="11">
        <v>17432</v>
      </c>
      <c r="D241" s="11">
        <v>17261</v>
      </c>
      <c r="E241" s="11">
        <v>17132</v>
      </c>
      <c r="F241" s="11">
        <v>17105</v>
      </c>
      <c r="G241" s="11">
        <v>68930</v>
      </c>
      <c r="I241">
        <f>C241</f>
        <v>17432</v>
      </c>
      <c r="J241">
        <f t="shared" ref="J241:L241" si="117">D241</f>
        <v>17261</v>
      </c>
      <c r="K241">
        <f t="shared" si="117"/>
        <v>17132</v>
      </c>
      <c r="L241">
        <f t="shared" si="117"/>
        <v>17105</v>
      </c>
      <c r="N241" t="str">
        <f>TEXT(I241,"#,##0")&amp;" ("&amp;TEXT(I242,"0.00")&amp;")"</f>
        <v>17,432 (99.22)</v>
      </c>
      <c r="O241" t="str">
        <f t="shared" ref="O241:Q241" si="118">TEXT(J241,"#,##0")&amp;" ("&amp;TEXT(J242,"0.00")&amp;")"</f>
        <v>17,261 (98.25)</v>
      </c>
      <c r="P241" t="str">
        <f t="shared" si="118"/>
        <v>17,132 (97.51)</v>
      </c>
      <c r="Q241" t="str">
        <f t="shared" si="118"/>
        <v>17,105 (97.36)</v>
      </c>
    </row>
    <row r="242" spans="1:17" x14ac:dyDescent="0.3">
      <c r="A242" s="2"/>
      <c r="B242" s="8"/>
      <c r="C242" s="11">
        <v>24.81</v>
      </c>
      <c r="D242" s="11">
        <v>24.56</v>
      </c>
      <c r="E242" s="11">
        <v>24.38</v>
      </c>
      <c r="F242" s="11">
        <v>24.34</v>
      </c>
      <c r="G242" s="11">
        <v>98.09</v>
      </c>
      <c r="I242">
        <f>C244</f>
        <v>99.22</v>
      </c>
      <c r="J242">
        <f t="shared" ref="J242:L243" si="119">D244</f>
        <v>98.25</v>
      </c>
      <c r="K242">
        <f t="shared" si="119"/>
        <v>97.51</v>
      </c>
      <c r="L242">
        <f t="shared" si="119"/>
        <v>97.36</v>
      </c>
      <c r="N242" t="str">
        <f>TEXT(I243,"#,##0")&amp;" ("&amp;TEXT(I244,"0.00")&amp;")"</f>
        <v>137 (0.78)</v>
      </c>
      <c r="O242" t="str">
        <f t="shared" ref="O242:Q242" si="120">TEXT(J243,"#,##0")&amp;" ("&amp;TEXT(J244,"0.00")&amp;")"</f>
        <v>308 (1.75)</v>
      </c>
      <c r="P242" t="str">
        <f t="shared" si="120"/>
        <v>437 (2.49)</v>
      </c>
      <c r="Q242" t="str">
        <f t="shared" si="120"/>
        <v>463 (2.64)</v>
      </c>
    </row>
    <row r="243" spans="1:17" x14ac:dyDescent="0.3">
      <c r="A243" s="2"/>
      <c r="B243" s="8"/>
      <c r="C243" s="11">
        <v>25.29</v>
      </c>
      <c r="D243" s="11">
        <v>25.04</v>
      </c>
      <c r="E243" s="11">
        <v>24.85</v>
      </c>
      <c r="F243" s="11">
        <v>24.82</v>
      </c>
      <c r="G243" s="11"/>
      <c r="I243">
        <f>C245</f>
        <v>137</v>
      </c>
      <c r="J243">
        <f t="shared" si="119"/>
        <v>308</v>
      </c>
      <c r="K243">
        <f t="shared" si="119"/>
        <v>437</v>
      </c>
      <c r="L243">
        <f t="shared" si="119"/>
        <v>463</v>
      </c>
      <c r="N243" t="str">
        <f>TEXT(I245,"#,##0")&amp;" ("&amp;TEXT(I246,"0.00")&amp;")"</f>
        <v>17,569 (0.00)</v>
      </c>
      <c r="O243" t="str">
        <f t="shared" ref="O243:Q243" si="121">TEXT(J245,"#,##0")&amp;" ("&amp;TEXT(J246,"0.00")&amp;")"</f>
        <v>17,569 (0.00)</v>
      </c>
      <c r="P243" t="str">
        <f t="shared" si="121"/>
        <v>17,569 (0.00)</v>
      </c>
      <c r="Q243" t="str">
        <f t="shared" si="121"/>
        <v>17,568 (0.00)</v>
      </c>
    </row>
    <row r="244" spans="1:17" x14ac:dyDescent="0.3">
      <c r="A244" s="2"/>
      <c r="B244" s="8"/>
      <c r="C244" s="11">
        <v>99.22</v>
      </c>
      <c r="D244" s="11">
        <v>98.25</v>
      </c>
      <c r="E244" s="11">
        <v>97.51</v>
      </c>
      <c r="F244" s="11">
        <v>97.36</v>
      </c>
      <c r="G244" s="11"/>
      <c r="I244">
        <f>C248</f>
        <v>0.78</v>
      </c>
      <c r="J244">
        <f t="shared" ref="J244:L245" si="122">D248</f>
        <v>1.75</v>
      </c>
      <c r="K244">
        <f t="shared" si="122"/>
        <v>2.4900000000000002</v>
      </c>
      <c r="L244">
        <f t="shared" si="122"/>
        <v>2.64</v>
      </c>
      <c r="N244" t="str">
        <f>TEXT(I247,"#,##0")&amp;" ("&amp;TEXT(I248,"0.00")&amp;")"</f>
        <v>0 (17512.00)</v>
      </c>
      <c r="O244" t="str">
        <f t="shared" ref="O244:Q244" si="123">TEXT(J247,"#,##0")&amp;" ("&amp;TEXT(J248,"0.00")&amp;")"</f>
        <v>0 (17425.00)</v>
      </c>
      <c r="P244" t="str">
        <f t="shared" si="123"/>
        <v>0 (17361.00)</v>
      </c>
      <c r="Q244" t="str">
        <f t="shared" si="123"/>
        <v>0 (17316.00)</v>
      </c>
    </row>
    <row r="245" spans="1:17" x14ac:dyDescent="0.3">
      <c r="A245" s="2"/>
      <c r="B245" s="8">
        <v>1</v>
      </c>
      <c r="C245" s="11">
        <v>137</v>
      </c>
      <c r="D245" s="11">
        <v>308</v>
      </c>
      <c r="E245" s="11">
        <v>437</v>
      </c>
      <c r="F245" s="11">
        <v>463</v>
      </c>
      <c r="G245" s="11">
        <v>1345</v>
      </c>
      <c r="I245">
        <f>C249</f>
        <v>17569</v>
      </c>
      <c r="J245">
        <f t="shared" si="122"/>
        <v>17569</v>
      </c>
      <c r="K245">
        <f t="shared" si="122"/>
        <v>17569</v>
      </c>
      <c r="L245">
        <f t="shared" si="122"/>
        <v>17568</v>
      </c>
    </row>
    <row r="246" spans="1:17" x14ac:dyDescent="0.3">
      <c r="A246" s="2"/>
      <c r="B246" s="8"/>
      <c r="C246" s="11">
        <v>0.19</v>
      </c>
      <c r="D246" s="11">
        <v>0.44</v>
      </c>
      <c r="E246" s="11">
        <v>0.62</v>
      </c>
      <c r="F246" s="11">
        <v>0.66</v>
      </c>
      <c r="G246" s="11">
        <v>1.91</v>
      </c>
      <c r="I246">
        <f>C252</f>
        <v>0</v>
      </c>
      <c r="J246">
        <f t="shared" ref="J246:L247" si="124">D252</f>
        <v>0</v>
      </c>
      <c r="K246">
        <f t="shared" si="124"/>
        <v>0</v>
      </c>
      <c r="L246">
        <f t="shared" si="124"/>
        <v>0</v>
      </c>
    </row>
    <row r="247" spans="1:17" x14ac:dyDescent="0.3">
      <c r="A247" s="2"/>
      <c r="B247" s="8"/>
      <c r="C247" s="11">
        <v>10.19</v>
      </c>
      <c r="D247" s="11">
        <v>22.9</v>
      </c>
      <c r="E247" s="11">
        <v>32.49</v>
      </c>
      <c r="F247" s="11">
        <v>34.42</v>
      </c>
      <c r="G247" s="11"/>
      <c r="I247">
        <f>C253</f>
        <v>0</v>
      </c>
      <c r="J247">
        <f t="shared" si="124"/>
        <v>0</v>
      </c>
      <c r="K247">
        <f t="shared" si="124"/>
        <v>0</v>
      </c>
      <c r="L247">
        <f t="shared" si="124"/>
        <v>0</v>
      </c>
    </row>
    <row r="248" spans="1:17" x14ac:dyDescent="0.3">
      <c r="A248" s="2"/>
      <c r="B248" s="8"/>
      <c r="C248" s="11">
        <v>0.78</v>
      </c>
      <c r="D248" s="11">
        <v>1.75</v>
      </c>
      <c r="E248" s="11">
        <v>2.4900000000000002</v>
      </c>
      <c r="F248" s="11">
        <v>2.64</v>
      </c>
      <c r="G248" s="11"/>
      <c r="I248">
        <f>C256</f>
        <v>17512</v>
      </c>
      <c r="J248">
        <f t="shared" ref="J248:L248" si="125">D256</f>
        <v>17425</v>
      </c>
      <c r="K248">
        <f t="shared" si="125"/>
        <v>17361</v>
      </c>
      <c r="L248">
        <f t="shared" si="125"/>
        <v>17316</v>
      </c>
    </row>
    <row r="249" spans="1:17" x14ac:dyDescent="0.3">
      <c r="A249" s="2"/>
      <c r="B249" s="8" t="s">
        <v>24</v>
      </c>
      <c r="C249" s="11">
        <v>17569</v>
      </c>
      <c r="D249" s="11">
        <v>17569</v>
      </c>
      <c r="E249" s="11">
        <v>17569</v>
      </c>
      <c r="F249" s="11">
        <v>17568</v>
      </c>
      <c r="G249" s="11">
        <v>70275</v>
      </c>
    </row>
    <row r="250" spans="1:17" x14ac:dyDescent="0.3">
      <c r="A250" s="2"/>
      <c r="B250" s="8"/>
      <c r="C250" s="11">
        <v>25</v>
      </c>
      <c r="D250" s="11">
        <v>25</v>
      </c>
      <c r="E250" s="11">
        <v>25</v>
      </c>
      <c r="F250" s="11">
        <v>25</v>
      </c>
      <c r="G250" s="11">
        <v>100</v>
      </c>
    </row>
    <row r="251" spans="1:17" x14ac:dyDescent="0.3">
      <c r="A251" s="2"/>
      <c r="B251" s="13"/>
      <c r="C251" s="13"/>
      <c r="D251" s="13"/>
      <c r="E251" s="13"/>
      <c r="F251" s="13"/>
      <c r="G251" s="13"/>
    </row>
    <row r="252" spans="1:17" ht="17.25" thickBot="1" x14ac:dyDescent="0.35"/>
    <row r="253" spans="1:17" ht="16.5" customHeight="1" x14ac:dyDescent="0.3">
      <c r="A253" s="4" t="s">
        <v>2</v>
      </c>
      <c r="B253" s="7" t="s">
        <v>89</v>
      </c>
      <c r="C253" s="9"/>
      <c r="D253" s="9"/>
      <c r="E253" s="9"/>
      <c r="F253" s="9"/>
      <c r="G253" s="9"/>
    </row>
    <row r="254" spans="1:17" ht="16.5" customHeight="1" x14ac:dyDescent="0.3">
      <c r="A254" s="6" t="s">
        <v>3</v>
      </c>
      <c r="B254" s="8" t="s">
        <v>18</v>
      </c>
      <c r="C254" s="12" t="s">
        <v>75</v>
      </c>
      <c r="D254" s="12"/>
      <c r="E254" s="12"/>
      <c r="F254" s="12"/>
      <c r="G254" s="12"/>
    </row>
    <row r="255" spans="1:17" x14ac:dyDescent="0.3">
      <c r="A255" s="6" t="s">
        <v>20</v>
      </c>
      <c r="B255" s="8"/>
      <c r="C255" s="3">
        <v>1</v>
      </c>
      <c r="D255" s="3">
        <v>2</v>
      </c>
      <c r="E255" s="3">
        <v>3</v>
      </c>
      <c r="F255" s="3">
        <v>4</v>
      </c>
      <c r="G255" s="3" t="s">
        <v>24</v>
      </c>
    </row>
    <row r="256" spans="1:17" ht="33" x14ac:dyDescent="0.3">
      <c r="A256" s="6" t="s">
        <v>21</v>
      </c>
      <c r="B256" s="8">
        <v>0</v>
      </c>
      <c r="C256" s="11">
        <v>17512</v>
      </c>
      <c r="D256" s="11">
        <v>17425</v>
      </c>
      <c r="E256" s="11">
        <v>17361</v>
      </c>
      <c r="F256" s="11">
        <v>17316</v>
      </c>
      <c r="G256" s="11">
        <v>69614</v>
      </c>
      <c r="I256">
        <f>C256</f>
        <v>17512</v>
      </c>
      <c r="J256">
        <f t="shared" ref="J256:L256" si="126">D256</f>
        <v>17425</v>
      </c>
      <c r="K256">
        <f t="shared" si="126"/>
        <v>17361</v>
      </c>
      <c r="L256">
        <f t="shared" si="126"/>
        <v>17316</v>
      </c>
      <c r="N256" t="str">
        <f>TEXT(I256,"#,##0")&amp;" ("&amp;TEXT(I257,"0.00")&amp;")"</f>
        <v>17,512 (99.68)</v>
      </c>
      <c r="O256" t="str">
        <f t="shared" ref="O256:Q256" si="127">TEXT(J256,"#,##0")&amp;" ("&amp;TEXT(J257,"0.00")&amp;")"</f>
        <v>17,425 (99.18)</v>
      </c>
      <c r="P256" t="str">
        <f t="shared" si="127"/>
        <v>17,361 (98.82)</v>
      </c>
      <c r="Q256" t="str">
        <f t="shared" si="127"/>
        <v>17,316 (98.57)</v>
      </c>
    </row>
    <row r="257" spans="1:17" x14ac:dyDescent="0.3">
      <c r="A257" s="2"/>
      <c r="B257" s="8"/>
      <c r="C257" s="11">
        <v>24.92</v>
      </c>
      <c r="D257" s="11">
        <v>24.8</v>
      </c>
      <c r="E257" s="11">
        <v>24.7</v>
      </c>
      <c r="F257" s="11">
        <v>24.64</v>
      </c>
      <c r="G257" s="11">
        <v>99.06</v>
      </c>
      <c r="I257">
        <f>C259</f>
        <v>99.68</v>
      </c>
      <c r="J257">
        <f t="shared" ref="J257:L258" si="128">D259</f>
        <v>99.18</v>
      </c>
      <c r="K257">
        <f t="shared" si="128"/>
        <v>98.82</v>
      </c>
      <c r="L257">
        <f t="shared" si="128"/>
        <v>98.57</v>
      </c>
      <c r="N257" t="str">
        <f>TEXT(I258,"#,##0")&amp;" ("&amp;TEXT(I259,"0.00")&amp;")"</f>
        <v>57 (0.32)</v>
      </c>
      <c r="O257" t="str">
        <f t="shared" ref="O257:Q257" si="129">TEXT(J258,"#,##0")&amp;" ("&amp;TEXT(J259,"0.00")&amp;")"</f>
        <v>144 (0.82)</v>
      </c>
      <c r="P257" t="str">
        <f t="shared" si="129"/>
        <v>208 (1.18)</v>
      </c>
      <c r="Q257" t="str">
        <f t="shared" si="129"/>
        <v>252 (1.43)</v>
      </c>
    </row>
    <row r="258" spans="1:17" x14ac:dyDescent="0.3">
      <c r="A258" s="2"/>
      <c r="B258" s="8"/>
      <c r="C258" s="11">
        <v>25.16</v>
      </c>
      <c r="D258" s="11">
        <v>25.03</v>
      </c>
      <c r="E258" s="11">
        <v>24.94</v>
      </c>
      <c r="F258" s="11">
        <v>24.87</v>
      </c>
      <c r="G258" s="11"/>
      <c r="I258">
        <f>C260</f>
        <v>57</v>
      </c>
      <c r="J258">
        <f t="shared" si="128"/>
        <v>144</v>
      </c>
      <c r="K258">
        <f t="shared" si="128"/>
        <v>208</v>
      </c>
      <c r="L258">
        <f t="shared" si="128"/>
        <v>252</v>
      </c>
      <c r="N258" t="str">
        <f>TEXT(I260,"#,##0")&amp;" ("&amp;TEXT(I261,"0.00")&amp;")"</f>
        <v>17,569 (0.00)</v>
      </c>
      <c r="O258" t="str">
        <f t="shared" ref="O258:Q258" si="130">TEXT(J260,"#,##0")&amp;" ("&amp;TEXT(J261,"0.00")&amp;")"</f>
        <v>17,569 (0.00)</v>
      </c>
      <c r="P258" t="str">
        <f t="shared" si="130"/>
        <v>17,569 (0.00)</v>
      </c>
      <c r="Q258" t="str">
        <f t="shared" si="130"/>
        <v>17,568 (0.00)</v>
      </c>
    </row>
    <row r="259" spans="1:17" x14ac:dyDescent="0.3">
      <c r="A259" s="2"/>
      <c r="B259" s="8"/>
      <c r="C259" s="11">
        <v>99.68</v>
      </c>
      <c r="D259" s="11">
        <v>99.18</v>
      </c>
      <c r="E259" s="11">
        <v>98.82</v>
      </c>
      <c r="F259" s="11">
        <v>98.57</v>
      </c>
      <c r="G259" s="11"/>
      <c r="I259">
        <f>C263</f>
        <v>0.32</v>
      </c>
      <c r="J259">
        <f t="shared" ref="J259:L260" si="131">D263</f>
        <v>0.82</v>
      </c>
      <c r="K259">
        <f t="shared" si="131"/>
        <v>1.18</v>
      </c>
      <c r="L259">
        <f t="shared" si="131"/>
        <v>1.43</v>
      </c>
      <c r="N259" t="str">
        <f>TEXT(I262,"#,##0")&amp;" ("&amp;TEXT(I263,"0.00")&amp;")"</f>
        <v>0 (17433.00)</v>
      </c>
      <c r="O259" t="str">
        <f t="shared" ref="O259:Q259" si="132">TEXT(J262,"#,##0")&amp;" ("&amp;TEXT(J263,"0.00")&amp;")"</f>
        <v>0 (17299.00)</v>
      </c>
      <c r="P259" t="str">
        <f t="shared" si="132"/>
        <v>0 (17184.00)</v>
      </c>
      <c r="Q259" t="str">
        <f t="shared" si="132"/>
        <v>0 (17133.00)</v>
      </c>
    </row>
    <row r="260" spans="1:17" x14ac:dyDescent="0.3">
      <c r="A260" s="2"/>
      <c r="B260" s="8">
        <v>1</v>
      </c>
      <c r="C260" s="11">
        <v>57</v>
      </c>
      <c r="D260" s="11">
        <v>144</v>
      </c>
      <c r="E260" s="11">
        <v>208</v>
      </c>
      <c r="F260" s="11">
        <v>252</v>
      </c>
      <c r="G260" s="11">
        <v>661</v>
      </c>
      <c r="I260">
        <f>C264</f>
        <v>17569</v>
      </c>
      <c r="J260">
        <f t="shared" si="131"/>
        <v>17569</v>
      </c>
      <c r="K260">
        <f t="shared" si="131"/>
        <v>17569</v>
      </c>
      <c r="L260">
        <f t="shared" si="131"/>
        <v>17568</v>
      </c>
    </row>
    <row r="261" spans="1:17" x14ac:dyDescent="0.3">
      <c r="A261" s="2"/>
      <c r="B261" s="8"/>
      <c r="C261" s="11">
        <v>0.08</v>
      </c>
      <c r="D261" s="11">
        <v>0.2</v>
      </c>
      <c r="E261" s="11">
        <v>0.3</v>
      </c>
      <c r="F261" s="11">
        <v>0.36</v>
      </c>
      <c r="G261" s="11">
        <v>0.94</v>
      </c>
      <c r="I261">
        <f>C267</f>
        <v>0</v>
      </c>
      <c r="J261">
        <f t="shared" ref="J261:L262" si="133">D267</f>
        <v>0</v>
      </c>
      <c r="K261">
        <f t="shared" si="133"/>
        <v>0</v>
      </c>
      <c r="L261">
        <f t="shared" si="133"/>
        <v>0</v>
      </c>
    </row>
    <row r="262" spans="1:17" x14ac:dyDescent="0.3">
      <c r="A262" s="2"/>
      <c r="B262" s="8"/>
      <c r="C262" s="11">
        <v>8.6199999999999992</v>
      </c>
      <c r="D262" s="11">
        <v>21.79</v>
      </c>
      <c r="E262" s="11">
        <v>31.47</v>
      </c>
      <c r="F262" s="11">
        <v>38.119999999999997</v>
      </c>
      <c r="G262" s="11"/>
      <c r="I262">
        <f>C268</f>
        <v>0</v>
      </c>
      <c r="J262">
        <f t="shared" si="133"/>
        <v>0</v>
      </c>
      <c r="K262">
        <f t="shared" si="133"/>
        <v>0</v>
      </c>
      <c r="L262">
        <f t="shared" si="133"/>
        <v>0</v>
      </c>
    </row>
    <row r="263" spans="1:17" x14ac:dyDescent="0.3">
      <c r="A263" s="2"/>
      <c r="B263" s="8"/>
      <c r="C263" s="11">
        <v>0.32</v>
      </c>
      <c r="D263" s="11">
        <v>0.82</v>
      </c>
      <c r="E263" s="11">
        <v>1.18</v>
      </c>
      <c r="F263" s="11">
        <v>1.43</v>
      </c>
      <c r="G263" s="11"/>
      <c r="I263">
        <f>C271</f>
        <v>17433</v>
      </c>
      <c r="J263">
        <f t="shared" ref="J263:L263" si="134">D271</f>
        <v>17299</v>
      </c>
      <c r="K263">
        <f t="shared" si="134"/>
        <v>17184</v>
      </c>
      <c r="L263">
        <f t="shared" si="134"/>
        <v>17133</v>
      </c>
    </row>
    <row r="264" spans="1:17" x14ac:dyDescent="0.3">
      <c r="A264" s="2"/>
      <c r="B264" s="8" t="s">
        <v>24</v>
      </c>
      <c r="C264" s="11">
        <v>17569</v>
      </c>
      <c r="D264" s="11">
        <v>17569</v>
      </c>
      <c r="E264" s="11">
        <v>17569</v>
      </c>
      <c r="F264" s="11">
        <v>17568</v>
      </c>
      <c r="G264" s="11">
        <v>70275</v>
      </c>
    </row>
    <row r="265" spans="1:17" x14ac:dyDescent="0.3">
      <c r="A265" s="2"/>
      <c r="B265" s="8"/>
      <c r="C265" s="11">
        <v>25</v>
      </c>
      <c r="D265" s="11">
        <v>25</v>
      </c>
      <c r="E265" s="11">
        <v>25</v>
      </c>
      <c r="F265" s="11">
        <v>25</v>
      </c>
      <c r="G265" s="11">
        <v>100</v>
      </c>
    </row>
    <row r="266" spans="1:17" x14ac:dyDescent="0.3">
      <c r="A266" s="2"/>
      <c r="B266" s="13"/>
      <c r="C266" s="13"/>
      <c r="D266" s="13"/>
      <c r="E266" s="13"/>
      <c r="F266" s="13"/>
      <c r="G266" s="13"/>
    </row>
    <row r="267" spans="1:17" ht="17.25" thickBot="1" x14ac:dyDescent="0.35"/>
    <row r="268" spans="1:17" ht="16.5" customHeight="1" x14ac:dyDescent="0.3">
      <c r="A268" s="4" t="s">
        <v>2</v>
      </c>
      <c r="B268" s="7" t="s">
        <v>90</v>
      </c>
      <c r="C268" s="9"/>
      <c r="D268" s="9"/>
      <c r="E268" s="9"/>
      <c r="F268" s="9"/>
      <c r="G268" s="9"/>
    </row>
    <row r="269" spans="1:17" ht="16.5" customHeight="1" x14ac:dyDescent="0.3">
      <c r="A269" s="6" t="s">
        <v>3</v>
      </c>
      <c r="B269" s="8" t="s">
        <v>19</v>
      </c>
      <c r="C269" s="12" t="s">
        <v>75</v>
      </c>
      <c r="D269" s="12"/>
      <c r="E269" s="12"/>
      <c r="F269" s="12"/>
      <c r="G269" s="12"/>
    </row>
    <row r="270" spans="1:17" x14ac:dyDescent="0.3">
      <c r="A270" s="6" t="s">
        <v>20</v>
      </c>
      <c r="B270" s="8"/>
      <c r="C270" s="3">
        <v>1</v>
      </c>
      <c r="D270" s="3">
        <v>2</v>
      </c>
      <c r="E270" s="3">
        <v>3</v>
      </c>
      <c r="F270" s="3">
        <v>4</v>
      </c>
      <c r="G270" s="3" t="s">
        <v>24</v>
      </c>
    </row>
    <row r="271" spans="1:17" ht="33" x14ac:dyDescent="0.3">
      <c r="A271" s="6" t="s">
        <v>21</v>
      </c>
      <c r="B271" s="8">
        <v>0</v>
      </c>
      <c r="C271" s="11">
        <v>17433</v>
      </c>
      <c r="D271" s="11">
        <v>17299</v>
      </c>
      <c r="E271" s="11">
        <v>17184</v>
      </c>
      <c r="F271" s="11">
        <v>17133</v>
      </c>
      <c r="G271" s="11">
        <v>69049</v>
      </c>
      <c r="I271">
        <f>C271</f>
        <v>17433</v>
      </c>
      <c r="J271">
        <f t="shared" ref="J271:L271" si="135">D271</f>
        <v>17299</v>
      </c>
      <c r="K271">
        <f t="shared" si="135"/>
        <v>17184</v>
      </c>
      <c r="L271">
        <f t="shared" si="135"/>
        <v>17133</v>
      </c>
      <c r="N271" t="str">
        <f>TEXT(I271,"#,##0")&amp;" ("&amp;TEXT(I272,"0.00")&amp;")"</f>
        <v>17,433 (99.23)</v>
      </c>
      <c r="O271" t="str">
        <f t="shared" ref="O271:Q271" si="136">TEXT(J271,"#,##0")&amp;" ("&amp;TEXT(J272,"0.00")&amp;")"</f>
        <v>17,299 (98.46)</v>
      </c>
      <c r="P271" t="str">
        <f t="shared" si="136"/>
        <v>17,184 (97.81)</v>
      </c>
      <c r="Q271" t="str">
        <f t="shared" si="136"/>
        <v>17,133 (97.52)</v>
      </c>
    </row>
    <row r="272" spans="1:17" x14ac:dyDescent="0.3">
      <c r="A272" s="2"/>
      <c r="B272" s="8"/>
      <c r="C272" s="11">
        <v>24.81</v>
      </c>
      <c r="D272" s="11">
        <v>24.62</v>
      </c>
      <c r="E272" s="11">
        <v>24.45</v>
      </c>
      <c r="F272" s="11">
        <v>24.38</v>
      </c>
      <c r="G272" s="11">
        <v>98.26</v>
      </c>
      <c r="I272">
        <f>C274</f>
        <v>99.23</v>
      </c>
      <c r="J272">
        <f t="shared" ref="J272:L273" si="137">D274</f>
        <v>98.46</v>
      </c>
      <c r="K272">
        <f t="shared" si="137"/>
        <v>97.81</v>
      </c>
      <c r="L272">
        <f t="shared" si="137"/>
        <v>97.52</v>
      </c>
      <c r="N272" t="str">
        <f>TEXT(I273,"#,##0")&amp;" ("&amp;TEXT(I274,"0.00")&amp;")"</f>
        <v>136 (0.77)</v>
      </c>
      <c r="O272" t="str">
        <f t="shared" ref="O272:Q272" si="138">TEXT(J273,"#,##0")&amp;" ("&amp;TEXT(J274,"0.00")&amp;")"</f>
        <v>270 (1.54)</v>
      </c>
      <c r="P272" t="str">
        <f t="shared" si="138"/>
        <v>385 (2.19)</v>
      </c>
      <c r="Q272" t="str">
        <f t="shared" si="138"/>
        <v>435 (2.48)</v>
      </c>
    </row>
    <row r="273" spans="1:17" x14ac:dyDescent="0.3">
      <c r="A273" s="2"/>
      <c r="B273" s="8"/>
      <c r="C273" s="11">
        <v>25.25</v>
      </c>
      <c r="D273" s="11">
        <v>25.05</v>
      </c>
      <c r="E273" s="11">
        <v>24.89</v>
      </c>
      <c r="F273" s="11">
        <v>24.81</v>
      </c>
      <c r="G273" s="11"/>
      <c r="I273">
        <f>C275</f>
        <v>136</v>
      </c>
      <c r="J273">
        <f t="shared" si="137"/>
        <v>270</v>
      </c>
      <c r="K273">
        <f t="shared" si="137"/>
        <v>385</v>
      </c>
      <c r="L273">
        <f t="shared" si="137"/>
        <v>435</v>
      </c>
      <c r="N273" t="str">
        <f>TEXT(I275,"#,##0")&amp;" ("&amp;TEXT(I276,"0.00")&amp;")"</f>
        <v>17,569 (0.00)</v>
      </c>
      <c r="O273" t="str">
        <f t="shared" ref="O273:Q273" si="139">TEXT(J275,"#,##0")&amp;" ("&amp;TEXT(J276,"0.00")&amp;")"</f>
        <v>17,569 (0.00)</v>
      </c>
      <c r="P273" t="str">
        <f t="shared" si="139"/>
        <v>17,569 (0.00)</v>
      </c>
      <c r="Q273" t="str">
        <f t="shared" si="139"/>
        <v>17,568 (0.00)</v>
      </c>
    </row>
    <row r="274" spans="1:17" x14ac:dyDescent="0.3">
      <c r="A274" s="2"/>
      <c r="B274" s="8"/>
      <c r="C274" s="11">
        <v>99.23</v>
      </c>
      <c r="D274" s="11">
        <v>98.46</v>
      </c>
      <c r="E274" s="11">
        <v>97.81</v>
      </c>
      <c r="F274" s="11">
        <v>97.52</v>
      </c>
      <c r="G274" s="11"/>
      <c r="I274">
        <f>C278</f>
        <v>0.77</v>
      </c>
      <c r="J274">
        <f t="shared" ref="J274:L275" si="140">D278</f>
        <v>1.54</v>
      </c>
      <c r="K274">
        <f t="shared" si="140"/>
        <v>2.19</v>
      </c>
      <c r="L274">
        <f t="shared" si="140"/>
        <v>2.48</v>
      </c>
      <c r="N274" t="str">
        <f>TEXT(I277,"#,##0")&amp;" ("&amp;TEXT(I278,"0.00")&amp;")"</f>
        <v>0 (0.00)</v>
      </c>
      <c r="O274" t="str">
        <f t="shared" ref="O274:Q274" si="141">TEXT(J277,"#,##0")&amp;" ("&amp;TEXT(J278,"0.00")&amp;")"</f>
        <v>0 (0.00)</v>
      </c>
      <c r="P274" t="str">
        <f t="shared" si="141"/>
        <v>0 (0.00)</v>
      </c>
      <c r="Q274" t="str">
        <f t="shared" si="141"/>
        <v>0 (0.00)</v>
      </c>
    </row>
    <row r="275" spans="1:17" x14ac:dyDescent="0.3">
      <c r="A275" s="2"/>
      <c r="B275" s="8">
        <v>1</v>
      </c>
      <c r="C275" s="11">
        <v>136</v>
      </c>
      <c r="D275" s="11">
        <v>270</v>
      </c>
      <c r="E275" s="11">
        <v>385</v>
      </c>
      <c r="F275" s="11">
        <v>435</v>
      </c>
      <c r="G275" s="11">
        <v>1226</v>
      </c>
      <c r="I275">
        <f>C279</f>
        <v>17569</v>
      </c>
      <c r="J275">
        <f t="shared" si="140"/>
        <v>17569</v>
      </c>
      <c r="K275">
        <f t="shared" si="140"/>
        <v>17569</v>
      </c>
      <c r="L275">
        <f t="shared" si="140"/>
        <v>17568</v>
      </c>
    </row>
    <row r="276" spans="1:17" x14ac:dyDescent="0.3">
      <c r="A276" s="2"/>
      <c r="B276" s="8"/>
      <c r="C276" s="11">
        <v>0.19</v>
      </c>
      <c r="D276" s="11">
        <v>0.38</v>
      </c>
      <c r="E276" s="11">
        <v>0.55000000000000004</v>
      </c>
      <c r="F276" s="11">
        <v>0.62</v>
      </c>
      <c r="G276" s="11">
        <v>1.74</v>
      </c>
      <c r="I276">
        <f>C282</f>
        <v>0</v>
      </c>
      <c r="J276">
        <f t="shared" ref="J276:L277" si="142">D282</f>
        <v>0</v>
      </c>
      <c r="K276">
        <f t="shared" si="142"/>
        <v>0</v>
      </c>
      <c r="L276">
        <f t="shared" si="142"/>
        <v>0</v>
      </c>
    </row>
    <row r="277" spans="1:17" x14ac:dyDescent="0.3">
      <c r="A277" s="2"/>
      <c r="B277" s="8"/>
      <c r="C277" s="11">
        <v>11.09</v>
      </c>
      <c r="D277" s="11">
        <v>22.02</v>
      </c>
      <c r="E277" s="11">
        <v>31.4</v>
      </c>
      <c r="F277" s="11">
        <v>35.479999999999997</v>
      </c>
      <c r="G277" s="11"/>
      <c r="I277">
        <f>C283</f>
        <v>0</v>
      </c>
      <c r="J277">
        <f t="shared" si="142"/>
        <v>0</v>
      </c>
      <c r="K277">
        <f t="shared" si="142"/>
        <v>0</v>
      </c>
      <c r="L277">
        <f t="shared" si="142"/>
        <v>0</v>
      </c>
    </row>
    <row r="278" spans="1:17" x14ac:dyDescent="0.3">
      <c r="A278" s="2"/>
      <c r="B278" s="8"/>
      <c r="C278" s="11">
        <v>0.77</v>
      </c>
      <c r="D278" s="11">
        <v>1.54</v>
      </c>
      <c r="E278" s="11">
        <v>2.19</v>
      </c>
      <c r="F278" s="11">
        <v>2.48</v>
      </c>
      <c r="G278" s="11"/>
      <c r="I278">
        <f>C286</f>
        <v>0</v>
      </c>
      <c r="J278">
        <f t="shared" ref="J278:L278" si="143">D286</f>
        <v>0</v>
      </c>
      <c r="K278">
        <f t="shared" si="143"/>
        <v>0</v>
      </c>
      <c r="L278">
        <f t="shared" si="143"/>
        <v>0</v>
      </c>
    </row>
    <row r="279" spans="1:17" x14ac:dyDescent="0.3">
      <c r="A279" s="2"/>
      <c r="B279" s="8" t="s">
        <v>24</v>
      </c>
      <c r="C279" s="11">
        <v>17569</v>
      </c>
      <c r="D279" s="11">
        <v>17569</v>
      </c>
      <c r="E279" s="11">
        <v>17569</v>
      </c>
      <c r="F279" s="11">
        <v>17568</v>
      </c>
      <c r="G279" s="11">
        <v>70275</v>
      </c>
    </row>
    <row r="280" spans="1:17" x14ac:dyDescent="0.3">
      <c r="A280" s="2"/>
      <c r="B280" s="8"/>
      <c r="C280" s="11">
        <v>25</v>
      </c>
      <c r="D280" s="11">
        <v>25</v>
      </c>
      <c r="E280" s="11">
        <v>25</v>
      </c>
      <c r="F280" s="11">
        <v>25</v>
      </c>
      <c r="G280" s="11">
        <v>100</v>
      </c>
    </row>
    <row r="281" spans="1:17" x14ac:dyDescent="0.3">
      <c r="A281" s="2"/>
      <c r="B281" s="13"/>
      <c r="C281" s="13"/>
      <c r="D281" s="13"/>
      <c r="E281" s="13"/>
      <c r="F281" s="13"/>
      <c r="G281" s="13"/>
    </row>
  </sheetData>
  <mergeCells count="122">
    <mergeCell ref="B271:B274"/>
    <mergeCell ref="B275:B278"/>
    <mergeCell ref="B279:B280"/>
    <mergeCell ref="B281:G281"/>
    <mergeCell ref="B256:B259"/>
    <mergeCell ref="B260:B263"/>
    <mergeCell ref="B264:B265"/>
    <mergeCell ref="B266:G266"/>
    <mergeCell ref="B268:G268"/>
    <mergeCell ref="B269:B270"/>
    <mergeCell ref="C269:G269"/>
    <mergeCell ref="B241:B244"/>
    <mergeCell ref="B245:B248"/>
    <mergeCell ref="B249:B250"/>
    <mergeCell ref="B251:G251"/>
    <mergeCell ref="B253:G253"/>
    <mergeCell ref="B254:B255"/>
    <mergeCell ref="C254:G254"/>
    <mergeCell ref="B226:B229"/>
    <mergeCell ref="B230:B233"/>
    <mergeCell ref="B234:B235"/>
    <mergeCell ref="B236:G236"/>
    <mergeCell ref="B238:G238"/>
    <mergeCell ref="B239:B240"/>
    <mergeCell ref="C239:G239"/>
    <mergeCell ref="B215:B218"/>
    <mergeCell ref="B219:B220"/>
    <mergeCell ref="B221:G221"/>
    <mergeCell ref="B223:G223"/>
    <mergeCell ref="B224:B225"/>
    <mergeCell ref="C224:G224"/>
    <mergeCell ref="B204:B205"/>
    <mergeCell ref="B206:G206"/>
    <mergeCell ref="B208:G208"/>
    <mergeCell ref="B209:B210"/>
    <mergeCell ref="C209:G209"/>
    <mergeCell ref="B211:B214"/>
    <mergeCell ref="B191:G191"/>
    <mergeCell ref="B193:G193"/>
    <mergeCell ref="B194:B195"/>
    <mergeCell ref="C194:G194"/>
    <mergeCell ref="B196:B199"/>
    <mergeCell ref="B200:B203"/>
    <mergeCell ref="B175:B176"/>
    <mergeCell ref="C175:G175"/>
    <mergeCell ref="B177:B180"/>
    <mergeCell ref="B181:B184"/>
    <mergeCell ref="B185:B188"/>
    <mergeCell ref="B189:B190"/>
    <mergeCell ref="B158:B161"/>
    <mergeCell ref="B162:B165"/>
    <mergeCell ref="B166:B169"/>
    <mergeCell ref="B170:B171"/>
    <mergeCell ref="B172:G172"/>
    <mergeCell ref="B174:G174"/>
    <mergeCell ref="B147:B150"/>
    <mergeCell ref="B151:B152"/>
    <mergeCell ref="B153:G153"/>
    <mergeCell ref="B155:G155"/>
    <mergeCell ref="B156:B157"/>
    <mergeCell ref="C156:G156"/>
    <mergeCell ref="B134:G134"/>
    <mergeCell ref="B136:G136"/>
    <mergeCell ref="B137:B138"/>
    <mergeCell ref="C137:G137"/>
    <mergeCell ref="B139:B142"/>
    <mergeCell ref="B143:B146"/>
    <mergeCell ref="B121:G121"/>
    <mergeCell ref="B122:B123"/>
    <mergeCell ref="C122:G122"/>
    <mergeCell ref="B124:B127"/>
    <mergeCell ref="B128:B131"/>
    <mergeCell ref="B132:B133"/>
    <mergeCell ref="B101:B104"/>
    <mergeCell ref="B105:B108"/>
    <mergeCell ref="B109:B112"/>
    <mergeCell ref="B113:B116"/>
    <mergeCell ref="B117:B118"/>
    <mergeCell ref="B119:G119"/>
    <mergeCell ref="B90:B93"/>
    <mergeCell ref="B94:B95"/>
    <mergeCell ref="B96:G96"/>
    <mergeCell ref="B98:G98"/>
    <mergeCell ref="B99:B100"/>
    <mergeCell ref="C99:G99"/>
    <mergeCell ref="B75:G75"/>
    <mergeCell ref="B76:B77"/>
    <mergeCell ref="C76:G76"/>
    <mergeCell ref="B78:B81"/>
    <mergeCell ref="B82:B85"/>
    <mergeCell ref="B86:B89"/>
    <mergeCell ref="B55:B58"/>
    <mergeCell ref="B59:B62"/>
    <mergeCell ref="B63:B66"/>
    <mergeCell ref="B67:B70"/>
    <mergeCell ref="B71:B72"/>
    <mergeCell ref="B73:G73"/>
    <mergeCell ref="B40:B43"/>
    <mergeCell ref="B44:B47"/>
    <mergeCell ref="B48:B49"/>
    <mergeCell ref="B50:G50"/>
    <mergeCell ref="B52:G52"/>
    <mergeCell ref="B53:B54"/>
    <mergeCell ref="C53:G53"/>
    <mergeCell ref="B29:B32"/>
    <mergeCell ref="B33:B34"/>
    <mergeCell ref="B35:G35"/>
    <mergeCell ref="B37:G37"/>
    <mergeCell ref="B38:B39"/>
    <mergeCell ref="C38:G38"/>
    <mergeCell ref="B18:B19"/>
    <mergeCell ref="B20:G20"/>
    <mergeCell ref="B22:G22"/>
    <mergeCell ref="B23:B24"/>
    <mergeCell ref="C23:G23"/>
    <mergeCell ref="B25:B28"/>
    <mergeCell ref="B3:G3"/>
    <mergeCell ref="B4:B5"/>
    <mergeCell ref="C4:G4"/>
    <mergeCell ref="B6:B9"/>
    <mergeCell ref="B10:B13"/>
    <mergeCell ref="B14:B17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BB94-B3D8-4B3C-BC5B-369DF8DEBB7B}">
  <dimension ref="A1:K22"/>
  <sheetViews>
    <sheetView workbookViewId="0">
      <selection activeCell="K4" sqref="K4"/>
    </sheetView>
  </sheetViews>
  <sheetFormatPr defaultRowHeight="16.5" x14ac:dyDescent="0.3"/>
  <cols>
    <col min="11" max="11" width="14.625" bestFit="1" customWidth="1"/>
  </cols>
  <sheetData>
    <row r="1" spans="1:11" x14ac:dyDescent="0.3">
      <c r="A1" s="1" t="s">
        <v>91</v>
      </c>
    </row>
    <row r="2" spans="1:11" ht="17.25" thickBot="1" x14ac:dyDescent="0.35"/>
    <row r="3" spans="1:11" x14ac:dyDescent="0.3">
      <c r="A3" s="4" t="s">
        <v>92</v>
      </c>
      <c r="B3" s="5" t="s">
        <v>93</v>
      </c>
      <c r="C3" s="5" t="s">
        <v>94</v>
      </c>
      <c r="D3" s="5" t="s">
        <v>95</v>
      </c>
      <c r="E3" s="5" t="s">
        <v>96</v>
      </c>
      <c r="F3" s="5" t="s">
        <v>97</v>
      </c>
    </row>
    <row r="4" spans="1:11" x14ac:dyDescent="0.3">
      <c r="A4" s="18" t="s">
        <v>98</v>
      </c>
      <c r="B4" s="16">
        <v>70275</v>
      </c>
      <c r="C4" s="16">
        <v>49.349541100000003</v>
      </c>
      <c r="D4" s="16">
        <v>16.089400999999999</v>
      </c>
      <c r="E4" s="16">
        <v>19</v>
      </c>
      <c r="F4" s="16">
        <v>80</v>
      </c>
      <c r="H4">
        <f>C4</f>
        <v>49.349541100000003</v>
      </c>
      <c r="I4">
        <f>D4</f>
        <v>16.089400999999999</v>
      </c>
      <c r="K4" t="str">
        <f>TEXT(H4,"0.00")&amp;" ("&amp;TEXT(I4,"0.00")&amp;")"</f>
        <v>49.35 (16.09)</v>
      </c>
    </row>
    <row r="5" spans="1:11" x14ac:dyDescent="0.3">
      <c r="A5" s="18" t="s">
        <v>99</v>
      </c>
      <c r="B5" s="16">
        <v>70275</v>
      </c>
      <c r="C5" s="16">
        <v>23.873810899999999</v>
      </c>
      <c r="D5" s="16">
        <v>3.4855119000000001</v>
      </c>
      <c r="E5" s="16">
        <v>13.1339583</v>
      </c>
      <c r="F5" s="16">
        <v>62.640542099999998</v>
      </c>
      <c r="H5">
        <f t="shared" ref="H5:H22" si="0">C5</f>
        <v>23.873810899999999</v>
      </c>
      <c r="I5">
        <f t="shared" ref="I5:I22" si="1">D5</f>
        <v>3.4855119000000001</v>
      </c>
      <c r="K5" t="str">
        <f t="shared" ref="K5:K22" si="2">TEXT(H5,"0.00")&amp;" ("&amp;TEXT(I5,"0.00")&amp;")"</f>
        <v>23.87 (3.49)</v>
      </c>
    </row>
    <row r="6" spans="1:11" x14ac:dyDescent="0.3">
      <c r="A6" s="18" t="s">
        <v>100</v>
      </c>
      <c r="B6" s="16">
        <v>70275</v>
      </c>
      <c r="C6" s="16">
        <v>82.391607300000004</v>
      </c>
      <c r="D6" s="16">
        <v>10.2265759</v>
      </c>
      <c r="E6" s="16">
        <v>36.200000000000003</v>
      </c>
      <c r="F6" s="16">
        <v>166.1</v>
      </c>
      <c r="H6">
        <f t="shared" si="0"/>
        <v>82.391607300000004</v>
      </c>
      <c r="I6">
        <f t="shared" si="1"/>
        <v>10.2265759</v>
      </c>
      <c r="K6" t="str">
        <f t="shared" si="2"/>
        <v>82.39 (10.23)</v>
      </c>
    </row>
    <row r="7" spans="1:11" x14ac:dyDescent="0.3">
      <c r="A7" s="18" t="s">
        <v>101</v>
      </c>
      <c r="B7" s="16">
        <v>70275</v>
      </c>
      <c r="C7" s="16">
        <v>7.7774099999999999E-2</v>
      </c>
      <c r="D7" s="16">
        <v>4.6401999999999997E-3</v>
      </c>
      <c r="E7" s="16">
        <v>4.5616799999999999E-2</v>
      </c>
      <c r="F7" s="16">
        <v>0.15107219999999999</v>
      </c>
      <c r="H7">
        <f t="shared" si="0"/>
        <v>7.7774099999999999E-2</v>
      </c>
      <c r="I7">
        <f t="shared" si="1"/>
        <v>4.6401999999999997E-3</v>
      </c>
      <c r="K7" t="str">
        <f t="shared" si="2"/>
        <v>0.08 (0.00)</v>
      </c>
    </row>
    <row r="8" spans="1:11" x14ac:dyDescent="0.3">
      <c r="A8" s="18" t="s">
        <v>102</v>
      </c>
      <c r="B8" s="16">
        <v>70275</v>
      </c>
      <c r="C8" s="16">
        <v>118.5038065</v>
      </c>
      <c r="D8" s="16">
        <v>16.545716200000001</v>
      </c>
      <c r="E8" s="16">
        <v>70</v>
      </c>
      <c r="F8" s="16">
        <v>243</v>
      </c>
      <c r="H8">
        <f t="shared" si="0"/>
        <v>118.5038065</v>
      </c>
      <c r="I8">
        <f t="shared" si="1"/>
        <v>16.545716200000001</v>
      </c>
      <c r="K8" t="str">
        <f t="shared" si="2"/>
        <v>118.50 (16.55)</v>
      </c>
    </row>
    <row r="9" spans="1:11" x14ac:dyDescent="0.3">
      <c r="A9" s="18" t="s">
        <v>103</v>
      </c>
      <c r="B9" s="16">
        <v>70275</v>
      </c>
      <c r="C9" s="16">
        <v>99.613603699999999</v>
      </c>
      <c r="D9" s="16">
        <v>22.638393300000001</v>
      </c>
      <c r="E9" s="16">
        <v>40</v>
      </c>
      <c r="F9" s="16">
        <v>553</v>
      </c>
      <c r="H9">
        <f t="shared" si="0"/>
        <v>99.613603699999999</v>
      </c>
      <c r="I9">
        <f t="shared" si="1"/>
        <v>22.638393300000001</v>
      </c>
      <c r="K9" t="str">
        <f t="shared" si="2"/>
        <v>99.61 (22.64)</v>
      </c>
    </row>
    <row r="10" spans="1:11" x14ac:dyDescent="0.3">
      <c r="A10" s="18" t="s">
        <v>104</v>
      </c>
      <c r="B10" s="16">
        <v>70275</v>
      </c>
      <c r="C10" s="16">
        <v>189.7508929</v>
      </c>
      <c r="D10" s="16">
        <v>37.023190200000002</v>
      </c>
      <c r="E10" s="16">
        <v>66</v>
      </c>
      <c r="F10" s="16">
        <v>554</v>
      </c>
      <c r="H10">
        <f t="shared" si="0"/>
        <v>189.7508929</v>
      </c>
      <c r="I10">
        <f t="shared" si="1"/>
        <v>37.023190200000002</v>
      </c>
      <c r="K10" t="str">
        <f t="shared" si="2"/>
        <v>189.75 (37.02)</v>
      </c>
    </row>
    <row r="11" spans="1:11" ht="25.5" x14ac:dyDescent="0.3">
      <c r="A11" s="18" t="s">
        <v>105</v>
      </c>
      <c r="B11" s="16">
        <v>70275</v>
      </c>
      <c r="C11" s="16">
        <v>51.129106999999998</v>
      </c>
      <c r="D11" s="16">
        <v>12.772706299999999</v>
      </c>
      <c r="E11" s="16">
        <v>5.9180000000000001</v>
      </c>
      <c r="F11" s="16">
        <v>145.298</v>
      </c>
      <c r="H11">
        <f t="shared" si="0"/>
        <v>51.129106999999998</v>
      </c>
      <c r="I11">
        <f t="shared" si="1"/>
        <v>12.772706299999999</v>
      </c>
      <c r="K11" t="str">
        <f t="shared" si="2"/>
        <v>51.13 (12.77)</v>
      </c>
    </row>
    <row r="12" spans="1:11" x14ac:dyDescent="0.3">
      <c r="A12" s="18" t="s">
        <v>106</v>
      </c>
      <c r="B12" s="16">
        <v>70275</v>
      </c>
      <c r="C12" s="16">
        <v>134.02968340000001</v>
      </c>
      <c r="D12" s="16">
        <v>110.14519199999999</v>
      </c>
      <c r="E12" s="16">
        <v>11</v>
      </c>
      <c r="F12" s="16">
        <v>2774</v>
      </c>
      <c r="H12">
        <f t="shared" si="0"/>
        <v>134.02968340000001</v>
      </c>
      <c r="I12">
        <f t="shared" si="1"/>
        <v>110.14519199999999</v>
      </c>
      <c r="K12" t="str">
        <f t="shared" si="2"/>
        <v>134.03 (110.15)</v>
      </c>
    </row>
    <row r="13" spans="1:11" x14ac:dyDescent="0.3">
      <c r="A13" s="18" t="s">
        <v>107</v>
      </c>
      <c r="B13" s="16">
        <v>70275</v>
      </c>
      <c r="C13" s="16">
        <v>23.312031300000001</v>
      </c>
      <c r="D13" s="16">
        <v>14.215347299999999</v>
      </c>
      <c r="E13" s="16">
        <v>6</v>
      </c>
      <c r="F13" s="16">
        <v>927</v>
      </c>
      <c r="H13">
        <f t="shared" si="0"/>
        <v>23.312031300000001</v>
      </c>
      <c r="I13">
        <f t="shared" si="1"/>
        <v>14.215347299999999</v>
      </c>
      <c r="K13" t="str">
        <f t="shared" si="2"/>
        <v>23.31 (14.22)</v>
      </c>
    </row>
    <row r="14" spans="1:11" x14ac:dyDescent="0.3">
      <c r="A14" s="18" t="s">
        <v>108</v>
      </c>
      <c r="B14" s="16">
        <v>70275</v>
      </c>
      <c r="C14" s="16">
        <v>22.611668399999999</v>
      </c>
      <c r="D14" s="16">
        <v>18.917386799999999</v>
      </c>
      <c r="E14" s="16">
        <v>1</v>
      </c>
      <c r="F14" s="16">
        <v>893</v>
      </c>
      <c r="H14">
        <f t="shared" si="0"/>
        <v>22.611668399999999</v>
      </c>
      <c r="I14">
        <f t="shared" si="1"/>
        <v>18.917386799999999</v>
      </c>
      <c r="K14" t="str">
        <f t="shared" si="2"/>
        <v>22.61 (18.92)</v>
      </c>
    </row>
    <row r="15" spans="1:11" x14ac:dyDescent="0.3">
      <c r="A15" s="18" t="s">
        <v>109</v>
      </c>
      <c r="B15" s="16">
        <v>70275</v>
      </c>
      <c r="C15" s="16">
        <v>14.087610099999999</v>
      </c>
      <c r="D15" s="16">
        <v>1.5750512999999999</v>
      </c>
      <c r="E15" s="16">
        <v>3.9</v>
      </c>
      <c r="F15" s="16">
        <v>21.3</v>
      </c>
      <c r="H15">
        <f t="shared" si="0"/>
        <v>14.087610099999999</v>
      </c>
      <c r="I15">
        <f t="shared" si="1"/>
        <v>1.5750512999999999</v>
      </c>
      <c r="K15" t="str">
        <f t="shared" si="2"/>
        <v>14.09 (1.58)</v>
      </c>
    </row>
    <row r="16" spans="1:11" x14ac:dyDescent="0.3">
      <c r="A16" s="18" t="s">
        <v>110</v>
      </c>
      <c r="B16" s="16">
        <v>70275</v>
      </c>
      <c r="C16" s="16">
        <v>14.5530217</v>
      </c>
      <c r="D16" s="16">
        <v>4.4944962999999998</v>
      </c>
      <c r="E16" s="16">
        <v>2</v>
      </c>
      <c r="F16" s="16">
        <v>140</v>
      </c>
      <c r="H16">
        <f t="shared" si="0"/>
        <v>14.5530217</v>
      </c>
      <c r="I16">
        <f t="shared" si="1"/>
        <v>4.4944962999999998</v>
      </c>
      <c r="K16" t="str">
        <f t="shared" si="2"/>
        <v>14.55 (4.49)</v>
      </c>
    </row>
    <row r="17" spans="1:11" x14ac:dyDescent="0.3">
      <c r="A17" s="18" t="s">
        <v>111</v>
      </c>
      <c r="B17" s="16">
        <v>70275</v>
      </c>
      <c r="C17" s="16">
        <v>0.83746109999999996</v>
      </c>
      <c r="D17" s="16">
        <v>0.23676749999999999</v>
      </c>
      <c r="E17" s="16">
        <v>0.2</v>
      </c>
      <c r="F17" s="16">
        <v>14.38</v>
      </c>
      <c r="H17">
        <f t="shared" si="0"/>
        <v>0.83746109999999996</v>
      </c>
      <c r="I17">
        <f t="shared" si="1"/>
        <v>0.23676749999999999</v>
      </c>
      <c r="K17" t="str">
        <f t="shared" si="2"/>
        <v>0.84 (0.24)</v>
      </c>
    </row>
    <row r="18" spans="1:11" x14ac:dyDescent="0.3">
      <c r="A18" s="18" t="s">
        <v>112</v>
      </c>
      <c r="B18" s="16">
        <v>70275</v>
      </c>
      <c r="C18" s="16">
        <v>5.7780861000000003</v>
      </c>
      <c r="D18" s="16">
        <v>0.80235690000000004</v>
      </c>
      <c r="E18" s="16">
        <v>5</v>
      </c>
      <c r="F18" s="16">
        <v>9</v>
      </c>
      <c r="H18">
        <f t="shared" si="0"/>
        <v>5.7780861000000003</v>
      </c>
      <c r="I18">
        <f t="shared" si="1"/>
        <v>0.80235690000000004</v>
      </c>
      <c r="K18" t="str">
        <f t="shared" si="2"/>
        <v>5.78 (0.80)</v>
      </c>
    </row>
    <row r="19" spans="1:11" x14ac:dyDescent="0.3">
      <c r="A19" s="18" t="s">
        <v>113</v>
      </c>
      <c r="B19" s="16">
        <v>70275</v>
      </c>
      <c r="C19" s="16">
        <v>8.5926612000000002</v>
      </c>
      <c r="D19" s="16">
        <v>0.66396290000000002</v>
      </c>
      <c r="E19" s="16">
        <v>5.8944027999999999</v>
      </c>
      <c r="F19" s="16">
        <v>12.7290689</v>
      </c>
      <c r="H19">
        <f t="shared" si="0"/>
        <v>8.5926612000000002</v>
      </c>
      <c r="I19">
        <f t="shared" si="1"/>
        <v>0.66396290000000002</v>
      </c>
      <c r="K19" t="str">
        <f t="shared" si="2"/>
        <v>8.59 (0.66)</v>
      </c>
    </row>
    <row r="20" spans="1:11" x14ac:dyDescent="0.3">
      <c r="A20" s="18" t="s">
        <v>114</v>
      </c>
      <c r="B20" s="16">
        <v>70275</v>
      </c>
      <c r="C20" s="16">
        <v>0.66924289999999997</v>
      </c>
      <c r="D20" s="16">
        <v>7.4318200000000001E-2</v>
      </c>
      <c r="E20" s="16">
        <v>0.40120869999999997</v>
      </c>
      <c r="F20" s="16">
        <v>1.3241700999999999</v>
      </c>
      <c r="H20">
        <f t="shared" si="0"/>
        <v>0.66924289999999997</v>
      </c>
      <c r="I20">
        <f t="shared" si="1"/>
        <v>7.4318200000000001E-2</v>
      </c>
      <c r="K20" t="str">
        <f t="shared" si="2"/>
        <v>0.67 (0.07)</v>
      </c>
    </row>
    <row r="21" spans="1:11" x14ac:dyDescent="0.3">
      <c r="A21" s="18" t="s">
        <v>115</v>
      </c>
      <c r="B21" s="16">
        <v>70275</v>
      </c>
      <c r="C21" s="16">
        <v>0.34672439999999999</v>
      </c>
      <c r="D21" s="16">
        <v>0.32266529999999999</v>
      </c>
      <c r="E21" s="17">
        <v>-0.73762629999999996</v>
      </c>
      <c r="F21" s="16">
        <v>2.1147776999999999</v>
      </c>
      <c r="H21">
        <f t="shared" si="0"/>
        <v>0.34672439999999999</v>
      </c>
      <c r="I21">
        <f t="shared" si="1"/>
        <v>0.32266529999999999</v>
      </c>
      <c r="K21" t="str">
        <f t="shared" si="2"/>
        <v>0.35 (0.32)</v>
      </c>
    </row>
    <row r="22" spans="1:11" x14ac:dyDescent="0.3">
      <c r="A22" s="18" t="s">
        <v>116</v>
      </c>
      <c r="B22" s="16">
        <v>70275</v>
      </c>
      <c r="C22" s="16">
        <v>35.604000399999997</v>
      </c>
      <c r="D22" s="16">
        <v>7.3071003000000001</v>
      </c>
      <c r="E22" s="16">
        <v>15.462639899999999</v>
      </c>
      <c r="F22" s="16">
        <v>93.063441699999998</v>
      </c>
      <c r="H22">
        <f t="shared" si="0"/>
        <v>35.604000399999997</v>
      </c>
      <c r="I22">
        <f t="shared" si="1"/>
        <v>7.3071003000000001</v>
      </c>
      <c r="K22" t="str">
        <f t="shared" si="2"/>
        <v>35.60 (7.31)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15E2E-748D-455B-9A2B-E8E55C92534B}">
  <dimension ref="A1:M79"/>
  <sheetViews>
    <sheetView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23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17571</v>
      </c>
      <c r="C4" s="14" t="s">
        <v>98</v>
      </c>
      <c r="D4" s="16">
        <v>17571</v>
      </c>
      <c r="E4" s="16">
        <v>42.654885899999996</v>
      </c>
      <c r="F4" s="16">
        <v>16.022904799999999</v>
      </c>
      <c r="G4" s="16">
        <v>19</v>
      </c>
      <c r="H4" s="16">
        <v>80</v>
      </c>
      <c r="J4">
        <f>E4</f>
        <v>42.654885899999996</v>
      </c>
      <c r="K4">
        <f>F4</f>
        <v>16.022904799999999</v>
      </c>
      <c r="M4" t="str">
        <f>TEXT(J4,"0.00")&amp;" ("&amp;TEXT(K4,"0.00")&amp;")"</f>
        <v>42.65 (16.02)</v>
      </c>
    </row>
    <row r="5" spans="1:13" x14ac:dyDescent="0.3">
      <c r="A5" s="8"/>
      <c r="B5" s="12"/>
      <c r="C5" s="14" t="s">
        <v>99</v>
      </c>
      <c r="D5" s="16">
        <v>17571</v>
      </c>
      <c r="E5" s="16">
        <v>22.086980100000002</v>
      </c>
      <c r="F5" s="16">
        <v>2.9710695</v>
      </c>
      <c r="G5" s="16">
        <v>13.332026300000001</v>
      </c>
      <c r="H5" s="16">
        <v>46.219893999999996</v>
      </c>
      <c r="J5">
        <f t="shared" ref="J5:J68" si="0">E5</f>
        <v>22.086980100000002</v>
      </c>
      <c r="K5">
        <f t="shared" ref="K5:K68" si="1">F5</f>
        <v>2.9710695</v>
      </c>
      <c r="M5" t="str">
        <f t="shared" ref="M5:M68" si="2">TEXT(J5,"0.00")&amp;" ("&amp;TEXT(K5,"0.00")&amp;")"</f>
        <v>22.09 (2.97)</v>
      </c>
    </row>
    <row r="6" spans="1:13" x14ac:dyDescent="0.3">
      <c r="A6" s="8"/>
      <c r="B6" s="12"/>
      <c r="C6" s="14" t="s">
        <v>100</v>
      </c>
      <c r="D6" s="16">
        <v>17571</v>
      </c>
      <c r="E6" s="16">
        <v>75.835740700000002</v>
      </c>
      <c r="F6" s="16">
        <v>8.8630703999999998</v>
      </c>
      <c r="G6" s="16">
        <v>51.9</v>
      </c>
      <c r="H6" s="16">
        <v>137.1</v>
      </c>
      <c r="J6">
        <f t="shared" si="0"/>
        <v>75.835740700000002</v>
      </c>
      <c r="K6">
        <f t="shared" si="1"/>
        <v>8.8630703999999998</v>
      </c>
      <c r="M6" t="str">
        <f t="shared" si="2"/>
        <v>75.84 (8.86)</v>
      </c>
    </row>
    <row r="7" spans="1:13" x14ac:dyDescent="0.3">
      <c r="A7" s="8"/>
      <c r="B7" s="12"/>
      <c r="C7" s="14" t="s">
        <v>101</v>
      </c>
      <c r="D7" s="16">
        <v>17571</v>
      </c>
      <c r="E7" s="16">
        <v>7.5579499999999994E-2</v>
      </c>
      <c r="F7" s="16">
        <v>4.4533999999999997E-3</v>
      </c>
      <c r="G7" s="16">
        <v>5.6099799999999998E-2</v>
      </c>
      <c r="H7" s="16">
        <v>9.96866E-2</v>
      </c>
      <c r="J7">
        <f t="shared" si="0"/>
        <v>7.5579499999999994E-2</v>
      </c>
      <c r="K7">
        <f t="shared" si="1"/>
        <v>4.4533999999999997E-3</v>
      </c>
      <c r="M7" t="str">
        <f t="shared" si="2"/>
        <v>0.08 (0.00)</v>
      </c>
    </row>
    <row r="8" spans="1:13" x14ac:dyDescent="0.3">
      <c r="A8" s="8"/>
      <c r="B8" s="12"/>
      <c r="C8" s="14" t="s">
        <v>102</v>
      </c>
      <c r="D8" s="16">
        <v>17571</v>
      </c>
      <c r="E8" s="16">
        <v>111.38628989999999</v>
      </c>
      <c r="F8" s="16">
        <v>14.7590789</v>
      </c>
      <c r="G8" s="16">
        <v>75</v>
      </c>
      <c r="H8" s="16">
        <v>217</v>
      </c>
      <c r="J8">
        <f t="shared" si="0"/>
        <v>111.38628989999999</v>
      </c>
      <c r="K8">
        <f t="shared" si="1"/>
        <v>14.7590789</v>
      </c>
      <c r="M8" t="str">
        <f t="shared" si="2"/>
        <v>111.39 (14.76)</v>
      </c>
    </row>
    <row r="9" spans="1:13" x14ac:dyDescent="0.3">
      <c r="A9" s="8"/>
      <c r="B9" s="12"/>
      <c r="C9" s="14" t="s">
        <v>103</v>
      </c>
      <c r="D9" s="16">
        <v>17571</v>
      </c>
      <c r="E9" s="16">
        <v>89.438278999999994</v>
      </c>
      <c r="F9" s="16">
        <v>8.7065280999999999</v>
      </c>
      <c r="G9" s="16">
        <v>40</v>
      </c>
      <c r="H9" s="16">
        <v>197</v>
      </c>
      <c r="J9">
        <f t="shared" si="0"/>
        <v>89.438278999999994</v>
      </c>
      <c r="K9">
        <f t="shared" si="1"/>
        <v>8.7065280999999999</v>
      </c>
      <c r="M9" t="str">
        <f t="shared" si="2"/>
        <v>89.44 (8.71)</v>
      </c>
    </row>
    <row r="10" spans="1:13" x14ac:dyDescent="0.3">
      <c r="A10" s="8"/>
      <c r="B10" s="12"/>
      <c r="C10" s="14" t="s">
        <v>104</v>
      </c>
      <c r="D10" s="16">
        <v>17571</v>
      </c>
      <c r="E10" s="16">
        <v>176.9706334</v>
      </c>
      <c r="F10" s="16">
        <v>31.766812600000002</v>
      </c>
      <c r="G10" s="16">
        <v>71</v>
      </c>
      <c r="H10" s="16">
        <v>457</v>
      </c>
      <c r="J10">
        <f t="shared" si="0"/>
        <v>176.9706334</v>
      </c>
      <c r="K10">
        <f t="shared" si="1"/>
        <v>31.766812600000002</v>
      </c>
      <c r="M10" t="str">
        <f t="shared" si="2"/>
        <v>176.97 (31.77)</v>
      </c>
    </row>
    <row r="11" spans="1:13" ht="25.5" x14ac:dyDescent="0.3">
      <c r="A11" s="8"/>
      <c r="B11" s="12"/>
      <c r="C11" s="14" t="s">
        <v>105</v>
      </c>
      <c r="D11" s="16">
        <v>17571</v>
      </c>
      <c r="E11" s="16">
        <v>58.844864800000003</v>
      </c>
      <c r="F11" s="16">
        <v>12.7463839</v>
      </c>
      <c r="G11" s="16">
        <v>13.997999999999999</v>
      </c>
      <c r="H11" s="16">
        <v>135</v>
      </c>
      <c r="J11">
        <f t="shared" si="0"/>
        <v>58.844864800000003</v>
      </c>
      <c r="K11">
        <f t="shared" si="1"/>
        <v>12.7463839</v>
      </c>
      <c r="M11" t="str">
        <f t="shared" si="2"/>
        <v>58.84 (12.75)</v>
      </c>
    </row>
    <row r="12" spans="1:13" x14ac:dyDescent="0.3">
      <c r="A12" s="8"/>
      <c r="B12" s="12"/>
      <c r="C12" s="14" t="s">
        <v>106</v>
      </c>
      <c r="D12" s="16">
        <v>17571</v>
      </c>
      <c r="E12" s="16">
        <v>56.374139200000002</v>
      </c>
      <c r="F12" s="16">
        <v>12.582726600000001</v>
      </c>
      <c r="G12" s="16">
        <v>11</v>
      </c>
      <c r="H12" s="16">
        <v>126</v>
      </c>
      <c r="J12">
        <f t="shared" si="0"/>
        <v>56.374139200000002</v>
      </c>
      <c r="K12">
        <f t="shared" si="1"/>
        <v>12.582726600000001</v>
      </c>
      <c r="M12" t="str">
        <f t="shared" si="2"/>
        <v>56.37 (12.58)</v>
      </c>
    </row>
    <row r="13" spans="1:13" x14ac:dyDescent="0.3">
      <c r="A13" s="8"/>
      <c r="B13" s="12"/>
      <c r="C13" s="14" t="s">
        <v>107</v>
      </c>
      <c r="D13" s="16">
        <v>17571</v>
      </c>
      <c r="E13" s="16">
        <v>20.615502800000002</v>
      </c>
      <c r="F13" s="16">
        <v>11.1799997</v>
      </c>
      <c r="G13" s="16">
        <v>7</v>
      </c>
      <c r="H13" s="16">
        <v>415</v>
      </c>
      <c r="J13">
        <f t="shared" si="0"/>
        <v>20.615502800000002</v>
      </c>
      <c r="K13">
        <f t="shared" si="1"/>
        <v>11.1799997</v>
      </c>
      <c r="M13" t="str">
        <f t="shared" si="2"/>
        <v>20.62 (11.18)</v>
      </c>
    </row>
    <row r="14" spans="1:13" x14ac:dyDescent="0.3">
      <c r="A14" s="8"/>
      <c r="B14" s="12"/>
      <c r="C14" s="14" t="s">
        <v>108</v>
      </c>
      <c r="D14" s="16">
        <v>17571</v>
      </c>
      <c r="E14" s="16">
        <v>16.728245399999999</v>
      </c>
      <c r="F14" s="16">
        <v>12.801566299999999</v>
      </c>
      <c r="G14" s="16">
        <v>3</v>
      </c>
      <c r="H14" s="16">
        <v>544</v>
      </c>
      <c r="J14">
        <f t="shared" si="0"/>
        <v>16.728245399999999</v>
      </c>
      <c r="K14">
        <f t="shared" si="1"/>
        <v>12.801566299999999</v>
      </c>
      <c r="M14" t="str">
        <f t="shared" si="2"/>
        <v>16.73 (12.80)</v>
      </c>
    </row>
    <row r="15" spans="1:13" x14ac:dyDescent="0.3">
      <c r="A15" s="8"/>
      <c r="B15" s="12"/>
      <c r="C15" s="14" t="s">
        <v>109</v>
      </c>
      <c r="D15" s="16">
        <v>17571</v>
      </c>
      <c r="E15" s="16">
        <v>13.4846167</v>
      </c>
      <c r="F15" s="16">
        <v>1.4758713999999999</v>
      </c>
      <c r="G15" s="16">
        <v>5</v>
      </c>
      <c r="H15" s="16">
        <v>18.8</v>
      </c>
      <c r="J15">
        <f t="shared" si="0"/>
        <v>13.4846167</v>
      </c>
      <c r="K15">
        <f t="shared" si="1"/>
        <v>1.4758713999999999</v>
      </c>
      <c r="M15" t="str">
        <f t="shared" si="2"/>
        <v>13.48 (1.48)</v>
      </c>
    </row>
    <row r="16" spans="1:13" x14ac:dyDescent="0.3">
      <c r="A16" s="8"/>
      <c r="B16" s="12"/>
      <c r="C16" s="14" t="s">
        <v>110</v>
      </c>
      <c r="D16" s="16">
        <v>17571</v>
      </c>
      <c r="E16" s="16">
        <v>14.045586500000001</v>
      </c>
      <c r="F16" s="16">
        <v>4.3837565999999999</v>
      </c>
      <c r="G16" s="16">
        <v>2</v>
      </c>
      <c r="H16" s="16">
        <v>140</v>
      </c>
      <c r="J16">
        <f t="shared" si="0"/>
        <v>14.045586500000001</v>
      </c>
      <c r="K16">
        <f t="shared" si="1"/>
        <v>4.3837565999999999</v>
      </c>
      <c r="M16" t="str">
        <f t="shared" si="2"/>
        <v>14.05 (4.38)</v>
      </c>
    </row>
    <row r="17" spans="1:13" x14ac:dyDescent="0.3">
      <c r="A17" s="8"/>
      <c r="B17" s="12"/>
      <c r="C17" s="14" t="s">
        <v>111</v>
      </c>
      <c r="D17" s="16">
        <v>17571</v>
      </c>
      <c r="E17" s="16">
        <v>0.78275110000000003</v>
      </c>
      <c r="F17" s="16">
        <v>0.2030486</v>
      </c>
      <c r="G17" s="16">
        <v>0.36</v>
      </c>
      <c r="H17" s="16">
        <v>14.38</v>
      </c>
      <c r="J17">
        <f t="shared" si="0"/>
        <v>0.78275110000000003</v>
      </c>
      <c r="K17">
        <f t="shared" si="1"/>
        <v>0.2030486</v>
      </c>
      <c r="M17" t="str">
        <f t="shared" si="2"/>
        <v>0.78 (0.20)</v>
      </c>
    </row>
    <row r="18" spans="1:13" x14ac:dyDescent="0.3">
      <c r="A18" s="8"/>
      <c r="B18" s="12"/>
      <c r="C18" s="14" t="s">
        <v>112</v>
      </c>
      <c r="D18" s="16">
        <v>17571</v>
      </c>
      <c r="E18" s="16">
        <v>5.8313699000000003</v>
      </c>
      <c r="F18" s="16">
        <v>0.80664389999999997</v>
      </c>
      <c r="G18" s="16">
        <v>5</v>
      </c>
      <c r="H18" s="16">
        <v>9</v>
      </c>
      <c r="J18">
        <f t="shared" si="0"/>
        <v>5.8313699000000003</v>
      </c>
      <c r="K18">
        <f t="shared" si="1"/>
        <v>0.80664389999999997</v>
      </c>
      <c r="M18" t="str">
        <f t="shared" si="2"/>
        <v>5.83 (0.81)</v>
      </c>
    </row>
    <row r="19" spans="1:13" x14ac:dyDescent="0.3">
      <c r="A19" s="8"/>
      <c r="B19" s="12"/>
      <c r="C19" s="14" t="s">
        <v>113</v>
      </c>
      <c r="D19" s="16">
        <v>17571</v>
      </c>
      <c r="E19" s="16">
        <v>7.8002707999999998</v>
      </c>
      <c r="F19" s="16">
        <v>0.25124049999999998</v>
      </c>
      <c r="G19" s="16">
        <v>5.8944027999999999</v>
      </c>
      <c r="H19" s="16">
        <v>8.1214803999999994</v>
      </c>
      <c r="J19">
        <f t="shared" si="0"/>
        <v>7.8002707999999998</v>
      </c>
      <c r="K19">
        <f t="shared" si="1"/>
        <v>0.25124049999999998</v>
      </c>
      <c r="M19" t="str">
        <f t="shared" si="2"/>
        <v>7.80 (0.25)</v>
      </c>
    </row>
    <row r="20" spans="1:13" x14ac:dyDescent="0.3">
      <c r="A20" s="8"/>
      <c r="B20" s="12"/>
      <c r="C20" s="14" t="s">
        <v>114</v>
      </c>
      <c r="D20" s="16">
        <v>17571</v>
      </c>
      <c r="E20" s="16">
        <v>0.58972910000000001</v>
      </c>
      <c r="F20" s="16">
        <v>4.22569E-2</v>
      </c>
      <c r="G20" s="16">
        <v>0.41635680000000003</v>
      </c>
      <c r="H20" s="16">
        <v>0.75111479999999997</v>
      </c>
      <c r="J20">
        <f t="shared" si="0"/>
        <v>0.58972910000000001</v>
      </c>
      <c r="K20">
        <f t="shared" si="1"/>
        <v>4.22569E-2</v>
      </c>
      <c r="M20" t="str">
        <f t="shared" si="2"/>
        <v>0.59 (0.04)</v>
      </c>
    </row>
    <row r="21" spans="1:13" x14ac:dyDescent="0.3">
      <c r="A21" s="8"/>
      <c r="B21" s="12"/>
      <c r="C21" s="14" t="s">
        <v>115</v>
      </c>
      <c r="D21" s="16">
        <v>17571</v>
      </c>
      <c r="E21" s="17">
        <v>-2.0658200000000002E-2</v>
      </c>
      <c r="F21" s="16">
        <v>0.15159980000000001</v>
      </c>
      <c r="G21" s="17">
        <v>-0.73762629999999996</v>
      </c>
      <c r="H21" s="16">
        <v>0.51669180000000003</v>
      </c>
      <c r="J21">
        <f t="shared" si="0"/>
        <v>-2.0658200000000002E-2</v>
      </c>
      <c r="K21">
        <f t="shared" si="1"/>
        <v>0.15159980000000001</v>
      </c>
      <c r="M21" t="str">
        <f t="shared" si="2"/>
        <v>-0.02 (0.15)</v>
      </c>
    </row>
    <row r="22" spans="1:13" ht="17.25" thickBot="1" x14ac:dyDescent="0.35">
      <c r="A22" s="8"/>
      <c r="B22" s="12"/>
      <c r="C22" s="15" t="s">
        <v>116</v>
      </c>
      <c r="D22" s="16">
        <v>17571</v>
      </c>
      <c r="E22" s="16">
        <v>29.889403099999999</v>
      </c>
      <c r="F22" s="16">
        <v>4.7827608000000001</v>
      </c>
      <c r="G22" s="16">
        <v>15.462639899999999</v>
      </c>
      <c r="H22" s="16">
        <v>67.677062599999999</v>
      </c>
      <c r="J22">
        <f t="shared" si="0"/>
        <v>29.889403099999999</v>
      </c>
      <c r="K22">
        <f t="shared" si="1"/>
        <v>4.7827608000000001</v>
      </c>
      <c r="M22" t="str">
        <f t="shared" si="2"/>
        <v>29.89 (4.78)</v>
      </c>
    </row>
    <row r="23" spans="1:13" x14ac:dyDescent="0.3">
      <c r="A23" s="8">
        <v>2</v>
      </c>
      <c r="B23" s="12">
        <v>17571</v>
      </c>
      <c r="C23" s="14" t="s">
        <v>98</v>
      </c>
      <c r="D23" s="16">
        <v>17571</v>
      </c>
      <c r="E23" s="16">
        <v>49.194866500000003</v>
      </c>
      <c r="F23" s="16">
        <v>16.3682452</v>
      </c>
      <c r="G23" s="16">
        <v>19</v>
      </c>
      <c r="H23" s="16">
        <v>80</v>
      </c>
      <c r="J23">
        <f t="shared" si="0"/>
        <v>49.194866500000003</v>
      </c>
      <c r="K23">
        <f t="shared" si="1"/>
        <v>16.3682452</v>
      </c>
      <c r="M23" t="str">
        <f t="shared" si="2"/>
        <v>49.19 (16.37)</v>
      </c>
    </row>
    <row r="24" spans="1:13" x14ac:dyDescent="0.3">
      <c r="A24" s="8"/>
      <c r="B24" s="12"/>
      <c r="C24" s="14" t="s">
        <v>99</v>
      </c>
      <c r="D24" s="16">
        <v>17571</v>
      </c>
      <c r="E24" s="16">
        <v>23.359929699999999</v>
      </c>
      <c r="F24" s="16">
        <v>3.2589169</v>
      </c>
      <c r="G24" s="16">
        <v>13.173742799999999</v>
      </c>
      <c r="H24" s="16">
        <v>62.640542099999998</v>
      </c>
      <c r="J24">
        <f t="shared" si="0"/>
        <v>23.359929699999999</v>
      </c>
      <c r="K24">
        <f t="shared" si="1"/>
        <v>3.2589169</v>
      </c>
      <c r="M24" t="str">
        <f t="shared" si="2"/>
        <v>23.36 (3.26)</v>
      </c>
    </row>
    <row r="25" spans="1:13" x14ac:dyDescent="0.3">
      <c r="A25" s="8"/>
      <c r="B25" s="12"/>
      <c r="C25" s="14" t="s">
        <v>100</v>
      </c>
      <c r="D25" s="16">
        <v>17571</v>
      </c>
      <c r="E25" s="16">
        <v>80.718672799999993</v>
      </c>
      <c r="F25" s="16">
        <v>9.4485182999999999</v>
      </c>
      <c r="G25" s="16">
        <v>49.3</v>
      </c>
      <c r="H25" s="16">
        <v>139.19999999999999</v>
      </c>
      <c r="J25">
        <f t="shared" si="0"/>
        <v>80.718672799999993</v>
      </c>
      <c r="K25">
        <f t="shared" si="1"/>
        <v>9.4485182999999999</v>
      </c>
      <c r="M25" t="str">
        <f t="shared" si="2"/>
        <v>80.72 (9.45)</v>
      </c>
    </row>
    <row r="26" spans="1:13" x14ac:dyDescent="0.3">
      <c r="A26" s="8"/>
      <c r="B26" s="12"/>
      <c r="C26" s="14" t="s">
        <v>101</v>
      </c>
      <c r="D26" s="16">
        <v>17571</v>
      </c>
      <c r="E26" s="16">
        <v>7.7432799999999996E-2</v>
      </c>
      <c r="F26" s="16">
        <v>4.5275000000000003E-3</v>
      </c>
      <c r="G26" s="16">
        <v>5.4297199999999997E-2</v>
      </c>
      <c r="H26" s="16">
        <v>0.1121983</v>
      </c>
      <c r="J26">
        <f t="shared" si="0"/>
        <v>7.7432799999999996E-2</v>
      </c>
      <c r="K26">
        <f t="shared" si="1"/>
        <v>4.5275000000000003E-3</v>
      </c>
      <c r="M26" t="str">
        <f t="shared" si="2"/>
        <v>0.08 (0.00)</v>
      </c>
    </row>
    <row r="27" spans="1:13" x14ac:dyDescent="0.3">
      <c r="A27" s="8"/>
      <c r="B27" s="12"/>
      <c r="C27" s="14" t="s">
        <v>102</v>
      </c>
      <c r="D27" s="16">
        <v>17571</v>
      </c>
      <c r="E27" s="16">
        <v>117.1199989</v>
      </c>
      <c r="F27" s="16">
        <v>16.117004699999999</v>
      </c>
      <c r="G27" s="16">
        <v>76</v>
      </c>
      <c r="H27" s="16">
        <v>232</v>
      </c>
      <c r="J27">
        <f t="shared" si="0"/>
        <v>117.1199989</v>
      </c>
      <c r="K27">
        <f t="shared" si="1"/>
        <v>16.117004699999999</v>
      </c>
      <c r="M27" t="str">
        <f t="shared" si="2"/>
        <v>117.12 (16.12)</v>
      </c>
    </row>
    <row r="28" spans="1:13" x14ac:dyDescent="0.3">
      <c r="A28" s="8"/>
      <c r="B28" s="12"/>
      <c r="C28" s="14" t="s">
        <v>103</v>
      </c>
      <c r="D28" s="16">
        <v>17571</v>
      </c>
      <c r="E28" s="16">
        <v>94.675203499999995</v>
      </c>
      <c r="F28" s="16">
        <v>11.241857599999999</v>
      </c>
      <c r="G28" s="16">
        <v>46</v>
      </c>
      <c r="H28" s="16">
        <v>243</v>
      </c>
      <c r="J28">
        <f t="shared" si="0"/>
        <v>94.675203499999995</v>
      </c>
      <c r="K28">
        <f t="shared" si="1"/>
        <v>11.241857599999999</v>
      </c>
      <c r="M28" t="str">
        <f t="shared" si="2"/>
        <v>94.68 (11.24)</v>
      </c>
    </row>
    <row r="29" spans="1:13" x14ac:dyDescent="0.3">
      <c r="A29" s="8"/>
      <c r="B29" s="12"/>
      <c r="C29" s="14" t="s">
        <v>104</v>
      </c>
      <c r="D29" s="16">
        <v>17571</v>
      </c>
      <c r="E29" s="16">
        <v>186.017472</v>
      </c>
      <c r="F29" s="16">
        <v>34.247548399999999</v>
      </c>
      <c r="G29" s="16">
        <v>66</v>
      </c>
      <c r="H29" s="16">
        <v>374</v>
      </c>
      <c r="J29">
        <f t="shared" si="0"/>
        <v>186.017472</v>
      </c>
      <c r="K29">
        <f t="shared" si="1"/>
        <v>34.247548399999999</v>
      </c>
      <c r="M29" t="str">
        <f t="shared" si="2"/>
        <v>186.02 (34.25)</v>
      </c>
    </row>
    <row r="30" spans="1:13" ht="25.5" x14ac:dyDescent="0.3">
      <c r="A30" s="8"/>
      <c r="B30" s="12"/>
      <c r="C30" s="14" t="s">
        <v>105</v>
      </c>
      <c r="D30" s="16">
        <v>17571</v>
      </c>
      <c r="E30" s="16">
        <v>53.478676800000002</v>
      </c>
      <c r="F30" s="16">
        <v>11.984887000000001</v>
      </c>
      <c r="G30" s="16">
        <v>15</v>
      </c>
      <c r="H30" s="16">
        <v>145.298</v>
      </c>
      <c r="J30">
        <f t="shared" si="0"/>
        <v>53.478676800000002</v>
      </c>
      <c r="K30">
        <f t="shared" si="1"/>
        <v>11.984887000000001</v>
      </c>
      <c r="M30" t="str">
        <f t="shared" si="2"/>
        <v>53.48 (11.98)</v>
      </c>
    </row>
    <row r="31" spans="1:13" x14ac:dyDescent="0.3">
      <c r="A31" s="8"/>
      <c r="B31" s="12"/>
      <c r="C31" s="14" t="s">
        <v>106</v>
      </c>
      <c r="D31" s="16">
        <v>17571</v>
      </c>
      <c r="E31" s="16">
        <v>89.972397700000002</v>
      </c>
      <c r="F31" s="16">
        <v>13.699880200000001</v>
      </c>
      <c r="G31" s="16">
        <v>36</v>
      </c>
      <c r="H31" s="16">
        <v>153</v>
      </c>
      <c r="J31">
        <f t="shared" si="0"/>
        <v>89.972397700000002</v>
      </c>
      <c r="K31">
        <f t="shared" si="1"/>
        <v>13.699880200000001</v>
      </c>
      <c r="M31" t="str">
        <f t="shared" si="2"/>
        <v>89.97 (13.70)</v>
      </c>
    </row>
    <row r="32" spans="1:13" x14ac:dyDescent="0.3">
      <c r="A32" s="8"/>
      <c r="B32" s="12"/>
      <c r="C32" s="14" t="s">
        <v>107</v>
      </c>
      <c r="D32" s="16">
        <v>17571</v>
      </c>
      <c r="E32" s="16">
        <v>21.851858199999999</v>
      </c>
      <c r="F32" s="16">
        <v>10.9677942</v>
      </c>
      <c r="G32" s="16">
        <v>7</v>
      </c>
      <c r="H32" s="16">
        <v>430</v>
      </c>
      <c r="J32">
        <f t="shared" si="0"/>
        <v>21.851858199999999</v>
      </c>
      <c r="K32">
        <f t="shared" si="1"/>
        <v>10.9677942</v>
      </c>
      <c r="M32" t="str">
        <f t="shared" si="2"/>
        <v>21.85 (10.97)</v>
      </c>
    </row>
    <row r="33" spans="1:13" x14ac:dyDescent="0.3">
      <c r="A33" s="8"/>
      <c r="B33" s="12"/>
      <c r="C33" s="14" t="s">
        <v>108</v>
      </c>
      <c r="D33" s="16">
        <v>17571</v>
      </c>
      <c r="E33" s="16">
        <v>19.8376871</v>
      </c>
      <c r="F33" s="16">
        <v>18.038132399999999</v>
      </c>
      <c r="G33" s="16">
        <v>1</v>
      </c>
      <c r="H33" s="16">
        <v>893</v>
      </c>
      <c r="J33">
        <f t="shared" si="0"/>
        <v>19.8376871</v>
      </c>
      <c r="K33">
        <f t="shared" si="1"/>
        <v>18.038132399999999</v>
      </c>
      <c r="M33" t="str">
        <f t="shared" si="2"/>
        <v>19.84 (18.04)</v>
      </c>
    </row>
    <row r="34" spans="1:13" x14ac:dyDescent="0.3">
      <c r="A34" s="8"/>
      <c r="B34" s="12"/>
      <c r="C34" s="14" t="s">
        <v>109</v>
      </c>
      <c r="D34" s="16">
        <v>17571</v>
      </c>
      <c r="E34" s="16">
        <v>13.9086961</v>
      </c>
      <c r="F34" s="16">
        <v>1.5235116</v>
      </c>
      <c r="G34" s="16">
        <v>3.9</v>
      </c>
      <c r="H34" s="16">
        <v>21.3</v>
      </c>
      <c r="J34">
        <f t="shared" si="0"/>
        <v>13.9086961</v>
      </c>
      <c r="K34">
        <f t="shared" si="1"/>
        <v>1.5235116</v>
      </c>
      <c r="M34" t="str">
        <f t="shared" si="2"/>
        <v>13.91 (1.52)</v>
      </c>
    </row>
    <row r="35" spans="1:13" x14ac:dyDescent="0.3">
      <c r="A35" s="8"/>
      <c r="B35" s="12"/>
      <c r="C35" s="14" t="s">
        <v>110</v>
      </c>
      <c r="D35" s="16">
        <v>17571</v>
      </c>
      <c r="E35" s="16">
        <v>14.568573199999999</v>
      </c>
      <c r="F35" s="16">
        <v>4.5095480999999999</v>
      </c>
      <c r="G35" s="16">
        <v>5</v>
      </c>
      <c r="H35" s="16">
        <v>87</v>
      </c>
      <c r="J35">
        <f t="shared" si="0"/>
        <v>14.568573199999999</v>
      </c>
      <c r="K35">
        <f t="shared" si="1"/>
        <v>4.5095480999999999</v>
      </c>
      <c r="M35" t="str">
        <f t="shared" si="2"/>
        <v>14.57 (4.51)</v>
      </c>
    </row>
    <row r="36" spans="1:13" x14ac:dyDescent="0.3">
      <c r="A36" s="8"/>
      <c r="B36" s="12"/>
      <c r="C36" s="14" t="s">
        <v>111</v>
      </c>
      <c r="D36" s="16">
        <v>17571</v>
      </c>
      <c r="E36" s="16">
        <v>0.82351490000000005</v>
      </c>
      <c r="F36" s="16">
        <v>0.2336163</v>
      </c>
      <c r="G36" s="16">
        <v>0.36</v>
      </c>
      <c r="H36" s="16">
        <v>11.33</v>
      </c>
      <c r="J36">
        <f t="shared" si="0"/>
        <v>0.82351490000000005</v>
      </c>
      <c r="K36">
        <f t="shared" si="1"/>
        <v>0.2336163</v>
      </c>
      <c r="M36" t="str">
        <f t="shared" si="2"/>
        <v>0.82 (0.23)</v>
      </c>
    </row>
    <row r="37" spans="1:13" x14ac:dyDescent="0.3">
      <c r="A37" s="8"/>
      <c r="B37" s="12"/>
      <c r="C37" s="14" t="s">
        <v>112</v>
      </c>
      <c r="D37" s="16">
        <v>17571</v>
      </c>
      <c r="E37" s="16">
        <v>5.8378863000000001</v>
      </c>
      <c r="F37" s="16">
        <v>0.81587370000000004</v>
      </c>
      <c r="G37" s="16">
        <v>5</v>
      </c>
      <c r="H37" s="16">
        <v>9</v>
      </c>
      <c r="J37">
        <f t="shared" si="0"/>
        <v>5.8378863000000001</v>
      </c>
      <c r="K37">
        <f t="shared" si="1"/>
        <v>0.81587370000000004</v>
      </c>
      <c r="M37" t="str">
        <f t="shared" si="2"/>
        <v>5.84 (0.82)</v>
      </c>
    </row>
    <row r="38" spans="1:13" x14ac:dyDescent="0.3">
      <c r="A38" s="8"/>
      <c r="B38" s="12"/>
      <c r="C38" s="14" t="s">
        <v>113</v>
      </c>
      <c r="D38" s="16">
        <v>17571</v>
      </c>
      <c r="E38" s="16">
        <v>8.3387315999999991</v>
      </c>
      <c r="F38" s="16">
        <v>0.1218036</v>
      </c>
      <c r="G38" s="16">
        <v>8.1217773999999991</v>
      </c>
      <c r="H38" s="16">
        <v>8.5467519999999997</v>
      </c>
      <c r="J38">
        <f t="shared" si="0"/>
        <v>8.3387315999999991</v>
      </c>
      <c r="K38">
        <f t="shared" si="1"/>
        <v>0.1218036</v>
      </c>
      <c r="M38" t="str">
        <f t="shared" si="2"/>
        <v>8.34 (0.12)</v>
      </c>
    </row>
    <row r="39" spans="1:13" x14ac:dyDescent="0.3">
      <c r="A39" s="8"/>
      <c r="B39" s="12"/>
      <c r="C39" s="14" t="s">
        <v>114</v>
      </c>
      <c r="D39" s="16">
        <v>17571</v>
      </c>
      <c r="E39" s="16">
        <v>0.64574580000000004</v>
      </c>
      <c r="F39" s="16">
        <v>3.98086E-2</v>
      </c>
      <c r="G39" s="16">
        <v>0.44715719999999998</v>
      </c>
      <c r="H39" s="16">
        <v>0.92555880000000001</v>
      </c>
      <c r="J39">
        <f t="shared" si="0"/>
        <v>0.64574580000000004</v>
      </c>
      <c r="K39">
        <f t="shared" si="1"/>
        <v>3.98086E-2</v>
      </c>
      <c r="M39" t="str">
        <f t="shared" si="2"/>
        <v>0.65 (0.04)</v>
      </c>
    </row>
    <row r="40" spans="1:13" x14ac:dyDescent="0.3">
      <c r="A40" s="8"/>
      <c r="B40" s="12"/>
      <c r="C40" s="14" t="s">
        <v>115</v>
      </c>
      <c r="D40" s="16">
        <v>17571</v>
      </c>
      <c r="E40" s="16">
        <v>0.2313616</v>
      </c>
      <c r="F40" s="16">
        <v>0.1235</v>
      </c>
      <c r="G40" s="17">
        <v>-0.33996150000000003</v>
      </c>
      <c r="H40" s="16">
        <v>0.74656</v>
      </c>
      <c r="J40">
        <f t="shared" si="0"/>
        <v>0.2313616</v>
      </c>
      <c r="K40">
        <f t="shared" si="1"/>
        <v>0.1235</v>
      </c>
      <c r="M40" t="str">
        <f t="shared" si="2"/>
        <v>0.23 (0.12)</v>
      </c>
    </row>
    <row r="41" spans="1:13" ht="17.25" thickBot="1" x14ac:dyDescent="0.35">
      <c r="A41" s="8"/>
      <c r="B41" s="12"/>
      <c r="C41" s="15" t="s">
        <v>116</v>
      </c>
      <c r="D41" s="16">
        <v>17571</v>
      </c>
      <c r="E41" s="16">
        <v>33.412148999999999</v>
      </c>
      <c r="F41" s="16">
        <v>5.3843661999999997</v>
      </c>
      <c r="G41" s="16">
        <v>17.320489200000001</v>
      </c>
      <c r="H41" s="16">
        <v>93.063441699999998</v>
      </c>
      <c r="J41">
        <f t="shared" si="0"/>
        <v>33.412148999999999</v>
      </c>
      <c r="K41">
        <f t="shared" si="1"/>
        <v>5.3843661999999997</v>
      </c>
      <c r="M41" t="str">
        <f t="shared" si="2"/>
        <v>33.41 (5.38)</v>
      </c>
    </row>
    <row r="42" spans="1:13" x14ac:dyDescent="0.3">
      <c r="A42" s="8">
        <v>3</v>
      </c>
      <c r="B42" s="12">
        <v>17562</v>
      </c>
      <c r="C42" s="14" t="s">
        <v>98</v>
      </c>
      <c r="D42" s="16">
        <v>17562</v>
      </c>
      <c r="E42" s="16">
        <v>52.473351600000001</v>
      </c>
      <c r="F42" s="16">
        <v>15.637601999999999</v>
      </c>
      <c r="G42" s="16">
        <v>19</v>
      </c>
      <c r="H42" s="16">
        <v>80</v>
      </c>
      <c r="J42">
        <f t="shared" si="0"/>
        <v>52.473351600000001</v>
      </c>
      <c r="K42">
        <f t="shared" si="1"/>
        <v>15.637601999999999</v>
      </c>
      <c r="M42" t="str">
        <f t="shared" si="2"/>
        <v>52.47 (15.64)</v>
      </c>
    </row>
    <row r="43" spans="1:13" x14ac:dyDescent="0.3">
      <c r="A43" s="8"/>
      <c r="B43" s="12"/>
      <c r="C43" s="14" t="s">
        <v>99</v>
      </c>
      <c r="D43" s="16">
        <v>17562</v>
      </c>
      <c r="E43" s="16">
        <v>24.505195799999999</v>
      </c>
      <c r="F43" s="16">
        <v>3.3478184999999998</v>
      </c>
      <c r="G43" s="16">
        <v>13.1339583</v>
      </c>
      <c r="H43" s="16">
        <v>45.934737699999999</v>
      </c>
      <c r="J43">
        <f t="shared" si="0"/>
        <v>24.505195799999999</v>
      </c>
      <c r="K43">
        <f t="shared" si="1"/>
        <v>3.3478184999999998</v>
      </c>
      <c r="M43" t="str">
        <f t="shared" si="2"/>
        <v>24.51 (3.35)</v>
      </c>
    </row>
    <row r="44" spans="1:13" x14ac:dyDescent="0.3">
      <c r="A44" s="8"/>
      <c r="B44" s="12"/>
      <c r="C44" s="14" t="s">
        <v>100</v>
      </c>
      <c r="D44" s="16">
        <v>17562</v>
      </c>
      <c r="E44" s="16">
        <v>84.652385800000005</v>
      </c>
      <c r="F44" s="16">
        <v>9.3046047000000005</v>
      </c>
      <c r="G44" s="16">
        <v>36.200000000000003</v>
      </c>
      <c r="H44" s="16">
        <v>166.1</v>
      </c>
      <c r="J44">
        <f t="shared" si="0"/>
        <v>84.652385800000005</v>
      </c>
      <c r="K44">
        <f t="shared" si="1"/>
        <v>9.3046047000000005</v>
      </c>
      <c r="M44" t="str">
        <f t="shared" si="2"/>
        <v>84.65 (9.30)</v>
      </c>
    </row>
    <row r="45" spans="1:13" x14ac:dyDescent="0.3">
      <c r="A45" s="8"/>
      <c r="B45" s="12"/>
      <c r="C45" s="14" t="s">
        <v>101</v>
      </c>
      <c r="D45" s="16">
        <v>17562</v>
      </c>
      <c r="E45" s="16">
        <v>7.8592999999999996E-2</v>
      </c>
      <c r="F45" s="16">
        <v>4.4542999999999996E-3</v>
      </c>
      <c r="G45" s="16">
        <v>4.5616799999999999E-2</v>
      </c>
      <c r="H45" s="16">
        <v>0.15107219999999999</v>
      </c>
      <c r="J45">
        <f t="shared" si="0"/>
        <v>7.8592999999999996E-2</v>
      </c>
      <c r="K45">
        <f t="shared" si="1"/>
        <v>4.4542999999999996E-3</v>
      </c>
      <c r="M45" t="str">
        <f t="shared" si="2"/>
        <v>0.08 (0.00)</v>
      </c>
    </row>
    <row r="46" spans="1:13" x14ac:dyDescent="0.3">
      <c r="A46" s="8"/>
      <c r="B46" s="12"/>
      <c r="C46" s="14" t="s">
        <v>102</v>
      </c>
      <c r="D46" s="16">
        <v>17562</v>
      </c>
      <c r="E46" s="16">
        <v>120.8991003</v>
      </c>
      <c r="F46" s="16">
        <v>16.229903100000001</v>
      </c>
      <c r="G46" s="16">
        <v>70</v>
      </c>
      <c r="H46" s="16">
        <v>220</v>
      </c>
      <c r="J46">
        <f t="shared" si="0"/>
        <v>120.8991003</v>
      </c>
      <c r="K46">
        <f t="shared" si="1"/>
        <v>16.229903100000001</v>
      </c>
      <c r="M46" t="str">
        <f t="shared" si="2"/>
        <v>120.90 (16.23)</v>
      </c>
    </row>
    <row r="47" spans="1:13" x14ac:dyDescent="0.3">
      <c r="A47" s="8"/>
      <c r="B47" s="12"/>
      <c r="C47" s="14" t="s">
        <v>103</v>
      </c>
      <c r="D47" s="16">
        <v>17562</v>
      </c>
      <c r="E47" s="16">
        <v>99.840052400000005</v>
      </c>
      <c r="F47" s="16">
        <v>15.9651079</v>
      </c>
      <c r="G47" s="16">
        <v>61</v>
      </c>
      <c r="H47" s="16">
        <v>306</v>
      </c>
      <c r="J47">
        <f t="shared" si="0"/>
        <v>99.840052400000005</v>
      </c>
      <c r="K47">
        <f t="shared" si="1"/>
        <v>15.9651079</v>
      </c>
      <c r="M47" t="str">
        <f t="shared" si="2"/>
        <v>99.84 (15.97)</v>
      </c>
    </row>
    <row r="48" spans="1:13" x14ac:dyDescent="0.3">
      <c r="A48" s="8"/>
      <c r="B48" s="12"/>
      <c r="C48" s="14" t="s">
        <v>104</v>
      </c>
      <c r="D48" s="16">
        <v>17562</v>
      </c>
      <c r="E48" s="16">
        <v>193.11781120000001</v>
      </c>
      <c r="F48" s="16">
        <v>36.154561000000001</v>
      </c>
      <c r="G48" s="16">
        <v>68</v>
      </c>
      <c r="H48" s="16">
        <v>381</v>
      </c>
      <c r="J48">
        <f t="shared" si="0"/>
        <v>193.11781120000001</v>
      </c>
      <c r="K48">
        <f t="shared" si="1"/>
        <v>36.154561000000001</v>
      </c>
      <c r="M48" t="str">
        <f t="shared" si="2"/>
        <v>193.12 (36.15)</v>
      </c>
    </row>
    <row r="49" spans="1:13" ht="25.5" x14ac:dyDescent="0.3">
      <c r="A49" s="8"/>
      <c r="B49" s="12"/>
      <c r="C49" s="14" t="s">
        <v>105</v>
      </c>
      <c r="D49" s="16">
        <v>17562</v>
      </c>
      <c r="E49" s="16">
        <v>48.797750700000002</v>
      </c>
      <c r="F49" s="16">
        <v>10.9826607</v>
      </c>
      <c r="G49" s="16">
        <v>16</v>
      </c>
      <c r="H49" s="16">
        <v>128</v>
      </c>
      <c r="J49">
        <f t="shared" si="0"/>
        <v>48.797750700000002</v>
      </c>
      <c r="K49">
        <f t="shared" si="1"/>
        <v>10.9826607</v>
      </c>
      <c r="M49" t="str">
        <f t="shared" si="2"/>
        <v>48.80 (10.98)</v>
      </c>
    </row>
    <row r="50" spans="1:13" x14ac:dyDescent="0.3">
      <c r="A50" s="8"/>
      <c r="B50" s="12"/>
      <c r="C50" s="14" t="s">
        <v>106</v>
      </c>
      <c r="D50" s="16">
        <v>17562</v>
      </c>
      <c r="E50" s="16">
        <v>131.7273659</v>
      </c>
      <c r="F50" s="16">
        <v>23.055386800000001</v>
      </c>
      <c r="G50" s="16">
        <v>41</v>
      </c>
      <c r="H50" s="16">
        <v>228</v>
      </c>
      <c r="J50">
        <f t="shared" si="0"/>
        <v>131.7273659</v>
      </c>
      <c r="K50">
        <f t="shared" si="1"/>
        <v>23.055386800000001</v>
      </c>
      <c r="M50" t="str">
        <f t="shared" si="2"/>
        <v>131.73 (23.06)</v>
      </c>
    </row>
    <row r="51" spans="1:13" x14ac:dyDescent="0.3">
      <c r="A51" s="8"/>
      <c r="B51" s="12"/>
      <c r="C51" s="14" t="s">
        <v>107</v>
      </c>
      <c r="D51" s="16">
        <v>17562</v>
      </c>
      <c r="E51" s="16">
        <v>23.544471000000001</v>
      </c>
      <c r="F51" s="16">
        <v>11.9328688</v>
      </c>
      <c r="G51" s="16">
        <v>7</v>
      </c>
      <c r="H51" s="16">
        <v>491</v>
      </c>
      <c r="J51">
        <f t="shared" si="0"/>
        <v>23.544471000000001</v>
      </c>
      <c r="K51">
        <f t="shared" si="1"/>
        <v>11.9328688</v>
      </c>
      <c r="M51" t="str">
        <f t="shared" si="2"/>
        <v>23.54 (11.93)</v>
      </c>
    </row>
    <row r="52" spans="1:13" x14ac:dyDescent="0.3">
      <c r="A52" s="8"/>
      <c r="B52" s="12"/>
      <c r="C52" s="14" t="s">
        <v>108</v>
      </c>
      <c r="D52" s="16">
        <v>17562</v>
      </c>
      <c r="E52" s="16">
        <v>23.653911900000001</v>
      </c>
      <c r="F52" s="16">
        <v>18.338077599999998</v>
      </c>
      <c r="G52" s="16">
        <v>3</v>
      </c>
      <c r="H52" s="16">
        <v>857</v>
      </c>
      <c r="J52">
        <f t="shared" si="0"/>
        <v>23.653911900000001</v>
      </c>
      <c r="K52">
        <f t="shared" si="1"/>
        <v>18.338077599999998</v>
      </c>
      <c r="M52" t="str">
        <f t="shared" si="2"/>
        <v>23.65 (18.34)</v>
      </c>
    </row>
    <row r="53" spans="1:13" x14ac:dyDescent="0.3">
      <c r="A53" s="8"/>
      <c r="B53" s="12"/>
      <c r="C53" s="14" t="s">
        <v>109</v>
      </c>
      <c r="D53" s="16">
        <v>17562</v>
      </c>
      <c r="E53" s="16">
        <v>14.248456900000001</v>
      </c>
      <c r="F53" s="16">
        <v>1.5422601</v>
      </c>
      <c r="G53" s="16">
        <v>5.7</v>
      </c>
      <c r="H53" s="16">
        <v>20.399999999999999</v>
      </c>
      <c r="J53">
        <f t="shared" si="0"/>
        <v>14.248456900000001</v>
      </c>
      <c r="K53">
        <f t="shared" si="1"/>
        <v>1.5422601</v>
      </c>
      <c r="M53" t="str">
        <f t="shared" si="2"/>
        <v>14.25 (1.54)</v>
      </c>
    </row>
    <row r="54" spans="1:13" x14ac:dyDescent="0.3">
      <c r="A54" s="8"/>
      <c r="B54" s="12"/>
      <c r="C54" s="14" t="s">
        <v>110</v>
      </c>
      <c r="D54" s="16">
        <v>17562</v>
      </c>
      <c r="E54" s="16">
        <v>14.7790912</v>
      </c>
      <c r="F54" s="16">
        <v>4.6599506000000002</v>
      </c>
      <c r="G54" s="16">
        <v>4</v>
      </c>
      <c r="H54" s="16">
        <v>115</v>
      </c>
      <c r="J54">
        <f t="shared" si="0"/>
        <v>14.7790912</v>
      </c>
      <c r="K54">
        <f t="shared" si="1"/>
        <v>4.6599506000000002</v>
      </c>
      <c r="M54" t="str">
        <f t="shared" si="2"/>
        <v>14.78 (4.66)</v>
      </c>
    </row>
    <row r="55" spans="1:13" x14ac:dyDescent="0.3">
      <c r="A55" s="8"/>
      <c r="B55" s="12"/>
      <c r="C55" s="14" t="s">
        <v>111</v>
      </c>
      <c r="D55" s="16">
        <v>17562</v>
      </c>
      <c r="E55" s="16">
        <v>0.8583305</v>
      </c>
      <c r="F55" s="16">
        <v>0.2659687</v>
      </c>
      <c r="G55" s="16">
        <v>0.37</v>
      </c>
      <c r="H55" s="16">
        <v>10.48</v>
      </c>
      <c r="J55">
        <f t="shared" si="0"/>
        <v>0.8583305</v>
      </c>
      <c r="K55">
        <f t="shared" si="1"/>
        <v>0.2659687</v>
      </c>
      <c r="M55" t="str">
        <f t="shared" si="2"/>
        <v>0.86 (0.27)</v>
      </c>
    </row>
    <row r="56" spans="1:13" x14ac:dyDescent="0.3">
      <c r="A56" s="8"/>
      <c r="B56" s="12"/>
      <c r="C56" s="14" t="s">
        <v>112</v>
      </c>
      <c r="D56" s="16">
        <v>17562</v>
      </c>
      <c r="E56" s="16">
        <v>5.7838799999999999</v>
      </c>
      <c r="F56" s="16">
        <v>0.80576009999999998</v>
      </c>
      <c r="G56" s="16">
        <v>5</v>
      </c>
      <c r="H56" s="16">
        <v>9</v>
      </c>
      <c r="J56">
        <f t="shared" si="0"/>
        <v>5.7838799999999999</v>
      </c>
      <c r="K56">
        <f t="shared" si="1"/>
        <v>0.80576009999999998</v>
      </c>
      <c r="M56" t="str">
        <f t="shared" si="2"/>
        <v>5.78 (0.81)</v>
      </c>
    </row>
    <row r="57" spans="1:13" x14ac:dyDescent="0.3">
      <c r="A57" s="8"/>
      <c r="B57" s="12"/>
      <c r="C57" s="14" t="s">
        <v>113</v>
      </c>
      <c r="D57" s="16">
        <v>17562</v>
      </c>
      <c r="E57" s="16">
        <v>8.7647361999999998</v>
      </c>
      <c r="F57" s="16">
        <v>0.13162199999999999</v>
      </c>
      <c r="G57" s="16">
        <v>8.5469460999999995</v>
      </c>
      <c r="H57" s="16">
        <v>9.0068769</v>
      </c>
      <c r="J57">
        <f t="shared" si="0"/>
        <v>8.7647361999999998</v>
      </c>
      <c r="K57">
        <f t="shared" si="1"/>
        <v>0.13162199999999999</v>
      </c>
      <c r="M57" t="str">
        <f t="shared" si="2"/>
        <v>8.76 (0.13)</v>
      </c>
    </row>
    <row r="58" spans="1:13" x14ac:dyDescent="0.3">
      <c r="A58" s="8"/>
      <c r="B58" s="12"/>
      <c r="C58" s="14" t="s">
        <v>114</v>
      </c>
      <c r="D58" s="16">
        <v>17562</v>
      </c>
      <c r="E58" s="16">
        <v>0.68888729999999998</v>
      </c>
      <c r="F58" s="16">
        <v>4.1069000000000001E-2</v>
      </c>
      <c r="G58" s="16">
        <v>0.40120869999999997</v>
      </c>
      <c r="H58" s="16">
        <v>1.3241700999999999</v>
      </c>
      <c r="J58">
        <f t="shared" si="0"/>
        <v>0.68888729999999998</v>
      </c>
      <c r="K58">
        <f t="shared" si="1"/>
        <v>4.1069000000000001E-2</v>
      </c>
      <c r="M58" t="str">
        <f t="shared" si="2"/>
        <v>0.69 (0.04)</v>
      </c>
    </row>
    <row r="59" spans="1:13" x14ac:dyDescent="0.3">
      <c r="A59" s="8"/>
      <c r="B59" s="12"/>
      <c r="C59" s="14" t="s">
        <v>115</v>
      </c>
      <c r="D59" s="16">
        <v>17562</v>
      </c>
      <c r="E59" s="16">
        <v>0.43490309999999999</v>
      </c>
      <c r="F59" s="16">
        <v>0.13112389999999999</v>
      </c>
      <c r="G59" s="17">
        <v>-0.25715840000000001</v>
      </c>
      <c r="H59" s="16">
        <v>1.0159880999999999</v>
      </c>
      <c r="J59">
        <f t="shared" si="0"/>
        <v>0.43490309999999999</v>
      </c>
      <c r="K59">
        <f t="shared" si="1"/>
        <v>0.13112389999999999</v>
      </c>
      <c r="M59" t="str">
        <f t="shared" si="2"/>
        <v>0.43 (0.13)</v>
      </c>
    </row>
    <row r="60" spans="1:13" ht="17.25" thickBot="1" x14ac:dyDescent="0.35">
      <c r="A60" s="8"/>
      <c r="B60" s="12"/>
      <c r="C60" s="15" t="s">
        <v>116</v>
      </c>
      <c r="D60" s="16">
        <v>17562</v>
      </c>
      <c r="E60" s="16">
        <v>36.9584008</v>
      </c>
      <c r="F60" s="16">
        <v>5.7985638000000002</v>
      </c>
      <c r="G60" s="16">
        <v>17.2447458</v>
      </c>
      <c r="H60" s="16">
        <v>77.268324699999994</v>
      </c>
      <c r="J60">
        <f t="shared" si="0"/>
        <v>36.9584008</v>
      </c>
      <c r="K60">
        <f t="shared" si="1"/>
        <v>5.7985638000000002</v>
      </c>
      <c r="M60" t="str">
        <f t="shared" si="2"/>
        <v>36.96 (5.80)</v>
      </c>
    </row>
    <row r="61" spans="1:13" x14ac:dyDescent="0.3">
      <c r="A61" s="8">
        <v>4</v>
      </c>
      <c r="B61" s="12">
        <v>17571</v>
      </c>
      <c r="C61" s="14" t="s">
        <v>98</v>
      </c>
      <c r="D61" s="16">
        <v>17571</v>
      </c>
      <c r="E61" s="16">
        <v>53.076660400000002</v>
      </c>
      <c r="F61" s="16">
        <v>14.0653401</v>
      </c>
      <c r="G61" s="16">
        <v>19</v>
      </c>
      <c r="H61" s="16">
        <v>80</v>
      </c>
      <c r="J61">
        <f t="shared" si="0"/>
        <v>53.076660400000002</v>
      </c>
      <c r="K61">
        <f t="shared" si="1"/>
        <v>14.0653401</v>
      </c>
      <c r="M61" t="str">
        <f t="shared" si="2"/>
        <v>53.08 (14.07)</v>
      </c>
    </row>
    <row r="62" spans="1:13" x14ac:dyDescent="0.3">
      <c r="A62" s="8"/>
      <c r="B62" s="12"/>
      <c r="C62" s="14" t="s">
        <v>99</v>
      </c>
      <c r="D62" s="16">
        <v>17571</v>
      </c>
      <c r="E62" s="16">
        <v>25.543461300000001</v>
      </c>
      <c r="F62" s="16">
        <v>3.3612039999999999</v>
      </c>
      <c r="G62" s="16">
        <v>14.9232026</v>
      </c>
      <c r="H62" s="16">
        <v>50.898579099999999</v>
      </c>
      <c r="J62">
        <f t="shared" si="0"/>
        <v>25.543461300000001</v>
      </c>
      <c r="K62">
        <f t="shared" si="1"/>
        <v>3.3612039999999999</v>
      </c>
      <c r="M62" t="str">
        <f t="shared" si="2"/>
        <v>25.54 (3.36)</v>
      </c>
    </row>
    <row r="63" spans="1:13" x14ac:dyDescent="0.3">
      <c r="A63" s="8"/>
      <c r="B63" s="12"/>
      <c r="C63" s="14" t="s">
        <v>100</v>
      </c>
      <c r="D63" s="16">
        <v>17571</v>
      </c>
      <c r="E63" s="16">
        <v>88.360787700000003</v>
      </c>
      <c r="F63" s="16">
        <v>8.7984790999999998</v>
      </c>
      <c r="G63" s="16">
        <v>52.3</v>
      </c>
      <c r="H63" s="16">
        <v>147.5</v>
      </c>
      <c r="J63">
        <f t="shared" si="0"/>
        <v>88.360787700000003</v>
      </c>
      <c r="K63">
        <f t="shared" si="1"/>
        <v>8.7984790999999998</v>
      </c>
      <c r="M63" t="str">
        <f t="shared" si="2"/>
        <v>88.36 (8.80)</v>
      </c>
    </row>
    <row r="64" spans="1:13" x14ac:dyDescent="0.3">
      <c r="A64" s="8"/>
      <c r="B64" s="12"/>
      <c r="C64" s="14" t="s">
        <v>101</v>
      </c>
      <c r="D64" s="16">
        <v>17571</v>
      </c>
      <c r="E64" s="16">
        <v>7.9491400000000004E-2</v>
      </c>
      <c r="F64" s="16">
        <v>4.1719000000000001E-3</v>
      </c>
      <c r="G64" s="16">
        <v>4.8055199999999999E-2</v>
      </c>
      <c r="H64" s="16">
        <v>0.1020525</v>
      </c>
      <c r="J64">
        <f t="shared" si="0"/>
        <v>7.9491400000000004E-2</v>
      </c>
      <c r="K64">
        <f t="shared" si="1"/>
        <v>4.1719000000000001E-3</v>
      </c>
      <c r="M64" t="str">
        <f t="shared" si="2"/>
        <v>0.08 (0.00)</v>
      </c>
    </row>
    <row r="65" spans="1:13" x14ac:dyDescent="0.3">
      <c r="A65" s="8"/>
      <c r="B65" s="12"/>
      <c r="C65" s="14" t="s">
        <v>102</v>
      </c>
      <c r="D65" s="16">
        <v>17571</v>
      </c>
      <c r="E65" s="16">
        <v>124.6110637</v>
      </c>
      <c r="F65" s="16">
        <v>16.077121900000002</v>
      </c>
      <c r="G65" s="16">
        <v>77</v>
      </c>
      <c r="H65" s="16">
        <v>243</v>
      </c>
      <c r="J65">
        <f t="shared" si="0"/>
        <v>124.6110637</v>
      </c>
      <c r="K65">
        <f t="shared" si="1"/>
        <v>16.077121900000002</v>
      </c>
      <c r="M65" t="str">
        <f t="shared" si="2"/>
        <v>124.61 (16.08)</v>
      </c>
    </row>
    <row r="66" spans="1:13" x14ac:dyDescent="0.3">
      <c r="A66" s="8"/>
      <c r="B66" s="12"/>
      <c r="C66" s="14" t="s">
        <v>103</v>
      </c>
      <c r="D66" s="16">
        <v>17571</v>
      </c>
      <c r="E66" s="16">
        <v>114.500996</v>
      </c>
      <c r="F66" s="16">
        <v>35.259674699999998</v>
      </c>
      <c r="G66" s="16">
        <v>61</v>
      </c>
      <c r="H66" s="16">
        <v>553</v>
      </c>
      <c r="J66">
        <f t="shared" si="0"/>
        <v>114.500996</v>
      </c>
      <c r="K66">
        <f t="shared" si="1"/>
        <v>35.259674699999998</v>
      </c>
      <c r="M66" t="str">
        <f t="shared" si="2"/>
        <v>114.50 (35.26)</v>
      </c>
    </row>
    <row r="67" spans="1:13" x14ac:dyDescent="0.3">
      <c r="A67" s="8"/>
      <c r="B67" s="12"/>
      <c r="C67" s="14" t="s">
        <v>104</v>
      </c>
      <c r="D67" s="16">
        <v>17571</v>
      </c>
      <c r="E67" s="16">
        <v>202.8993797</v>
      </c>
      <c r="F67" s="16">
        <v>40.402767400000002</v>
      </c>
      <c r="G67" s="16">
        <v>75</v>
      </c>
      <c r="H67" s="16">
        <v>554</v>
      </c>
      <c r="J67">
        <f t="shared" si="0"/>
        <v>202.8993797</v>
      </c>
      <c r="K67">
        <f t="shared" si="1"/>
        <v>40.402767400000002</v>
      </c>
      <c r="M67" t="str">
        <f t="shared" si="2"/>
        <v>202.90 (40.40)</v>
      </c>
    </row>
    <row r="68" spans="1:13" ht="25.5" x14ac:dyDescent="0.3">
      <c r="A68" s="8"/>
      <c r="B68" s="12"/>
      <c r="C68" s="14" t="s">
        <v>105</v>
      </c>
      <c r="D68" s="16">
        <v>17571</v>
      </c>
      <c r="E68" s="16">
        <v>43.393941699999999</v>
      </c>
      <c r="F68" s="16">
        <v>9.7735094</v>
      </c>
      <c r="G68" s="16">
        <v>5.9180000000000001</v>
      </c>
      <c r="H68" s="16">
        <v>126.76</v>
      </c>
      <c r="J68">
        <f t="shared" si="0"/>
        <v>43.393941699999999</v>
      </c>
      <c r="K68">
        <f t="shared" si="1"/>
        <v>9.7735094</v>
      </c>
      <c r="M68" t="str">
        <f t="shared" si="2"/>
        <v>43.39 (9.77)</v>
      </c>
    </row>
    <row r="69" spans="1:13" x14ac:dyDescent="0.3">
      <c r="A69" s="8"/>
      <c r="B69" s="12"/>
      <c r="C69" s="14" t="s">
        <v>106</v>
      </c>
      <c r="D69" s="16">
        <v>17571</v>
      </c>
      <c r="E69" s="16">
        <v>258.04365150000001</v>
      </c>
      <c r="F69" s="16">
        <v>155.84896689999999</v>
      </c>
      <c r="G69" s="16">
        <v>57</v>
      </c>
      <c r="H69" s="16">
        <v>2774</v>
      </c>
      <c r="J69">
        <f t="shared" ref="J69:J79" si="3">E69</f>
        <v>258.04365150000001</v>
      </c>
      <c r="K69">
        <f t="shared" ref="K69:K79" si="4">F69</f>
        <v>155.84896689999999</v>
      </c>
      <c r="M69" t="str">
        <f t="shared" ref="M69:M79" si="5">TEXT(J69,"0.00")&amp;" ("&amp;TEXT(K69,"0.00")&amp;")"</f>
        <v>258.04 (155.85)</v>
      </c>
    </row>
    <row r="70" spans="1:13" x14ac:dyDescent="0.3">
      <c r="A70" s="8"/>
      <c r="B70" s="12"/>
      <c r="C70" s="14" t="s">
        <v>107</v>
      </c>
      <c r="D70" s="16">
        <v>17571</v>
      </c>
      <c r="E70" s="16">
        <v>27.236412300000001</v>
      </c>
      <c r="F70" s="16">
        <v>19.8939819</v>
      </c>
      <c r="G70" s="16">
        <v>6</v>
      </c>
      <c r="H70" s="16">
        <v>927</v>
      </c>
      <c r="J70">
        <f t="shared" si="3"/>
        <v>27.236412300000001</v>
      </c>
      <c r="K70">
        <f t="shared" si="4"/>
        <v>19.8939819</v>
      </c>
      <c r="M70" t="str">
        <f t="shared" si="5"/>
        <v>27.24 (19.89)</v>
      </c>
    </row>
    <row r="71" spans="1:13" x14ac:dyDescent="0.3">
      <c r="A71" s="8"/>
      <c r="B71" s="12"/>
      <c r="C71" s="14" t="s">
        <v>108</v>
      </c>
      <c r="D71" s="16">
        <v>17571</v>
      </c>
      <c r="E71" s="16">
        <v>30.2273633</v>
      </c>
      <c r="F71" s="16">
        <v>22.462876099999999</v>
      </c>
      <c r="G71" s="16">
        <v>4</v>
      </c>
      <c r="H71" s="16">
        <v>402</v>
      </c>
      <c r="J71">
        <f t="shared" si="3"/>
        <v>30.2273633</v>
      </c>
      <c r="K71">
        <f t="shared" si="4"/>
        <v>22.462876099999999</v>
      </c>
      <c r="M71" t="str">
        <f t="shared" si="5"/>
        <v>30.23 (22.46)</v>
      </c>
    </row>
    <row r="72" spans="1:13" x14ac:dyDescent="0.3">
      <c r="A72" s="8"/>
      <c r="B72" s="12"/>
      <c r="C72" s="14" t="s">
        <v>109</v>
      </c>
      <c r="D72" s="16">
        <v>17571</v>
      </c>
      <c r="E72" s="16">
        <v>14.708753099999999</v>
      </c>
      <c r="F72" s="16">
        <v>1.4961059999999999</v>
      </c>
      <c r="G72" s="16">
        <v>6.2</v>
      </c>
      <c r="H72" s="16">
        <v>20.399999999999999</v>
      </c>
      <c r="J72">
        <f t="shared" si="3"/>
        <v>14.708753099999999</v>
      </c>
      <c r="K72">
        <f t="shared" si="4"/>
        <v>1.4961059999999999</v>
      </c>
      <c r="M72" t="str">
        <f t="shared" si="5"/>
        <v>14.71 (1.50)</v>
      </c>
    </row>
    <row r="73" spans="1:13" x14ac:dyDescent="0.3">
      <c r="A73" s="8"/>
      <c r="B73" s="12"/>
      <c r="C73" s="14" t="s">
        <v>110</v>
      </c>
      <c r="D73" s="16">
        <v>17571</v>
      </c>
      <c r="E73" s="16">
        <v>14.8189517</v>
      </c>
      <c r="F73" s="16">
        <v>4.3770050999999999</v>
      </c>
      <c r="G73" s="16">
        <v>3</v>
      </c>
      <c r="H73" s="16">
        <v>71</v>
      </c>
      <c r="J73">
        <f t="shared" si="3"/>
        <v>14.8189517</v>
      </c>
      <c r="K73">
        <f t="shared" si="4"/>
        <v>4.3770050999999999</v>
      </c>
      <c r="M73" t="str">
        <f t="shared" si="5"/>
        <v>14.82 (4.38)</v>
      </c>
    </row>
    <row r="74" spans="1:13" x14ac:dyDescent="0.3">
      <c r="A74" s="8"/>
      <c r="B74" s="12"/>
      <c r="C74" s="14" t="s">
        <v>111</v>
      </c>
      <c r="D74" s="16">
        <v>17571</v>
      </c>
      <c r="E74" s="16">
        <v>0.88525869999999995</v>
      </c>
      <c r="F74" s="16">
        <v>0.22759589999999999</v>
      </c>
      <c r="G74" s="16">
        <v>0.2</v>
      </c>
      <c r="H74" s="16">
        <v>8.35</v>
      </c>
      <c r="J74">
        <f t="shared" si="3"/>
        <v>0.88525869999999995</v>
      </c>
      <c r="K74">
        <f t="shared" si="4"/>
        <v>0.22759589999999999</v>
      </c>
      <c r="M74" t="str">
        <f t="shared" si="5"/>
        <v>0.89 (0.23)</v>
      </c>
    </row>
    <row r="75" spans="1:13" x14ac:dyDescent="0.3">
      <c r="A75" s="8"/>
      <c r="B75" s="12"/>
      <c r="C75" s="14" t="s">
        <v>112</v>
      </c>
      <c r="D75" s="16">
        <v>17571</v>
      </c>
      <c r="E75" s="16">
        <v>5.6592111999999997</v>
      </c>
      <c r="F75" s="16">
        <v>0.76750510000000005</v>
      </c>
      <c r="G75" s="16">
        <v>5</v>
      </c>
      <c r="H75" s="16">
        <v>9</v>
      </c>
      <c r="J75">
        <f t="shared" si="3"/>
        <v>5.6592111999999997</v>
      </c>
      <c r="K75">
        <f t="shared" si="4"/>
        <v>0.76750510000000005</v>
      </c>
      <c r="M75" t="str">
        <f t="shared" si="5"/>
        <v>5.66 (0.77)</v>
      </c>
    </row>
    <row r="76" spans="1:13" x14ac:dyDescent="0.3">
      <c r="A76" s="8"/>
      <c r="B76" s="12"/>
      <c r="C76" s="14" t="s">
        <v>113</v>
      </c>
      <c r="D76" s="16">
        <v>17571</v>
      </c>
      <c r="E76" s="16">
        <v>9.4669944000000008</v>
      </c>
      <c r="F76" s="16">
        <v>0.42598419999999998</v>
      </c>
      <c r="G76" s="16">
        <v>9.0069993999999998</v>
      </c>
      <c r="H76" s="16">
        <v>12.7290689</v>
      </c>
      <c r="J76">
        <f t="shared" si="3"/>
        <v>9.4669944000000008</v>
      </c>
      <c r="K76">
        <f t="shared" si="4"/>
        <v>0.42598419999999998</v>
      </c>
      <c r="M76" t="str">
        <f t="shared" si="5"/>
        <v>9.47 (0.43)</v>
      </c>
    </row>
    <row r="77" spans="1:13" x14ac:dyDescent="0.3">
      <c r="A77" s="8"/>
      <c r="B77" s="12"/>
      <c r="C77" s="14" t="s">
        <v>114</v>
      </c>
      <c r="D77" s="16">
        <v>17571</v>
      </c>
      <c r="E77" s="16">
        <v>0.75261940000000005</v>
      </c>
      <c r="F77" s="16">
        <v>5.3122599999999999E-2</v>
      </c>
      <c r="G77" s="16">
        <v>0.45287640000000001</v>
      </c>
      <c r="H77" s="16">
        <v>1.0740016999999999</v>
      </c>
      <c r="J77">
        <f t="shared" si="3"/>
        <v>0.75261940000000005</v>
      </c>
      <c r="K77">
        <f t="shared" si="4"/>
        <v>5.3122599999999999E-2</v>
      </c>
      <c r="M77" t="str">
        <f t="shared" si="5"/>
        <v>0.75 (0.05)</v>
      </c>
    </row>
    <row r="78" spans="1:13" x14ac:dyDescent="0.3">
      <c r="A78" s="8"/>
      <c r="B78" s="12"/>
      <c r="C78" s="14" t="s">
        <v>115</v>
      </c>
      <c r="D78" s="16">
        <v>17571</v>
      </c>
      <c r="E78" s="16">
        <v>0.74133640000000001</v>
      </c>
      <c r="F78" s="16">
        <v>0.22183359999999999</v>
      </c>
      <c r="G78" s="17">
        <v>-6.7819699999999997E-2</v>
      </c>
      <c r="H78" s="16">
        <v>2.1147776999999999</v>
      </c>
      <c r="J78">
        <f t="shared" si="3"/>
        <v>0.74133640000000001</v>
      </c>
      <c r="K78">
        <f t="shared" si="4"/>
        <v>0.22183359999999999</v>
      </c>
      <c r="M78" t="str">
        <f t="shared" si="5"/>
        <v>0.74 (0.22)</v>
      </c>
    </row>
    <row r="79" spans="1:13" x14ac:dyDescent="0.3">
      <c r="A79" s="8"/>
      <c r="B79" s="12"/>
      <c r="C79" s="14" t="s">
        <v>116</v>
      </c>
      <c r="D79" s="16">
        <v>17571</v>
      </c>
      <c r="E79" s="16">
        <v>42.156742399999999</v>
      </c>
      <c r="F79" s="16">
        <v>6.7710341999999999</v>
      </c>
      <c r="G79" s="16">
        <v>22.639952900000001</v>
      </c>
      <c r="H79" s="16">
        <v>92.642493599999995</v>
      </c>
      <c r="J79">
        <f t="shared" si="3"/>
        <v>42.156742399999999</v>
      </c>
      <c r="K79">
        <f t="shared" si="4"/>
        <v>6.7710341999999999</v>
      </c>
      <c r="M79" t="str">
        <f t="shared" si="5"/>
        <v>42.16 (6.77)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784DD-D8BC-4EAE-82C8-41695A2831FA}">
  <dimension ref="A1:M79"/>
  <sheetViews>
    <sheetView topLeftCell="A55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41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17569</v>
      </c>
      <c r="C4" s="14" t="s">
        <v>98</v>
      </c>
      <c r="D4" s="16">
        <v>17569</v>
      </c>
      <c r="E4" s="16">
        <v>38.696966199999999</v>
      </c>
      <c r="F4" s="16">
        <v>13.690999100000001</v>
      </c>
      <c r="G4" s="16">
        <v>19</v>
      </c>
      <c r="H4" s="16">
        <v>80</v>
      </c>
      <c r="J4">
        <f>E4</f>
        <v>38.696966199999999</v>
      </c>
      <c r="K4">
        <f>F4</f>
        <v>13.690999100000001</v>
      </c>
      <c r="M4" t="str">
        <f>TEXT(J4,"0.00")&amp;" ("&amp;TEXT(K4,"0.00")&amp;")"</f>
        <v>38.70 (13.69)</v>
      </c>
    </row>
    <row r="5" spans="1:13" x14ac:dyDescent="0.3">
      <c r="A5" s="8"/>
      <c r="B5" s="12"/>
      <c r="C5" s="14" t="s">
        <v>99</v>
      </c>
      <c r="D5" s="16">
        <v>17569</v>
      </c>
      <c r="E5" s="16">
        <v>22.061245</v>
      </c>
      <c r="F5" s="16">
        <v>3.0065089</v>
      </c>
      <c r="G5" s="16">
        <v>13.512496799999999</v>
      </c>
      <c r="H5" s="16">
        <v>62.640542099999998</v>
      </c>
      <c r="J5">
        <f t="shared" ref="J5:K68" si="0">E5</f>
        <v>22.061245</v>
      </c>
      <c r="K5">
        <f t="shared" si="0"/>
        <v>3.0065089</v>
      </c>
      <c r="M5" t="str">
        <f t="shared" ref="M5:M68" si="1">TEXT(J5,"0.00")&amp;" ("&amp;TEXT(K5,"0.00")&amp;")"</f>
        <v>22.06 (3.01)</v>
      </c>
    </row>
    <row r="6" spans="1:13" x14ac:dyDescent="0.3">
      <c r="A6" s="8"/>
      <c r="B6" s="12"/>
      <c r="C6" s="14" t="s">
        <v>100</v>
      </c>
      <c r="D6" s="16">
        <v>17569</v>
      </c>
      <c r="E6" s="16">
        <v>73.300813899999994</v>
      </c>
      <c r="F6" s="16">
        <v>7.5072669000000003</v>
      </c>
      <c r="G6" s="16">
        <v>36.200000000000003</v>
      </c>
      <c r="H6" s="16">
        <v>139.19999999999999</v>
      </c>
      <c r="J6">
        <f t="shared" si="0"/>
        <v>73.300813899999994</v>
      </c>
      <c r="K6">
        <f t="shared" si="0"/>
        <v>7.5072669000000003</v>
      </c>
      <c r="M6" t="str">
        <f t="shared" si="1"/>
        <v>73.30 (7.51)</v>
      </c>
    </row>
    <row r="7" spans="1:13" x14ac:dyDescent="0.3">
      <c r="A7" s="8"/>
      <c r="B7" s="12"/>
      <c r="C7" s="14" t="s">
        <v>101</v>
      </c>
      <c r="D7" s="16">
        <v>17569</v>
      </c>
      <c r="E7" s="16">
        <v>7.3107900000000003E-2</v>
      </c>
      <c r="F7" s="16">
        <v>3.1736999999999998E-3</v>
      </c>
      <c r="G7" s="16">
        <v>4.5616799999999999E-2</v>
      </c>
      <c r="H7" s="16">
        <v>8.6418499999999995E-2</v>
      </c>
      <c r="J7">
        <f t="shared" si="0"/>
        <v>7.3107900000000003E-2</v>
      </c>
      <c r="K7">
        <f t="shared" si="0"/>
        <v>3.1736999999999998E-3</v>
      </c>
      <c r="M7" t="str">
        <f t="shared" si="1"/>
        <v>0.07 (0.00)</v>
      </c>
    </row>
    <row r="8" spans="1:13" x14ac:dyDescent="0.3">
      <c r="A8" s="8"/>
      <c r="B8" s="12"/>
      <c r="C8" s="14" t="s">
        <v>102</v>
      </c>
      <c r="D8" s="16">
        <v>17569</v>
      </c>
      <c r="E8" s="16">
        <v>109.81521429999999</v>
      </c>
      <c r="F8" s="16">
        <v>13.3747741</v>
      </c>
      <c r="G8" s="16">
        <v>75</v>
      </c>
      <c r="H8" s="16">
        <v>217</v>
      </c>
      <c r="J8">
        <f t="shared" si="0"/>
        <v>109.81521429999999</v>
      </c>
      <c r="K8">
        <f t="shared" si="0"/>
        <v>13.3747741</v>
      </c>
      <c r="M8" t="str">
        <f t="shared" si="1"/>
        <v>109.82 (13.37)</v>
      </c>
    </row>
    <row r="9" spans="1:13" x14ac:dyDescent="0.3">
      <c r="A9" s="8"/>
      <c r="B9" s="12"/>
      <c r="C9" s="14" t="s">
        <v>103</v>
      </c>
      <c r="D9" s="16">
        <v>17569</v>
      </c>
      <c r="E9" s="16">
        <v>89.2136718</v>
      </c>
      <c r="F9" s="16">
        <v>8.1964851999999997</v>
      </c>
      <c r="G9" s="16">
        <v>40</v>
      </c>
      <c r="H9" s="16">
        <v>243</v>
      </c>
      <c r="J9">
        <f t="shared" si="0"/>
        <v>89.2136718</v>
      </c>
      <c r="K9">
        <f t="shared" si="0"/>
        <v>8.1964851999999997</v>
      </c>
      <c r="M9" t="str">
        <f t="shared" si="1"/>
        <v>89.21 (8.20)</v>
      </c>
    </row>
    <row r="10" spans="1:13" x14ac:dyDescent="0.3">
      <c r="A10" s="8"/>
      <c r="B10" s="12"/>
      <c r="C10" s="14" t="s">
        <v>104</v>
      </c>
      <c r="D10" s="16">
        <v>17569</v>
      </c>
      <c r="E10" s="16">
        <v>178.61221470000001</v>
      </c>
      <c r="F10" s="16">
        <v>31.375825899999999</v>
      </c>
      <c r="G10" s="16">
        <v>71</v>
      </c>
      <c r="H10" s="16">
        <v>457</v>
      </c>
      <c r="J10">
        <f t="shared" si="0"/>
        <v>178.61221470000001</v>
      </c>
      <c r="K10">
        <f t="shared" si="0"/>
        <v>31.375825899999999</v>
      </c>
      <c r="M10" t="str">
        <f t="shared" si="1"/>
        <v>178.61 (31.38)</v>
      </c>
    </row>
    <row r="11" spans="1:13" ht="25.5" x14ac:dyDescent="0.3">
      <c r="A11" s="8"/>
      <c r="B11" s="12"/>
      <c r="C11" s="14" t="s">
        <v>105</v>
      </c>
      <c r="D11" s="16">
        <v>17569</v>
      </c>
      <c r="E11" s="16">
        <v>58.565590499999999</v>
      </c>
      <c r="F11" s="16">
        <v>12.636100600000001</v>
      </c>
      <c r="G11" s="16">
        <v>17.027999999999999</v>
      </c>
      <c r="H11" s="16">
        <v>134</v>
      </c>
      <c r="J11">
        <f t="shared" si="0"/>
        <v>58.565590499999999</v>
      </c>
      <c r="K11">
        <f t="shared" si="0"/>
        <v>12.636100600000001</v>
      </c>
      <c r="M11" t="str">
        <f t="shared" si="1"/>
        <v>58.57 (12.64)</v>
      </c>
    </row>
    <row r="12" spans="1:13" x14ac:dyDescent="0.3">
      <c r="A12" s="8"/>
      <c r="B12" s="12"/>
      <c r="C12" s="14" t="s">
        <v>106</v>
      </c>
      <c r="D12" s="16">
        <v>17569</v>
      </c>
      <c r="E12" s="16">
        <v>64.363595000000004</v>
      </c>
      <c r="F12" s="16">
        <v>22.6015561</v>
      </c>
      <c r="G12" s="16">
        <v>11</v>
      </c>
      <c r="H12" s="16">
        <v>250</v>
      </c>
      <c r="J12">
        <f t="shared" si="0"/>
        <v>64.363595000000004</v>
      </c>
      <c r="K12">
        <f t="shared" si="0"/>
        <v>22.6015561</v>
      </c>
      <c r="M12" t="str">
        <f t="shared" si="1"/>
        <v>64.36 (22.60)</v>
      </c>
    </row>
    <row r="13" spans="1:13" x14ac:dyDescent="0.3">
      <c r="A13" s="8"/>
      <c r="B13" s="12"/>
      <c r="C13" s="14" t="s">
        <v>107</v>
      </c>
      <c r="D13" s="16">
        <v>17569</v>
      </c>
      <c r="E13" s="16">
        <v>19.802891500000001</v>
      </c>
      <c r="F13" s="16">
        <v>11.0580426</v>
      </c>
      <c r="G13" s="16">
        <v>7</v>
      </c>
      <c r="H13" s="16">
        <v>430</v>
      </c>
      <c r="J13">
        <f t="shared" si="0"/>
        <v>19.802891500000001</v>
      </c>
      <c r="K13">
        <f t="shared" si="0"/>
        <v>11.0580426</v>
      </c>
      <c r="M13" t="str">
        <f t="shared" si="1"/>
        <v>19.80 (11.06)</v>
      </c>
    </row>
    <row r="14" spans="1:13" x14ac:dyDescent="0.3">
      <c r="A14" s="8"/>
      <c r="B14" s="12"/>
      <c r="C14" s="14" t="s">
        <v>108</v>
      </c>
      <c r="D14" s="16">
        <v>17569</v>
      </c>
      <c r="E14" s="16">
        <v>16.154191999999998</v>
      </c>
      <c r="F14" s="16">
        <v>14.5126729</v>
      </c>
      <c r="G14" s="16">
        <v>3</v>
      </c>
      <c r="H14" s="16">
        <v>768</v>
      </c>
      <c r="J14">
        <f t="shared" si="0"/>
        <v>16.154191999999998</v>
      </c>
      <c r="K14">
        <f t="shared" si="0"/>
        <v>14.5126729</v>
      </c>
      <c r="M14" t="str">
        <f t="shared" si="1"/>
        <v>16.15 (14.51)</v>
      </c>
    </row>
    <row r="15" spans="1:13" x14ac:dyDescent="0.3">
      <c r="A15" s="8"/>
      <c r="B15" s="12"/>
      <c r="C15" s="14" t="s">
        <v>109</v>
      </c>
      <c r="D15" s="16">
        <v>17569</v>
      </c>
      <c r="E15" s="16">
        <v>13.510729100000001</v>
      </c>
      <c r="F15" s="16">
        <v>1.4906583</v>
      </c>
      <c r="G15" s="16">
        <v>5.2</v>
      </c>
      <c r="H15" s="16">
        <v>19</v>
      </c>
      <c r="J15">
        <f t="shared" si="0"/>
        <v>13.510729100000001</v>
      </c>
      <c r="K15">
        <f t="shared" si="0"/>
        <v>1.4906583</v>
      </c>
      <c r="M15" t="str">
        <f t="shared" si="1"/>
        <v>13.51 (1.49)</v>
      </c>
    </row>
    <row r="16" spans="1:13" x14ac:dyDescent="0.3">
      <c r="A16" s="8"/>
      <c r="B16" s="12"/>
      <c r="C16" s="14" t="s">
        <v>110</v>
      </c>
      <c r="D16" s="16">
        <v>17569</v>
      </c>
      <c r="E16" s="16">
        <v>13.417325999999999</v>
      </c>
      <c r="F16" s="16">
        <v>4.0472527999999999</v>
      </c>
      <c r="G16" s="16">
        <v>2</v>
      </c>
      <c r="H16" s="16">
        <v>140</v>
      </c>
      <c r="J16">
        <f t="shared" si="0"/>
        <v>13.417325999999999</v>
      </c>
      <c r="K16">
        <f t="shared" si="0"/>
        <v>4.0472527999999999</v>
      </c>
      <c r="M16" t="str">
        <f t="shared" si="1"/>
        <v>13.42 (4.05)</v>
      </c>
    </row>
    <row r="17" spans="1:13" x14ac:dyDescent="0.3">
      <c r="A17" s="8"/>
      <c r="B17" s="12"/>
      <c r="C17" s="14" t="s">
        <v>111</v>
      </c>
      <c r="D17" s="16">
        <v>17569</v>
      </c>
      <c r="E17" s="16">
        <v>0.78006660000000005</v>
      </c>
      <c r="F17" s="16">
        <v>0.20124239999999999</v>
      </c>
      <c r="G17" s="16">
        <v>0.36</v>
      </c>
      <c r="H17" s="16">
        <v>14.38</v>
      </c>
      <c r="J17">
        <f t="shared" si="0"/>
        <v>0.78006660000000005</v>
      </c>
      <c r="K17">
        <f t="shared" si="0"/>
        <v>0.20124239999999999</v>
      </c>
      <c r="M17" t="str">
        <f t="shared" si="1"/>
        <v>0.78 (0.20)</v>
      </c>
    </row>
    <row r="18" spans="1:13" x14ac:dyDescent="0.3">
      <c r="A18" s="8"/>
      <c r="B18" s="12"/>
      <c r="C18" s="14" t="s">
        <v>112</v>
      </c>
      <c r="D18" s="16">
        <v>17569</v>
      </c>
      <c r="E18" s="16">
        <v>5.8120837999999999</v>
      </c>
      <c r="F18" s="16">
        <v>0.79352829999999996</v>
      </c>
      <c r="G18" s="16">
        <v>5</v>
      </c>
      <c r="H18" s="16">
        <v>9</v>
      </c>
      <c r="J18">
        <f t="shared" si="0"/>
        <v>5.8120837999999999</v>
      </c>
      <c r="K18">
        <f t="shared" si="0"/>
        <v>0.79352829999999996</v>
      </c>
      <c r="M18" t="str">
        <f t="shared" si="1"/>
        <v>5.81 (0.79)</v>
      </c>
    </row>
    <row r="19" spans="1:13" x14ac:dyDescent="0.3">
      <c r="A19" s="8"/>
      <c r="B19" s="12"/>
      <c r="C19" s="14" t="s">
        <v>113</v>
      </c>
      <c r="D19" s="16">
        <v>17569</v>
      </c>
      <c r="E19" s="16">
        <v>7.9009584000000004</v>
      </c>
      <c r="F19" s="16">
        <v>0.35346159999999999</v>
      </c>
      <c r="G19" s="16">
        <v>5.8944027999999999</v>
      </c>
      <c r="H19" s="16">
        <v>9.4240797999999995</v>
      </c>
      <c r="J19">
        <f t="shared" si="0"/>
        <v>7.9009584000000004</v>
      </c>
      <c r="K19">
        <f t="shared" si="0"/>
        <v>0.35346159999999999</v>
      </c>
      <c r="M19" t="str">
        <f t="shared" si="1"/>
        <v>7.90 (0.35)</v>
      </c>
    </row>
    <row r="20" spans="1:13" x14ac:dyDescent="0.3">
      <c r="A20" s="8"/>
      <c r="B20" s="12"/>
      <c r="C20" s="14" t="s">
        <v>114</v>
      </c>
      <c r="D20" s="16">
        <v>17569</v>
      </c>
      <c r="E20" s="16">
        <v>0.57725400000000004</v>
      </c>
      <c r="F20" s="16">
        <v>2.9118100000000001E-2</v>
      </c>
      <c r="G20" s="16">
        <v>0.40120869999999997</v>
      </c>
      <c r="H20" s="16">
        <v>0.61572499999999997</v>
      </c>
      <c r="J20">
        <f t="shared" si="0"/>
        <v>0.57725400000000004</v>
      </c>
      <c r="K20">
        <f t="shared" si="0"/>
        <v>2.9118100000000001E-2</v>
      </c>
      <c r="M20" t="str">
        <f t="shared" si="1"/>
        <v>0.58 (0.03)</v>
      </c>
    </row>
    <row r="21" spans="1:13" x14ac:dyDescent="0.3">
      <c r="A21" s="8"/>
      <c r="B21" s="12"/>
      <c r="C21" s="14" t="s">
        <v>115</v>
      </c>
      <c r="D21" s="16">
        <v>17569</v>
      </c>
      <c r="E21" s="16">
        <v>2.5913100000000001E-2</v>
      </c>
      <c r="F21" s="16">
        <v>0.19004979999999999</v>
      </c>
      <c r="G21" s="17">
        <v>-0.73762629999999996</v>
      </c>
      <c r="H21" s="16">
        <v>0.75587490000000002</v>
      </c>
      <c r="J21">
        <f t="shared" si="0"/>
        <v>2.5913100000000001E-2</v>
      </c>
      <c r="K21">
        <f t="shared" si="0"/>
        <v>0.19004979999999999</v>
      </c>
      <c r="M21" t="str">
        <f t="shared" si="1"/>
        <v>0.03 (0.19)</v>
      </c>
    </row>
    <row r="22" spans="1:13" ht="17.25" thickBot="1" x14ac:dyDescent="0.35">
      <c r="A22" s="8"/>
      <c r="B22" s="12"/>
      <c r="C22" s="15" t="s">
        <v>116</v>
      </c>
      <c r="D22" s="16">
        <v>17569</v>
      </c>
      <c r="E22" s="16">
        <v>30.0588184</v>
      </c>
      <c r="F22" s="16">
        <v>4.987838</v>
      </c>
      <c r="G22" s="16">
        <v>15.6032782</v>
      </c>
      <c r="H22" s="16">
        <v>93.063441699999998</v>
      </c>
      <c r="J22">
        <f t="shared" si="0"/>
        <v>30.0588184</v>
      </c>
      <c r="K22">
        <f t="shared" si="0"/>
        <v>4.987838</v>
      </c>
      <c r="M22" t="str">
        <f t="shared" si="1"/>
        <v>30.06 (4.99)</v>
      </c>
    </row>
    <row r="23" spans="1:13" x14ac:dyDescent="0.3">
      <c r="A23" s="8">
        <v>2</v>
      </c>
      <c r="B23" s="12">
        <v>17568</v>
      </c>
      <c r="C23" s="14" t="s">
        <v>98</v>
      </c>
      <c r="D23" s="16">
        <v>17568</v>
      </c>
      <c r="E23" s="16">
        <v>47.286259100000002</v>
      </c>
      <c r="F23" s="16">
        <v>15.1735363</v>
      </c>
      <c r="G23" s="16">
        <v>19</v>
      </c>
      <c r="H23" s="16">
        <v>80</v>
      </c>
      <c r="J23">
        <f t="shared" si="0"/>
        <v>47.286259100000002</v>
      </c>
      <c r="K23">
        <f t="shared" si="0"/>
        <v>15.1735363</v>
      </c>
      <c r="M23" t="str">
        <f t="shared" si="1"/>
        <v>47.29 (15.17)</v>
      </c>
    </row>
    <row r="24" spans="1:13" x14ac:dyDescent="0.3">
      <c r="A24" s="8"/>
      <c r="B24" s="12"/>
      <c r="C24" s="14" t="s">
        <v>99</v>
      </c>
      <c r="D24" s="16">
        <v>17568</v>
      </c>
      <c r="E24" s="16">
        <v>23.553963100000001</v>
      </c>
      <c r="F24" s="16">
        <v>3.3895827999999999</v>
      </c>
      <c r="G24" s="16">
        <v>13.173742799999999</v>
      </c>
      <c r="H24" s="16">
        <v>45.934737699999999</v>
      </c>
      <c r="J24">
        <f t="shared" si="0"/>
        <v>23.553963100000001</v>
      </c>
      <c r="K24">
        <f t="shared" si="0"/>
        <v>3.3895827999999999</v>
      </c>
      <c r="M24" t="str">
        <f t="shared" si="1"/>
        <v>23.55 (3.39)</v>
      </c>
    </row>
    <row r="25" spans="1:13" x14ac:dyDescent="0.3">
      <c r="A25" s="8"/>
      <c r="B25" s="12"/>
      <c r="C25" s="14" t="s">
        <v>100</v>
      </c>
      <c r="D25" s="16">
        <v>17568</v>
      </c>
      <c r="E25" s="16">
        <v>80.459329499999996</v>
      </c>
      <c r="F25" s="16">
        <v>8.2245191000000002</v>
      </c>
      <c r="G25" s="16">
        <v>51.1</v>
      </c>
      <c r="H25" s="16">
        <v>137.1</v>
      </c>
      <c r="J25">
        <f t="shared" si="0"/>
        <v>80.459329499999996</v>
      </c>
      <c r="K25">
        <f t="shared" si="0"/>
        <v>8.2245191000000002</v>
      </c>
      <c r="M25" t="str">
        <f t="shared" si="1"/>
        <v>80.46 (8.22)</v>
      </c>
    </row>
    <row r="26" spans="1:13" x14ac:dyDescent="0.3">
      <c r="A26" s="8"/>
      <c r="B26" s="12"/>
      <c r="C26" s="14" t="s">
        <v>101</v>
      </c>
      <c r="D26" s="16">
        <v>17568</v>
      </c>
      <c r="E26" s="16">
        <v>7.6721399999999995E-2</v>
      </c>
      <c r="F26" s="16">
        <v>2.9499999999999999E-3</v>
      </c>
      <c r="G26" s="16">
        <v>6.1054499999999998E-2</v>
      </c>
      <c r="H26" s="16">
        <v>9.0812699999999996E-2</v>
      </c>
      <c r="J26">
        <f t="shared" si="0"/>
        <v>7.6721399999999995E-2</v>
      </c>
      <c r="K26">
        <f t="shared" si="0"/>
        <v>2.9499999999999999E-3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17568</v>
      </c>
      <c r="E27" s="16">
        <v>116.64241800000001</v>
      </c>
      <c r="F27" s="16">
        <v>15.727097199999999</v>
      </c>
      <c r="G27" s="16">
        <v>76</v>
      </c>
      <c r="H27" s="16">
        <v>232</v>
      </c>
      <c r="J27">
        <f t="shared" si="0"/>
        <v>116.64241800000001</v>
      </c>
      <c r="K27">
        <f t="shared" si="0"/>
        <v>15.727097199999999</v>
      </c>
      <c r="M27" t="str">
        <f t="shared" si="1"/>
        <v>116.64 (15.73)</v>
      </c>
    </row>
    <row r="28" spans="1:13" x14ac:dyDescent="0.3">
      <c r="A28" s="8"/>
      <c r="B28" s="12"/>
      <c r="C28" s="14" t="s">
        <v>103</v>
      </c>
      <c r="D28" s="16">
        <v>17568</v>
      </c>
      <c r="E28" s="16">
        <v>94.389002700000006</v>
      </c>
      <c r="F28" s="16">
        <v>11.307159499999999</v>
      </c>
      <c r="G28" s="16">
        <v>44</v>
      </c>
      <c r="H28" s="16">
        <v>306</v>
      </c>
      <c r="J28">
        <f t="shared" si="0"/>
        <v>94.389002700000006</v>
      </c>
      <c r="K28">
        <f t="shared" si="0"/>
        <v>11.307159499999999</v>
      </c>
      <c r="M28" t="str">
        <f t="shared" si="1"/>
        <v>94.39 (11.31)</v>
      </c>
    </row>
    <row r="29" spans="1:13" x14ac:dyDescent="0.3">
      <c r="A29" s="8"/>
      <c r="B29" s="12"/>
      <c r="C29" s="14" t="s">
        <v>104</v>
      </c>
      <c r="D29" s="16">
        <v>17568</v>
      </c>
      <c r="E29" s="16">
        <v>188.44444440000001</v>
      </c>
      <c r="F29" s="16">
        <v>34.211035199999998</v>
      </c>
      <c r="G29" s="16">
        <v>66</v>
      </c>
      <c r="H29" s="16">
        <v>374</v>
      </c>
      <c r="J29">
        <f t="shared" si="0"/>
        <v>188.44444440000001</v>
      </c>
      <c r="K29">
        <f t="shared" si="0"/>
        <v>34.211035199999998</v>
      </c>
      <c r="M29" t="str">
        <f t="shared" si="1"/>
        <v>188.44 (34.21)</v>
      </c>
    </row>
    <row r="30" spans="1:13" ht="25.5" x14ac:dyDescent="0.3">
      <c r="A30" s="8"/>
      <c r="B30" s="12"/>
      <c r="C30" s="14" t="s">
        <v>105</v>
      </c>
      <c r="D30" s="16">
        <v>17568</v>
      </c>
      <c r="E30" s="16">
        <v>53.026802000000004</v>
      </c>
      <c r="F30" s="16">
        <v>12.015102300000001</v>
      </c>
      <c r="G30" s="16">
        <v>15</v>
      </c>
      <c r="H30" s="16">
        <v>145.298</v>
      </c>
      <c r="J30">
        <f t="shared" si="0"/>
        <v>53.026802000000004</v>
      </c>
      <c r="K30">
        <f t="shared" si="0"/>
        <v>12.015102300000001</v>
      </c>
      <c r="M30" t="str">
        <f t="shared" si="1"/>
        <v>53.03 (12.02)</v>
      </c>
    </row>
    <row r="31" spans="1:13" x14ac:dyDescent="0.3">
      <c r="A31" s="8"/>
      <c r="B31" s="12"/>
      <c r="C31" s="14" t="s">
        <v>106</v>
      </c>
      <c r="D31" s="16">
        <v>17568</v>
      </c>
      <c r="E31" s="16">
        <v>97.936930799999999</v>
      </c>
      <c r="F31" s="16">
        <v>34.248948900000002</v>
      </c>
      <c r="G31" s="16">
        <v>28</v>
      </c>
      <c r="H31" s="16">
        <v>560</v>
      </c>
      <c r="J31">
        <f t="shared" si="0"/>
        <v>97.936930799999999</v>
      </c>
      <c r="K31">
        <f t="shared" si="0"/>
        <v>34.248948900000002</v>
      </c>
      <c r="M31" t="str">
        <f t="shared" si="1"/>
        <v>97.94 (34.25)</v>
      </c>
    </row>
    <row r="32" spans="1:13" x14ac:dyDescent="0.3">
      <c r="A32" s="8"/>
      <c r="B32" s="12"/>
      <c r="C32" s="14" t="s">
        <v>107</v>
      </c>
      <c r="D32" s="16">
        <v>17568</v>
      </c>
      <c r="E32" s="16">
        <v>21.968180799999999</v>
      </c>
      <c r="F32" s="16">
        <v>10.929289900000001</v>
      </c>
      <c r="G32" s="16">
        <v>7</v>
      </c>
      <c r="H32" s="16">
        <v>329</v>
      </c>
      <c r="J32">
        <f t="shared" si="0"/>
        <v>21.968180799999999</v>
      </c>
      <c r="K32">
        <f t="shared" si="0"/>
        <v>10.929289900000001</v>
      </c>
      <c r="M32" t="str">
        <f t="shared" si="1"/>
        <v>21.97 (10.93)</v>
      </c>
    </row>
    <row r="33" spans="1:13" x14ac:dyDescent="0.3">
      <c r="A33" s="8"/>
      <c r="B33" s="12"/>
      <c r="C33" s="14" t="s">
        <v>108</v>
      </c>
      <c r="D33" s="16">
        <v>17568</v>
      </c>
      <c r="E33" s="16">
        <v>20.498633900000002</v>
      </c>
      <c r="F33" s="16">
        <v>16.642412199999999</v>
      </c>
      <c r="G33" s="16">
        <v>1</v>
      </c>
      <c r="H33" s="16">
        <v>893</v>
      </c>
      <c r="J33">
        <f t="shared" si="0"/>
        <v>20.498633900000002</v>
      </c>
      <c r="K33">
        <f t="shared" si="0"/>
        <v>16.642412199999999</v>
      </c>
      <c r="M33" t="str">
        <f t="shared" si="1"/>
        <v>20.50 (16.64)</v>
      </c>
    </row>
    <row r="34" spans="1:13" x14ac:dyDescent="0.3">
      <c r="A34" s="8"/>
      <c r="B34" s="12"/>
      <c r="C34" s="14" t="s">
        <v>109</v>
      </c>
      <c r="D34" s="16">
        <v>17568</v>
      </c>
      <c r="E34" s="16">
        <v>13.977424900000001</v>
      </c>
      <c r="F34" s="16">
        <v>1.5515844000000001</v>
      </c>
      <c r="G34" s="16">
        <v>3.9</v>
      </c>
      <c r="H34" s="16">
        <v>19.2</v>
      </c>
      <c r="J34">
        <f t="shared" si="0"/>
        <v>13.977424900000001</v>
      </c>
      <c r="K34">
        <f t="shared" si="0"/>
        <v>1.5515844000000001</v>
      </c>
      <c r="M34" t="str">
        <f t="shared" si="1"/>
        <v>13.98 (1.55)</v>
      </c>
    </row>
    <row r="35" spans="1:13" x14ac:dyDescent="0.3">
      <c r="A35" s="8"/>
      <c r="B35" s="12"/>
      <c r="C35" s="14" t="s">
        <v>110</v>
      </c>
      <c r="D35" s="16">
        <v>17568</v>
      </c>
      <c r="E35" s="16">
        <v>14.3417748</v>
      </c>
      <c r="F35" s="16">
        <v>4.2382375999999997</v>
      </c>
      <c r="G35" s="16">
        <v>4</v>
      </c>
      <c r="H35" s="16">
        <v>74</v>
      </c>
      <c r="J35">
        <f t="shared" si="0"/>
        <v>14.3417748</v>
      </c>
      <c r="K35">
        <f t="shared" si="0"/>
        <v>4.2382375999999997</v>
      </c>
      <c r="M35" t="str">
        <f t="shared" si="1"/>
        <v>14.34 (4.24)</v>
      </c>
    </row>
    <row r="36" spans="1:13" x14ac:dyDescent="0.3">
      <c r="A36" s="8"/>
      <c r="B36" s="12"/>
      <c r="C36" s="14" t="s">
        <v>111</v>
      </c>
      <c r="D36" s="16">
        <v>17568</v>
      </c>
      <c r="E36" s="16">
        <v>0.82169060000000005</v>
      </c>
      <c r="F36" s="16">
        <v>0.21503169999999999</v>
      </c>
      <c r="G36" s="16">
        <v>0.36</v>
      </c>
      <c r="H36" s="16">
        <v>11.33</v>
      </c>
      <c r="J36">
        <f t="shared" si="0"/>
        <v>0.82169060000000005</v>
      </c>
      <c r="K36">
        <f t="shared" si="0"/>
        <v>0.21503169999999999</v>
      </c>
      <c r="M36" t="str">
        <f t="shared" si="1"/>
        <v>0.82 (0.22)</v>
      </c>
    </row>
    <row r="37" spans="1:13" x14ac:dyDescent="0.3">
      <c r="A37" s="8"/>
      <c r="B37" s="12"/>
      <c r="C37" s="14" t="s">
        <v>112</v>
      </c>
      <c r="D37" s="16">
        <v>17568</v>
      </c>
      <c r="E37" s="16">
        <v>5.8230304999999998</v>
      </c>
      <c r="F37" s="16">
        <v>0.80634059999999996</v>
      </c>
      <c r="G37" s="16">
        <v>5</v>
      </c>
      <c r="H37" s="16">
        <v>9</v>
      </c>
      <c r="J37">
        <f t="shared" si="0"/>
        <v>5.8230304999999998</v>
      </c>
      <c r="K37">
        <f t="shared" si="0"/>
        <v>0.80634059999999996</v>
      </c>
      <c r="M37" t="str">
        <f t="shared" si="1"/>
        <v>5.82 (0.81)</v>
      </c>
    </row>
    <row r="38" spans="1:13" x14ac:dyDescent="0.3">
      <c r="A38" s="8"/>
      <c r="B38" s="12"/>
      <c r="C38" s="14" t="s">
        <v>113</v>
      </c>
      <c r="D38" s="16">
        <v>17568</v>
      </c>
      <c r="E38" s="16">
        <v>8.3764851999999994</v>
      </c>
      <c r="F38" s="16">
        <v>0.33066230000000002</v>
      </c>
      <c r="G38" s="16">
        <v>6.9893352999999996</v>
      </c>
      <c r="H38" s="16">
        <v>10.2597624</v>
      </c>
      <c r="J38">
        <f t="shared" si="0"/>
        <v>8.3764851999999994</v>
      </c>
      <c r="K38">
        <f t="shared" si="0"/>
        <v>0.33066230000000002</v>
      </c>
      <c r="M38" t="str">
        <f t="shared" si="1"/>
        <v>8.38 (0.33)</v>
      </c>
    </row>
    <row r="39" spans="1:13" x14ac:dyDescent="0.3">
      <c r="A39" s="8"/>
      <c r="B39" s="12"/>
      <c r="C39" s="14" t="s">
        <v>114</v>
      </c>
      <c r="D39" s="16">
        <v>17568</v>
      </c>
      <c r="E39" s="16">
        <v>0.64184920000000001</v>
      </c>
      <c r="F39" s="16">
        <v>1.46444E-2</v>
      </c>
      <c r="G39" s="16">
        <v>0.61572559999999998</v>
      </c>
      <c r="H39" s="16">
        <v>0.666709</v>
      </c>
      <c r="J39">
        <f t="shared" si="0"/>
        <v>0.64184920000000001</v>
      </c>
      <c r="K39">
        <f t="shared" si="0"/>
        <v>1.46444E-2</v>
      </c>
      <c r="M39" t="str">
        <f t="shared" si="1"/>
        <v>0.64 (0.01)</v>
      </c>
    </row>
    <row r="40" spans="1:13" x14ac:dyDescent="0.3">
      <c r="A40" s="8"/>
      <c r="B40" s="12"/>
      <c r="C40" s="14" t="s">
        <v>115</v>
      </c>
      <c r="D40" s="16">
        <v>17568</v>
      </c>
      <c r="E40" s="16">
        <v>0.25288189999999999</v>
      </c>
      <c r="F40" s="16">
        <v>0.19251779999999999</v>
      </c>
      <c r="G40" s="17">
        <v>-0.48447069999999998</v>
      </c>
      <c r="H40" s="16">
        <v>1.1543705</v>
      </c>
      <c r="J40">
        <f t="shared" si="0"/>
        <v>0.25288189999999999</v>
      </c>
      <c r="K40">
        <f t="shared" si="0"/>
        <v>0.19251779999999999</v>
      </c>
      <c r="M40" t="str">
        <f t="shared" si="1"/>
        <v>0.25 (0.19)</v>
      </c>
    </row>
    <row r="41" spans="1:13" ht="17.25" thickBot="1" x14ac:dyDescent="0.35">
      <c r="A41" s="8"/>
      <c r="B41" s="12"/>
      <c r="C41" s="15" t="s">
        <v>116</v>
      </c>
      <c r="D41" s="16">
        <v>17568</v>
      </c>
      <c r="E41" s="16">
        <v>33.921781299999999</v>
      </c>
      <c r="F41" s="16">
        <v>5.8771827999999999</v>
      </c>
      <c r="G41" s="16">
        <v>15.462639899999999</v>
      </c>
      <c r="H41" s="16">
        <v>72.026266899999996</v>
      </c>
      <c r="J41">
        <f t="shared" si="0"/>
        <v>33.921781299999999</v>
      </c>
      <c r="K41">
        <f t="shared" si="0"/>
        <v>5.8771827999999999</v>
      </c>
      <c r="M41" t="str">
        <f t="shared" si="1"/>
        <v>33.92 (5.88)</v>
      </c>
    </row>
    <row r="42" spans="1:13" x14ac:dyDescent="0.3">
      <c r="A42" s="8">
        <v>3</v>
      </c>
      <c r="B42" s="12">
        <v>17570</v>
      </c>
      <c r="C42" s="14" t="s">
        <v>98</v>
      </c>
      <c r="D42" s="16">
        <v>17570</v>
      </c>
      <c r="E42" s="16">
        <v>53.200626100000001</v>
      </c>
      <c r="F42" s="16">
        <v>14.8338471</v>
      </c>
      <c r="G42" s="16">
        <v>19</v>
      </c>
      <c r="H42" s="16">
        <v>80</v>
      </c>
      <c r="J42">
        <f t="shared" si="0"/>
        <v>53.200626100000001</v>
      </c>
      <c r="K42">
        <f t="shared" si="0"/>
        <v>14.8338471</v>
      </c>
      <c r="M42" t="str">
        <f t="shared" si="1"/>
        <v>53.20 (14.83)</v>
      </c>
    </row>
    <row r="43" spans="1:13" x14ac:dyDescent="0.3">
      <c r="A43" s="8"/>
      <c r="B43" s="12"/>
      <c r="C43" s="14" t="s">
        <v>99</v>
      </c>
      <c r="D43" s="16">
        <v>17570</v>
      </c>
      <c r="E43" s="16">
        <v>24.6479593</v>
      </c>
      <c r="F43" s="16">
        <v>3.3804509999999999</v>
      </c>
      <c r="G43" s="16">
        <v>13.1339583</v>
      </c>
      <c r="H43" s="16">
        <v>47.846743199999999</v>
      </c>
      <c r="J43">
        <f t="shared" si="0"/>
        <v>24.6479593</v>
      </c>
      <c r="K43">
        <f t="shared" si="0"/>
        <v>3.3804509999999999</v>
      </c>
      <c r="M43" t="str">
        <f t="shared" si="1"/>
        <v>24.65 (3.38)</v>
      </c>
    </row>
    <row r="44" spans="1:13" x14ac:dyDescent="0.3">
      <c r="A44" s="8"/>
      <c r="B44" s="12"/>
      <c r="C44" s="14" t="s">
        <v>100</v>
      </c>
      <c r="D44" s="16">
        <v>17570</v>
      </c>
      <c r="E44" s="16">
        <v>85.640785399999999</v>
      </c>
      <c r="F44" s="16">
        <v>8.2653131000000002</v>
      </c>
      <c r="G44" s="16">
        <v>53.1</v>
      </c>
      <c r="H44" s="16">
        <v>130.30000000000001</v>
      </c>
      <c r="J44">
        <f t="shared" si="0"/>
        <v>85.640785399999999</v>
      </c>
      <c r="K44">
        <f t="shared" si="0"/>
        <v>8.2653131000000002</v>
      </c>
      <c r="M44" t="str">
        <f t="shared" si="1"/>
        <v>85.64 (8.27)</v>
      </c>
    </row>
    <row r="45" spans="1:13" x14ac:dyDescent="0.3">
      <c r="A45" s="8"/>
      <c r="B45" s="12"/>
      <c r="C45" s="14" t="s">
        <v>101</v>
      </c>
      <c r="D45" s="16">
        <v>17570</v>
      </c>
      <c r="E45" s="16">
        <v>7.9172999999999993E-2</v>
      </c>
      <c r="F45" s="16">
        <v>3.1411999999999998E-3</v>
      </c>
      <c r="G45" s="16">
        <v>6.7925799999999995E-2</v>
      </c>
      <c r="H45" s="16">
        <v>9.7895099999999999E-2</v>
      </c>
      <c r="J45">
        <f t="shared" si="0"/>
        <v>7.9172999999999993E-2</v>
      </c>
      <c r="K45">
        <f t="shared" si="0"/>
        <v>3.1411999999999998E-3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17570</v>
      </c>
      <c r="E46" s="16">
        <v>121.5692658</v>
      </c>
      <c r="F46" s="16">
        <v>16.163564300000001</v>
      </c>
      <c r="G46" s="16">
        <v>70</v>
      </c>
      <c r="H46" s="16">
        <v>212</v>
      </c>
      <c r="J46">
        <f t="shared" si="0"/>
        <v>121.5692658</v>
      </c>
      <c r="K46">
        <f t="shared" si="0"/>
        <v>16.163564300000001</v>
      </c>
      <c r="M46" t="str">
        <f t="shared" si="1"/>
        <v>121.57 (16.16)</v>
      </c>
    </row>
    <row r="47" spans="1:13" x14ac:dyDescent="0.3">
      <c r="A47" s="8"/>
      <c r="B47" s="12"/>
      <c r="C47" s="14" t="s">
        <v>103</v>
      </c>
      <c r="D47" s="16">
        <v>17570</v>
      </c>
      <c r="E47" s="16">
        <v>100.0911212</v>
      </c>
      <c r="F47" s="16">
        <v>16.664804199999999</v>
      </c>
      <c r="G47" s="16">
        <v>51</v>
      </c>
      <c r="H47" s="16">
        <v>400</v>
      </c>
      <c r="J47">
        <f t="shared" si="0"/>
        <v>100.0911212</v>
      </c>
      <c r="K47">
        <f t="shared" si="0"/>
        <v>16.664804199999999</v>
      </c>
      <c r="M47" t="str">
        <f t="shared" si="1"/>
        <v>100.09 (16.66)</v>
      </c>
    </row>
    <row r="48" spans="1:13" x14ac:dyDescent="0.3">
      <c r="A48" s="8"/>
      <c r="B48" s="12"/>
      <c r="C48" s="14" t="s">
        <v>104</v>
      </c>
      <c r="D48" s="16">
        <v>17570</v>
      </c>
      <c r="E48" s="16">
        <v>193.37017639999999</v>
      </c>
      <c r="F48" s="16">
        <v>36.903354999999998</v>
      </c>
      <c r="G48" s="16">
        <v>68</v>
      </c>
      <c r="H48" s="16">
        <v>381</v>
      </c>
      <c r="J48">
        <f t="shared" si="0"/>
        <v>193.37017639999999</v>
      </c>
      <c r="K48">
        <f t="shared" si="0"/>
        <v>36.903354999999998</v>
      </c>
      <c r="M48" t="str">
        <f t="shared" si="1"/>
        <v>193.37 (36.90)</v>
      </c>
    </row>
    <row r="49" spans="1:13" ht="25.5" x14ac:dyDescent="0.3">
      <c r="A49" s="8"/>
      <c r="B49" s="12"/>
      <c r="C49" s="14" t="s">
        <v>105</v>
      </c>
      <c r="D49" s="16">
        <v>17570</v>
      </c>
      <c r="E49" s="16">
        <v>48.743250000000003</v>
      </c>
      <c r="F49" s="16">
        <v>11.270596599999999</v>
      </c>
      <c r="G49" s="16">
        <v>13.997999999999999</v>
      </c>
      <c r="H49" s="16">
        <v>128</v>
      </c>
      <c r="J49">
        <f t="shared" si="0"/>
        <v>48.743250000000003</v>
      </c>
      <c r="K49">
        <f t="shared" si="0"/>
        <v>11.270596599999999</v>
      </c>
      <c r="M49" t="str">
        <f t="shared" si="1"/>
        <v>48.74 (11.27)</v>
      </c>
    </row>
    <row r="50" spans="1:13" x14ac:dyDescent="0.3">
      <c r="A50" s="8"/>
      <c r="B50" s="12"/>
      <c r="C50" s="14" t="s">
        <v>106</v>
      </c>
      <c r="D50" s="16">
        <v>17570</v>
      </c>
      <c r="E50" s="16">
        <v>136.35651680000001</v>
      </c>
      <c r="F50" s="16">
        <v>52.5601032</v>
      </c>
      <c r="G50" s="16">
        <v>31</v>
      </c>
      <c r="H50" s="16">
        <v>544</v>
      </c>
      <c r="J50">
        <f t="shared" si="0"/>
        <v>136.35651680000001</v>
      </c>
      <c r="K50">
        <f t="shared" si="0"/>
        <v>52.5601032</v>
      </c>
      <c r="M50" t="str">
        <f t="shared" si="1"/>
        <v>136.36 (52.56)</v>
      </c>
    </row>
    <row r="51" spans="1:13" x14ac:dyDescent="0.3">
      <c r="A51" s="8"/>
      <c r="B51" s="12"/>
      <c r="C51" s="14" t="s">
        <v>107</v>
      </c>
      <c r="D51" s="16">
        <v>17570</v>
      </c>
      <c r="E51" s="16">
        <v>24.139613000000001</v>
      </c>
      <c r="F51" s="16">
        <v>12.6361773</v>
      </c>
      <c r="G51" s="16">
        <v>6</v>
      </c>
      <c r="H51" s="16">
        <v>532</v>
      </c>
      <c r="J51">
        <f t="shared" si="0"/>
        <v>24.139613000000001</v>
      </c>
      <c r="K51">
        <f t="shared" si="0"/>
        <v>12.6361773</v>
      </c>
      <c r="M51" t="str">
        <f t="shared" si="1"/>
        <v>24.14 (12.64)</v>
      </c>
    </row>
    <row r="52" spans="1:13" x14ac:dyDescent="0.3">
      <c r="A52" s="8"/>
      <c r="B52" s="12"/>
      <c r="C52" s="14" t="s">
        <v>108</v>
      </c>
      <c r="D52" s="16">
        <v>17570</v>
      </c>
      <c r="E52" s="16">
        <v>24.913830399999998</v>
      </c>
      <c r="F52" s="16">
        <v>19.946110399999998</v>
      </c>
      <c r="G52" s="16">
        <v>3</v>
      </c>
      <c r="H52" s="16">
        <v>857</v>
      </c>
      <c r="J52">
        <f t="shared" si="0"/>
        <v>24.913830399999998</v>
      </c>
      <c r="K52">
        <f t="shared" si="0"/>
        <v>19.946110399999998</v>
      </c>
      <c r="M52" t="str">
        <f t="shared" si="1"/>
        <v>24.91 (19.95)</v>
      </c>
    </row>
    <row r="53" spans="1:13" x14ac:dyDescent="0.3">
      <c r="A53" s="8"/>
      <c r="B53" s="12"/>
      <c r="C53" s="14" t="s">
        <v>109</v>
      </c>
      <c r="D53" s="16">
        <v>17570</v>
      </c>
      <c r="E53" s="16">
        <v>14.3223164</v>
      </c>
      <c r="F53" s="16">
        <v>1.5277508</v>
      </c>
      <c r="G53" s="16">
        <v>5.9</v>
      </c>
      <c r="H53" s="16">
        <v>21.3</v>
      </c>
      <c r="J53">
        <f t="shared" si="0"/>
        <v>14.3223164</v>
      </c>
      <c r="K53">
        <f t="shared" si="0"/>
        <v>1.5277508</v>
      </c>
      <c r="M53" t="str">
        <f t="shared" si="1"/>
        <v>14.32 (1.53)</v>
      </c>
    </row>
    <row r="54" spans="1:13" x14ac:dyDescent="0.3">
      <c r="A54" s="8"/>
      <c r="B54" s="12"/>
      <c r="C54" s="14" t="s">
        <v>110</v>
      </c>
      <c r="D54" s="16">
        <v>17570</v>
      </c>
      <c r="E54" s="16">
        <v>15.0523506</v>
      </c>
      <c r="F54" s="16">
        <v>4.5826985000000002</v>
      </c>
      <c r="G54" s="16">
        <v>3</v>
      </c>
      <c r="H54" s="16">
        <v>115</v>
      </c>
      <c r="J54">
        <f t="shared" si="0"/>
        <v>15.0523506</v>
      </c>
      <c r="K54">
        <f t="shared" si="0"/>
        <v>4.5826985000000002</v>
      </c>
      <c r="M54" t="str">
        <f t="shared" si="1"/>
        <v>15.05 (4.58)</v>
      </c>
    </row>
    <row r="55" spans="1:13" x14ac:dyDescent="0.3">
      <c r="A55" s="8"/>
      <c r="B55" s="12"/>
      <c r="C55" s="14" t="s">
        <v>111</v>
      </c>
      <c r="D55" s="16">
        <v>17570</v>
      </c>
      <c r="E55" s="16">
        <v>0.86058049999999997</v>
      </c>
      <c r="F55" s="16">
        <v>0.2391025</v>
      </c>
      <c r="G55" s="16">
        <v>0.36</v>
      </c>
      <c r="H55" s="16">
        <v>9.4499999999999993</v>
      </c>
      <c r="J55">
        <f t="shared" si="0"/>
        <v>0.86058049999999997</v>
      </c>
      <c r="K55">
        <f t="shared" si="0"/>
        <v>0.2391025</v>
      </c>
      <c r="M55" t="str">
        <f t="shared" si="1"/>
        <v>0.86 (0.24)</v>
      </c>
    </row>
    <row r="56" spans="1:13" x14ac:dyDescent="0.3">
      <c r="A56" s="8"/>
      <c r="B56" s="12"/>
      <c r="C56" s="14" t="s">
        <v>112</v>
      </c>
      <c r="D56" s="16">
        <v>17570</v>
      </c>
      <c r="E56" s="16">
        <v>5.7713431999999996</v>
      </c>
      <c r="F56" s="16">
        <v>0.80586460000000004</v>
      </c>
      <c r="G56" s="16">
        <v>5</v>
      </c>
      <c r="H56" s="16">
        <v>9</v>
      </c>
      <c r="J56">
        <f t="shared" si="0"/>
        <v>5.7713431999999996</v>
      </c>
      <c r="K56">
        <f t="shared" si="0"/>
        <v>0.80586460000000004</v>
      </c>
      <c r="M56" t="str">
        <f t="shared" si="1"/>
        <v>5.77 (0.81)</v>
      </c>
    </row>
    <row r="57" spans="1:13" x14ac:dyDescent="0.3">
      <c r="A57" s="8"/>
      <c r="B57" s="12"/>
      <c r="C57" s="14" t="s">
        <v>113</v>
      </c>
      <c r="D57" s="16">
        <v>17570</v>
      </c>
      <c r="E57" s="16">
        <v>8.7498293999999994</v>
      </c>
      <c r="F57" s="16">
        <v>0.35969410000000002</v>
      </c>
      <c r="G57" s="16">
        <v>7.2067481000000004</v>
      </c>
      <c r="H57" s="16">
        <v>10.1701503</v>
      </c>
      <c r="J57">
        <f t="shared" si="0"/>
        <v>8.7498293999999994</v>
      </c>
      <c r="K57">
        <f t="shared" si="0"/>
        <v>0.35969410000000002</v>
      </c>
      <c r="M57" t="str">
        <f t="shared" si="1"/>
        <v>8.75 (0.36)</v>
      </c>
    </row>
    <row r="58" spans="1:13" x14ac:dyDescent="0.3">
      <c r="A58" s="8"/>
      <c r="B58" s="12"/>
      <c r="C58" s="14" t="s">
        <v>114</v>
      </c>
      <c r="D58" s="16">
        <v>17570</v>
      </c>
      <c r="E58" s="16">
        <v>0.69178410000000001</v>
      </c>
      <c r="F58" s="16">
        <v>1.4959999999999999E-2</v>
      </c>
      <c r="G58" s="16">
        <v>0.66671230000000004</v>
      </c>
      <c r="H58" s="16">
        <v>0.71877930000000001</v>
      </c>
      <c r="J58">
        <f t="shared" si="0"/>
        <v>0.69178410000000001</v>
      </c>
      <c r="K58">
        <f t="shared" si="0"/>
        <v>1.4959999999999999E-2</v>
      </c>
      <c r="M58" t="str">
        <f t="shared" si="1"/>
        <v>0.69 (0.01)</v>
      </c>
    </row>
    <row r="59" spans="1:13" x14ac:dyDescent="0.3">
      <c r="A59" s="8"/>
      <c r="B59" s="12"/>
      <c r="C59" s="14" t="s">
        <v>115</v>
      </c>
      <c r="D59" s="16">
        <v>17570</v>
      </c>
      <c r="E59" s="16">
        <v>0.42854680000000001</v>
      </c>
      <c r="F59" s="16">
        <v>0.20774999999999999</v>
      </c>
      <c r="G59" s="17">
        <v>-0.32068469999999999</v>
      </c>
      <c r="H59" s="16">
        <v>1.2280399</v>
      </c>
      <c r="J59">
        <f t="shared" si="0"/>
        <v>0.42854680000000001</v>
      </c>
      <c r="K59">
        <f t="shared" si="0"/>
        <v>0.20774999999999999</v>
      </c>
      <c r="M59" t="str">
        <f t="shared" si="1"/>
        <v>0.43 (0.21)</v>
      </c>
    </row>
    <row r="60" spans="1:13" ht="17.25" thickBot="1" x14ac:dyDescent="0.35">
      <c r="A60" s="8"/>
      <c r="B60" s="12"/>
      <c r="C60" s="15" t="s">
        <v>116</v>
      </c>
      <c r="D60" s="16">
        <v>17570</v>
      </c>
      <c r="E60" s="16">
        <v>37.282041300000003</v>
      </c>
      <c r="F60" s="16">
        <v>6.2613352999999998</v>
      </c>
      <c r="G60" s="16">
        <v>17.2447458</v>
      </c>
      <c r="H60" s="16">
        <v>78.005146999999994</v>
      </c>
      <c r="J60">
        <f t="shared" si="0"/>
        <v>37.282041300000003</v>
      </c>
      <c r="K60">
        <f t="shared" si="0"/>
        <v>6.2613352999999998</v>
      </c>
      <c r="M60" t="str">
        <f t="shared" si="1"/>
        <v>37.28 (6.26)</v>
      </c>
    </row>
    <row r="61" spans="1:13" x14ac:dyDescent="0.3">
      <c r="A61" s="8">
        <v>4</v>
      </c>
      <c r="B61" s="12">
        <v>17568</v>
      </c>
      <c r="C61" s="14" t="s">
        <v>98</v>
      </c>
      <c r="D61" s="16">
        <v>17568</v>
      </c>
      <c r="E61" s="16">
        <v>58.214480899999998</v>
      </c>
      <c r="F61" s="16">
        <v>13.6613562</v>
      </c>
      <c r="G61" s="16">
        <v>19</v>
      </c>
      <c r="H61" s="16">
        <v>80</v>
      </c>
      <c r="J61">
        <f t="shared" si="0"/>
        <v>58.214480899999998</v>
      </c>
      <c r="K61">
        <f t="shared" si="0"/>
        <v>13.6613562</v>
      </c>
      <c r="M61" t="str">
        <f t="shared" si="1"/>
        <v>58.21 (13.66)</v>
      </c>
    </row>
    <row r="62" spans="1:13" x14ac:dyDescent="0.3">
      <c r="A62" s="8"/>
      <c r="B62" s="12"/>
      <c r="C62" s="14" t="s">
        <v>99</v>
      </c>
      <c r="D62" s="16">
        <v>17568</v>
      </c>
      <c r="E62" s="16">
        <v>25.232091100000002</v>
      </c>
      <c r="F62" s="16">
        <v>3.2877310999999998</v>
      </c>
      <c r="G62" s="16">
        <v>14.306562100000001</v>
      </c>
      <c r="H62" s="16">
        <v>50.898579099999999</v>
      </c>
      <c r="J62">
        <f t="shared" si="0"/>
        <v>25.232091100000002</v>
      </c>
      <c r="K62">
        <f t="shared" si="0"/>
        <v>3.2877310999999998</v>
      </c>
      <c r="M62" t="str">
        <f t="shared" si="1"/>
        <v>25.23 (3.29)</v>
      </c>
    </row>
    <row r="63" spans="1:13" x14ac:dyDescent="0.3">
      <c r="A63" s="8"/>
      <c r="B63" s="12"/>
      <c r="C63" s="14" t="s">
        <v>100</v>
      </c>
      <c r="D63" s="16">
        <v>17568</v>
      </c>
      <c r="E63" s="16">
        <v>90.165647800000002</v>
      </c>
      <c r="F63" s="16">
        <v>8.2858335000000007</v>
      </c>
      <c r="G63" s="16">
        <v>63</v>
      </c>
      <c r="H63" s="16">
        <v>166.1</v>
      </c>
      <c r="J63">
        <f t="shared" si="0"/>
        <v>90.165647800000002</v>
      </c>
      <c r="K63">
        <f t="shared" si="0"/>
        <v>8.2858335000000007</v>
      </c>
      <c r="M63" t="str">
        <f t="shared" si="1"/>
        <v>90.17 (8.29)</v>
      </c>
    </row>
    <row r="64" spans="1:13" x14ac:dyDescent="0.3">
      <c r="A64" s="8"/>
      <c r="B64" s="12"/>
      <c r="C64" s="14" t="s">
        <v>101</v>
      </c>
      <c r="D64" s="16">
        <v>17568</v>
      </c>
      <c r="E64" s="16">
        <v>8.2094E-2</v>
      </c>
      <c r="F64" s="16">
        <v>3.7399E-3</v>
      </c>
      <c r="G64" s="16">
        <v>6.9275500000000004E-2</v>
      </c>
      <c r="H64" s="16">
        <v>0.15107219999999999</v>
      </c>
      <c r="J64">
        <f t="shared" si="0"/>
        <v>8.2094E-2</v>
      </c>
      <c r="K64">
        <f t="shared" si="0"/>
        <v>3.7399E-3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17568</v>
      </c>
      <c r="E65" s="16">
        <v>125.9884734</v>
      </c>
      <c r="F65" s="16">
        <v>16.2241249</v>
      </c>
      <c r="G65" s="16">
        <v>77</v>
      </c>
      <c r="H65" s="16">
        <v>243</v>
      </c>
      <c r="J65">
        <f t="shared" si="0"/>
        <v>125.9884734</v>
      </c>
      <c r="K65">
        <f t="shared" si="0"/>
        <v>16.2241249</v>
      </c>
      <c r="M65" t="str">
        <f t="shared" si="1"/>
        <v>125.99 (16.22)</v>
      </c>
    </row>
    <row r="66" spans="1:13" x14ac:dyDescent="0.3">
      <c r="A66" s="8"/>
      <c r="B66" s="12"/>
      <c r="C66" s="14" t="s">
        <v>103</v>
      </c>
      <c r="D66" s="16">
        <v>17568</v>
      </c>
      <c r="E66" s="16">
        <v>114.76115660000001</v>
      </c>
      <c r="F66" s="16">
        <v>34.816931199999999</v>
      </c>
      <c r="G66" s="16">
        <v>61</v>
      </c>
      <c r="H66" s="16">
        <v>553</v>
      </c>
      <c r="J66">
        <f t="shared" si="0"/>
        <v>114.76115660000001</v>
      </c>
      <c r="K66">
        <f t="shared" si="0"/>
        <v>34.816931199999999</v>
      </c>
      <c r="M66" t="str">
        <f t="shared" si="1"/>
        <v>114.76 (34.82)</v>
      </c>
    </row>
    <row r="67" spans="1:13" x14ac:dyDescent="0.3">
      <c r="A67" s="8"/>
      <c r="B67" s="12"/>
      <c r="C67" s="14" t="s">
        <v>104</v>
      </c>
      <c r="D67" s="16">
        <v>17568</v>
      </c>
      <c r="E67" s="16">
        <v>198.57695810000001</v>
      </c>
      <c r="F67" s="16">
        <v>41.828603100000002</v>
      </c>
      <c r="G67" s="16">
        <v>75</v>
      </c>
      <c r="H67" s="16">
        <v>554</v>
      </c>
      <c r="J67">
        <f t="shared" si="0"/>
        <v>198.57695810000001</v>
      </c>
      <c r="K67">
        <f t="shared" si="0"/>
        <v>41.828603100000002</v>
      </c>
      <c r="M67" t="str">
        <f t="shared" si="1"/>
        <v>198.58 (41.83)</v>
      </c>
    </row>
    <row r="68" spans="1:13" ht="25.5" x14ac:dyDescent="0.3">
      <c r="A68" s="8"/>
      <c r="B68" s="12"/>
      <c r="C68" s="14" t="s">
        <v>105</v>
      </c>
      <c r="D68" s="16">
        <v>17568</v>
      </c>
      <c r="E68" s="16">
        <v>44.180633800000003</v>
      </c>
      <c r="F68" s="16">
        <v>10.4237161</v>
      </c>
      <c r="G68" s="16">
        <v>5.9180000000000001</v>
      </c>
      <c r="H68" s="16">
        <v>126.76</v>
      </c>
      <c r="J68">
        <f t="shared" si="0"/>
        <v>44.180633800000003</v>
      </c>
      <c r="K68">
        <f t="shared" si="0"/>
        <v>10.4237161</v>
      </c>
      <c r="M68" t="str">
        <f t="shared" si="1"/>
        <v>44.18 (10.42)</v>
      </c>
    </row>
    <row r="69" spans="1:13" x14ac:dyDescent="0.3">
      <c r="A69" s="8"/>
      <c r="B69" s="12"/>
      <c r="C69" s="14" t="s">
        <v>106</v>
      </c>
      <c r="D69" s="16">
        <v>17568</v>
      </c>
      <c r="E69" s="16">
        <v>237.4653916</v>
      </c>
      <c r="F69" s="16">
        <v>164.9958206</v>
      </c>
      <c r="G69" s="16">
        <v>39</v>
      </c>
      <c r="H69" s="16">
        <v>2774</v>
      </c>
      <c r="J69">
        <f t="shared" ref="J69:K79" si="2">E69</f>
        <v>237.4653916</v>
      </c>
      <c r="K69">
        <f t="shared" si="2"/>
        <v>164.9958206</v>
      </c>
      <c r="M69" t="str">
        <f t="shared" ref="M69:M79" si="3">TEXT(J69,"0.00")&amp;" ("&amp;TEXT(K69,"0.00")&amp;")"</f>
        <v>237.47 (165.00)</v>
      </c>
    </row>
    <row r="70" spans="1:13" x14ac:dyDescent="0.3">
      <c r="A70" s="8"/>
      <c r="B70" s="12"/>
      <c r="C70" s="14" t="s">
        <v>107</v>
      </c>
      <c r="D70" s="16">
        <v>17568</v>
      </c>
      <c r="E70" s="16">
        <v>27.337545500000001</v>
      </c>
      <c r="F70" s="16">
        <v>19.3890025</v>
      </c>
      <c r="G70" s="16">
        <v>9</v>
      </c>
      <c r="H70" s="16">
        <v>927</v>
      </c>
      <c r="J70">
        <f t="shared" si="2"/>
        <v>27.337545500000001</v>
      </c>
      <c r="K70">
        <f t="shared" si="2"/>
        <v>19.3890025</v>
      </c>
      <c r="M70" t="str">
        <f t="shared" si="3"/>
        <v>27.34 (19.39)</v>
      </c>
    </row>
    <row r="71" spans="1:13" x14ac:dyDescent="0.3">
      <c r="A71" s="8"/>
      <c r="B71" s="12"/>
      <c r="C71" s="14" t="s">
        <v>108</v>
      </c>
      <c r="D71" s="16">
        <v>17568</v>
      </c>
      <c r="E71" s="16">
        <v>28.880123000000001</v>
      </c>
      <c r="F71" s="16">
        <v>21.3385715</v>
      </c>
      <c r="G71" s="16">
        <v>4</v>
      </c>
      <c r="H71" s="16">
        <v>402</v>
      </c>
      <c r="J71">
        <f t="shared" si="2"/>
        <v>28.880123000000001</v>
      </c>
      <c r="K71">
        <f t="shared" si="2"/>
        <v>21.3385715</v>
      </c>
      <c r="M71" t="str">
        <f t="shared" si="3"/>
        <v>28.88 (21.34)</v>
      </c>
    </row>
    <row r="72" spans="1:13" x14ac:dyDescent="0.3">
      <c r="A72" s="8"/>
      <c r="B72" s="12"/>
      <c r="C72" s="14" t="s">
        <v>109</v>
      </c>
      <c r="D72" s="16">
        <v>17568</v>
      </c>
      <c r="E72" s="16">
        <v>14.539976100000001</v>
      </c>
      <c r="F72" s="16">
        <v>1.5347276000000001</v>
      </c>
      <c r="G72" s="16">
        <v>5.5</v>
      </c>
      <c r="H72" s="16">
        <v>20.399999999999999</v>
      </c>
      <c r="J72">
        <f t="shared" si="2"/>
        <v>14.539976100000001</v>
      </c>
      <c r="K72">
        <f t="shared" si="2"/>
        <v>1.5347276000000001</v>
      </c>
      <c r="M72" t="str">
        <f t="shared" si="3"/>
        <v>14.54 (1.53)</v>
      </c>
    </row>
    <row r="73" spans="1:13" x14ac:dyDescent="0.3">
      <c r="A73" s="8"/>
      <c r="B73" s="12"/>
      <c r="C73" s="14" t="s">
        <v>110</v>
      </c>
      <c r="D73" s="16">
        <v>17568</v>
      </c>
      <c r="E73" s="16">
        <v>15.400643199999999</v>
      </c>
      <c r="F73" s="16">
        <v>4.8123873000000001</v>
      </c>
      <c r="G73" s="16">
        <v>3</v>
      </c>
      <c r="H73" s="16">
        <v>76.900000000000006</v>
      </c>
      <c r="J73">
        <f t="shared" si="2"/>
        <v>15.400643199999999</v>
      </c>
      <c r="K73">
        <f t="shared" si="2"/>
        <v>4.8123873000000001</v>
      </c>
      <c r="M73" t="str">
        <f t="shared" si="3"/>
        <v>15.40 (4.81)</v>
      </c>
    </row>
    <row r="74" spans="1:13" x14ac:dyDescent="0.3">
      <c r="A74" s="8"/>
      <c r="B74" s="12"/>
      <c r="C74" s="14" t="s">
        <v>111</v>
      </c>
      <c r="D74" s="16">
        <v>17568</v>
      </c>
      <c r="E74" s="16">
        <v>0.88750739999999995</v>
      </c>
      <c r="F74" s="16">
        <v>0.2715804</v>
      </c>
      <c r="G74" s="16">
        <v>0.2</v>
      </c>
      <c r="H74" s="16">
        <v>10.48</v>
      </c>
      <c r="J74">
        <f t="shared" si="2"/>
        <v>0.88750739999999995</v>
      </c>
      <c r="K74">
        <f t="shared" si="2"/>
        <v>0.2715804</v>
      </c>
      <c r="M74" t="str">
        <f t="shared" si="3"/>
        <v>0.89 (0.27)</v>
      </c>
    </row>
    <row r="75" spans="1:13" x14ac:dyDescent="0.3">
      <c r="A75" s="8"/>
      <c r="B75" s="12"/>
      <c r="C75" s="14" t="s">
        <v>112</v>
      </c>
      <c r="D75" s="16">
        <v>17568</v>
      </c>
      <c r="E75" s="16">
        <v>5.7058856999999996</v>
      </c>
      <c r="F75" s="16">
        <v>0.79843059999999999</v>
      </c>
      <c r="G75" s="16">
        <v>5</v>
      </c>
      <c r="H75" s="16">
        <v>9</v>
      </c>
      <c r="J75">
        <f t="shared" si="2"/>
        <v>5.7058856999999996</v>
      </c>
      <c r="K75">
        <f t="shared" si="2"/>
        <v>0.79843059999999999</v>
      </c>
      <c r="M75" t="str">
        <f t="shared" si="3"/>
        <v>5.71 (0.80)</v>
      </c>
    </row>
    <row r="76" spans="1:13" x14ac:dyDescent="0.3">
      <c r="A76" s="8"/>
      <c r="B76" s="12"/>
      <c r="C76" s="14" t="s">
        <v>113</v>
      </c>
      <c r="D76" s="16">
        <v>17568</v>
      </c>
      <c r="E76" s="16">
        <v>9.3433934000000001</v>
      </c>
      <c r="F76" s="16">
        <v>0.53505550000000002</v>
      </c>
      <c r="G76" s="16">
        <v>7.3752557999999997</v>
      </c>
      <c r="H76" s="16">
        <v>12.7290689</v>
      </c>
      <c r="J76">
        <f t="shared" si="2"/>
        <v>9.3433934000000001</v>
      </c>
      <c r="K76">
        <f t="shared" si="2"/>
        <v>0.53505550000000002</v>
      </c>
      <c r="M76" t="str">
        <f t="shared" si="3"/>
        <v>9.34 (0.54)</v>
      </c>
    </row>
    <row r="77" spans="1:13" x14ac:dyDescent="0.3">
      <c r="A77" s="8"/>
      <c r="B77" s="12"/>
      <c r="C77" s="14" t="s">
        <v>114</v>
      </c>
      <c r="D77" s="16">
        <v>17568</v>
      </c>
      <c r="E77" s="16">
        <v>0.76608679999999996</v>
      </c>
      <c r="F77" s="16">
        <v>4.1323400000000003E-2</v>
      </c>
      <c r="G77" s="16">
        <v>0.71878030000000004</v>
      </c>
      <c r="H77" s="16">
        <v>1.3241700999999999</v>
      </c>
      <c r="J77">
        <f t="shared" si="2"/>
        <v>0.76608679999999996</v>
      </c>
      <c r="K77">
        <f t="shared" si="2"/>
        <v>4.1323400000000003E-2</v>
      </c>
      <c r="M77" t="str">
        <f t="shared" si="3"/>
        <v>0.77 (0.04)</v>
      </c>
    </row>
    <row r="78" spans="1:13" x14ac:dyDescent="0.3">
      <c r="A78" s="8"/>
      <c r="B78" s="12"/>
      <c r="C78" s="14" t="s">
        <v>115</v>
      </c>
      <c r="D78" s="16">
        <v>17568</v>
      </c>
      <c r="E78" s="16">
        <v>0.67956479999999997</v>
      </c>
      <c r="F78" s="16">
        <v>0.26629760000000002</v>
      </c>
      <c r="G78" s="17">
        <v>-0.23113880000000001</v>
      </c>
      <c r="H78" s="16">
        <v>2.1147776999999999</v>
      </c>
      <c r="J78">
        <f t="shared" si="2"/>
        <v>0.67956479999999997</v>
      </c>
      <c r="K78">
        <f t="shared" si="2"/>
        <v>0.26629760000000002</v>
      </c>
      <c r="M78" t="str">
        <f t="shared" si="3"/>
        <v>0.68 (0.27)</v>
      </c>
    </row>
    <row r="79" spans="1:13" x14ac:dyDescent="0.3">
      <c r="A79" s="8"/>
      <c r="B79" s="12"/>
      <c r="C79" s="14" t="s">
        <v>116</v>
      </c>
      <c r="D79" s="16">
        <v>17568</v>
      </c>
      <c r="E79" s="16">
        <v>41.1534853</v>
      </c>
      <c r="F79" s="16">
        <v>6.9112724999999999</v>
      </c>
      <c r="G79" s="16">
        <v>19.5727327</v>
      </c>
      <c r="H79" s="16">
        <v>92.642493599999995</v>
      </c>
      <c r="J79">
        <f t="shared" si="2"/>
        <v>41.1534853</v>
      </c>
      <c r="K79">
        <f t="shared" si="2"/>
        <v>6.9112724999999999</v>
      </c>
      <c r="M79" t="str">
        <f t="shared" si="3"/>
        <v>41.15 (6.91)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E51F-C3C1-4FDC-92C5-448866D544E7}">
  <dimension ref="A1:M79"/>
  <sheetViews>
    <sheetView topLeftCell="A53" workbookViewId="0">
      <selection activeCell="M61" sqref="M61:M7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x14ac:dyDescent="0.3">
      <c r="A3" s="4" t="s">
        <v>58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17559</v>
      </c>
      <c r="C4" s="14" t="s">
        <v>98</v>
      </c>
      <c r="D4" s="16">
        <v>17559</v>
      </c>
      <c r="E4" s="16">
        <v>44.19238</v>
      </c>
      <c r="F4" s="16">
        <v>16.185777399999999</v>
      </c>
      <c r="G4" s="16">
        <v>19</v>
      </c>
      <c r="H4" s="16">
        <v>80</v>
      </c>
      <c r="J4">
        <f>E4</f>
        <v>44.19238</v>
      </c>
      <c r="K4">
        <f>F4</f>
        <v>16.185777399999999</v>
      </c>
      <c r="M4" t="str">
        <f>TEXT(J4,"0.00")&amp;" ("&amp;TEXT(K4,"0.00")&amp;")"</f>
        <v>44.19 (16.19)</v>
      </c>
    </row>
    <row r="5" spans="1:13" x14ac:dyDescent="0.3">
      <c r="A5" s="8"/>
      <c r="B5" s="12"/>
      <c r="C5" s="14" t="s">
        <v>99</v>
      </c>
      <c r="D5" s="16">
        <v>17559</v>
      </c>
      <c r="E5" s="16">
        <v>22.096820099999999</v>
      </c>
      <c r="F5" s="16">
        <v>3.0018923000000002</v>
      </c>
      <c r="G5" s="16">
        <v>13.332026300000001</v>
      </c>
      <c r="H5" s="16">
        <v>46.219893999999996</v>
      </c>
      <c r="J5">
        <f t="shared" ref="J5:K68" si="0">E5</f>
        <v>22.096820099999999</v>
      </c>
      <c r="K5">
        <f t="shared" si="0"/>
        <v>3.0018923000000002</v>
      </c>
      <c r="M5" t="str">
        <f t="shared" ref="M5:M68" si="1">TEXT(J5,"0.00")&amp;" ("&amp;TEXT(K5,"0.00")&amp;")"</f>
        <v>22.10 (3.00)</v>
      </c>
    </row>
    <row r="6" spans="1:13" x14ac:dyDescent="0.3">
      <c r="A6" s="8"/>
      <c r="B6" s="12"/>
      <c r="C6" s="14" t="s">
        <v>100</v>
      </c>
      <c r="D6" s="16">
        <v>17559</v>
      </c>
      <c r="E6" s="16">
        <v>75.924067399999998</v>
      </c>
      <c r="F6" s="16">
        <v>8.9976900000000004</v>
      </c>
      <c r="G6" s="16">
        <v>51.1</v>
      </c>
      <c r="H6" s="16">
        <v>137.1</v>
      </c>
      <c r="J6">
        <f t="shared" si="0"/>
        <v>75.924067399999998</v>
      </c>
      <c r="K6">
        <f t="shared" si="0"/>
        <v>8.9976900000000004</v>
      </c>
      <c r="M6" t="str">
        <f t="shared" si="1"/>
        <v>75.92 (9.00)</v>
      </c>
    </row>
    <row r="7" spans="1:13" x14ac:dyDescent="0.3">
      <c r="A7" s="8"/>
      <c r="B7" s="12"/>
      <c r="C7" s="14" t="s">
        <v>101</v>
      </c>
      <c r="D7" s="16">
        <v>17559</v>
      </c>
      <c r="E7" s="16">
        <v>7.5762200000000002E-2</v>
      </c>
      <c r="F7" s="16">
        <v>4.5285000000000004E-3</v>
      </c>
      <c r="G7" s="16">
        <v>5.83732E-2</v>
      </c>
      <c r="H7" s="16">
        <v>9.96866E-2</v>
      </c>
      <c r="J7">
        <f t="shared" si="0"/>
        <v>7.5762200000000002E-2</v>
      </c>
      <c r="K7">
        <f t="shared" si="0"/>
        <v>4.5285000000000004E-3</v>
      </c>
      <c r="M7" t="str">
        <f t="shared" si="1"/>
        <v>0.08 (0.00)</v>
      </c>
    </row>
    <row r="8" spans="1:13" x14ac:dyDescent="0.3">
      <c r="A8" s="8"/>
      <c r="B8" s="12"/>
      <c r="C8" s="14" t="s">
        <v>102</v>
      </c>
      <c r="D8" s="16">
        <v>17559</v>
      </c>
      <c r="E8" s="16">
        <v>112.71302470000001</v>
      </c>
      <c r="F8" s="16">
        <v>15.5616266</v>
      </c>
      <c r="G8" s="16">
        <v>75</v>
      </c>
      <c r="H8" s="16">
        <v>217</v>
      </c>
      <c r="J8">
        <f t="shared" si="0"/>
        <v>112.71302470000001</v>
      </c>
      <c r="K8">
        <f t="shared" si="0"/>
        <v>15.5616266</v>
      </c>
      <c r="M8" t="str">
        <f t="shared" si="1"/>
        <v>112.71 (15.56)</v>
      </c>
    </row>
    <row r="9" spans="1:13" x14ac:dyDescent="0.3">
      <c r="A9" s="8"/>
      <c r="B9" s="12"/>
      <c r="C9" s="14" t="s">
        <v>103</v>
      </c>
      <c r="D9" s="16">
        <v>17559</v>
      </c>
      <c r="E9" s="16">
        <v>92.798109199999999</v>
      </c>
      <c r="F9" s="16">
        <v>14.6082482</v>
      </c>
      <c r="G9" s="16">
        <v>51</v>
      </c>
      <c r="H9" s="16">
        <v>400</v>
      </c>
      <c r="J9">
        <f t="shared" si="0"/>
        <v>92.798109199999999</v>
      </c>
      <c r="K9">
        <f t="shared" si="0"/>
        <v>14.6082482</v>
      </c>
      <c r="M9" t="str">
        <f t="shared" si="1"/>
        <v>92.80 (14.61)</v>
      </c>
    </row>
    <row r="10" spans="1:13" x14ac:dyDescent="0.3">
      <c r="A10" s="8"/>
      <c r="B10" s="12"/>
      <c r="C10" s="14" t="s">
        <v>104</v>
      </c>
      <c r="D10" s="16">
        <v>17559</v>
      </c>
      <c r="E10" s="16">
        <v>182.8649126</v>
      </c>
      <c r="F10" s="16">
        <v>32.918746900000002</v>
      </c>
      <c r="G10" s="16">
        <v>71</v>
      </c>
      <c r="H10" s="16">
        <v>457</v>
      </c>
      <c r="J10">
        <f t="shared" si="0"/>
        <v>182.8649126</v>
      </c>
      <c r="K10">
        <f t="shared" si="0"/>
        <v>32.918746900000002</v>
      </c>
      <c r="M10" t="str">
        <f t="shared" si="1"/>
        <v>182.86 (32.92)</v>
      </c>
    </row>
    <row r="11" spans="1:13" ht="25.5" x14ac:dyDescent="0.3">
      <c r="A11" s="8"/>
      <c r="B11" s="12"/>
      <c r="C11" s="14" t="s">
        <v>105</v>
      </c>
      <c r="D11" s="16">
        <v>17559</v>
      </c>
      <c r="E11" s="16">
        <v>63.388397099999999</v>
      </c>
      <c r="F11" s="16">
        <v>12.0894814</v>
      </c>
      <c r="G11" s="16">
        <v>17.027999999999999</v>
      </c>
      <c r="H11" s="16">
        <v>145.298</v>
      </c>
      <c r="J11">
        <f t="shared" si="0"/>
        <v>63.388397099999999</v>
      </c>
      <c r="K11">
        <f t="shared" si="0"/>
        <v>12.0894814</v>
      </c>
      <c r="M11" t="str">
        <f t="shared" si="1"/>
        <v>63.39 (12.09)</v>
      </c>
    </row>
    <row r="12" spans="1:13" x14ac:dyDescent="0.3">
      <c r="A12" s="8"/>
      <c r="B12" s="12"/>
      <c r="C12" s="14" t="s">
        <v>106</v>
      </c>
      <c r="D12" s="16">
        <v>17559</v>
      </c>
      <c r="E12" s="16">
        <v>57.940486399999998</v>
      </c>
      <c r="F12" s="16">
        <v>14.856106</v>
      </c>
      <c r="G12" s="16">
        <v>11</v>
      </c>
      <c r="H12" s="16">
        <v>139</v>
      </c>
      <c r="J12">
        <f t="shared" si="0"/>
        <v>57.940486399999998</v>
      </c>
      <c r="K12">
        <f t="shared" si="0"/>
        <v>14.856106</v>
      </c>
      <c r="M12" t="str">
        <f t="shared" si="1"/>
        <v>57.94 (14.86)</v>
      </c>
    </row>
    <row r="13" spans="1:13" x14ac:dyDescent="0.3">
      <c r="A13" s="8"/>
      <c r="B13" s="12"/>
      <c r="C13" s="14" t="s">
        <v>107</v>
      </c>
      <c r="D13" s="16">
        <v>17559</v>
      </c>
      <c r="E13" s="16">
        <v>21.030297900000001</v>
      </c>
      <c r="F13" s="16">
        <v>11.5295445</v>
      </c>
      <c r="G13" s="16">
        <v>7</v>
      </c>
      <c r="H13" s="16">
        <v>430</v>
      </c>
      <c r="J13">
        <f t="shared" si="0"/>
        <v>21.030297900000001</v>
      </c>
      <c r="K13">
        <f t="shared" si="0"/>
        <v>11.5295445</v>
      </c>
      <c r="M13" t="str">
        <f t="shared" si="1"/>
        <v>21.03 (11.53)</v>
      </c>
    </row>
    <row r="14" spans="1:13" x14ac:dyDescent="0.3">
      <c r="A14" s="8"/>
      <c r="B14" s="12"/>
      <c r="C14" s="14" t="s">
        <v>108</v>
      </c>
      <c r="D14" s="16">
        <v>17559</v>
      </c>
      <c r="E14" s="16">
        <v>16.903012700000001</v>
      </c>
      <c r="F14" s="16">
        <v>13.196957599999999</v>
      </c>
      <c r="G14" s="16">
        <v>3</v>
      </c>
      <c r="H14" s="16">
        <v>743</v>
      </c>
      <c r="J14">
        <f t="shared" si="0"/>
        <v>16.903012700000001</v>
      </c>
      <c r="K14">
        <f t="shared" si="0"/>
        <v>13.196957599999999</v>
      </c>
      <c r="M14" t="str">
        <f t="shared" si="1"/>
        <v>16.90 (13.20)</v>
      </c>
    </row>
    <row r="15" spans="1:13" x14ac:dyDescent="0.3">
      <c r="A15" s="8"/>
      <c r="B15" s="12"/>
      <c r="C15" s="14" t="s">
        <v>109</v>
      </c>
      <c r="D15" s="16">
        <v>17559</v>
      </c>
      <c r="E15" s="16">
        <v>13.466866</v>
      </c>
      <c r="F15" s="16">
        <v>1.4245593000000001</v>
      </c>
      <c r="G15" s="16">
        <v>5</v>
      </c>
      <c r="H15" s="16">
        <v>18.8</v>
      </c>
      <c r="J15">
        <f t="shared" si="0"/>
        <v>13.466866</v>
      </c>
      <c r="K15">
        <f t="shared" si="0"/>
        <v>1.4245593000000001</v>
      </c>
      <c r="M15" t="str">
        <f t="shared" si="1"/>
        <v>13.47 (1.42)</v>
      </c>
    </row>
    <row r="16" spans="1:13" x14ac:dyDescent="0.3">
      <c r="A16" s="8"/>
      <c r="B16" s="12"/>
      <c r="C16" s="14" t="s">
        <v>110</v>
      </c>
      <c r="D16" s="16">
        <v>17559</v>
      </c>
      <c r="E16" s="16">
        <v>14.218839300000001</v>
      </c>
      <c r="F16" s="16">
        <v>4.4722439999999999</v>
      </c>
      <c r="G16" s="16">
        <v>3</v>
      </c>
      <c r="H16" s="16">
        <v>140</v>
      </c>
      <c r="J16">
        <f t="shared" si="0"/>
        <v>14.218839300000001</v>
      </c>
      <c r="K16">
        <f t="shared" si="0"/>
        <v>4.4722439999999999</v>
      </c>
      <c r="M16" t="str">
        <f t="shared" si="1"/>
        <v>14.22 (4.47)</v>
      </c>
    </row>
    <row r="17" spans="1:13" x14ac:dyDescent="0.3">
      <c r="A17" s="8"/>
      <c r="B17" s="12"/>
      <c r="C17" s="14" t="s">
        <v>111</v>
      </c>
      <c r="D17" s="16">
        <v>17559</v>
      </c>
      <c r="E17" s="16">
        <v>0.77337149999999999</v>
      </c>
      <c r="F17" s="16">
        <v>0.20248930000000001</v>
      </c>
      <c r="G17" s="16">
        <v>0.36</v>
      </c>
      <c r="H17" s="16">
        <v>14.38</v>
      </c>
      <c r="J17">
        <f t="shared" si="0"/>
        <v>0.77337149999999999</v>
      </c>
      <c r="K17">
        <f t="shared" si="0"/>
        <v>0.20248930000000001</v>
      </c>
      <c r="M17" t="str">
        <f t="shared" si="1"/>
        <v>0.77 (0.20)</v>
      </c>
    </row>
    <row r="18" spans="1:13" x14ac:dyDescent="0.3">
      <c r="A18" s="8"/>
      <c r="B18" s="12"/>
      <c r="C18" s="14" t="s">
        <v>112</v>
      </c>
      <c r="D18" s="16">
        <v>17559</v>
      </c>
      <c r="E18" s="16">
        <v>5.8507888000000001</v>
      </c>
      <c r="F18" s="16">
        <v>0.80856649999999997</v>
      </c>
      <c r="G18" s="16">
        <v>5</v>
      </c>
      <c r="H18" s="16">
        <v>9</v>
      </c>
      <c r="J18">
        <f t="shared" si="0"/>
        <v>5.8507888000000001</v>
      </c>
      <c r="K18">
        <f t="shared" si="0"/>
        <v>0.80856649999999997</v>
      </c>
      <c r="M18" t="str">
        <f t="shared" si="1"/>
        <v>5.85 (0.81)</v>
      </c>
    </row>
    <row r="19" spans="1:13" x14ac:dyDescent="0.3">
      <c r="A19" s="8"/>
      <c r="B19" s="12"/>
      <c r="C19" s="14" t="s">
        <v>113</v>
      </c>
      <c r="D19" s="16">
        <v>17559</v>
      </c>
      <c r="E19" s="16">
        <v>7.8529204000000004</v>
      </c>
      <c r="F19" s="16">
        <v>0.31527040000000001</v>
      </c>
      <c r="G19" s="16">
        <v>5.8944027999999999</v>
      </c>
      <c r="H19" s="16">
        <v>9.6018755999999996</v>
      </c>
      <c r="J19">
        <f t="shared" si="0"/>
        <v>7.8529204000000004</v>
      </c>
      <c r="K19">
        <f t="shared" si="0"/>
        <v>0.31527040000000001</v>
      </c>
      <c r="M19" t="str">
        <f t="shared" si="1"/>
        <v>7.85 (0.32)</v>
      </c>
    </row>
    <row r="20" spans="1:13" x14ac:dyDescent="0.3">
      <c r="A20" s="8"/>
      <c r="B20" s="12"/>
      <c r="C20" s="14" t="s">
        <v>114</v>
      </c>
      <c r="D20" s="16">
        <v>17559</v>
      </c>
      <c r="E20" s="16">
        <v>0.59530019999999995</v>
      </c>
      <c r="F20" s="16">
        <v>4.7543599999999998E-2</v>
      </c>
      <c r="G20" s="16">
        <v>0.41635680000000003</v>
      </c>
      <c r="H20" s="16">
        <v>0.82138029999999995</v>
      </c>
      <c r="J20">
        <f t="shared" si="0"/>
        <v>0.59530019999999995</v>
      </c>
      <c r="K20">
        <f t="shared" si="0"/>
        <v>4.7543599999999998E-2</v>
      </c>
      <c r="M20" t="str">
        <f t="shared" si="1"/>
        <v>0.60 (0.05)</v>
      </c>
    </row>
    <row r="21" spans="1:13" x14ac:dyDescent="0.3">
      <c r="A21" s="8"/>
      <c r="B21" s="12"/>
      <c r="C21" s="14" t="s">
        <v>115</v>
      </c>
      <c r="D21" s="16">
        <v>17559</v>
      </c>
      <c r="E21" s="17">
        <v>-4.6390500000000001E-2</v>
      </c>
      <c r="F21" s="16">
        <v>0.1239792</v>
      </c>
      <c r="G21" s="17">
        <v>-0.73762629999999996</v>
      </c>
      <c r="H21" s="16">
        <v>0.1153835</v>
      </c>
      <c r="J21">
        <f t="shared" si="0"/>
        <v>-4.6390500000000001E-2</v>
      </c>
      <c r="K21">
        <f t="shared" si="0"/>
        <v>0.1239792</v>
      </c>
      <c r="M21" t="str">
        <f t="shared" si="1"/>
        <v>-0.05 (0.12)</v>
      </c>
    </row>
    <row r="22" spans="1:13" ht="17.25" thickBot="1" x14ac:dyDescent="0.35">
      <c r="A22" s="8"/>
      <c r="B22" s="12"/>
      <c r="C22" s="15" t="s">
        <v>116</v>
      </c>
      <c r="D22" s="16">
        <v>17559</v>
      </c>
      <c r="E22" s="16">
        <v>29.441746200000001</v>
      </c>
      <c r="F22" s="16">
        <v>4.5621875999999997</v>
      </c>
      <c r="G22" s="16">
        <v>15.462639899999999</v>
      </c>
      <c r="H22" s="16">
        <v>65.434191900000002</v>
      </c>
      <c r="J22">
        <f t="shared" si="0"/>
        <v>29.441746200000001</v>
      </c>
      <c r="K22">
        <f t="shared" si="0"/>
        <v>4.5621875999999997</v>
      </c>
      <c r="M22" t="str">
        <f t="shared" si="1"/>
        <v>29.44 (4.56)</v>
      </c>
    </row>
    <row r="23" spans="1:13" x14ac:dyDescent="0.3">
      <c r="A23" s="8">
        <v>2</v>
      </c>
      <c r="B23" s="12">
        <v>17578</v>
      </c>
      <c r="C23" s="14" t="s">
        <v>98</v>
      </c>
      <c r="D23" s="16">
        <v>17578</v>
      </c>
      <c r="E23" s="16">
        <v>49.040960300000002</v>
      </c>
      <c r="F23" s="16">
        <v>16.486081800000001</v>
      </c>
      <c r="G23" s="16">
        <v>19</v>
      </c>
      <c r="H23" s="16">
        <v>80</v>
      </c>
      <c r="J23">
        <f t="shared" si="0"/>
        <v>49.040960300000002</v>
      </c>
      <c r="K23">
        <f t="shared" si="0"/>
        <v>16.486081800000001</v>
      </c>
      <c r="M23" t="str">
        <f t="shared" si="1"/>
        <v>49.04 (16.49)</v>
      </c>
    </row>
    <row r="24" spans="1:13" x14ac:dyDescent="0.3">
      <c r="A24" s="8"/>
      <c r="B24" s="12"/>
      <c r="C24" s="14" t="s">
        <v>99</v>
      </c>
      <c r="D24" s="16">
        <v>17578</v>
      </c>
      <c r="E24" s="16">
        <v>23.399032099999999</v>
      </c>
      <c r="F24" s="16">
        <v>3.2828572999999999</v>
      </c>
      <c r="G24" s="16">
        <v>13.1339583</v>
      </c>
      <c r="H24" s="16">
        <v>62.640542099999998</v>
      </c>
      <c r="J24">
        <f t="shared" si="0"/>
        <v>23.399032099999999</v>
      </c>
      <c r="K24">
        <f t="shared" si="0"/>
        <v>3.2828572999999999</v>
      </c>
      <c r="M24" t="str">
        <f t="shared" si="1"/>
        <v>23.40 (3.28)</v>
      </c>
    </row>
    <row r="25" spans="1:13" x14ac:dyDescent="0.3">
      <c r="A25" s="8"/>
      <c r="B25" s="12"/>
      <c r="C25" s="14" t="s">
        <v>100</v>
      </c>
      <c r="D25" s="16">
        <v>17578</v>
      </c>
      <c r="E25" s="16">
        <v>80.824576199999996</v>
      </c>
      <c r="F25" s="16">
        <v>9.5427695999999997</v>
      </c>
      <c r="G25" s="16">
        <v>49.3</v>
      </c>
      <c r="H25" s="16">
        <v>166.1</v>
      </c>
      <c r="J25">
        <f t="shared" si="0"/>
        <v>80.824576199999996</v>
      </c>
      <c r="K25">
        <f t="shared" si="0"/>
        <v>9.5427695999999997</v>
      </c>
      <c r="M25" t="str">
        <f t="shared" si="1"/>
        <v>80.82 (9.54)</v>
      </c>
    </row>
    <row r="26" spans="1:13" x14ac:dyDescent="0.3">
      <c r="A26" s="8"/>
      <c r="B26" s="12"/>
      <c r="C26" s="14" t="s">
        <v>101</v>
      </c>
      <c r="D26" s="16">
        <v>17578</v>
      </c>
      <c r="E26" s="16">
        <v>7.7470700000000003E-2</v>
      </c>
      <c r="F26" s="16">
        <v>4.6014000000000003E-3</v>
      </c>
      <c r="G26" s="16">
        <v>5.4297199999999997E-2</v>
      </c>
      <c r="H26" s="16">
        <v>0.15107219999999999</v>
      </c>
      <c r="J26">
        <f t="shared" si="0"/>
        <v>7.7470700000000003E-2</v>
      </c>
      <c r="K26">
        <f t="shared" si="0"/>
        <v>4.6014000000000003E-3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17578</v>
      </c>
      <c r="E27" s="16">
        <v>117.214814</v>
      </c>
      <c r="F27" s="16">
        <v>16.3484111</v>
      </c>
      <c r="G27" s="16">
        <v>75</v>
      </c>
      <c r="H27" s="16">
        <v>232</v>
      </c>
      <c r="J27">
        <f t="shared" si="0"/>
        <v>117.214814</v>
      </c>
      <c r="K27">
        <f t="shared" si="0"/>
        <v>16.3484111</v>
      </c>
      <c r="M27" t="str">
        <f t="shared" si="1"/>
        <v>117.21 (16.35)</v>
      </c>
    </row>
    <row r="28" spans="1:13" x14ac:dyDescent="0.3">
      <c r="A28" s="8"/>
      <c r="B28" s="12"/>
      <c r="C28" s="14" t="s">
        <v>103</v>
      </c>
      <c r="D28" s="16">
        <v>17578</v>
      </c>
      <c r="E28" s="16">
        <v>97.132096899999993</v>
      </c>
      <c r="F28" s="16">
        <v>18.895799</v>
      </c>
      <c r="G28" s="16">
        <v>48</v>
      </c>
      <c r="H28" s="16">
        <v>415</v>
      </c>
      <c r="J28">
        <f t="shared" si="0"/>
        <v>97.132096899999993</v>
      </c>
      <c r="K28">
        <f t="shared" si="0"/>
        <v>18.895799</v>
      </c>
      <c r="M28" t="str">
        <f t="shared" si="1"/>
        <v>97.13 (18.90)</v>
      </c>
    </row>
    <row r="29" spans="1:13" x14ac:dyDescent="0.3">
      <c r="A29" s="8"/>
      <c r="B29" s="12"/>
      <c r="C29" s="14" t="s">
        <v>104</v>
      </c>
      <c r="D29" s="16">
        <v>17578</v>
      </c>
      <c r="E29" s="16">
        <v>185.84457850000001</v>
      </c>
      <c r="F29" s="16">
        <v>35.485115999999998</v>
      </c>
      <c r="G29" s="16">
        <v>79</v>
      </c>
      <c r="H29" s="16">
        <v>379</v>
      </c>
      <c r="J29">
        <f t="shared" si="0"/>
        <v>185.84457850000001</v>
      </c>
      <c r="K29">
        <f t="shared" si="0"/>
        <v>35.485115999999998</v>
      </c>
      <c r="M29" t="str">
        <f t="shared" si="1"/>
        <v>185.84 (35.49)</v>
      </c>
    </row>
    <row r="30" spans="1:13" ht="25.5" x14ac:dyDescent="0.3">
      <c r="A30" s="8"/>
      <c r="B30" s="12"/>
      <c r="C30" s="14" t="s">
        <v>105</v>
      </c>
      <c r="D30" s="16">
        <v>17578</v>
      </c>
      <c r="E30" s="16">
        <v>53.619272799999997</v>
      </c>
      <c r="F30" s="16">
        <v>9.5398175999999992</v>
      </c>
      <c r="G30" s="16">
        <v>23.388000000000002</v>
      </c>
      <c r="H30" s="16">
        <v>126.76</v>
      </c>
      <c r="J30">
        <f t="shared" si="0"/>
        <v>53.619272799999997</v>
      </c>
      <c r="K30">
        <f t="shared" si="0"/>
        <v>9.5398175999999992</v>
      </c>
      <c r="M30" t="str">
        <f t="shared" si="1"/>
        <v>53.62 (9.54)</v>
      </c>
    </row>
    <row r="31" spans="1:13" x14ac:dyDescent="0.3">
      <c r="A31" s="8"/>
      <c r="B31" s="12"/>
      <c r="C31" s="14" t="s">
        <v>106</v>
      </c>
      <c r="D31" s="16">
        <v>17578</v>
      </c>
      <c r="E31" s="16">
        <v>90.348845100000005</v>
      </c>
      <c r="F31" s="16">
        <v>18.288349400000001</v>
      </c>
      <c r="G31" s="16">
        <v>41</v>
      </c>
      <c r="H31" s="16">
        <v>214</v>
      </c>
      <c r="J31">
        <f t="shared" si="0"/>
        <v>90.348845100000005</v>
      </c>
      <c r="K31">
        <f t="shared" si="0"/>
        <v>18.288349400000001</v>
      </c>
      <c r="M31" t="str">
        <f t="shared" si="1"/>
        <v>90.35 (18.29)</v>
      </c>
    </row>
    <row r="32" spans="1:13" x14ac:dyDescent="0.3">
      <c r="A32" s="8"/>
      <c r="B32" s="12"/>
      <c r="C32" s="14" t="s">
        <v>107</v>
      </c>
      <c r="D32" s="16">
        <v>17578</v>
      </c>
      <c r="E32" s="16">
        <v>22.069291199999999</v>
      </c>
      <c r="F32" s="16">
        <v>12.6856551</v>
      </c>
      <c r="G32" s="16">
        <v>7</v>
      </c>
      <c r="H32" s="16">
        <v>621</v>
      </c>
      <c r="J32">
        <f t="shared" si="0"/>
        <v>22.069291199999999</v>
      </c>
      <c r="K32">
        <f t="shared" si="0"/>
        <v>12.6856551</v>
      </c>
      <c r="M32" t="str">
        <f t="shared" si="1"/>
        <v>22.07 (12.69)</v>
      </c>
    </row>
    <row r="33" spans="1:13" x14ac:dyDescent="0.3">
      <c r="A33" s="8"/>
      <c r="B33" s="12"/>
      <c r="C33" s="14" t="s">
        <v>108</v>
      </c>
      <c r="D33" s="16">
        <v>17578</v>
      </c>
      <c r="E33" s="16">
        <v>20.083741</v>
      </c>
      <c r="F33" s="16">
        <v>18.080205299999999</v>
      </c>
      <c r="G33" s="16">
        <v>1</v>
      </c>
      <c r="H33" s="16">
        <v>893</v>
      </c>
      <c r="J33">
        <f t="shared" si="0"/>
        <v>20.083741</v>
      </c>
      <c r="K33">
        <f t="shared" si="0"/>
        <v>18.080205299999999</v>
      </c>
      <c r="M33" t="str">
        <f t="shared" si="1"/>
        <v>20.08 (18.08)</v>
      </c>
    </row>
    <row r="34" spans="1:13" x14ac:dyDescent="0.3">
      <c r="A34" s="8"/>
      <c r="B34" s="12"/>
      <c r="C34" s="14" t="s">
        <v>109</v>
      </c>
      <c r="D34" s="16">
        <v>17578</v>
      </c>
      <c r="E34" s="16">
        <v>13.9163272</v>
      </c>
      <c r="F34" s="16">
        <v>1.519517</v>
      </c>
      <c r="G34" s="16">
        <v>5.3</v>
      </c>
      <c r="H34" s="16">
        <v>19.399999999999999</v>
      </c>
      <c r="J34">
        <f t="shared" si="0"/>
        <v>13.9163272</v>
      </c>
      <c r="K34">
        <f t="shared" si="0"/>
        <v>1.519517</v>
      </c>
      <c r="M34" t="str">
        <f t="shared" si="1"/>
        <v>13.92 (1.52)</v>
      </c>
    </row>
    <row r="35" spans="1:13" x14ac:dyDescent="0.3">
      <c r="A35" s="8"/>
      <c r="B35" s="12"/>
      <c r="C35" s="14" t="s">
        <v>110</v>
      </c>
      <c r="D35" s="16">
        <v>17578</v>
      </c>
      <c r="E35" s="16">
        <v>14.5494652</v>
      </c>
      <c r="F35" s="16">
        <v>4.4517639000000004</v>
      </c>
      <c r="G35" s="16">
        <v>2</v>
      </c>
      <c r="H35" s="16">
        <v>83</v>
      </c>
      <c r="J35">
        <f t="shared" si="0"/>
        <v>14.5494652</v>
      </c>
      <c r="K35">
        <f t="shared" si="0"/>
        <v>4.4517639000000004</v>
      </c>
      <c r="M35" t="str">
        <f t="shared" si="1"/>
        <v>14.55 (4.45)</v>
      </c>
    </row>
    <row r="36" spans="1:13" x14ac:dyDescent="0.3">
      <c r="A36" s="8"/>
      <c r="B36" s="12"/>
      <c r="C36" s="14" t="s">
        <v>111</v>
      </c>
      <c r="D36" s="16">
        <v>17578</v>
      </c>
      <c r="E36" s="16">
        <v>0.81906590000000001</v>
      </c>
      <c r="F36" s="16">
        <v>0.21568899999999999</v>
      </c>
      <c r="G36" s="16">
        <v>0.36</v>
      </c>
      <c r="H36" s="16">
        <v>9.4499999999999993</v>
      </c>
      <c r="J36">
        <f t="shared" si="0"/>
        <v>0.81906590000000001</v>
      </c>
      <c r="K36">
        <f t="shared" si="0"/>
        <v>0.21568899999999999</v>
      </c>
      <c r="M36" t="str">
        <f t="shared" si="1"/>
        <v>0.82 (0.22)</v>
      </c>
    </row>
    <row r="37" spans="1:13" x14ac:dyDescent="0.3">
      <c r="A37" s="8"/>
      <c r="B37" s="12"/>
      <c r="C37" s="14" t="s">
        <v>112</v>
      </c>
      <c r="D37" s="16">
        <v>17578</v>
      </c>
      <c r="E37" s="16">
        <v>5.8287063000000003</v>
      </c>
      <c r="F37" s="16">
        <v>0.81205059999999996</v>
      </c>
      <c r="G37" s="16">
        <v>5</v>
      </c>
      <c r="H37" s="16">
        <v>9</v>
      </c>
      <c r="J37">
        <f t="shared" si="0"/>
        <v>5.8287063000000003</v>
      </c>
      <c r="K37">
        <f t="shared" si="0"/>
        <v>0.81205059999999996</v>
      </c>
      <c r="M37" t="str">
        <f t="shared" si="1"/>
        <v>5.83 (0.81)</v>
      </c>
    </row>
    <row r="38" spans="1:13" x14ac:dyDescent="0.3">
      <c r="A38" s="8"/>
      <c r="B38" s="12"/>
      <c r="C38" s="14" t="s">
        <v>113</v>
      </c>
      <c r="D38" s="16">
        <v>17578</v>
      </c>
      <c r="E38" s="16">
        <v>8.3532139999999995</v>
      </c>
      <c r="F38" s="16">
        <v>0.26065880000000002</v>
      </c>
      <c r="G38" s="16">
        <v>7.2251174999999996</v>
      </c>
      <c r="H38" s="16">
        <v>10.163445100000001</v>
      </c>
      <c r="J38">
        <f t="shared" si="0"/>
        <v>8.3532139999999995</v>
      </c>
      <c r="K38">
        <f t="shared" si="0"/>
        <v>0.26065880000000002</v>
      </c>
      <c r="M38" t="str">
        <f t="shared" si="1"/>
        <v>8.35 (0.26)</v>
      </c>
    </row>
    <row r="39" spans="1:13" x14ac:dyDescent="0.3">
      <c r="A39" s="8"/>
      <c r="B39" s="12"/>
      <c r="C39" s="14" t="s">
        <v>114</v>
      </c>
      <c r="D39" s="16">
        <v>17578</v>
      </c>
      <c r="E39" s="16">
        <v>0.64736059999999995</v>
      </c>
      <c r="F39" s="16">
        <v>4.6887100000000001E-2</v>
      </c>
      <c r="G39" s="16">
        <v>0.44211159999999999</v>
      </c>
      <c r="H39" s="16">
        <v>1.3241700999999999</v>
      </c>
      <c r="J39">
        <f t="shared" si="0"/>
        <v>0.64736059999999995</v>
      </c>
      <c r="K39">
        <f t="shared" si="0"/>
        <v>4.6887100000000001E-2</v>
      </c>
      <c r="M39" t="str">
        <f t="shared" si="1"/>
        <v>0.65 (0.05)</v>
      </c>
    </row>
    <row r="40" spans="1:13" x14ac:dyDescent="0.3">
      <c r="A40" s="8"/>
      <c r="B40" s="12"/>
      <c r="C40" s="14" t="s">
        <v>115</v>
      </c>
      <c r="D40" s="16">
        <v>17578</v>
      </c>
      <c r="E40" s="16">
        <v>0.2246175</v>
      </c>
      <c r="F40" s="16">
        <v>6.1205299999999997E-2</v>
      </c>
      <c r="G40" s="16">
        <v>0.11539339999999999</v>
      </c>
      <c r="H40" s="16">
        <v>0.3295401</v>
      </c>
      <c r="J40">
        <f t="shared" si="0"/>
        <v>0.2246175</v>
      </c>
      <c r="K40">
        <f t="shared" si="0"/>
        <v>6.1205299999999997E-2</v>
      </c>
      <c r="M40" t="str">
        <f t="shared" si="1"/>
        <v>0.22 (0.06)</v>
      </c>
    </row>
    <row r="41" spans="1:13" ht="17.25" thickBot="1" x14ac:dyDescent="0.35">
      <c r="A41" s="8"/>
      <c r="B41" s="12"/>
      <c r="C41" s="15" t="s">
        <v>116</v>
      </c>
      <c r="D41" s="16">
        <v>17578</v>
      </c>
      <c r="E41" s="16">
        <v>33.368402799999998</v>
      </c>
      <c r="F41" s="16">
        <v>5.1274088000000004</v>
      </c>
      <c r="G41" s="16">
        <v>17.2447458</v>
      </c>
      <c r="H41" s="16">
        <v>93.063441699999998</v>
      </c>
      <c r="J41">
        <f t="shared" si="0"/>
        <v>33.368402799999998</v>
      </c>
      <c r="K41">
        <f t="shared" si="0"/>
        <v>5.1274088000000004</v>
      </c>
      <c r="M41" t="str">
        <f t="shared" si="1"/>
        <v>33.37 (5.13)</v>
      </c>
    </row>
    <row r="42" spans="1:13" x14ac:dyDescent="0.3">
      <c r="A42" s="8">
        <v>3</v>
      </c>
      <c r="B42" s="12">
        <v>17569</v>
      </c>
      <c r="C42" s="14" t="s">
        <v>98</v>
      </c>
      <c r="D42" s="16">
        <v>17569</v>
      </c>
      <c r="E42" s="16">
        <v>51.994991200000001</v>
      </c>
      <c r="F42" s="16">
        <v>15.7558132</v>
      </c>
      <c r="G42" s="16">
        <v>19</v>
      </c>
      <c r="H42" s="16">
        <v>80</v>
      </c>
      <c r="J42">
        <f t="shared" si="0"/>
        <v>51.994991200000001</v>
      </c>
      <c r="K42">
        <f t="shared" si="0"/>
        <v>15.7558132</v>
      </c>
      <c r="M42" t="str">
        <f t="shared" si="1"/>
        <v>51.99 (15.76)</v>
      </c>
    </row>
    <row r="43" spans="1:13" x14ac:dyDescent="0.3">
      <c r="A43" s="8"/>
      <c r="B43" s="12"/>
      <c r="C43" s="14" t="s">
        <v>99</v>
      </c>
      <c r="D43" s="16">
        <v>17569</v>
      </c>
      <c r="E43" s="16">
        <v>24.5301279</v>
      </c>
      <c r="F43" s="16">
        <v>3.3752247</v>
      </c>
      <c r="G43" s="16">
        <v>14.446396</v>
      </c>
      <c r="H43" s="16">
        <v>50.898579099999999</v>
      </c>
      <c r="J43">
        <f t="shared" si="0"/>
        <v>24.5301279</v>
      </c>
      <c r="K43">
        <f t="shared" si="0"/>
        <v>3.3752247</v>
      </c>
      <c r="M43" t="str">
        <f t="shared" si="1"/>
        <v>24.53 (3.38)</v>
      </c>
    </row>
    <row r="44" spans="1:13" x14ac:dyDescent="0.3">
      <c r="A44" s="8"/>
      <c r="B44" s="12"/>
      <c r="C44" s="14" t="s">
        <v>100</v>
      </c>
      <c r="D44" s="16">
        <v>17569</v>
      </c>
      <c r="E44" s="16">
        <v>84.758033999999995</v>
      </c>
      <c r="F44" s="16">
        <v>9.3583409999999994</v>
      </c>
      <c r="G44" s="16">
        <v>36.200000000000003</v>
      </c>
      <c r="H44" s="16">
        <v>147.5</v>
      </c>
      <c r="J44">
        <f t="shared" si="0"/>
        <v>84.758033999999995</v>
      </c>
      <c r="K44">
        <f t="shared" si="0"/>
        <v>9.3583409999999994</v>
      </c>
      <c r="M44" t="str">
        <f t="shared" si="1"/>
        <v>84.76 (9.36)</v>
      </c>
    </row>
    <row r="45" spans="1:13" x14ac:dyDescent="0.3">
      <c r="A45" s="8"/>
      <c r="B45" s="12"/>
      <c r="C45" s="14" t="s">
        <v>101</v>
      </c>
      <c r="D45" s="16">
        <v>17569</v>
      </c>
      <c r="E45" s="16">
        <v>7.8583899999999998E-2</v>
      </c>
      <c r="F45" s="16">
        <v>4.4641999999999998E-3</v>
      </c>
      <c r="G45" s="16">
        <v>4.5616799999999999E-2</v>
      </c>
      <c r="H45" s="16">
        <v>0.100623</v>
      </c>
      <c r="J45">
        <f t="shared" si="0"/>
        <v>7.8583899999999998E-2</v>
      </c>
      <c r="K45">
        <f t="shared" si="0"/>
        <v>4.4641999999999998E-3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17569</v>
      </c>
      <c r="E46" s="16">
        <v>120.82668339999999</v>
      </c>
      <c r="F46" s="16">
        <v>16.319393900000001</v>
      </c>
      <c r="G46" s="16">
        <v>70</v>
      </c>
      <c r="H46" s="16">
        <v>220</v>
      </c>
      <c r="J46">
        <f t="shared" si="0"/>
        <v>120.82668339999999</v>
      </c>
      <c r="K46">
        <f t="shared" si="0"/>
        <v>16.319393900000001</v>
      </c>
      <c r="M46" t="str">
        <f t="shared" si="1"/>
        <v>120.83 (16.32)</v>
      </c>
    </row>
    <row r="47" spans="1:13" x14ac:dyDescent="0.3">
      <c r="A47" s="8"/>
      <c r="B47" s="12"/>
      <c r="C47" s="14" t="s">
        <v>103</v>
      </c>
      <c r="D47" s="16">
        <v>17569</v>
      </c>
      <c r="E47" s="16">
        <v>101.4531277</v>
      </c>
      <c r="F47" s="16">
        <v>22.960942899999999</v>
      </c>
      <c r="G47" s="16">
        <v>40</v>
      </c>
      <c r="H47" s="16">
        <v>465</v>
      </c>
      <c r="J47">
        <f t="shared" si="0"/>
        <v>101.4531277</v>
      </c>
      <c r="K47">
        <f t="shared" si="0"/>
        <v>22.960942899999999</v>
      </c>
      <c r="M47" t="str">
        <f t="shared" si="1"/>
        <v>101.45 (22.96)</v>
      </c>
    </row>
    <row r="48" spans="1:13" x14ac:dyDescent="0.3">
      <c r="A48" s="8"/>
      <c r="B48" s="12"/>
      <c r="C48" s="14" t="s">
        <v>104</v>
      </c>
      <c r="D48" s="16">
        <v>17569</v>
      </c>
      <c r="E48" s="16">
        <v>190.82611420000001</v>
      </c>
      <c r="F48" s="16">
        <v>37.383131300000002</v>
      </c>
      <c r="G48" s="16">
        <v>68</v>
      </c>
      <c r="H48" s="16">
        <v>407</v>
      </c>
      <c r="J48">
        <f t="shared" si="0"/>
        <v>190.82611420000001</v>
      </c>
      <c r="K48">
        <f t="shared" si="0"/>
        <v>37.383131300000002</v>
      </c>
      <c r="M48" t="str">
        <f t="shared" si="1"/>
        <v>190.83 (37.38)</v>
      </c>
    </row>
    <row r="49" spans="1:13" ht="25.5" x14ac:dyDescent="0.3">
      <c r="A49" s="8"/>
      <c r="B49" s="12"/>
      <c r="C49" s="14" t="s">
        <v>105</v>
      </c>
      <c r="D49" s="16">
        <v>17569</v>
      </c>
      <c r="E49" s="16">
        <v>47.2730034</v>
      </c>
      <c r="F49" s="16">
        <v>8.2855270999999995</v>
      </c>
      <c r="G49" s="16">
        <v>13.997999999999999</v>
      </c>
      <c r="H49" s="16">
        <v>105</v>
      </c>
      <c r="J49">
        <f t="shared" si="0"/>
        <v>47.2730034</v>
      </c>
      <c r="K49">
        <f t="shared" si="0"/>
        <v>8.2855270999999995</v>
      </c>
      <c r="M49" t="str">
        <f t="shared" si="1"/>
        <v>47.27 (8.29)</v>
      </c>
    </row>
    <row r="50" spans="1:13" x14ac:dyDescent="0.3">
      <c r="A50" s="8"/>
      <c r="B50" s="12"/>
      <c r="C50" s="14" t="s">
        <v>106</v>
      </c>
      <c r="D50" s="16">
        <v>17569</v>
      </c>
      <c r="E50" s="16">
        <v>130.5179578</v>
      </c>
      <c r="F50" s="16">
        <v>27.0789641</v>
      </c>
      <c r="G50" s="16">
        <v>39</v>
      </c>
      <c r="H50" s="16">
        <v>280</v>
      </c>
      <c r="J50">
        <f t="shared" si="0"/>
        <v>130.5179578</v>
      </c>
      <c r="K50">
        <f t="shared" si="0"/>
        <v>27.0789641</v>
      </c>
      <c r="M50" t="str">
        <f t="shared" si="1"/>
        <v>130.52 (27.08)</v>
      </c>
    </row>
    <row r="51" spans="1:13" x14ac:dyDescent="0.3">
      <c r="A51" s="8"/>
      <c r="B51" s="12"/>
      <c r="C51" s="14" t="s">
        <v>107</v>
      </c>
      <c r="D51" s="16">
        <v>17569</v>
      </c>
      <c r="E51" s="16">
        <v>23.592350199999998</v>
      </c>
      <c r="F51" s="16">
        <v>12.6404595</v>
      </c>
      <c r="G51" s="16">
        <v>7</v>
      </c>
      <c r="H51" s="16">
        <v>491</v>
      </c>
      <c r="J51">
        <f t="shared" si="0"/>
        <v>23.592350199999998</v>
      </c>
      <c r="K51">
        <f t="shared" si="0"/>
        <v>12.6404595</v>
      </c>
      <c r="M51" t="str">
        <f t="shared" si="1"/>
        <v>23.59 (12.64)</v>
      </c>
    </row>
    <row r="52" spans="1:13" x14ac:dyDescent="0.3">
      <c r="A52" s="8"/>
      <c r="B52" s="12"/>
      <c r="C52" s="14" t="s">
        <v>108</v>
      </c>
      <c r="D52" s="16">
        <v>17569</v>
      </c>
      <c r="E52" s="16">
        <v>23.781717799999999</v>
      </c>
      <c r="F52" s="16">
        <v>18.816379000000001</v>
      </c>
      <c r="G52" s="16">
        <v>2</v>
      </c>
      <c r="H52" s="16">
        <v>857</v>
      </c>
      <c r="J52">
        <f t="shared" si="0"/>
        <v>23.781717799999999</v>
      </c>
      <c r="K52">
        <f t="shared" si="0"/>
        <v>18.816379000000001</v>
      </c>
      <c r="M52" t="str">
        <f t="shared" si="1"/>
        <v>23.78 (18.82)</v>
      </c>
    </row>
    <row r="53" spans="1:13" x14ac:dyDescent="0.3">
      <c r="A53" s="8"/>
      <c r="B53" s="12"/>
      <c r="C53" s="14" t="s">
        <v>109</v>
      </c>
      <c r="D53" s="16">
        <v>17569</v>
      </c>
      <c r="E53" s="16">
        <v>14.2608003</v>
      </c>
      <c r="F53" s="16">
        <v>1.5526384</v>
      </c>
      <c r="G53" s="16">
        <v>3.9</v>
      </c>
      <c r="H53" s="16">
        <v>21.3</v>
      </c>
      <c r="J53">
        <f t="shared" si="0"/>
        <v>14.2608003</v>
      </c>
      <c r="K53">
        <f t="shared" si="0"/>
        <v>1.5526384</v>
      </c>
      <c r="M53" t="str">
        <f t="shared" si="1"/>
        <v>14.26 (1.55)</v>
      </c>
    </row>
    <row r="54" spans="1:13" x14ac:dyDescent="0.3">
      <c r="A54" s="8"/>
      <c r="B54" s="12"/>
      <c r="C54" s="14" t="s">
        <v>110</v>
      </c>
      <c r="D54" s="16">
        <v>17569</v>
      </c>
      <c r="E54" s="16">
        <v>14.7458706</v>
      </c>
      <c r="F54" s="16">
        <v>4.5650309</v>
      </c>
      <c r="G54" s="16">
        <v>4</v>
      </c>
      <c r="H54" s="16">
        <v>115</v>
      </c>
      <c r="J54">
        <f t="shared" si="0"/>
        <v>14.7458706</v>
      </c>
      <c r="K54">
        <f t="shared" si="0"/>
        <v>4.5650309</v>
      </c>
      <c r="M54" t="str">
        <f t="shared" si="1"/>
        <v>14.75 (4.57)</v>
      </c>
    </row>
    <row r="55" spans="1:13" x14ac:dyDescent="0.3">
      <c r="A55" s="8"/>
      <c r="B55" s="12"/>
      <c r="C55" s="14" t="s">
        <v>111</v>
      </c>
      <c r="D55" s="16">
        <v>17569</v>
      </c>
      <c r="E55" s="16">
        <v>0.85918490000000003</v>
      </c>
      <c r="F55" s="16">
        <v>0.24336050000000001</v>
      </c>
      <c r="G55" s="16">
        <v>0.4</v>
      </c>
      <c r="H55" s="16">
        <v>11.33</v>
      </c>
      <c r="J55">
        <f t="shared" si="0"/>
        <v>0.85918490000000003</v>
      </c>
      <c r="K55">
        <f t="shared" si="0"/>
        <v>0.24336050000000001</v>
      </c>
      <c r="M55" t="str">
        <f t="shared" si="1"/>
        <v>0.86 (0.24)</v>
      </c>
    </row>
    <row r="56" spans="1:13" x14ac:dyDescent="0.3">
      <c r="A56" s="8"/>
      <c r="B56" s="12"/>
      <c r="C56" s="14" t="s">
        <v>112</v>
      </c>
      <c r="D56" s="16">
        <v>17569</v>
      </c>
      <c r="E56" s="16">
        <v>5.7786441999999996</v>
      </c>
      <c r="F56" s="16">
        <v>0.80504039999999999</v>
      </c>
      <c r="G56" s="16">
        <v>5</v>
      </c>
      <c r="H56" s="16">
        <v>9</v>
      </c>
      <c r="J56">
        <f t="shared" si="0"/>
        <v>5.7786441999999996</v>
      </c>
      <c r="K56">
        <f t="shared" si="0"/>
        <v>0.80504039999999999</v>
      </c>
      <c r="M56" t="str">
        <f t="shared" si="1"/>
        <v>5.78 (0.81)</v>
      </c>
    </row>
    <row r="57" spans="1:13" x14ac:dyDescent="0.3">
      <c r="A57" s="8"/>
      <c r="B57" s="12"/>
      <c r="C57" s="14" t="s">
        <v>113</v>
      </c>
      <c r="D57" s="16">
        <v>17569</v>
      </c>
      <c r="E57" s="16">
        <v>8.7589214999999996</v>
      </c>
      <c r="F57" s="16">
        <v>0.27810889999999999</v>
      </c>
      <c r="G57" s="16">
        <v>7.5242914000000001</v>
      </c>
      <c r="H57" s="16">
        <v>10.618053700000001</v>
      </c>
      <c r="J57">
        <f t="shared" si="0"/>
        <v>8.7589214999999996</v>
      </c>
      <c r="K57">
        <f t="shared" si="0"/>
        <v>0.27810889999999999</v>
      </c>
      <c r="M57" t="str">
        <f t="shared" si="1"/>
        <v>8.76 (0.28)</v>
      </c>
    </row>
    <row r="58" spans="1:13" x14ac:dyDescent="0.3">
      <c r="A58" s="8"/>
      <c r="B58" s="12"/>
      <c r="C58" s="14" t="s">
        <v>114</v>
      </c>
      <c r="D58" s="16">
        <v>17569</v>
      </c>
      <c r="E58" s="16">
        <v>0.6884962</v>
      </c>
      <c r="F58" s="16">
        <v>4.7652600000000003E-2</v>
      </c>
      <c r="G58" s="16">
        <v>0.40120869999999997</v>
      </c>
      <c r="H58" s="16">
        <v>0.91717099999999996</v>
      </c>
      <c r="J58">
        <f t="shared" si="0"/>
        <v>0.6884962</v>
      </c>
      <c r="K58">
        <f t="shared" si="0"/>
        <v>4.7652600000000003E-2</v>
      </c>
      <c r="M58" t="str">
        <f t="shared" si="1"/>
        <v>0.69 (0.05)</v>
      </c>
    </row>
    <row r="59" spans="1:13" x14ac:dyDescent="0.3">
      <c r="A59" s="8"/>
      <c r="B59" s="12"/>
      <c r="C59" s="14" t="s">
        <v>115</v>
      </c>
      <c r="D59" s="16">
        <v>17569</v>
      </c>
      <c r="E59" s="16">
        <v>0.4384672</v>
      </c>
      <c r="F59" s="16">
        <v>6.5101699999999998E-2</v>
      </c>
      <c r="G59" s="16">
        <v>0.32956380000000002</v>
      </c>
      <c r="H59" s="16">
        <v>0.55635639999999997</v>
      </c>
      <c r="J59">
        <f t="shared" si="0"/>
        <v>0.4384672</v>
      </c>
      <c r="K59">
        <f t="shared" si="0"/>
        <v>6.5101699999999998E-2</v>
      </c>
      <c r="M59" t="str">
        <f t="shared" si="1"/>
        <v>0.44 (0.07)</v>
      </c>
    </row>
    <row r="60" spans="1:13" ht="17.25" thickBot="1" x14ac:dyDescent="0.35">
      <c r="A60" s="8"/>
      <c r="B60" s="12"/>
      <c r="C60" s="15" t="s">
        <v>116</v>
      </c>
      <c r="D60" s="16">
        <v>17569</v>
      </c>
      <c r="E60" s="16">
        <v>37.118332899999999</v>
      </c>
      <c r="F60" s="16">
        <v>5.5466752000000001</v>
      </c>
      <c r="G60" s="16">
        <v>20.2341506</v>
      </c>
      <c r="H60" s="16">
        <v>83.951480799999999</v>
      </c>
      <c r="J60">
        <f t="shared" si="0"/>
        <v>37.118332899999999</v>
      </c>
      <c r="K60">
        <f t="shared" si="0"/>
        <v>5.5466752000000001</v>
      </c>
      <c r="M60" t="str">
        <f t="shared" si="1"/>
        <v>37.12 (5.55)</v>
      </c>
    </row>
    <row r="61" spans="1:13" x14ac:dyDescent="0.3">
      <c r="A61" s="8">
        <v>4</v>
      </c>
      <c r="B61" s="12">
        <v>17569</v>
      </c>
      <c r="C61" s="14" t="s">
        <v>98</v>
      </c>
      <c r="D61" s="16">
        <v>17569</v>
      </c>
      <c r="E61" s="16">
        <v>52.167055599999998</v>
      </c>
      <c r="F61" s="16">
        <v>14.5562056</v>
      </c>
      <c r="G61" s="16">
        <v>19</v>
      </c>
      <c r="H61" s="16">
        <v>80</v>
      </c>
      <c r="J61">
        <f t="shared" si="0"/>
        <v>52.167055599999998</v>
      </c>
      <c r="K61">
        <f t="shared" si="0"/>
        <v>14.5562056</v>
      </c>
      <c r="M61" t="str">
        <f t="shared" si="1"/>
        <v>52.17 (14.56)</v>
      </c>
    </row>
    <row r="62" spans="1:13" x14ac:dyDescent="0.3">
      <c r="A62" s="8"/>
      <c r="B62" s="12"/>
      <c r="C62" s="14" t="s">
        <v>99</v>
      </c>
      <c r="D62" s="16">
        <v>17569</v>
      </c>
      <c r="E62" s="16">
        <v>25.468495099999998</v>
      </c>
      <c r="F62" s="16">
        <v>3.3256508999999999</v>
      </c>
      <c r="G62" s="16">
        <v>14.9232026</v>
      </c>
      <c r="H62" s="16">
        <v>48.054904200000003</v>
      </c>
      <c r="J62">
        <f t="shared" si="0"/>
        <v>25.468495099999998</v>
      </c>
      <c r="K62">
        <f t="shared" si="0"/>
        <v>3.3256508999999999</v>
      </c>
      <c r="M62" t="str">
        <f t="shared" si="1"/>
        <v>25.47 (3.33)</v>
      </c>
    </row>
    <row r="63" spans="1:13" x14ac:dyDescent="0.3">
      <c r="A63" s="8"/>
      <c r="B63" s="12"/>
      <c r="C63" s="14" t="s">
        <v>100</v>
      </c>
      <c r="D63" s="16">
        <v>17569</v>
      </c>
      <c r="E63" s="16">
        <v>88.056872900000002</v>
      </c>
      <c r="F63" s="16">
        <v>8.7623827999999992</v>
      </c>
      <c r="G63" s="16">
        <v>52.3</v>
      </c>
      <c r="H63" s="16">
        <v>139.69999999999999</v>
      </c>
      <c r="J63">
        <f t="shared" si="0"/>
        <v>88.056872900000002</v>
      </c>
      <c r="K63">
        <f t="shared" si="0"/>
        <v>8.7623827999999992</v>
      </c>
      <c r="M63" t="str">
        <f t="shared" si="1"/>
        <v>88.06 (8.76)</v>
      </c>
    </row>
    <row r="64" spans="1:13" x14ac:dyDescent="0.3">
      <c r="A64" s="8"/>
      <c r="B64" s="12"/>
      <c r="C64" s="14" t="s">
        <v>101</v>
      </c>
      <c r="D64" s="16">
        <v>17569</v>
      </c>
      <c r="E64" s="16">
        <v>7.9278399999999999E-2</v>
      </c>
      <c r="F64" s="16">
        <v>4.1789000000000001E-3</v>
      </c>
      <c r="G64" s="16">
        <v>4.8055199999999999E-2</v>
      </c>
      <c r="H64" s="16">
        <v>0.1020525</v>
      </c>
      <c r="J64">
        <f t="shared" si="0"/>
        <v>7.9278399999999999E-2</v>
      </c>
      <c r="K64">
        <f t="shared" si="0"/>
        <v>4.1789000000000001E-3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17569</v>
      </c>
      <c r="E65" s="16">
        <v>123.2580682</v>
      </c>
      <c r="F65" s="16">
        <v>16.004337799999998</v>
      </c>
      <c r="G65" s="16">
        <v>77</v>
      </c>
      <c r="H65" s="16">
        <v>243</v>
      </c>
      <c r="J65">
        <f t="shared" si="0"/>
        <v>123.2580682</v>
      </c>
      <c r="K65">
        <f t="shared" si="0"/>
        <v>16.004337799999998</v>
      </c>
      <c r="M65" t="str">
        <f t="shared" si="1"/>
        <v>123.26 (16.00)</v>
      </c>
    </row>
    <row r="66" spans="1:13" x14ac:dyDescent="0.3">
      <c r="A66" s="8"/>
      <c r="B66" s="12"/>
      <c r="C66" s="14" t="s">
        <v>103</v>
      </c>
      <c r="D66" s="16">
        <v>17569</v>
      </c>
      <c r="E66" s="16">
        <v>107.0684729</v>
      </c>
      <c r="F66" s="16">
        <v>28.9961454</v>
      </c>
      <c r="G66" s="16">
        <v>46</v>
      </c>
      <c r="H66" s="16">
        <v>553</v>
      </c>
      <c r="J66">
        <f t="shared" si="0"/>
        <v>107.0684729</v>
      </c>
      <c r="K66">
        <f t="shared" si="0"/>
        <v>28.9961454</v>
      </c>
      <c r="M66" t="str">
        <f t="shared" si="1"/>
        <v>107.07 (29.00)</v>
      </c>
    </row>
    <row r="67" spans="1:13" x14ac:dyDescent="0.3">
      <c r="A67" s="8"/>
      <c r="B67" s="12"/>
      <c r="C67" s="14" t="s">
        <v>104</v>
      </c>
      <c r="D67" s="16">
        <v>17569</v>
      </c>
      <c r="E67" s="16">
        <v>199.46604819999999</v>
      </c>
      <c r="F67" s="16">
        <v>39.805177899999997</v>
      </c>
      <c r="G67" s="16">
        <v>66</v>
      </c>
      <c r="H67" s="16">
        <v>554</v>
      </c>
      <c r="J67">
        <f t="shared" si="0"/>
        <v>199.46604819999999</v>
      </c>
      <c r="K67">
        <f t="shared" si="0"/>
        <v>39.805177899999997</v>
      </c>
      <c r="M67" t="str">
        <f t="shared" si="1"/>
        <v>199.47 (39.81)</v>
      </c>
    </row>
    <row r="68" spans="1:13" ht="25.5" x14ac:dyDescent="0.3">
      <c r="A68" s="8"/>
      <c r="B68" s="12"/>
      <c r="C68" s="14" t="s">
        <v>105</v>
      </c>
      <c r="D68" s="16">
        <v>17569</v>
      </c>
      <c r="E68" s="16">
        <v>40.241456900000003</v>
      </c>
      <c r="F68" s="16">
        <v>7.5481056999999998</v>
      </c>
      <c r="G68" s="16">
        <v>5.9180000000000001</v>
      </c>
      <c r="H68" s="16">
        <v>87.727999999999994</v>
      </c>
      <c r="J68">
        <f t="shared" si="0"/>
        <v>40.241456900000003</v>
      </c>
      <c r="K68">
        <f t="shared" si="0"/>
        <v>7.5481056999999998</v>
      </c>
      <c r="M68" t="str">
        <f t="shared" si="1"/>
        <v>40.24 (7.55)</v>
      </c>
    </row>
    <row r="69" spans="1:13" x14ac:dyDescent="0.3">
      <c r="A69" s="8"/>
      <c r="B69" s="12"/>
      <c r="C69" s="14" t="s">
        <v>106</v>
      </c>
      <c r="D69" s="16">
        <v>17569</v>
      </c>
      <c r="E69" s="16">
        <v>257.29051170000002</v>
      </c>
      <c r="F69" s="16">
        <v>156.00839590000001</v>
      </c>
      <c r="G69" s="16">
        <v>68</v>
      </c>
      <c r="H69" s="16">
        <v>2774</v>
      </c>
      <c r="J69">
        <f t="shared" ref="J69:K79" si="2">E69</f>
        <v>257.29051170000002</v>
      </c>
      <c r="K69">
        <f t="shared" si="2"/>
        <v>156.00839590000001</v>
      </c>
      <c r="M69" t="str">
        <f t="shared" ref="M69:M79" si="3">TEXT(J69,"0.00")&amp;" ("&amp;TEXT(K69,"0.00")&amp;")"</f>
        <v>257.29 (156.01)</v>
      </c>
    </row>
    <row r="70" spans="1:13" x14ac:dyDescent="0.3">
      <c r="A70" s="8"/>
      <c r="B70" s="12"/>
      <c r="C70" s="14" t="s">
        <v>107</v>
      </c>
      <c r="D70" s="16">
        <v>17569</v>
      </c>
      <c r="E70" s="16">
        <v>26.555523900000001</v>
      </c>
      <c r="F70" s="16">
        <v>18.3666768</v>
      </c>
      <c r="G70" s="16">
        <v>6</v>
      </c>
      <c r="H70" s="16">
        <v>927</v>
      </c>
      <c r="J70">
        <f t="shared" si="2"/>
        <v>26.555523900000001</v>
      </c>
      <c r="K70">
        <f t="shared" si="2"/>
        <v>18.3666768</v>
      </c>
      <c r="M70" t="str">
        <f t="shared" si="3"/>
        <v>26.56 (18.37)</v>
      </c>
    </row>
    <row r="71" spans="1:13" x14ac:dyDescent="0.3">
      <c r="A71" s="8"/>
      <c r="B71" s="12"/>
      <c r="C71" s="14" t="s">
        <v>108</v>
      </c>
      <c r="D71" s="16">
        <v>17569</v>
      </c>
      <c r="E71" s="16">
        <v>29.6762479</v>
      </c>
      <c r="F71" s="16">
        <v>22.047370600000001</v>
      </c>
      <c r="G71" s="16">
        <v>4</v>
      </c>
      <c r="H71" s="16">
        <v>402</v>
      </c>
      <c r="J71">
        <f t="shared" si="2"/>
        <v>29.6762479</v>
      </c>
      <c r="K71">
        <f t="shared" si="2"/>
        <v>22.047370600000001</v>
      </c>
      <c r="M71" t="str">
        <f t="shared" si="3"/>
        <v>29.68 (22.05)</v>
      </c>
    </row>
    <row r="72" spans="1:13" x14ac:dyDescent="0.3">
      <c r="A72" s="8"/>
      <c r="B72" s="12"/>
      <c r="C72" s="14" t="s">
        <v>109</v>
      </c>
      <c r="D72" s="16">
        <v>17569</v>
      </c>
      <c r="E72" s="16">
        <v>14.706181300000001</v>
      </c>
      <c r="F72" s="16">
        <v>1.5320853000000001</v>
      </c>
      <c r="G72" s="16">
        <v>6.2</v>
      </c>
      <c r="H72" s="16">
        <v>19.600000000000001</v>
      </c>
      <c r="J72">
        <f t="shared" si="2"/>
        <v>14.706181300000001</v>
      </c>
      <c r="K72">
        <f t="shared" si="2"/>
        <v>1.5320853000000001</v>
      </c>
      <c r="M72" t="str">
        <f t="shared" si="3"/>
        <v>14.71 (1.53)</v>
      </c>
    </row>
    <row r="73" spans="1:13" x14ac:dyDescent="0.3">
      <c r="A73" s="8"/>
      <c r="B73" s="12"/>
      <c r="C73" s="14" t="s">
        <v>110</v>
      </c>
      <c r="D73" s="16">
        <v>17569</v>
      </c>
      <c r="E73" s="16">
        <v>14.6977233</v>
      </c>
      <c r="F73" s="16">
        <v>4.4695724999999999</v>
      </c>
      <c r="G73" s="16">
        <v>3</v>
      </c>
      <c r="H73" s="16">
        <v>77</v>
      </c>
      <c r="J73">
        <f t="shared" si="2"/>
        <v>14.6977233</v>
      </c>
      <c r="K73">
        <f t="shared" si="2"/>
        <v>4.4695724999999999</v>
      </c>
      <c r="M73" t="str">
        <f t="shared" si="3"/>
        <v>14.70 (4.47)</v>
      </c>
    </row>
    <row r="74" spans="1:13" x14ac:dyDescent="0.3">
      <c r="A74" s="8"/>
      <c r="B74" s="12"/>
      <c r="C74" s="14" t="s">
        <v>111</v>
      </c>
      <c r="D74" s="16">
        <v>17569</v>
      </c>
      <c r="E74" s="16">
        <v>0.89819510000000002</v>
      </c>
      <c r="F74" s="16">
        <v>0.26246619999999998</v>
      </c>
      <c r="G74" s="16">
        <v>0.2</v>
      </c>
      <c r="H74" s="16">
        <v>10.48</v>
      </c>
      <c r="J74">
        <f t="shared" si="2"/>
        <v>0.89819510000000002</v>
      </c>
      <c r="K74">
        <f t="shared" si="2"/>
        <v>0.26246619999999998</v>
      </c>
      <c r="M74" t="str">
        <f t="shared" si="3"/>
        <v>0.90 (0.26)</v>
      </c>
    </row>
    <row r="75" spans="1:13" x14ac:dyDescent="0.3">
      <c r="A75" s="8"/>
      <c r="B75" s="12"/>
      <c r="C75" s="14" t="s">
        <v>112</v>
      </c>
      <c r="D75" s="16">
        <v>17569</v>
      </c>
      <c r="E75" s="16">
        <v>5.6542205000000001</v>
      </c>
      <c r="F75" s="16">
        <v>0.76858760000000004</v>
      </c>
      <c r="G75" s="16">
        <v>5</v>
      </c>
      <c r="H75" s="16">
        <v>9</v>
      </c>
      <c r="J75">
        <f t="shared" si="2"/>
        <v>5.6542205000000001</v>
      </c>
      <c r="K75">
        <f t="shared" si="2"/>
        <v>0.76858760000000004</v>
      </c>
      <c r="M75" t="str">
        <f t="shared" si="3"/>
        <v>5.65 (0.77)</v>
      </c>
    </row>
    <row r="76" spans="1:13" x14ac:dyDescent="0.3">
      <c r="A76" s="8"/>
      <c r="B76" s="12"/>
      <c r="C76" s="14" t="s">
        <v>113</v>
      </c>
      <c r="D76" s="16">
        <v>17569</v>
      </c>
      <c r="E76" s="16">
        <v>9.4052904999999996</v>
      </c>
      <c r="F76" s="16">
        <v>0.4758406</v>
      </c>
      <c r="G76" s="16">
        <v>8.1659320999999991</v>
      </c>
      <c r="H76" s="16">
        <v>12.7290689</v>
      </c>
      <c r="J76">
        <f t="shared" si="2"/>
        <v>9.4052904999999996</v>
      </c>
      <c r="K76">
        <f t="shared" si="2"/>
        <v>0.4758406</v>
      </c>
      <c r="M76" t="str">
        <f t="shared" si="3"/>
        <v>9.41 (0.48)</v>
      </c>
    </row>
    <row r="77" spans="1:13" x14ac:dyDescent="0.3">
      <c r="A77" s="8"/>
      <c r="B77" s="12"/>
      <c r="C77" s="14" t="s">
        <v>114</v>
      </c>
      <c r="D77" s="16">
        <v>17569</v>
      </c>
      <c r="E77" s="16">
        <v>0.74578359999999999</v>
      </c>
      <c r="F77" s="16">
        <v>5.6485800000000003E-2</v>
      </c>
      <c r="G77" s="16">
        <v>0.45287640000000001</v>
      </c>
      <c r="H77" s="16">
        <v>1.0740016999999999</v>
      </c>
      <c r="J77">
        <f t="shared" si="2"/>
        <v>0.74578359999999999</v>
      </c>
      <c r="K77">
        <f t="shared" si="2"/>
        <v>5.6485800000000003E-2</v>
      </c>
      <c r="M77" t="str">
        <f t="shared" si="3"/>
        <v>0.75 (0.06)</v>
      </c>
    </row>
    <row r="78" spans="1:13" x14ac:dyDescent="0.3">
      <c r="A78" s="8"/>
      <c r="B78" s="12"/>
      <c r="C78" s="14" t="s">
        <v>115</v>
      </c>
      <c r="D78" s="16">
        <v>17569</v>
      </c>
      <c r="E78" s="16">
        <v>0.77004229999999996</v>
      </c>
      <c r="F78" s="16">
        <v>0.19002849999999999</v>
      </c>
      <c r="G78" s="16">
        <v>0.55635920000000005</v>
      </c>
      <c r="H78" s="16">
        <v>2.1147776999999999</v>
      </c>
      <c r="J78">
        <f t="shared" si="2"/>
        <v>0.77004229999999996</v>
      </c>
      <c r="K78">
        <f t="shared" si="2"/>
        <v>0.19002849999999999</v>
      </c>
      <c r="M78" t="str">
        <f t="shared" si="3"/>
        <v>0.77 (0.19)</v>
      </c>
    </row>
    <row r="79" spans="1:13" x14ac:dyDescent="0.3">
      <c r="A79" s="8"/>
      <c r="B79" s="12"/>
      <c r="C79" s="14" t="s">
        <v>116</v>
      </c>
      <c r="D79" s="16">
        <v>17569</v>
      </c>
      <c r="E79" s="16">
        <v>42.4851575</v>
      </c>
      <c r="F79" s="16">
        <v>6.5657306000000002</v>
      </c>
      <c r="G79" s="16">
        <v>23.104423199999999</v>
      </c>
      <c r="H79" s="16">
        <v>92.642493599999995</v>
      </c>
      <c r="J79">
        <f t="shared" si="2"/>
        <v>42.4851575</v>
      </c>
      <c r="K79">
        <f t="shared" si="2"/>
        <v>6.5657306000000002</v>
      </c>
      <c r="M79" t="str">
        <f t="shared" si="3"/>
        <v>42.49 (6.57)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681C0-7630-4AD6-9EA8-8213AE89D7AC}">
  <dimension ref="A1:M79"/>
  <sheetViews>
    <sheetView tabSelected="1" workbookViewId="0">
      <selection activeCell="O9" sqref="O9"/>
    </sheetView>
  </sheetViews>
  <sheetFormatPr defaultRowHeight="16.5" x14ac:dyDescent="0.3"/>
  <cols>
    <col min="13" max="13" width="12.375" bestFit="1" customWidth="1"/>
  </cols>
  <sheetData>
    <row r="1" spans="1:13" x14ac:dyDescent="0.3">
      <c r="A1" s="1" t="s">
        <v>91</v>
      </c>
    </row>
    <row r="2" spans="1:13" ht="17.25" thickBot="1" x14ac:dyDescent="0.35"/>
    <row r="3" spans="1:13" ht="33" x14ac:dyDescent="0.3">
      <c r="A3" s="4" t="s">
        <v>75</v>
      </c>
      <c r="B3" s="5" t="s">
        <v>117</v>
      </c>
      <c r="C3" s="5" t="s">
        <v>92</v>
      </c>
      <c r="D3" s="5" t="s">
        <v>93</v>
      </c>
      <c r="E3" s="5" t="s">
        <v>94</v>
      </c>
      <c r="F3" s="5" t="s">
        <v>95</v>
      </c>
      <c r="G3" s="5" t="s">
        <v>96</v>
      </c>
      <c r="H3" s="5" t="s">
        <v>97</v>
      </c>
    </row>
    <row r="4" spans="1:13" x14ac:dyDescent="0.3">
      <c r="A4" s="8">
        <v>1</v>
      </c>
      <c r="B4" s="12">
        <v>17569</v>
      </c>
      <c r="C4" s="14" t="s">
        <v>98</v>
      </c>
      <c r="D4" s="16">
        <v>17569</v>
      </c>
      <c r="E4" s="16">
        <v>43.273037700000003</v>
      </c>
      <c r="F4" s="16">
        <v>16.3161907</v>
      </c>
      <c r="G4" s="16">
        <v>19</v>
      </c>
      <c r="H4" s="16">
        <v>80</v>
      </c>
      <c r="J4">
        <f>E4</f>
        <v>43.273037700000003</v>
      </c>
      <c r="K4">
        <f>F4</f>
        <v>16.3161907</v>
      </c>
      <c r="M4" t="str">
        <f>TEXT(J4,"0.00")&amp;" ("&amp;TEXT(K4,"0.00")&amp;")"</f>
        <v>43.27 (16.32)</v>
      </c>
    </row>
    <row r="5" spans="1:13" x14ac:dyDescent="0.3">
      <c r="A5" s="8"/>
      <c r="B5" s="12"/>
      <c r="C5" s="14" t="s">
        <v>99</v>
      </c>
      <c r="D5" s="16">
        <v>17569</v>
      </c>
      <c r="E5" s="16">
        <v>20.0923777</v>
      </c>
      <c r="F5" s="16">
        <v>1.6038539999999999</v>
      </c>
      <c r="G5" s="16">
        <v>13.1339583</v>
      </c>
      <c r="H5" s="16">
        <v>25.764810499999999</v>
      </c>
      <c r="J5">
        <f t="shared" ref="J5:K68" si="0">E5</f>
        <v>20.0923777</v>
      </c>
      <c r="K5">
        <f t="shared" si="0"/>
        <v>1.6038539999999999</v>
      </c>
      <c r="M5" t="str">
        <f t="shared" ref="M5:M68" si="1">TEXT(J5,"0.00")&amp;" ("&amp;TEXT(K5,"0.00")&amp;")"</f>
        <v>20.09 (1.60)</v>
      </c>
    </row>
    <row r="6" spans="1:13" x14ac:dyDescent="0.3">
      <c r="A6" s="8"/>
      <c r="B6" s="12"/>
      <c r="C6" s="14" t="s">
        <v>100</v>
      </c>
      <c r="D6" s="16">
        <v>17569</v>
      </c>
      <c r="E6" s="16">
        <v>71.287182000000001</v>
      </c>
      <c r="F6" s="16">
        <v>5.7833382999999996</v>
      </c>
      <c r="G6" s="16">
        <v>36.200000000000003</v>
      </c>
      <c r="H6" s="16">
        <v>104.6</v>
      </c>
      <c r="J6">
        <f t="shared" si="0"/>
        <v>71.287182000000001</v>
      </c>
      <c r="K6">
        <f t="shared" si="0"/>
        <v>5.7833382999999996</v>
      </c>
      <c r="M6" t="str">
        <f t="shared" si="1"/>
        <v>71.29 (5.78)</v>
      </c>
    </row>
    <row r="7" spans="1:13" x14ac:dyDescent="0.3">
      <c r="A7" s="8"/>
      <c r="B7" s="12"/>
      <c r="C7" s="14" t="s">
        <v>101</v>
      </c>
      <c r="D7" s="16">
        <v>17569</v>
      </c>
      <c r="E7" s="16">
        <v>7.5701199999999996E-2</v>
      </c>
      <c r="F7" s="16">
        <v>4.4667999999999999E-3</v>
      </c>
      <c r="G7" s="16">
        <v>4.5616799999999999E-2</v>
      </c>
      <c r="H7" s="16">
        <v>0.1121983</v>
      </c>
      <c r="J7">
        <f t="shared" si="0"/>
        <v>7.5701199999999996E-2</v>
      </c>
      <c r="K7">
        <f t="shared" si="0"/>
        <v>4.4667999999999999E-3</v>
      </c>
      <c r="M7" t="str">
        <f t="shared" si="1"/>
        <v>0.08 (0.00)</v>
      </c>
    </row>
    <row r="8" spans="1:13" x14ac:dyDescent="0.3">
      <c r="A8" s="8"/>
      <c r="B8" s="12"/>
      <c r="C8" s="14" t="s">
        <v>102</v>
      </c>
      <c r="D8" s="16">
        <v>17569</v>
      </c>
      <c r="E8" s="16">
        <v>111.1347829</v>
      </c>
      <c r="F8" s="16">
        <v>15.288300899999999</v>
      </c>
      <c r="G8" s="16">
        <v>75</v>
      </c>
      <c r="H8" s="16">
        <v>217</v>
      </c>
      <c r="J8">
        <f t="shared" si="0"/>
        <v>111.1347829</v>
      </c>
      <c r="K8">
        <f t="shared" si="0"/>
        <v>15.288300899999999</v>
      </c>
      <c r="M8" t="str">
        <f t="shared" si="1"/>
        <v>111.13 (15.29)</v>
      </c>
    </row>
    <row r="9" spans="1:13" x14ac:dyDescent="0.3">
      <c r="A9" s="8"/>
      <c r="B9" s="12"/>
      <c r="C9" s="14" t="s">
        <v>103</v>
      </c>
      <c r="D9" s="16">
        <v>17569</v>
      </c>
      <c r="E9" s="16">
        <v>90.572941</v>
      </c>
      <c r="F9" s="16">
        <v>11.609992999999999</v>
      </c>
      <c r="G9" s="16">
        <v>48</v>
      </c>
      <c r="H9" s="16">
        <v>364</v>
      </c>
      <c r="J9">
        <f t="shared" si="0"/>
        <v>90.572941</v>
      </c>
      <c r="K9">
        <f t="shared" si="0"/>
        <v>11.609992999999999</v>
      </c>
      <c r="M9" t="str">
        <f t="shared" si="1"/>
        <v>90.57 (11.61)</v>
      </c>
    </row>
    <row r="10" spans="1:13" x14ac:dyDescent="0.3">
      <c r="A10" s="8"/>
      <c r="B10" s="12"/>
      <c r="C10" s="14" t="s">
        <v>104</v>
      </c>
      <c r="D10" s="16">
        <v>17569</v>
      </c>
      <c r="E10" s="16">
        <v>184.28988559999999</v>
      </c>
      <c r="F10" s="16">
        <v>33.0231475</v>
      </c>
      <c r="G10" s="16">
        <v>89</v>
      </c>
      <c r="H10" s="16">
        <v>354</v>
      </c>
      <c r="J10">
        <f t="shared" si="0"/>
        <v>184.28988559999999</v>
      </c>
      <c r="K10">
        <f t="shared" si="0"/>
        <v>33.0231475</v>
      </c>
      <c r="M10" t="str">
        <f t="shared" si="1"/>
        <v>184.29 (33.02)</v>
      </c>
    </row>
    <row r="11" spans="1:13" ht="25.5" x14ac:dyDescent="0.3">
      <c r="A11" s="8"/>
      <c r="B11" s="12"/>
      <c r="C11" s="14" t="s">
        <v>105</v>
      </c>
      <c r="D11" s="16">
        <v>17569</v>
      </c>
      <c r="E11" s="16">
        <v>62.241616399999998</v>
      </c>
      <c r="F11" s="16">
        <v>12.5880185</v>
      </c>
      <c r="G11" s="16">
        <v>21.068000000000001</v>
      </c>
      <c r="H11" s="16">
        <v>145.298</v>
      </c>
      <c r="J11">
        <f t="shared" si="0"/>
        <v>62.241616399999998</v>
      </c>
      <c r="K11">
        <f t="shared" si="0"/>
        <v>12.5880185</v>
      </c>
      <c r="M11" t="str">
        <f t="shared" si="1"/>
        <v>62.24 (12.59)</v>
      </c>
    </row>
    <row r="12" spans="1:13" x14ac:dyDescent="0.3">
      <c r="A12" s="8"/>
      <c r="B12" s="12"/>
      <c r="C12" s="14" t="s">
        <v>106</v>
      </c>
      <c r="D12" s="16">
        <v>17569</v>
      </c>
      <c r="E12" s="16">
        <v>76.385736199999997</v>
      </c>
      <c r="F12" s="16">
        <v>36.230343599999998</v>
      </c>
      <c r="G12" s="16">
        <v>11</v>
      </c>
      <c r="H12" s="16">
        <v>808</v>
      </c>
      <c r="J12">
        <f t="shared" si="0"/>
        <v>76.385736199999997</v>
      </c>
      <c r="K12">
        <f t="shared" si="0"/>
        <v>36.230343599999998</v>
      </c>
      <c r="M12" t="str">
        <f t="shared" si="1"/>
        <v>76.39 (36.23)</v>
      </c>
    </row>
    <row r="13" spans="1:13" x14ac:dyDescent="0.3">
      <c r="A13" s="8"/>
      <c r="B13" s="12"/>
      <c r="C13" s="14" t="s">
        <v>107</v>
      </c>
      <c r="D13" s="16">
        <v>17569</v>
      </c>
      <c r="E13" s="16">
        <v>20.868063100000001</v>
      </c>
      <c r="F13" s="16">
        <v>13.0135276</v>
      </c>
      <c r="G13" s="16">
        <v>7</v>
      </c>
      <c r="H13" s="16">
        <v>621</v>
      </c>
      <c r="J13">
        <f t="shared" si="0"/>
        <v>20.868063100000001</v>
      </c>
      <c r="K13">
        <f t="shared" si="0"/>
        <v>13.0135276</v>
      </c>
      <c r="M13" t="str">
        <f t="shared" si="1"/>
        <v>20.87 (13.01)</v>
      </c>
    </row>
    <row r="14" spans="1:13" x14ac:dyDescent="0.3">
      <c r="A14" s="8"/>
      <c r="B14" s="12"/>
      <c r="C14" s="14" t="s">
        <v>108</v>
      </c>
      <c r="D14" s="16">
        <v>17569</v>
      </c>
      <c r="E14" s="16">
        <v>15.872275</v>
      </c>
      <c r="F14" s="16">
        <v>11.6972652</v>
      </c>
      <c r="G14" s="16">
        <v>3</v>
      </c>
      <c r="H14" s="16">
        <v>395</v>
      </c>
      <c r="J14">
        <f t="shared" si="0"/>
        <v>15.872275</v>
      </c>
      <c r="K14">
        <f t="shared" si="0"/>
        <v>11.6972652</v>
      </c>
      <c r="M14" t="str">
        <f t="shared" si="1"/>
        <v>15.87 (11.70)</v>
      </c>
    </row>
    <row r="15" spans="1:13" x14ac:dyDescent="0.3">
      <c r="A15" s="8"/>
      <c r="B15" s="12"/>
      <c r="C15" s="14" t="s">
        <v>109</v>
      </c>
      <c r="D15" s="16">
        <v>17569</v>
      </c>
      <c r="E15" s="16">
        <v>13.478672700000001</v>
      </c>
      <c r="F15" s="16">
        <v>1.4357173000000001</v>
      </c>
      <c r="G15" s="16">
        <v>5.2</v>
      </c>
      <c r="H15" s="16">
        <v>20.399999999999999</v>
      </c>
      <c r="J15">
        <f t="shared" si="0"/>
        <v>13.478672700000001</v>
      </c>
      <c r="K15">
        <f t="shared" si="0"/>
        <v>1.4357173000000001</v>
      </c>
      <c r="M15" t="str">
        <f t="shared" si="1"/>
        <v>13.48 (1.44)</v>
      </c>
    </row>
    <row r="16" spans="1:13" x14ac:dyDescent="0.3">
      <c r="A16" s="8"/>
      <c r="B16" s="12"/>
      <c r="C16" s="14" t="s">
        <v>110</v>
      </c>
      <c r="D16" s="16">
        <v>17569</v>
      </c>
      <c r="E16" s="16">
        <v>13.5770903</v>
      </c>
      <c r="F16" s="16">
        <v>4.3466297999999997</v>
      </c>
      <c r="G16" s="16">
        <v>3</v>
      </c>
      <c r="H16" s="16">
        <v>115</v>
      </c>
      <c r="J16">
        <f t="shared" si="0"/>
        <v>13.5770903</v>
      </c>
      <c r="K16">
        <f t="shared" si="0"/>
        <v>4.3466297999999997</v>
      </c>
      <c r="M16" t="str">
        <f t="shared" si="1"/>
        <v>13.58 (4.35)</v>
      </c>
    </row>
    <row r="17" spans="1:13" x14ac:dyDescent="0.3">
      <c r="A17" s="8"/>
      <c r="B17" s="12"/>
      <c r="C17" s="14" t="s">
        <v>111</v>
      </c>
      <c r="D17" s="16">
        <v>17569</v>
      </c>
      <c r="E17" s="16">
        <v>0.7722483</v>
      </c>
      <c r="F17" s="16">
        <v>0.20057240000000001</v>
      </c>
      <c r="G17" s="16">
        <v>0.36</v>
      </c>
      <c r="H17" s="16">
        <v>11.33</v>
      </c>
      <c r="J17">
        <f t="shared" si="0"/>
        <v>0.7722483</v>
      </c>
      <c r="K17">
        <f t="shared" si="0"/>
        <v>0.20057240000000001</v>
      </c>
      <c r="M17" t="str">
        <f t="shared" si="1"/>
        <v>0.77 (0.20)</v>
      </c>
    </row>
    <row r="18" spans="1:13" x14ac:dyDescent="0.3">
      <c r="A18" s="8"/>
      <c r="B18" s="12"/>
      <c r="C18" s="14" t="s">
        <v>112</v>
      </c>
      <c r="D18" s="16">
        <v>17569</v>
      </c>
      <c r="E18" s="16">
        <v>5.8384086000000002</v>
      </c>
      <c r="F18" s="16">
        <v>0.80309699999999995</v>
      </c>
      <c r="G18" s="16">
        <v>5</v>
      </c>
      <c r="H18" s="16">
        <v>9</v>
      </c>
      <c r="J18">
        <f t="shared" si="0"/>
        <v>5.8384086000000002</v>
      </c>
      <c r="K18">
        <f t="shared" si="0"/>
        <v>0.80309699999999995</v>
      </c>
      <c r="M18" t="str">
        <f t="shared" si="1"/>
        <v>5.84 (0.80)</v>
      </c>
    </row>
    <row r="19" spans="1:13" x14ac:dyDescent="0.3">
      <c r="A19" s="8"/>
      <c r="B19" s="12"/>
      <c r="C19" s="14" t="s">
        <v>113</v>
      </c>
      <c r="D19" s="16">
        <v>17569</v>
      </c>
      <c r="E19" s="16">
        <v>8.0528168999999998</v>
      </c>
      <c r="F19" s="16">
        <v>0.44380649999999999</v>
      </c>
      <c r="G19" s="16">
        <v>5.8944027999999999</v>
      </c>
      <c r="H19" s="16">
        <v>10.6442099</v>
      </c>
      <c r="J19">
        <f t="shared" si="0"/>
        <v>8.0528168999999998</v>
      </c>
      <c r="K19">
        <f t="shared" si="0"/>
        <v>0.44380649999999999</v>
      </c>
      <c r="M19" t="str">
        <f t="shared" si="1"/>
        <v>8.05 (0.44)</v>
      </c>
    </row>
    <row r="20" spans="1:13" x14ac:dyDescent="0.3">
      <c r="A20" s="8"/>
      <c r="B20" s="12"/>
      <c r="C20" s="14" t="s">
        <v>114</v>
      </c>
      <c r="D20" s="16">
        <v>17569</v>
      </c>
      <c r="E20" s="16">
        <v>0.61015470000000005</v>
      </c>
      <c r="F20" s="16">
        <v>5.5936100000000002E-2</v>
      </c>
      <c r="G20" s="16">
        <v>0.40120869999999997</v>
      </c>
      <c r="H20" s="16">
        <v>0.93788660000000001</v>
      </c>
      <c r="J20">
        <f t="shared" si="0"/>
        <v>0.61015470000000005</v>
      </c>
      <c r="K20">
        <f t="shared" si="0"/>
        <v>5.5936100000000002E-2</v>
      </c>
      <c r="M20" t="str">
        <f t="shared" si="1"/>
        <v>0.61 (0.06)</v>
      </c>
    </row>
    <row r="21" spans="1:13" x14ac:dyDescent="0.3">
      <c r="A21" s="8"/>
      <c r="B21" s="12"/>
      <c r="C21" s="14" t="s">
        <v>115</v>
      </c>
      <c r="D21" s="16">
        <v>17569</v>
      </c>
      <c r="E21" s="16">
        <v>5.8611200000000002E-2</v>
      </c>
      <c r="F21" s="16">
        <v>0.21048410000000001</v>
      </c>
      <c r="G21" s="17">
        <v>-0.73762629999999996</v>
      </c>
      <c r="H21" s="16">
        <v>1.2899577</v>
      </c>
      <c r="J21">
        <f t="shared" si="0"/>
        <v>5.8611200000000002E-2</v>
      </c>
      <c r="K21">
        <f t="shared" si="0"/>
        <v>0.21048410000000001</v>
      </c>
      <c r="M21" t="str">
        <f t="shared" si="1"/>
        <v>0.06 (0.21)</v>
      </c>
    </row>
    <row r="22" spans="1:13" ht="17.25" thickBot="1" x14ac:dyDescent="0.35">
      <c r="A22" s="8"/>
      <c r="B22" s="12"/>
      <c r="C22" s="15" t="s">
        <v>116</v>
      </c>
      <c r="D22" s="16">
        <v>17569</v>
      </c>
      <c r="E22" s="16">
        <v>27.094356999999999</v>
      </c>
      <c r="F22" s="16">
        <v>2.2426479000000001</v>
      </c>
      <c r="G22" s="16">
        <v>15.462639899999999</v>
      </c>
      <c r="H22" s="16">
        <v>30.2404349</v>
      </c>
      <c r="J22">
        <f t="shared" si="0"/>
        <v>27.094356999999999</v>
      </c>
      <c r="K22">
        <f t="shared" si="0"/>
        <v>2.2426479000000001</v>
      </c>
      <c r="M22" t="str">
        <f t="shared" si="1"/>
        <v>27.09 (2.24)</v>
      </c>
    </row>
    <row r="23" spans="1:13" x14ac:dyDescent="0.3">
      <c r="A23" s="8">
        <v>2</v>
      </c>
      <c r="B23" s="12">
        <v>17569</v>
      </c>
      <c r="C23" s="14" t="s">
        <v>98</v>
      </c>
      <c r="D23" s="16">
        <v>17569</v>
      </c>
      <c r="E23" s="16">
        <v>49.711651199999999</v>
      </c>
      <c r="F23" s="16">
        <v>16.0084777</v>
      </c>
      <c r="G23" s="16">
        <v>19</v>
      </c>
      <c r="H23" s="16">
        <v>80</v>
      </c>
      <c r="J23">
        <f t="shared" si="0"/>
        <v>49.711651199999999</v>
      </c>
      <c r="K23">
        <f t="shared" si="0"/>
        <v>16.0084777</v>
      </c>
      <c r="M23" t="str">
        <f t="shared" si="1"/>
        <v>49.71 (16.01)</v>
      </c>
    </row>
    <row r="24" spans="1:13" x14ac:dyDescent="0.3">
      <c r="A24" s="8"/>
      <c r="B24" s="12"/>
      <c r="C24" s="14" t="s">
        <v>99</v>
      </c>
      <c r="D24" s="16">
        <v>17569</v>
      </c>
      <c r="E24" s="16">
        <v>22.774156300000001</v>
      </c>
      <c r="F24" s="16">
        <v>1.4348700000000001</v>
      </c>
      <c r="G24" s="16">
        <v>17.532744600000001</v>
      </c>
      <c r="H24" s="16">
        <v>29.064149400000002</v>
      </c>
      <c r="J24">
        <f t="shared" si="0"/>
        <v>22.774156300000001</v>
      </c>
      <c r="K24">
        <f t="shared" si="0"/>
        <v>1.4348700000000001</v>
      </c>
      <c r="M24" t="str">
        <f t="shared" si="1"/>
        <v>22.77 (1.43)</v>
      </c>
    </row>
    <row r="25" spans="1:13" x14ac:dyDescent="0.3">
      <c r="A25" s="8"/>
      <c r="B25" s="12"/>
      <c r="C25" s="14" t="s">
        <v>100</v>
      </c>
      <c r="D25" s="16">
        <v>17569</v>
      </c>
      <c r="E25" s="16">
        <v>79.577585499999998</v>
      </c>
      <c r="F25" s="16">
        <v>5.6766471000000003</v>
      </c>
      <c r="G25" s="16">
        <v>54.2</v>
      </c>
      <c r="H25" s="16">
        <v>104.8</v>
      </c>
      <c r="J25">
        <f t="shared" si="0"/>
        <v>79.577585499999998</v>
      </c>
      <c r="K25">
        <f t="shared" si="0"/>
        <v>5.6766471000000003</v>
      </c>
      <c r="M25" t="str">
        <f t="shared" si="1"/>
        <v>79.58 (5.68)</v>
      </c>
    </row>
    <row r="26" spans="1:13" x14ac:dyDescent="0.3">
      <c r="A26" s="8"/>
      <c r="B26" s="12"/>
      <c r="C26" s="14" t="s">
        <v>101</v>
      </c>
      <c r="D26" s="16">
        <v>17569</v>
      </c>
      <c r="E26" s="16">
        <v>7.7611899999999998E-2</v>
      </c>
      <c r="F26" s="16">
        <v>4.6398000000000003E-3</v>
      </c>
      <c r="G26" s="16">
        <v>5.4297199999999997E-2</v>
      </c>
      <c r="H26" s="16">
        <v>0.1013003</v>
      </c>
      <c r="J26">
        <f t="shared" si="0"/>
        <v>7.7611899999999998E-2</v>
      </c>
      <c r="K26">
        <f t="shared" si="0"/>
        <v>4.6398000000000003E-3</v>
      </c>
      <c r="M26" t="str">
        <f t="shared" si="1"/>
        <v>0.08 (0.00)</v>
      </c>
    </row>
    <row r="27" spans="1:13" x14ac:dyDescent="0.3">
      <c r="A27" s="8"/>
      <c r="B27" s="12"/>
      <c r="C27" s="14" t="s">
        <v>102</v>
      </c>
      <c r="D27" s="16">
        <v>17569</v>
      </c>
      <c r="E27" s="16">
        <v>117.2068701</v>
      </c>
      <c r="F27" s="16">
        <v>16.367630500000001</v>
      </c>
      <c r="G27" s="16">
        <v>70</v>
      </c>
      <c r="H27" s="16">
        <v>243</v>
      </c>
      <c r="J27">
        <f t="shared" si="0"/>
        <v>117.2068701</v>
      </c>
      <c r="K27">
        <f t="shared" si="0"/>
        <v>16.367630500000001</v>
      </c>
      <c r="M27" t="str">
        <f t="shared" si="1"/>
        <v>117.21 (16.37)</v>
      </c>
    </row>
    <row r="28" spans="1:13" x14ac:dyDescent="0.3">
      <c r="A28" s="8"/>
      <c r="B28" s="12"/>
      <c r="C28" s="14" t="s">
        <v>103</v>
      </c>
      <c r="D28" s="16">
        <v>17569</v>
      </c>
      <c r="E28" s="16">
        <v>95.870852099999993</v>
      </c>
      <c r="F28" s="16">
        <v>15.854012900000001</v>
      </c>
      <c r="G28" s="16">
        <v>40</v>
      </c>
      <c r="H28" s="16">
        <v>465</v>
      </c>
      <c r="J28">
        <f t="shared" si="0"/>
        <v>95.870852099999993</v>
      </c>
      <c r="K28">
        <f t="shared" si="0"/>
        <v>15.854012900000001</v>
      </c>
      <c r="M28" t="str">
        <f t="shared" si="1"/>
        <v>95.87 (15.85)</v>
      </c>
    </row>
    <row r="29" spans="1:13" x14ac:dyDescent="0.3">
      <c r="A29" s="8"/>
      <c r="B29" s="12"/>
      <c r="C29" s="14" t="s">
        <v>104</v>
      </c>
      <c r="D29" s="16">
        <v>17569</v>
      </c>
      <c r="E29" s="16">
        <v>189.2054756</v>
      </c>
      <c r="F29" s="16">
        <v>35.890441099999997</v>
      </c>
      <c r="G29" s="16">
        <v>71</v>
      </c>
      <c r="H29" s="16">
        <v>381</v>
      </c>
      <c r="J29">
        <f t="shared" si="0"/>
        <v>189.2054756</v>
      </c>
      <c r="K29">
        <f t="shared" si="0"/>
        <v>35.890441099999997</v>
      </c>
      <c r="M29" t="str">
        <f t="shared" si="1"/>
        <v>189.21 (35.89)</v>
      </c>
    </row>
    <row r="30" spans="1:13" ht="25.5" x14ac:dyDescent="0.3">
      <c r="A30" s="8"/>
      <c r="B30" s="12"/>
      <c r="C30" s="14" t="s">
        <v>105</v>
      </c>
      <c r="D30" s="16">
        <v>17569</v>
      </c>
      <c r="E30" s="16">
        <v>53.244729900000003</v>
      </c>
      <c r="F30" s="16">
        <v>10.1700745</v>
      </c>
      <c r="G30" s="16">
        <v>17.027999999999999</v>
      </c>
      <c r="H30" s="16">
        <v>116.008</v>
      </c>
      <c r="J30">
        <f t="shared" si="0"/>
        <v>53.244729900000003</v>
      </c>
      <c r="K30">
        <f t="shared" si="0"/>
        <v>10.1700745</v>
      </c>
      <c r="M30" t="str">
        <f t="shared" si="1"/>
        <v>53.24 (10.17)</v>
      </c>
    </row>
    <row r="31" spans="1:13" x14ac:dyDescent="0.3">
      <c r="A31" s="8"/>
      <c r="B31" s="12"/>
      <c r="C31" s="14" t="s">
        <v>106</v>
      </c>
      <c r="D31" s="16">
        <v>17569</v>
      </c>
      <c r="E31" s="16">
        <v>103.9912915</v>
      </c>
      <c r="F31" s="16">
        <v>50.779357300000001</v>
      </c>
      <c r="G31" s="16">
        <v>20</v>
      </c>
      <c r="H31" s="16">
        <v>764</v>
      </c>
      <c r="J31">
        <f t="shared" si="0"/>
        <v>103.9912915</v>
      </c>
      <c r="K31">
        <f t="shared" si="0"/>
        <v>50.779357300000001</v>
      </c>
      <c r="M31" t="str">
        <f t="shared" si="1"/>
        <v>103.99 (50.78)</v>
      </c>
    </row>
    <row r="32" spans="1:13" x14ac:dyDescent="0.3">
      <c r="A32" s="8"/>
      <c r="B32" s="12"/>
      <c r="C32" s="14" t="s">
        <v>107</v>
      </c>
      <c r="D32" s="16">
        <v>17569</v>
      </c>
      <c r="E32" s="16">
        <v>22.013831199999998</v>
      </c>
      <c r="F32" s="16">
        <v>12.3032828</v>
      </c>
      <c r="G32" s="16">
        <v>8</v>
      </c>
      <c r="H32" s="16">
        <v>430</v>
      </c>
      <c r="J32">
        <f t="shared" si="0"/>
        <v>22.013831199999998</v>
      </c>
      <c r="K32">
        <f t="shared" si="0"/>
        <v>12.3032828</v>
      </c>
      <c r="M32" t="str">
        <f t="shared" si="1"/>
        <v>22.01 (12.30)</v>
      </c>
    </row>
    <row r="33" spans="1:13" x14ac:dyDescent="0.3">
      <c r="A33" s="8"/>
      <c r="B33" s="12"/>
      <c r="C33" s="14" t="s">
        <v>108</v>
      </c>
      <c r="D33" s="16">
        <v>17569</v>
      </c>
      <c r="E33" s="16">
        <v>19.398429100000001</v>
      </c>
      <c r="F33" s="16">
        <v>16.106655499999999</v>
      </c>
      <c r="G33" s="16">
        <v>1</v>
      </c>
      <c r="H33" s="16">
        <v>768</v>
      </c>
      <c r="J33">
        <f t="shared" si="0"/>
        <v>19.398429100000001</v>
      </c>
      <c r="K33">
        <f t="shared" si="0"/>
        <v>16.106655499999999</v>
      </c>
      <c r="M33" t="str">
        <f t="shared" si="1"/>
        <v>19.40 (16.11)</v>
      </c>
    </row>
    <row r="34" spans="1:13" x14ac:dyDescent="0.3">
      <c r="A34" s="8"/>
      <c r="B34" s="12"/>
      <c r="C34" s="14" t="s">
        <v>109</v>
      </c>
      <c r="D34" s="16">
        <v>17569</v>
      </c>
      <c r="E34" s="16">
        <v>13.9286186</v>
      </c>
      <c r="F34" s="16">
        <v>1.5227881999999999</v>
      </c>
      <c r="G34" s="16">
        <v>5</v>
      </c>
      <c r="H34" s="16">
        <v>20.399999999999999</v>
      </c>
      <c r="J34">
        <f t="shared" si="0"/>
        <v>13.9286186</v>
      </c>
      <c r="K34">
        <f t="shared" si="0"/>
        <v>1.5227881999999999</v>
      </c>
      <c r="M34" t="str">
        <f t="shared" si="1"/>
        <v>13.93 (1.52)</v>
      </c>
    </row>
    <row r="35" spans="1:13" x14ac:dyDescent="0.3">
      <c r="A35" s="8"/>
      <c r="B35" s="12"/>
      <c r="C35" s="14" t="s">
        <v>110</v>
      </c>
      <c r="D35" s="16">
        <v>17569</v>
      </c>
      <c r="E35" s="16">
        <v>14.578075</v>
      </c>
      <c r="F35" s="16">
        <v>4.5036636000000003</v>
      </c>
      <c r="G35" s="16">
        <v>3</v>
      </c>
      <c r="H35" s="16">
        <v>140</v>
      </c>
      <c r="J35">
        <f t="shared" si="0"/>
        <v>14.578075</v>
      </c>
      <c r="K35">
        <f t="shared" si="0"/>
        <v>4.5036636000000003</v>
      </c>
      <c r="M35" t="str">
        <f t="shared" si="1"/>
        <v>14.58 (4.50)</v>
      </c>
    </row>
    <row r="36" spans="1:13" x14ac:dyDescent="0.3">
      <c r="A36" s="8"/>
      <c r="B36" s="12"/>
      <c r="C36" s="14" t="s">
        <v>111</v>
      </c>
      <c r="D36" s="16">
        <v>17569</v>
      </c>
      <c r="E36" s="16">
        <v>0.82331089999999996</v>
      </c>
      <c r="F36" s="16">
        <v>0.23695640000000001</v>
      </c>
      <c r="G36" s="16">
        <v>0.33</v>
      </c>
      <c r="H36" s="16">
        <v>14.38</v>
      </c>
      <c r="J36">
        <f t="shared" si="0"/>
        <v>0.82331089999999996</v>
      </c>
      <c r="K36">
        <f t="shared" si="0"/>
        <v>0.23695640000000001</v>
      </c>
      <c r="M36" t="str">
        <f t="shared" si="1"/>
        <v>0.82 (0.24)</v>
      </c>
    </row>
    <row r="37" spans="1:13" x14ac:dyDescent="0.3">
      <c r="A37" s="8"/>
      <c r="B37" s="12"/>
      <c r="C37" s="14" t="s">
        <v>112</v>
      </c>
      <c r="D37" s="16">
        <v>17569</v>
      </c>
      <c r="E37" s="16">
        <v>5.8394615999999999</v>
      </c>
      <c r="F37" s="16">
        <v>0.82500799999999996</v>
      </c>
      <c r="G37" s="16">
        <v>5</v>
      </c>
      <c r="H37" s="16">
        <v>9</v>
      </c>
      <c r="J37">
        <f t="shared" si="0"/>
        <v>5.8394615999999999</v>
      </c>
      <c r="K37">
        <f t="shared" si="0"/>
        <v>0.82500799999999996</v>
      </c>
      <c r="M37" t="str">
        <f t="shared" si="1"/>
        <v>5.84 (0.83)</v>
      </c>
    </row>
    <row r="38" spans="1:13" x14ac:dyDescent="0.3">
      <c r="A38" s="8"/>
      <c r="B38" s="12"/>
      <c r="C38" s="14" t="s">
        <v>113</v>
      </c>
      <c r="D38" s="16">
        <v>17569</v>
      </c>
      <c r="E38" s="16">
        <v>8.4031947000000002</v>
      </c>
      <c r="F38" s="16">
        <v>0.47522140000000002</v>
      </c>
      <c r="G38" s="16">
        <v>6.7923444000000002</v>
      </c>
      <c r="H38" s="16">
        <v>10.8371073</v>
      </c>
      <c r="J38">
        <f t="shared" si="0"/>
        <v>8.4031947000000002</v>
      </c>
      <c r="K38">
        <f t="shared" si="0"/>
        <v>0.47522140000000002</v>
      </c>
      <c r="M38" t="str">
        <f t="shared" si="1"/>
        <v>8.40 (0.48)</v>
      </c>
    </row>
    <row r="39" spans="1:13" x14ac:dyDescent="0.3">
      <c r="A39" s="8"/>
      <c r="B39" s="12"/>
      <c r="C39" s="14" t="s">
        <v>114</v>
      </c>
      <c r="D39" s="16">
        <v>17569</v>
      </c>
      <c r="E39" s="16">
        <v>0.65274279999999996</v>
      </c>
      <c r="F39" s="16">
        <v>6.01504E-2</v>
      </c>
      <c r="G39" s="16">
        <v>0.44715719999999998</v>
      </c>
      <c r="H39" s="16">
        <v>0.96114219999999995</v>
      </c>
      <c r="J39">
        <f t="shared" si="0"/>
        <v>0.65274279999999996</v>
      </c>
      <c r="K39">
        <f t="shared" si="0"/>
        <v>6.01504E-2</v>
      </c>
      <c r="M39" t="str">
        <f t="shared" si="1"/>
        <v>0.65 (0.06)</v>
      </c>
    </row>
    <row r="40" spans="1:13" x14ac:dyDescent="0.3">
      <c r="A40" s="8"/>
      <c r="B40" s="12"/>
      <c r="C40" s="14" t="s">
        <v>115</v>
      </c>
      <c r="D40" s="16">
        <v>17569</v>
      </c>
      <c r="E40" s="16">
        <v>0.2547102</v>
      </c>
      <c r="F40" s="16">
        <v>0.22025420000000001</v>
      </c>
      <c r="G40" s="17">
        <v>-0.56967670000000004</v>
      </c>
      <c r="H40" s="16">
        <v>1.3033098000000001</v>
      </c>
      <c r="J40">
        <f t="shared" si="0"/>
        <v>0.2547102</v>
      </c>
      <c r="K40">
        <f t="shared" si="0"/>
        <v>0.22025420000000001</v>
      </c>
      <c r="M40" t="str">
        <f t="shared" si="1"/>
        <v>0.25 (0.22)</v>
      </c>
    </row>
    <row r="41" spans="1:13" ht="17.25" thickBot="1" x14ac:dyDescent="0.35">
      <c r="A41" s="8"/>
      <c r="B41" s="12"/>
      <c r="C41" s="15" t="s">
        <v>116</v>
      </c>
      <c r="D41" s="16">
        <v>17569</v>
      </c>
      <c r="E41" s="16">
        <v>32.618635300000001</v>
      </c>
      <c r="F41" s="16">
        <v>1.3363834000000001</v>
      </c>
      <c r="G41" s="16">
        <v>30.240582400000001</v>
      </c>
      <c r="H41" s="16">
        <v>34.898925300000002</v>
      </c>
      <c r="J41">
        <f t="shared" si="0"/>
        <v>32.618635300000001</v>
      </c>
      <c r="K41">
        <f t="shared" si="0"/>
        <v>1.3363834000000001</v>
      </c>
      <c r="M41" t="str">
        <f t="shared" si="1"/>
        <v>32.62 (1.34)</v>
      </c>
    </row>
    <row r="42" spans="1:13" x14ac:dyDescent="0.3">
      <c r="A42" s="8">
        <v>3</v>
      </c>
      <c r="B42" s="12">
        <v>17569</v>
      </c>
      <c r="C42" s="14" t="s">
        <v>98</v>
      </c>
      <c r="D42" s="16">
        <v>17569</v>
      </c>
      <c r="E42" s="16">
        <v>52.999829200000001</v>
      </c>
      <c r="F42" s="16">
        <v>15.2881272</v>
      </c>
      <c r="G42" s="16">
        <v>19</v>
      </c>
      <c r="H42" s="16">
        <v>80</v>
      </c>
      <c r="J42">
        <f t="shared" si="0"/>
        <v>52.999829200000001</v>
      </c>
      <c r="K42">
        <f t="shared" si="0"/>
        <v>15.2881272</v>
      </c>
      <c r="M42" t="str">
        <f t="shared" si="1"/>
        <v>53.00 (15.29)</v>
      </c>
    </row>
    <row r="43" spans="1:13" x14ac:dyDescent="0.3">
      <c r="A43" s="8"/>
      <c r="B43" s="12"/>
      <c r="C43" s="14" t="s">
        <v>99</v>
      </c>
      <c r="D43" s="16">
        <v>17569</v>
      </c>
      <c r="E43" s="16">
        <v>24.736265499999998</v>
      </c>
      <c r="F43" s="16">
        <v>1.6656766000000001</v>
      </c>
      <c r="G43" s="16">
        <v>18.048201299999999</v>
      </c>
      <c r="H43" s="16">
        <v>31.484000999999999</v>
      </c>
      <c r="J43">
        <f t="shared" si="0"/>
        <v>24.736265499999998</v>
      </c>
      <c r="K43">
        <f t="shared" si="0"/>
        <v>1.6656766000000001</v>
      </c>
      <c r="M43" t="str">
        <f t="shared" si="1"/>
        <v>24.74 (1.67)</v>
      </c>
    </row>
    <row r="44" spans="1:13" x14ac:dyDescent="0.3">
      <c r="A44" s="8"/>
      <c r="B44" s="12"/>
      <c r="C44" s="14" t="s">
        <v>100</v>
      </c>
      <c r="D44" s="16">
        <v>17569</v>
      </c>
      <c r="E44" s="16">
        <v>85.513666099999995</v>
      </c>
      <c r="F44" s="16">
        <v>5.9120341999999999</v>
      </c>
      <c r="G44" s="16">
        <v>61.8</v>
      </c>
      <c r="H44" s="16">
        <v>166.1</v>
      </c>
      <c r="J44">
        <f t="shared" si="0"/>
        <v>85.513666099999995</v>
      </c>
      <c r="K44">
        <f t="shared" si="0"/>
        <v>5.9120341999999999</v>
      </c>
      <c r="M44" t="str">
        <f t="shared" si="1"/>
        <v>85.51 (5.91)</v>
      </c>
    </row>
    <row r="45" spans="1:13" x14ac:dyDescent="0.3">
      <c r="A45" s="8"/>
      <c r="B45" s="12"/>
      <c r="C45" s="14" t="s">
        <v>101</v>
      </c>
      <c r="D45" s="16">
        <v>17569</v>
      </c>
      <c r="E45" s="16">
        <v>7.87804E-2</v>
      </c>
      <c r="F45" s="16">
        <v>4.4933000000000004E-3</v>
      </c>
      <c r="G45" s="16">
        <v>5.4819399999999997E-2</v>
      </c>
      <c r="H45" s="16">
        <v>0.15107219999999999</v>
      </c>
      <c r="J45">
        <f t="shared" si="0"/>
        <v>7.87804E-2</v>
      </c>
      <c r="K45">
        <f t="shared" si="0"/>
        <v>4.4933000000000004E-3</v>
      </c>
      <c r="M45" t="str">
        <f t="shared" si="1"/>
        <v>0.08 (0.00)</v>
      </c>
    </row>
    <row r="46" spans="1:13" x14ac:dyDescent="0.3">
      <c r="A46" s="8"/>
      <c r="B46" s="12"/>
      <c r="C46" s="14" t="s">
        <v>102</v>
      </c>
      <c r="D46" s="16">
        <v>17569</v>
      </c>
      <c r="E46" s="16">
        <v>121.4007342</v>
      </c>
      <c r="F46" s="16">
        <v>16.131169100000001</v>
      </c>
      <c r="G46" s="16">
        <v>77</v>
      </c>
      <c r="H46" s="16">
        <v>232</v>
      </c>
      <c r="J46">
        <f t="shared" si="0"/>
        <v>121.4007342</v>
      </c>
      <c r="K46">
        <f t="shared" si="0"/>
        <v>16.131169100000001</v>
      </c>
      <c r="M46" t="str">
        <f t="shared" si="1"/>
        <v>121.40 (16.13)</v>
      </c>
    </row>
    <row r="47" spans="1:13" x14ac:dyDescent="0.3">
      <c r="A47" s="8"/>
      <c r="B47" s="12"/>
      <c r="C47" s="14" t="s">
        <v>103</v>
      </c>
      <c r="D47" s="16">
        <v>17569</v>
      </c>
      <c r="E47" s="16">
        <v>101.45614430000001</v>
      </c>
      <c r="F47" s="16">
        <v>21.339008499999998</v>
      </c>
      <c r="G47" s="16">
        <v>54</v>
      </c>
      <c r="H47" s="16">
        <v>455</v>
      </c>
      <c r="J47">
        <f t="shared" si="0"/>
        <v>101.45614430000001</v>
      </c>
      <c r="K47">
        <f t="shared" si="0"/>
        <v>21.339008499999998</v>
      </c>
      <c r="M47" t="str">
        <f t="shared" si="1"/>
        <v>101.46 (21.34)</v>
      </c>
    </row>
    <row r="48" spans="1:13" x14ac:dyDescent="0.3">
      <c r="A48" s="8"/>
      <c r="B48" s="12"/>
      <c r="C48" s="14" t="s">
        <v>104</v>
      </c>
      <c r="D48" s="16">
        <v>17569</v>
      </c>
      <c r="E48" s="16">
        <v>191.5236496</v>
      </c>
      <c r="F48" s="16">
        <v>38.120453400000002</v>
      </c>
      <c r="G48" s="16">
        <v>72</v>
      </c>
      <c r="H48" s="16">
        <v>457</v>
      </c>
      <c r="J48">
        <f t="shared" si="0"/>
        <v>191.5236496</v>
      </c>
      <c r="K48">
        <f t="shared" si="0"/>
        <v>38.120453400000002</v>
      </c>
      <c r="M48" t="str">
        <f t="shared" si="1"/>
        <v>191.52 (38.12)</v>
      </c>
    </row>
    <row r="49" spans="1:13" ht="25.5" x14ac:dyDescent="0.3">
      <c r="A49" s="8"/>
      <c r="B49" s="12"/>
      <c r="C49" s="14" t="s">
        <v>105</v>
      </c>
      <c r="D49" s="16">
        <v>17569</v>
      </c>
      <c r="E49" s="16">
        <v>47.616088400000002</v>
      </c>
      <c r="F49" s="16">
        <v>9.2541203999999997</v>
      </c>
      <c r="G49" s="16">
        <v>17.027999999999999</v>
      </c>
      <c r="H49" s="16">
        <v>107.928</v>
      </c>
      <c r="J49">
        <f t="shared" si="0"/>
        <v>47.616088400000002</v>
      </c>
      <c r="K49">
        <f t="shared" si="0"/>
        <v>9.2541203999999997</v>
      </c>
      <c r="M49" t="str">
        <f t="shared" si="1"/>
        <v>47.62 (9.25)</v>
      </c>
    </row>
    <row r="50" spans="1:13" x14ac:dyDescent="0.3">
      <c r="A50" s="8"/>
      <c r="B50" s="12"/>
      <c r="C50" s="14" t="s">
        <v>106</v>
      </c>
      <c r="D50" s="16">
        <v>17569</v>
      </c>
      <c r="E50" s="16">
        <v>138.919062</v>
      </c>
      <c r="F50" s="16">
        <v>76.870981700000002</v>
      </c>
      <c r="G50" s="16">
        <v>19</v>
      </c>
      <c r="H50" s="16">
        <v>2259</v>
      </c>
      <c r="J50">
        <f t="shared" si="0"/>
        <v>138.919062</v>
      </c>
      <c r="K50">
        <f t="shared" si="0"/>
        <v>76.870981700000002</v>
      </c>
      <c r="M50" t="str">
        <f t="shared" si="1"/>
        <v>138.92 (76.87)</v>
      </c>
    </row>
    <row r="51" spans="1:13" x14ac:dyDescent="0.3">
      <c r="A51" s="8"/>
      <c r="B51" s="12"/>
      <c r="C51" s="14" t="s">
        <v>107</v>
      </c>
      <c r="D51" s="16">
        <v>17569</v>
      </c>
      <c r="E51" s="16">
        <v>23.546246199999999</v>
      </c>
      <c r="F51" s="16">
        <v>12.849398900000001</v>
      </c>
      <c r="G51" s="16">
        <v>9</v>
      </c>
      <c r="H51" s="16">
        <v>491</v>
      </c>
      <c r="J51">
        <f t="shared" si="0"/>
        <v>23.546246199999999</v>
      </c>
      <c r="K51">
        <f t="shared" si="0"/>
        <v>12.849398900000001</v>
      </c>
      <c r="M51" t="str">
        <f t="shared" si="1"/>
        <v>23.55 (12.85)</v>
      </c>
    </row>
    <row r="52" spans="1:13" x14ac:dyDescent="0.3">
      <c r="A52" s="8"/>
      <c r="B52" s="12"/>
      <c r="C52" s="14" t="s">
        <v>108</v>
      </c>
      <c r="D52" s="16">
        <v>17569</v>
      </c>
      <c r="E52" s="16">
        <v>23.383004199999998</v>
      </c>
      <c r="F52" s="16">
        <v>18.068589200000002</v>
      </c>
      <c r="G52" s="16">
        <v>3</v>
      </c>
      <c r="H52" s="16">
        <v>893</v>
      </c>
      <c r="J52">
        <f t="shared" si="0"/>
        <v>23.383004199999998</v>
      </c>
      <c r="K52">
        <f t="shared" si="0"/>
        <v>18.068589200000002</v>
      </c>
      <c r="M52" t="str">
        <f t="shared" si="1"/>
        <v>23.38 (18.07)</v>
      </c>
    </row>
    <row r="53" spans="1:13" x14ac:dyDescent="0.3">
      <c r="A53" s="8"/>
      <c r="B53" s="12"/>
      <c r="C53" s="14" t="s">
        <v>109</v>
      </c>
      <c r="D53" s="16">
        <v>17569</v>
      </c>
      <c r="E53" s="16">
        <v>14.298064800000001</v>
      </c>
      <c r="F53" s="16">
        <v>1.532673</v>
      </c>
      <c r="G53" s="16">
        <v>3.9</v>
      </c>
      <c r="H53" s="16">
        <v>21.3</v>
      </c>
      <c r="J53">
        <f t="shared" si="0"/>
        <v>14.298064800000001</v>
      </c>
      <c r="K53">
        <f t="shared" si="0"/>
        <v>1.532673</v>
      </c>
      <c r="M53" t="str">
        <f t="shared" si="1"/>
        <v>14.30 (1.53)</v>
      </c>
    </row>
    <row r="54" spans="1:13" x14ac:dyDescent="0.3">
      <c r="A54" s="8"/>
      <c r="B54" s="12"/>
      <c r="C54" s="14" t="s">
        <v>110</v>
      </c>
      <c r="D54" s="16">
        <v>17569</v>
      </c>
      <c r="E54" s="16">
        <v>15.0854915</v>
      </c>
      <c r="F54" s="16">
        <v>4.4695556999999999</v>
      </c>
      <c r="G54" s="16">
        <v>2</v>
      </c>
      <c r="H54" s="16">
        <v>77</v>
      </c>
      <c r="J54">
        <f t="shared" si="0"/>
        <v>15.0854915</v>
      </c>
      <c r="K54">
        <f t="shared" si="0"/>
        <v>4.4695556999999999</v>
      </c>
      <c r="M54" t="str">
        <f t="shared" si="1"/>
        <v>15.09 (4.47)</v>
      </c>
    </row>
    <row r="55" spans="1:13" x14ac:dyDescent="0.3">
      <c r="A55" s="8"/>
      <c r="B55" s="12"/>
      <c r="C55" s="14" t="s">
        <v>111</v>
      </c>
      <c r="D55" s="16">
        <v>17569</v>
      </c>
      <c r="E55" s="16">
        <v>0.86370429999999998</v>
      </c>
      <c r="F55" s="16">
        <v>0.23040189999999999</v>
      </c>
      <c r="G55" s="16">
        <v>0.4</v>
      </c>
      <c r="H55" s="16">
        <v>9.8000000000000007</v>
      </c>
      <c r="J55">
        <f t="shared" si="0"/>
        <v>0.86370429999999998</v>
      </c>
      <c r="K55">
        <f t="shared" si="0"/>
        <v>0.23040189999999999</v>
      </c>
      <c r="M55" t="str">
        <f t="shared" si="1"/>
        <v>0.86 (0.23)</v>
      </c>
    </row>
    <row r="56" spans="1:13" x14ac:dyDescent="0.3">
      <c r="A56" s="8"/>
      <c r="B56" s="12"/>
      <c r="C56" s="14" t="s">
        <v>112</v>
      </c>
      <c r="D56" s="16">
        <v>17569</v>
      </c>
      <c r="E56" s="16">
        <v>5.7760259999999999</v>
      </c>
      <c r="F56" s="16">
        <v>0.80828690000000003</v>
      </c>
      <c r="G56" s="16">
        <v>5</v>
      </c>
      <c r="H56" s="16">
        <v>9</v>
      </c>
      <c r="J56">
        <f t="shared" si="0"/>
        <v>5.7760259999999999</v>
      </c>
      <c r="K56">
        <f t="shared" si="0"/>
        <v>0.80828690000000003</v>
      </c>
      <c r="M56" t="str">
        <f t="shared" si="1"/>
        <v>5.78 (0.81)</v>
      </c>
    </row>
    <row r="57" spans="1:13" x14ac:dyDescent="0.3">
      <c r="A57" s="8"/>
      <c r="B57" s="12"/>
      <c r="C57" s="14" t="s">
        <v>113</v>
      </c>
      <c r="D57" s="16">
        <v>17569</v>
      </c>
      <c r="E57" s="16">
        <v>8.7294035999999995</v>
      </c>
      <c r="F57" s="16">
        <v>0.50868709999999995</v>
      </c>
      <c r="G57" s="16">
        <v>6.7080840999999998</v>
      </c>
      <c r="H57" s="16">
        <v>11.849811900000001</v>
      </c>
      <c r="J57">
        <f t="shared" si="0"/>
        <v>8.7294035999999995</v>
      </c>
      <c r="K57">
        <f t="shared" si="0"/>
        <v>0.50868709999999995</v>
      </c>
      <c r="M57" t="str">
        <f t="shared" si="1"/>
        <v>8.73 (0.51)</v>
      </c>
    </row>
    <row r="58" spans="1:13" x14ac:dyDescent="0.3">
      <c r="A58" s="8"/>
      <c r="B58" s="12"/>
      <c r="C58" s="14" t="s">
        <v>114</v>
      </c>
      <c r="D58" s="16">
        <v>17569</v>
      </c>
      <c r="E58" s="16">
        <v>0.68815340000000003</v>
      </c>
      <c r="F58" s="16">
        <v>6.1280899999999999E-2</v>
      </c>
      <c r="G58" s="16">
        <v>0.44151820000000003</v>
      </c>
      <c r="H58" s="16">
        <v>1.3241700999999999</v>
      </c>
      <c r="J58">
        <f t="shared" si="0"/>
        <v>0.68815340000000003</v>
      </c>
      <c r="K58">
        <f t="shared" si="0"/>
        <v>6.1280899999999999E-2</v>
      </c>
      <c r="M58" t="str">
        <f t="shared" si="1"/>
        <v>0.69 (0.06)</v>
      </c>
    </row>
    <row r="59" spans="1:13" x14ac:dyDescent="0.3">
      <c r="A59" s="8"/>
      <c r="B59" s="12"/>
      <c r="C59" s="14" t="s">
        <v>115</v>
      </c>
      <c r="D59" s="16">
        <v>17569</v>
      </c>
      <c r="E59" s="16">
        <v>0.42302319999999999</v>
      </c>
      <c r="F59" s="16">
        <v>0.2324504</v>
      </c>
      <c r="G59" s="17">
        <v>-0.39840700000000001</v>
      </c>
      <c r="H59" s="16">
        <v>1.6379128999999999</v>
      </c>
      <c r="J59">
        <f t="shared" si="0"/>
        <v>0.42302319999999999</v>
      </c>
      <c r="K59">
        <f t="shared" si="0"/>
        <v>0.2324504</v>
      </c>
      <c r="M59" t="str">
        <f t="shared" si="1"/>
        <v>0.42 (0.23)</v>
      </c>
    </row>
    <row r="60" spans="1:13" ht="17.25" thickBot="1" x14ac:dyDescent="0.35">
      <c r="A60" s="8"/>
      <c r="B60" s="12"/>
      <c r="C60" s="15" t="s">
        <v>116</v>
      </c>
      <c r="D60" s="16">
        <v>17569</v>
      </c>
      <c r="E60" s="16">
        <v>37.321680100000002</v>
      </c>
      <c r="F60" s="16">
        <v>1.4721355</v>
      </c>
      <c r="G60" s="16">
        <v>34.899208899999998</v>
      </c>
      <c r="H60" s="16">
        <v>40.029907700000003</v>
      </c>
      <c r="J60">
        <f t="shared" si="0"/>
        <v>37.321680100000002</v>
      </c>
      <c r="K60">
        <f t="shared" si="0"/>
        <v>1.4721355</v>
      </c>
      <c r="M60" t="str">
        <f t="shared" si="1"/>
        <v>37.32 (1.47)</v>
      </c>
    </row>
    <row r="61" spans="1:13" x14ac:dyDescent="0.3">
      <c r="A61" s="8">
        <v>4</v>
      </c>
      <c r="B61" s="12">
        <v>17568</v>
      </c>
      <c r="C61" s="14" t="s">
        <v>98</v>
      </c>
      <c r="D61" s="16">
        <v>17568</v>
      </c>
      <c r="E61" s="16">
        <v>51.413763699999997</v>
      </c>
      <c r="F61" s="16">
        <v>14.9885886</v>
      </c>
      <c r="G61" s="16">
        <v>19</v>
      </c>
      <c r="H61" s="16">
        <v>80</v>
      </c>
      <c r="J61">
        <f t="shared" si="0"/>
        <v>51.413763699999997</v>
      </c>
      <c r="K61">
        <f t="shared" si="0"/>
        <v>14.9885886</v>
      </c>
      <c r="M61" t="str">
        <f t="shared" si="1"/>
        <v>51.41 (14.99)</v>
      </c>
    </row>
    <row r="62" spans="1:13" x14ac:dyDescent="0.3">
      <c r="A62" s="8"/>
      <c r="B62" s="12"/>
      <c r="C62" s="14" t="s">
        <v>99</v>
      </c>
      <c r="D62" s="16">
        <v>17568</v>
      </c>
      <c r="E62" s="16">
        <v>27.8926728</v>
      </c>
      <c r="F62" s="16">
        <v>2.9642702000000001</v>
      </c>
      <c r="G62" s="16">
        <v>18.763504399999999</v>
      </c>
      <c r="H62" s="16">
        <v>62.640542099999998</v>
      </c>
      <c r="J62">
        <f t="shared" si="0"/>
        <v>27.8926728</v>
      </c>
      <c r="K62">
        <f t="shared" si="0"/>
        <v>2.9642702000000001</v>
      </c>
      <c r="M62" t="str">
        <f t="shared" si="1"/>
        <v>27.89 (2.96)</v>
      </c>
    </row>
    <row r="63" spans="1:13" x14ac:dyDescent="0.3">
      <c r="A63" s="8"/>
      <c r="B63" s="12"/>
      <c r="C63" s="14" t="s">
        <v>100</v>
      </c>
      <c r="D63" s="16">
        <v>17568</v>
      </c>
      <c r="E63" s="16">
        <v>93.188609999999997</v>
      </c>
      <c r="F63" s="16">
        <v>7.7566588999999997</v>
      </c>
      <c r="G63" s="16">
        <v>52.3</v>
      </c>
      <c r="H63" s="16">
        <v>147.5</v>
      </c>
      <c r="J63">
        <f t="shared" si="0"/>
        <v>93.188609999999997</v>
      </c>
      <c r="K63">
        <f t="shared" si="0"/>
        <v>7.7566588999999997</v>
      </c>
      <c r="M63" t="str">
        <f t="shared" si="1"/>
        <v>93.19 (7.76)</v>
      </c>
    </row>
    <row r="64" spans="1:13" x14ac:dyDescent="0.3">
      <c r="A64" s="8"/>
      <c r="B64" s="12"/>
      <c r="C64" s="14" t="s">
        <v>101</v>
      </c>
      <c r="D64" s="16">
        <v>17568</v>
      </c>
      <c r="E64" s="16">
        <v>7.9002699999999995E-2</v>
      </c>
      <c r="F64" s="16">
        <v>4.1970000000000002E-3</v>
      </c>
      <c r="G64" s="16">
        <v>4.8055199999999999E-2</v>
      </c>
      <c r="H64" s="16">
        <v>9.8480300000000007E-2</v>
      </c>
      <c r="J64">
        <f t="shared" si="0"/>
        <v>7.9002699999999995E-2</v>
      </c>
      <c r="K64">
        <f t="shared" si="0"/>
        <v>4.1970000000000002E-3</v>
      </c>
      <c r="M64" t="str">
        <f t="shared" si="1"/>
        <v>0.08 (0.00)</v>
      </c>
    </row>
    <row r="65" spans="1:13" x14ac:dyDescent="0.3">
      <c r="A65" s="8"/>
      <c r="B65" s="12"/>
      <c r="C65" s="14" t="s">
        <v>102</v>
      </c>
      <c r="D65" s="16">
        <v>17568</v>
      </c>
      <c r="E65" s="16">
        <v>124.27316709999999</v>
      </c>
      <c r="F65" s="16">
        <v>15.348467599999999</v>
      </c>
      <c r="G65" s="16">
        <v>78</v>
      </c>
      <c r="H65" s="16">
        <v>220</v>
      </c>
      <c r="J65">
        <f t="shared" si="0"/>
        <v>124.27316709999999</v>
      </c>
      <c r="K65">
        <f t="shared" si="0"/>
        <v>15.348467599999999</v>
      </c>
      <c r="M65" t="str">
        <f t="shared" si="1"/>
        <v>124.27 (15.35)</v>
      </c>
    </row>
    <row r="66" spans="1:13" x14ac:dyDescent="0.3">
      <c r="A66" s="8"/>
      <c r="B66" s="12"/>
      <c r="C66" s="14" t="s">
        <v>103</v>
      </c>
      <c r="D66" s="16">
        <v>17568</v>
      </c>
      <c r="E66" s="16">
        <v>110.5551002</v>
      </c>
      <c r="F66" s="16">
        <v>31.4602675</v>
      </c>
      <c r="G66" s="16">
        <v>53</v>
      </c>
      <c r="H66" s="16">
        <v>553</v>
      </c>
      <c r="J66">
        <f t="shared" si="0"/>
        <v>110.5551002</v>
      </c>
      <c r="K66">
        <f t="shared" si="0"/>
        <v>31.4602675</v>
      </c>
      <c r="M66" t="str">
        <f t="shared" si="1"/>
        <v>110.56 (31.46)</v>
      </c>
    </row>
    <row r="67" spans="1:13" x14ac:dyDescent="0.3">
      <c r="A67" s="8"/>
      <c r="B67" s="12"/>
      <c r="C67" s="14" t="s">
        <v>104</v>
      </c>
      <c r="D67" s="16">
        <v>17568</v>
      </c>
      <c r="E67" s="16">
        <v>193.98480190000001</v>
      </c>
      <c r="F67" s="16">
        <v>40.001274299999999</v>
      </c>
      <c r="G67" s="16">
        <v>66</v>
      </c>
      <c r="H67" s="16">
        <v>554</v>
      </c>
      <c r="J67">
        <f t="shared" si="0"/>
        <v>193.98480190000001</v>
      </c>
      <c r="K67">
        <f t="shared" si="0"/>
        <v>40.001274299999999</v>
      </c>
      <c r="M67" t="str">
        <f t="shared" si="1"/>
        <v>193.98 (40.00)</v>
      </c>
    </row>
    <row r="68" spans="1:13" ht="25.5" x14ac:dyDescent="0.3">
      <c r="A68" s="8"/>
      <c r="B68" s="12"/>
      <c r="C68" s="14" t="s">
        <v>105</v>
      </c>
      <c r="D68" s="16">
        <v>17568</v>
      </c>
      <c r="E68" s="16">
        <v>41.413440299999998</v>
      </c>
      <c r="F68" s="16">
        <v>8.3878558000000005</v>
      </c>
      <c r="G68" s="16">
        <v>5.9180000000000001</v>
      </c>
      <c r="H68" s="16">
        <v>100.104</v>
      </c>
      <c r="J68">
        <f t="shared" si="0"/>
        <v>41.413440299999998</v>
      </c>
      <c r="K68">
        <f t="shared" si="0"/>
        <v>8.3878558000000005</v>
      </c>
      <c r="M68" t="str">
        <f t="shared" si="1"/>
        <v>41.41 (8.39)</v>
      </c>
    </row>
    <row r="69" spans="1:13" x14ac:dyDescent="0.3">
      <c r="A69" s="8"/>
      <c r="B69" s="12"/>
      <c r="C69" s="14" t="s">
        <v>106</v>
      </c>
      <c r="D69" s="16">
        <v>17568</v>
      </c>
      <c r="E69" s="16">
        <v>216.8273566</v>
      </c>
      <c r="F69" s="16">
        <v>166.20994540000001</v>
      </c>
      <c r="G69" s="16">
        <v>28</v>
      </c>
      <c r="H69" s="16">
        <v>2774</v>
      </c>
      <c r="J69">
        <f t="shared" ref="J69:K79" si="2">E69</f>
        <v>216.8273566</v>
      </c>
      <c r="K69">
        <f t="shared" si="2"/>
        <v>166.20994540000001</v>
      </c>
      <c r="M69" t="str">
        <f t="shared" ref="M69:M79" si="3">TEXT(J69,"0.00")&amp;" ("&amp;TEXT(K69,"0.00")&amp;")"</f>
        <v>216.83 (166.21)</v>
      </c>
    </row>
    <row r="70" spans="1:13" x14ac:dyDescent="0.3">
      <c r="A70" s="8"/>
      <c r="B70" s="12"/>
      <c r="C70" s="14" t="s">
        <v>107</v>
      </c>
      <c r="D70" s="16">
        <v>17568</v>
      </c>
      <c r="E70" s="16">
        <v>26.820184399999999</v>
      </c>
      <c r="F70" s="16">
        <v>17.392359299999999</v>
      </c>
      <c r="G70" s="16">
        <v>6</v>
      </c>
      <c r="H70" s="16">
        <v>927</v>
      </c>
      <c r="J70">
        <f t="shared" si="2"/>
        <v>26.820184399999999</v>
      </c>
      <c r="K70">
        <f t="shared" si="2"/>
        <v>17.392359299999999</v>
      </c>
      <c r="M70" t="str">
        <f t="shared" si="3"/>
        <v>26.82 (17.39)</v>
      </c>
    </row>
    <row r="71" spans="1:13" x14ac:dyDescent="0.3">
      <c r="A71" s="8"/>
      <c r="B71" s="12"/>
      <c r="C71" s="14" t="s">
        <v>108</v>
      </c>
      <c r="D71" s="16">
        <v>17568</v>
      </c>
      <c r="E71" s="16">
        <v>31.793488199999999</v>
      </c>
      <c r="F71" s="16">
        <v>23.836329200000002</v>
      </c>
      <c r="G71" s="16">
        <v>4</v>
      </c>
      <c r="H71" s="16">
        <v>402</v>
      </c>
      <c r="J71">
        <f t="shared" si="2"/>
        <v>31.793488199999999</v>
      </c>
      <c r="K71">
        <f t="shared" si="2"/>
        <v>23.836329200000002</v>
      </c>
      <c r="M71" t="str">
        <f t="shared" si="3"/>
        <v>31.79 (23.84)</v>
      </c>
    </row>
    <row r="72" spans="1:13" x14ac:dyDescent="0.3">
      <c r="A72" s="8"/>
      <c r="B72" s="12"/>
      <c r="C72" s="14" t="s">
        <v>109</v>
      </c>
      <c r="D72" s="16">
        <v>17568</v>
      </c>
      <c r="E72" s="16">
        <v>14.645116099999999</v>
      </c>
      <c r="F72" s="16">
        <v>1.5630423</v>
      </c>
      <c r="G72" s="16">
        <v>5.3</v>
      </c>
      <c r="H72" s="16">
        <v>19.600000000000001</v>
      </c>
      <c r="J72">
        <f t="shared" si="2"/>
        <v>14.645116099999999</v>
      </c>
      <c r="K72">
        <f t="shared" si="2"/>
        <v>1.5630423</v>
      </c>
      <c r="M72" t="str">
        <f t="shared" si="3"/>
        <v>14.65 (1.56)</v>
      </c>
    </row>
    <row r="73" spans="1:13" x14ac:dyDescent="0.3">
      <c r="A73" s="8"/>
      <c r="B73" s="12"/>
      <c r="C73" s="14" t="s">
        <v>110</v>
      </c>
      <c r="D73" s="16">
        <v>17568</v>
      </c>
      <c r="E73" s="16">
        <v>14.971453800000001</v>
      </c>
      <c r="F73" s="16">
        <v>4.4989539000000001</v>
      </c>
      <c r="G73" s="16">
        <v>3</v>
      </c>
      <c r="H73" s="16">
        <v>83</v>
      </c>
      <c r="J73">
        <f t="shared" si="2"/>
        <v>14.971453800000001</v>
      </c>
      <c r="K73">
        <f t="shared" si="2"/>
        <v>4.4989539000000001</v>
      </c>
      <c r="M73" t="str">
        <f t="shared" si="3"/>
        <v>14.97 (4.50)</v>
      </c>
    </row>
    <row r="74" spans="1:13" x14ac:dyDescent="0.3">
      <c r="A74" s="8"/>
      <c r="B74" s="12"/>
      <c r="C74" s="14" t="s">
        <v>111</v>
      </c>
      <c r="D74" s="16">
        <v>17568</v>
      </c>
      <c r="E74" s="16">
        <v>0.89058400000000004</v>
      </c>
      <c r="F74" s="16">
        <v>0.25849349999999999</v>
      </c>
      <c r="G74" s="16">
        <v>0.2</v>
      </c>
      <c r="H74" s="16">
        <v>10.48</v>
      </c>
      <c r="J74">
        <f t="shared" si="2"/>
        <v>0.89058400000000004</v>
      </c>
      <c r="K74">
        <f t="shared" si="2"/>
        <v>0.25849349999999999</v>
      </c>
      <c r="M74" t="str">
        <f t="shared" si="3"/>
        <v>0.89 (0.26)</v>
      </c>
    </row>
    <row r="75" spans="1:13" x14ac:dyDescent="0.3">
      <c r="A75" s="8"/>
      <c r="B75" s="12"/>
      <c r="C75" s="14" t="s">
        <v>112</v>
      </c>
      <c r="D75" s="16">
        <v>17568</v>
      </c>
      <c r="E75" s="16">
        <v>5.6584415000000003</v>
      </c>
      <c r="F75" s="16">
        <v>0.75799479999999997</v>
      </c>
      <c r="G75" s="16">
        <v>5</v>
      </c>
      <c r="H75" s="16">
        <v>9</v>
      </c>
      <c r="J75">
        <f t="shared" si="2"/>
        <v>5.6584415000000003</v>
      </c>
      <c r="K75">
        <f t="shared" si="2"/>
        <v>0.75799479999999997</v>
      </c>
      <c r="M75" t="str">
        <f t="shared" si="3"/>
        <v>5.66 (0.76)</v>
      </c>
    </row>
    <row r="76" spans="1:13" x14ac:dyDescent="0.3">
      <c r="A76" s="8"/>
      <c r="B76" s="12"/>
      <c r="C76" s="14" t="s">
        <v>113</v>
      </c>
      <c r="D76" s="16">
        <v>17568</v>
      </c>
      <c r="E76" s="16">
        <v>9.1852634999999996</v>
      </c>
      <c r="F76" s="16">
        <v>0.62021919999999997</v>
      </c>
      <c r="G76" s="16">
        <v>7.1400568</v>
      </c>
      <c r="H76" s="16">
        <v>12.7290689</v>
      </c>
      <c r="J76">
        <f t="shared" si="2"/>
        <v>9.1852634999999996</v>
      </c>
      <c r="K76">
        <f t="shared" si="2"/>
        <v>0.62021919999999997</v>
      </c>
      <c r="M76" t="str">
        <f t="shared" si="3"/>
        <v>9.19 (0.62)</v>
      </c>
    </row>
    <row r="77" spans="1:13" x14ac:dyDescent="0.3">
      <c r="A77" s="8"/>
      <c r="B77" s="12"/>
      <c r="C77" s="14" t="s">
        <v>114</v>
      </c>
      <c r="D77" s="16">
        <v>17568</v>
      </c>
      <c r="E77" s="16">
        <v>0.72592389999999996</v>
      </c>
      <c r="F77" s="16">
        <v>6.5246700000000005E-2</v>
      </c>
      <c r="G77" s="16">
        <v>0.43864829999999999</v>
      </c>
      <c r="H77" s="16">
        <v>1.0740016999999999</v>
      </c>
      <c r="J77">
        <f t="shared" si="2"/>
        <v>0.72592389999999996</v>
      </c>
      <c r="K77">
        <f t="shared" si="2"/>
        <v>6.5246700000000005E-2</v>
      </c>
      <c r="M77" t="str">
        <f t="shared" si="3"/>
        <v>0.73 (0.07)</v>
      </c>
    </row>
    <row r="78" spans="1:13" x14ac:dyDescent="0.3">
      <c r="A78" s="8"/>
      <c r="B78" s="12"/>
      <c r="C78" s="14" t="s">
        <v>115</v>
      </c>
      <c r="D78" s="16">
        <v>17568</v>
      </c>
      <c r="E78" s="16">
        <v>0.65057039999999999</v>
      </c>
      <c r="F78" s="16">
        <v>0.28283209999999998</v>
      </c>
      <c r="G78" s="17">
        <v>-0.2447116</v>
      </c>
      <c r="H78" s="16">
        <v>2.1147776999999999</v>
      </c>
      <c r="J78">
        <f t="shared" si="2"/>
        <v>0.65057039999999999</v>
      </c>
      <c r="K78">
        <f t="shared" si="2"/>
        <v>0.28283209999999998</v>
      </c>
      <c r="M78" t="str">
        <f t="shared" si="3"/>
        <v>0.65 (0.28)</v>
      </c>
    </row>
    <row r="79" spans="1:13" x14ac:dyDescent="0.3">
      <c r="A79" s="8"/>
      <c r="B79" s="12"/>
      <c r="C79" s="14" t="s">
        <v>116</v>
      </c>
      <c r="D79" s="16">
        <v>17568</v>
      </c>
      <c r="E79" s="16">
        <v>45.381885799999999</v>
      </c>
      <c r="F79" s="16">
        <v>4.9710235000000003</v>
      </c>
      <c r="G79" s="16">
        <v>40.0299336</v>
      </c>
      <c r="H79" s="16">
        <v>93.063441699999998</v>
      </c>
      <c r="J79">
        <f t="shared" si="2"/>
        <v>45.381885799999999</v>
      </c>
      <c r="K79">
        <f t="shared" si="2"/>
        <v>4.9710235000000003</v>
      </c>
      <c r="M79" t="str">
        <f t="shared" si="3"/>
        <v>45.38 (4.97)</v>
      </c>
    </row>
  </sheetData>
  <mergeCells count="8">
    <mergeCell ref="A61:A79"/>
    <mergeCell ref="B61:B79"/>
    <mergeCell ref="A4:A22"/>
    <mergeCell ref="B4:B22"/>
    <mergeCell ref="A23:A41"/>
    <mergeCell ref="B23:B41"/>
    <mergeCell ref="A42:A60"/>
    <mergeCell ref="B42:B60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Sheet2 (2)</vt:lpstr>
      <vt:lpstr>Sheet2 (3)</vt:lpstr>
      <vt:lpstr>Sheet2 (4)</vt:lpstr>
      <vt:lpstr>Sheet7</vt:lpstr>
      <vt:lpstr>Sheet8</vt:lpstr>
      <vt:lpstr>Sheet8 (2)</vt:lpstr>
      <vt:lpstr>Sheet8 (3)</vt:lpstr>
      <vt:lpstr>Sheet8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2026-01-29T12:54:10Z</dcterms:modified>
</cp:coreProperties>
</file>