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2_cvd_tyg\table\"/>
    </mc:Choice>
  </mc:AlternateContent>
  <xr:revisionPtr revIDLastSave="0" documentId="13_ncr:1_{8F5E185D-A280-4C10-946E-BAA1711106CB}" xr6:coauthVersionLast="47" xr6:coauthVersionMax="47" xr10:uidLastSave="{00000000-0000-0000-0000-000000000000}"/>
  <bookViews>
    <workbookView xWindow="-28920" yWindow="-120" windowWidth="29040" windowHeight="15720" firstSheet="19" activeTab="28" xr2:uid="{00000000-000D-0000-FFFF-FFFF00000000}"/>
  </bookViews>
  <sheets>
    <sheet name="Sheet1" sheetId="1" r:id="rId1"/>
    <sheet name="Sheet2" sheetId="2" r:id="rId2"/>
    <sheet name="Sheet2 (2)" sheetId="3" r:id="rId3"/>
    <sheet name="Sheet2 (3)" sheetId="4" r:id="rId4"/>
    <sheet name="Sheet2 (4)" sheetId="5" r:id="rId5"/>
    <sheet name="Sheet6" sheetId="6" r:id="rId6"/>
    <sheet name="Sheet7" sheetId="7" r:id="rId7"/>
    <sheet name="Sheet7 (2)" sheetId="8" r:id="rId8"/>
    <sheet name="Sheet7 (3)" sheetId="9" r:id="rId9"/>
    <sheet name="Sheet7 (4)" sheetId="10" r:id="rId10"/>
    <sheet name="Sheet11" sheetId="11" r:id="rId11"/>
    <sheet name="Sheet12" sheetId="12" r:id="rId12"/>
    <sheet name="Sheet12 (2)" sheetId="13" r:id="rId13"/>
    <sheet name="Sheet12 (3)" sheetId="14" r:id="rId14"/>
    <sheet name="Sheet12 (4)" sheetId="15" r:id="rId15"/>
    <sheet name="Sheet16" sheetId="16" r:id="rId16"/>
    <sheet name="Sheet17" sheetId="17" r:id="rId17"/>
    <sheet name="Sheet17 (2)" sheetId="18" r:id="rId18"/>
    <sheet name="Sheet17 (3)" sheetId="19" r:id="rId19"/>
    <sheet name="Sheet17 (4)" sheetId="20" r:id="rId20"/>
    <sheet name="Sheet21" sheetId="21" r:id="rId21"/>
    <sheet name="Sheet22" sheetId="22" r:id="rId22"/>
    <sheet name="Sheet22 (2)" sheetId="23" r:id="rId23"/>
    <sheet name="Sheet22 (3)" sheetId="24" r:id="rId24"/>
    <sheet name="Sheet22 (4)" sheetId="25" r:id="rId25"/>
    <sheet name="Sheet3" sheetId="26" r:id="rId26"/>
    <sheet name="Sheet3 (2)" sheetId="27" r:id="rId27"/>
    <sheet name="Sheet3 (3)" sheetId="28" r:id="rId28"/>
    <sheet name="Sheet3 (4)" sheetId="29" r:id="rId29"/>
  </sheets>
  <definedNames>
    <definedName name="_xlnm._FilterDatabase" localSheetId="0" hidden="1">Sheet1!$A$1:$A$93</definedName>
    <definedName name="_xlnm._FilterDatabase" localSheetId="10" hidden="1">Sheet11!$A$1:$A$135</definedName>
    <definedName name="_xlnm._FilterDatabase" localSheetId="11" hidden="1">Sheet12!$B$1:$B$367</definedName>
    <definedName name="_xlnm._FilterDatabase" localSheetId="12" hidden="1">'Sheet12 (2)'!$B$1:$B$367</definedName>
    <definedName name="_xlnm._FilterDatabase" localSheetId="13" hidden="1">'Sheet12 (3)'!$B$1:$B$367</definedName>
    <definedName name="_xlnm._FilterDatabase" localSheetId="14" hidden="1">'Sheet12 (4)'!$B$1:$B$367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85" i="29" l="1"/>
  <c r="I1084" i="29"/>
  <c r="I1018" i="29"/>
  <c r="I1017" i="29"/>
  <c r="I951" i="29"/>
  <c r="I950" i="29"/>
  <c r="I884" i="29"/>
  <c r="I883" i="29"/>
  <c r="I817" i="29"/>
  <c r="I816" i="29"/>
  <c r="I750" i="29"/>
  <c r="I749" i="29"/>
  <c r="I683" i="29"/>
  <c r="I682" i="29"/>
  <c r="I681" i="29"/>
  <c r="I614" i="29"/>
  <c r="I613" i="29"/>
  <c r="I612" i="29"/>
  <c r="I545" i="29"/>
  <c r="I544" i="29"/>
  <c r="I543" i="29"/>
  <c r="I476" i="29"/>
  <c r="I475" i="29"/>
  <c r="I409" i="29"/>
  <c r="I408" i="29"/>
  <c r="I407" i="29"/>
  <c r="I406" i="29"/>
  <c r="I339" i="29"/>
  <c r="I338" i="29"/>
  <c r="I337" i="29"/>
  <c r="I336" i="29"/>
  <c r="I269" i="29"/>
  <c r="I268" i="29"/>
  <c r="I267" i="29"/>
  <c r="I266" i="29"/>
  <c r="I198" i="29"/>
  <c r="I197" i="29"/>
  <c r="I132" i="29"/>
  <c r="I131" i="29"/>
  <c r="I66" i="29"/>
  <c r="I65" i="29"/>
  <c r="I64" i="29"/>
  <c r="I1085" i="28"/>
  <c r="I1084" i="28"/>
  <c r="I1018" i="28"/>
  <c r="I1017" i="28"/>
  <c r="I951" i="28"/>
  <c r="I950" i="28"/>
  <c r="I884" i="28"/>
  <c r="I883" i="28"/>
  <c r="I817" i="28"/>
  <c r="I816" i="28"/>
  <c r="I750" i="28"/>
  <c r="I749" i="28"/>
  <c r="I683" i="28"/>
  <c r="I682" i="28"/>
  <c r="I681" i="28"/>
  <c r="I614" i="28"/>
  <c r="I613" i="28"/>
  <c r="I612" i="28"/>
  <c r="I545" i="28"/>
  <c r="I544" i="28"/>
  <c r="I543" i="28"/>
  <c r="I476" i="28"/>
  <c r="I475" i="28"/>
  <c r="I409" i="28"/>
  <c r="I408" i="28"/>
  <c r="I407" i="28"/>
  <c r="I406" i="28"/>
  <c r="I339" i="28"/>
  <c r="I338" i="28"/>
  <c r="I337" i="28"/>
  <c r="I336" i="28"/>
  <c r="I269" i="28"/>
  <c r="I268" i="28"/>
  <c r="I267" i="28"/>
  <c r="I266" i="28"/>
  <c r="I198" i="28"/>
  <c r="I197" i="28"/>
  <c r="I132" i="28"/>
  <c r="I131" i="28"/>
  <c r="I66" i="28"/>
  <c r="I65" i="28"/>
  <c r="I64" i="28"/>
  <c r="I1085" i="27"/>
  <c r="I1084" i="27"/>
  <c r="I1018" i="27"/>
  <c r="I1017" i="27"/>
  <c r="I951" i="27"/>
  <c r="I950" i="27"/>
  <c r="I884" i="27"/>
  <c r="I883" i="27"/>
  <c r="I817" i="27"/>
  <c r="I816" i="27"/>
  <c r="I750" i="27"/>
  <c r="I749" i="27"/>
  <c r="I683" i="27"/>
  <c r="I682" i="27"/>
  <c r="I681" i="27"/>
  <c r="I614" i="27"/>
  <c r="I613" i="27"/>
  <c r="I612" i="27"/>
  <c r="I545" i="27"/>
  <c r="I544" i="27"/>
  <c r="I543" i="27"/>
  <c r="I476" i="27"/>
  <c r="I475" i="27"/>
  <c r="I409" i="27"/>
  <c r="I408" i="27"/>
  <c r="I407" i="27"/>
  <c r="I406" i="27"/>
  <c r="I339" i="27"/>
  <c r="I338" i="27"/>
  <c r="I337" i="27"/>
  <c r="I336" i="27"/>
  <c r="I269" i="27"/>
  <c r="I268" i="27"/>
  <c r="I267" i="27"/>
  <c r="I266" i="27"/>
  <c r="I198" i="27"/>
  <c r="I197" i="27"/>
  <c r="I132" i="27"/>
  <c r="I131" i="27"/>
  <c r="I66" i="27"/>
  <c r="I65" i="27"/>
  <c r="I64" i="27"/>
  <c r="I1085" i="26"/>
  <c r="I1084" i="26"/>
  <c r="I1018" i="26"/>
  <c r="I1017" i="26"/>
  <c r="I951" i="26"/>
  <c r="I950" i="26"/>
  <c r="I884" i="26"/>
  <c r="I883" i="26"/>
  <c r="I817" i="26"/>
  <c r="I816" i="26"/>
  <c r="I750" i="26"/>
  <c r="I749" i="26"/>
  <c r="I683" i="26"/>
  <c r="I682" i="26"/>
  <c r="I681" i="26"/>
  <c r="I614" i="26"/>
  <c r="I613" i="26"/>
  <c r="I612" i="26"/>
  <c r="I545" i="26"/>
  <c r="I544" i="26"/>
  <c r="I543" i="26"/>
  <c r="I476" i="26"/>
  <c r="I475" i="26"/>
  <c r="I409" i="26"/>
  <c r="I408" i="26"/>
  <c r="I407" i="26"/>
  <c r="I406" i="26"/>
  <c r="I339" i="26"/>
  <c r="I338" i="26"/>
  <c r="I337" i="26"/>
  <c r="I336" i="26"/>
  <c r="I269" i="26"/>
  <c r="I268" i="26"/>
  <c r="I267" i="26"/>
  <c r="I266" i="26"/>
  <c r="I198" i="26"/>
  <c r="I197" i="26"/>
  <c r="I132" i="26"/>
  <c r="I131" i="26"/>
  <c r="I65" i="26"/>
  <c r="I66" i="26"/>
  <c r="I64" i="26"/>
  <c r="J1554" i="25"/>
  <c r="J1553" i="25"/>
  <c r="O1543" i="25" s="1"/>
  <c r="J1552" i="25"/>
  <c r="J1551" i="25"/>
  <c r="N1543" i="25" s="1"/>
  <c r="J1550" i="25"/>
  <c r="J1549" i="25"/>
  <c r="M1543" i="25" s="1"/>
  <c r="J1548" i="25"/>
  <c r="J1547" i="25"/>
  <c r="L1543" i="25" s="1"/>
  <c r="J1546" i="25"/>
  <c r="J1545" i="25"/>
  <c r="K1543" i="25" s="1"/>
  <c r="O1544" i="25"/>
  <c r="N1544" i="25"/>
  <c r="M1544" i="25"/>
  <c r="L1544" i="25"/>
  <c r="K1544" i="25"/>
  <c r="J1544" i="25"/>
  <c r="J1543" i="25"/>
  <c r="J1463" i="25"/>
  <c r="J1462" i="25"/>
  <c r="O1452" i="25" s="1"/>
  <c r="J1461" i="25"/>
  <c r="N1453" i="25" s="1"/>
  <c r="J1460" i="25"/>
  <c r="N1452" i="25" s="1"/>
  <c r="J1459" i="25"/>
  <c r="M1453" i="25" s="1"/>
  <c r="J1458" i="25"/>
  <c r="M1452" i="25" s="1"/>
  <c r="J1457" i="25"/>
  <c r="L1453" i="25" s="1"/>
  <c r="J1456" i="25"/>
  <c r="L1452" i="25" s="1"/>
  <c r="J1455" i="25"/>
  <c r="K1453" i="25" s="1"/>
  <c r="J1454" i="25"/>
  <c r="K1452" i="25" s="1"/>
  <c r="O1453" i="25"/>
  <c r="J1453" i="25"/>
  <c r="J1452" i="25"/>
  <c r="J1372" i="25"/>
  <c r="O1362" i="25" s="1"/>
  <c r="J1371" i="25"/>
  <c r="O1361" i="25" s="1"/>
  <c r="J1370" i="25"/>
  <c r="N1362" i="25" s="1"/>
  <c r="J1369" i="25"/>
  <c r="N1361" i="25" s="1"/>
  <c r="J1368" i="25"/>
  <c r="J1367" i="25"/>
  <c r="J1366" i="25"/>
  <c r="J1365" i="25"/>
  <c r="J1364" i="25"/>
  <c r="J1363" i="25"/>
  <c r="K1361" i="25" s="1"/>
  <c r="M1362" i="25"/>
  <c r="L1362" i="25"/>
  <c r="K1362" i="25"/>
  <c r="J1362" i="25"/>
  <c r="M1361" i="25"/>
  <c r="L1361" i="25"/>
  <c r="J1361" i="25"/>
  <c r="J1281" i="25"/>
  <c r="J1280" i="25"/>
  <c r="O1270" i="25" s="1"/>
  <c r="J1279" i="25"/>
  <c r="J1278" i="25"/>
  <c r="N1270" i="25" s="1"/>
  <c r="J1277" i="25"/>
  <c r="J1276" i="25"/>
  <c r="M1270" i="25" s="1"/>
  <c r="J1275" i="25"/>
  <c r="J1274" i="25"/>
  <c r="L1270" i="25" s="1"/>
  <c r="J1273" i="25"/>
  <c r="K1271" i="25" s="1"/>
  <c r="J1272" i="25"/>
  <c r="K1270" i="25" s="1"/>
  <c r="O1271" i="25"/>
  <c r="N1271" i="25"/>
  <c r="M1271" i="25"/>
  <c r="L1271" i="25"/>
  <c r="J1271" i="25"/>
  <c r="J1270" i="25"/>
  <c r="J1192" i="25"/>
  <c r="J1191" i="25"/>
  <c r="O1181" i="25" s="1"/>
  <c r="J1190" i="25"/>
  <c r="N1182" i="25" s="1"/>
  <c r="J1189" i="25"/>
  <c r="N1181" i="25" s="1"/>
  <c r="J1188" i="25"/>
  <c r="M1182" i="25" s="1"/>
  <c r="J1187" i="25"/>
  <c r="M1181" i="25" s="1"/>
  <c r="J1186" i="25"/>
  <c r="L1182" i="25" s="1"/>
  <c r="J1185" i="25"/>
  <c r="L1181" i="25" s="1"/>
  <c r="J1184" i="25"/>
  <c r="K1182" i="25" s="1"/>
  <c r="J1183" i="25"/>
  <c r="K1181" i="25" s="1"/>
  <c r="O1182" i="25"/>
  <c r="J1182" i="25"/>
  <c r="J1181" i="25"/>
  <c r="J1103" i="25"/>
  <c r="O1093" i="25" s="1"/>
  <c r="J1102" i="25"/>
  <c r="O1092" i="25" s="1"/>
  <c r="J1101" i="25"/>
  <c r="J1100" i="25"/>
  <c r="N1092" i="25" s="1"/>
  <c r="J1099" i="25"/>
  <c r="J1098" i="25"/>
  <c r="M1092" i="25" s="1"/>
  <c r="J1097" i="25"/>
  <c r="J1096" i="25"/>
  <c r="L1092" i="25" s="1"/>
  <c r="J1095" i="25"/>
  <c r="J1094" i="25"/>
  <c r="K1092" i="25" s="1"/>
  <c r="N1093" i="25"/>
  <c r="M1093" i="25"/>
  <c r="L1093" i="25"/>
  <c r="K1093" i="25"/>
  <c r="J1093" i="25"/>
  <c r="J1092" i="25"/>
  <c r="J1011" i="25"/>
  <c r="O996" i="25" s="1"/>
  <c r="J1010" i="25"/>
  <c r="O995" i="25" s="1"/>
  <c r="J1009" i="25"/>
  <c r="J1008" i="25"/>
  <c r="N996" i="25" s="1"/>
  <c r="J1007" i="25"/>
  <c r="N995" i="25" s="1"/>
  <c r="J1006" i="25"/>
  <c r="N994" i="25" s="1"/>
  <c r="J1005" i="25"/>
  <c r="M996" i="25" s="1"/>
  <c r="J1004" i="25"/>
  <c r="M995" i="25" s="1"/>
  <c r="J1003" i="25"/>
  <c r="M994" i="25" s="1"/>
  <c r="J1002" i="25"/>
  <c r="L996" i="25" s="1"/>
  <c r="J1001" i="25"/>
  <c r="L995" i="25" s="1"/>
  <c r="J1000" i="25"/>
  <c r="L994" i="25" s="1"/>
  <c r="J999" i="25"/>
  <c r="K996" i="25" s="1"/>
  <c r="J998" i="25"/>
  <c r="J997" i="25"/>
  <c r="K994" i="25" s="1"/>
  <c r="J996" i="25"/>
  <c r="K995" i="25"/>
  <c r="J995" i="25"/>
  <c r="O994" i="25"/>
  <c r="J994" i="25"/>
  <c r="J907" i="25"/>
  <c r="O892" i="25" s="1"/>
  <c r="J906" i="25"/>
  <c r="J905" i="25"/>
  <c r="O890" i="25" s="1"/>
  <c r="J904" i="25"/>
  <c r="J903" i="25"/>
  <c r="N891" i="25" s="1"/>
  <c r="J902" i="25"/>
  <c r="N890" i="25" s="1"/>
  <c r="J901" i="25"/>
  <c r="M892" i="25" s="1"/>
  <c r="J900" i="25"/>
  <c r="M891" i="25" s="1"/>
  <c r="J899" i="25"/>
  <c r="M890" i="25" s="1"/>
  <c r="J898" i="25"/>
  <c r="L892" i="25" s="1"/>
  <c r="J897" i="25"/>
  <c r="L891" i="25" s="1"/>
  <c r="J896" i="25"/>
  <c r="L890" i="25" s="1"/>
  <c r="J895" i="25"/>
  <c r="J894" i="25"/>
  <c r="K891" i="25" s="1"/>
  <c r="J893" i="25"/>
  <c r="K890" i="25" s="1"/>
  <c r="N892" i="25"/>
  <c r="K892" i="25"/>
  <c r="J892" i="25"/>
  <c r="O891" i="25"/>
  <c r="J891" i="25"/>
  <c r="J890" i="25"/>
  <c r="J803" i="25"/>
  <c r="O788" i="25" s="1"/>
  <c r="J802" i="25"/>
  <c r="J801" i="25"/>
  <c r="O786" i="25" s="1"/>
  <c r="J800" i="25"/>
  <c r="N788" i="25" s="1"/>
  <c r="J799" i="25"/>
  <c r="N787" i="25" s="1"/>
  <c r="J798" i="25"/>
  <c r="N786" i="25" s="1"/>
  <c r="J797" i="25"/>
  <c r="M788" i="25" s="1"/>
  <c r="J796" i="25"/>
  <c r="M787" i="25" s="1"/>
  <c r="J795" i="25"/>
  <c r="M786" i="25" s="1"/>
  <c r="J794" i="25"/>
  <c r="L788" i="25" s="1"/>
  <c r="J793" i="25"/>
  <c r="J792" i="25"/>
  <c r="L786" i="25" s="1"/>
  <c r="J791" i="25"/>
  <c r="J790" i="25"/>
  <c r="J789" i="25"/>
  <c r="K788" i="25"/>
  <c r="J788" i="25"/>
  <c r="O787" i="25"/>
  <c r="L787" i="25"/>
  <c r="K787" i="25"/>
  <c r="J787" i="25"/>
  <c r="K786" i="25"/>
  <c r="J786" i="25"/>
  <c r="J699" i="25"/>
  <c r="J698" i="25"/>
  <c r="O688" i="25" s="1"/>
  <c r="J697" i="25"/>
  <c r="N689" i="25" s="1"/>
  <c r="J696" i="25"/>
  <c r="N688" i="25" s="1"/>
  <c r="J695" i="25"/>
  <c r="M689" i="25" s="1"/>
  <c r="J694" i="25"/>
  <c r="M688" i="25" s="1"/>
  <c r="J693" i="25"/>
  <c r="L689" i="25" s="1"/>
  <c r="J692" i="25"/>
  <c r="L688" i="25" s="1"/>
  <c r="J691" i="25"/>
  <c r="K689" i="25" s="1"/>
  <c r="J690" i="25"/>
  <c r="O689" i="25"/>
  <c r="J689" i="25"/>
  <c r="K688" i="25"/>
  <c r="J688" i="25"/>
  <c r="J609" i="25"/>
  <c r="O589" i="25" s="1"/>
  <c r="J608" i="25"/>
  <c r="O588" i="25" s="1"/>
  <c r="J607" i="25"/>
  <c r="O587" i="25" s="1"/>
  <c r="J606" i="25"/>
  <c r="J605" i="25"/>
  <c r="N589" i="25" s="1"/>
  <c r="J604" i="25"/>
  <c r="N588" i="25" s="1"/>
  <c r="J603" i="25"/>
  <c r="J602" i="25"/>
  <c r="J601" i="25"/>
  <c r="M589" i="25" s="1"/>
  <c r="J600" i="25"/>
  <c r="M588" i="25" s="1"/>
  <c r="J599" i="25"/>
  <c r="M587" i="25" s="1"/>
  <c r="J598" i="25"/>
  <c r="J597" i="25"/>
  <c r="L589" i="25" s="1"/>
  <c r="J596" i="25"/>
  <c r="L588" i="25" s="1"/>
  <c r="J595" i="25"/>
  <c r="L587" i="25" s="1"/>
  <c r="J594" i="25"/>
  <c r="L586" i="25" s="1"/>
  <c r="J593" i="25"/>
  <c r="K589" i="25" s="1"/>
  <c r="J592" i="25"/>
  <c r="K588" i="25" s="1"/>
  <c r="J591" i="25"/>
  <c r="K587" i="25" s="1"/>
  <c r="J590" i="25"/>
  <c r="K586" i="25" s="1"/>
  <c r="J589" i="25"/>
  <c r="J588" i="25"/>
  <c r="N587" i="25"/>
  <c r="J587" i="25"/>
  <c r="O586" i="25"/>
  <c r="N586" i="25"/>
  <c r="M586" i="25"/>
  <c r="J586" i="25"/>
  <c r="J499" i="25"/>
  <c r="O479" i="25" s="1"/>
  <c r="J498" i="25"/>
  <c r="O478" i="25" s="1"/>
  <c r="J497" i="25"/>
  <c r="O477" i="25" s="1"/>
  <c r="J496" i="25"/>
  <c r="J495" i="25"/>
  <c r="J494" i="25"/>
  <c r="N478" i="25" s="1"/>
  <c r="J493" i="25"/>
  <c r="N477" i="25" s="1"/>
  <c r="J492" i="25"/>
  <c r="J491" i="25"/>
  <c r="M479" i="25" s="1"/>
  <c r="J490" i="25"/>
  <c r="M478" i="25" s="1"/>
  <c r="J489" i="25"/>
  <c r="J488" i="25"/>
  <c r="J487" i="25"/>
  <c r="L479" i="25" s="1"/>
  <c r="J486" i="25"/>
  <c r="L478" i="25" s="1"/>
  <c r="J485" i="25"/>
  <c r="L477" i="25" s="1"/>
  <c r="J484" i="25"/>
  <c r="L476" i="25" s="1"/>
  <c r="J483" i="25"/>
  <c r="K479" i="25" s="1"/>
  <c r="J482" i="25"/>
  <c r="K478" i="25" s="1"/>
  <c r="J481" i="25"/>
  <c r="J480" i="25"/>
  <c r="K476" i="25" s="1"/>
  <c r="N479" i="25"/>
  <c r="J479" i="25"/>
  <c r="J478" i="25"/>
  <c r="M477" i="25"/>
  <c r="K477" i="25"/>
  <c r="J477" i="25"/>
  <c r="O476" i="25"/>
  <c r="N476" i="25"/>
  <c r="M476" i="25"/>
  <c r="J476" i="25"/>
  <c r="J389" i="25"/>
  <c r="O369" i="25" s="1"/>
  <c r="J388" i="25"/>
  <c r="J387" i="25"/>
  <c r="J386" i="25"/>
  <c r="O366" i="25" s="1"/>
  <c r="J385" i="25"/>
  <c r="N369" i="25" s="1"/>
  <c r="J384" i="25"/>
  <c r="N368" i="25" s="1"/>
  <c r="J383" i="25"/>
  <c r="N367" i="25" s="1"/>
  <c r="J382" i="25"/>
  <c r="N366" i="25" s="1"/>
  <c r="J381" i="25"/>
  <c r="M369" i="25" s="1"/>
  <c r="J380" i="25"/>
  <c r="M368" i="25" s="1"/>
  <c r="J379" i="25"/>
  <c r="M367" i="25" s="1"/>
  <c r="J378" i="25"/>
  <c r="M366" i="25" s="1"/>
  <c r="J377" i="25"/>
  <c r="L369" i="25" s="1"/>
  <c r="J376" i="25"/>
  <c r="L368" i="25" s="1"/>
  <c r="J375" i="25"/>
  <c r="L367" i="25" s="1"/>
  <c r="J374" i="25"/>
  <c r="L366" i="25" s="1"/>
  <c r="J373" i="25"/>
  <c r="J372" i="25"/>
  <c r="J371" i="25"/>
  <c r="J370" i="25"/>
  <c r="K366" i="25" s="1"/>
  <c r="K369" i="25"/>
  <c r="J369" i="25"/>
  <c r="O368" i="25"/>
  <c r="K368" i="25"/>
  <c r="J368" i="25"/>
  <c r="O367" i="25"/>
  <c r="K367" i="25"/>
  <c r="J367" i="25"/>
  <c r="J366" i="25"/>
  <c r="J273" i="25"/>
  <c r="J272" i="25"/>
  <c r="O262" i="25" s="1"/>
  <c r="J271" i="25"/>
  <c r="N263" i="25" s="1"/>
  <c r="J270" i="25"/>
  <c r="N262" i="25" s="1"/>
  <c r="J269" i="25"/>
  <c r="M263" i="25" s="1"/>
  <c r="J268" i="25"/>
  <c r="M262" i="25" s="1"/>
  <c r="J267" i="25"/>
  <c r="L263" i="25" s="1"/>
  <c r="J266" i="25"/>
  <c r="L262" i="25" s="1"/>
  <c r="J265" i="25"/>
  <c r="K263" i="25" s="1"/>
  <c r="J264" i="25"/>
  <c r="K262" i="25" s="1"/>
  <c r="O263" i="25"/>
  <c r="J263" i="25"/>
  <c r="J262" i="25"/>
  <c r="J187" i="25"/>
  <c r="O177" i="25" s="1"/>
  <c r="J186" i="25"/>
  <c r="O176" i="25" s="1"/>
  <c r="J185" i="25"/>
  <c r="N177" i="25" s="1"/>
  <c r="J184" i="25"/>
  <c r="N176" i="25" s="1"/>
  <c r="J183" i="25"/>
  <c r="M177" i="25" s="1"/>
  <c r="J182" i="25"/>
  <c r="M176" i="25" s="1"/>
  <c r="J181" i="25"/>
  <c r="L177" i="25" s="1"/>
  <c r="J180" i="25"/>
  <c r="L176" i="25" s="1"/>
  <c r="J179" i="25"/>
  <c r="K177" i="25" s="1"/>
  <c r="J178" i="25"/>
  <c r="J177" i="25"/>
  <c r="K176" i="25"/>
  <c r="J176" i="25"/>
  <c r="J101" i="25"/>
  <c r="O86" i="25" s="1"/>
  <c r="J100" i="25"/>
  <c r="O85" i="25" s="1"/>
  <c r="J99" i="25"/>
  <c r="O84" i="25" s="1"/>
  <c r="J98" i="25"/>
  <c r="N86" i="25" s="1"/>
  <c r="J97" i="25"/>
  <c r="N85" i="25" s="1"/>
  <c r="J96" i="25"/>
  <c r="J95" i="25"/>
  <c r="M86" i="25" s="1"/>
  <c r="J94" i="25"/>
  <c r="M85" i="25" s="1"/>
  <c r="J93" i="25"/>
  <c r="M84" i="25" s="1"/>
  <c r="J92" i="25"/>
  <c r="J91" i="25"/>
  <c r="J90" i="25"/>
  <c r="J89" i="25"/>
  <c r="K86" i="25" s="1"/>
  <c r="J88" i="25"/>
  <c r="K85" i="25" s="1"/>
  <c r="J87" i="25"/>
  <c r="K84" i="25" s="1"/>
  <c r="L86" i="25"/>
  <c r="J86" i="25"/>
  <c r="L85" i="25"/>
  <c r="J85" i="25"/>
  <c r="N84" i="25"/>
  <c r="L84" i="25"/>
  <c r="J84" i="25"/>
  <c r="J1554" i="24"/>
  <c r="J1553" i="24"/>
  <c r="O1543" i="24" s="1"/>
  <c r="J1552" i="24"/>
  <c r="J1551" i="24"/>
  <c r="N1543" i="24" s="1"/>
  <c r="J1550" i="24"/>
  <c r="J1549" i="24"/>
  <c r="M1543" i="24" s="1"/>
  <c r="J1548" i="24"/>
  <c r="J1547" i="24"/>
  <c r="L1543" i="24" s="1"/>
  <c r="J1546" i="24"/>
  <c r="J1545" i="24"/>
  <c r="K1543" i="24" s="1"/>
  <c r="O1544" i="24"/>
  <c r="N1544" i="24"/>
  <c r="M1544" i="24"/>
  <c r="L1544" i="24"/>
  <c r="K1544" i="24"/>
  <c r="J1544" i="24"/>
  <c r="J1543" i="24"/>
  <c r="J1463" i="24"/>
  <c r="O1453" i="24" s="1"/>
  <c r="J1462" i="24"/>
  <c r="O1452" i="24" s="1"/>
  <c r="J1461" i="24"/>
  <c r="N1453" i="24" s="1"/>
  <c r="J1460" i="24"/>
  <c r="N1452" i="24" s="1"/>
  <c r="J1459" i="24"/>
  <c r="M1453" i="24" s="1"/>
  <c r="J1458" i="24"/>
  <c r="M1452" i="24" s="1"/>
  <c r="J1457" i="24"/>
  <c r="L1453" i="24" s="1"/>
  <c r="J1456" i="24"/>
  <c r="L1452" i="24" s="1"/>
  <c r="J1455" i="24"/>
  <c r="K1453" i="24" s="1"/>
  <c r="J1454" i="24"/>
  <c r="K1452" i="24" s="1"/>
  <c r="J1453" i="24"/>
  <c r="J1452" i="24"/>
  <c r="J1372" i="24"/>
  <c r="O1362" i="24" s="1"/>
  <c r="J1371" i="24"/>
  <c r="O1361" i="24" s="1"/>
  <c r="J1370" i="24"/>
  <c r="N1362" i="24" s="1"/>
  <c r="J1369" i="24"/>
  <c r="N1361" i="24" s="1"/>
  <c r="J1368" i="24"/>
  <c r="J1367" i="24"/>
  <c r="J1366" i="24"/>
  <c r="J1365" i="24"/>
  <c r="J1364" i="24"/>
  <c r="J1363" i="24"/>
  <c r="K1361" i="24" s="1"/>
  <c r="M1362" i="24"/>
  <c r="L1362" i="24"/>
  <c r="K1362" i="24"/>
  <c r="J1362" i="24"/>
  <c r="M1361" i="24"/>
  <c r="L1361" i="24"/>
  <c r="J1361" i="24"/>
  <c r="J1281" i="24"/>
  <c r="J1280" i="24"/>
  <c r="O1270" i="24" s="1"/>
  <c r="J1279" i="24"/>
  <c r="J1278" i="24"/>
  <c r="N1270" i="24" s="1"/>
  <c r="J1277" i="24"/>
  <c r="J1276" i="24"/>
  <c r="M1270" i="24" s="1"/>
  <c r="J1275" i="24"/>
  <c r="J1274" i="24"/>
  <c r="L1270" i="24" s="1"/>
  <c r="J1273" i="24"/>
  <c r="K1271" i="24" s="1"/>
  <c r="J1272" i="24"/>
  <c r="K1270" i="24" s="1"/>
  <c r="O1271" i="24"/>
  <c r="N1271" i="24"/>
  <c r="M1271" i="24"/>
  <c r="L1271" i="24"/>
  <c r="J1271" i="24"/>
  <c r="J1270" i="24"/>
  <c r="J1192" i="24"/>
  <c r="O1182" i="24" s="1"/>
  <c r="J1191" i="24"/>
  <c r="O1181" i="24" s="1"/>
  <c r="J1190" i="24"/>
  <c r="N1182" i="24" s="1"/>
  <c r="J1189" i="24"/>
  <c r="N1181" i="24" s="1"/>
  <c r="J1188" i="24"/>
  <c r="M1182" i="24" s="1"/>
  <c r="J1187" i="24"/>
  <c r="M1181" i="24" s="1"/>
  <c r="J1186" i="24"/>
  <c r="L1182" i="24" s="1"/>
  <c r="J1185" i="24"/>
  <c r="L1181" i="24" s="1"/>
  <c r="J1184" i="24"/>
  <c r="J1183" i="24"/>
  <c r="K1182" i="24"/>
  <c r="J1182" i="24"/>
  <c r="K1181" i="24"/>
  <c r="J1181" i="24"/>
  <c r="J1103" i="24"/>
  <c r="O1093" i="24" s="1"/>
  <c r="J1102" i="24"/>
  <c r="O1092" i="24" s="1"/>
  <c r="J1101" i="24"/>
  <c r="J1100" i="24"/>
  <c r="J1099" i="24"/>
  <c r="J1098" i="24"/>
  <c r="M1092" i="24" s="1"/>
  <c r="J1097" i="24"/>
  <c r="J1096" i="24"/>
  <c r="L1092" i="24" s="1"/>
  <c r="J1095" i="24"/>
  <c r="J1094" i="24"/>
  <c r="K1092" i="24" s="1"/>
  <c r="N1093" i="24"/>
  <c r="M1093" i="24"/>
  <c r="L1093" i="24"/>
  <c r="K1093" i="24"/>
  <c r="J1093" i="24"/>
  <c r="N1092" i="24"/>
  <c r="J1092" i="24"/>
  <c r="J1011" i="24"/>
  <c r="O996" i="24" s="1"/>
  <c r="J1010" i="24"/>
  <c r="J1009" i="24"/>
  <c r="J1008" i="24"/>
  <c r="N996" i="24" s="1"/>
  <c r="J1007" i="24"/>
  <c r="J1006" i="24"/>
  <c r="N994" i="24" s="1"/>
  <c r="J1005" i="24"/>
  <c r="M996" i="24" s="1"/>
  <c r="J1004" i="24"/>
  <c r="M995" i="24" s="1"/>
  <c r="J1003" i="24"/>
  <c r="M994" i="24" s="1"/>
  <c r="J1002" i="24"/>
  <c r="L996" i="24" s="1"/>
  <c r="J1001" i="24"/>
  <c r="L995" i="24" s="1"/>
  <c r="J1000" i="24"/>
  <c r="L994" i="24" s="1"/>
  <c r="J999" i="24"/>
  <c r="J998" i="24"/>
  <c r="J997" i="24"/>
  <c r="K996" i="24"/>
  <c r="J996" i="24"/>
  <c r="O995" i="24"/>
  <c r="N995" i="24"/>
  <c r="K995" i="24"/>
  <c r="J995" i="24"/>
  <c r="O994" i="24"/>
  <c r="K994" i="24"/>
  <c r="J994" i="24"/>
  <c r="J907" i="24"/>
  <c r="O892" i="24" s="1"/>
  <c r="J906" i="24"/>
  <c r="J905" i="24"/>
  <c r="O890" i="24" s="1"/>
  <c r="J904" i="24"/>
  <c r="N892" i="24" s="1"/>
  <c r="J903" i="24"/>
  <c r="J902" i="24"/>
  <c r="N890" i="24" s="1"/>
  <c r="J901" i="24"/>
  <c r="M892" i="24" s="1"/>
  <c r="J900" i="24"/>
  <c r="M891" i="24" s="1"/>
  <c r="J899" i="24"/>
  <c r="M890" i="24" s="1"/>
  <c r="J898" i="24"/>
  <c r="L892" i="24" s="1"/>
  <c r="J897" i="24"/>
  <c r="L891" i="24" s="1"/>
  <c r="J896" i="24"/>
  <c r="J895" i="24"/>
  <c r="J894" i="24"/>
  <c r="J893" i="24"/>
  <c r="K892" i="24"/>
  <c r="J892" i="24"/>
  <c r="O891" i="24"/>
  <c r="N891" i="24"/>
  <c r="K891" i="24"/>
  <c r="J891" i="24"/>
  <c r="L890" i="24"/>
  <c r="K890" i="24"/>
  <c r="J890" i="24"/>
  <c r="J803" i="24"/>
  <c r="O788" i="24" s="1"/>
  <c r="J802" i="24"/>
  <c r="J801" i="24"/>
  <c r="O786" i="24" s="1"/>
  <c r="J800" i="24"/>
  <c r="N788" i="24" s="1"/>
  <c r="J799" i="24"/>
  <c r="J798" i="24"/>
  <c r="N786" i="24" s="1"/>
  <c r="J797" i="24"/>
  <c r="M788" i="24" s="1"/>
  <c r="J796" i="24"/>
  <c r="J795" i="24"/>
  <c r="M786" i="24" s="1"/>
  <c r="J794" i="24"/>
  <c r="L788" i="24" s="1"/>
  <c r="J793" i="24"/>
  <c r="J792" i="24"/>
  <c r="J791" i="24"/>
  <c r="J790" i="24"/>
  <c r="J789" i="24"/>
  <c r="K788" i="24"/>
  <c r="J788" i="24"/>
  <c r="O787" i="24"/>
  <c r="N787" i="24"/>
  <c r="M787" i="24"/>
  <c r="L787" i="24"/>
  <c r="K787" i="24"/>
  <c r="J787" i="24"/>
  <c r="L786" i="24"/>
  <c r="K786" i="24"/>
  <c r="J786" i="24"/>
  <c r="J699" i="24"/>
  <c r="O689" i="24" s="1"/>
  <c r="J698" i="24"/>
  <c r="O688" i="24" s="1"/>
  <c r="J697" i="24"/>
  <c r="N689" i="24" s="1"/>
  <c r="J696" i="24"/>
  <c r="N688" i="24" s="1"/>
  <c r="J695" i="24"/>
  <c r="M689" i="24" s="1"/>
  <c r="J694" i="24"/>
  <c r="M688" i="24" s="1"/>
  <c r="J693" i="24"/>
  <c r="L689" i="24" s="1"/>
  <c r="J692" i="24"/>
  <c r="L688" i="24" s="1"/>
  <c r="J691" i="24"/>
  <c r="K689" i="24" s="1"/>
  <c r="J690" i="24"/>
  <c r="J689" i="24"/>
  <c r="K688" i="24"/>
  <c r="J688" i="24"/>
  <c r="J609" i="24"/>
  <c r="O589" i="24" s="1"/>
  <c r="J608" i="24"/>
  <c r="O588" i="24" s="1"/>
  <c r="J607" i="24"/>
  <c r="O587" i="24" s="1"/>
  <c r="J606" i="24"/>
  <c r="J605" i="24"/>
  <c r="J604" i="24"/>
  <c r="J603" i="24"/>
  <c r="J602" i="24"/>
  <c r="N586" i="24" s="1"/>
  <c r="J601" i="24"/>
  <c r="M589" i="24" s="1"/>
  <c r="J600" i="24"/>
  <c r="J599" i="24"/>
  <c r="J598" i="24"/>
  <c r="M586" i="24" s="1"/>
  <c r="J597" i="24"/>
  <c r="L589" i="24" s="1"/>
  <c r="J596" i="24"/>
  <c r="L588" i="24" s="1"/>
  <c r="J595" i="24"/>
  <c r="L587" i="24" s="1"/>
  <c r="J594" i="24"/>
  <c r="L586" i="24" s="1"/>
  <c r="J593" i="24"/>
  <c r="K589" i="24" s="1"/>
  <c r="J592" i="24"/>
  <c r="K588" i="24" s="1"/>
  <c r="J591" i="24"/>
  <c r="K587" i="24" s="1"/>
  <c r="J590" i="24"/>
  <c r="N589" i="24"/>
  <c r="J589" i="24"/>
  <c r="N588" i="24"/>
  <c r="M588" i="24"/>
  <c r="J588" i="24"/>
  <c r="N587" i="24"/>
  <c r="M587" i="24"/>
  <c r="J587" i="24"/>
  <c r="O586" i="24"/>
  <c r="K586" i="24"/>
  <c r="J586" i="24"/>
  <c r="J499" i="24"/>
  <c r="J498" i="24"/>
  <c r="O478" i="24" s="1"/>
  <c r="J497" i="24"/>
  <c r="O477" i="24" s="1"/>
  <c r="J496" i="24"/>
  <c r="J495" i="24"/>
  <c r="J494" i="24"/>
  <c r="N478" i="24" s="1"/>
  <c r="J493" i="24"/>
  <c r="N477" i="24" s="1"/>
  <c r="J492" i="24"/>
  <c r="J491" i="24"/>
  <c r="J490" i="24"/>
  <c r="J489" i="24"/>
  <c r="J488" i="24"/>
  <c r="M476" i="24" s="1"/>
  <c r="J487" i="24"/>
  <c r="L479" i="24" s="1"/>
  <c r="J486" i="24"/>
  <c r="L478" i="24" s="1"/>
  <c r="J485" i="24"/>
  <c r="J484" i="24"/>
  <c r="L476" i="24" s="1"/>
  <c r="J483" i="24"/>
  <c r="K479" i="24" s="1"/>
  <c r="J482" i="24"/>
  <c r="K478" i="24" s="1"/>
  <c r="J481" i="24"/>
  <c r="J480" i="24"/>
  <c r="K476" i="24" s="1"/>
  <c r="O479" i="24"/>
  <c r="N479" i="24"/>
  <c r="M479" i="24"/>
  <c r="J479" i="24"/>
  <c r="M478" i="24"/>
  <c r="J478" i="24"/>
  <c r="M477" i="24"/>
  <c r="L477" i="24"/>
  <c r="K477" i="24"/>
  <c r="J477" i="24"/>
  <c r="O476" i="24"/>
  <c r="N476" i="24"/>
  <c r="J476" i="24"/>
  <c r="J389" i="24"/>
  <c r="J388" i="24"/>
  <c r="J387" i="24"/>
  <c r="O367" i="24" s="1"/>
  <c r="J386" i="24"/>
  <c r="J385" i="24"/>
  <c r="J384" i="24"/>
  <c r="N368" i="24" s="1"/>
  <c r="J383" i="24"/>
  <c r="N367" i="24" s="1"/>
  <c r="J382" i="24"/>
  <c r="J381" i="24"/>
  <c r="M369" i="24" s="1"/>
  <c r="J380" i="24"/>
  <c r="M368" i="24" s="1"/>
  <c r="J379" i="24"/>
  <c r="M367" i="24" s="1"/>
  <c r="J378" i="24"/>
  <c r="J377" i="24"/>
  <c r="J376" i="24"/>
  <c r="L368" i="24" s="1"/>
  <c r="J375" i="24"/>
  <c r="J374" i="24"/>
  <c r="J373" i="24"/>
  <c r="J372" i="24"/>
  <c r="K368" i="24" s="1"/>
  <c r="J371" i="24"/>
  <c r="J370" i="24"/>
  <c r="O369" i="24"/>
  <c r="N369" i="24"/>
  <c r="L369" i="24"/>
  <c r="K369" i="24"/>
  <c r="J369" i="24"/>
  <c r="O368" i="24"/>
  <c r="J368" i="24"/>
  <c r="L367" i="24"/>
  <c r="K367" i="24"/>
  <c r="J367" i="24"/>
  <c r="O366" i="24"/>
  <c r="N366" i="24"/>
  <c r="M366" i="24"/>
  <c r="L366" i="24"/>
  <c r="K366" i="24"/>
  <c r="J366" i="24"/>
  <c r="J273" i="24"/>
  <c r="J272" i="24"/>
  <c r="O262" i="24" s="1"/>
  <c r="J271" i="24"/>
  <c r="J270" i="24"/>
  <c r="N262" i="24" s="1"/>
  <c r="J269" i="24"/>
  <c r="J268" i="24"/>
  <c r="M262" i="24" s="1"/>
  <c r="J267" i="24"/>
  <c r="J266" i="24"/>
  <c r="L262" i="24" s="1"/>
  <c r="J265" i="24"/>
  <c r="J264" i="24"/>
  <c r="K262" i="24" s="1"/>
  <c r="O263" i="24"/>
  <c r="N263" i="24"/>
  <c r="M263" i="24"/>
  <c r="L263" i="24"/>
  <c r="K263" i="24"/>
  <c r="J263" i="24"/>
  <c r="J262" i="24"/>
  <c r="J187" i="24"/>
  <c r="O177" i="24" s="1"/>
  <c r="J186" i="24"/>
  <c r="O176" i="24" s="1"/>
  <c r="J185" i="24"/>
  <c r="N177" i="24" s="1"/>
  <c r="J184" i="24"/>
  <c r="N176" i="24" s="1"/>
  <c r="J183" i="24"/>
  <c r="M177" i="24" s="1"/>
  <c r="J182" i="24"/>
  <c r="M176" i="24" s="1"/>
  <c r="J181" i="24"/>
  <c r="L177" i="24" s="1"/>
  <c r="J180" i="24"/>
  <c r="L176" i="24" s="1"/>
  <c r="J179" i="24"/>
  <c r="K177" i="24" s="1"/>
  <c r="J178" i="24"/>
  <c r="J177" i="24"/>
  <c r="K176" i="24"/>
  <c r="J176" i="24"/>
  <c r="J101" i="24"/>
  <c r="O86" i="24" s="1"/>
  <c r="J100" i="24"/>
  <c r="O85" i="24" s="1"/>
  <c r="J99" i="24"/>
  <c r="O84" i="24" s="1"/>
  <c r="J98" i="24"/>
  <c r="J97" i="24"/>
  <c r="J96" i="24"/>
  <c r="J95" i="24"/>
  <c r="J94" i="24"/>
  <c r="M85" i="24" s="1"/>
  <c r="J93" i="24"/>
  <c r="J92" i="24"/>
  <c r="J91" i="24"/>
  <c r="L85" i="24" s="1"/>
  <c r="J90" i="24"/>
  <c r="J89" i="24"/>
  <c r="K86" i="24" s="1"/>
  <c r="J88" i="24"/>
  <c r="K85" i="24" s="1"/>
  <c r="J87" i="24"/>
  <c r="N86" i="24"/>
  <c r="M86" i="24"/>
  <c r="L86" i="24"/>
  <c r="J86" i="24"/>
  <c r="N85" i="24"/>
  <c r="J85" i="24"/>
  <c r="N84" i="24"/>
  <c r="M84" i="24"/>
  <c r="L84" i="24"/>
  <c r="K84" i="24"/>
  <c r="J84" i="24"/>
  <c r="J1554" i="23"/>
  <c r="J1553" i="23"/>
  <c r="O1543" i="23" s="1"/>
  <c r="J1552" i="23"/>
  <c r="J1551" i="23"/>
  <c r="N1543" i="23" s="1"/>
  <c r="J1550" i="23"/>
  <c r="J1549" i="23"/>
  <c r="M1543" i="23" s="1"/>
  <c r="J1548" i="23"/>
  <c r="J1547" i="23"/>
  <c r="L1543" i="23" s="1"/>
  <c r="J1546" i="23"/>
  <c r="J1545" i="23"/>
  <c r="K1543" i="23" s="1"/>
  <c r="O1544" i="23"/>
  <c r="N1544" i="23"/>
  <c r="M1544" i="23"/>
  <c r="L1544" i="23"/>
  <c r="K1544" i="23"/>
  <c r="J1544" i="23"/>
  <c r="J1543" i="23"/>
  <c r="J1463" i="23"/>
  <c r="J1462" i="23"/>
  <c r="O1452" i="23" s="1"/>
  <c r="J1461" i="23"/>
  <c r="N1453" i="23" s="1"/>
  <c r="J1460" i="23"/>
  <c r="N1452" i="23" s="1"/>
  <c r="J1459" i="23"/>
  <c r="M1453" i="23" s="1"/>
  <c r="J1458" i="23"/>
  <c r="M1452" i="23" s="1"/>
  <c r="J1457" i="23"/>
  <c r="L1453" i="23" s="1"/>
  <c r="J1456" i="23"/>
  <c r="L1452" i="23" s="1"/>
  <c r="J1455" i="23"/>
  <c r="K1453" i="23" s="1"/>
  <c r="J1454" i="23"/>
  <c r="K1452" i="23" s="1"/>
  <c r="O1453" i="23"/>
  <c r="J1453" i="23"/>
  <c r="J1452" i="23"/>
  <c r="J1372" i="23"/>
  <c r="O1362" i="23" s="1"/>
  <c r="J1371" i="23"/>
  <c r="O1361" i="23" s="1"/>
  <c r="J1370" i="23"/>
  <c r="N1362" i="23" s="1"/>
  <c r="J1369" i="23"/>
  <c r="N1361" i="23" s="1"/>
  <c r="J1368" i="23"/>
  <c r="J1367" i="23"/>
  <c r="J1366" i="23"/>
  <c r="J1365" i="23"/>
  <c r="L1361" i="23" s="1"/>
  <c r="J1364" i="23"/>
  <c r="J1363" i="23"/>
  <c r="K1361" i="23" s="1"/>
  <c r="M1362" i="23"/>
  <c r="L1362" i="23"/>
  <c r="K1362" i="23"/>
  <c r="J1362" i="23"/>
  <c r="M1361" i="23"/>
  <c r="J1361" i="23"/>
  <c r="J1281" i="23"/>
  <c r="J1280" i="23"/>
  <c r="O1270" i="23" s="1"/>
  <c r="J1279" i="23"/>
  <c r="J1278" i="23"/>
  <c r="N1270" i="23" s="1"/>
  <c r="J1277" i="23"/>
  <c r="J1276" i="23"/>
  <c r="M1270" i="23" s="1"/>
  <c r="J1275" i="23"/>
  <c r="J1274" i="23"/>
  <c r="L1270" i="23" s="1"/>
  <c r="J1273" i="23"/>
  <c r="K1271" i="23" s="1"/>
  <c r="J1272" i="23"/>
  <c r="K1270" i="23" s="1"/>
  <c r="O1271" i="23"/>
  <c r="N1271" i="23"/>
  <c r="M1271" i="23"/>
  <c r="L1271" i="23"/>
  <c r="J1271" i="23"/>
  <c r="J1270" i="23"/>
  <c r="J1192" i="23"/>
  <c r="O1182" i="23" s="1"/>
  <c r="J1191" i="23"/>
  <c r="O1181" i="23" s="1"/>
  <c r="J1190" i="23"/>
  <c r="N1182" i="23" s="1"/>
  <c r="J1189" i="23"/>
  <c r="N1181" i="23" s="1"/>
  <c r="J1188" i="23"/>
  <c r="M1182" i="23" s="1"/>
  <c r="J1187" i="23"/>
  <c r="M1181" i="23" s="1"/>
  <c r="J1186" i="23"/>
  <c r="L1182" i="23" s="1"/>
  <c r="J1185" i="23"/>
  <c r="L1181" i="23" s="1"/>
  <c r="J1184" i="23"/>
  <c r="K1182" i="23" s="1"/>
  <c r="J1183" i="23"/>
  <c r="J1182" i="23"/>
  <c r="K1181" i="23"/>
  <c r="J1181" i="23"/>
  <c r="J1103" i="23"/>
  <c r="O1093" i="23" s="1"/>
  <c r="J1102" i="23"/>
  <c r="O1092" i="23" s="1"/>
  <c r="J1101" i="23"/>
  <c r="J1100" i="23"/>
  <c r="N1092" i="23" s="1"/>
  <c r="J1099" i="23"/>
  <c r="J1098" i="23"/>
  <c r="M1092" i="23" s="1"/>
  <c r="J1097" i="23"/>
  <c r="J1096" i="23"/>
  <c r="L1092" i="23" s="1"/>
  <c r="J1095" i="23"/>
  <c r="J1094" i="23"/>
  <c r="K1092" i="23" s="1"/>
  <c r="N1093" i="23"/>
  <c r="M1093" i="23"/>
  <c r="L1093" i="23"/>
  <c r="K1093" i="23"/>
  <c r="J1093" i="23"/>
  <c r="J1092" i="23"/>
  <c r="J1011" i="23"/>
  <c r="O996" i="23" s="1"/>
  <c r="J1010" i="23"/>
  <c r="J1009" i="23"/>
  <c r="J1008" i="23"/>
  <c r="N996" i="23" s="1"/>
  <c r="J1007" i="23"/>
  <c r="N995" i="23" s="1"/>
  <c r="J1006" i="23"/>
  <c r="N994" i="23" s="1"/>
  <c r="J1005" i="23"/>
  <c r="M996" i="23" s="1"/>
  <c r="J1004" i="23"/>
  <c r="M995" i="23" s="1"/>
  <c r="J1003" i="23"/>
  <c r="M994" i="23" s="1"/>
  <c r="J1002" i="23"/>
  <c r="L996" i="23" s="1"/>
  <c r="J1001" i="23"/>
  <c r="L995" i="23" s="1"/>
  <c r="J1000" i="23"/>
  <c r="L994" i="23" s="1"/>
  <c r="J999" i="23"/>
  <c r="J998" i="23"/>
  <c r="J997" i="23"/>
  <c r="K994" i="23" s="1"/>
  <c r="K996" i="23"/>
  <c r="J996" i="23"/>
  <c r="O995" i="23"/>
  <c r="K995" i="23"/>
  <c r="J995" i="23"/>
  <c r="O994" i="23"/>
  <c r="J994" i="23"/>
  <c r="J907" i="23"/>
  <c r="O892" i="23" s="1"/>
  <c r="J906" i="23"/>
  <c r="O891" i="23" s="1"/>
  <c r="J905" i="23"/>
  <c r="O890" i="23" s="1"/>
  <c r="J904" i="23"/>
  <c r="N892" i="23" s="1"/>
  <c r="J903" i="23"/>
  <c r="J902" i="23"/>
  <c r="N890" i="23" s="1"/>
  <c r="J901" i="23"/>
  <c r="M892" i="23" s="1"/>
  <c r="J900" i="23"/>
  <c r="M891" i="23" s="1"/>
  <c r="J899" i="23"/>
  <c r="M890" i="23" s="1"/>
  <c r="J898" i="23"/>
  <c r="L892" i="23" s="1"/>
  <c r="J897" i="23"/>
  <c r="L891" i="23" s="1"/>
  <c r="J896" i="23"/>
  <c r="L890" i="23" s="1"/>
  <c r="J895" i="23"/>
  <c r="J894" i="23"/>
  <c r="J893" i="23"/>
  <c r="K890" i="23" s="1"/>
  <c r="K892" i="23"/>
  <c r="J892" i="23"/>
  <c r="N891" i="23"/>
  <c r="K891" i="23"/>
  <c r="J891" i="23"/>
  <c r="J890" i="23"/>
  <c r="J803" i="23"/>
  <c r="O788" i="23" s="1"/>
  <c r="J802" i="23"/>
  <c r="J801" i="23"/>
  <c r="O786" i="23" s="1"/>
  <c r="J800" i="23"/>
  <c r="N788" i="23" s="1"/>
  <c r="J799" i="23"/>
  <c r="N787" i="23" s="1"/>
  <c r="J798" i="23"/>
  <c r="N786" i="23" s="1"/>
  <c r="J797" i="23"/>
  <c r="M788" i="23" s="1"/>
  <c r="J796" i="23"/>
  <c r="M787" i="23" s="1"/>
  <c r="J795" i="23"/>
  <c r="M786" i="23" s="1"/>
  <c r="J794" i="23"/>
  <c r="L788" i="23" s="1"/>
  <c r="J793" i="23"/>
  <c r="L787" i="23" s="1"/>
  <c r="J792" i="23"/>
  <c r="L786" i="23" s="1"/>
  <c r="J791" i="23"/>
  <c r="K788" i="23" s="1"/>
  <c r="J790" i="23"/>
  <c r="J789" i="23"/>
  <c r="J788" i="23"/>
  <c r="O787" i="23"/>
  <c r="K787" i="23"/>
  <c r="J787" i="23"/>
  <c r="K786" i="23"/>
  <c r="J786" i="23"/>
  <c r="J699" i="23"/>
  <c r="O689" i="23" s="1"/>
  <c r="J698" i="23"/>
  <c r="O688" i="23" s="1"/>
  <c r="J697" i="23"/>
  <c r="N689" i="23" s="1"/>
  <c r="J696" i="23"/>
  <c r="N688" i="23" s="1"/>
  <c r="J695" i="23"/>
  <c r="M689" i="23" s="1"/>
  <c r="J694" i="23"/>
  <c r="M688" i="23" s="1"/>
  <c r="J693" i="23"/>
  <c r="L689" i="23" s="1"/>
  <c r="J692" i="23"/>
  <c r="L688" i="23" s="1"/>
  <c r="J691" i="23"/>
  <c r="K689" i="23" s="1"/>
  <c r="J690" i="23"/>
  <c r="J689" i="23"/>
  <c r="K688" i="23"/>
  <c r="J688" i="23"/>
  <c r="J609" i="23"/>
  <c r="O589" i="23" s="1"/>
  <c r="J608" i="23"/>
  <c r="O588" i="23" s="1"/>
  <c r="J607" i="23"/>
  <c r="O587" i="23" s="1"/>
  <c r="J606" i="23"/>
  <c r="O586" i="23" s="1"/>
  <c r="J605" i="23"/>
  <c r="N589" i="23" s="1"/>
  <c r="J604" i="23"/>
  <c r="N588" i="23" s="1"/>
  <c r="J603" i="23"/>
  <c r="J602" i="23"/>
  <c r="J601" i="23"/>
  <c r="J600" i="23"/>
  <c r="M588" i="23" s="1"/>
  <c r="J599" i="23"/>
  <c r="J598" i="23"/>
  <c r="M586" i="23" s="1"/>
  <c r="J597" i="23"/>
  <c r="L589" i="23" s="1"/>
  <c r="J596" i="23"/>
  <c r="L588" i="23" s="1"/>
  <c r="J595" i="23"/>
  <c r="L587" i="23" s="1"/>
  <c r="J594" i="23"/>
  <c r="L586" i="23" s="1"/>
  <c r="J593" i="23"/>
  <c r="K589" i="23" s="1"/>
  <c r="J592" i="23"/>
  <c r="K588" i="23" s="1"/>
  <c r="J591" i="23"/>
  <c r="K587" i="23" s="1"/>
  <c r="J590" i="23"/>
  <c r="K586" i="23" s="1"/>
  <c r="M589" i="23"/>
  <c r="J589" i="23"/>
  <c r="J588" i="23"/>
  <c r="N587" i="23"/>
  <c r="M587" i="23"/>
  <c r="J587" i="23"/>
  <c r="N586" i="23"/>
  <c r="J586" i="23"/>
  <c r="J499" i="23"/>
  <c r="J498" i="23"/>
  <c r="O478" i="23" s="1"/>
  <c r="J497" i="23"/>
  <c r="O477" i="23" s="1"/>
  <c r="J496" i="23"/>
  <c r="O476" i="23" s="1"/>
  <c r="J495" i="23"/>
  <c r="J494" i="23"/>
  <c r="N478" i="23" s="1"/>
  <c r="J493" i="23"/>
  <c r="N477" i="23" s="1"/>
  <c r="J492" i="23"/>
  <c r="J491" i="23"/>
  <c r="M479" i="23" s="1"/>
  <c r="J490" i="23"/>
  <c r="M478" i="23" s="1"/>
  <c r="J489" i="23"/>
  <c r="J488" i="23"/>
  <c r="J487" i="23"/>
  <c r="L479" i="23" s="1"/>
  <c r="J486" i="23"/>
  <c r="L478" i="23" s="1"/>
  <c r="J485" i="23"/>
  <c r="L477" i="23" s="1"/>
  <c r="J484" i="23"/>
  <c r="L476" i="23" s="1"/>
  <c r="J483" i="23"/>
  <c r="K479" i="23" s="1"/>
  <c r="J482" i="23"/>
  <c r="K478" i="23" s="1"/>
  <c r="J481" i="23"/>
  <c r="K477" i="23" s="1"/>
  <c r="J480" i="23"/>
  <c r="K476" i="23" s="1"/>
  <c r="O479" i="23"/>
  <c r="N479" i="23"/>
  <c r="J479" i="23"/>
  <c r="J478" i="23"/>
  <c r="M477" i="23"/>
  <c r="J477" i="23"/>
  <c r="N476" i="23"/>
  <c r="M476" i="23"/>
  <c r="J476" i="23"/>
  <c r="J389" i="23"/>
  <c r="O369" i="23" s="1"/>
  <c r="J388" i="23"/>
  <c r="O368" i="23" s="1"/>
  <c r="J387" i="23"/>
  <c r="O367" i="23" s="1"/>
  <c r="J386" i="23"/>
  <c r="O366" i="23" s="1"/>
  <c r="J385" i="23"/>
  <c r="J384" i="23"/>
  <c r="N368" i="23" s="1"/>
  <c r="J383" i="23"/>
  <c r="N367" i="23" s="1"/>
  <c r="J382" i="23"/>
  <c r="N366" i="23" s="1"/>
  <c r="J381" i="23"/>
  <c r="M369" i="23" s="1"/>
  <c r="J380" i="23"/>
  <c r="M368" i="23" s="1"/>
  <c r="J379" i="23"/>
  <c r="M367" i="23" s="1"/>
  <c r="J378" i="23"/>
  <c r="J377" i="23"/>
  <c r="L369" i="23" s="1"/>
  <c r="J376" i="23"/>
  <c r="L368" i="23" s="1"/>
  <c r="J375" i="23"/>
  <c r="L367" i="23" s="1"/>
  <c r="J374" i="23"/>
  <c r="J373" i="23"/>
  <c r="K369" i="23" s="1"/>
  <c r="J372" i="23"/>
  <c r="K368" i="23" s="1"/>
  <c r="J371" i="23"/>
  <c r="K367" i="23" s="1"/>
  <c r="J370" i="23"/>
  <c r="K366" i="23" s="1"/>
  <c r="N369" i="23"/>
  <c r="J369" i="23"/>
  <c r="J368" i="23"/>
  <c r="J367" i="23"/>
  <c r="M366" i="23"/>
  <c r="L366" i="23"/>
  <c r="J366" i="23"/>
  <c r="J273" i="23"/>
  <c r="J272" i="23"/>
  <c r="O262" i="23" s="1"/>
  <c r="J271" i="23"/>
  <c r="J270" i="23"/>
  <c r="N262" i="23" s="1"/>
  <c r="J269" i="23"/>
  <c r="J268" i="23"/>
  <c r="M262" i="23" s="1"/>
  <c r="J267" i="23"/>
  <c r="J266" i="23"/>
  <c r="L262" i="23" s="1"/>
  <c r="J265" i="23"/>
  <c r="J264" i="23"/>
  <c r="K262" i="23" s="1"/>
  <c r="O263" i="23"/>
  <c r="N263" i="23"/>
  <c r="M263" i="23"/>
  <c r="L263" i="23"/>
  <c r="K263" i="23"/>
  <c r="J263" i="23"/>
  <c r="J262" i="23"/>
  <c r="J187" i="23"/>
  <c r="J186" i="23"/>
  <c r="O176" i="23" s="1"/>
  <c r="J185" i="23"/>
  <c r="N177" i="23" s="1"/>
  <c r="J184" i="23"/>
  <c r="N176" i="23" s="1"/>
  <c r="J183" i="23"/>
  <c r="M177" i="23" s="1"/>
  <c r="J182" i="23"/>
  <c r="M176" i="23" s="1"/>
  <c r="J181" i="23"/>
  <c r="L177" i="23" s="1"/>
  <c r="J180" i="23"/>
  <c r="L176" i="23" s="1"/>
  <c r="J179" i="23"/>
  <c r="K177" i="23" s="1"/>
  <c r="J178" i="23"/>
  <c r="O177" i="23"/>
  <c r="J177" i="23"/>
  <c r="K176" i="23"/>
  <c r="J176" i="23"/>
  <c r="J101" i="23"/>
  <c r="O86" i="23" s="1"/>
  <c r="J100" i="23"/>
  <c r="O85" i="23" s="1"/>
  <c r="J99" i="23"/>
  <c r="O84" i="23" s="1"/>
  <c r="J98" i="23"/>
  <c r="N86" i="23" s="1"/>
  <c r="J97" i="23"/>
  <c r="N85" i="23" s="1"/>
  <c r="J96" i="23"/>
  <c r="J95" i="23"/>
  <c r="M86" i="23" s="1"/>
  <c r="J94" i="23"/>
  <c r="M85" i="23" s="1"/>
  <c r="J93" i="23"/>
  <c r="M84" i="23" s="1"/>
  <c r="J92" i="23"/>
  <c r="L86" i="23" s="1"/>
  <c r="J91" i="23"/>
  <c r="L85" i="23" s="1"/>
  <c r="J90" i="23"/>
  <c r="L84" i="23" s="1"/>
  <c r="J89" i="23"/>
  <c r="K86" i="23" s="1"/>
  <c r="J88" i="23"/>
  <c r="K85" i="23" s="1"/>
  <c r="J87" i="23"/>
  <c r="K84" i="23" s="1"/>
  <c r="J86" i="23"/>
  <c r="J85" i="23"/>
  <c r="N84" i="23"/>
  <c r="J84" i="23"/>
  <c r="J1554" i="22"/>
  <c r="J1553" i="22"/>
  <c r="O1543" i="22" s="1"/>
  <c r="J1552" i="22"/>
  <c r="J1551" i="22"/>
  <c r="N1543" i="22" s="1"/>
  <c r="J1550" i="22"/>
  <c r="J1549" i="22"/>
  <c r="M1543" i="22" s="1"/>
  <c r="J1548" i="22"/>
  <c r="J1547" i="22"/>
  <c r="L1543" i="22" s="1"/>
  <c r="J1546" i="22"/>
  <c r="J1545" i="22"/>
  <c r="K1543" i="22" s="1"/>
  <c r="O1544" i="22"/>
  <c r="N1544" i="22"/>
  <c r="M1544" i="22"/>
  <c r="L1544" i="22"/>
  <c r="K1544" i="22"/>
  <c r="J1544" i="22"/>
  <c r="J1543" i="22"/>
  <c r="J1463" i="22"/>
  <c r="J1462" i="22"/>
  <c r="O1452" i="22" s="1"/>
  <c r="J1461" i="22"/>
  <c r="J1460" i="22"/>
  <c r="N1452" i="22" s="1"/>
  <c r="J1459" i="22"/>
  <c r="J1458" i="22"/>
  <c r="M1452" i="22" s="1"/>
  <c r="J1457" i="22"/>
  <c r="J1456" i="22"/>
  <c r="L1452" i="22" s="1"/>
  <c r="J1455" i="22"/>
  <c r="J1454" i="22"/>
  <c r="K1452" i="22" s="1"/>
  <c r="O1453" i="22"/>
  <c r="N1453" i="22"/>
  <c r="M1453" i="22"/>
  <c r="L1453" i="22"/>
  <c r="K1453" i="22"/>
  <c r="J1453" i="22"/>
  <c r="J1452" i="22"/>
  <c r="J1372" i="22"/>
  <c r="J1371" i="22"/>
  <c r="O1361" i="22" s="1"/>
  <c r="J1370" i="22"/>
  <c r="J1369" i="22"/>
  <c r="N1361" i="22" s="1"/>
  <c r="J1368" i="22"/>
  <c r="J1367" i="22"/>
  <c r="M1361" i="22" s="1"/>
  <c r="J1366" i="22"/>
  <c r="J1365" i="22"/>
  <c r="L1361" i="22" s="1"/>
  <c r="J1364" i="22"/>
  <c r="J1363" i="22"/>
  <c r="K1361" i="22" s="1"/>
  <c r="O1362" i="22"/>
  <c r="N1362" i="22"/>
  <c r="M1362" i="22"/>
  <c r="L1362" i="22"/>
  <c r="K1362" i="22"/>
  <c r="J1362" i="22"/>
  <c r="J1361" i="22"/>
  <c r="J1281" i="22"/>
  <c r="J1280" i="22"/>
  <c r="O1270" i="22" s="1"/>
  <c r="J1279" i="22"/>
  <c r="J1278" i="22"/>
  <c r="N1270" i="22" s="1"/>
  <c r="J1277" i="22"/>
  <c r="J1276" i="22"/>
  <c r="M1270" i="22" s="1"/>
  <c r="J1275" i="22"/>
  <c r="J1274" i="22"/>
  <c r="L1270" i="22" s="1"/>
  <c r="J1273" i="22"/>
  <c r="J1272" i="22"/>
  <c r="K1270" i="22" s="1"/>
  <c r="O1271" i="22"/>
  <c r="N1271" i="22"/>
  <c r="M1271" i="22"/>
  <c r="L1271" i="22"/>
  <c r="K1271" i="22"/>
  <c r="J1271" i="22"/>
  <c r="J1270" i="22"/>
  <c r="J1192" i="22"/>
  <c r="J1191" i="22"/>
  <c r="O1181" i="22" s="1"/>
  <c r="J1190" i="22"/>
  <c r="J1189" i="22"/>
  <c r="N1181" i="22" s="1"/>
  <c r="J1188" i="22"/>
  <c r="J1187" i="22"/>
  <c r="M1181" i="22" s="1"/>
  <c r="J1186" i="22"/>
  <c r="J1185" i="22"/>
  <c r="L1181" i="22" s="1"/>
  <c r="J1184" i="22"/>
  <c r="J1183" i="22"/>
  <c r="K1181" i="22" s="1"/>
  <c r="O1182" i="22"/>
  <c r="N1182" i="22"/>
  <c r="M1182" i="22"/>
  <c r="L1182" i="22"/>
  <c r="K1182" i="22"/>
  <c r="J1182" i="22"/>
  <c r="J1181" i="22"/>
  <c r="J1103" i="22"/>
  <c r="J1102" i="22"/>
  <c r="O1092" i="22" s="1"/>
  <c r="J1101" i="22"/>
  <c r="J1100" i="22"/>
  <c r="N1092" i="22" s="1"/>
  <c r="J1099" i="22"/>
  <c r="J1098" i="22"/>
  <c r="M1092" i="22" s="1"/>
  <c r="J1097" i="22"/>
  <c r="J1096" i="22"/>
  <c r="L1092" i="22" s="1"/>
  <c r="J1095" i="22"/>
  <c r="J1094" i="22"/>
  <c r="K1092" i="22" s="1"/>
  <c r="O1093" i="22"/>
  <c r="N1093" i="22"/>
  <c r="M1093" i="22"/>
  <c r="L1093" i="22"/>
  <c r="K1093" i="22"/>
  <c r="J1093" i="22"/>
  <c r="J1092" i="22"/>
  <c r="J1011" i="22"/>
  <c r="J1010" i="22"/>
  <c r="J1009" i="22"/>
  <c r="J1008" i="22"/>
  <c r="N996" i="22" s="1"/>
  <c r="J1007" i="22"/>
  <c r="J1006" i="22"/>
  <c r="J1005" i="22"/>
  <c r="M996" i="22" s="1"/>
  <c r="J1004" i="22"/>
  <c r="M995" i="22" s="1"/>
  <c r="J1003" i="22"/>
  <c r="J1002" i="22"/>
  <c r="L996" i="22" s="1"/>
  <c r="J1001" i="22"/>
  <c r="L995" i="22" s="1"/>
  <c r="J1000" i="22"/>
  <c r="J999" i="22"/>
  <c r="K996" i="22" s="1"/>
  <c r="J998" i="22"/>
  <c r="K995" i="22" s="1"/>
  <c r="J997" i="22"/>
  <c r="O996" i="22"/>
  <c r="J996" i="22"/>
  <c r="O995" i="22"/>
  <c r="N995" i="22"/>
  <c r="J995" i="22"/>
  <c r="O994" i="22"/>
  <c r="N994" i="22"/>
  <c r="M994" i="22"/>
  <c r="L994" i="22"/>
  <c r="K994" i="22"/>
  <c r="J994" i="22"/>
  <c r="J907" i="22"/>
  <c r="J906" i="22"/>
  <c r="J905" i="22"/>
  <c r="J904" i="22"/>
  <c r="N892" i="22" s="1"/>
  <c r="J903" i="22"/>
  <c r="J902" i="22"/>
  <c r="J901" i="22"/>
  <c r="M892" i="22" s="1"/>
  <c r="J900" i="22"/>
  <c r="J899" i="22"/>
  <c r="J898" i="22"/>
  <c r="L892" i="22" s="1"/>
  <c r="J897" i="22"/>
  <c r="L891" i="22" s="1"/>
  <c r="J896" i="22"/>
  <c r="J895" i="22"/>
  <c r="K892" i="22" s="1"/>
  <c r="J894" i="22"/>
  <c r="K891" i="22" s="1"/>
  <c r="J893" i="22"/>
  <c r="O892" i="22"/>
  <c r="J892" i="22"/>
  <c r="O891" i="22"/>
  <c r="N891" i="22"/>
  <c r="M891" i="22"/>
  <c r="J891" i="22"/>
  <c r="O890" i="22"/>
  <c r="N890" i="22"/>
  <c r="M890" i="22"/>
  <c r="L890" i="22"/>
  <c r="K890" i="22"/>
  <c r="J890" i="22"/>
  <c r="J803" i="22"/>
  <c r="J802" i="22"/>
  <c r="J801" i="22"/>
  <c r="J800" i="22"/>
  <c r="N788" i="22" s="1"/>
  <c r="J799" i="22"/>
  <c r="J798" i="22"/>
  <c r="J797" i="22"/>
  <c r="M788" i="22" s="1"/>
  <c r="J796" i="22"/>
  <c r="M787" i="22" s="1"/>
  <c r="J795" i="22"/>
  <c r="J794" i="22"/>
  <c r="L788" i="22" s="1"/>
  <c r="J793" i="22"/>
  <c r="L787" i="22" s="1"/>
  <c r="J792" i="22"/>
  <c r="J791" i="22"/>
  <c r="K788" i="22" s="1"/>
  <c r="J790" i="22"/>
  <c r="K787" i="22" s="1"/>
  <c r="J789" i="22"/>
  <c r="O788" i="22"/>
  <c r="J788" i="22"/>
  <c r="O787" i="22"/>
  <c r="N787" i="22"/>
  <c r="J787" i="22"/>
  <c r="O786" i="22"/>
  <c r="N786" i="22"/>
  <c r="M786" i="22"/>
  <c r="L786" i="22"/>
  <c r="K786" i="22"/>
  <c r="J786" i="22"/>
  <c r="J699" i="22"/>
  <c r="J698" i="22"/>
  <c r="O688" i="22" s="1"/>
  <c r="J697" i="22"/>
  <c r="J696" i="22"/>
  <c r="N688" i="22" s="1"/>
  <c r="J695" i="22"/>
  <c r="J694" i="22"/>
  <c r="M688" i="22" s="1"/>
  <c r="J693" i="22"/>
  <c r="J692" i="22"/>
  <c r="L688" i="22" s="1"/>
  <c r="J691" i="22"/>
  <c r="J690" i="22"/>
  <c r="K688" i="22" s="1"/>
  <c r="O689" i="22"/>
  <c r="N689" i="22"/>
  <c r="M689" i="22"/>
  <c r="L689" i="22"/>
  <c r="K689" i="22"/>
  <c r="J689" i="22"/>
  <c r="J688" i="22"/>
  <c r="J609" i="22"/>
  <c r="J608" i="22"/>
  <c r="J607" i="22"/>
  <c r="O587" i="22" s="1"/>
  <c r="J606" i="22"/>
  <c r="J605" i="22"/>
  <c r="J604" i="22"/>
  <c r="J603" i="22"/>
  <c r="N587" i="22" s="1"/>
  <c r="J602" i="22"/>
  <c r="J601" i="22"/>
  <c r="M589" i="22" s="1"/>
  <c r="J600" i="22"/>
  <c r="J599" i="22"/>
  <c r="M587" i="22" s="1"/>
  <c r="J598" i="22"/>
  <c r="M586" i="22" s="1"/>
  <c r="J597" i="22"/>
  <c r="L589" i="22" s="1"/>
  <c r="J596" i="22"/>
  <c r="J595" i="22"/>
  <c r="L587" i="22" s="1"/>
  <c r="J594" i="22"/>
  <c r="L586" i="22" s="1"/>
  <c r="J593" i="22"/>
  <c r="J592" i="22"/>
  <c r="J591" i="22"/>
  <c r="J590" i="22"/>
  <c r="O589" i="22"/>
  <c r="N589" i="22"/>
  <c r="K589" i="22"/>
  <c r="J589" i="22"/>
  <c r="O588" i="22"/>
  <c r="N588" i="22"/>
  <c r="M588" i="22"/>
  <c r="L588" i="22"/>
  <c r="K588" i="22"/>
  <c r="J588" i="22"/>
  <c r="K587" i="22"/>
  <c r="J587" i="22"/>
  <c r="O586" i="22"/>
  <c r="N586" i="22"/>
  <c r="K586" i="22"/>
  <c r="J586" i="22"/>
  <c r="J499" i="22"/>
  <c r="J498" i="22"/>
  <c r="J497" i="22"/>
  <c r="O477" i="22" s="1"/>
  <c r="J496" i="22"/>
  <c r="J495" i="22"/>
  <c r="J494" i="22"/>
  <c r="J493" i="22"/>
  <c r="N477" i="22" s="1"/>
  <c r="J492" i="22"/>
  <c r="N476" i="22" s="1"/>
  <c r="J491" i="22"/>
  <c r="M479" i="22" s="1"/>
  <c r="J490" i="22"/>
  <c r="J489" i="22"/>
  <c r="M477" i="22" s="1"/>
  <c r="J488" i="22"/>
  <c r="M476" i="22" s="1"/>
  <c r="J487" i="22"/>
  <c r="L479" i="22" s="1"/>
  <c r="J486" i="22"/>
  <c r="L478" i="22" s="1"/>
  <c r="J485" i="22"/>
  <c r="L477" i="22" s="1"/>
  <c r="J484" i="22"/>
  <c r="L476" i="22" s="1"/>
  <c r="J483" i="22"/>
  <c r="J482" i="22"/>
  <c r="J481" i="22"/>
  <c r="J480" i="22"/>
  <c r="O479" i="22"/>
  <c r="N479" i="22"/>
  <c r="K479" i="22"/>
  <c r="J479" i="22"/>
  <c r="O478" i="22"/>
  <c r="N478" i="22"/>
  <c r="M478" i="22"/>
  <c r="K478" i="22"/>
  <c r="J478" i="22"/>
  <c r="K477" i="22"/>
  <c r="J477" i="22"/>
  <c r="O476" i="22"/>
  <c r="K476" i="22"/>
  <c r="J476" i="22"/>
  <c r="K367" i="22"/>
  <c r="L367" i="22"/>
  <c r="M367" i="22"/>
  <c r="N367" i="22"/>
  <c r="O367" i="22"/>
  <c r="K368" i="22"/>
  <c r="L368" i="22"/>
  <c r="M368" i="22"/>
  <c r="N368" i="22"/>
  <c r="O368" i="22"/>
  <c r="K369" i="22"/>
  <c r="L369" i="22"/>
  <c r="M369" i="22"/>
  <c r="N369" i="22"/>
  <c r="O369" i="22"/>
  <c r="O366" i="22"/>
  <c r="N366" i="22"/>
  <c r="M366" i="22"/>
  <c r="L366" i="22"/>
  <c r="K366" i="22"/>
  <c r="J367" i="22"/>
  <c r="J368" i="22"/>
  <c r="J369" i="22"/>
  <c r="J370" i="22"/>
  <c r="J371" i="22"/>
  <c r="J372" i="22"/>
  <c r="J373" i="22"/>
  <c r="J374" i="22"/>
  <c r="J375" i="22"/>
  <c r="J376" i="22"/>
  <c r="J377" i="22"/>
  <c r="J378" i="22"/>
  <c r="J379" i="22"/>
  <c r="J380" i="22"/>
  <c r="J381" i="22"/>
  <c r="J382" i="22"/>
  <c r="J383" i="22"/>
  <c r="J384" i="22"/>
  <c r="J385" i="22"/>
  <c r="J386" i="22"/>
  <c r="J387" i="22"/>
  <c r="J388" i="22"/>
  <c r="J389" i="22"/>
  <c r="J366" i="22"/>
  <c r="J273" i="22"/>
  <c r="J272" i="22"/>
  <c r="O262" i="22" s="1"/>
  <c r="J271" i="22"/>
  <c r="J270" i="22"/>
  <c r="N262" i="22" s="1"/>
  <c r="J269" i="22"/>
  <c r="J268" i="22"/>
  <c r="M262" i="22" s="1"/>
  <c r="J267" i="22"/>
  <c r="J266" i="22"/>
  <c r="L262" i="22" s="1"/>
  <c r="J265" i="22"/>
  <c r="J264" i="22"/>
  <c r="K262" i="22" s="1"/>
  <c r="O263" i="22"/>
  <c r="N263" i="22"/>
  <c r="M263" i="22"/>
  <c r="L263" i="22"/>
  <c r="K263" i="22"/>
  <c r="J263" i="22"/>
  <c r="J262" i="22"/>
  <c r="K177" i="22"/>
  <c r="L177" i="22"/>
  <c r="M177" i="22"/>
  <c r="N177" i="22"/>
  <c r="O177" i="22"/>
  <c r="O176" i="22"/>
  <c r="N176" i="22"/>
  <c r="M176" i="22"/>
  <c r="L176" i="22"/>
  <c r="K176" i="22"/>
  <c r="J177" i="22"/>
  <c r="J178" i="22"/>
  <c r="J179" i="22"/>
  <c r="J180" i="22"/>
  <c r="J181" i="22"/>
  <c r="J182" i="22"/>
  <c r="J183" i="22"/>
  <c r="J184" i="22"/>
  <c r="J185" i="22"/>
  <c r="J186" i="22"/>
  <c r="J187" i="22"/>
  <c r="J176" i="22"/>
  <c r="K85" i="22"/>
  <c r="L85" i="22"/>
  <c r="M85" i="22"/>
  <c r="N85" i="22"/>
  <c r="O85" i="22"/>
  <c r="K86" i="22"/>
  <c r="L86" i="22"/>
  <c r="M86" i="22"/>
  <c r="N86" i="22"/>
  <c r="O86" i="22"/>
  <c r="O84" i="22"/>
  <c r="N84" i="22"/>
  <c r="M84" i="22"/>
  <c r="L84" i="22"/>
  <c r="K84" i="22"/>
  <c r="J85" i="22"/>
  <c r="J86" i="22"/>
  <c r="J87" i="22"/>
  <c r="J88" i="22"/>
  <c r="J89" i="22"/>
  <c r="J90" i="22"/>
  <c r="J91" i="22"/>
  <c r="J92" i="22"/>
  <c r="J93" i="22"/>
  <c r="J94" i="22"/>
  <c r="J95" i="22"/>
  <c r="J96" i="22"/>
  <c r="J97" i="22"/>
  <c r="J98" i="22"/>
  <c r="J99" i="22"/>
  <c r="J100" i="22"/>
  <c r="J101" i="22"/>
  <c r="J84" i="22"/>
  <c r="I55" i="21"/>
  <c r="I54" i="21"/>
  <c r="I53" i="21"/>
  <c r="I52" i="21"/>
  <c r="I51" i="21"/>
  <c r="N50" i="21"/>
  <c r="M50" i="21"/>
  <c r="L50" i="21"/>
  <c r="K50" i="21"/>
  <c r="J50" i="21"/>
  <c r="I50" i="21"/>
  <c r="I41" i="21"/>
  <c r="I40" i="21"/>
  <c r="I39" i="21"/>
  <c r="I38" i="21"/>
  <c r="I37" i="21"/>
  <c r="N36" i="21"/>
  <c r="M36" i="21"/>
  <c r="L36" i="21"/>
  <c r="K36" i="21"/>
  <c r="J36" i="21"/>
  <c r="I36" i="21"/>
  <c r="I27" i="21"/>
  <c r="I26" i="21"/>
  <c r="I25" i="21"/>
  <c r="I24" i="21"/>
  <c r="I23" i="21"/>
  <c r="N22" i="21"/>
  <c r="M22" i="21"/>
  <c r="L22" i="21"/>
  <c r="K22" i="21"/>
  <c r="J22" i="21"/>
  <c r="I22" i="21"/>
  <c r="N8" i="21"/>
  <c r="M8" i="21"/>
  <c r="L8" i="21"/>
  <c r="K8" i="21"/>
  <c r="J8" i="21"/>
  <c r="I9" i="21"/>
  <c r="I10" i="21"/>
  <c r="I11" i="21"/>
  <c r="I12" i="21"/>
  <c r="I13" i="21"/>
  <c r="I8" i="21"/>
  <c r="I83" i="20"/>
  <c r="I82" i="20"/>
  <c r="I81" i="20"/>
  <c r="I80" i="20"/>
  <c r="I79" i="20"/>
  <c r="I78" i="20"/>
  <c r="I77" i="20"/>
  <c r="I76" i="20"/>
  <c r="I75" i="20"/>
  <c r="I74" i="20"/>
  <c r="I73" i="20"/>
  <c r="I72" i="20"/>
  <c r="I71" i="20"/>
  <c r="I70" i="20"/>
  <c r="I69" i="20"/>
  <c r="I68" i="20"/>
  <c r="I67" i="20"/>
  <c r="I66" i="20"/>
  <c r="I65" i="20"/>
  <c r="I64" i="20"/>
  <c r="I63" i="20"/>
  <c r="I62" i="20"/>
  <c r="I61" i="20"/>
  <c r="I60" i="20"/>
  <c r="I59" i="20"/>
  <c r="I58" i="20"/>
  <c r="I57" i="20"/>
  <c r="I56" i="20"/>
  <c r="I55" i="20"/>
  <c r="I54" i="20"/>
  <c r="I53" i="20"/>
  <c r="I52" i="20"/>
  <c r="I51" i="20"/>
  <c r="I50" i="20"/>
  <c r="I49" i="20"/>
  <c r="I48" i="20"/>
  <c r="I47" i="20"/>
  <c r="I46" i="20"/>
  <c r="I45" i="20"/>
  <c r="I44" i="20"/>
  <c r="I43" i="20"/>
  <c r="I42" i="20"/>
  <c r="I41" i="20"/>
  <c r="I40" i="20"/>
  <c r="I39" i="20"/>
  <c r="I38" i="20"/>
  <c r="I37" i="20"/>
  <c r="I36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15" i="20"/>
  <c r="I14" i="20"/>
  <c r="I13" i="20"/>
  <c r="I12" i="20"/>
  <c r="I11" i="20"/>
  <c r="I10" i="20"/>
  <c r="I9" i="20"/>
  <c r="I8" i="20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83" i="18"/>
  <c r="I82" i="18"/>
  <c r="I81" i="18"/>
  <c r="I80" i="18"/>
  <c r="I79" i="18"/>
  <c r="I78" i="18"/>
  <c r="I77" i="18"/>
  <c r="I76" i="18"/>
  <c r="I75" i="18"/>
  <c r="I74" i="18"/>
  <c r="I73" i="18"/>
  <c r="I72" i="18"/>
  <c r="I71" i="18"/>
  <c r="I70" i="18"/>
  <c r="I69" i="18"/>
  <c r="I68" i="18"/>
  <c r="I67" i="18"/>
  <c r="I66" i="18"/>
  <c r="I65" i="18"/>
  <c r="I64" i="18"/>
  <c r="I63" i="18"/>
  <c r="I62" i="18"/>
  <c r="I61" i="18"/>
  <c r="I60" i="18"/>
  <c r="I59" i="18"/>
  <c r="I58" i="18"/>
  <c r="I57" i="18"/>
  <c r="I56" i="18"/>
  <c r="I55" i="18"/>
  <c r="I54" i="18"/>
  <c r="I53" i="18"/>
  <c r="I52" i="18"/>
  <c r="I51" i="18"/>
  <c r="I50" i="18"/>
  <c r="I49" i="18"/>
  <c r="I48" i="18"/>
  <c r="I47" i="18"/>
  <c r="I46" i="18"/>
  <c r="I45" i="18"/>
  <c r="I44" i="18"/>
  <c r="I43" i="18"/>
  <c r="I42" i="18"/>
  <c r="I41" i="18"/>
  <c r="I40" i="18"/>
  <c r="I39" i="18"/>
  <c r="I38" i="18"/>
  <c r="I37" i="18"/>
  <c r="I36" i="18"/>
  <c r="I35" i="18"/>
  <c r="I34" i="18"/>
  <c r="I33" i="18"/>
  <c r="I32" i="18"/>
  <c r="I31" i="18"/>
  <c r="I30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" i="17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18" i="16"/>
  <c r="O363" i="15"/>
  <c r="R354" i="15" s="1"/>
  <c r="O362" i="15"/>
  <c r="O360" i="15"/>
  <c r="Q354" i="15" s="1"/>
  <c r="O359" i="15"/>
  <c r="O357" i="15"/>
  <c r="O356" i="15"/>
  <c r="P354" i="15"/>
  <c r="O354" i="15"/>
  <c r="R353" i="15"/>
  <c r="Q353" i="15"/>
  <c r="P353" i="15"/>
  <c r="O353" i="15"/>
  <c r="O344" i="15"/>
  <c r="R335" i="15" s="1"/>
  <c r="O343" i="15"/>
  <c r="R334" i="15" s="1"/>
  <c r="O341" i="15"/>
  <c r="Q335" i="15" s="1"/>
  <c r="O340" i="15"/>
  <c r="Q334" i="15" s="1"/>
  <c r="O338" i="15"/>
  <c r="P335" i="15" s="1"/>
  <c r="O337" i="15"/>
  <c r="O335" i="15"/>
  <c r="P334" i="15"/>
  <c r="O334" i="15"/>
  <c r="O325" i="15"/>
  <c r="R316" i="15" s="1"/>
  <c r="O324" i="15"/>
  <c r="R315" i="15" s="1"/>
  <c r="O322" i="15"/>
  <c r="Q316" i="15" s="1"/>
  <c r="O321" i="15"/>
  <c r="Q315" i="15" s="1"/>
  <c r="O319" i="15"/>
  <c r="P316" i="15" s="1"/>
  <c r="O318" i="15"/>
  <c r="P315" i="15" s="1"/>
  <c r="O316" i="15"/>
  <c r="O315" i="15"/>
  <c r="O306" i="15"/>
  <c r="R297" i="15" s="1"/>
  <c r="O305" i="15"/>
  <c r="R296" i="15" s="1"/>
  <c r="O303" i="15"/>
  <c r="Q297" i="15" s="1"/>
  <c r="O302" i="15"/>
  <c r="Q296" i="15" s="1"/>
  <c r="O300" i="15"/>
  <c r="P297" i="15" s="1"/>
  <c r="O299" i="15"/>
  <c r="P296" i="15" s="1"/>
  <c r="O297" i="15"/>
  <c r="O296" i="15"/>
  <c r="O287" i="15"/>
  <c r="O286" i="15"/>
  <c r="O284" i="15"/>
  <c r="O283" i="15"/>
  <c r="Q277" i="15" s="1"/>
  <c r="O281" i="15"/>
  <c r="P278" i="15" s="1"/>
  <c r="O280" i="15"/>
  <c r="P277" i="15" s="1"/>
  <c r="R278" i="15"/>
  <c r="Q278" i="15"/>
  <c r="O278" i="15"/>
  <c r="R277" i="15"/>
  <c r="O277" i="15"/>
  <c r="O268" i="15"/>
  <c r="O267" i="15"/>
  <c r="O265" i="15"/>
  <c r="O264" i="15"/>
  <c r="Q258" i="15" s="1"/>
  <c r="O262" i="15"/>
  <c r="O261" i="15"/>
  <c r="P258" i="15" s="1"/>
  <c r="R259" i="15"/>
  <c r="Q259" i="15"/>
  <c r="P259" i="15"/>
  <c r="O259" i="15"/>
  <c r="R258" i="15"/>
  <c r="O258" i="15"/>
  <c r="O248" i="15"/>
  <c r="R236" i="15" s="1"/>
  <c r="O247" i="15"/>
  <c r="R235" i="15" s="1"/>
  <c r="O246" i="15"/>
  <c r="R234" i="15" s="1"/>
  <c r="O244" i="15"/>
  <c r="Q236" i="15" s="1"/>
  <c r="O243" i="15"/>
  <c r="O242" i="15"/>
  <c r="Q234" i="15" s="1"/>
  <c r="O240" i="15"/>
  <c r="O239" i="15"/>
  <c r="P235" i="15" s="1"/>
  <c r="O238" i="15"/>
  <c r="P234" i="15" s="1"/>
  <c r="P236" i="15"/>
  <c r="O236" i="15"/>
  <c r="Q235" i="15"/>
  <c r="O235" i="15"/>
  <c r="O234" i="15"/>
  <c r="O224" i="15"/>
  <c r="R212" i="15" s="1"/>
  <c r="O223" i="15"/>
  <c r="R211" i="15" s="1"/>
  <c r="O222" i="15"/>
  <c r="R210" i="15" s="1"/>
  <c r="O220" i="15"/>
  <c r="Q212" i="15" s="1"/>
  <c r="O219" i="15"/>
  <c r="Q211" i="15" s="1"/>
  <c r="O218" i="15"/>
  <c r="Q210" i="15" s="1"/>
  <c r="O216" i="15"/>
  <c r="P212" i="15" s="1"/>
  <c r="O215" i="15"/>
  <c r="O214" i="15"/>
  <c r="O212" i="15"/>
  <c r="P211" i="15"/>
  <c r="O211" i="15"/>
  <c r="P210" i="15"/>
  <c r="O210" i="15"/>
  <c r="O200" i="15"/>
  <c r="R188" i="15" s="1"/>
  <c r="O199" i="15"/>
  <c r="R187" i="15" s="1"/>
  <c r="O198" i="15"/>
  <c r="R186" i="15" s="1"/>
  <c r="O196" i="15"/>
  <c r="Q188" i="15" s="1"/>
  <c r="O195" i="15"/>
  <c r="O194" i="15"/>
  <c r="O192" i="15"/>
  <c r="O191" i="15"/>
  <c r="O190" i="15"/>
  <c r="P188" i="15"/>
  <c r="O188" i="15"/>
  <c r="Q187" i="15"/>
  <c r="P187" i="15"/>
  <c r="O187" i="15"/>
  <c r="Q186" i="15"/>
  <c r="P186" i="15"/>
  <c r="O186" i="15"/>
  <c r="O177" i="15"/>
  <c r="R168" i="15" s="1"/>
  <c r="O176" i="15"/>
  <c r="R167" i="15" s="1"/>
  <c r="O174" i="15"/>
  <c r="O173" i="15"/>
  <c r="O171" i="15"/>
  <c r="O170" i="15"/>
  <c r="Q168" i="15"/>
  <c r="P168" i="15"/>
  <c r="O168" i="15"/>
  <c r="Q167" i="15"/>
  <c r="P167" i="15"/>
  <c r="O167" i="15"/>
  <c r="O156" i="15"/>
  <c r="R141" i="15" s="1"/>
  <c r="O155" i="15"/>
  <c r="R140" i="15" s="1"/>
  <c r="O154" i="15"/>
  <c r="R139" i="15" s="1"/>
  <c r="O153" i="15"/>
  <c r="R138" i="15" s="1"/>
  <c r="O151" i="15"/>
  <c r="O150" i="15"/>
  <c r="O149" i="15"/>
  <c r="Q139" i="15" s="1"/>
  <c r="O148" i="15"/>
  <c r="Q138" i="15" s="1"/>
  <c r="O146" i="15"/>
  <c r="O145" i="15"/>
  <c r="P140" i="15" s="1"/>
  <c r="O144" i="15"/>
  <c r="P139" i="15" s="1"/>
  <c r="O143" i="15"/>
  <c r="P138" i="15" s="1"/>
  <c r="Q141" i="15"/>
  <c r="P141" i="15"/>
  <c r="O141" i="15"/>
  <c r="Q140" i="15"/>
  <c r="O140" i="15"/>
  <c r="O139" i="15"/>
  <c r="O138" i="15"/>
  <c r="O127" i="15"/>
  <c r="R112" i="15" s="1"/>
  <c r="O126" i="15"/>
  <c r="R111" i="15" s="1"/>
  <c r="O125" i="15"/>
  <c r="R110" i="15" s="1"/>
  <c r="O124" i="15"/>
  <c r="R109" i="15" s="1"/>
  <c r="O122" i="15"/>
  <c r="Q112" i="15" s="1"/>
  <c r="O121" i="15"/>
  <c r="Q111" i="15" s="1"/>
  <c r="O120" i="15"/>
  <c r="Q110" i="15" s="1"/>
  <c r="O119" i="15"/>
  <c r="Q109" i="15" s="1"/>
  <c r="O117" i="15"/>
  <c r="O116" i="15"/>
  <c r="P111" i="15" s="1"/>
  <c r="O115" i="15"/>
  <c r="P110" i="15" s="1"/>
  <c r="O114" i="15"/>
  <c r="P109" i="15" s="1"/>
  <c r="P112" i="15"/>
  <c r="O112" i="15"/>
  <c r="O111" i="15"/>
  <c r="O110" i="15"/>
  <c r="O109" i="15"/>
  <c r="O98" i="15"/>
  <c r="R83" i="15" s="1"/>
  <c r="O97" i="15"/>
  <c r="R82" i="15" s="1"/>
  <c r="O96" i="15"/>
  <c r="R81" i="15" s="1"/>
  <c r="O95" i="15"/>
  <c r="R80" i="15" s="1"/>
  <c r="O93" i="15"/>
  <c r="Q83" i="15" s="1"/>
  <c r="O92" i="15"/>
  <c r="Q82" i="15" s="1"/>
  <c r="O91" i="15"/>
  <c r="Q81" i="15" s="1"/>
  <c r="O90" i="15"/>
  <c r="Q80" i="15" s="1"/>
  <c r="O88" i="15"/>
  <c r="P83" i="15" s="1"/>
  <c r="O87" i="15"/>
  <c r="P82" i="15" s="1"/>
  <c r="O86" i="15"/>
  <c r="O85" i="15"/>
  <c r="O83" i="15"/>
  <c r="O82" i="15"/>
  <c r="P81" i="15"/>
  <c r="O81" i="15"/>
  <c r="P80" i="15"/>
  <c r="O80" i="15"/>
  <c r="O71" i="15"/>
  <c r="R62" i="15" s="1"/>
  <c r="O70" i="15"/>
  <c r="R61" i="15" s="1"/>
  <c r="O68" i="15"/>
  <c r="Q62" i="15" s="1"/>
  <c r="O67" i="15"/>
  <c r="Q61" i="15" s="1"/>
  <c r="O65" i="15"/>
  <c r="P62" i="15" s="1"/>
  <c r="O64" i="15"/>
  <c r="P61" i="15" s="1"/>
  <c r="O62" i="15"/>
  <c r="O61" i="15"/>
  <c r="O52" i="15"/>
  <c r="O51" i="15"/>
  <c r="R42" i="15" s="1"/>
  <c r="O49" i="15"/>
  <c r="O48" i="15"/>
  <c r="Q42" i="15" s="1"/>
  <c r="O46" i="15"/>
  <c r="P43" i="15" s="1"/>
  <c r="O45" i="15"/>
  <c r="P42" i="15" s="1"/>
  <c r="R43" i="15"/>
  <c r="Q43" i="15"/>
  <c r="O43" i="15"/>
  <c r="O42" i="15"/>
  <c r="O32" i="15"/>
  <c r="R20" i="15" s="1"/>
  <c r="O31" i="15"/>
  <c r="R19" i="15" s="1"/>
  <c r="O30" i="15"/>
  <c r="R18" i="15" s="1"/>
  <c r="O28" i="15"/>
  <c r="O27" i="15"/>
  <c r="Q19" i="15" s="1"/>
  <c r="O26" i="15"/>
  <c r="Q18" i="15" s="1"/>
  <c r="O24" i="15"/>
  <c r="P20" i="15" s="1"/>
  <c r="O23" i="15"/>
  <c r="P19" i="15" s="1"/>
  <c r="O22" i="15"/>
  <c r="P18" i="15" s="1"/>
  <c r="Q20" i="15"/>
  <c r="O20" i="15"/>
  <c r="O19" i="15"/>
  <c r="O18" i="15"/>
  <c r="O363" i="14"/>
  <c r="R354" i="14" s="1"/>
  <c r="O362" i="14"/>
  <c r="O360" i="14"/>
  <c r="O359" i="14"/>
  <c r="O357" i="14"/>
  <c r="O356" i="14"/>
  <c r="Q354" i="14"/>
  <c r="P354" i="14"/>
  <c r="O354" i="14"/>
  <c r="R353" i="14"/>
  <c r="Q353" i="14"/>
  <c r="P353" i="14"/>
  <c r="O353" i="14"/>
  <c r="O344" i="14"/>
  <c r="R335" i="14" s="1"/>
  <c r="O343" i="14"/>
  <c r="R334" i="14" s="1"/>
  <c r="O341" i="14"/>
  <c r="Q335" i="14" s="1"/>
  <c r="O340" i="14"/>
  <c r="O338" i="14"/>
  <c r="P335" i="14" s="1"/>
  <c r="O337" i="14"/>
  <c r="O335" i="14"/>
  <c r="Q334" i="14"/>
  <c r="P334" i="14"/>
  <c r="O334" i="14"/>
  <c r="O325" i="14"/>
  <c r="R316" i="14" s="1"/>
  <c r="O324" i="14"/>
  <c r="R315" i="14" s="1"/>
  <c r="O322" i="14"/>
  <c r="Q316" i="14" s="1"/>
  <c r="O321" i="14"/>
  <c r="Q315" i="14" s="1"/>
  <c r="O319" i="14"/>
  <c r="P316" i="14" s="1"/>
  <c r="O318" i="14"/>
  <c r="O316" i="14"/>
  <c r="P315" i="14"/>
  <c r="O315" i="14"/>
  <c r="O306" i="14"/>
  <c r="R297" i="14" s="1"/>
  <c r="O305" i="14"/>
  <c r="R296" i="14" s="1"/>
  <c r="O303" i="14"/>
  <c r="Q297" i="14" s="1"/>
  <c r="O302" i="14"/>
  <c r="Q296" i="14" s="1"/>
  <c r="O300" i="14"/>
  <c r="P297" i="14" s="1"/>
  <c r="O299" i="14"/>
  <c r="P296" i="14" s="1"/>
  <c r="O297" i="14"/>
  <c r="O296" i="14"/>
  <c r="O287" i="14"/>
  <c r="O286" i="14"/>
  <c r="R277" i="14" s="1"/>
  <c r="O284" i="14"/>
  <c r="O283" i="14"/>
  <c r="Q277" i="14" s="1"/>
  <c r="O281" i="14"/>
  <c r="P278" i="14" s="1"/>
  <c r="O280" i="14"/>
  <c r="P277" i="14" s="1"/>
  <c r="R278" i="14"/>
  <c r="Q278" i="14"/>
  <c r="O278" i="14"/>
  <c r="O277" i="14"/>
  <c r="O268" i="14"/>
  <c r="O267" i="14"/>
  <c r="O265" i="14"/>
  <c r="O264" i="14"/>
  <c r="Q258" i="14" s="1"/>
  <c r="O262" i="14"/>
  <c r="O261" i="14"/>
  <c r="P258" i="14" s="1"/>
  <c r="R259" i="14"/>
  <c r="Q259" i="14"/>
  <c r="P259" i="14"/>
  <c r="O259" i="14"/>
  <c r="R258" i="14"/>
  <c r="O258" i="14"/>
  <c r="O248" i="14"/>
  <c r="R236" i="14" s="1"/>
  <c r="O247" i="14"/>
  <c r="R235" i="14" s="1"/>
  <c r="O246" i="14"/>
  <c r="O244" i="14"/>
  <c r="O243" i="14"/>
  <c r="Q235" i="14" s="1"/>
  <c r="O242" i="14"/>
  <c r="Q234" i="14" s="1"/>
  <c r="O240" i="14"/>
  <c r="O239" i="14"/>
  <c r="P235" i="14" s="1"/>
  <c r="O238" i="14"/>
  <c r="P234" i="14" s="1"/>
  <c r="Q236" i="14"/>
  <c r="P236" i="14"/>
  <c r="O236" i="14"/>
  <c r="O235" i="14"/>
  <c r="R234" i="14"/>
  <c r="O234" i="14"/>
  <c r="O224" i="14"/>
  <c r="R212" i="14" s="1"/>
  <c r="O223" i="14"/>
  <c r="R211" i="14" s="1"/>
  <c r="O222" i="14"/>
  <c r="R210" i="14" s="1"/>
  <c r="O220" i="14"/>
  <c r="Q212" i="14" s="1"/>
  <c r="O219" i="14"/>
  <c r="Q211" i="14" s="1"/>
  <c r="O218" i="14"/>
  <c r="Q210" i="14" s="1"/>
  <c r="O216" i="14"/>
  <c r="P212" i="14" s="1"/>
  <c r="O215" i="14"/>
  <c r="P211" i="14" s="1"/>
  <c r="O214" i="14"/>
  <c r="O212" i="14"/>
  <c r="O211" i="14"/>
  <c r="P210" i="14"/>
  <c r="O210" i="14"/>
  <c r="O200" i="14"/>
  <c r="R188" i="14" s="1"/>
  <c r="O199" i="14"/>
  <c r="R187" i="14" s="1"/>
  <c r="O198" i="14"/>
  <c r="R186" i="14" s="1"/>
  <c r="O196" i="14"/>
  <c r="Q188" i="14" s="1"/>
  <c r="O195" i="14"/>
  <c r="Q187" i="14" s="1"/>
  <c r="O194" i="14"/>
  <c r="O192" i="14"/>
  <c r="O191" i="14"/>
  <c r="O190" i="14"/>
  <c r="P188" i="14"/>
  <c r="O188" i="14"/>
  <c r="P187" i="14"/>
  <c r="O187" i="14"/>
  <c r="Q186" i="14"/>
  <c r="P186" i="14"/>
  <c r="O186" i="14"/>
  <c r="O177" i="14"/>
  <c r="R168" i="14" s="1"/>
  <c r="O176" i="14"/>
  <c r="R167" i="14" s="1"/>
  <c r="O174" i="14"/>
  <c r="O173" i="14"/>
  <c r="O171" i="14"/>
  <c r="O170" i="14"/>
  <c r="Q168" i="14"/>
  <c r="P168" i="14"/>
  <c r="O168" i="14"/>
  <c r="Q167" i="14"/>
  <c r="P167" i="14"/>
  <c r="O167" i="14"/>
  <c r="O156" i="14"/>
  <c r="R141" i="14" s="1"/>
  <c r="O155" i="14"/>
  <c r="R140" i="14" s="1"/>
  <c r="O154" i="14"/>
  <c r="O153" i="14"/>
  <c r="R138" i="14" s="1"/>
  <c r="O151" i="14"/>
  <c r="O150" i="14"/>
  <c r="O149" i="14"/>
  <c r="Q139" i="14" s="1"/>
  <c r="O148" i="14"/>
  <c r="Q138" i="14" s="1"/>
  <c r="O146" i="14"/>
  <c r="O145" i="14"/>
  <c r="P140" i="14" s="1"/>
  <c r="O144" i="14"/>
  <c r="P139" i="14" s="1"/>
  <c r="O143" i="14"/>
  <c r="P138" i="14" s="1"/>
  <c r="Q141" i="14"/>
  <c r="P141" i="14"/>
  <c r="O141" i="14"/>
  <c r="Q140" i="14"/>
  <c r="O140" i="14"/>
  <c r="R139" i="14"/>
  <c r="O139" i="14"/>
  <c r="O138" i="14"/>
  <c r="O127" i="14"/>
  <c r="R112" i="14" s="1"/>
  <c r="O126" i="14"/>
  <c r="R111" i="14" s="1"/>
  <c r="O125" i="14"/>
  <c r="R110" i="14" s="1"/>
  <c r="O124" i="14"/>
  <c r="R109" i="14" s="1"/>
  <c r="O122" i="14"/>
  <c r="Q112" i="14" s="1"/>
  <c r="O121" i="14"/>
  <c r="Q111" i="14" s="1"/>
  <c r="O120" i="14"/>
  <c r="Q110" i="14" s="1"/>
  <c r="O119" i="14"/>
  <c r="Q109" i="14" s="1"/>
  <c r="O117" i="14"/>
  <c r="P112" i="14" s="1"/>
  <c r="O116" i="14"/>
  <c r="P111" i="14" s="1"/>
  <c r="O115" i="14"/>
  <c r="P110" i="14" s="1"/>
  <c r="O114" i="14"/>
  <c r="P109" i="14" s="1"/>
  <c r="O112" i="14"/>
  <c r="O111" i="14"/>
  <c r="O110" i="14"/>
  <c r="O109" i="14"/>
  <c r="O98" i="14"/>
  <c r="R83" i="14" s="1"/>
  <c r="O97" i="14"/>
  <c r="R82" i="14" s="1"/>
  <c r="O96" i="14"/>
  <c r="R81" i="14" s="1"/>
  <c r="O95" i="14"/>
  <c r="R80" i="14" s="1"/>
  <c r="O93" i="14"/>
  <c r="Q83" i="14" s="1"/>
  <c r="O92" i="14"/>
  <c r="Q82" i="14" s="1"/>
  <c r="O91" i="14"/>
  <c r="Q81" i="14" s="1"/>
  <c r="O90" i="14"/>
  <c r="Q80" i="14" s="1"/>
  <c r="O88" i="14"/>
  <c r="P83" i="14" s="1"/>
  <c r="O87" i="14"/>
  <c r="O86" i="14"/>
  <c r="O85" i="14"/>
  <c r="O83" i="14"/>
  <c r="P82" i="14"/>
  <c r="O82" i="14"/>
  <c r="P81" i="14"/>
  <c r="O81" i="14"/>
  <c r="P80" i="14"/>
  <c r="O80" i="14"/>
  <c r="O71" i="14"/>
  <c r="R62" i="14" s="1"/>
  <c r="O70" i="14"/>
  <c r="R61" i="14" s="1"/>
  <c r="O68" i="14"/>
  <c r="O67" i="14"/>
  <c r="O65" i="14"/>
  <c r="O64" i="14"/>
  <c r="P61" i="14" s="1"/>
  <c r="Q62" i="14"/>
  <c r="P62" i="14"/>
  <c r="O62" i="14"/>
  <c r="Q61" i="14"/>
  <c r="O61" i="14"/>
  <c r="O52" i="14"/>
  <c r="R43" i="14" s="1"/>
  <c r="O51" i="14"/>
  <c r="R42" i="14" s="1"/>
  <c r="O49" i="14"/>
  <c r="Q43" i="14" s="1"/>
  <c r="O48" i="14"/>
  <c r="Q42" i="14" s="1"/>
  <c r="O46" i="14"/>
  <c r="P43" i="14" s="1"/>
  <c r="O45" i="14"/>
  <c r="O43" i="14"/>
  <c r="P42" i="14"/>
  <c r="O42" i="14"/>
  <c r="O32" i="14"/>
  <c r="R20" i="14" s="1"/>
  <c r="O31" i="14"/>
  <c r="R19" i="14" s="1"/>
  <c r="O30" i="14"/>
  <c r="R18" i="14" s="1"/>
  <c r="O28" i="14"/>
  <c r="Q20" i="14" s="1"/>
  <c r="O27" i="14"/>
  <c r="Q19" i="14" s="1"/>
  <c r="O26" i="14"/>
  <c r="Q18" i="14" s="1"/>
  <c r="O24" i="14"/>
  <c r="P20" i="14" s="1"/>
  <c r="O23" i="14"/>
  <c r="O22" i="14"/>
  <c r="P18" i="14" s="1"/>
  <c r="O20" i="14"/>
  <c r="P19" i="14"/>
  <c r="O19" i="14"/>
  <c r="O18" i="14"/>
  <c r="O363" i="13"/>
  <c r="O362" i="13"/>
  <c r="O360" i="13"/>
  <c r="O359" i="13"/>
  <c r="O357" i="13"/>
  <c r="O356" i="13"/>
  <c r="R354" i="13"/>
  <c r="Q354" i="13"/>
  <c r="P354" i="13"/>
  <c r="O354" i="13"/>
  <c r="R353" i="13"/>
  <c r="Q353" i="13"/>
  <c r="P353" i="13"/>
  <c r="O353" i="13"/>
  <c r="O344" i="13"/>
  <c r="R335" i="13" s="1"/>
  <c r="O343" i="13"/>
  <c r="R334" i="13" s="1"/>
  <c r="O341" i="13"/>
  <c r="O340" i="13"/>
  <c r="O338" i="13"/>
  <c r="O337" i="13"/>
  <c r="Q335" i="13"/>
  <c r="P335" i="13"/>
  <c r="O335" i="13"/>
  <c r="Q334" i="13"/>
  <c r="P334" i="13"/>
  <c r="O334" i="13"/>
  <c r="O325" i="13"/>
  <c r="R316" i="13" s="1"/>
  <c r="O324" i="13"/>
  <c r="R315" i="13" s="1"/>
  <c r="O322" i="13"/>
  <c r="Q316" i="13" s="1"/>
  <c r="O321" i="13"/>
  <c r="Q315" i="13" s="1"/>
  <c r="O319" i="13"/>
  <c r="P316" i="13" s="1"/>
  <c r="O318" i="13"/>
  <c r="P315" i="13" s="1"/>
  <c r="O316" i="13"/>
  <c r="O315" i="13"/>
  <c r="O306" i="13"/>
  <c r="R297" i="13" s="1"/>
  <c r="O305" i="13"/>
  <c r="R296" i="13" s="1"/>
  <c r="O303" i="13"/>
  <c r="Q297" i="13" s="1"/>
  <c r="O302" i="13"/>
  <c r="Q296" i="13" s="1"/>
  <c r="O300" i="13"/>
  <c r="P297" i="13" s="1"/>
  <c r="O299" i="13"/>
  <c r="P296" i="13" s="1"/>
  <c r="O297" i="13"/>
  <c r="O296" i="13"/>
  <c r="O287" i="13"/>
  <c r="R278" i="13" s="1"/>
  <c r="O286" i="13"/>
  <c r="R277" i="13" s="1"/>
  <c r="O284" i="13"/>
  <c r="Q278" i="13" s="1"/>
  <c r="O283" i="13"/>
  <c r="Q277" i="13" s="1"/>
  <c r="O281" i="13"/>
  <c r="P278" i="13" s="1"/>
  <c r="O280" i="13"/>
  <c r="P277" i="13" s="1"/>
  <c r="O278" i="13"/>
  <c r="O277" i="13"/>
  <c r="O268" i="13"/>
  <c r="O267" i="13"/>
  <c r="R258" i="13" s="1"/>
  <c r="O265" i="13"/>
  <c r="O264" i="13"/>
  <c r="Q258" i="13" s="1"/>
  <c r="O262" i="13"/>
  <c r="O261" i="13"/>
  <c r="P258" i="13" s="1"/>
  <c r="R259" i="13"/>
  <c r="Q259" i="13"/>
  <c r="P259" i="13"/>
  <c r="O259" i="13"/>
  <c r="O258" i="13"/>
  <c r="O248" i="13"/>
  <c r="O247" i="13"/>
  <c r="R235" i="13" s="1"/>
  <c r="O246" i="13"/>
  <c r="R234" i="13" s="1"/>
  <c r="O244" i="13"/>
  <c r="O243" i="13"/>
  <c r="Q235" i="13" s="1"/>
  <c r="O242" i="13"/>
  <c r="Q234" i="13" s="1"/>
  <c r="O240" i="13"/>
  <c r="O239" i="13"/>
  <c r="P235" i="13" s="1"/>
  <c r="O238" i="13"/>
  <c r="P234" i="13" s="1"/>
  <c r="R236" i="13"/>
  <c r="Q236" i="13"/>
  <c r="P236" i="13"/>
  <c r="O236" i="13"/>
  <c r="O235" i="13"/>
  <c r="O234" i="13"/>
  <c r="O224" i="13"/>
  <c r="R212" i="13" s="1"/>
  <c r="O223" i="13"/>
  <c r="R211" i="13" s="1"/>
  <c r="O222" i="13"/>
  <c r="R210" i="13" s="1"/>
  <c r="O220" i="13"/>
  <c r="Q212" i="13" s="1"/>
  <c r="O219" i="13"/>
  <c r="Q211" i="13" s="1"/>
  <c r="O218" i="13"/>
  <c r="Q210" i="13" s="1"/>
  <c r="O216" i="13"/>
  <c r="P212" i="13" s="1"/>
  <c r="O215" i="13"/>
  <c r="O214" i="13"/>
  <c r="O212" i="13"/>
  <c r="P211" i="13"/>
  <c r="O211" i="13"/>
  <c r="P210" i="13"/>
  <c r="O210" i="13"/>
  <c r="O200" i="13"/>
  <c r="R188" i="13" s="1"/>
  <c r="O199" i="13"/>
  <c r="R187" i="13" s="1"/>
  <c r="O198" i="13"/>
  <c r="O196" i="13"/>
  <c r="O195" i="13"/>
  <c r="O194" i="13"/>
  <c r="O192" i="13"/>
  <c r="O191" i="13"/>
  <c r="O190" i="13"/>
  <c r="P186" i="13" s="1"/>
  <c r="Q188" i="13"/>
  <c r="P188" i="13"/>
  <c r="O188" i="13"/>
  <c r="Q187" i="13"/>
  <c r="P187" i="13"/>
  <c r="O187" i="13"/>
  <c r="R186" i="13"/>
  <c r="Q186" i="13"/>
  <c r="O186" i="13"/>
  <c r="O177" i="13"/>
  <c r="O176" i="13"/>
  <c r="O174" i="13"/>
  <c r="O173" i="13"/>
  <c r="O171" i="13"/>
  <c r="O170" i="13"/>
  <c r="R168" i="13"/>
  <c r="Q168" i="13"/>
  <c r="P168" i="13"/>
  <c r="O168" i="13"/>
  <c r="R167" i="13"/>
  <c r="Q167" i="13"/>
  <c r="P167" i="13"/>
  <c r="O167" i="13"/>
  <c r="O156" i="13"/>
  <c r="R141" i="13" s="1"/>
  <c r="O155" i="13"/>
  <c r="R140" i="13" s="1"/>
  <c r="O154" i="13"/>
  <c r="O153" i="13"/>
  <c r="O151" i="13"/>
  <c r="O150" i="13"/>
  <c r="Q140" i="13" s="1"/>
  <c r="O149" i="13"/>
  <c r="Q139" i="13" s="1"/>
  <c r="O148" i="13"/>
  <c r="Q138" i="13" s="1"/>
  <c r="O146" i="13"/>
  <c r="O145" i="13"/>
  <c r="P140" i="13" s="1"/>
  <c r="O144" i="13"/>
  <c r="P139" i="13" s="1"/>
  <c r="O143" i="13"/>
  <c r="P138" i="13" s="1"/>
  <c r="Q141" i="13"/>
  <c r="P141" i="13"/>
  <c r="O141" i="13"/>
  <c r="O140" i="13"/>
  <c r="R139" i="13"/>
  <c r="O139" i="13"/>
  <c r="R138" i="13"/>
  <c r="O138" i="13"/>
  <c r="O127" i="13"/>
  <c r="R112" i="13" s="1"/>
  <c r="O126" i="13"/>
  <c r="R111" i="13" s="1"/>
  <c r="O125" i="13"/>
  <c r="R110" i="13" s="1"/>
  <c r="O124" i="13"/>
  <c r="O122" i="13"/>
  <c r="Q112" i="13" s="1"/>
  <c r="O121" i="13"/>
  <c r="Q111" i="13" s="1"/>
  <c r="O120" i="13"/>
  <c r="Q110" i="13" s="1"/>
  <c r="O119" i="13"/>
  <c r="Q109" i="13" s="1"/>
  <c r="O117" i="13"/>
  <c r="P112" i="13" s="1"/>
  <c r="O116" i="13"/>
  <c r="P111" i="13" s="1"/>
  <c r="O115" i="13"/>
  <c r="P110" i="13" s="1"/>
  <c r="O114" i="13"/>
  <c r="P109" i="13" s="1"/>
  <c r="O112" i="13"/>
  <c r="O111" i="13"/>
  <c r="O110" i="13"/>
  <c r="R109" i="13"/>
  <c r="O109" i="13"/>
  <c r="O98" i="13"/>
  <c r="R83" i="13" s="1"/>
  <c r="O97" i="13"/>
  <c r="R82" i="13" s="1"/>
  <c r="O96" i="13"/>
  <c r="R81" i="13" s="1"/>
  <c r="O95" i="13"/>
  <c r="R80" i="13" s="1"/>
  <c r="O93" i="13"/>
  <c r="Q83" i="13" s="1"/>
  <c r="O92" i="13"/>
  <c r="Q82" i="13" s="1"/>
  <c r="O91" i="13"/>
  <c r="Q81" i="13" s="1"/>
  <c r="O90" i="13"/>
  <c r="Q80" i="13" s="1"/>
  <c r="O88" i="13"/>
  <c r="O87" i="13"/>
  <c r="O86" i="13"/>
  <c r="O85" i="13"/>
  <c r="P80" i="13" s="1"/>
  <c r="P83" i="13"/>
  <c r="O83" i="13"/>
  <c r="P82" i="13"/>
  <c r="O82" i="13"/>
  <c r="P81" i="13"/>
  <c r="O81" i="13"/>
  <c r="O80" i="13"/>
  <c r="O71" i="13"/>
  <c r="R62" i="13" s="1"/>
  <c r="O70" i="13"/>
  <c r="O68" i="13"/>
  <c r="O67" i="13"/>
  <c r="Q61" i="13" s="1"/>
  <c r="O65" i="13"/>
  <c r="O64" i="13"/>
  <c r="P61" i="13" s="1"/>
  <c r="Q62" i="13"/>
  <c r="P62" i="13"/>
  <c r="O62" i="13"/>
  <c r="R61" i="13"/>
  <c r="O61" i="13"/>
  <c r="O52" i="13"/>
  <c r="R43" i="13" s="1"/>
  <c r="O51" i="13"/>
  <c r="R42" i="13" s="1"/>
  <c r="O49" i="13"/>
  <c r="Q43" i="13" s="1"/>
  <c r="O48" i="13"/>
  <c r="Q42" i="13" s="1"/>
  <c r="O46" i="13"/>
  <c r="P43" i="13" s="1"/>
  <c r="O45" i="13"/>
  <c r="O43" i="13"/>
  <c r="P42" i="13"/>
  <c r="O42" i="13"/>
  <c r="O32" i="13"/>
  <c r="R20" i="13" s="1"/>
  <c r="O31" i="13"/>
  <c r="R19" i="13" s="1"/>
  <c r="O30" i="13"/>
  <c r="R18" i="13" s="1"/>
  <c r="O28" i="13"/>
  <c r="Q20" i="13" s="1"/>
  <c r="O27" i="13"/>
  <c r="Q19" i="13" s="1"/>
  <c r="O26" i="13"/>
  <c r="Q18" i="13" s="1"/>
  <c r="O24" i="13"/>
  <c r="P20" i="13" s="1"/>
  <c r="O23" i="13"/>
  <c r="P19" i="13" s="1"/>
  <c r="O22" i="13"/>
  <c r="P18" i="13" s="1"/>
  <c r="O20" i="13"/>
  <c r="O19" i="13"/>
  <c r="O18" i="13"/>
  <c r="R354" i="12"/>
  <c r="Q354" i="12"/>
  <c r="P354" i="12"/>
  <c r="R353" i="12"/>
  <c r="Q353" i="12"/>
  <c r="P353" i="12"/>
  <c r="R335" i="12"/>
  <c r="Q335" i="12"/>
  <c r="P335" i="12"/>
  <c r="R334" i="12"/>
  <c r="Q334" i="12"/>
  <c r="P334" i="12"/>
  <c r="R316" i="12"/>
  <c r="Q316" i="12"/>
  <c r="P316" i="12"/>
  <c r="R315" i="12"/>
  <c r="Q315" i="12"/>
  <c r="P315" i="12"/>
  <c r="R297" i="12"/>
  <c r="Q297" i="12"/>
  <c r="P297" i="12"/>
  <c r="R296" i="12"/>
  <c r="Q296" i="12"/>
  <c r="P296" i="12"/>
  <c r="R278" i="12"/>
  <c r="Q278" i="12"/>
  <c r="P278" i="12"/>
  <c r="R277" i="12"/>
  <c r="Q277" i="12"/>
  <c r="P277" i="12"/>
  <c r="R259" i="12"/>
  <c r="Q259" i="12"/>
  <c r="P259" i="12"/>
  <c r="R258" i="12"/>
  <c r="Q258" i="12"/>
  <c r="P258" i="12"/>
  <c r="R236" i="12"/>
  <c r="Q236" i="12"/>
  <c r="P236" i="12"/>
  <c r="R235" i="12"/>
  <c r="Q235" i="12"/>
  <c r="P235" i="12"/>
  <c r="R234" i="12"/>
  <c r="Q234" i="12"/>
  <c r="P234" i="12"/>
  <c r="R212" i="12"/>
  <c r="Q212" i="12"/>
  <c r="P212" i="12"/>
  <c r="R211" i="12"/>
  <c r="Q211" i="12"/>
  <c r="P211" i="12"/>
  <c r="R210" i="12"/>
  <c r="Q210" i="12"/>
  <c r="P210" i="12"/>
  <c r="R188" i="12"/>
  <c r="Q188" i="12"/>
  <c r="P188" i="12"/>
  <c r="R187" i="12"/>
  <c r="Q187" i="12"/>
  <c r="P187" i="12"/>
  <c r="R186" i="12"/>
  <c r="Q186" i="12"/>
  <c r="P186" i="12"/>
  <c r="R168" i="12"/>
  <c r="Q168" i="12"/>
  <c r="P168" i="12"/>
  <c r="R167" i="12"/>
  <c r="Q167" i="12"/>
  <c r="P167" i="12"/>
  <c r="R141" i="12"/>
  <c r="Q141" i="12"/>
  <c r="P141" i="12"/>
  <c r="R140" i="12"/>
  <c r="Q140" i="12"/>
  <c r="P140" i="12"/>
  <c r="R139" i="12"/>
  <c r="Q139" i="12"/>
  <c r="P139" i="12"/>
  <c r="R138" i="12"/>
  <c r="Q138" i="12"/>
  <c r="P138" i="12"/>
  <c r="R112" i="12"/>
  <c r="Q112" i="12"/>
  <c r="P112" i="12"/>
  <c r="R111" i="12"/>
  <c r="Q111" i="12"/>
  <c r="P111" i="12"/>
  <c r="R110" i="12"/>
  <c r="Q110" i="12"/>
  <c r="P110" i="12"/>
  <c r="R109" i="12"/>
  <c r="Q109" i="12"/>
  <c r="P109" i="12"/>
  <c r="P81" i="12"/>
  <c r="Q81" i="12"/>
  <c r="R81" i="12"/>
  <c r="P82" i="12"/>
  <c r="Q82" i="12"/>
  <c r="R82" i="12"/>
  <c r="P83" i="12"/>
  <c r="Q83" i="12"/>
  <c r="R83" i="12"/>
  <c r="R80" i="12"/>
  <c r="Q80" i="12"/>
  <c r="P80" i="12"/>
  <c r="R62" i="12"/>
  <c r="Q62" i="12"/>
  <c r="P62" i="12"/>
  <c r="R61" i="12"/>
  <c r="Q61" i="12"/>
  <c r="P61" i="12"/>
  <c r="P43" i="12"/>
  <c r="Q43" i="12"/>
  <c r="R43" i="12"/>
  <c r="R42" i="12"/>
  <c r="Q42" i="12"/>
  <c r="P42" i="12"/>
  <c r="R19" i="12"/>
  <c r="R20" i="12"/>
  <c r="R18" i="12"/>
  <c r="Q19" i="12"/>
  <c r="Q20" i="12"/>
  <c r="Q18" i="12"/>
  <c r="P19" i="12"/>
  <c r="P20" i="12"/>
  <c r="P18" i="12"/>
  <c r="O363" i="12"/>
  <c r="O362" i="12"/>
  <c r="O360" i="12"/>
  <c r="O359" i="12"/>
  <c r="O357" i="12"/>
  <c r="O356" i="12"/>
  <c r="O354" i="12"/>
  <c r="O353" i="12"/>
  <c r="O344" i="12"/>
  <c r="O343" i="12"/>
  <c r="O341" i="12"/>
  <c r="O340" i="12"/>
  <c r="O338" i="12"/>
  <c r="O337" i="12"/>
  <c r="O335" i="12"/>
  <c r="O334" i="12"/>
  <c r="O325" i="12"/>
  <c r="O324" i="12"/>
  <c r="O322" i="12"/>
  <c r="O321" i="12"/>
  <c r="O319" i="12"/>
  <c r="O318" i="12"/>
  <c r="O316" i="12"/>
  <c r="O315" i="12"/>
  <c r="O306" i="12"/>
  <c r="O305" i="12"/>
  <c r="O303" i="12"/>
  <c r="O302" i="12"/>
  <c r="O300" i="12"/>
  <c r="O299" i="12"/>
  <c r="O297" i="12"/>
  <c r="O296" i="12"/>
  <c r="O287" i="12"/>
  <c r="O286" i="12"/>
  <c r="O284" i="12"/>
  <c r="O283" i="12"/>
  <c r="O281" i="12"/>
  <c r="O280" i="12"/>
  <c r="O278" i="12"/>
  <c r="O277" i="12"/>
  <c r="O268" i="12"/>
  <c r="O267" i="12"/>
  <c r="O265" i="12"/>
  <c r="O264" i="12"/>
  <c r="O262" i="12"/>
  <c r="O261" i="12"/>
  <c r="O259" i="12"/>
  <c r="O258" i="12"/>
  <c r="O248" i="12"/>
  <c r="O247" i="12"/>
  <c r="O246" i="12"/>
  <c r="O244" i="12"/>
  <c r="O243" i="12"/>
  <c r="O242" i="12"/>
  <c r="O240" i="12"/>
  <c r="O239" i="12"/>
  <c r="O238" i="12"/>
  <c r="O236" i="12"/>
  <c r="O235" i="12"/>
  <c r="O234" i="12"/>
  <c r="O224" i="12"/>
  <c r="O223" i="12"/>
  <c r="O222" i="12"/>
  <c r="O220" i="12"/>
  <c r="O219" i="12"/>
  <c r="O218" i="12"/>
  <c r="O216" i="12"/>
  <c r="O215" i="12"/>
  <c r="O214" i="12"/>
  <c r="O212" i="12"/>
  <c r="O211" i="12"/>
  <c r="O210" i="12"/>
  <c r="O200" i="12"/>
  <c r="O199" i="12"/>
  <c r="O198" i="12"/>
  <c r="O196" i="12"/>
  <c r="O195" i="12"/>
  <c r="O194" i="12"/>
  <c r="O192" i="12"/>
  <c r="O191" i="12"/>
  <c r="O190" i="12"/>
  <c r="O188" i="12"/>
  <c r="O187" i="12"/>
  <c r="O186" i="12"/>
  <c r="O177" i="12"/>
  <c r="O176" i="12"/>
  <c r="O174" i="12"/>
  <c r="O173" i="12"/>
  <c r="O171" i="12"/>
  <c r="O170" i="12"/>
  <c r="O168" i="12"/>
  <c r="O167" i="12"/>
  <c r="O156" i="12"/>
  <c r="O155" i="12"/>
  <c r="O154" i="12"/>
  <c r="O153" i="12"/>
  <c r="O151" i="12"/>
  <c r="O150" i="12"/>
  <c r="O149" i="12"/>
  <c r="O148" i="12"/>
  <c r="O146" i="12"/>
  <c r="O145" i="12"/>
  <c r="O144" i="12"/>
  <c r="O143" i="12"/>
  <c r="O141" i="12"/>
  <c r="O140" i="12"/>
  <c r="O139" i="12"/>
  <c r="O138" i="12"/>
  <c r="O127" i="12"/>
  <c r="O126" i="12"/>
  <c r="O125" i="12"/>
  <c r="O124" i="12"/>
  <c r="O122" i="12"/>
  <c r="O121" i="12"/>
  <c r="O120" i="12"/>
  <c r="O119" i="12"/>
  <c r="O117" i="12"/>
  <c r="O116" i="12"/>
  <c r="O115" i="12"/>
  <c r="O114" i="12"/>
  <c r="O112" i="12"/>
  <c r="O111" i="12"/>
  <c r="O110" i="12"/>
  <c r="O109" i="12"/>
  <c r="O98" i="12"/>
  <c r="O97" i="12"/>
  <c r="O96" i="12"/>
  <c r="O95" i="12"/>
  <c r="O93" i="12"/>
  <c r="O92" i="12"/>
  <c r="O91" i="12"/>
  <c r="O90" i="12"/>
  <c r="O88" i="12"/>
  <c r="O87" i="12"/>
  <c r="O86" i="12"/>
  <c r="O85" i="12"/>
  <c r="O83" i="12"/>
  <c r="O82" i="12"/>
  <c r="O81" i="12"/>
  <c r="O80" i="12"/>
  <c r="O71" i="12"/>
  <c r="O70" i="12"/>
  <c r="O68" i="12"/>
  <c r="O67" i="12"/>
  <c r="O65" i="12"/>
  <c r="O64" i="12"/>
  <c r="O62" i="12"/>
  <c r="O61" i="12"/>
  <c r="O52" i="12"/>
  <c r="O51" i="12"/>
  <c r="O49" i="12"/>
  <c r="O48" i="12"/>
  <c r="O46" i="12"/>
  <c r="O45" i="12"/>
  <c r="O43" i="12"/>
  <c r="O42" i="12"/>
  <c r="O32" i="12"/>
  <c r="O31" i="12"/>
  <c r="O30" i="12"/>
  <c r="O28" i="12"/>
  <c r="O27" i="12"/>
  <c r="O26" i="12"/>
  <c r="O24" i="12"/>
  <c r="O23" i="12"/>
  <c r="O22" i="12"/>
  <c r="O20" i="12"/>
  <c r="O19" i="12"/>
  <c r="O18" i="12"/>
  <c r="J134" i="11"/>
  <c r="J133" i="11"/>
  <c r="J127" i="11"/>
  <c r="J126" i="11"/>
  <c r="J120" i="11"/>
  <c r="J119" i="11"/>
  <c r="J113" i="11"/>
  <c r="J112" i="11"/>
  <c r="J106" i="11"/>
  <c r="J105" i="11"/>
  <c r="J99" i="11"/>
  <c r="J98" i="11"/>
  <c r="J92" i="11"/>
  <c r="J91" i="11"/>
  <c r="J90" i="11"/>
  <c r="J84" i="11"/>
  <c r="J83" i="11"/>
  <c r="J82" i="11"/>
  <c r="J76" i="11"/>
  <c r="J75" i="11"/>
  <c r="J74" i="11"/>
  <c r="J68" i="11"/>
  <c r="J67" i="11"/>
  <c r="J61" i="11"/>
  <c r="J60" i="11"/>
  <c r="J59" i="11"/>
  <c r="J58" i="11"/>
  <c r="J52" i="11"/>
  <c r="J51" i="11"/>
  <c r="J50" i="11"/>
  <c r="J49" i="11"/>
  <c r="J43" i="11"/>
  <c r="J42" i="11"/>
  <c r="J41" i="11"/>
  <c r="J40" i="11"/>
  <c r="J34" i="11"/>
  <c r="J33" i="11"/>
  <c r="J27" i="11"/>
  <c r="J26" i="11"/>
  <c r="J20" i="11"/>
  <c r="J19" i="11"/>
  <c r="J18" i="11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73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50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27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4" i="7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4" i="6"/>
  <c r="L276" i="5"/>
  <c r="K276" i="5"/>
  <c r="J276" i="5"/>
  <c r="I276" i="5"/>
  <c r="L275" i="5"/>
  <c r="K275" i="5"/>
  <c r="J275" i="5"/>
  <c r="I275" i="5"/>
  <c r="L274" i="5"/>
  <c r="K274" i="5"/>
  <c r="J274" i="5"/>
  <c r="I274" i="5"/>
  <c r="L273" i="5"/>
  <c r="K273" i="5"/>
  <c r="J273" i="5"/>
  <c r="I273" i="5"/>
  <c r="L261" i="5"/>
  <c r="K261" i="5"/>
  <c r="J261" i="5"/>
  <c r="I261" i="5"/>
  <c r="L260" i="5"/>
  <c r="K260" i="5"/>
  <c r="J260" i="5"/>
  <c r="I260" i="5"/>
  <c r="L259" i="5"/>
  <c r="K259" i="5"/>
  <c r="J259" i="5"/>
  <c r="I259" i="5"/>
  <c r="L258" i="5"/>
  <c r="K258" i="5"/>
  <c r="J258" i="5"/>
  <c r="I258" i="5"/>
  <c r="L246" i="5"/>
  <c r="K246" i="5"/>
  <c r="J246" i="5"/>
  <c r="I246" i="5"/>
  <c r="L245" i="5"/>
  <c r="K245" i="5"/>
  <c r="J245" i="5"/>
  <c r="I245" i="5"/>
  <c r="L244" i="5"/>
  <c r="K244" i="5"/>
  <c r="J244" i="5"/>
  <c r="I244" i="5"/>
  <c r="L243" i="5"/>
  <c r="K243" i="5"/>
  <c r="J243" i="5"/>
  <c r="I243" i="5"/>
  <c r="L231" i="5"/>
  <c r="K231" i="5"/>
  <c r="J231" i="5"/>
  <c r="I231" i="5"/>
  <c r="L230" i="5"/>
  <c r="K230" i="5"/>
  <c r="J230" i="5"/>
  <c r="I230" i="5"/>
  <c r="L229" i="5"/>
  <c r="K229" i="5"/>
  <c r="J229" i="5"/>
  <c r="I229" i="5"/>
  <c r="L228" i="5"/>
  <c r="K228" i="5"/>
  <c r="J228" i="5"/>
  <c r="I228" i="5"/>
  <c r="L216" i="5"/>
  <c r="K216" i="5"/>
  <c r="J216" i="5"/>
  <c r="I216" i="5"/>
  <c r="L215" i="5"/>
  <c r="K215" i="5"/>
  <c r="J215" i="5"/>
  <c r="I215" i="5"/>
  <c r="L214" i="5"/>
  <c r="K214" i="5"/>
  <c r="J214" i="5"/>
  <c r="I214" i="5"/>
  <c r="L213" i="5"/>
  <c r="K213" i="5"/>
  <c r="J213" i="5"/>
  <c r="I213" i="5"/>
  <c r="L201" i="5"/>
  <c r="K201" i="5"/>
  <c r="J201" i="5"/>
  <c r="I201" i="5"/>
  <c r="L200" i="5"/>
  <c r="K200" i="5"/>
  <c r="J200" i="5"/>
  <c r="I200" i="5"/>
  <c r="L199" i="5"/>
  <c r="K199" i="5"/>
  <c r="J199" i="5"/>
  <c r="I199" i="5"/>
  <c r="L198" i="5"/>
  <c r="K198" i="5"/>
  <c r="J198" i="5"/>
  <c r="I198" i="5"/>
  <c r="L182" i="5"/>
  <c r="K182" i="5"/>
  <c r="J182" i="5"/>
  <c r="I182" i="5"/>
  <c r="L181" i="5"/>
  <c r="K181" i="5"/>
  <c r="J181" i="5"/>
  <c r="I181" i="5"/>
  <c r="L180" i="5"/>
  <c r="K180" i="5"/>
  <c r="J180" i="5"/>
  <c r="I180" i="5"/>
  <c r="L179" i="5"/>
  <c r="K179" i="5"/>
  <c r="J179" i="5"/>
  <c r="I179" i="5"/>
  <c r="L163" i="5"/>
  <c r="K163" i="5"/>
  <c r="J163" i="5"/>
  <c r="I163" i="5"/>
  <c r="L162" i="5"/>
  <c r="K162" i="5"/>
  <c r="J162" i="5"/>
  <c r="I162" i="5"/>
  <c r="L161" i="5"/>
  <c r="K161" i="5"/>
  <c r="J161" i="5"/>
  <c r="I161" i="5"/>
  <c r="L160" i="5"/>
  <c r="K160" i="5"/>
  <c r="J160" i="5"/>
  <c r="I160" i="5"/>
  <c r="L144" i="5"/>
  <c r="K144" i="5"/>
  <c r="J144" i="5"/>
  <c r="I144" i="5"/>
  <c r="L143" i="5"/>
  <c r="K143" i="5"/>
  <c r="J143" i="5"/>
  <c r="I143" i="5"/>
  <c r="L142" i="5"/>
  <c r="K142" i="5"/>
  <c r="J142" i="5"/>
  <c r="I142" i="5"/>
  <c r="L141" i="5"/>
  <c r="K141" i="5"/>
  <c r="J141" i="5"/>
  <c r="I141" i="5"/>
  <c r="L129" i="5"/>
  <c r="K129" i="5"/>
  <c r="J129" i="5"/>
  <c r="I129" i="5"/>
  <c r="L128" i="5"/>
  <c r="K128" i="5"/>
  <c r="J128" i="5"/>
  <c r="I128" i="5"/>
  <c r="L127" i="5"/>
  <c r="K127" i="5"/>
  <c r="J127" i="5"/>
  <c r="I127" i="5"/>
  <c r="L126" i="5"/>
  <c r="K126" i="5"/>
  <c r="J126" i="5"/>
  <c r="I126" i="5"/>
  <c r="L106" i="5"/>
  <c r="K106" i="5"/>
  <c r="J106" i="5"/>
  <c r="I106" i="5"/>
  <c r="L105" i="5"/>
  <c r="K105" i="5"/>
  <c r="J105" i="5"/>
  <c r="I105" i="5"/>
  <c r="L104" i="5"/>
  <c r="K104" i="5"/>
  <c r="J104" i="5"/>
  <c r="I104" i="5"/>
  <c r="L103" i="5"/>
  <c r="K103" i="5"/>
  <c r="J103" i="5"/>
  <c r="I103" i="5"/>
  <c r="L83" i="5"/>
  <c r="K83" i="5"/>
  <c r="J83" i="5"/>
  <c r="I83" i="5"/>
  <c r="L82" i="5"/>
  <c r="K82" i="5"/>
  <c r="J82" i="5"/>
  <c r="I82" i="5"/>
  <c r="L81" i="5"/>
  <c r="K81" i="5"/>
  <c r="J81" i="5"/>
  <c r="I81" i="5"/>
  <c r="L80" i="5"/>
  <c r="K80" i="5"/>
  <c r="J80" i="5"/>
  <c r="I80" i="5"/>
  <c r="L60" i="5"/>
  <c r="K60" i="5"/>
  <c r="J60" i="5"/>
  <c r="I60" i="5"/>
  <c r="L59" i="5"/>
  <c r="K59" i="5"/>
  <c r="J59" i="5"/>
  <c r="I59" i="5"/>
  <c r="L58" i="5"/>
  <c r="K58" i="5"/>
  <c r="J58" i="5"/>
  <c r="I58" i="5"/>
  <c r="L57" i="5"/>
  <c r="K57" i="5"/>
  <c r="J57" i="5"/>
  <c r="I57" i="5"/>
  <c r="L45" i="5"/>
  <c r="K45" i="5"/>
  <c r="J45" i="5"/>
  <c r="I45" i="5"/>
  <c r="L44" i="5"/>
  <c r="K44" i="5"/>
  <c r="J44" i="5"/>
  <c r="I44" i="5"/>
  <c r="L43" i="5"/>
  <c r="K43" i="5"/>
  <c r="J43" i="5"/>
  <c r="I43" i="5"/>
  <c r="L42" i="5"/>
  <c r="K42" i="5"/>
  <c r="J42" i="5"/>
  <c r="I42" i="5"/>
  <c r="L30" i="5"/>
  <c r="K30" i="5"/>
  <c r="J30" i="5"/>
  <c r="I30" i="5"/>
  <c r="L29" i="5"/>
  <c r="K29" i="5"/>
  <c r="J29" i="5"/>
  <c r="I29" i="5"/>
  <c r="L28" i="5"/>
  <c r="K28" i="5"/>
  <c r="J28" i="5"/>
  <c r="I28" i="5"/>
  <c r="L27" i="5"/>
  <c r="K27" i="5"/>
  <c r="J27" i="5"/>
  <c r="I27" i="5"/>
  <c r="L11" i="5"/>
  <c r="K11" i="5"/>
  <c r="J11" i="5"/>
  <c r="I11" i="5"/>
  <c r="L10" i="5"/>
  <c r="K10" i="5"/>
  <c r="J10" i="5"/>
  <c r="I10" i="5"/>
  <c r="L9" i="5"/>
  <c r="K9" i="5"/>
  <c r="J9" i="5"/>
  <c r="I9" i="5"/>
  <c r="L8" i="5"/>
  <c r="K8" i="5"/>
  <c r="J8" i="5"/>
  <c r="I8" i="5"/>
  <c r="L276" i="4"/>
  <c r="K276" i="4"/>
  <c r="J276" i="4"/>
  <c r="I276" i="4"/>
  <c r="L275" i="4"/>
  <c r="K275" i="4"/>
  <c r="J275" i="4"/>
  <c r="I275" i="4"/>
  <c r="L274" i="4"/>
  <c r="K274" i="4"/>
  <c r="J274" i="4"/>
  <c r="I274" i="4"/>
  <c r="L273" i="4"/>
  <c r="K273" i="4"/>
  <c r="J273" i="4"/>
  <c r="I273" i="4"/>
  <c r="L261" i="4"/>
  <c r="K261" i="4"/>
  <c r="J261" i="4"/>
  <c r="I261" i="4"/>
  <c r="L260" i="4"/>
  <c r="K260" i="4"/>
  <c r="J260" i="4"/>
  <c r="I260" i="4"/>
  <c r="L259" i="4"/>
  <c r="K259" i="4"/>
  <c r="J259" i="4"/>
  <c r="I259" i="4"/>
  <c r="L258" i="4"/>
  <c r="K258" i="4"/>
  <c r="J258" i="4"/>
  <c r="I258" i="4"/>
  <c r="L246" i="4"/>
  <c r="K246" i="4"/>
  <c r="J246" i="4"/>
  <c r="I246" i="4"/>
  <c r="L245" i="4"/>
  <c r="K245" i="4"/>
  <c r="J245" i="4"/>
  <c r="I245" i="4"/>
  <c r="L244" i="4"/>
  <c r="K244" i="4"/>
  <c r="J244" i="4"/>
  <c r="I244" i="4"/>
  <c r="L243" i="4"/>
  <c r="K243" i="4"/>
  <c r="J243" i="4"/>
  <c r="I243" i="4"/>
  <c r="L231" i="4"/>
  <c r="K231" i="4"/>
  <c r="J231" i="4"/>
  <c r="I231" i="4"/>
  <c r="L230" i="4"/>
  <c r="K230" i="4"/>
  <c r="J230" i="4"/>
  <c r="I230" i="4"/>
  <c r="L229" i="4"/>
  <c r="K229" i="4"/>
  <c r="J229" i="4"/>
  <c r="I229" i="4"/>
  <c r="L228" i="4"/>
  <c r="K228" i="4"/>
  <c r="J228" i="4"/>
  <c r="I228" i="4"/>
  <c r="L216" i="4"/>
  <c r="K216" i="4"/>
  <c r="J216" i="4"/>
  <c r="I216" i="4"/>
  <c r="L215" i="4"/>
  <c r="K215" i="4"/>
  <c r="J215" i="4"/>
  <c r="I215" i="4"/>
  <c r="L214" i="4"/>
  <c r="K214" i="4"/>
  <c r="J214" i="4"/>
  <c r="I214" i="4"/>
  <c r="L213" i="4"/>
  <c r="K213" i="4"/>
  <c r="J213" i="4"/>
  <c r="I213" i="4"/>
  <c r="L201" i="4"/>
  <c r="K201" i="4"/>
  <c r="J201" i="4"/>
  <c r="I201" i="4"/>
  <c r="L200" i="4"/>
  <c r="K200" i="4"/>
  <c r="J200" i="4"/>
  <c r="I200" i="4"/>
  <c r="L199" i="4"/>
  <c r="K199" i="4"/>
  <c r="J199" i="4"/>
  <c r="I199" i="4"/>
  <c r="L198" i="4"/>
  <c r="K198" i="4"/>
  <c r="J198" i="4"/>
  <c r="I198" i="4"/>
  <c r="L182" i="4"/>
  <c r="K182" i="4"/>
  <c r="J182" i="4"/>
  <c r="I182" i="4"/>
  <c r="L181" i="4"/>
  <c r="K181" i="4"/>
  <c r="J181" i="4"/>
  <c r="I181" i="4"/>
  <c r="L180" i="4"/>
  <c r="K180" i="4"/>
  <c r="J180" i="4"/>
  <c r="I180" i="4"/>
  <c r="L179" i="4"/>
  <c r="K179" i="4"/>
  <c r="J179" i="4"/>
  <c r="I179" i="4"/>
  <c r="L163" i="4"/>
  <c r="K163" i="4"/>
  <c r="J163" i="4"/>
  <c r="I163" i="4"/>
  <c r="L162" i="4"/>
  <c r="K162" i="4"/>
  <c r="J162" i="4"/>
  <c r="I162" i="4"/>
  <c r="L161" i="4"/>
  <c r="K161" i="4"/>
  <c r="J161" i="4"/>
  <c r="I161" i="4"/>
  <c r="L160" i="4"/>
  <c r="K160" i="4"/>
  <c r="J160" i="4"/>
  <c r="I160" i="4"/>
  <c r="L144" i="4"/>
  <c r="K144" i="4"/>
  <c r="J144" i="4"/>
  <c r="I144" i="4"/>
  <c r="L143" i="4"/>
  <c r="K143" i="4"/>
  <c r="J143" i="4"/>
  <c r="I143" i="4"/>
  <c r="L142" i="4"/>
  <c r="K142" i="4"/>
  <c r="J142" i="4"/>
  <c r="I142" i="4"/>
  <c r="L141" i="4"/>
  <c r="K141" i="4"/>
  <c r="J141" i="4"/>
  <c r="I141" i="4"/>
  <c r="L129" i="4"/>
  <c r="K129" i="4"/>
  <c r="J129" i="4"/>
  <c r="I129" i="4"/>
  <c r="L128" i="4"/>
  <c r="K128" i="4"/>
  <c r="J128" i="4"/>
  <c r="I128" i="4"/>
  <c r="L127" i="4"/>
  <c r="K127" i="4"/>
  <c r="J127" i="4"/>
  <c r="I127" i="4"/>
  <c r="L126" i="4"/>
  <c r="K126" i="4"/>
  <c r="J126" i="4"/>
  <c r="I126" i="4"/>
  <c r="L106" i="4"/>
  <c r="K106" i="4"/>
  <c r="J106" i="4"/>
  <c r="I106" i="4"/>
  <c r="L105" i="4"/>
  <c r="K105" i="4"/>
  <c r="J105" i="4"/>
  <c r="I105" i="4"/>
  <c r="L104" i="4"/>
  <c r="K104" i="4"/>
  <c r="J104" i="4"/>
  <c r="I104" i="4"/>
  <c r="L103" i="4"/>
  <c r="K103" i="4"/>
  <c r="J103" i="4"/>
  <c r="I103" i="4"/>
  <c r="L83" i="4"/>
  <c r="K83" i="4"/>
  <c r="J83" i="4"/>
  <c r="I83" i="4"/>
  <c r="L82" i="4"/>
  <c r="K82" i="4"/>
  <c r="J82" i="4"/>
  <c r="I82" i="4"/>
  <c r="L81" i="4"/>
  <c r="K81" i="4"/>
  <c r="J81" i="4"/>
  <c r="I81" i="4"/>
  <c r="L80" i="4"/>
  <c r="K80" i="4"/>
  <c r="J80" i="4"/>
  <c r="I80" i="4"/>
  <c r="L60" i="4"/>
  <c r="K60" i="4"/>
  <c r="J60" i="4"/>
  <c r="I60" i="4"/>
  <c r="L59" i="4"/>
  <c r="K59" i="4"/>
  <c r="J59" i="4"/>
  <c r="I59" i="4"/>
  <c r="L58" i="4"/>
  <c r="K58" i="4"/>
  <c r="J58" i="4"/>
  <c r="I58" i="4"/>
  <c r="L57" i="4"/>
  <c r="K57" i="4"/>
  <c r="J57" i="4"/>
  <c r="I57" i="4"/>
  <c r="L45" i="4"/>
  <c r="K45" i="4"/>
  <c r="J45" i="4"/>
  <c r="I45" i="4"/>
  <c r="L44" i="4"/>
  <c r="K44" i="4"/>
  <c r="J44" i="4"/>
  <c r="I44" i="4"/>
  <c r="L43" i="4"/>
  <c r="K43" i="4"/>
  <c r="J43" i="4"/>
  <c r="I43" i="4"/>
  <c r="L42" i="4"/>
  <c r="K42" i="4"/>
  <c r="J42" i="4"/>
  <c r="I42" i="4"/>
  <c r="L30" i="4"/>
  <c r="K30" i="4"/>
  <c r="J30" i="4"/>
  <c r="I30" i="4"/>
  <c r="L29" i="4"/>
  <c r="K29" i="4"/>
  <c r="J29" i="4"/>
  <c r="I29" i="4"/>
  <c r="L28" i="4"/>
  <c r="K28" i="4"/>
  <c r="J28" i="4"/>
  <c r="I28" i="4"/>
  <c r="L27" i="4"/>
  <c r="K27" i="4"/>
  <c r="J27" i="4"/>
  <c r="I27" i="4"/>
  <c r="L11" i="4"/>
  <c r="K11" i="4"/>
  <c r="J11" i="4"/>
  <c r="I11" i="4"/>
  <c r="L10" i="4"/>
  <c r="K10" i="4"/>
  <c r="J10" i="4"/>
  <c r="I10" i="4"/>
  <c r="L9" i="4"/>
  <c r="K9" i="4"/>
  <c r="J9" i="4"/>
  <c r="I9" i="4"/>
  <c r="L8" i="4"/>
  <c r="K8" i="4"/>
  <c r="J8" i="4"/>
  <c r="I8" i="4"/>
  <c r="L276" i="3"/>
  <c r="K276" i="3"/>
  <c r="J276" i="3"/>
  <c r="I276" i="3"/>
  <c r="L275" i="3"/>
  <c r="K275" i="3"/>
  <c r="J275" i="3"/>
  <c r="I275" i="3"/>
  <c r="L274" i="3"/>
  <c r="K274" i="3"/>
  <c r="J274" i="3"/>
  <c r="I274" i="3"/>
  <c r="L273" i="3"/>
  <c r="K273" i="3"/>
  <c r="J273" i="3"/>
  <c r="I273" i="3"/>
  <c r="L261" i="3"/>
  <c r="K261" i="3"/>
  <c r="J261" i="3"/>
  <c r="I261" i="3"/>
  <c r="L260" i="3"/>
  <c r="K260" i="3"/>
  <c r="J260" i="3"/>
  <c r="I260" i="3"/>
  <c r="L259" i="3"/>
  <c r="K259" i="3"/>
  <c r="J259" i="3"/>
  <c r="I259" i="3"/>
  <c r="L258" i="3"/>
  <c r="K258" i="3"/>
  <c r="J258" i="3"/>
  <c r="I258" i="3"/>
  <c r="L246" i="3"/>
  <c r="K246" i="3"/>
  <c r="J246" i="3"/>
  <c r="I246" i="3"/>
  <c r="L245" i="3"/>
  <c r="K245" i="3"/>
  <c r="J245" i="3"/>
  <c r="I245" i="3"/>
  <c r="L244" i="3"/>
  <c r="K244" i="3"/>
  <c r="J244" i="3"/>
  <c r="I244" i="3"/>
  <c r="L243" i="3"/>
  <c r="K243" i="3"/>
  <c r="J243" i="3"/>
  <c r="I243" i="3"/>
  <c r="L231" i="3"/>
  <c r="K231" i="3"/>
  <c r="J231" i="3"/>
  <c r="I231" i="3"/>
  <c r="L230" i="3"/>
  <c r="K230" i="3"/>
  <c r="J230" i="3"/>
  <c r="I230" i="3"/>
  <c r="L229" i="3"/>
  <c r="K229" i="3"/>
  <c r="J229" i="3"/>
  <c r="I229" i="3"/>
  <c r="L228" i="3"/>
  <c r="K228" i="3"/>
  <c r="J228" i="3"/>
  <c r="I228" i="3"/>
  <c r="L216" i="3"/>
  <c r="K216" i="3"/>
  <c r="J216" i="3"/>
  <c r="I216" i="3"/>
  <c r="L215" i="3"/>
  <c r="K215" i="3"/>
  <c r="J215" i="3"/>
  <c r="I215" i="3"/>
  <c r="L214" i="3"/>
  <c r="K214" i="3"/>
  <c r="J214" i="3"/>
  <c r="I214" i="3"/>
  <c r="L213" i="3"/>
  <c r="K213" i="3"/>
  <c r="J213" i="3"/>
  <c r="I213" i="3"/>
  <c r="L201" i="3"/>
  <c r="K201" i="3"/>
  <c r="J201" i="3"/>
  <c r="I201" i="3"/>
  <c r="L200" i="3"/>
  <c r="K200" i="3"/>
  <c r="J200" i="3"/>
  <c r="I200" i="3"/>
  <c r="L199" i="3"/>
  <c r="K199" i="3"/>
  <c r="J199" i="3"/>
  <c r="I199" i="3"/>
  <c r="L198" i="3"/>
  <c r="K198" i="3"/>
  <c r="J198" i="3"/>
  <c r="I198" i="3"/>
  <c r="L182" i="3"/>
  <c r="K182" i="3"/>
  <c r="J182" i="3"/>
  <c r="I182" i="3"/>
  <c r="L181" i="3"/>
  <c r="K181" i="3"/>
  <c r="J181" i="3"/>
  <c r="I181" i="3"/>
  <c r="L180" i="3"/>
  <c r="K180" i="3"/>
  <c r="J180" i="3"/>
  <c r="I180" i="3"/>
  <c r="L179" i="3"/>
  <c r="K179" i="3"/>
  <c r="J179" i="3"/>
  <c r="I179" i="3"/>
  <c r="L163" i="3"/>
  <c r="K163" i="3"/>
  <c r="J163" i="3"/>
  <c r="I163" i="3"/>
  <c r="L162" i="3"/>
  <c r="K162" i="3"/>
  <c r="J162" i="3"/>
  <c r="I162" i="3"/>
  <c r="L161" i="3"/>
  <c r="K161" i="3"/>
  <c r="J161" i="3"/>
  <c r="I161" i="3"/>
  <c r="L160" i="3"/>
  <c r="K160" i="3"/>
  <c r="J160" i="3"/>
  <c r="I160" i="3"/>
  <c r="L144" i="3"/>
  <c r="K144" i="3"/>
  <c r="J144" i="3"/>
  <c r="I144" i="3"/>
  <c r="L143" i="3"/>
  <c r="K143" i="3"/>
  <c r="J143" i="3"/>
  <c r="I143" i="3"/>
  <c r="L142" i="3"/>
  <c r="K142" i="3"/>
  <c r="J142" i="3"/>
  <c r="I142" i="3"/>
  <c r="L141" i="3"/>
  <c r="K141" i="3"/>
  <c r="J141" i="3"/>
  <c r="I141" i="3"/>
  <c r="L129" i="3"/>
  <c r="K129" i="3"/>
  <c r="J129" i="3"/>
  <c r="I129" i="3"/>
  <c r="L128" i="3"/>
  <c r="K128" i="3"/>
  <c r="J128" i="3"/>
  <c r="I128" i="3"/>
  <c r="L127" i="3"/>
  <c r="K127" i="3"/>
  <c r="J127" i="3"/>
  <c r="I127" i="3"/>
  <c r="L126" i="3"/>
  <c r="K126" i="3"/>
  <c r="J126" i="3"/>
  <c r="I126" i="3"/>
  <c r="L106" i="3"/>
  <c r="K106" i="3"/>
  <c r="J106" i="3"/>
  <c r="I106" i="3"/>
  <c r="L105" i="3"/>
  <c r="K105" i="3"/>
  <c r="J105" i="3"/>
  <c r="I105" i="3"/>
  <c r="L104" i="3"/>
  <c r="K104" i="3"/>
  <c r="J104" i="3"/>
  <c r="I104" i="3"/>
  <c r="L103" i="3"/>
  <c r="K103" i="3"/>
  <c r="J103" i="3"/>
  <c r="I103" i="3"/>
  <c r="L83" i="3"/>
  <c r="K83" i="3"/>
  <c r="J83" i="3"/>
  <c r="I83" i="3"/>
  <c r="L82" i="3"/>
  <c r="K82" i="3"/>
  <c r="J82" i="3"/>
  <c r="I82" i="3"/>
  <c r="L81" i="3"/>
  <c r="K81" i="3"/>
  <c r="J81" i="3"/>
  <c r="I81" i="3"/>
  <c r="L80" i="3"/>
  <c r="K80" i="3"/>
  <c r="J80" i="3"/>
  <c r="I80" i="3"/>
  <c r="L60" i="3"/>
  <c r="K60" i="3"/>
  <c r="J60" i="3"/>
  <c r="I60" i="3"/>
  <c r="L59" i="3"/>
  <c r="K59" i="3"/>
  <c r="J59" i="3"/>
  <c r="I59" i="3"/>
  <c r="L58" i="3"/>
  <c r="K58" i="3"/>
  <c r="J58" i="3"/>
  <c r="I58" i="3"/>
  <c r="L57" i="3"/>
  <c r="K57" i="3"/>
  <c r="J57" i="3"/>
  <c r="I57" i="3"/>
  <c r="L45" i="3"/>
  <c r="K45" i="3"/>
  <c r="J45" i="3"/>
  <c r="I45" i="3"/>
  <c r="L44" i="3"/>
  <c r="K44" i="3"/>
  <c r="J44" i="3"/>
  <c r="I44" i="3"/>
  <c r="L43" i="3"/>
  <c r="K43" i="3"/>
  <c r="J43" i="3"/>
  <c r="I43" i="3"/>
  <c r="L42" i="3"/>
  <c r="K42" i="3"/>
  <c r="J42" i="3"/>
  <c r="I42" i="3"/>
  <c r="L30" i="3"/>
  <c r="K30" i="3"/>
  <c r="J30" i="3"/>
  <c r="I30" i="3"/>
  <c r="L29" i="3"/>
  <c r="K29" i="3"/>
  <c r="J29" i="3"/>
  <c r="I29" i="3"/>
  <c r="L28" i="3"/>
  <c r="K28" i="3"/>
  <c r="J28" i="3"/>
  <c r="I28" i="3"/>
  <c r="L27" i="3"/>
  <c r="K27" i="3"/>
  <c r="J27" i="3"/>
  <c r="I27" i="3"/>
  <c r="L11" i="3"/>
  <c r="K11" i="3"/>
  <c r="J11" i="3"/>
  <c r="I11" i="3"/>
  <c r="L10" i="3"/>
  <c r="K10" i="3"/>
  <c r="J10" i="3"/>
  <c r="I10" i="3"/>
  <c r="L9" i="3"/>
  <c r="K9" i="3"/>
  <c r="J9" i="3"/>
  <c r="I9" i="3"/>
  <c r="L8" i="3"/>
  <c r="K8" i="3"/>
  <c r="J8" i="3"/>
  <c r="I8" i="3"/>
  <c r="L276" i="2"/>
  <c r="K276" i="2"/>
  <c r="J276" i="2"/>
  <c r="I276" i="2"/>
  <c r="L275" i="2"/>
  <c r="K275" i="2"/>
  <c r="J275" i="2"/>
  <c r="I275" i="2"/>
  <c r="L274" i="2"/>
  <c r="K274" i="2"/>
  <c r="J274" i="2"/>
  <c r="I274" i="2"/>
  <c r="L273" i="2"/>
  <c r="K273" i="2"/>
  <c r="J273" i="2"/>
  <c r="I273" i="2"/>
  <c r="L261" i="2"/>
  <c r="K261" i="2"/>
  <c r="J261" i="2"/>
  <c r="I261" i="2"/>
  <c r="L260" i="2"/>
  <c r="K260" i="2"/>
  <c r="J260" i="2"/>
  <c r="I260" i="2"/>
  <c r="L259" i="2"/>
  <c r="K259" i="2"/>
  <c r="J259" i="2"/>
  <c r="I259" i="2"/>
  <c r="L258" i="2"/>
  <c r="K258" i="2"/>
  <c r="J258" i="2"/>
  <c r="I258" i="2"/>
  <c r="L246" i="2"/>
  <c r="K246" i="2"/>
  <c r="J246" i="2"/>
  <c r="I246" i="2"/>
  <c r="L245" i="2"/>
  <c r="K245" i="2"/>
  <c r="J245" i="2"/>
  <c r="I245" i="2"/>
  <c r="L244" i="2"/>
  <c r="K244" i="2"/>
  <c r="J244" i="2"/>
  <c r="I244" i="2"/>
  <c r="L243" i="2"/>
  <c r="K243" i="2"/>
  <c r="J243" i="2"/>
  <c r="I243" i="2"/>
  <c r="L231" i="2"/>
  <c r="K231" i="2"/>
  <c r="J231" i="2"/>
  <c r="I231" i="2"/>
  <c r="L230" i="2"/>
  <c r="K230" i="2"/>
  <c r="J230" i="2"/>
  <c r="I230" i="2"/>
  <c r="L229" i="2"/>
  <c r="K229" i="2"/>
  <c r="J229" i="2"/>
  <c r="I229" i="2"/>
  <c r="L228" i="2"/>
  <c r="K228" i="2"/>
  <c r="J228" i="2"/>
  <c r="I228" i="2"/>
  <c r="L216" i="2"/>
  <c r="K216" i="2"/>
  <c r="J216" i="2"/>
  <c r="I216" i="2"/>
  <c r="L215" i="2"/>
  <c r="K215" i="2"/>
  <c r="J215" i="2"/>
  <c r="I215" i="2"/>
  <c r="L214" i="2"/>
  <c r="K214" i="2"/>
  <c r="J214" i="2"/>
  <c r="I214" i="2"/>
  <c r="L213" i="2"/>
  <c r="K213" i="2"/>
  <c r="J213" i="2"/>
  <c r="I213" i="2"/>
  <c r="L201" i="2"/>
  <c r="K201" i="2"/>
  <c r="J201" i="2"/>
  <c r="I201" i="2"/>
  <c r="L200" i="2"/>
  <c r="K200" i="2"/>
  <c r="J200" i="2"/>
  <c r="I200" i="2"/>
  <c r="L199" i="2"/>
  <c r="K199" i="2"/>
  <c r="J199" i="2"/>
  <c r="I199" i="2"/>
  <c r="L198" i="2"/>
  <c r="K198" i="2"/>
  <c r="J198" i="2"/>
  <c r="I198" i="2"/>
  <c r="L182" i="2"/>
  <c r="K182" i="2"/>
  <c r="J182" i="2"/>
  <c r="I182" i="2"/>
  <c r="L181" i="2"/>
  <c r="K181" i="2"/>
  <c r="J181" i="2"/>
  <c r="I181" i="2"/>
  <c r="L180" i="2"/>
  <c r="K180" i="2"/>
  <c r="J180" i="2"/>
  <c r="I180" i="2"/>
  <c r="L179" i="2"/>
  <c r="K179" i="2"/>
  <c r="J179" i="2"/>
  <c r="I179" i="2"/>
  <c r="L163" i="2"/>
  <c r="K163" i="2"/>
  <c r="J163" i="2"/>
  <c r="I163" i="2"/>
  <c r="L162" i="2"/>
  <c r="K162" i="2"/>
  <c r="J162" i="2"/>
  <c r="I162" i="2"/>
  <c r="L161" i="2"/>
  <c r="K161" i="2"/>
  <c r="J161" i="2"/>
  <c r="I161" i="2"/>
  <c r="L160" i="2"/>
  <c r="K160" i="2"/>
  <c r="J160" i="2"/>
  <c r="I160" i="2"/>
  <c r="L144" i="2"/>
  <c r="K144" i="2"/>
  <c r="J144" i="2"/>
  <c r="I144" i="2"/>
  <c r="L143" i="2"/>
  <c r="K143" i="2"/>
  <c r="J143" i="2"/>
  <c r="I143" i="2"/>
  <c r="L142" i="2"/>
  <c r="K142" i="2"/>
  <c r="J142" i="2"/>
  <c r="I142" i="2"/>
  <c r="L141" i="2"/>
  <c r="K141" i="2"/>
  <c r="J141" i="2"/>
  <c r="I141" i="2"/>
  <c r="L129" i="2"/>
  <c r="K129" i="2"/>
  <c r="J129" i="2"/>
  <c r="I129" i="2"/>
  <c r="L128" i="2"/>
  <c r="K128" i="2"/>
  <c r="J128" i="2"/>
  <c r="I128" i="2"/>
  <c r="L127" i="2"/>
  <c r="K127" i="2"/>
  <c r="J127" i="2"/>
  <c r="I127" i="2"/>
  <c r="L126" i="2"/>
  <c r="K126" i="2"/>
  <c r="J126" i="2"/>
  <c r="I126" i="2"/>
  <c r="L106" i="2"/>
  <c r="K106" i="2"/>
  <c r="J106" i="2"/>
  <c r="I106" i="2"/>
  <c r="L105" i="2"/>
  <c r="K105" i="2"/>
  <c r="J105" i="2"/>
  <c r="I105" i="2"/>
  <c r="L104" i="2"/>
  <c r="K104" i="2"/>
  <c r="J104" i="2"/>
  <c r="I104" i="2"/>
  <c r="L103" i="2"/>
  <c r="K103" i="2"/>
  <c r="J103" i="2"/>
  <c r="I103" i="2"/>
  <c r="L83" i="2"/>
  <c r="K83" i="2"/>
  <c r="J83" i="2"/>
  <c r="I83" i="2"/>
  <c r="L82" i="2"/>
  <c r="K82" i="2"/>
  <c r="J82" i="2"/>
  <c r="I82" i="2"/>
  <c r="L81" i="2"/>
  <c r="K81" i="2"/>
  <c r="J81" i="2"/>
  <c r="I81" i="2"/>
  <c r="L80" i="2"/>
  <c r="K80" i="2"/>
  <c r="J80" i="2"/>
  <c r="I80" i="2"/>
  <c r="L45" i="2"/>
  <c r="K45" i="2"/>
  <c r="J45" i="2"/>
  <c r="I45" i="2"/>
  <c r="L44" i="2"/>
  <c r="K44" i="2"/>
  <c r="J44" i="2"/>
  <c r="I44" i="2"/>
  <c r="L43" i="2"/>
  <c r="K43" i="2"/>
  <c r="J43" i="2"/>
  <c r="I43" i="2"/>
  <c r="L42" i="2"/>
  <c r="K42" i="2"/>
  <c r="J42" i="2"/>
  <c r="I42" i="2"/>
  <c r="L30" i="2"/>
  <c r="K30" i="2"/>
  <c r="J30" i="2"/>
  <c r="I30" i="2"/>
  <c r="L29" i="2"/>
  <c r="K29" i="2"/>
  <c r="J29" i="2"/>
  <c r="I29" i="2"/>
  <c r="L28" i="2"/>
  <c r="K28" i="2"/>
  <c r="J28" i="2"/>
  <c r="I28" i="2"/>
  <c r="L27" i="2"/>
  <c r="K27" i="2"/>
  <c r="J27" i="2"/>
  <c r="I27" i="2"/>
  <c r="L11" i="2"/>
  <c r="K11" i="2"/>
  <c r="J11" i="2"/>
  <c r="I11" i="2"/>
  <c r="L10" i="2"/>
  <c r="K10" i="2"/>
  <c r="J10" i="2"/>
  <c r="I10" i="2"/>
  <c r="L9" i="2"/>
  <c r="K9" i="2"/>
  <c r="J9" i="2"/>
  <c r="I9" i="2"/>
  <c r="L8" i="2"/>
  <c r="K8" i="2"/>
  <c r="J8" i="2"/>
  <c r="I8" i="2"/>
  <c r="J57" i="2"/>
  <c r="K57" i="2"/>
  <c r="L57" i="2"/>
  <c r="J58" i="2"/>
  <c r="K58" i="2"/>
  <c r="L58" i="2"/>
  <c r="J59" i="2"/>
  <c r="K59" i="2"/>
  <c r="L59" i="2"/>
  <c r="J60" i="2"/>
  <c r="K60" i="2"/>
  <c r="L60" i="2"/>
  <c r="I60" i="2"/>
  <c r="I59" i="2"/>
  <c r="I58" i="2"/>
  <c r="I57" i="2"/>
  <c r="G93" i="1"/>
  <c r="G92" i="1"/>
  <c r="G88" i="1"/>
  <c r="G87" i="1"/>
  <c r="G83" i="1"/>
  <c r="G82" i="1"/>
  <c r="G78" i="1"/>
  <c r="G77" i="1"/>
  <c r="G73" i="1"/>
  <c r="G72" i="1"/>
  <c r="G68" i="1"/>
  <c r="G67" i="1"/>
  <c r="G63" i="1"/>
  <c r="G62" i="1"/>
  <c r="G61" i="1"/>
  <c r="G57" i="1"/>
  <c r="G56" i="1"/>
  <c r="G55" i="1"/>
  <c r="G51" i="1"/>
  <c r="G50" i="1"/>
  <c r="G49" i="1"/>
  <c r="G45" i="1"/>
  <c r="G44" i="1"/>
  <c r="G40" i="1"/>
  <c r="G39" i="1"/>
  <c r="G38" i="1"/>
  <c r="G37" i="1"/>
  <c r="G33" i="1"/>
  <c r="G32" i="1"/>
  <c r="G31" i="1"/>
  <c r="G30" i="1"/>
  <c r="G26" i="1"/>
  <c r="G25" i="1"/>
  <c r="G24" i="1"/>
  <c r="G23" i="1"/>
  <c r="G19" i="1"/>
  <c r="G18" i="1"/>
  <c r="G14" i="1"/>
  <c r="G13" i="1"/>
  <c r="G9" i="1"/>
  <c r="G8" i="1"/>
  <c r="G7" i="1"/>
</calcChain>
</file>

<file path=xl/sharedStrings.xml><?xml version="1.0" encoding="utf-8"?>
<sst xmlns="http://schemas.openxmlformats.org/spreadsheetml/2006/main" count="13926" uniqueCount="282">
  <si>
    <t>FREQ 프로시저</t>
  </si>
  <si>
    <t>subject=0</t>
  </si>
  <si>
    <t>age_g</t>
  </si>
  <si>
    <t>빈도</t>
  </si>
  <si>
    <t>백분율</t>
  </si>
  <si>
    <t>누적</t>
  </si>
  <si>
    <t>sex</t>
  </si>
  <si>
    <t>town_t</t>
  </si>
  <si>
    <t>educ_g</t>
  </si>
  <si>
    <t>ho_incm</t>
  </si>
  <si>
    <t>bmi_g</t>
  </si>
  <si>
    <t>marri_g</t>
  </si>
  <si>
    <t>health_g</t>
  </si>
  <si>
    <t>stress_g</t>
  </si>
  <si>
    <t>drinking_g</t>
  </si>
  <si>
    <t>smoking_g</t>
  </si>
  <si>
    <t>hypertension_g</t>
  </si>
  <si>
    <t>dyslipidemia_g</t>
  </si>
  <si>
    <t>stroke_g</t>
  </si>
  <si>
    <t>mi_g</t>
  </si>
  <si>
    <t>angina_g</t>
  </si>
  <si>
    <t>subject=1</t>
  </si>
  <si>
    <t>행 백분율</t>
  </si>
  <si>
    <t>칼럼 백분율</t>
  </si>
  <si>
    <t>테이블 age_g * tyg_g</t>
  </si>
  <si>
    <t>tyg_g</t>
  </si>
  <si>
    <t>합계</t>
  </si>
  <si>
    <t>테이블 sex * tyg_g</t>
  </si>
  <si>
    <t>테이블 town_t * tyg_g</t>
  </si>
  <si>
    <t>테이블 educ_g * tyg_g</t>
  </si>
  <si>
    <t>테이블 ho_incm * tyg_g</t>
  </si>
  <si>
    <t>테이블 bmi_g * tyg_g</t>
  </si>
  <si>
    <t>테이블 marri_g * tyg_g</t>
  </si>
  <si>
    <t>테이블 health_g * tyg_g</t>
  </si>
  <si>
    <t>테이블 stress_g * tyg_g</t>
  </si>
  <si>
    <t>테이블 drinking_g * tyg_g</t>
  </si>
  <si>
    <t>테이블 smoking_g * tyg_g</t>
  </si>
  <si>
    <t>테이블 hypertension_g * tyg_g</t>
  </si>
  <si>
    <t>테이블 dyslipidemia_g * tyg_g</t>
  </si>
  <si>
    <t>테이블 stroke_g * tyg_g</t>
  </si>
  <si>
    <t>테이블 mi_g * tyg_g</t>
  </si>
  <si>
    <t>테이블 angina_g * tyg_g</t>
  </si>
  <si>
    <t>테이블 age_g * tyg_absi_g</t>
  </si>
  <si>
    <t>tyg_absi_g</t>
  </si>
  <si>
    <t>테이블 sex * tyg_absi_g</t>
  </si>
  <si>
    <t>테이블 town_t * tyg_absi_g</t>
  </si>
  <si>
    <t>테이블 educ_g * tyg_absi_g</t>
  </si>
  <si>
    <t>테이블 ho_incm * tyg_absi_g</t>
  </si>
  <si>
    <t>테이블 bmi_g * tyg_absi_g</t>
  </si>
  <si>
    <t>테이블 marri_g * tyg_absi_g</t>
  </si>
  <si>
    <t>테이블 health_g * tyg_absi_g</t>
  </si>
  <si>
    <t>테이블 stress_g * tyg_absi_g</t>
  </si>
  <si>
    <t>테이블 drinking_g * tyg_absi_g</t>
  </si>
  <si>
    <t>테이블 smoking_g * tyg_absi_g</t>
  </si>
  <si>
    <t>테이블 hypertension_g * tyg_absi_g</t>
  </si>
  <si>
    <t>테이블 dyslipidemia_g * tyg_absi_g</t>
  </si>
  <si>
    <t>테이블 stroke_g * tyg_absi_g</t>
  </si>
  <si>
    <t>테이블 mi_g * tyg_absi_g</t>
  </si>
  <si>
    <t>테이블 angina_g * tyg_absi_g</t>
  </si>
  <si>
    <t>테이블 age_g * aip_g</t>
  </si>
  <si>
    <t>aip_g</t>
  </si>
  <si>
    <t>테이블 sex * aip_g</t>
  </si>
  <si>
    <t>테이블 town_t * aip_g</t>
  </si>
  <si>
    <t>테이블 educ_g * aip_g</t>
  </si>
  <si>
    <t>테이블 ho_incm * aip_g</t>
  </si>
  <si>
    <t>테이블 bmi_g * aip_g</t>
  </si>
  <si>
    <t>테이블 marri_g * aip_g</t>
  </si>
  <si>
    <t>테이블 health_g * aip_g</t>
  </si>
  <si>
    <t>테이블 stress_g * aip_g</t>
  </si>
  <si>
    <t>테이블 drinking_g * aip_g</t>
  </si>
  <si>
    <t>테이블 smoking_g * aip_g</t>
  </si>
  <si>
    <t>테이블 hypertension_g * aip_g</t>
  </si>
  <si>
    <t>테이블 dyslipidemia_g * aip_g</t>
  </si>
  <si>
    <t>테이블 stroke_g * aip_g</t>
  </si>
  <si>
    <t>테이블 mi_g * aip_g</t>
  </si>
  <si>
    <t>테이블 angina_g * aip_g</t>
  </si>
  <si>
    <t>테이블 age_g * mets_ir_g</t>
  </si>
  <si>
    <t>mets_ir_g</t>
  </si>
  <si>
    <t>테이블 sex * mets_ir_g</t>
  </si>
  <si>
    <t>테이블 town_t * mets_ir_g</t>
  </si>
  <si>
    <t>테이블 educ_g * mets_ir_g</t>
  </si>
  <si>
    <t>테이블 ho_incm * mets_ir_g</t>
  </si>
  <si>
    <t>테이블 bmi_g * mets_ir_g</t>
  </si>
  <si>
    <t>테이블 marri_g * mets_ir_g</t>
  </si>
  <si>
    <t>테이블 health_g * mets_ir_g</t>
  </si>
  <si>
    <t>테이블 stress_g * mets_ir_g</t>
  </si>
  <si>
    <t>테이블 drinking_g * mets_ir_g</t>
  </si>
  <si>
    <t>테이블 smoking_g * mets_ir_g</t>
  </si>
  <si>
    <t>테이블 hypertension_g * mets_ir_g</t>
  </si>
  <si>
    <t>테이블 dyslipidemia_g * mets_ir_g</t>
  </si>
  <si>
    <t>테이블 stroke_g * mets_ir_g</t>
  </si>
  <si>
    <t>테이블 mi_g * mets_ir_g</t>
  </si>
  <si>
    <t>테이블 angina_g * mets_ir_g</t>
  </si>
  <si>
    <t>변수</t>
  </si>
  <si>
    <t>N</t>
  </si>
  <si>
    <t>평균</t>
  </si>
  <si>
    <t>표준편차</t>
  </si>
  <si>
    <t>최솟값</t>
  </si>
  <si>
    <t>최댓값</t>
  </si>
  <si>
    <t>age</t>
  </si>
  <si>
    <t>HE_BMI</t>
  </si>
  <si>
    <t>HE_wc</t>
  </si>
  <si>
    <t>absi</t>
  </si>
  <si>
    <t>HE_sbp</t>
  </si>
  <si>
    <t>HE_glu</t>
  </si>
  <si>
    <t>HE_chol</t>
  </si>
  <si>
    <t>HE_HDL_st2</t>
  </si>
  <si>
    <t>HE_TG</t>
  </si>
  <si>
    <t>HE_ast</t>
  </si>
  <si>
    <t>HE_alt</t>
  </si>
  <si>
    <t>HE_HB</t>
  </si>
  <si>
    <t>HE_BUN</t>
  </si>
  <si>
    <t>HE_crea</t>
  </si>
  <si>
    <t>HE_Uph</t>
  </si>
  <si>
    <t>tyg</t>
  </si>
  <si>
    <t>tyg_absi</t>
  </si>
  <si>
    <t>aip</t>
  </si>
  <si>
    <t>mets_ir</t>
  </si>
  <si>
    <t>subject=1 tyg_g=1</t>
  </si>
  <si>
    <t>subject=1 tyg_g=2</t>
  </si>
  <si>
    <t>subject=1 tyg_g=3</t>
  </si>
  <si>
    <t>subject=1 tyg_g=4</t>
  </si>
  <si>
    <t>subject=1 tyg_absi_g=1</t>
  </si>
  <si>
    <t>subject=1 tyg_absi_g=2</t>
  </si>
  <si>
    <t>subject=1 tyg_absi_g=3</t>
  </si>
  <si>
    <t>subject=1 tyg_absi_g=4</t>
  </si>
  <si>
    <t>subject=1 aip_g=1</t>
  </si>
  <si>
    <t>subject=1 aip_g=2</t>
  </si>
  <si>
    <t>subject=1 aip_g=3</t>
  </si>
  <si>
    <t>subject=1 aip_g=4</t>
  </si>
  <si>
    <t>subject=1 mets_ir_g=1</t>
  </si>
  <si>
    <t>subject=1 mets_ir_g=2</t>
  </si>
  <si>
    <t>subject=1 mets_ir_g=3</t>
  </si>
  <si>
    <t>subject=1 mets_ir_g=4</t>
  </si>
  <si>
    <t>The SURVEYFREQ Procedure</t>
  </si>
  <si>
    <t>Data Summary</t>
  </si>
  <si>
    <t>Number of Strata</t>
  </si>
  <si>
    <t>Number of Clusters</t>
  </si>
  <si>
    <t>Number of Observations</t>
  </si>
  <si>
    <t>Sum of Weights</t>
  </si>
  <si>
    <t>Variance Estimation</t>
  </si>
  <si>
    <t>Method</t>
  </si>
  <si>
    <t>Taylor Series</t>
  </si>
  <si>
    <t>Missing Values</t>
  </si>
  <si>
    <t>NOMCAR</t>
  </si>
  <si>
    <t>Table of age_g</t>
  </si>
  <si>
    <t>Frequency</t>
  </si>
  <si>
    <t>Weighted</t>
  </si>
  <si>
    <t>Std Err of</t>
  </si>
  <si>
    <t>Wgt Freq</t>
  </si>
  <si>
    <t>Percent</t>
  </si>
  <si>
    <t>95% Confidence Limits</t>
  </si>
  <si>
    <t>for Percent</t>
  </si>
  <si>
    <t>Total</t>
  </si>
  <si>
    <t>Table of sex</t>
  </si>
  <si>
    <t>Table of town_t</t>
  </si>
  <si>
    <t>Table of educ_g</t>
  </si>
  <si>
    <t>Table of ho_incm</t>
  </si>
  <si>
    <t>Table of bmi_g</t>
  </si>
  <si>
    <t>Table of marri_g</t>
  </si>
  <si>
    <t>Table of health_g</t>
  </si>
  <si>
    <t>Table of stress_g</t>
  </si>
  <si>
    <t>Table of drinking_g</t>
  </si>
  <si>
    <t>Table of smoking_g</t>
  </si>
  <si>
    <t>Table of hypertension_g</t>
  </si>
  <si>
    <t>Table of dyslipidemia_g</t>
  </si>
  <si>
    <t>Table of stroke_g</t>
  </si>
  <si>
    <t>Table of mi_g</t>
  </si>
  <si>
    <t>Table of angina_g</t>
  </si>
  <si>
    <t>Table of tyg_g by age_g</t>
  </si>
  <si>
    <t>Row</t>
  </si>
  <si>
    <t>Row Percent</t>
  </si>
  <si>
    <t>for Row Percent</t>
  </si>
  <si>
    <t>Table of tyg_g by sex</t>
  </si>
  <si>
    <t>Table of tyg_g by town_t</t>
  </si>
  <si>
    <t>Table of tyg_g by educ_g</t>
  </si>
  <si>
    <t>Table of tyg_g by ho_incm</t>
  </si>
  <si>
    <t>Table of tyg_g by bmi_g</t>
  </si>
  <si>
    <t>Table of tyg_g by marri_g</t>
  </si>
  <si>
    <t>Table of tyg_g by health_g</t>
  </si>
  <si>
    <t>Table of tyg_g by stress_g</t>
  </si>
  <si>
    <t>Table of tyg_g by drinking_g</t>
  </si>
  <si>
    <t>Table of tyg_g by smoking_g</t>
  </si>
  <si>
    <t>Table of tyg_g by hypertension_g</t>
  </si>
  <si>
    <t>Table of tyg_g by dyslipidemia_g</t>
  </si>
  <si>
    <t>Table of tyg_g by stroke_g</t>
  </si>
  <si>
    <t>Table of tyg_g by mi_g</t>
  </si>
  <si>
    <t>Table of tyg_g by angina_g</t>
  </si>
  <si>
    <t>Table of tyg_absi_g by age_g</t>
  </si>
  <si>
    <t>Table of tyg_absi_g by sex</t>
  </si>
  <si>
    <t>Table of tyg_absi_g by town_t</t>
  </si>
  <si>
    <t>Table of tyg_absi_g by educ_g</t>
  </si>
  <si>
    <t>Table of tyg_absi_g by ho_incm</t>
  </si>
  <si>
    <t>Table of tyg_absi_g by bmi_g</t>
  </si>
  <si>
    <t>Table of tyg_absi_g by marri_g</t>
  </si>
  <si>
    <t>Table of tyg_absi_g by health_g</t>
  </si>
  <si>
    <t>Table of tyg_absi_g by stress_g</t>
  </si>
  <si>
    <t>Table of tyg_absi_g by drinking_g</t>
  </si>
  <si>
    <t>Table of tyg_absi_g by smoking_g</t>
  </si>
  <si>
    <t>Table of tyg_absi_g by hypertension_g</t>
  </si>
  <si>
    <t>Table of tyg_absi_g by dyslipidemia_g</t>
  </si>
  <si>
    <t>Table of tyg_absi_g by stroke_g</t>
  </si>
  <si>
    <t>Table of tyg_absi_g by mi_g</t>
  </si>
  <si>
    <t>Table of tyg_absi_g by angina_g</t>
  </si>
  <si>
    <t>Table of aip_g by age_g</t>
  </si>
  <si>
    <t>Table of aip_g by sex</t>
  </si>
  <si>
    <t>Table of aip_g by town_t</t>
  </si>
  <si>
    <t>Table of aip_g by educ_g</t>
  </si>
  <si>
    <t>Table of aip_g by ho_incm</t>
  </si>
  <si>
    <t>Table of aip_g by bmi_g</t>
  </si>
  <si>
    <t>Table of aip_g by marri_g</t>
  </si>
  <si>
    <t>Table of aip_g by health_g</t>
  </si>
  <si>
    <t>Table of aip_g by stress_g</t>
  </si>
  <si>
    <t>Table of aip_g by drinking_g</t>
  </si>
  <si>
    <t>Table of aip_g by smoking_g</t>
  </si>
  <si>
    <t>Table of aip_g by hypertension_g</t>
  </si>
  <si>
    <t>Table of aip_g by dyslipidemia_g</t>
  </si>
  <si>
    <t>Table of aip_g by stroke_g</t>
  </si>
  <si>
    <t>Table of aip_g by mi_g</t>
  </si>
  <si>
    <t>Table of aip_g by angina_g</t>
  </si>
  <si>
    <t>Table of mets_ir_g by age_g</t>
  </si>
  <si>
    <t>Table of mets_ir_g by sex</t>
  </si>
  <si>
    <t>Table of mets_ir_g by town_t</t>
  </si>
  <si>
    <t>Table of mets_ir_g by educ_g</t>
  </si>
  <si>
    <t>Table of mets_ir_g by ho_incm</t>
  </si>
  <si>
    <t>Table of mets_ir_g by bmi_g</t>
  </si>
  <si>
    <t>.</t>
  </si>
  <si>
    <t>Table of mets_ir_g by marri_g</t>
  </si>
  <si>
    <t>Table of mets_ir_g by health_g</t>
  </si>
  <si>
    <t>Table of mets_ir_g by stress_g</t>
  </si>
  <si>
    <t>Table of mets_ir_g by drinking_g</t>
  </si>
  <si>
    <t>Table of mets_ir_g by smoking_g</t>
  </si>
  <si>
    <t>Table of mets_ir_g by hypertension_g</t>
  </si>
  <si>
    <t>Table of mets_ir_g by dyslipidemia_g</t>
  </si>
  <si>
    <t>Table of mets_ir_g by stroke_g</t>
  </si>
  <si>
    <t>Table of mets_ir_g by mi_g</t>
  </si>
  <si>
    <t>Table of mets_ir_g by angina_g</t>
  </si>
  <si>
    <t>The SURVEYMEANS Procedure</t>
  </si>
  <si>
    <t>Statistics</t>
  </si>
  <si>
    <t>Variable</t>
  </si>
  <si>
    <t>Mean</t>
  </si>
  <si>
    <t>Std Error</t>
  </si>
  <si>
    <t>of Mean</t>
  </si>
  <si>
    <t>95% CL for Mean</t>
  </si>
  <si>
    <t>Statistics for tyg_g Domains</t>
  </si>
  <si>
    <t>Statistics for tyg_absi_g Domains</t>
  </si>
  <si>
    <t>Statistics for aip_g Domains</t>
  </si>
  <si>
    <t>Statistics for mets_ir_g Domains</t>
  </si>
  <si>
    <t>Statistics for year_g Domains</t>
  </si>
  <si>
    <t>year_g</t>
  </si>
  <si>
    <t>Statistics for year_g*age_g Domains</t>
  </si>
  <si>
    <t>Statistics for year_g*sex Domains</t>
  </si>
  <si>
    <t>Statistics for year_g*town_t Domains</t>
  </si>
  <si>
    <t>Statistics for year_g*educ_g Domains</t>
  </si>
  <si>
    <t>Statistics for year_g*ho_incm Domains</t>
  </si>
  <si>
    <t>Statistics for year_g*bmi_g Domains</t>
  </si>
  <si>
    <t>Statistics for year_g*marri_g Domains</t>
  </si>
  <si>
    <t>Statistics for year_g*health_g Domains</t>
  </si>
  <si>
    <t>Statistics for year_g*stress_g Domains</t>
  </si>
  <si>
    <t>Statistics for year_g*drinking_g Domains</t>
  </si>
  <si>
    <t>Statistics for year_g*smoking_g Domains</t>
  </si>
  <si>
    <t>Statistics for year_g*hypertension_g Domains</t>
  </si>
  <si>
    <t>Statistics for year_g*dyslipidemia_g Domains</t>
  </si>
  <si>
    <t>Statistics for year_g*stroke_g Domains</t>
  </si>
  <si>
    <t>Statistics for year_g*mi_g Domains</t>
  </si>
  <si>
    <t>Statistics for year_g*angina_g Domains</t>
  </si>
  <si>
    <t>Statistics for age_g Domains</t>
  </si>
  <si>
    <t>Statistics for sex Domains</t>
  </si>
  <si>
    <t>Statistics for town_t Domains</t>
  </si>
  <si>
    <t>Statistics for educ_g Domains</t>
  </si>
  <si>
    <t>Statistics for ho_incm Domains</t>
  </si>
  <si>
    <t>Statistics for bmi_g Domains</t>
  </si>
  <si>
    <t>Statistics for marri_g Domains</t>
  </si>
  <si>
    <t>Statistics for health_g Domains</t>
  </si>
  <si>
    <t>Statistics for stress_g Domains</t>
  </si>
  <si>
    <t>Statistics for drinking_g Domains</t>
  </si>
  <si>
    <t>Statistics for smoking_g Domains</t>
  </si>
  <si>
    <t>Statistics for hypertension_g Domains</t>
  </si>
  <si>
    <t>Statistics for dyslipidemia_g Domains</t>
  </si>
  <si>
    <t>Statistics for stroke_g Domains</t>
  </si>
  <si>
    <t>Statistics for mi_g Domains</t>
  </si>
  <si>
    <t>Statistics for angina_g Domains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</si>
</sst>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Arial"/>
      <family val="2"/>
    </font>
    <font>
      <b/>
      <sz val="10"/>
      <color rgb="FF11227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F2F9"/>
        <bgColor indexed="64"/>
      </patternFill>
    </fill>
  </fills>
  <borders count="9">
    <border>
      <left/>
      <right/>
      <top/>
      <bottom/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  <border>
      <left style="medium">
        <color rgb="FFC1C1C1"/>
      </left>
      <right/>
      <top/>
      <bottom/>
      <diagonal/>
    </border>
    <border>
      <left style="medium">
        <color rgb="FFC1C1C1"/>
      </left>
      <right style="medium">
        <color rgb="FFC1C1C1"/>
      </right>
      <top/>
      <bottom/>
      <diagonal/>
    </border>
    <border>
      <left/>
      <right style="medium">
        <color rgb="FFB0B7BB"/>
      </right>
      <top/>
      <bottom style="medium">
        <color rgb="FFB0B7BB"/>
      </bottom>
      <diagonal/>
    </border>
    <border>
      <left style="medium">
        <color rgb="FFC1C1C1"/>
      </left>
      <right style="medium">
        <color rgb="FFB0B7BB"/>
      </right>
      <top/>
      <bottom style="medium">
        <color rgb="FFB0B7BB"/>
      </bottom>
      <diagonal/>
    </border>
    <border>
      <left style="medium">
        <color rgb="FFC1C1C1"/>
      </left>
      <right style="medium">
        <color rgb="FFB0B7BB"/>
      </right>
      <top/>
      <bottom/>
      <diagonal/>
    </border>
    <border>
      <left/>
      <right style="medium">
        <color rgb="FFB0B7BB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3" fillId="2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workbookViewId="0">
      <selection activeCell="I11" sqref="I11"/>
    </sheetView>
  </sheetViews>
  <sheetFormatPr defaultRowHeight="16.5" x14ac:dyDescent="0.3"/>
  <cols>
    <col min="7" max="7" width="13.5" bestFit="1" customWidth="1"/>
  </cols>
  <sheetData>
    <row r="1" spans="1:7" x14ac:dyDescent="0.3">
      <c r="A1" s="1" t="s">
        <v>0</v>
      </c>
    </row>
    <row r="3" spans="1:7" x14ac:dyDescent="0.3">
      <c r="A3" s="1" t="s">
        <v>21</v>
      </c>
    </row>
    <row r="4" spans="1:7" ht="17.25" thickBot="1" x14ac:dyDescent="0.35"/>
    <row r="5" spans="1:7" x14ac:dyDescent="0.3">
      <c r="A5" s="16" t="s">
        <v>2</v>
      </c>
      <c r="B5" s="18" t="s">
        <v>3</v>
      </c>
      <c r="C5" s="18" t="s">
        <v>4</v>
      </c>
      <c r="D5" s="5" t="s">
        <v>5</v>
      </c>
      <c r="E5" s="5" t="s">
        <v>5</v>
      </c>
    </row>
    <row r="6" spans="1:7" x14ac:dyDescent="0.3">
      <c r="A6" s="17"/>
      <c r="B6" s="19"/>
      <c r="C6" s="19"/>
      <c r="D6" s="3" t="s">
        <v>3</v>
      </c>
      <c r="E6" s="3" t="s">
        <v>4</v>
      </c>
    </row>
    <row r="7" spans="1:7" x14ac:dyDescent="0.3">
      <c r="A7" s="6">
        <v>1</v>
      </c>
      <c r="B7" s="2">
        <v>21079</v>
      </c>
      <c r="C7" s="2">
        <v>30.71</v>
      </c>
      <c r="D7" s="2">
        <v>21079</v>
      </c>
      <c r="E7" s="2">
        <v>30.71</v>
      </c>
      <c r="G7" t="str">
        <f t="shared" ref="G7:G9" si="0">TEXT(B7,"#,##0")&amp;" ("&amp;TEXT(C7,"0.00")&amp;")"</f>
        <v>21,079 (30.71)</v>
      </c>
    </row>
    <row r="8" spans="1:7" x14ac:dyDescent="0.3">
      <c r="A8" s="6">
        <v>2</v>
      </c>
      <c r="B8" s="2">
        <v>33470</v>
      </c>
      <c r="C8" s="2">
        <v>48.77</v>
      </c>
      <c r="D8" s="2">
        <v>54549</v>
      </c>
      <c r="E8" s="2">
        <v>79.48</v>
      </c>
      <c r="G8" t="str">
        <f t="shared" si="0"/>
        <v>33,470 (48.77)</v>
      </c>
    </row>
    <row r="9" spans="1:7" x14ac:dyDescent="0.3">
      <c r="A9" s="6">
        <v>3</v>
      </c>
      <c r="B9" s="2">
        <v>14086</v>
      </c>
      <c r="C9" s="2">
        <v>20.52</v>
      </c>
      <c r="D9" s="2">
        <v>68635</v>
      </c>
      <c r="E9" s="2">
        <v>100</v>
      </c>
      <c r="G9" t="str">
        <f t="shared" si="0"/>
        <v>14,086 (20.52)</v>
      </c>
    </row>
    <row r="10" spans="1:7" ht="17.25" thickBot="1" x14ac:dyDescent="0.35"/>
    <row r="11" spans="1:7" x14ac:dyDescent="0.3">
      <c r="A11" s="16" t="s">
        <v>6</v>
      </c>
      <c r="B11" s="18" t="s">
        <v>3</v>
      </c>
      <c r="C11" s="18" t="s">
        <v>4</v>
      </c>
      <c r="D11" s="5" t="s">
        <v>5</v>
      </c>
      <c r="E11" s="5" t="s">
        <v>5</v>
      </c>
    </row>
    <row r="12" spans="1:7" x14ac:dyDescent="0.3">
      <c r="A12" s="17"/>
      <c r="B12" s="19"/>
      <c r="C12" s="19"/>
      <c r="D12" s="3" t="s">
        <v>3</v>
      </c>
      <c r="E12" s="3" t="s">
        <v>4</v>
      </c>
    </row>
    <row r="13" spans="1:7" x14ac:dyDescent="0.3">
      <c r="A13" s="6">
        <v>1</v>
      </c>
      <c r="B13" s="2">
        <v>33200</v>
      </c>
      <c r="C13" s="2">
        <v>48.37</v>
      </c>
      <c r="D13" s="2">
        <v>33200</v>
      </c>
      <c r="E13" s="2">
        <v>48.37</v>
      </c>
      <c r="G13" t="str">
        <f t="shared" ref="G13:G14" si="1">TEXT(B13,"#,##0")&amp;" ("&amp;TEXT(C13,"0.00")&amp;")"</f>
        <v>33,200 (48.37)</v>
      </c>
    </row>
    <row r="14" spans="1:7" x14ac:dyDescent="0.3">
      <c r="A14" s="6">
        <v>2</v>
      </c>
      <c r="B14" s="2">
        <v>35435</v>
      </c>
      <c r="C14" s="2">
        <v>51.63</v>
      </c>
      <c r="D14" s="2">
        <v>68635</v>
      </c>
      <c r="E14" s="2">
        <v>100</v>
      </c>
      <c r="G14" t="str">
        <f t="shared" si="1"/>
        <v>35,435 (51.63)</v>
      </c>
    </row>
    <row r="15" spans="1:7" ht="17.25" thickBot="1" x14ac:dyDescent="0.35"/>
    <row r="16" spans="1:7" x14ac:dyDescent="0.3">
      <c r="A16" s="16" t="s">
        <v>7</v>
      </c>
      <c r="B16" s="18" t="s">
        <v>3</v>
      </c>
      <c r="C16" s="18" t="s">
        <v>4</v>
      </c>
      <c r="D16" s="5" t="s">
        <v>5</v>
      </c>
      <c r="E16" s="5" t="s">
        <v>5</v>
      </c>
    </row>
    <row r="17" spans="1:7" x14ac:dyDescent="0.3">
      <c r="A17" s="17"/>
      <c r="B17" s="19"/>
      <c r="C17" s="19"/>
      <c r="D17" s="3" t="s">
        <v>3</v>
      </c>
      <c r="E17" s="3" t="s">
        <v>4</v>
      </c>
    </row>
    <row r="18" spans="1:7" x14ac:dyDescent="0.3">
      <c r="A18" s="6">
        <v>1</v>
      </c>
      <c r="B18" s="2">
        <v>55176</v>
      </c>
      <c r="C18" s="2">
        <v>80.39</v>
      </c>
      <c r="D18" s="2">
        <v>55176</v>
      </c>
      <c r="E18" s="2">
        <v>80.39</v>
      </c>
      <c r="G18" t="str">
        <f t="shared" ref="G18:G19" si="2">TEXT(B18,"#,##0")&amp;" ("&amp;TEXT(C18,"0.00")&amp;")"</f>
        <v>55,176 (80.39)</v>
      </c>
    </row>
    <row r="19" spans="1:7" x14ac:dyDescent="0.3">
      <c r="A19" s="6">
        <v>2</v>
      </c>
      <c r="B19" s="2">
        <v>13459</v>
      </c>
      <c r="C19" s="2">
        <v>19.61</v>
      </c>
      <c r="D19" s="2">
        <v>68635</v>
      </c>
      <c r="E19" s="2">
        <v>100</v>
      </c>
      <c r="G19" t="str">
        <f t="shared" si="2"/>
        <v>13,459 (19.61)</v>
      </c>
    </row>
    <row r="20" spans="1:7" ht="17.25" thickBot="1" x14ac:dyDescent="0.35"/>
    <row r="21" spans="1:7" x14ac:dyDescent="0.3">
      <c r="A21" s="16" t="s">
        <v>8</v>
      </c>
      <c r="B21" s="18" t="s">
        <v>3</v>
      </c>
      <c r="C21" s="18" t="s">
        <v>4</v>
      </c>
      <c r="D21" s="5" t="s">
        <v>5</v>
      </c>
      <c r="E21" s="5" t="s">
        <v>5</v>
      </c>
    </row>
    <row r="22" spans="1:7" x14ac:dyDescent="0.3">
      <c r="A22" s="17"/>
      <c r="B22" s="19"/>
      <c r="C22" s="19"/>
      <c r="D22" s="3" t="s">
        <v>3</v>
      </c>
      <c r="E22" s="3" t="s">
        <v>4</v>
      </c>
    </row>
    <row r="23" spans="1:7" x14ac:dyDescent="0.3">
      <c r="A23" s="6">
        <v>1</v>
      </c>
      <c r="B23" s="2">
        <v>9199</v>
      </c>
      <c r="C23" s="2">
        <v>13.4</v>
      </c>
      <c r="D23" s="2">
        <v>9199</v>
      </c>
      <c r="E23" s="2">
        <v>13.4</v>
      </c>
      <c r="G23" t="str">
        <f t="shared" ref="G23:G26" si="3">TEXT(B23,"#,##0")&amp;" ("&amp;TEXT(C23,"0.00")&amp;")"</f>
        <v>9,199 (13.40)</v>
      </c>
    </row>
    <row r="24" spans="1:7" x14ac:dyDescent="0.3">
      <c r="A24" s="6">
        <v>2</v>
      </c>
      <c r="B24" s="2">
        <v>7937</v>
      </c>
      <c r="C24" s="2">
        <v>11.56</v>
      </c>
      <c r="D24" s="2">
        <v>17136</v>
      </c>
      <c r="E24" s="2">
        <v>24.97</v>
      </c>
      <c r="G24" t="str">
        <f t="shared" si="3"/>
        <v>7,937 (11.56)</v>
      </c>
    </row>
    <row r="25" spans="1:7" x14ac:dyDescent="0.3">
      <c r="A25" s="6">
        <v>3</v>
      </c>
      <c r="B25" s="2">
        <v>17758</v>
      </c>
      <c r="C25" s="2">
        <v>25.87</v>
      </c>
      <c r="D25" s="2">
        <v>34894</v>
      </c>
      <c r="E25" s="2">
        <v>50.84</v>
      </c>
      <c r="G25" t="str">
        <f t="shared" si="3"/>
        <v>17,758 (25.87)</v>
      </c>
    </row>
    <row r="26" spans="1:7" x14ac:dyDescent="0.3">
      <c r="A26" s="6">
        <v>4</v>
      </c>
      <c r="B26" s="2">
        <v>33741</v>
      </c>
      <c r="C26" s="2">
        <v>49.16</v>
      </c>
      <c r="D26" s="2">
        <v>68635</v>
      </c>
      <c r="E26" s="2">
        <v>100</v>
      </c>
      <c r="G26" t="str">
        <f t="shared" si="3"/>
        <v>33,741 (49.16)</v>
      </c>
    </row>
    <row r="27" spans="1:7" ht="17.25" thickBot="1" x14ac:dyDescent="0.35"/>
    <row r="28" spans="1:7" x14ac:dyDescent="0.3">
      <c r="A28" s="16" t="s">
        <v>9</v>
      </c>
      <c r="B28" s="18" t="s">
        <v>3</v>
      </c>
      <c r="C28" s="18" t="s">
        <v>4</v>
      </c>
      <c r="D28" s="5" t="s">
        <v>5</v>
      </c>
      <c r="E28" s="5" t="s">
        <v>5</v>
      </c>
    </row>
    <row r="29" spans="1:7" x14ac:dyDescent="0.3">
      <c r="A29" s="17"/>
      <c r="B29" s="19"/>
      <c r="C29" s="19"/>
      <c r="D29" s="3" t="s">
        <v>3</v>
      </c>
      <c r="E29" s="3" t="s">
        <v>4</v>
      </c>
    </row>
    <row r="30" spans="1:7" x14ac:dyDescent="0.3">
      <c r="A30" s="6">
        <v>1</v>
      </c>
      <c r="B30" s="2">
        <v>11265</v>
      </c>
      <c r="C30" s="2">
        <v>16.41</v>
      </c>
      <c r="D30" s="2">
        <v>11265</v>
      </c>
      <c r="E30" s="2">
        <v>16.41</v>
      </c>
      <c r="G30" t="str">
        <f t="shared" ref="G30:G33" si="4">TEXT(B30,"#,##0")&amp;" ("&amp;TEXT(C30,"0.00")&amp;")"</f>
        <v>11,265 (16.41)</v>
      </c>
    </row>
    <row r="31" spans="1:7" x14ac:dyDescent="0.3">
      <c r="A31" s="6">
        <v>2</v>
      </c>
      <c r="B31" s="2">
        <v>16834</v>
      </c>
      <c r="C31" s="2">
        <v>24.53</v>
      </c>
      <c r="D31" s="2">
        <v>28099</v>
      </c>
      <c r="E31" s="2">
        <v>40.94</v>
      </c>
      <c r="G31" t="str">
        <f t="shared" si="4"/>
        <v>16,834 (24.53)</v>
      </c>
    </row>
    <row r="32" spans="1:7" x14ac:dyDescent="0.3">
      <c r="A32" s="6">
        <v>3</v>
      </c>
      <c r="B32" s="2">
        <v>19586</v>
      </c>
      <c r="C32" s="2">
        <v>28.54</v>
      </c>
      <c r="D32" s="2">
        <v>47685</v>
      </c>
      <c r="E32" s="2">
        <v>69.48</v>
      </c>
      <c r="G32" t="str">
        <f t="shared" si="4"/>
        <v>19,586 (28.54)</v>
      </c>
    </row>
    <row r="33" spans="1:7" x14ac:dyDescent="0.3">
      <c r="A33" s="6">
        <v>4</v>
      </c>
      <c r="B33" s="2">
        <v>20950</v>
      </c>
      <c r="C33" s="2">
        <v>30.52</v>
      </c>
      <c r="D33" s="2">
        <v>68635</v>
      </c>
      <c r="E33" s="2">
        <v>100</v>
      </c>
      <c r="G33" t="str">
        <f t="shared" si="4"/>
        <v>20,950 (30.52)</v>
      </c>
    </row>
    <row r="34" spans="1:7" ht="17.25" thickBot="1" x14ac:dyDescent="0.35"/>
    <row r="35" spans="1:7" x14ac:dyDescent="0.3">
      <c r="A35" s="16" t="s">
        <v>10</v>
      </c>
      <c r="B35" s="18" t="s">
        <v>3</v>
      </c>
      <c r="C35" s="18" t="s">
        <v>4</v>
      </c>
      <c r="D35" s="5" t="s">
        <v>5</v>
      </c>
      <c r="E35" s="5" t="s">
        <v>5</v>
      </c>
    </row>
    <row r="36" spans="1:7" x14ac:dyDescent="0.3">
      <c r="A36" s="17"/>
      <c r="B36" s="19"/>
      <c r="C36" s="19"/>
      <c r="D36" s="3" t="s">
        <v>3</v>
      </c>
      <c r="E36" s="3" t="s">
        <v>4</v>
      </c>
    </row>
    <row r="37" spans="1:7" x14ac:dyDescent="0.3">
      <c r="A37" s="6">
        <v>1</v>
      </c>
      <c r="B37" s="2">
        <v>2777</v>
      </c>
      <c r="C37" s="2">
        <v>4.05</v>
      </c>
      <c r="D37" s="2">
        <v>2777</v>
      </c>
      <c r="E37" s="2">
        <v>4.05</v>
      </c>
      <c r="G37" t="str">
        <f t="shared" ref="G37:G40" si="5">TEXT(B37,"#,##0")&amp;" ("&amp;TEXT(C37,"0.00")&amp;")"</f>
        <v>2,777 (4.05)</v>
      </c>
    </row>
    <row r="38" spans="1:7" x14ac:dyDescent="0.3">
      <c r="A38" s="6">
        <v>2</v>
      </c>
      <c r="B38" s="2">
        <v>26435</v>
      </c>
      <c r="C38" s="2">
        <v>38.520000000000003</v>
      </c>
      <c r="D38" s="2">
        <v>29212</v>
      </c>
      <c r="E38" s="2">
        <v>42.56</v>
      </c>
      <c r="G38" t="str">
        <f t="shared" si="5"/>
        <v>26,435 (38.52)</v>
      </c>
    </row>
    <row r="39" spans="1:7" x14ac:dyDescent="0.3">
      <c r="A39" s="6">
        <v>3</v>
      </c>
      <c r="B39" s="2">
        <v>16265</v>
      </c>
      <c r="C39" s="2">
        <v>23.7</v>
      </c>
      <c r="D39" s="2">
        <v>45477</v>
      </c>
      <c r="E39" s="2">
        <v>66.260000000000005</v>
      </c>
      <c r="G39" t="str">
        <f t="shared" si="5"/>
        <v>16,265 (23.70)</v>
      </c>
    </row>
    <row r="40" spans="1:7" x14ac:dyDescent="0.3">
      <c r="A40" s="6">
        <v>4</v>
      </c>
      <c r="B40" s="2">
        <v>23158</v>
      </c>
      <c r="C40" s="2">
        <v>33.74</v>
      </c>
      <c r="D40" s="2">
        <v>68635</v>
      </c>
      <c r="E40" s="2">
        <v>100</v>
      </c>
      <c r="G40" t="str">
        <f t="shared" si="5"/>
        <v>23,158 (33.74)</v>
      </c>
    </row>
    <row r="41" spans="1:7" ht="17.25" thickBot="1" x14ac:dyDescent="0.35"/>
    <row r="42" spans="1:7" x14ac:dyDescent="0.3">
      <c r="A42" s="16" t="s">
        <v>11</v>
      </c>
      <c r="B42" s="18" t="s">
        <v>3</v>
      </c>
      <c r="C42" s="18" t="s">
        <v>4</v>
      </c>
      <c r="D42" s="5" t="s">
        <v>5</v>
      </c>
      <c r="E42" s="5" t="s">
        <v>5</v>
      </c>
    </row>
    <row r="43" spans="1:7" x14ac:dyDescent="0.3">
      <c r="A43" s="17"/>
      <c r="B43" s="19"/>
      <c r="C43" s="19"/>
      <c r="D43" s="3" t="s">
        <v>3</v>
      </c>
      <c r="E43" s="3" t="s">
        <v>4</v>
      </c>
    </row>
    <row r="44" spans="1:7" x14ac:dyDescent="0.3">
      <c r="A44" s="6">
        <v>1</v>
      </c>
      <c r="B44" s="2">
        <v>56814</v>
      </c>
      <c r="C44" s="2">
        <v>82.78</v>
      </c>
      <c r="D44" s="2">
        <v>56814</v>
      </c>
      <c r="E44" s="2">
        <v>82.78</v>
      </c>
      <c r="G44" t="str">
        <f t="shared" ref="G44:G45" si="6">TEXT(B44,"#,##0")&amp;" ("&amp;TEXT(C44,"0.00")&amp;")"</f>
        <v>56,814 (82.78)</v>
      </c>
    </row>
    <row r="45" spans="1:7" x14ac:dyDescent="0.3">
      <c r="A45" s="6">
        <v>2</v>
      </c>
      <c r="B45" s="2">
        <v>11821</v>
      </c>
      <c r="C45" s="2">
        <v>17.22</v>
      </c>
      <c r="D45" s="2">
        <v>68635</v>
      </c>
      <c r="E45" s="2">
        <v>100</v>
      </c>
      <c r="G45" t="str">
        <f t="shared" si="6"/>
        <v>11,821 (17.22)</v>
      </c>
    </row>
    <row r="46" spans="1:7" ht="17.25" thickBot="1" x14ac:dyDescent="0.35"/>
    <row r="47" spans="1:7" x14ac:dyDescent="0.3">
      <c r="A47" s="16" t="s">
        <v>12</v>
      </c>
      <c r="B47" s="18" t="s">
        <v>3</v>
      </c>
      <c r="C47" s="18" t="s">
        <v>4</v>
      </c>
      <c r="D47" s="5" t="s">
        <v>5</v>
      </c>
      <c r="E47" s="5" t="s">
        <v>5</v>
      </c>
    </row>
    <row r="48" spans="1:7" x14ac:dyDescent="0.3">
      <c r="A48" s="17"/>
      <c r="B48" s="19"/>
      <c r="C48" s="19"/>
      <c r="D48" s="3" t="s">
        <v>3</v>
      </c>
      <c r="E48" s="3" t="s">
        <v>4</v>
      </c>
    </row>
    <row r="49" spans="1:7" x14ac:dyDescent="0.3">
      <c r="A49" s="6">
        <v>1</v>
      </c>
      <c r="B49" s="2">
        <v>22876</v>
      </c>
      <c r="C49" s="2">
        <v>33.33</v>
      </c>
      <c r="D49" s="2">
        <v>22876</v>
      </c>
      <c r="E49" s="2">
        <v>33.33</v>
      </c>
      <c r="G49" t="str">
        <f t="shared" ref="G49:G51" si="7">TEXT(B49,"#,##0")&amp;" ("&amp;TEXT(C49,"0.00")&amp;")"</f>
        <v>22,876 (33.33)</v>
      </c>
    </row>
    <row r="50" spans="1:7" x14ac:dyDescent="0.3">
      <c r="A50" s="6">
        <v>2</v>
      </c>
      <c r="B50" s="2">
        <v>33210</v>
      </c>
      <c r="C50" s="2">
        <v>48.39</v>
      </c>
      <c r="D50" s="2">
        <v>56086</v>
      </c>
      <c r="E50" s="2">
        <v>81.72</v>
      </c>
      <c r="G50" t="str">
        <f t="shared" si="7"/>
        <v>33,210 (48.39)</v>
      </c>
    </row>
    <row r="51" spans="1:7" x14ac:dyDescent="0.3">
      <c r="A51" s="6">
        <v>3</v>
      </c>
      <c r="B51" s="2">
        <v>12549</v>
      </c>
      <c r="C51" s="2">
        <v>18.28</v>
      </c>
      <c r="D51" s="2">
        <v>68635</v>
      </c>
      <c r="E51" s="2">
        <v>100</v>
      </c>
      <c r="G51" t="str">
        <f t="shared" si="7"/>
        <v>12,549 (18.28)</v>
      </c>
    </row>
    <row r="52" spans="1:7" ht="17.25" thickBot="1" x14ac:dyDescent="0.35"/>
    <row r="53" spans="1:7" x14ac:dyDescent="0.3">
      <c r="A53" s="16" t="s">
        <v>13</v>
      </c>
      <c r="B53" s="18" t="s">
        <v>3</v>
      </c>
      <c r="C53" s="18" t="s">
        <v>4</v>
      </c>
      <c r="D53" s="5" t="s">
        <v>5</v>
      </c>
      <c r="E53" s="5" t="s">
        <v>5</v>
      </c>
    </row>
    <row r="54" spans="1:7" x14ac:dyDescent="0.3">
      <c r="A54" s="17"/>
      <c r="B54" s="19"/>
      <c r="C54" s="19"/>
      <c r="D54" s="3" t="s">
        <v>3</v>
      </c>
      <c r="E54" s="3" t="s">
        <v>4</v>
      </c>
    </row>
    <row r="55" spans="1:7" x14ac:dyDescent="0.3">
      <c r="A55" s="6">
        <v>1</v>
      </c>
      <c r="B55" s="2">
        <v>18257</v>
      </c>
      <c r="C55" s="2">
        <v>26.6</v>
      </c>
      <c r="D55" s="2">
        <v>18257</v>
      </c>
      <c r="E55" s="2">
        <v>26.6</v>
      </c>
      <c r="G55" t="str">
        <f t="shared" ref="G55:G57" si="8">TEXT(B55,"#,##0")&amp;" ("&amp;TEXT(C55,"0.00")&amp;")"</f>
        <v>18,257 (26.60)</v>
      </c>
    </row>
    <row r="56" spans="1:7" x14ac:dyDescent="0.3">
      <c r="A56" s="6">
        <v>2</v>
      </c>
      <c r="B56" s="2">
        <v>39551</v>
      </c>
      <c r="C56" s="2">
        <v>57.63</v>
      </c>
      <c r="D56" s="2">
        <v>57808</v>
      </c>
      <c r="E56" s="2">
        <v>84.23</v>
      </c>
      <c r="G56" t="str">
        <f t="shared" si="8"/>
        <v>39,551 (57.63)</v>
      </c>
    </row>
    <row r="57" spans="1:7" x14ac:dyDescent="0.3">
      <c r="A57" s="6">
        <v>3</v>
      </c>
      <c r="B57" s="2">
        <v>10827</v>
      </c>
      <c r="C57" s="2">
        <v>15.77</v>
      </c>
      <c r="D57" s="2">
        <v>68635</v>
      </c>
      <c r="E57" s="2">
        <v>100</v>
      </c>
      <c r="G57" t="str">
        <f t="shared" si="8"/>
        <v>10,827 (15.77)</v>
      </c>
    </row>
    <row r="58" spans="1:7" ht="17.25" thickBot="1" x14ac:dyDescent="0.35"/>
    <row r="59" spans="1:7" ht="16.5" customHeight="1" x14ac:dyDescent="0.3">
      <c r="A59" s="16" t="s">
        <v>14</v>
      </c>
      <c r="B59" s="18" t="s">
        <v>3</v>
      </c>
      <c r="C59" s="18" t="s">
        <v>4</v>
      </c>
      <c r="D59" s="5" t="s">
        <v>5</v>
      </c>
      <c r="E59" s="5" t="s">
        <v>5</v>
      </c>
    </row>
    <row r="60" spans="1:7" x14ac:dyDescent="0.3">
      <c r="A60" s="17"/>
      <c r="B60" s="19"/>
      <c r="C60" s="19"/>
      <c r="D60" s="3" t="s">
        <v>3</v>
      </c>
      <c r="E60" s="3" t="s">
        <v>4</v>
      </c>
    </row>
    <row r="61" spans="1:7" x14ac:dyDescent="0.3">
      <c r="A61" s="6">
        <v>1</v>
      </c>
      <c r="B61" s="2">
        <v>26908</v>
      </c>
      <c r="C61" s="2">
        <v>39.200000000000003</v>
      </c>
      <c r="D61" s="2">
        <v>26908</v>
      </c>
      <c r="E61" s="2">
        <v>39.200000000000003</v>
      </c>
      <c r="G61" t="str">
        <f t="shared" ref="G61:G63" si="9">TEXT(B61,"#,##0")&amp;" ("&amp;TEXT(C61,"0.00")&amp;")"</f>
        <v>26,908 (39.20)</v>
      </c>
    </row>
    <row r="62" spans="1:7" x14ac:dyDescent="0.3">
      <c r="A62" s="6">
        <v>2</v>
      </c>
      <c r="B62" s="2">
        <v>24999</v>
      </c>
      <c r="C62" s="2">
        <v>36.42</v>
      </c>
      <c r="D62" s="2">
        <v>51907</v>
      </c>
      <c r="E62" s="2">
        <v>75.63</v>
      </c>
      <c r="G62" t="str">
        <f t="shared" si="9"/>
        <v>24,999 (36.42)</v>
      </c>
    </row>
    <row r="63" spans="1:7" x14ac:dyDescent="0.3">
      <c r="A63" s="6">
        <v>3</v>
      </c>
      <c r="B63" s="2">
        <v>16728</v>
      </c>
      <c r="C63" s="2">
        <v>24.37</v>
      </c>
      <c r="D63" s="2">
        <v>68635</v>
      </c>
      <c r="E63" s="2">
        <v>100</v>
      </c>
      <c r="G63" t="str">
        <f t="shared" si="9"/>
        <v>16,728 (24.37)</v>
      </c>
    </row>
    <row r="64" spans="1:7" ht="17.25" thickBot="1" x14ac:dyDescent="0.35"/>
    <row r="65" spans="1:7" ht="16.5" customHeight="1" x14ac:dyDescent="0.3">
      <c r="A65" s="16" t="s">
        <v>15</v>
      </c>
      <c r="B65" s="18" t="s">
        <v>3</v>
      </c>
      <c r="C65" s="18" t="s">
        <v>4</v>
      </c>
      <c r="D65" s="5" t="s">
        <v>5</v>
      </c>
      <c r="E65" s="5" t="s">
        <v>5</v>
      </c>
    </row>
    <row r="66" spans="1:7" x14ac:dyDescent="0.3">
      <c r="A66" s="17"/>
      <c r="B66" s="19"/>
      <c r="C66" s="19"/>
      <c r="D66" s="3" t="s">
        <v>3</v>
      </c>
      <c r="E66" s="3" t="s">
        <v>4</v>
      </c>
    </row>
    <row r="67" spans="1:7" x14ac:dyDescent="0.3">
      <c r="A67" s="6">
        <v>0</v>
      </c>
      <c r="B67" s="2">
        <v>52064</v>
      </c>
      <c r="C67" s="2">
        <v>75.86</v>
      </c>
      <c r="D67" s="2">
        <v>52064</v>
      </c>
      <c r="E67" s="2">
        <v>75.86</v>
      </c>
      <c r="G67" t="str">
        <f t="shared" ref="G67:G68" si="10">TEXT(B67,"#,##0")&amp;" ("&amp;TEXT(C67,"0.00")&amp;")"</f>
        <v>52,064 (75.86)</v>
      </c>
    </row>
    <row r="68" spans="1:7" x14ac:dyDescent="0.3">
      <c r="A68" s="6">
        <v>1</v>
      </c>
      <c r="B68" s="2">
        <v>16571</v>
      </c>
      <c r="C68" s="2">
        <v>24.14</v>
      </c>
      <c r="D68" s="2">
        <v>68635</v>
      </c>
      <c r="E68" s="2">
        <v>100</v>
      </c>
      <c r="G68" t="str">
        <f t="shared" si="10"/>
        <v>16,571 (24.14)</v>
      </c>
    </row>
    <row r="69" spans="1:7" ht="17.25" thickBot="1" x14ac:dyDescent="0.35"/>
    <row r="70" spans="1:7" ht="16.5" customHeight="1" x14ac:dyDescent="0.3">
      <c r="A70" s="16" t="s">
        <v>16</v>
      </c>
      <c r="B70" s="18" t="s">
        <v>3</v>
      </c>
      <c r="C70" s="18" t="s">
        <v>4</v>
      </c>
      <c r="D70" s="5" t="s">
        <v>5</v>
      </c>
      <c r="E70" s="5" t="s">
        <v>5</v>
      </c>
    </row>
    <row r="71" spans="1:7" x14ac:dyDescent="0.3">
      <c r="A71" s="17"/>
      <c r="B71" s="19"/>
      <c r="C71" s="19"/>
      <c r="D71" s="3" t="s">
        <v>3</v>
      </c>
      <c r="E71" s="3" t="s">
        <v>4</v>
      </c>
    </row>
    <row r="72" spans="1:7" x14ac:dyDescent="0.3">
      <c r="A72" s="6">
        <v>0</v>
      </c>
      <c r="B72" s="2">
        <v>53910</v>
      </c>
      <c r="C72" s="2">
        <v>78.55</v>
      </c>
      <c r="D72" s="2">
        <v>53910</v>
      </c>
      <c r="E72" s="2">
        <v>78.55</v>
      </c>
      <c r="G72" t="str">
        <f t="shared" ref="G72:G73" si="11">TEXT(B72,"#,##0")&amp;" ("&amp;TEXT(C72,"0.00")&amp;")"</f>
        <v>53,910 (78.55)</v>
      </c>
    </row>
    <row r="73" spans="1:7" x14ac:dyDescent="0.3">
      <c r="A73" s="6">
        <v>1</v>
      </c>
      <c r="B73" s="2">
        <v>14725</v>
      </c>
      <c r="C73" s="2">
        <v>21.45</v>
      </c>
      <c r="D73" s="2">
        <v>68635</v>
      </c>
      <c r="E73" s="2">
        <v>100</v>
      </c>
      <c r="G73" t="str">
        <f t="shared" si="11"/>
        <v>14,725 (21.45)</v>
      </c>
    </row>
    <row r="74" spans="1:7" ht="17.25" thickBot="1" x14ac:dyDescent="0.35"/>
    <row r="75" spans="1:7" ht="16.5" customHeight="1" x14ac:dyDescent="0.3">
      <c r="A75" s="16" t="s">
        <v>17</v>
      </c>
      <c r="B75" s="18" t="s">
        <v>3</v>
      </c>
      <c r="C75" s="18" t="s">
        <v>4</v>
      </c>
      <c r="D75" s="5" t="s">
        <v>5</v>
      </c>
      <c r="E75" s="5" t="s">
        <v>5</v>
      </c>
    </row>
    <row r="76" spans="1:7" x14ac:dyDescent="0.3">
      <c r="A76" s="17"/>
      <c r="B76" s="19"/>
      <c r="C76" s="19"/>
      <c r="D76" s="3" t="s">
        <v>3</v>
      </c>
      <c r="E76" s="3" t="s">
        <v>4</v>
      </c>
    </row>
    <row r="77" spans="1:7" x14ac:dyDescent="0.3">
      <c r="A77" s="6">
        <v>0</v>
      </c>
      <c r="B77" s="2">
        <v>58467</v>
      </c>
      <c r="C77" s="2">
        <v>85.19</v>
      </c>
      <c r="D77" s="2">
        <v>58467</v>
      </c>
      <c r="E77" s="2">
        <v>85.19</v>
      </c>
      <c r="G77" t="str">
        <f t="shared" ref="G77:G78" si="12">TEXT(B77,"#,##0")&amp;" ("&amp;TEXT(C77,"0.00")&amp;")"</f>
        <v>58,467 (85.19)</v>
      </c>
    </row>
    <row r="78" spans="1:7" x14ac:dyDescent="0.3">
      <c r="A78" s="6">
        <v>1</v>
      </c>
      <c r="B78" s="2">
        <v>10168</v>
      </c>
      <c r="C78" s="2">
        <v>14.81</v>
      </c>
      <c r="D78" s="2">
        <v>68635</v>
      </c>
      <c r="E78" s="2">
        <v>100</v>
      </c>
      <c r="G78" t="str">
        <f t="shared" si="12"/>
        <v>10,168 (14.81)</v>
      </c>
    </row>
    <row r="79" spans="1:7" ht="17.25" thickBot="1" x14ac:dyDescent="0.35"/>
    <row r="80" spans="1:7" x14ac:dyDescent="0.3">
      <c r="A80" s="16" t="s">
        <v>18</v>
      </c>
      <c r="B80" s="18" t="s">
        <v>3</v>
      </c>
      <c r="C80" s="18" t="s">
        <v>4</v>
      </c>
      <c r="D80" s="5" t="s">
        <v>5</v>
      </c>
      <c r="E80" s="5" t="s">
        <v>5</v>
      </c>
    </row>
    <row r="81" spans="1:7" x14ac:dyDescent="0.3">
      <c r="A81" s="17"/>
      <c r="B81" s="19"/>
      <c r="C81" s="19"/>
      <c r="D81" s="3" t="s">
        <v>3</v>
      </c>
      <c r="E81" s="3" t="s">
        <v>4</v>
      </c>
    </row>
    <row r="82" spans="1:7" x14ac:dyDescent="0.3">
      <c r="A82" s="6">
        <v>0</v>
      </c>
      <c r="B82" s="2">
        <v>67344</v>
      </c>
      <c r="C82" s="2">
        <v>98.12</v>
      </c>
      <c r="D82" s="2">
        <v>67344</v>
      </c>
      <c r="E82" s="2">
        <v>98.12</v>
      </c>
      <c r="G82" t="str">
        <f t="shared" ref="G82:G83" si="13">TEXT(B82,"#,##0")&amp;" ("&amp;TEXT(C82,"0.00")&amp;")"</f>
        <v>67,344 (98.12)</v>
      </c>
    </row>
    <row r="83" spans="1:7" x14ac:dyDescent="0.3">
      <c r="A83" s="6">
        <v>1</v>
      </c>
      <c r="B83" s="2">
        <v>1291</v>
      </c>
      <c r="C83" s="2">
        <v>1.88</v>
      </c>
      <c r="D83" s="2">
        <v>68635</v>
      </c>
      <c r="E83" s="2">
        <v>100</v>
      </c>
      <c r="G83" t="str">
        <f t="shared" si="13"/>
        <v>1,291 (1.88)</v>
      </c>
    </row>
    <row r="84" spans="1:7" ht="17.25" thickBot="1" x14ac:dyDescent="0.35"/>
    <row r="85" spans="1:7" x14ac:dyDescent="0.3">
      <c r="A85" s="16" t="s">
        <v>19</v>
      </c>
      <c r="B85" s="18" t="s">
        <v>3</v>
      </c>
      <c r="C85" s="18" t="s">
        <v>4</v>
      </c>
      <c r="D85" s="5" t="s">
        <v>5</v>
      </c>
      <c r="E85" s="5" t="s">
        <v>5</v>
      </c>
    </row>
    <row r="86" spans="1:7" x14ac:dyDescent="0.3">
      <c r="A86" s="17"/>
      <c r="B86" s="19"/>
      <c r="C86" s="19"/>
      <c r="D86" s="3" t="s">
        <v>3</v>
      </c>
      <c r="E86" s="3" t="s">
        <v>4</v>
      </c>
    </row>
    <row r="87" spans="1:7" x14ac:dyDescent="0.3">
      <c r="A87" s="6">
        <v>0</v>
      </c>
      <c r="B87" s="2">
        <v>67998</v>
      </c>
      <c r="C87" s="2">
        <v>99.07</v>
      </c>
      <c r="D87" s="2">
        <v>67998</v>
      </c>
      <c r="E87" s="2">
        <v>99.07</v>
      </c>
      <c r="G87" t="str">
        <f t="shared" ref="G87:G88" si="14">TEXT(B87,"#,##0")&amp;" ("&amp;TEXT(C87,"0.00")&amp;")"</f>
        <v>67,998 (99.07)</v>
      </c>
    </row>
    <row r="88" spans="1:7" x14ac:dyDescent="0.3">
      <c r="A88" s="6">
        <v>1</v>
      </c>
      <c r="B88" s="2">
        <v>637</v>
      </c>
      <c r="C88" s="2">
        <v>0.93</v>
      </c>
      <c r="D88" s="2">
        <v>68635</v>
      </c>
      <c r="E88" s="2">
        <v>100</v>
      </c>
      <c r="G88" t="str">
        <f t="shared" si="14"/>
        <v>637 (0.93)</v>
      </c>
    </row>
    <row r="89" spans="1:7" ht="17.25" thickBot="1" x14ac:dyDescent="0.35"/>
    <row r="90" spans="1:7" x14ac:dyDescent="0.3">
      <c r="A90" s="16" t="s">
        <v>20</v>
      </c>
      <c r="B90" s="18" t="s">
        <v>3</v>
      </c>
      <c r="C90" s="18" t="s">
        <v>4</v>
      </c>
      <c r="D90" s="5" t="s">
        <v>5</v>
      </c>
      <c r="E90" s="5" t="s">
        <v>5</v>
      </c>
    </row>
    <row r="91" spans="1:7" x14ac:dyDescent="0.3">
      <c r="A91" s="17"/>
      <c r="B91" s="19"/>
      <c r="C91" s="19"/>
      <c r="D91" s="3" t="s">
        <v>3</v>
      </c>
      <c r="E91" s="3" t="s">
        <v>4</v>
      </c>
    </row>
    <row r="92" spans="1:7" x14ac:dyDescent="0.3">
      <c r="A92" s="6">
        <v>0</v>
      </c>
      <c r="B92" s="2">
        <v>67434</v>
      </c>
      <c r="C92" s="2">
        <v>98.25</v>
      </c>
      <c r="D92" s="2">
        <v>67434</v>
      </c>
      <c r="E92" s="2">
        <v>98.25</v>
      </c>
      <c r="G92" t="str">
        <f t="shared" ref="G92:G93" si="15">TEXT(B92,"#,##0")&amp;" ("&amp;TEXT(C92,"0.00")&amp;")"</f>
        <v>67,434 (98.25)</v>
      </c>
    </row>
    <row r="93" spans="1:7" x14ac:dyDescent="0.3">
      <c r="A93" s="6">
        <v>1</v>
      </c>
      <c r="B93" s="2">
        <v>1201</v>
      </c>
      <c r="C93" s="2">
        <v>1.75</v>
      </c>
      <c r="D93" s="2">
        <v>68635</v>
      </c>
      <c r="E93" s="2">
        <v>100</v>
      </c>
      <c r="G93" t="str">
        <f t="shared" si="15"/>
        <v>1,201 (1.75)</v>
      </c>
    </row>
  </sheetData>
  <autoFilter ref="A1:A93" xr:uid="{00000000-0001-0000-0000-000000000000}"/>
  <mergeCells count="48">
    <mergeCell ref="A5:A6"/>
    <mergeCell ref="B5:B6"/>
    <mergeCell ref="C5:C6"/>
    <mergeCell ref="A11:A12"/>
    <mergeCell ref="B11:B12"/>
    <mergeCell ref="C11:C12"/>
    <mergeCell ref="A16:A17"/>
    <mergeCell ref="B16:B17"/>
    <mergeCell ref="C16:C17"/>
    <mergeCell ref="A21:A22"/>
    <mergeCell ref="B21:B22"/>
    <mergeCell ref="C21:C22"/>
    <mergeCell ref="A28:A29"/>
    <mergeCell ref="B28:B29"/>
    <mergeCell ref="C28:C29"/>
    <mergeCell ref="A35:A36"/>
    <mergeCell ref="B35:B36"/>
    <mergeCell ref="C35:C36"/>
    <mergeCell ref="A42:A43"/>
    <mergeCell ref="B42:B43"/>
    <mergeCell ref="C42:C43"/>
    <mergeCell ref="A47:A48"/>
    <mergeCell ref="B47:B48"/>
    <mergeCell ref="C47:C48"/>
    <mergeCell ref="A53:A54"/>
    <mergeCell ref="B53:B54"/>
    <mergeCell ref="C53:C54"/>
    <mergeCell ref="A59:A60"/>
    <mergeCell ref="B59:B60"/>
    <mergeCell ref="C59:C60"/>
    <mergeCell ref="A65:A66"/>
    <mergeCell ref="B65:B66"/>
    <mergeCell ref="C65:C66"/>
    <mergeCell ref="A70:A71"/>
    <mergeCell ref="B70:B71"/>
    <mergeCell ref="C70:C71"/>
    <mergeCell ref="A75:A76"/>
    <mergeCell ref="B75:B76"/>
    <mergeCell ref="C75:C76"/>
    <mergeCell ref="A80:A81"/>
    <mergeCell ref="B80:B81"/>
    <mergeCell ref="C80:C81"/>
    <mergeCell ref="A85:A86"/>
    <mergeCell ref="B85:B86"/>
    <mergeCell ref="C85:C86"/>
    <mergeCell ref="A90:A91"/>
    <mergeCell ref="B90:B91"/>
    <mergeCell ref="C90:C9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4EEB7-73B3-49F9-B62E-BAF269051B3F}">
  <dimension ref="A1:L283"/>
  <sheetViews>
    <sheetView workbookViewId="0">
      <selection activeCell="C20" sqref="C20:F20"/>
    </sheetView>
  </sheetViews>
  <sheetFormatPr defaultRowHeight="16.5" x14ac:dyDescent="0.3"/>
  <cols>
    <col min="9" max="11" width="12.375" bestFit="1" customWidth="1"/>
    <col min="12" max="12" width="13.5" bestFit="1" customWidth="1"/>
  </cols>
  <sheetData>
    <row r="1" spans="1:12" x14ac:dyDescent="0.3">
      <c r="A1" s="1" t="s">
        <v>0</v>
      </c>
    </row>
    <row r="3" spans="1:12" x14ac:dyDescent="0.3">
      <c r="A3" s="1" t="s">
        <v>21</v>
      </c>
    </row>
    <row r="4" spans="1:12" ht="17.25" thickBot="1" x14ac:dyDescent="0.35"/>
    <row r="5" spans="1:12" ht="16.5" customHeight="1" x14ac:dyDescent="0.3">
      <c r="A5" s="4" t="s">
        <v>3</v>
      </c>
      <c r="B5" s="16" t="s">
        <v>24</v>
      </c>
      <c r="C5" s="18"/>
      <c r="D5" s="18"/>
      <c r="E5" s="18"/>
      <c r="F5" s="18"/>
      <c r="G5" s="18"/>
    </row>
    <row r="6" spans="1:12" ht="16.5" customHeight="1" x14ac:dyDescent="0.3">
      <c r="A6" s="6" t="s">
        <v>4</v>
      </c>
      <c r="B6" s="17" t="s">
        <v>2</v>
      </c>
      <c r="C6" s="19" t="s">
        <v>25</v>
      </c>
      <c r="D6" s="19"/>
      <c r="E6" s="19"/>
      <c r="F6" s="19"/>
      <c r="G6" s="19"/>
    </row>
    <row r="7" spans="1:12" x14ac:dyDescent="0.3">
      <c r="A7" s="6" t="s">
        <v>22</v>
      </c>
      <c r="B7" s="17"/>
      <c r="C7" s="3">
        <v>1</v>
      </c>
      <c r="D7" s="3">
        <v>2</v>
      </c>
      <c r="E7" s="3">
        <v>3</v>
      </c>
      <c r="F7" s="3">
        <v>4</v>
      </c>
      <c r="G7" s="3" t="s">
        <v>26</v>
      </c>
    </row>
    <row r="8" spans="1:12" ht="33" x14ac:dyDescent="0.3">
      <c r="A8" s="6" t="s">
        <v>23</v>
      </c>
      <c r="B8" s="17">
        <v>1</v>
      </c>
      <c r="C8" s="7">
        <v>7988</v>
      </c>
      <c r="D8" s="7">
        <v>5469</v>
      </c>
      <c r="E8" s="7">
        <v>4178</v>
      </c>
      <c r="F8" s="7">
        <v>3444</v>
      </c>
      <c r="G8" s="7">
        <v>21079</v>
      </c>
      <c r="I8" t="str">
        <f>TEXT(C8,"#,##0")&amp;" ("&amp;TEXT(C11,"0.00")&amp;")"</f>
        <v>7,988 (49.06)</v>
      </c>
      <c r="J8" t="str">
        <f t="shared" ref="J8" si="0">TEXT(D8,"#,##0")&amp;" ("&amp;TEXT(D11,"0.00")&amp;")"</f>
        <v>5,469 (32.54)</v>
      </c>
      <c r="K8" t="str">
        <f t="shared" ref="K8" si="1">TEXT(E8,"#,##0")&amp;" ("&amp;TEXT(E11,"0.00")&amp;")"</f>
        <v>4,178 (23.98)</v>
      </c>
      <c r="L8" t="str">
        <f t="shared" ref="L8" si="2">TEXT(F8,"#,##0")&amp;" ("&amp;TEXT(F11,"0.00")&amp;")"</f>
        <v>3,444 (19.00)</v>
      </c>
    </row>
    <row r="9" spans="1:12" x14ac:dyDescent="0.3">
      <c r="A9" s="2"/>
      <c r="B9" s="17"/>
      <c r="C9" s="7">
        <v>11.64</v>
      </c>
      <c r="D9" s="7">
        <v>7.97</v>
      </c>
      <c r="E9" s="7">
        <v>6.09</v>
      </c>
      <c r="F9" s="7">
        <v>5.0199999999999996</v>
      </c>
      <c r="G9" s="7">
        <v>30.71</v>
      </c>
      <c r="I9" t="str">
        <f>TEXT(C12,"#,##0")&amp;" ("&amp;TEXT(C15,"0.00")&amp;")"</f>
        <v>6,367 (39.11)</v>
      </c>
      <c r="J9" t="str">
        <f t="shared" ref="J9" si="3">TEXT(D12,"#,##0")&amp;" ("&amp;TEXT(D15,"0.00")&amp;")"</f>
        <v>7,888 (46.93)</v>
      </c>
      <c r="K9" t="str">
        <f t="shared" ref="K9" si="4">TEXT(E12,"#,##0")&amp;" ("&amp;TEXT(E15,"0.00")&amp;")"</f>
        <v>8,787 (50.44)</v>
      </c>
      <c r="L9" t="str">
        <f t="shared" ref="L9" si="5">TEXT(F12,"#,##0")&amp;" ("&amp;TEXT(F15,"0.00")&amp;")"</f>
        <v>10,428 (57.53)</v>
      </c>
    </row>
    <row r="10" spans="1:12" x14ac:dyDescent="0.3">
      <c r="A10" s="2"/>
      <c r="B10" s="17"/>
      <c r="C10" s="7">
        <v>37.9</v>
      </c>
      <c r="D10" s="7">
        <v>25.95</v>
      </c>
      <c r="E10" s="7">
        <v>19.82</v>
      </c>
      <c r="F10" s="7">
        <v>16.34</v>
      </c>
      <c r="G10" s="7"/>
      <c r="I10" t="str">
        <f>TEXT(C16,"#,##0")&amp;" ("&amp;TEXT(C19,"0.00")&amp;")"</f>
        <v>1,926 (11.83)</v>
      </c>
      <c r="J10" t="str">
        <f t="shared" ref="J10" si="6">TEXT(D16,"#,##0")&amp;" ("&amp;TEXT(D19,"0.00")&amp;")"</f>
        <v>3,450 (20.53)</v>
      </c>
      <c r="K10" t="str">
        <f t="shared" ref="K10" si="7">TEXT(E16,"#,##0")&amp;" ("&amp;TEXT(E19,"0.00")&amp;")"</f>
        <v>4,457 (25.58)</v>
      </c>
      <c r="L10" t="str">
        <f t="shared" ref="L10" si="8">TEXT(F16,"#,##0")&amp;" ("&amp;TEXT(F19,"0.00")&amp;")"</f>
        <v>4,253 (23.46)</v>
      </c>
    </row>
    <row r="11" spans="1:12" x14ac:dyDescent="0.3">
      <c r="A11" s="2"/>
      <c r="B11" s="17"/>
      <c r="C11" s="7">
        <v>49.06</v>
      </c>
      <c r="D11" s="7">
        <v>32.54</v>
      </c>
      <c r="E11" s="7">
        <v>23.98</v>
      </c>
      <c r="F11" s="7">
        <v>19</v>
      </c>
      <c r="G11" s="7"/>
      <c r="I11" t="str">
        <f>TEXT(C20,"#,##0")&amp;" ("&amp;TEXT(C23,"0.00")&amp;")"</f>
        <v>16,281 (0.00)</v>
      </c>
      <c r="J11" t="str">
        <f t="shared" ref="J11" si="9">TEXT(D20,"#,##0")&amp;" ("&amp;TEXT(D23,"0.00")&amp;")"</f>
        <v>16,807 (0.00)</v>
      </c>
      <c r="K11" t="str">
        <f t="shared" ref="K11" si="10">TEXT(E20,"#,##0")&amp;" ("&amp;TEXT(E23,"0.00")&amp;")"</f>
        <v>17,422 (0.00)</v>
      </c>
      <c r="L11" t="str">
        <f t="shared" ref="L11" si="11">TEXT(F20,"#,##0")&amp;" ("&amp;TEXT(F23,"0.00")&amp;")"</f>
        <v>18,125 (0.00)</v>
      </c>
    </row>
    <row r="12" spans="1:12" x14ac:dyDescent="0.3">
      <c r="A12" s="2"/>
      <c r="B12" s="17">
        <v>2</v>
      </c>
      <c r="C12" s="7">
        <v>6367</v>
      </c>
      <c r="D12" s="7">
        <v>7888</v>
      </c>
      <c r="E12" s="7">
        <v>8787</v>
      </c>
      <c r="F12" s="7">
        <v>10428</v>
      </c>
      <c r="G12" s="7">
        <v>33470</v>
      </c>
    </row>
    <row r="13" spans="1:12" x14ac:dyDescent="0.3">
      <c r="A13" s="2"/>
      <c r="B13" s="17"/>
      <c r="C13" s="7">
        <v>9.2799999999999994</v>
      </c>
      <c r="D13" s="7">
        <v>11.49</v>
      </c>
      <c r="E13" s="7">
        <v>12.8</v>
      </c>
      <c r="F13" s="7">
        <v>15.19</v>
      </c>
      <c r="G13" s="7">
        <v>48.77</v>
      </c>
    </row>
    <row r="14" spans="1:12" x14ac:dyDescent="0.3">
      <c r="A14" s="2"/>
      <c r="B14" s="17"/>
      <c r="C14" s="7">
        <v>19.02</v>
      </c>
      <c r="D14" s="7">
        <v>23.57</v>
      </c>
      <c r="E14" s="7">
        <v>26.25</v>
      </c>
      <c r="F14" s="7">
        <v>31.16</v>
      </c>
      <c r="G14" s="7"/>
    </row>
    <row r="15" spans="1:12" x14ac:dyDescent="0.3">
      <c r="A15" s="2"/>
      <c r="B15" s="17"/>
      <c r="C15" s="7">
        <v>39.11</v>
      </c>
      <c r="D15" s="7">
        <v>46.93</v>
      </c>
      <c r="E15" s="7">
        <v>50.44</v>
      </c>
      <c r="F15" s="7">
        <v>57.53</v>
      </c>
      <c r="G15" s="7"/>
    </row>
    <row r="16" spans="1:12" x14ac:dyDescent="0.3">
      <c r="A16" s="2"/>
      <c r="B16" s="17">
        <v>3</v>
      </c>
      <c r="C16" s="7">
        <v>1926</v>
      </c>
      <c r="D16" s="7">
        <v>3450</v>
      </c>
      <c r="E16" s="7">
        <v>4457</v>
      </c>
      <c r="F16" s="7">
        <v>4253</v>
      </c>
      <c r="G16" s="7">
        <v>14086</v>
      </c>
    </row>
    <row r="17" spans="1:12" x14ac:dyDescent="0.3">
      <c r="A17" s="2"/>
      <c r="B17" s="17"/>
      <c r="C17" s="7">
        <v>2.81</v>
      </c>
      <c r="D17" s="7">
        <v>5.03</v>
      </c>
      <c r="E17" s="7">
        <v>6.49</v>
      </c>
      <c r="F17" s="7">
        <v>6.2</v>
      </c>
      <c r="G17" s="7">
        <v>20.52</v>
      </c>
    </row>
    <row r="18" spans="1:12" x14ac:dyDescent="0.3">
      <c r="A18" s="2"/>
      <c r="B18" s="17"/>
      <c r="C18" s="7">
        <v>13.67</v>
      </c>
      <c r="D18" s="7">
        <v>24.49</v>
      </c>
      <c r="E18" s="7">
        <v>31.64</v>
      </c>
      <c r="F18" s="7">
        <v>30.19</v>
      </c>
      <c r="G18" s="7"/>
    </row>
    <row r="19" spans="1:12" x14ac:dyDescent="0.3">
      <c r="A19" s="2"/>
      <c r="B19" s="17"/>
      <c r="C19" s="7">
        <v>11.83</v>
      </c>
      <c r="D19" s="7">
        <v>20.53</v>
      </c>
      <c r="E19" s="7">
        <v>25.58</v>
      </c>
      <c r="F19" s="7">
        <v>23.46</v>
      </c>
      <c r="G19" s="7"/>
    </row>
    <row r="20" spans="1:12" x14ac:dyDescent="0.3">
      <c r="A20" s="2"/>
      <c r="B20" s="17" t="s">
        <v>26</v>
      </c>
      <c r="C20" s="7">
        <v>16281</v>
      </c>
      <c r="D20" s="7">
        <v>16807</v>
      </c>
      <c r="E20" s="7">
        <v>17422</v>
      </c>
      <c r="F20" s="7">
        <v>18125</v>
      </c>
      <c r="G20" s="7">
        <v>68635</v>
      </c>
    </row>
    <row r="21" spans="1:12" x14ac:dyDescent="0.3">
      <c r="A21" s="2"/>
      <c r="B21" s="17"/>
      <c r="C21" s="7">
        <v>23.72</v>
      </c>
      <c r="D21" s="7">
        <v>24.49</v>
      </c>
      <c r="E21" s="7">
        <v>25.38</v>
      </c>
      <c r="F21" s="7">
        <v>26.41</v>
      </c>
      <c r="G21" s="7">
        <v>100</v>
      </c>
    </row>
    <row r="22" spans="1:12" x14ac:dyDescent="0.3">
      <c r="A22" s="2"/>
      <c r="B22" s="20"/>
      <c r="C22" s="20"/>
      <c r="D22" s="20"/>
      <c r="E22" s="20"/>
      <c r="F22" s="20"/>
      <c r="G22" s="20"/>
    </row>
    <row r="23" spans="1:12" ht="17.25" thickBot="1" x14ac:dyDescent="0.35"/>
    <row r="24" spans="1:12" ht="16.5" customHeight="1" x14ac:dyDescent="0.3">
      <c r="A24" s="4" t="s">
        <v>3</v>
      </c>
      <c r="B24" s="16" t="s">
        <v>27</v>
      </c>
      <c r="C24" s="18"/>
      <c r="D24" s="18"/>
      <c r="E24" s="18"/>
      <c r="F24" s="18"/>
      <c r="G24" s="18"/>
    </row>
    <row r="25" spans="1:12" ht="16.5" customHeight="1" x14ac:dyDescent="0.3">
      <c r="A25" s="6" t="s">
        <v>4</v>
      </c>
      <c r="B25" s="17" t="s">
        <v>6</v>
      </c>
      <c r="C25" s="19" t="s">
        <v>25</v>
      </c>
      <c r="D25" s="19"/>
      <c r="E25" s="19"/>
      <c r="F25" s="19"/>
      <c r="G25" s="19"/>
    </row>
    <row r="26" spans="1:12" x14ac:dyDescent="0.3">
      <c r="A26" s="6" t="s">
        <v>22</v>
      </c>
      <c r="B26" s="17"/>
      <c r="C26" s="3">
        <v>1</v>
      </c>
      <c r="D26" s="3">
        <v>2</v>
      </c>
      <c r="E26" s="3">
        <v>3</v>
      </c>
      <c r="F26" s="3">
        <v>4</v>
      </c>
      <c r="G26" s="3" t="s">
        <v>26</v>
      </c>
    </row>
    <row r="27" spans="1:12" ht="33" x14ac:dyDescent="0.3">
      <c r="A27" s="6" t="s">
        <v>23</v>
      </c>
      <c r="B27" s="17">
        <v>1</v>
      </c>
      <c r="C27" s="7">
        <v>4995</v>
      </c>
      <c r="D27" s="7">
        <v>7309</v>
      </c>
      <c r="E27" s="7">
        <v>9169</v>
      </c>
      <c r="F27" s="7">
        <v>11727</v>
      </c>
      <c r="G27" s="7">
        <v>33200</v>
      </c>
      <c r="I27" t="str">
        <f>TEXT(C27,"#,##0")&amp;" ("&amp;TEXT(C30,"0.00")&amp;")"</f>
        <v>4,995 (30.68)</v>
      </c>
      <c r="J27" t="str">
        <f t="shared" ref="J27" si="12">TEXT(D27,"#,##0")&amp;" ("&amp;TEXT(D30,"0.00")&amp;")"</f>
        <v>7,309 (43.49)</v>
      </c>
      <c r="K27" t="str">
        <f t="shared" ref="K27" si="13">TEXT(E27,"#,##0")&amp;" ("&amp;TEXT(E30,"0.00")&amp;")"</f>
        <v>9,169 (52.63)</v>
      </c>
      <c r="L27" t="str">
        <f t="shared" ref="L27" si="14">TEXT(F27,"#,##0")&amp;" ("&amp;TEXT(F30,"0.00")&amp;")"</f>
        <v>11,727 (64.70)</v>
      </c>
    </row>
    <row r="28" spans="1:12" x14ac:dyDescent="0.3">
      <c r="A28" s="2"/>
      <c r="B28" s="17"/>
      <c r="C28" s="7">
        <v>7.28</v>
      </c>
      <c r="D28" s="7">
        <v>10.65</v>
      </c>
      <c r="E28" s="7">
        <v>13.36</v>
      </c>
      <c r="F28" s="7">
        <v>17.09</v>
      </c>
      <c r="G28" s="7">
        <v>48.37</v>
      </c>
      <c r="I28" t="str">
        <f>TEXT(C31,"#,##0")&amp;" ("&amp;TEXT(C34,"0.00")&amp;")"</f>
        <v>11,286 (69.32)</v>
      </c>
      <c r="J28" t="str">
        <f t="shared" ref="J28" si="15">TEXT(D31,"#,##0")&amp;" ("&amp;TEXT(D34,"0.00")&amp;")"</f>
        <v>9,498 (56.51)</v>
      </c>
      <c r="K28" t="str">
        <f t="shared" ref="K28" si="16">TEXT(E31,"#,##0")&amp;" ("&amp;TEXT(E34,"0.00")&amp;")"</f>
        <v>8,253 (47.37)</v>
      </c>
      <c r="L28" t="str">
        <f t="shared" ref="L28" si="17">TEXT(F31,"#,##0")&amp;" ("&amp;TEXT(F34,"0.00")&amp;")"</f>
        <v>6,398 (35.30)</v>
      </c>
    </row>
    <row r="29" spans="1:12" x14ac:dyDescent="0.3">
      <c r="A29" s="2"/>
      <c r="B29" s="17"/>
      <c r="C29" s="7">
        <v>15.05</v>
      </c>
      <c r="D29" s="7">
        <v>22.02</v>
      </c>
      <c r="E29" s="7">
        <v>27.62</v>
      </c>
      <c r="F29" s="7">
        <v>35.32</v>
      </c>
      <c r="G29" s="7"/>
      <c r="I29" t="str">
        <f>TEXT(C35,"#,##0")&amp;" ("&amp;TEXT(C38,"0.00")&amp;")"</f>
        <v>16,281 (0.00)</v>
      </c>
      <c r="J29" t="str">
        <f t="shared" ref="J29" si="18">TEXT(D35,"#,##0")&amp;" ("&amp;TEXT(D38,"0.00")&amp;")"</f>
        <v>16,807 (0.00)</v>
      </c>
      <c r="K29" t="str">
        <f t="shared" ref="K29" si="19">TEXT(E35,"#,##0")&amp;" ("&amp;TEXT(E38,"0.00")&amp;")"</f>
        <v>17,422 (0.00)</v>
      </c>
      <c r="L29" t="str">
        <f t="shared" ref="L29" si="20">TEXT(F35,"#,##0")&amp;" ("&amp;TEXT(F38,"0.00")&amp;")"</f>
        <v>18,125 (0.00)</v>
      </c>
    </row>
    <row r="30" spans="1:12" x14ac:dyDescent="0.3">
      <c r="A30" s="2"/>
      <c r="B30" s="17"/>
      <c r="C30" s="7">
        <v>30.68</v>
      </c>
      <c r="D30" s="7">
        <v>43.49</v>
      </c>
      <c r="E30" s="7">
        <v>52.63</v>
      </c>
      <c r="F30" s="7">
        <v>64.7</v>
      </c>
      <c r="G30" s="7"/>
      <c r="I30" t="str">
        <f>TEXT(C39,"#,##0")&amp;" ("&amp;TEXT(C42,"0.00")&amp;")"</f>
        <v>0 (13648.00)</v>
      </c>
      <c r="J30" t="str">
        <f t="shared" ref="J30" si="21">TEXT(D39,"#,##0")&amp;" ("&amp;TEXT(D42,"0.00")&amp;")"</f>
        <v>0 (13623.00)</v>
      </c>
      <c r="K30" t="str">
        <f t="shared" ref="K30" si="22">TEXT(E39,"#,##0")&amp;" ("&amp;TEXT(E42,"0.00")&amp;")"</f>
        <v>0 (13823.00)</v>
      </c>
      <c r="L30" t="str">
        <f t="shared" ref="L30" si="23">TEXT(F39,"#,##0")&amp;" ("&amp;TEXT(F42,"0.00")&amp;")"</f>
        <v>0 (14082.00)</v>
      </c>
    </row>
    <row r="31" spans="1:12" x14ac:dyDescent="0.3">
      <c r="A31" s="2"/>
      <c r="B31" s="17">
        <v>2</v>
      </c>
      <c r="C31" s="7">
        <v>11286</v>
      </c>
      <c r="D31" s="7">
        <v>9498</v>
      </c>
      <c r="E31" s="7">
        <v>8253</v>
      </c>
      <c r="F31" s="7">
        <v>6398</v>
      </c>
      <c r="G31" s="7">
        <v>35435</v>
      </c>
    </row>
    <row r="32" spans="1:12" x14ac:dyDescent="0.3">
      <c r="A32" s="2"/>
      <c r="B32" s="17"/>
      <c r="C32" s="7">
        <v>16.440000000000001</v>
      </c>
      <c r="D32" s="7">
        <v>13.84</v>
      </c>
      <c r="E32" s="7">
        <v>12.02</v>
      </c>
      <c r="F32" s="7">
        <v>9.32</v>
      </c>
      <c r="G32" s="7">
        <v>51.63</v>
      </c>
    </row>
    <row r="33" spans="1:12" x14ac:dyDescent="0.3">
      <c r="A33" s="2"/>
      <c r="B33" s="17"/>
      <c r="C33" s="7">
        <v>31.85</v>
      </c>
      <c r="D33" s="7">
        <v>26.8</v>
      </c>
      <c r="E33" s="7">
        <v>23.29</v>
      </c>
      <c r="F33" s="7">
        <v>18.059999999999999</v>
      </c>
      <c r="G33" s="7"/>
    </row>
    <row r="34" spans="1:12" x14ac:dyDescent="0.3">
      <c r="A34" s="2"/>
      <c r="B34" s="17"/>
      <c r="C34" s="7">
        <v>69.319999999999993</v>
      </c>
      <c r="D34" s="7">
        <v>56.51</v>
      </c>
      <c r="E34" s="7">
        <v>47.37</v>
      </c>
      <c r="F34" s="7">
        <v>35.299999999999997</v>
      </c>
      <c r="G34" s="7"/>
    </row>
    <row r="35" spans="1:12" x14ac:dyDescent="0.3">
      <c r="A35" s="2"/>
      <c r="B35" s="17" t="s">
        <v>26</v>
      </c>
      <c r="C35" s="7">
        <v>16281</v>
      </c>
      <c r="D35" s="7">
        <v>16807</v>
      </c>
      <c r="E35" s="7">
        <v>17422</v>
      </c>
      <c r="F35" s="7">
        <v>18125</v>
      </c>
      <c r="G35" s="7">
        <v>68635</v>
      </c>
    </row>
    <row r="36" spans="1:12" x14ac:dyDescent="0.3">
      <c r="A36" s="2"/>
      <c r="B36" s="17"/>
      <c r="C36" s="7">
        <v>23.72</v>
      </c>
      <c r="D36" s="7">
        <v>24.49</v>
      </c>
      <c r="E36" s="7">
        <v>25.38</v>
      </c>
      <c r="F36" s="7">
        <v>26.41</v>
      </c>
      <c r="G36" s="7">
        <v>100</v>
      </c>
    </row>
    <row r="37" spans="1:12" x14ac:dyDescent="0.3">
      <c r="A37" s="2"/>
      <c r="B37" s="20"/>
      <c r="C37" s="20"/>
      <c r="D37" s="20"/>
      <c r="E37" s="20"/>
      <c r="F37" s="20"/>
      <c r="G37" s="20"/>
    </row>
    <row r="38" spans="1:12" ht="17.25" thickBot="1" x14ac:dyDescent="0.35"/>
    <row r="39" spans="1:12" ht="16.5" customHeight="1" x14ac:dyDescent="0.3">
      <c r="A39" s="4" t="s">
        <v>3</v>
      </c>
      <c r="B39" s="16" t="s">
        <v>28</v>
      </c>
      <c r="C39" s="18"/>
      <c r="D39" s="18"/>
      <c r="E39" s="18"/>
      <c r="F39" s="18"/>
      <c r="G39" s="18"/>
    </row>
    <row r="40" spans="1:12" ht="16.5" customHeight="1" x14ac:dyDescent="0.3">
      <c r="A40" s="6" t="s">
        <v>4</v>
      </c>
      <c r="B40" s="17" t="s">
        <v>7</v>
      </c>
      <c r="C40" s="19" t="s">
        <v>25</v>
      </c>
      <c r="D40" s="19"/>
      <c r="E40" s="19"/>
      <c r="F40" s="19"/>
      <c r="G40" s="19"/>
    </row>
    <row r="41" spans="1:12" x14ac:dyDescent="0.3">
      <c r="A41" s="6" t="s">
        <v>22</v>
      </c>
      <c r="B41" s="17"/>
      <c r="C41" s="3">
        <v>1</v>
      </c>
      <c r="D41" s="3">
        <v>2</v>
      </c>
      <c r="E41" s="3">
        <v>3</v>
      </c>
      <c r="F41" s="3">
        <v>4</v>
      </c>
      <c r="G41" s="3" t="s">
        <v>26</v>
      </c>
    </row>
    <row r="42" spans="1:12" ht="33" x14ac:dyDescent="0.3">
      <c r="A42" s="6" t="s">
        <v>23</v>
      </c>
      <c r="B42" s="17">
        <v>1</v>
      </c>
      <c r="C42" s="7">
        <v>13648</v>
      </c>
      <c r="D42" s="7">
        <v>13623</v>
      </c>
      <c r="E42" s="7">
        <v>13823</v>
      </c>
      <c r="F42" s="7">
        <v>14082</v>
      </c>
      <c r="G42" s="7">
        <v>55176</v>
      </c>
      <c r="I42" t="str">
        <f>TEXT(C42,"#,##0")&amp;" ("&amp;TEXT(C45,"0.00")&amp;")"</f>
        <v>13,648 (83.83)</v>
      </c>
      <c r="J42" t="str">
        <f t="shared" ref="J42" si="24">TEXT(D42,"#,##0")&amp;" ("&amp;TEXT(D45,"0.00")&amp;")"</f>
        <v>13,623 (81.06)</v>
      </c>
      <c r="K42" t="str">
        <f t="shared" ref="K42" si="25">TEXT(E42,"#,##0")&amp;" ("&amp;TEXT(E45,"0.00")&amp;")"</f>
        <v>13,823 (79.34)</v>
      </c>
      <c r="L42" t="str">
        <f t="shared" ref="L42" si="26">TEXT(F42,"#,##0")&amp;" ("&amp;TEXT(F45,"0.00")&amp;")"</f>
        <v>14,082 (77.69)</v>
      </c>
    </row>
    <row r="43" spans="1:12" x14ac:dyDescent="0.3">
      <c r="A43" s="2"/>
      <c r="B43" s="17"/>
      <c r="C43" s="7">
        <v>19.88</v>
      </c>
      <c r="D43" s="7">
        <v>19.850000000000001</v>
      </c>
      <c r="E43" s="7">
        <v>20.14</v>
      </c>
      <c r="F43" s="7">
        <v>20.52</v>
      </c>
      <c r="G43" s="7">
        <v>80.39</v>
      </c>
      <c r="I43" t="str">
        <f>TEXT(C46,"#,##0")&amp;" ("&amp;TEXT(C49,"0.00")&amp;")"</f>
        <v>2,633 (16.17)</v>
      </c>
      <c r="J43" t="str">
        <f t="shared" ref="J43" si="27">TEXT(D46,"#,##0")&amp;" ("&amp;TEXT(D49,"0.00")&amp;")"</f>
        <v>3,184 (18.94)</v>
      </c>
      <c r="K43" t="str">
        <f t="shared" ref="K43" si="28">TEXT(E46,"#,##0")&amp;" ("&amp;TEXT(E49,"0.00")&amp;")"</f>
        <v>3,599 (20.66)</v>
      </c>
      <c r="L43" t="str">
        <f t="shared" ref="L43" si="29">TEXT(F46,"#,##0")&amp;" ("&amp;TEXT(F49,"0.00")&amp;")"</f>
        <v>4,043 (22.31)</v>
      </c>
    </row>
    <row r="44" spans="1:12" x14ac:dyDescent="0.3">
      <c r="A44" s="2"/>
      <c r="B44" s="17"/>
      <c r="C44" s="7">
        <v>24.74</v>
      </c>
      <c r="D44" s="7">
        <v>24.69</v>
      </c>
      <c r="E44" s="7">
        <v>25.05</v>
      </c>
      <c r="F44" s="7">
        <v>25.52</v>
      </c>
      <c r="G44" s="7"/>
      <c r="I44" t="str">
        <f>TEXT(C50,"#,##0")&amp;" ("&amp;TEXT(C53,"0.00")&amp;")"</f>
        <v>16,281 (0.00)</v>
      </c>
      <c r="J44" t="str">
        <f t="shared" ref="J44" si="30">TEXT(D50,"#,##0")&amp;" ("&amp;TEXT(D53,"0.00")&amp;")"</f>
        <v>16,807 (0.00)</v>
      </c>
      <c r="K44" t="str">
        <f t="shared" ref="K44" si="31">TEXT(E50,"#,##0")&amp;" ("&amp;TEXT(E53,"0.00")&amp;")"</f>
        <v>17,422 (0.00)</v>
      </c>
      <c r="L44" t="str">
        <f t="shared" ref="L44" si="32">TEXT(F50,"#,##0")&amp;" ("&amp;TEXT(F53,"0.00")&amp;")"</f>
        <v>18,125 (0.00)</v>
      </c>
    </row>
    <row r="45" spans="1:12" x14ac:dyDescent="0.3">
      <c r="A45" s="2"/>
      <c r="B45" s="17"/>
      <c r="C45" s="7">
        <v>83.83</v>
      </c>
      <c r="D45" s="7">
        <v>81.06</v>
      </c>
      <c r="E45" s="7">
        <v>79.34</v>
      </c>
      <c r="F45" s="7">
        <v>77.69</v>
      </c>
      <c r="G45" s="7"/>
      <c r="I45" t="str">
        <f>TEXT(C54,"#,##0")&amp;" ("&amp;TEXT(C57,"0.00")&amp;")"</f>
        <v>0 (1223.00)</v>
      </c>
      <c r="J45" t="str">
        <f t="shared" ref="J45" si="33">TEXT(D54,"#,##0")&amp;" ("&amp;TEXT(D57,"0.00")&amp;")"</f>
        <v>0 (2171.00)</v>
      </c>
      <c r="K45" t="str">
        <f t="shared" ref="K45" si="34">TEXT(E54,"#,##0")&amp;" ("&amp;TEXT(E57,"0.00")&amp;")"</f>
        <v>0 (2834.00)</v>
      </c>
      <c r="L45" t="str">
        <f t="shared" ref="L45" si="35">TEXT(F54,"#,##0")&amp;" ("&amp;TEXT(F57,"0.00")&amp;")"</f>
        <v>0 (2971.00)</v>
      </c>
    </row>
    <row r="46" spans="1:12" x14ac:dyDescent="0.3">
      <c r="A46" s="2"/>
      <c r="B46" s="17">
        <v>2</v>
      </c>
      <c r="C46" s="7">
        <v>2633</v>
      </c>
      <c r="D46" s="7">
        <v>3184</v>
      </c>
      <c r="E46" s="7">
        <v>3599</v>
      </c>
      <c r="F46" s="7">
        <v>4043</v>
      </c>
      <c r="G46" s="7">
        <v>13459</v>
      </c>
    </row>
    <row r="47" spans="1:12" x14ac:dyDescent="0.3">
      <c r="A47" s="2"/>
      <c r="B47" s="17"/>
      <c r="C47" s="7">
        <v>3.84</v>
      </c>
      <c r="D47" s="7">
        <v>4.6399999999999997</v>
      </c>
      <c r="E47" s="7">
        <v>5.24</v>
      </c>
      <c r="F47" s="7">
        <v>5.89</v>
      </c>
      <c r="G47" s="7">
        <v>19.61</v>
      </c>
    </row>
    <row r="48" spans="1:12" x14ac:dyDescent="0.3">
      <c r="A48" s="2"/>
      <c r="B48" s="17"/>
      <c r="C48" s="7">
        <v>19.559999999999999</v>
      </c>
      <c r="D48" s="7">
        <v>23.66</v>
      </c>
      <c r="E48" s="7">
        <v>26.74</v>
      </c>
      <c r="F48" s="7">
        <v>30.04</v>
      </c>
      <c r="G48" s="7"/>
    </row>
    <row r="49" spans="1:12" x14ac:dyDescent="0.3">
      <c r="A49" s="2"/>
      <c r="B49" s="17"/>
      <c r="C49" s="7">
        <v>16.170000000000002</v>
      </c>
      <c r="D49" s="7">
        <v>18.940000000000001</v>
      </c>
      <c r="E49" s="7">
        <v>20.66</v>
      </c>
      <c r="F49" s="7">
        <v>22.31</v>
      </c>
      <c r="G49" s="7"/>
    </row>
    <row r="50" spans="1:12" x14ac:dyDescent="0.3">
      <c r="A50" s="2"/>
      <c r="B50" s="17" t="s">
        <v>26</v>
      </c>
      <c r="C50" s="7">
        <v>16281</v>
      </c>
      <c r="D50" s="7">
        <v>16807</v>
      </c>
      <c r="E50" s="7">
        <v>17422</v>
      </c>
      <c r="F50" s="7">
        <v>18125</v>
      </c>
      <c r="G50" s="7">
        <v>68635</v>
      </c>
    </row>
    <row r="51" spans="1:12" x14ac:dyDescent="0.3">
      <c r="A51" s="2"/>
      <c r="B51" s="17"/>
      <c r="C51" s="7">
        <v>23.72</v>
      </c>
      <c r="D51" s="7">
        <v>24.49</v>
      </c>
      <c r="E51" s="7">
        <v>25.38</v>
      </c>
      <c r="F51" s="7">
        <v>26.41</v>
      </c>
      <c r="G51" s="7">
        <v>100</v>
      </c>
    </row>
    <row r="52" spans="1:12" x14ac:dyDescent="0.3">
      <c r="A52" s="2"/>
      <c r="B52" s="20"/>
      <c r="C52" s="20"/>
      <c r="D52" s="20"/>
      <c r="E52" s="20"/>
      <c r="F52" s="20"/>
      <c r="G52" s="20"/>
    </row>
    <row r="53" spans="1:12" ht="17.25" thickBot="1" x14ac:dyDescent="0.35"/>
    <row r="54" spans="1:12" ht="16.5" customHeight="1" x14ac:dyDescent="0.3">
      <c r="A54" s="4" t="s">
        <v>3</v>
      </c>
      <c r="B54" s="16" t="s">
        <v>29</v>
      </c>
      <c r="C54" s="18"/>
      <c r="D54" s="18"/>
      <c r="E54" s="18"/>
      <c r="F54" s="18"/>
      <c r="G54" s="18"/>
    </row>
    <row r="55" spans="1:12" ht="16.5" customHeight="1" x14ac:dyDescent="0.3">
      <c r="A55" s="6" t="s">
        <v>4</v>
      </c>
      <c r="B55" s="17" t="s">
        <v>8</v>
      </c>
      <c r="C55" s="19" t="s">
        <v>25</v>
      </c>
      <c r="D55" s="19"/>
      <c r="E55" s="19"/>
      <c r="F55" s="19"/>
      <c r="G55" s="19"/>
    </row>
    <row r="56" spans="1:12" x14ac:dyDescent="0.3">
      <c r="A56" s="6" t="s">
        <v>22</v>
      </c>
      <c r="B56" s="17"/>
      <c r="C56" s="3">
        <v>1</v>
      </c>
      <c r="D56" s="3">
        <v>2</v>
      </c>
      <c r="E56" s="3">
        <v>3</v>
      </c>
      <c r="F56" s="3">
        <v>4</v>
      </c>
      <c r="G56" s="3" t="s">
        <v>26</v>
      </c>
    </row>
    <row r="57" spans="1:12" ht="33" x14ac:dyDescent="0.3">
      <c r="A57" s="6" t="s">
        <v>23</v>
      </c>
      <c r="B57" s="17">
        <v>1</v>
      </c>
      <c r="C57" s="7">
        <v>1223</v>
      </c>
      <c r="D57" s="7">
        <v>2171</v>
      </c>
      <c r="E57" s="7">
        <v>2834</v>
      </c>
      <c r="F57" s="7">
        <v>2971</v>
      </c>
      <c r="G57" s="7">
        <v>9199</v>
      </c>
      <c r="I57" t="str">
        <f>TEXT(C57,"#,##0")&amp;" ("&amp;TEXT(C60,"0.00")&amp;")"</f>
        <v>1,223 (7.51)</v>
      </c>
      <c r="J57" t="str">
        <f t="shared" ref="J57:L57" si="36">TEXT(D57,"#,##0")&amp;" ("&amp;TEXT(D60,"0.00")&amp;")"</f>
        <v>2,171 (12.92)</v>
      </c>
      <c r="K57" t="str">
        <f t="shared" si="36"/>
        <v>2,834 (16.27)</v>
      </c>
      <c r="L57" t="str">
        <f t="shared" si="36"/>
        <v>2,971 (16.39)</v>
      </c>
    </row>
    <row r="58" spans="1:12" x14ac:dyDescent="0.3">
      <c r="A58" s="2"/>
      <c r="B58" s="17"/>
      <c r="C58" s="7">
        <v>1.78</v>
      </c>
      <c r="D58" s="7">
        <v>3.16</v>
      </c>
      <c r="E58" s="7">
        <v>4.13</v>
      </c>
      <c r="F58" s="7">
        <v>4.33</v>
      </c>
      <c r="G58" s="7">
        <v>13.4</v>
      </c>
      <c r="I58" t="str">
        <f>TEXT(C61,"#,##0")&amp;" ("&amp;TEXT(C64,"0.00")&amp;")"</f>
        <v>1,239 (7.61)</v>
      </c>
      <c r="J58" t="str">
        <f t="shared" ref="J58:L58" si="37">TEXT(D61,"#,##0")&amp;" ("&amp;TEXT(D64,"0.00")&amp;")"</f>
        <v>1,795 (10.68)</v>
      </c>
      <c r="K58" t="str">
        <f t="shared" si="37"/>
        <v>2,369 (13.60)</v>
      </c>
      <c r="L58" t="str">
        <f t="shared" si="37"/>
        <v>2,534 (13.98)</v>
      </c>
    </row>
    <row r="59" spans="1:12" x14ac:dyDescent="0.3">
      <c r="A59" s="2"/>
      <c r="B59" s="17"/>
      <c r="C59" s="7">
        <v>13.29</v>
      </c>
      <c r="D59" s="7">
        <v>23.6</v>
      </c>
      <c r="E59" s="7">
        <v>30.81</v>
      </c>
      <c r="F59" s="7">
        <v>32.299999999999997</v>
      </c>
      <c r="G59" s="7"/>
      <c r="I59" t="str">
        <f>TEXT(C65,"#,##0")&amp;" ("&amp;TEXT(C68,"0.00")&amp;")"</f>
        <v>3,618 (22.22)</v>
      </c>
      <c r="J59" t="str">
        <f t="shared" ref="J59:L59" si="38">TEXT(D65,"#,##0")&amp;" ("&amp;TEXT(D68,"0.00")&amp;")"</f>
        <v>4,403 (26.20)</v>
      </c>
      <c r="K59" t="str">
        <f t="shared" si="38"/>
        <v>4,589 (26.34)</v>
      </c>
      <c r="L59" t="str">
        <f t="shared" si="38"/>
        <v>5,148 (28.40)</v>
      </c>
    </row>
    <row r="60" spans="1:12" x14ac:dyDescent="0.3">
      <c r="A60" s="2"/>
      <c r="B60" s="17"/>
      <c r="C60" s="7">
        <v>7.51</v>
      </c>
      <c r="D60" s="7">
        <v>12.92</v>
      </c>
      <c r="E60" s="7">
        <v>16.27</v>
      </c>
      <c r="F60" s="7">
        <v>16.39</v>
      </c>
      <c r="G60" s="7"/>
      <c r="I60" t="str">
        <f>TEXT(C69,"#,##0")&amp;" ("&amp;TEXT(C72,"0.00")&amp;")"</f>
        <v>10,201 (62.66)</v>
      </c>
      <c r="J60" t="str">
        <f t="shared" ref="J60:L60" si="39">TEXT(D69,"#,##0")&amp;" ("&amp;TEXT(D72,"0.00")&amp;")"</f>
        <v>8,438 (50.21)</v>
      </c>
      <c r="K60" t="str">
        <f t="shared" si="39"/>
        <v>7,630 (43.80)</v>
      </c>
      <c r="L60" t="str">
        <f t="shared" si="39"/>
        <v>7,472 (41.22)</v>
      </c>
    </row>
    <row r="61" spans="1:12" x14ac:dyDescent="0.3">
      <c r="A61" s="2"/>
      <c r="B61" s="17">
        <v>2</v>
      </c>
      <c r="C61" s="7">
        <v>1239</v>
      </c>
      <c r="D61" s="7">
        <v>1795</v>
      </c>
      <c r="E61" s="7">
        <v>2369</v>
      </c>
      <c r="F61" s="7">
        <v>2534</v>
      </c>
      <c r="G61" s="7">
        <v>7937</v>
      </c>
    </row>
    <row r="62" spans="1:12" x14ac:dyDescent="0.3">
      <c r="A62" s="2"/>
      <c r="B62" s="17"/>
      <c r="C62" s="7">
        <v>1.81</v>
      </c>
      <c r="D62" s="7">
        <v>2.62</v>
      </c>
      <c r="E62" s="7">
        <v>3.45</v>
      </c>
      <c r="F62" s="7">
        <v>3.69</v>
      </c>
      <c r="G62" s="7">
        <v>11.56</v>
      </c>
    </row>
    <row r="63" spans="1:12" x14ac:dyDescent="0.3">
      <c r="A63" s="2"/>
      <c r="B63" s="17"/>
      <c r="C63" s="7">
        <v>15.61</v>
      </c>
      <c r="D63" s="7">
        <v>22.62</v>
      </c>
      <c r="E63" s="7">
        <v>29.85</v>
      </c>
      <c r="F63" s="7">
        <v>31.93</v>
      </c>
      <c r="G63" s="7"/>
    </row>
    <row r="64" spans="1:12" x14ac:dyDescent="0.3">
      <c r="A64" s="2"/>
      <c r="B64" s="17"/>
      <c r="C64" s="7">
        <v>7.61</v>
      </c>
      <c r="D64" s="7">
        <v>10.68</v>
      </c>
      <c r="E64" s="7">
        <v>13.6</v>
      </c>
      <c r="F64" s="7">
        <v>13.98</v>
      </c>
      <c r="G64" s="7"/>
    </row>
    <row r="65" spans="1:12" x14ac:dyDescent="0.3">
      <c r="A65" s="2"/>
      <c r="B65" s="17">
        <v>3</v>
      </c>
      <c r="C65" s="7">
        <v>3618</v>
      </c>
      <c r="D65" s="7">
        <v>4403</v>
      </c>
      <c r="E65" s="7">
        <v>4589</v>
      </c>
      <c r="F65" s="7">
        <v>5148</v>
      </c>
      <c r="G65" s="7">
        <v>17758</v>
      </c>
    </row>
    <row r="66" spans="1:12" x14ac:dyDescent="0.3">
      <c r="A66" s="2"/>
      <c r="B66" s="17"/>
      <c r="C66" s="7">
        <v>5.27</v>
      </c>
      <c r="D66" s="7">
        <v>6.42</v>
      </c>
      <c r="E66" s="7">
        <v>6.69</v>
      </c>
      <c r="F66" s="7">
        <v>7.5</v>
      </c>
      <c r="G66" s="7">
        <v>25.87</v>
      </c>
    </row>
    <row r="67" spans="1:12" x14ac:dyDescent="0.3">
      <c r="A67" s="2"/>
      <c r="B67" s="17"/>
      <c r="C67" s="7">
        <v>20.37</v>
      </c>
      <c r="D67" s="7">
        <v>24.79</v>
      </c>
      <c r="E67" s="7">
        <v>25.84</v>
      </c>
      <c r="F67" s="7">
        <v>28.99</v>
      </c>
      <c r="G67" s="7"/>
    </row>
    <row r="68" spans="1:12" x14ac:dyDescent="0.3">
      <c r="A68" s="2"/>
      <c r="B68" s="17"/>
      <c r="C68" s="7">
        <v>22.22</v>
      </c>
      <c r="D68" s="7">
        <v>26.2</v>
      </c>
      <c r="E68" s="7">
        <v>26.34</v>
      </c>
      <c r="F68" s="7">
        <v>28.4</v>
      </c>
      <c r="G68" s="7"/>
    </row>
    <row r="69" spans="1:12" x14ac:dyDescent="0.3">
      <c r="A69" s="2"/>
      <c r="B69" s="17">
        <v>4</v>
      </c>
      <c r="C69" s="7">
        <v>10201</v>
      </c>
      <c r="D69" s="7">
        <v>8438</v>
      </c>
      <c r="E69" s="7">
        <v>7630</v>
      </c>
      <c r="F69" s="7">
        <v>7472</v>
      </c>
      <c r="G69" s="7">
        <v>33741</v>
      </c>
    </row>
    <row r="70" spans="1:12" x14ac:dyDescent="0.3">
      <c r="A70" s="2"/>
      <c r="B70" s="17"/>
      <c r="C70" s="7">
        <v>14.86</v>
      </c>
      <c r="D70" s="7">
        <v>12.29</v>
      </c>
      <c r="E70" s="7">
        <v>11.12</v>
      </c>
      <c r="F70" s="7">
        <v>10.89</v>
      </c>
      <c r="G70" s="7">
        <v>49.16</v>
      </c>
    </row>
    <row r="71" spans="1:12" x14ac:dyDescent="0.3">
      <c r="A71" s="2"/>
      <c r="B71" s="17"/>
      <c r="C71" s="7">
        <v>30.23</v>
      </c>
      <c r="D71" s="7">
        <v>25.01</v>
      </c>
      <c r="E71" s="7">
        <v>22.61</v>
      </c>
      <c r="F71" s="7">
        <v>22.15</v>
      </c>
      <c r="G71" s="7"/>
    </row>
    <row r="72" spans="1:12" x14ac:dyDescent="0.3">
      <c r="A72" s="2"/>
      <c r="B72" s="17"/>
      <c r="C72" s="7">
        <v>62.66</v>
      </c>
      <c r="D72" s="7">
        <v>50.21</v>
      </c>
      <c r="E72" s="7">
        <v>43.8</v>
      </c>
      <c r="F72" s="7">
        <v>41.22</v>
      </c>
      <c r="G72" s="7"/>
    </row>
    <row r="73" spans="1:12" x14ac:dyDescent="0.3">
      <c r="A73" s="2"/>
      <c r="B73" s="17" t="s">
        <v>26</v>
      </c>
      <c r="C73" s="7">
        <v>16281</v>
      </c>
      <c r="D73" s="7">
        <v>16807</v>
      </c>
      <c r="E73" s="7">
        <v>17422</v>
      </c>
      <c r="F73" s="7">
        <v>18125</v>
      </c>
      <c r="G73" s="7">
        <v>68635</v>
      </c>
    </row>
    <row r="74" spans="1:12" x14ac:dyDescent="0.3">
      <c r="A74" s="2"/>
      <c r="B74" s="17"/>
      <c r="C74" s="7">
        <v>23.72</v>
      </c>
      <c r="D74" s="7">
        <v>24.49</v>
      </c>
      <c r="E74" s="7">
        <v>25.38</v>
      </c>
      <c r="F74" s="7">
        <v>26.41</v>
      </c>
      <c r="G74" s="7">
        <v>100</v>
      </c>
    </row>
    <row r="75" spans="1:12" x14ac:dyDescent="0.3">
      <c r="A75" s="2"/>
      <c r="B75" s="20"/>
      <c r="C75" s="20"/>
      <c r="D75" s="20"/>
      <c r="E75" s="20"/>
      <c r="F75" s="20"/>
      <c r="G75" s="20"/>
    </row>
    <row r="76" spans="1:12" ht="17.25" thickBot="1" x14ac:dyDescent="0.35"/>
    <row r="77" spans="1:12" ht="16.5" customHeight="1" x14ac:dyDescent="0.3">
      <c r="A77" s="4" t="s">
        <v>3</v>
      </c>
      <c r="B77" s="16" t="s">
        <v>30</v>
      </c>
      <c r="C77" s="18"/>
      <c r="D77" s="18"/>
      <c r="E77" s="18"/>
      <c r="F77" s="18"/>
      <c r="G77" s="18"/>
    </row>
    <row r="78" spans="1:12" ht="16.5" customHeight="1" x14ac:dyDescent="0.3">
      <c r="A78" s="6" t="s">
        <v>4</v>
      </c>
      <c r="B78" s="17" t="s">
        <v>9</v>
      </c>
      <c r="C78" s="19" t="s">
        <v>25</v>
      </c>
      <c r="D78" s="19"/>
      <c r="E78" s="19"/>
      <c r="F78" s="19"/>
      <c r="G78" s="19"/>
    </row>
    <row r="79" spans="1:12" x14ac:dyDescent="0.3">
      <c r="A79" s="6" t="s">
        <v>22</v>
      </c>
      <c r="B79" s="17"/>
      <c r="C79" s="3">
        <v>1</v>
      </c>
      <c r="D79" s="3">
        <v>2</v>
      </c>
      <c r="E79" s="3">
        <v>3</v>
      </c>
      <c r="F79" s="3">
        <v>4</v>
      </c>
      <c r="G79" s="3" t="s">
        <v>26</v>
      </c>
    </row>
    <row r="80" spans="1:12" ht="33" x14ac:dyDescent="0.3">
      <c r="A80" s="6" t="s">
        <v>23</v>
      </c>
      <c r="B80" s="17">
        <v>1</v>
      </c>
      <c r="C80" s="7">
        <v>1913</v>
      </c>
      <c r="D80" s="7">
        <v>2688</v>
      </c>
      <c r="E80" s="7">
        <v>3213</v>
      </c>
      <c r="F80" s="7">
        <v>3451</v>
      </c>
      <c r="G80" s="7">
        <v>11265</v>
      </c>
      <c r="I80" t="str">
        <f>TEXT(C80,"#,##0")&amp;" ("&amp;TEXT(C83,"0.00")&amp;")"</f>
        <v>1,913 (11.75)</v>
      </c>
      <c r="J80" t="str">
        <f t="shared" ref="J80" si="40">TEXT(D80,"#,##0")&amp;" ("&amp;TEXT(D83,"0.00")&amp;")"</f>
        <v>2,688 (15.99)</v>
      </c>
      <c r="K80" t="str">
        <f t="shared" ref="K80" si="41">TEXT(E80,"#,##0")&amp;" ("&amp;TEXT(E83,"0.00")&amp;")"</f>
        <v>3,213 (18.44)</v>
      </c>
      <c r="L80" t="str">
        <f t="shared" ref="L80" si="42">TEXT(F80,"#,##0")&amp;" ("&amp;TEXT(F83,"0.00")&amp;")"</f>
        <v>3,451 (19.04)</v>
      </c>
    </row>
    <row r="81" spans="1:12" x14ac:dyDescent="0.3">
      <c r="A81" s="2"/>
      <c r="B81" s="17"/>
      <c r="C81" s="7">
        <v>2.79</v>
      </c>
      <c r="D81" s="7">
        <v>3.92</v>
      </c>
      <c r="E81" s="7">
        <v>4.68</v>
      </c>
      <c r="F81" s="7">
        <v>5.03</v>
      </c>
      <c r="G81" s="7">
        <v>16.41</v>
      </c>
      <c r="I81" t="str">
        <f>TEXT(C84,"#,##0")&amp;" ("&amp;TEXT(C87,"0.00")&amp;")"</f>
        <v>3,775 (23.19)</v>
      </c>
      <c r="J81" t="str">
        <f t="shared" ref="J81" si="43">TEXT(D84,"#,##0")&amp;" ("&amp;TEXT(D87,"0.00")&amp;")"</f>
        <v>4,107 (24.44)</v>
      </c>
      <c r="K81" t="str">
        <f t="shared" ref="K81" si="44">TEXT(E84,"#,##0")&amp;" ("&amp;TEXT(E87,"0.00")&amp;")"</f>
        <v>4,375 (25.11)</v>
      </c>
      <c r="L81" t="str">
        <f t="shared" ref="L81" si="45">TEXT(F84,"#,##0")&amp;" ("&amp;TEXT(F87,"0.00")&amp;")"</f>
        <v>4,577 (25.25)</v>
      </c>
    </row>
    <row r="82" spans="1:12" x14ac:dyDescent="0.3">
      <c r="A82" s="2"/>
      <c r="B82" s="17"/>
      <c r="C82" s="7">
        <v>16.98</v>
      </c>
      <c r="D82" s="7">
        <v>23.86</v>
      </c>
      <c r="E82" s="7">
        <v>28.52</v>
      </c>
      <c r="F82" s="7">
        <v>30.63</v>
      </c>
      <c r="G82" s="7"/>
      <c r="I82" t="str">
        <f>TEXT(C88,"#,##0")&amp;" ("&amp;TEXT(C91,"0.00")&amp;")"</f>
        <v>4,945 (30.37)</v>
      </c>
      <c r="J82" t="str">
        <f t="shared" ref="J82" si="46">TEXT(D88,"#,##0")&amp;" ("&amp;TEXT(D91,"0.00")&amp;")"</f>
        <v>4,859 (28.91)</v>
      </c>
      <c r="K82" t="str">
        <f t="shared" ref="K82" si="47">TEXT(E88,"#,##0")&amp;" ("&amp;TEXT(E91,"0.00")&amp;")"</f>
        <v>4,799 (27.55)</v>
      </c>
      <c r="L82" t="str">
        <f t="shared" ref="L82" si="48">TEXT(F88,"#,##0")&amp;" ("&amp;TEXT(F91,"0.00")&amp;")"</f>
        <v>4,983 (27.49)</v>
      </c>
    </row>
    <row r="83" spans="1:12" x14ac:dyDescent="0.3">
      <c r="A83" s="2"/>
      <c r="B83" s="17"/>
      <c r="C83" s="7">
        <v>11.75</v>
      </c>
      <c r="D83" s="7">
        <v>15.99</v>
      </c>
      <c r="E83" s="7">
        <v>18.440000000000001</v>
      </c>
      <c r="F83" s="7">
        <v>19.04</v>
      </c>
      <c r="G83" s="7"/>
      <c r="I83" t="str">
        <f>TEXT(C92,"#,##0")&amp;" ("&amp;TEXT(C95,"0.00")&amp;")"</f>
        <v>5,648 (34.69)</v>
      </c>
      <c r="J83" t="str">
        <f t="shared" ref="J83" si="49">TEXT(D92,"#,##0")&amp;" ("&amp;TEXT(D95,"0.00")&amp;")"</f>
        <v>5,153 (30.66)</v>
      </c>
      <c r="K83" t="str">
        <f t="shared" ref="K83" si="50">TEXT(E92,"#,##0")&amp;" ("&amp;TEXT(E95,"0.00")&amp;")"</f>
        <v>5,035 (28.90)</v>
      </c>
      <c r="L83" t="str">
        <f t="shared" ref="L83" si="51">TEXT(F92,"#,##0")&amp;" ("&amp;TEXT(F95,"0.00")&amp;")"</f>
        <v>5,114 (28.22)</v>
      </c>
    </row>
    <row r="84" spans="1:12" x14ac:dyDescent="0.3">
      <c r="A84" s="2"/>
      <c r="B84" s="17">
        <v>2</v>
      </c>
      <c r="C84" s="7">
        <v>3775</v>
      </c>
      <c r="D84" s="7">
        <v>4107</v>
      </c>
      <c r="E84" s="7">
        <v>4375</v>
      </c>
      <c r="F84" s="7">
        <v>4577</v>
      </c>
      <c r="G84" s="7">
        <v>16834</v>
      </c>
    </row>
    <row r="85" spans="1:12" x14ac:dyDescent="0.3">
      <c r="A85" s="2"/>
      <c r="B85" s="17"/>
      <c r="C85" s="7">
        <v>5.5</v>
      </c>
      <c r="D85" s="7">
        <v>5.98</v>
      </c>
      <c r="E85" s="7">
        <v>6.37</v>
      </c>
      <c r="F85" s="7">
        <v>6.67</v>
      </c>
      <c r="G85" s="7">
        <v>24.53</v>
      </c>
    </row>
    <row r="86" spans="1:12" x14ac:dyDescent="0.3">
      <c r="A86" s="2"/>
      <c r="B86" s="17"/>
      <c r="C86" s="7">
        <v>22.42</v>
      </c>
      <c r="D86" s="7">
        <v>24.4</v>
      </c>
      <c r="E86" s="7">
        <v>25.99</v>
      </c>
      <c r="F86" s="7">
        <v>27.19</v>
      </c>
      <c r="G86" s="7"/>
    </row>
    <row r="87" spans="1:12" x14ac:dyDescent="0.3">
      <c r="A87" s="2"/>
      <c r="B87" s="17"/>
      <c r="C87" s="7">
        <v>23.19</v>
      </c>
      <c r="D87" s="7">
        <v>24.44</v>
      </c>
      <c r="E87" s="7">
        <v>25.11</v>
      </c>
      <c r="F87" s="7">
        <v>25.25</v>
      </c>
      <c r="G87" s="7"/>
    </row>
    <row r="88" spans="1:12" x14ac:dyDescent="0.3">
      <c r="A88" s="2"/>
      <c r="B88" s="17">
        <v>3</v>
      </c>
      <c r="C88" s="7">
        <v>4945</v>
      </c>
      <c r="D88" s="7">
        <v>4859</v>
      </c>
      <c r="E88" s="7">
        <v>4799</v>
      </c>
      <c r="F88" s="7">
        <v>4983</v>
      </c>
      <c r="G88" s="7">
        <v>19586</v>
      </c>
    </row>
    <row r="89" spans="1:12" x14ac:dyDescent="0.3">
      <c r="A89" s="2"/>
      <c r="B89" s="17"/>
      <c r="C89" s="7">
        <v>7.2</v>
      </c>
      <c r="D89" s="7">
        <v>7.08</v>
      </c>
      <c r="E89" s="7">
        <v>6.99</v>
      </c>
      <c r="F89" s="7">
        <v>7.26</v>
      </c>
      <c r="G89" s="7">
        <v>28.54</v>
      </c>
    </row>
    <row r="90" spans="1:12" x14ac:dyDescent="0.3">
      <c r="A90" s="2"/>
      <c r="B90" s="17"/>
      <c r="C90" s="7">
        <v>25.25</v>
      </c>
      <c r="D90" s="7">
        <v>24.81</v>
      </c>
      <c r="E90" s="7">
        <v>24.5</v>
      </c>
      <c r="F90" s="7">
        <v>25.44</v>
      </c>
      <c r="G90" s="7"/>
    </row>
    <row r="91" spans="1:12" x14ac:dyDescent="0.3">
      <c r="A91" s="2"/>
      <c r="B91" s="17"/>
      <c r="C91" s="7">
        <v>30.37</v>
      </c>
      <c r="D91" s="7">
        <v>28.91</v>
      </c>
      <c r="E91" s="7">
        <v>27.55</v>
      </c>
      <c r="F91" s="7">
        <v>27.49</v>
      </c>
      <c r="G91" s="7"/>
    </row>
    <row r="92" spans="1:12" x14ac:dyDescent="0.3">
      <c r="A92" s="2"/>
      <c r="B92" s="17">
        <v>4</v>
      </c>
      <c r="C92" s="7">
        <v>5648</v>
      </c>
      <c r="D92" s="7">
        <v>5153</v>
      </c>
      <c r="E92" s="7">
        <v>5035</v>
      </c>
      <c r="F92" s="7">
        <v>5114</v>
      </c>
      <c r="G92" s="7">
        <v>20950</v>
      </c>
    </row>
    <row r="93" spans="1:12" x14ac:dyDescent="0.3">
      <c r="A93" s="2"/>
      <c r="B93" s="17"/>
      <c r="C93" s="7">
        <v>8.23</v>
      </c>
      <c r="D93" s="7">
        <v>7.51</v>
      </c>
      <c r="E93" s="7">
        <v>7.34</v>
      </c>
      <c r="F93" s="7">
        <v>7.45</v>
      </c>
      <c r="G93" s="7">
        <v>30.52</v>
      </c>
    </row>
    <row r="94" spans="1:12" x14ac:dyDescent="0.3">
      <c r="A94" s="2"/>
      <c r="B94" s="17"/>
      <c r="C94" s="7">
        <v>26.96</v>
      </c>
      <c r="D94" s="7">
        <v>24.6</v>
      </c>
      <c r="E94" s="7">
        <v>24.03</v>
      </c>
      <c r="F94" s="7">
        <v>24.41</v>
      </c>
      <c r="G94" s="7"/>
    </row>
    <row r="95" spans="1:12" x14ac:dyDescent="0.3">
      <c r="A95" s="2"/>
      <c r="B95" s="17"/>
      <c r="C95" s="7">
        <v>34.69</v>
      </c>
      <c r="D95" s="7">
        <v>30.66</v>
      </c>
      <c r="E95" s="7">
        <v>28.9</v>
      </c>
      <c r="F95" s="7">
        <v>28.22</v>
      </c>
      <c r="G95" s="7"/>
    </row>
    <row r="96" spans="1:12" x14ac:dyDescent="0.3">
      <c r="A96" s="2"/>
      <c r="B96" s="17" t="s">
        <v>26</v>
      </c>
      <c r="C96" s="7">
        <v>16281</v>
      </c>
      <c r="D96" s="7">
        <v>16807</v>
      </c>
      <c r="E96" s="7">
        <v>17422</v>
      </c>
      <c r="F96" s="7">
        <v>18125</v>
      </c>
      <c r="G96" s="7">
        <v>68635</v>
      </c>
    </row>
    <row r="97" spans="1:12" x14ac:dyDescent="0.3">
      <c r="A97" s="2"/>
      <c r="B97" s="17"/>
      <c r="C97" s="7">
        <v>23.72</v>
      </c>
      <c r="D97" s="7">
        <v>24.49</v>
      </c>
      <c r="E97" s="7">
        <v>25.38</v>
      </c>
      <c r="F97" s="7">
        <v>26.41</v>
      </c>
      <c r="G97" s="7">
        <v>100</v>
      </c>
    </row>
    <row r="98" spans="1:12" x14ac:dyDescent="0.3">
      <c r="A98" s="2"/>
      <c r="B98" s="20"/>
      <c r="C98" s="20"/>
      <c r="D98" s="20"/>
      <c r="E98" s="20"/>
      <c r="F98" s="20"/>
      <c r="G98" s="20"/>
    </row>
    <row r="99" spans="1:12" ht="17.25" thickBot="1" x14ac:dyDescent="0.35"/>
    <row r="100" spans="1:12" ht="16.5" customHeight="1" x14ac:dyDescent="0.3">
      <c r="A100" s="4" t="s">
        <v>3</v>
      </c>
      <c r="B100" s="16" t="s">
        <v>31</v>
      </c>
      <c r="C100" s="18"/>
      <c r="D100" s="18"/>
      <c r="E100" s="18"/>
      <c r="F100" s="18"/>
      <c r="G100" s="18"/>
    </row>
    <row r="101" spans="1:12" ht="16.5" customHeight="1" x14ac:dyDescent="0.3">
      <c r="A101" s="6" t="s">
        <v>4</v>
      </c>
      <c r="B101" s="17" t="s">
        <v>10</v>
      </c>
      <c r="C101" s="19" t="s">
        <v>25</v>
      </c>
      <c r="D101" s="19"/>
      <c r="E101" s="19"/>
      <c r="F101" s="19"/>
      <c r="G101" s="19"/>
    </row>
    <row r="102" spans="1:12" x14ac:dyDescent="0.3">
      <c r="A102" s="6" t="s">
        <v>22</v>
      </c>
      <c r="B102" s="17"/>
      <c r="C102" s="3">
        <v>1</v>
      </c>
      <c r="D102" s="3">
        <v>2</v>
      </c>
      <c r="E102" s="3">
        <v>3</v>
      </c>
      <c r="F102" s="3">
        <v>4</v>
      </c>
      <c r="G102" s="3" t="s">
        <v>26</v>
      </c>
    </row>
    <row r="103" spans="1:12" ht="33" x14ac:dyDescent="0.3">
      <c r="A103" s="6" t="s">
        <v>23</v>
      </c>
      <c r="B103" s="17">
        <v>1</v>
      </c>
      <c r="C103" s="7">
        <v>1494</v>
      </c>
      <c r="D103" s="7">
        <v>810</v>
      </c>
      <c r="E103" s="7">
        <v>346</v>
      </c>
      <c r="F103" s="7">
        <v>127</v>
      </c>
      <c r="G103" s="7">
        <v>2777</v>
      </c>
      <c r="I103" t="str">
        <f>TEXT(C103,"#,##0")&amp;" ("&amp;TEXT(C106,"0.00")&amp;")"</f>
        <v>1,494 (9.18)</v>
      </c>
      <c r="J103" t="str">
        <f t="shared" ref="J103" si="52">TEXT(D103,"#,##0")&amp;" ("&amp;TEXT(D106,"0.00")&amp;")"</f>
        <v>810 (4.82)</v>
      </c>
      <c r="K103" t="str">
        <f t="shared" ref="K103" si="53">TEXT(E103,"#,##0")&amp;" ("&amp;TEXT(E106,"0.00")&amp;")"</f>
        <v>346 (1.99)</v>
      </c>
      <c r="L103" t="str">
        <f t="shared" ref="L103" si="54">TEXT(F103,"#,##0")&amp;" ("&amp;TEXT(F106,"0.00")&amp;")"</f>
        <v>127 (0.70)</v>
      </c>
    </row>
    <row r="104" spans="1:12" x14ac:dyDescent="0.3">
      <c r="A104" s="2"/>
      <c r="B104" s="17"/>
      <c r="C104" s="7">
        <v>2.1800000000000002</v>
      </c>
      <c r="D104" s="7">
        <v>1.18</v>
      </c>
      <c r="E104" s="7">
        <v>0.5</v>
      </c>
      <c r="F104" s="7">
        <v>0.19</v>
      </c>
      <c r="G104" s="7">
        <v>4.05</v>
      </c>
      <c r="I104" t="str">
        <f>TEXT(C107,"#,##0")&amp;" ("&amp;TEXT(C110,"0.00")&amp;")"</f>
        <v>9,355 (57.46)</v>
      </c>
      <c r="J104" t="str">
        <f t="shared" ref="J104" si="55">TEXT(D107,"#,##0")&amp;" ("&amp;TEXT(D110,"0.00")&amp;")"</f>
        <v>7,494 (44.59)</v>
      </c>
      <c r="K104" t="str">
        <f t="shared" ref="K104" si="56">TEXT(E107,"#,##0")&amp;" ("&amp;TEXT(E110,"0.00")&amp;")"</f>
        <v>5,721 (32.84)</v>
      </c>
      <c r="L104" t="str">
        <f t="shared" ref="L104" si="57">TEXT(F107,"#,##0")&amp;" ("&amp;TEXT(F110,"0.00")&amp;")"</f>
        <v>3,865 (21.32)</v>
      </c>
    </row>
    <row r="105" spans="1:12" x14ac:dyDescent="0.3">
      <c r="A105" s="2"/>
      <c r="B105" s="17"/>
      <c r="C105" s="7">
        <v>53.8</v>
      </c>
      <c r="D105" s="7">
        <v>29.17</v>
      </c>
      <c r="E105" s="7">
        <v>12.46</v>
      </c>
      <c r="F105" s="7">
        <v>4.57</v>
      </c>
      <c r="G105" s="7"/>
      <c r="I105" t="str">
        <f>TEXT(C111,"#,##0")&amp;" ("&amp;TEXT(C114,"0.00")&amp;")"</f>
        <v>3,064 (18.82)</v>
      </c>
      <c r="J105" t="str">
        <f t="shared" ref="J105" si="58">TEXT(D111,"#,##0")&amp;" ("&amp;TEXT(D114,"0.00")&amp;")"</f>
        <v>4,033 (24.00)</v>
      </c>
      <c r="K105" t="str">
        <f t="shared" ref="K105" si="59">TEXT(E111,"#,##0")&amp;" ("&amp;TEXT(E114,"0.00")&amp;")"</f>
        <v>4,645 (26.66)</v>
      </c>
      <c r="L105" t="str">
        <f t="shared" ref="L105" si="60">TEXT(F111,"#,##0")&amp;" ("&amp;TEXT(F114,"0.00")&amp;")"</f>
        <v>4,523 (24.95)</v>
      </c>
    </row>
    <row r="106" spans="1:12" x14ac:dyDescent="0.3">
      <c r="A106" s="2"/>
      <c r="B106" s="17"/>
      <c r="C106" s="7">
        <v>9.18</v>
      </c>
      <c r="D106" s="7">
        <v>4.82</v>
      </c>
      <c r="E106" s="7">
        <v>1.99</v>
      </c>
      <c r="F106" s="7">
        <v>0.7</v>
      </c>
      <c r="G106" s="7"/>
      <c r="I106" t="str">
        <f>TEXT(C115,"#,##0")&amp;" ("&amp;TEXT(C118,"0.00")&amp;")"</f>
        <v>2,368 (14.54)</v>
      </c>
      <c r="J106" t="str">
        <f t="shared" ref="J106" si="61">TEXT(D115,"#,##0")&amp;" ("&amp;TEXT(D118,"0.00")&amp;")"</f>
        <v>4,470 (26.60)</v>
      </c>
      <c r="K106" t="str">
        <f t="shared" ref="K106" si="62">TEXT(E115,"#,##0")&amp;" ("&amp;TEXT(E118,"0.00")&amp;")"</f>
        <v>6,710 (38.51)</v>
      </c>
      <c r="L106" t="str">
        <f t="shared" ref="L106" si="63">TEXT(F115,"#,##0")&amp;" ("&amp;TEXT(F118,"0.00")&amp;")"</f>
        <v>9,610 (53.02)</v>
      </c>
    </row>
    <row r="107" spans="1:12" x14ac:dyDescent="0.3">
      <c r="A107" s="2"/>
      <c r="B107" s="17">
        <v>2</v>
      </c>
      <c r="C107" s="7">
        <v>9355</v>
      </c>
      <c r="D107" s="7">
        <v>7494</v>
      </c>
      <c r="E107" s="7">
        <v>5721</v>
      </c>
      <c r="F107" s="7">
        <v>3865</v>
      </c>
      <c r="G107" s="7">
        <v>26435</v>
      </c>
    </row>
    <row r="108" spans="1:12" x14ac:dyDescent="0.3">
      <c r="A108" s="2"/>
      <c r="B108" s="17"/>
      <c r="C108" s="7">
        <v>13.63</v>
      </c>
      <c r="D108" s="7">
        <v>10.92</v>
      </c>
      <c r="E108" s="7">
        <v>8.34</v>
      </c>
      <c r="F108" s="7">
        <v>5.63</v>
      </c>
      <c r="G108" s="7">
        <v>38.520000000000003</v>
      </c>
    </row>
    <row r="109" spans="1:12" x14ac:dyDescent="0.3">
      <c r="A109" s="2"/>
      <c r="B109" s="17"/>
      <c r="C109" s="7">
        <v>35.39</v>
      </c>
      <c r="D109" s="7">
        <v>28.35</v>
      </c>
      <c r="E109" s="7">
        <v>21.64</v>
      </c>
      <c r="F109" s="7">
        <v>14.62</v>
      </c>
      <c r="G109" s="7"/>
    </row>
    <row r="110" spans="1:12" x14ac:dyDescent="0.3">
      <c r="A110" s="2"/>
      <c r="B110" s="17"/>
      <c r="C110" s="7">
        <v>57.46</v>
      </c>
      <c r="D110" s="7">
        <v>44.59</v>
      </c>
      <c r="E110" s="7">
        <v>32.840000000000003</v>
      </c>
      <c r="F110" s="7">
        <v>21.32</v>
      </c>
      <c r="G110" s="7"/>
    </row>
    <row r="111" spans="1:12" x14ac:dyDescent="0.3">
      <c r="A111" s="2"/>
      <c r="B111" s="17">
        <v>3</v>
      </c>
      <c r="C111" s="7">
        <v>3064</v>
      </c>
      <c r="D111" s="7">
        <v>4033</v>
      </c>
      <c r="E111" s="7">
        <v>4645</v>
      </c>
      <c r="F111" s="7">
        <v>4523</v>
      </c>
      <c r="G111" s="7">
        <v>16265</v>
      </c>
    </row>
    <row r="112" spans="1:12" x14ac:dyDescent="0.3">
      <c r="A112" s="2"/>
      <c r="B112" s="17"/>
      <c r="C112" s="7">
        <v>4.46</v>
      </c>
      <c r="D112" s="7">
        <v>5.88</v>
      </c>
      <c r="E112" s="7">
        <v>6.77</v>
      </c>
      <c r="F112" s="7">
        <v>6.59</v>
      </c>
      <c r="G112" s="7">
        <v>23.7</v>
      </c>
    </row>
    <row r="113" spans="1:12" x14ac:dyDescent="0.3">
      <c r="A113" s="2"/>
      <c r="B113" s="17"/>
      <c r="C113" s="7">
        <v>18.84</v>
      </c>
      <c r="D113" s="7">
        <v>24.8</v>
      </c>
      <c r="E113" s="7">
        <v>28.56</v>
      </c>
      <c r="F113" s="7">
        <v>27.81</v>
      </c>
      <c r="G113" s="7"/>
    </row>
    <row r="114" spans="1:12" x14ac:dyDescent="0.3">
      <c r="A114" s="2"/>
      <c r="B114" s="17"/>
      <c r="C114" s="7">
        <v>18.82</v>
      </c>
      <c r="D114" s="7">
        <v>24</v>
      </c>
      <c r="E114" s="7">
        <v>26.66</v>
      </c>
      <c r="F114" s="7">
        <v>24.95</v>
      </c>
      <c r="G114" s="7"/>
    </row>
    <row r="115" spans="1:12" x14ac:dyDescent="0.3">
      <c r="A115" s="2"/>
      <c r="B115" s="17">
        <v>4</v>
      </c>
      <c r="C115" s="7">
        <v>2368</v>
      </c>
      <c r="D115" s="7">
        <v>4470</v>
      </c>
      <c r="E115" s="7">
        <v>6710</v>
      </c>
      <c r="F115" s="7">
        <v>9610</v>
      </c>
      <c r="G115" s="7">
        <v>23158</v>
      </c>
    </row>
    <row r="116" spans="1:12" x14ac:dyDescent="0.3">
      <c r="A116" s="2"/>
      <c r="B116" s="17"/>
      <c r="C116" s="7">
        <v>3.45</v>
      </c>
      <c r="D116" s="7">
        <v>6.51</v>
      </c>
      <c r="E116" s="7">
        <v>9.7799999999999994</v>
      </c>
      <c r="F116" s="7">
        <v>14</v>
      </c>
      <c r="G116" s="7">
        <v>33.74</v>
      </c>
    </row>
    <row r="117" spans="1:12" x14ac:dyDescent="0.3">
      <c r="A117" s="2"/>
      <c r="B117" s="17"/>
      <c r="C117" s="7">
        <v>10.23</v>
      </c>
      <c r="D117" s="7">
        <v>19.3</v>
      </c>
      <c r="E117" s="7">
        <v>28.97</v>
      </c>
      <c r="F117" s="7">
        <v>41.5</v>
      </c>
      <c r="G117" s="7"/>
    </row>
    <row r="118" spans="1:12" x14ac:dyDescent="0.3">
      <c r="A118" s="2"/>
      <c r="B118" s="17"/>
      <c r="C118" s="7">
        <v>14.54</v>
      </c>
      <c r="D118" s="7">
        <v>26.6</v>
      </c>
      <c r="E118" s="7">
        <v>38.51</v>
      </c>
      <c r="F118" s="7">
        <v>53.02</v>
      </c>
      <c r="G118" s="7"/>
    </row>
    <row r="119" spans="1:12" x14ac:dyDescent="0.3">
      <c r="A119" s="2"/>
      <c r="B119" s="17" t="s">
        <v>26</v>
      </c>
      <c r="C119" s="7">
        <v>16281</v>
      </c>
      <c r="D119" s="7">
        <v>16807</v>
      </c>
      <c r="E119" s="7">
        <v>17422</v>
      </c>
      <c r="F119" s="7">
        <v>18125</v>
      </c>
      <c r="G119" s="7">
        <v>68635</v>
      </c>
    </row>
    <row r="120" spans="1:12" x14ac:dyDescent="0.3">
      <c r="A120" s="2"/>
      <c r="B120" s="17"/>
      <c r="C120" s="7">
        <v>23.72</v>
      </c>
      <c r="D120" s="7">
        <v>24.49</v>
      </c>
      <c r="E120" s="7">
        <v>25.38</v>
      </c>
      <c r="F120" s="7">
        <v>26.41</v>
      </c>
      <c r="G120" s="7">
        <v>100</v>
      </c>
    </row>
    <row r="121" spans="1:12" x14ac:dyDescent="0.3">
      <c r="A121" s="2"/>
      <c r="B121" s="20"/>
      <c r="C121" s="20"/>
      <c r="D121" s="20"/>
      <c r="E121" s="20"/>
      <c r="F121" s="20"/>
      <c r="G121" s="20"/>
    </row>
    <row r="122" spans="1:12" ht="17.25" thickBot="1" x14ac:dyDescent="0.35"/>
    <row r="123" spans="1:12" ht="16.5" customHeight="1" x14ac:dyDescent="0.3">
      <c r="A123" s="4" t="s">
        <v>3</v>
      </c>
      <c r="B123" s="16" t="s">
        <v>32</v>
      </c>
      <c r="C123" s="18"/>
      <c r="D123" s="18"/>
      <c r="E123" s="18"/>
      <c r="F123" s="18"/>
      <c r="G123" s="18"/>
    </row>
    <row r="124" spans="1:12" ht="16.5" customHeight="1" x14ac:dyDescent="0.3">
      <c r="A124" s="6" t="s">
        <v>4</v>
      </c>
      <c r="B124" s="17" t="s">
        <v>11</v>
      </c>
      <c r="C124" s="19" t="s">
        <v>25</v>
      </c>
      <c r="D124" s="19"/>
      <c r="E124" s="19"/>
      <c r="F124" s="19"/>
      <c r="G124" s="19"/>
    </row>
    <row r="125" spans="1:12" x14ac:dyDescent="0.3">
      <c r="A125" s="6" t="s">
        <v>22</v>
      </c>
      <c r="B125" s="17"/>
      <c r="C125" s="3">
        <v>1</v>
      </c>
      <c r="D125" s="3">
        <v>2</v>
      </c>
      <c r="E125" s="3">
        <v>3</v>
      </c>
      <c r="F125" s="3">
        <v>4</v>
      </c>
      <c r="G125" s="3" t="s">
        <v>26</v>
      </c>
    </row>
    <row r="126" spans="1:12" ht="33" x14ac:dyDescent="0.3">
      <c r="A126" s="6" t="s">
        <v>23</v>
      </c>
      <c r="B126" s="17">
        <v>1</v>
      </c>
      <c r="C126" s="7">
        <v>11702</v>
      </c>
      <c r="D126" s="7">
        <v>13781</v>
      </c>
      <c r="E126" s="7">
        <v>15101</v>
      </c>
      <c r="F126" s="7">
        <v>16230</v>
      </c>
      <c r="G126" s="7">
        <v>56814</v>
      </c>
      <c r="I126" t="str">
        <f>TEXT(C126,"#,##0")&amp;" ("&amp;TEXT(C129,"0.00")&amp;")"</f>
        <v>11,702 (71.88)</v>
      </c>
      <c r="J126" t="str">
        <f t="shared" ref="J126" si="64">TEXT(D126,"#,##0")&amp;" ("&amp;TEXT(D129,"0.00")&amp;")"</f>
        <v>13,781 (82.00)</v>
      </c>
      <c r="K126" t="str">
        <f t="shared" ref="K126" si="65">TEXT(E126,"#,##0")&amp;" ("&amp;TEXT(E129,"0.00")&amp;")"</f>
        <v>15,101 (86.68)</v>
      </c>
      <c r="L126" t="str">
        <f t="shared" ref="L126" si="66">TEXT(F126,"#,##0")&amp;" ("&amp;TEXT(F129,"0.00")&amp;")"</f>
        <v>16,230 (89.54)</v>
      </c>
    </row>
    <row r="127" spans="1:12" x14ac:dyDescent="0.3">
      <c r="A127" s="2"/>
      <c r="B127" s="17"/>
      <c r="C127" s="7">
        <v>17.05</v>
      </c>
      <c r="D127" s="7">
        <v>20.079999999999998</v>
      </c>
      <c r="E127" s="7">
        <v>22</v>
      </c>
      <c r="F127" s="7">
        <v>23.65</v>
      </c>
      <c r="G127" s="7">
        <v>82.78</v>
      </c>
      <c r="I127" t="str">
        <f>TEXT(C130,"#,##0")&amp;" ("&amp;TEXT(C133,"0.00")&amp;")"</f>
        <v>4,579 (28.12)</v>
      </c>
      <c r="J127" t="str">
        <f t="shared" ref="J127" si="67">TEXT(D130,"#,##0")&amp;" ("&amp;TEXT(D133,"0.00")&amp;")"</f>
        <v>3,026 (18.00)</v>
      </c>
      <c r="K127" t="str">
        <f t="shared" ref="K127" si="68">TEXT(E130,"#,##0")&amp;" ("&amp;TEXT(E133,"0.00")&amp;")"</f>
        <v>2,321 (13.32)</v>
      </c>
      <c r="L127" t="str">
        <f t="shared" ref="L127" si="69">TEXT(F130,"#,##0")&amp;" ("&amp;TEXT(F133,"0.00")&amp;")"</f>
        <v>1,895 (10.46)</v>
      </c>
    </row>
    <row r="128" spans="1:12" x14ac:dyDescent="0.3">
      <c r="A128" s="2"/>
      <c r="B128" s="17"/>
      <c r="C128" s="7">
        <v>20.6</v>
      </c>
      <c r="D128" s="7">
        <v>24.26</v>
      </c>
      <c r="E128" s="7">
        <v>26.58</v>
      </c>
      <c r="F128" s="7">
        <v>28.57</v>
      </c>
      <c r="G128" s="7"/>
      <c r="I128" t="str">
        <f>TEXT(C134,"#,##0")&amp;" ("&amp;TEXT(C137,"0.00")&amp;")"</f>
        <v>16,281 (0.00)</v>
      </c>
      <c r="J128" t="str">
        <f t="shared" ref="J128" si="70">TEXT(D134,"#,##0")&amp;" ("&amp;TEXT(D137,"0.00")&amp;")"</f>
        <v>16,807 (0.00)</v>
      </c>
      <c r="K128" t="str">
        <f t="shared" ref="K128" si="71">TEXT(E134,"#,##0")&amp;" ("&amp;TEXT(E137,"0.00")&amp;")"</f>
        <v>17,422 (0.00)</v>
      </c>
      <c r="L128" t="str">
        <f t="shared" ref="L128" si="72">TEXT(F134,"#,##0")&amp;" ("&amp;TEXT(F137,"0.00")&amp;")"</f>
        <v>18,125 (0.00)</v>
      </c>
    </row>
    <row r="129" spans="1:12" x14ac:dyDescent="0.3">
      <c r="A129" s="2"/>
      <c r="B129" s="17"/>
      <c r="C129" s="7">
        <v>71.88</v>
      </c>
      <c r="D129" s="7">
        <v>82</v>
      </c>
      <c r="E129" s="7">
        <v>86.68</v>
      </c>
      <c r="F129" s="7">
        <v>89.54</v>
      </c>
      <c r="G129" s="7"/>
      <c r="I129" t="str">
        <f>TEXT(C138,"#,##0")&amp;" ("&amp;TEXT(C141,"0.00")&amp;")"</f>
        <v>0 (6367.00)</v>
      </c>
      <c r="J129" t="str">
        <f t="shared" ref="J129" si="73">TEXT(D138,"#,##0")&amp;" ("&amp;TEXT(D141,"0.00")&amp;")"</f>
        <v>0 (5817.00)</v>
      </c>
      <c r="K129" t="str">
        <f t="shared" ref="K129" si="74">TEXT(E138,"#,##0")&amp;" ("&amp;TEXT(E141,"0.00")&amp;")"</f>
        <v>0 (5586.00)</v>
      </c>
      <c r="L129" t="str">
        <f t="shared" ref="L129" si="75">TEXT(F138,"#,##0")&amp;" ("&amp;TEXT(F141,"0.00")&amp;")"</f>
        <v>0 (5106.00)</v>
      </c>
    </row>
    <row r="130" spans="1:12" x14ac:dyDescent="0.3">
      <c r="A130" s="2"/>
      <c r="B130" s="17">
        <v>2</v>
      </c>
      <c r="C130" s="7">
        <v>4579</v>
      </c>
      <c r="D130" s="7">
        <v>3026</v>
      </c>
      <c r="E130" s="7">
        <v>2321</v>
      </c>
      <c r="F130" s="7">
        <v>1895</v>
      </c>
      <c r="G130" s="7">
        <v>11821</v>
      </c>
    </row>
    <row r="131" spans="1:12" x14ac:dyDescent="0.3">
      <c r="A131" s="2"/>
      <c r="B131" s="17"/>
      <c r="C131" s="7">
        <v>6.67</v>
      </c>
      <c r="D131" s="7">
        <v>4.41</v>
      </c>
      <c r="E131" s="7">
        <v>3.38</v>
      </c>
      <c r="F131" s="7">
        <v>2.76</v>
      </c>
      <c r="G131" s="7">
        <v>17.22</v>
      </c>
    </row>
    <row r="132" spans="1:12" x14ac:dyDescent="0.3">
      <c r="A132" s="2"/>
      <c r="B132" s="17"/>
      <c r="C132" s="7">
        <v>38.74</v>
      </c>
      <c r="D132" s="7">
        <v>25.6</v>
      </c>
      <c r="E132" s="7">
        <v>19.63</v>
      </c>
      <c r="F132" s="7">
        <v>16.03</v>
      </c>
      <c r="G132" s="7"/>
    </row>
    <row r="133" spans="1:12" x14ac:dyDescent="0.3">
      <c r="A133" s="2"/>
      <c r="B133" s="17"/>
      <c r="C133" s="7">
        <v>28.12</v>
      </c>
      <c r="D133" s="7">
        <v>18</v>
      </c>
      <c r="E133" s="7">
        <v>13.32</v>
      </c>
      <c r="F133" s="7">
        <v>10.46</v>
      </c>
      <c r="G133" s="7"/>
    </row>
    <row r="134" spans="1:12" x14ac:dyDescent="0.3">
      <c r="A134" s="2"/>
      <c r="B134" s="17" t="s">
        <v>26</v>
      </c>
      <c r="C134" s="7">
        <v>16281</v>
      </c>
      <c r="D134" s="7">
        <v>16807</v>
      </c>
      <c r="E134" s="7">
        <v>17422</v>
      </c>
      <c r="F134" s="7">
        <v>18125</v>
      </c>
      <c r="G134" s="7">
        <v>68635</v>
      </c>
    </row>
    <row r="135" spans="1:12" x14ac:dyDescent="0.3">
      <c r="A135" s="2"/>
      <c r="B135" s="17"/>
      <c r="C135" s="7">
        <v>23.72</v>
      </c>
      <c r="D135" s="7">
        <v>24.49</v>
      </c>
      <c r="E135" s="7">
        <v>25.38</v>
      </c>
      <c r="F135" s="7">
        <v>26.41</v>
      </c>
      <c r="G135" s="7">
        <v>100</v>
      </c>
    </row>
    <row r="136" spans="1:12" x14ac:dyDescent="0.3">
      <c r="A136" s="2"/>
      <c r="B136" s="20"/>
      <c r="C136" s="20"/>
      <c r="D136" s="20"/>
      <c r="E136" s="20"/>
      <c r="F136" s="20"/>
      <c r="G136" s="20"/>
    </row>
    <row r="137" spans="1:12" ht="17.25" thickBot="1" x14ac:dyDescent="0.35"/>
    <row r="138" spans="1:12" ht="16.5" customHeight="1" x14ac:dyDescent="0.3">
      <c r="A138" s="4" t="s">
        <v>3</v>
      </c>
      <c r="B138" s="16" t="s">
        <v>33</v>
      </c>
      <c r="C138" s="18"/>
      <c r="D138" s="18"/>
      <c r="E138" s="18"/>
      <c r="F138" s="18"/>
      <c r="G138" s="18"/>
    </row>
    <row r="139" spans="1:12" ht="16.5" customHeight="1" x14ac:dyDescent="0.3">
      <c r="A139" s="6" t="s">
        <v>4</v>
      </c>
      <c r="B139" s="17" t="s">
        <v>12</v>
      </c>
      <c r="C139" s="19" t="s">
        <v>25</v>
      </c>
      <c r="D139" s="19"/>
      <c r="E139" s="19"/>
      <c r="F139" s="19"/>
      <c r="G139" s="19"/>
    </row>
    <row r="140" spans="1:12" x14ac:dyDescent="0.3">
      <c r="A140" s="6" t="s">
        <v>22</v>
      </c>
      <c r="B140" s="17"/>
      <c r="C140" s="3">
        <v>1</v>
      </c>
      <c r="D140" s="3">
        <v>2</v>
      </c>
      <c r="E140" s="3">
        <v>3</v>
      </c>
      <c r="F140" s="3">
        <v>4</v>
      </c>
      <c r="G140" s="3" t="s">
        <v>26</v>
      </c>
    </row>
    <row r="141" spans="1:12" ht="33" x14ac:dyDescent="0.3">
      <c r="A141" s="6" t="s">
        <v>23</v>
      </c>
      <c r="B141" s="17">
        <v>1</v>
      </c>
      <c r="C141" s="7">
        <v>6367</v>
      </c>
      <c r="D141" s="7">
        <v>5817</v>
      </c>
      <c r="E141" s="7">
        <v>5586</v>
      </c>
      <c r="F141" s="7">
        <v>5106</v>
      </c>
      <c r="G141" s="7">
        <v>22876</v>
      </c>
      <c r="I141" t="str">
        <f>TEXT(C141,"#,##0")&amp;" ("&amp;TEXT(C144,"0.00")&amp;")"</f>
        <v>6,367 (39.11)</v>
      </c>
      <c r="J141" t="str">
        <f t="shared" ref="J141" si="76">TEXT(D141,"#,##0")&amp;" ("&amp;TEXT(D144,"0.00")&amp;")"</f>
        <v>5,817 (34.61)</v>
      </c>
      <c r="K141" t="str">
        <f t="shared" ref="K141" si="77">TEXT(E141,"#,##0")&amp;" ("&amp;TEXT(E144,"0.00")&amp;")"</f>
        <v>5,586 (32.06)</v>
      </c>
      <c r="L141" t="str">
        <f t="shared" ref="L141" si="78">TEXT(F141,"#,##0")&amp;" ("&amp;TEXT(F144,"0.00")&amp;")"</f>
        <v>5,106 (28.17)</v>
      </c>
    </row>
    <row r="142" spans="1:12" x14ac:dyDescent="0.3">
      <c r="A142" s="2"/>
      <c r="B142" s="17"/>
      <c r="C142" s="7">
        <v>9.2799999999999994</v>
      </c>
      <c r="D142" s="7">
        <v>8.48</v>
      </c>
      <c r="E142" s="7">
        <v>8.14</v>
      </c>
      <c r="F142" s="7">
        <v>7.44</v>
      </c>
      <c r="G142" s="7">
        <v>33.33</v>
      </c>
      <c r="I142" t="str">
        <f>TEXT(C145,"#,##0")&amp;" ("&amp;TEXT(C148,"0.00")&amp;")"</f>
        <v>7,554 (46.40)</v>
      </c>
      <c r="J142" t="str">
        <f t="shared" ref="J142" si="79">TEXT(D145,"#,##0")&amp;" ("&amp;TEXT(D148,"0.00")&amp;")"</f>
        <v>8,064 (47.98)</v>
      </c>
      <c r="K142" t="str">
        <f t="shared" ref="K142" si="80">TEXT(E145,"#,##0")&amp;" ("&amp;TEXT(E148,"0.00")&amp;")"</f>
        <v>8,530 (48.96)</v>
      </c>
      <c r="L142" t="str">
        <f t="shared" ref="L142" si="81">TEXT(F145,"#,##0")&amp;" ("&amp;TEXT(F148,"0.00")&amp;")"</f>
        <v>9,062 (50.00)</v>
      </c>
    </row>
    <row r="143" spans="1:12" x14ac:dyDescent="0.3">
      <c r="A143" s="2"/>
      <c r="B143" s="17"/>
      <c r="C143" s="7">
        <v>27.83</v>
      </c>
      <c r="D143" s="7">
        <v>25.43</v>
      </c>
      <c r="E143" s="7">
        <v>24.42</v>
      </c>
      <c r="F143" s="7">
        <v>22.32</v>
      </c>
      <c r="G143" s="7"/>
      <c r="I143" t="str">
        <f>TEXT(C149,"#,##0")&amp;" ("&amp;TEXT(C152,"0.00")&amp;")"</f>
        <v>2,360 (14.50)</v>
      </c>
      <c r="J143" t="str">
        <f t="shared" ref="J143" si="82">TEXT(D149,"#,##0")&amp;" ("&amp;TEXT(D152,"0.00")&amp;")"</f>
        <v>2,926 (17.41)</v>
      </c>
      <c r="K143" t="str">
        <f t="shared" ref="K143" si="83">TEXT(E149,"#,##0")&amp;" ("&amp;TEXT(E152,"0.00")&amp;")"</f>
        <v>3,306 (18.98)</v>
      </c>
      <c r="L143" t="str">
        <f t="shared" ref="L143" si="84">TEXT(F149,"#,##0")&amp;" ("&amp;TEXT(F152,"0.00")&amp;")"</f>
        <v>3,957 (21.83)</v>
      </c>
    </row>
    <row r="144" spans="1:12" x14ac:dyDescent="0.3">
      <c r="A144" s="2"/>
      <c r="B144" s="17"/>
      <c r="C144" s="7">
        <v>39.11</v>
      </c>
      <c r="D144" s="7">
        <v>34.61</v>
      </c>
      <c r="E144" s="7">
        <v>32.06</v>
      </c>
      <c r="F144" s="7">
        <v>28.17</v>
      </c>
      <c r="G144" s="7"/>
      <c r="I144" t="str">
        <f>TEXT(C153,"#,##0")&amp;" ("&amp;TEXT(C156,"0.00")&amp;")"</f>
        <v>16,281 (0.00)</v>
      </c>
      <c r="J144" t="str">
        <f t="shared" ref="J144" si="85">TEXT(D153,"#,##0")&amp;" ("&amp;TEXT(D156,"0.00")&amp;")"</f>
        <v>16,807 (0.00)</v>
      </c>
      <c r="K144" t="str">
        <f t="shared" ref="K144" si="86">TEXT(E153,"#,##0")&amp;" ("&amp;TEXT(E156,"0.00")&amp;")"</f>
        <v>17,422 (0.00)</v>
      </c>
      <c r="L144" t="str">
        <f t="shared" ref="L144" si="87">TEXT(F153,"#,##0")&amp;" ("&amp;TEXT(F156,"0.00")&amp;")"</f>
        <v>18,125 (0.00)</v>
      </c>
    </row>
    <row r="145" spans="1:12" x14ac:dyDescent="0.3">
      <c r="A145" s="2"/>
      <c r="B145" s="17">
        <v>2</v>
      </c>
      <c r="C145" s="7">
        <v>7554</v>
      </c>
      <c r="D145" s="7">
        <v>8064</v>
      </c>
      <c r="E145" s="7">
        <v>8530</v>
      </c>
      <c r="F145" s="7">
        <v>9062</v>
      </c>
      <c r="G145" s="7">
        <v>33210</v>
      </c>
    </row>
    <row r="146" spans="1:12" x14ac:dyDescent="0.3">
      <c r="A146" s="2"/>
      <c r="B146" s="17"/>
      <c r="C146" s="7">
        <v>11.01</v>
      </c>
      <c r="D146" s="7">
        <v>11.75</v>
      </c>
      <c r="E146" s="7">
        <v>12.43</v>
      </c>
      <c r="F146" s="7">
        <v>13.2</v>
      </c>
      <c r="G146" s="7">
        <v>48.39</v>
      </c>
    </row>
    <row r="147" spans="1:12" x14ac:dyDescent="0.3">
      <c r="A147" s="2"/>
      <c r="B147" s="17"/>
      <c r="C147" s="7">
        <v>22.75</v>
      </c>
      <c r="D147" s="7">
        <v>24.28</v>
      </c>
      <c r="E147" s="7">
        <v>25.69</v>
      </c>
      <c r="F147" s="7">
        <v>27.29</v>
      </c>
      <c r="G147" s="7"/>
    </row>
    <row r="148" spans="1:12" x14ac:dyDescent="0.3">
      <c r="A148" s="2"/>
      <c r="B148" s="17"/>
      <c r="C148" s="7">
        <v>46.4</v>
      </c>
      <c r="D148" s="7">
        <v>47.98</v>
      </c>
      <c r="E148" s="7">
        <v>48.96</v>
      </c>
      <c r="F148" s="7">
        <v>50</v>
      </c>
      <c r="G148" s="7"/>
    </row>
    <row r="149" spans="1:12" x14ac:dyDescent="0.3">
      <c r="A149" s="2"/>
      <c r="B149" s="17">
        <v>3</v>
      </c>
      <c r="C149" s="7">
        <v>2360</v>
      </c>
      <c r="D149" s="7">
        <v>2926</v>
      </c>
      <c r="E149" s="7">
        <v>3306</v>
      </c>
      <c r="F149" s="7">
        <v>3957</v>
      </c>
      <c r="G149" s="7">
        <v>12549</v>
      </c>
    </row>
    <row r="150" spans="1:12" x14ac:dyDescent="0.3">
      <c r="A150" s="2"/>
      <c r="B150" s="17"/>
      <c r="C150" s="7">
        <v>3.44</v>
      </c>
      <c r="D150" s="7">
        <v>4.26</v>
      </c>
      <c r="E150" s="7">
        <v>4.82</v>
      </c>
      <c r="F150" s="7">
        <v>5.77</v>
      </c>
      <c r="G150" s="7">
        <v>18.28</v>
      </c>
    </row>
    <row r="151" spans="1:12" x14ac:dyDescent="0.3">
      <c r="A151" s="2"/>
      <c r="B151" s="17"/>
      <c r="C151" s="7">
        <v>18.809999999999999</v>
      </c>
      <c r="D151" s="7">
        <v>23.32</v>
      </c>
      <c r="E151" s="7">
        <v>26.34</v>
      </c>
      <c r="F151" s="7">
        <v>31.53</v>
      </c>
      <c r="G151" s="7"/>
    </row>
    <row r="152" spans="1:12" x14ac:dyDescent="0.3">
      <c r="A152" s="2"/>
      <c r="B152" s="17"/>
      <c r="C152" s="7">
        <v>14.5</v>
      </c>
      <c r="D152" s="7">
        <v>17.41</v>
      </c>
      <c r="E152" s="7">
        <v>18.98</v>
      </c>
      <c r="F152" s="7">
        <v>21.83</v>
      </c>
      <c r="G152" s="7"/>
    </row>
    <row r="153" spans="1:12" x14ac:dyDescent="0.3">
      <c r="A153" s="2"/>
      <c r="B153" s="17" t="s">
        <v>26</v>
      </c>
      <c r="C153" s="7">
        <v>16281</v>
      </c>
      <c r="D153" s="7">
        <v>16807</v>
      </c>
      <c r="E153" s="7">
        <v>17422</v>
      </c>
      <c r="F153" s="7">
        <v>18125</v>
      </c>
      <c r="G153" s="7">
        <v>68635</v>
      </c>
    </row>
    <row r="154" spans="1:12" x14ac:dyDescent="0.3">
      <c r="A154" s="2"/>
      <c r="B154" s="17"/>
      <c r="C154" s="7">
        <v>23.72</v>
      </c>
      <c r="D154" s="7">
        <v>24.49</v>
      </c>
      <c r="E154" s="7">
        <v>25.38</v>
      </c>
      <c r="F154" s="7">
        <v>26.41</v>
      </c>
      <c r="G154" s="7">
        <v>100</v>
      </c>
    </row>
    <row r="155" spans="1:12" x14ac:dyDescent="0.3">
      <c r="A155" s="2"/>
      <c r="B155" s="20"/>
      <c r="C155" s="20"/>
      <c r="D155" s="20"/>
      <c r="E155" s="20"/>
      <c r="F155" s="20"/>
      <c r="G155" s="20"/>
    </row>
    <row r="156" spans="1:12" ht="17.25" thickBot="1" x14ac:dyDescent="0.35"/>
    <row r="157" spans="1:12" ht="16.5" customHeight="1" x14ac:dyDescent="0.3">
      <c r="A157" s="4" t="s">
        <v>3</v>
      </c>
      <c r="B157" s="16" t="s">
        <v>34</v>
      </c>
      <c r="C157" s="18"/>
      <c r="D157" s="18"/>
      <c r="E157" s="18"/>
      <c r="F157" s="18"/>
      <c r="G157" s="18"/>
    </row>
    <row r="158" spans="1:12" ht="16.5" customHeight="1" x14ac:dyDescent="0.3">
      <c r="A158" s="6" t="s">
        <v>4</v>
      </c>
      <c r="B158" s="17" t="s">
        <v>13</v>
      </c>
      <c r="C158" s="19" t="s">
        <v>25</v>
      </c>
      <c r="D158" s="19"/>
      <c r="E158" s="19"/>
      <c r="F158" s="19"/>
      <c r="G158" s="19"/>
    </row>
    <row r="159" spans="1:12" x14ac:dyDescent="0.3">
      <c r="A159" s="6" t="s">
        <v>22</v>
      </c>
      <c r="B159" s="17"/>
      <c r="C159" s="3">
        <v>1</v>
      </c>
      <c r="D159" s="3">
        <v>2</v>
      </c>
      <c r="E159" s="3">
        <v>3</v>
      </c>
      <c r="F159" s="3">
        <v>4</v>
      </c>
      <c r="G159" s="3" t="s">
        <v>26</v>
      </c>
    </row>
    <row r="160" spans="1:12" ht="33" x14ac:dyDescent="0.3">
      <c r="A160" s="6" t="s">
        <v>23</v>
      </c>
      <c r="B160" s="17">
        <v>1</v>
      </c>
      <c r="C160" s="7">
        <v>4512</v>
      </c>
      <c r="D160" s="7">
        <v>4384</v>
      </c>
      <c r="E160" s="7">
        <v>4509</v>
      </c>
      <c r="F160" s="7">
        <v>4852</v>
      </c>
      <c r="G160" s="7">
        <v>18257</v>
      </c>
      <c r="I160" t="str">
        <f>TEXT(C160,"#,##0")&amp;" ("&amp;TEXT(C163,"0.00")&amp;")"</f>
        <v>4,512 (27.71)</v>
      </c>
      <c r="J160" t="str">
        <f t="shared" ref="J160" si="88">TEXT(D160,"#,##0")&amp;" ("&amp;TEXT(D163,"0.00")&amp;")"</f>
        <v>4,384 (26.08)</v>
      </c>
      <c r="K160" t="str">
        <f t="shared" ref="K160" si="89">TEXT(E160,"#,##0")&amp;" ("&amp;TEXT(E163,"0.00")&amp;")"</f>
        <v>4,509 (25.88)</v>
      </c>
      <c r="L160" t="str">
        <f t="shared" ref="L160" si="90">TEXT(F160,"#,##0")&amp;" ("&amp;TEXT(F163,"0.00")&amp;")"</f>
        <v>4,852 (26.77)</v>
      </c>
    </row>
    <row r="161" spans="1:12" x14ac:dyDescent="0.3">
      <c r="A161" s="2"/>
      <c r="B161" s="17"/>
      <c r="C161" s="7">
        <v>6.57</v>
      </c>
      <c r="D161" s="7">
        <v>6.39</v>
      </c>
      <c r="E161" s="7">
        <v>6.57</v>
      </c>
      <c r="F161" s="7">
        <v>7.07</v>
      </c>
      <c r="G161" s="7">
        <v>26.6</v>
      </c>
      <c r="I161" t="str">
        <f>TEXT(C164,"#,##0")&amp;" ("&amp;TEXT(C167,"0.00")&amp;")"</f>
        <v>9,616 (59.06)</v>
      </c>
      <c r="J161" t="str">
        <f t="shared" ref="J161" si="91">TEXT(D164,"#,##0")&amp;" ("&amp;TEXT(D167,"0.00")&amp;")"</f>
        <v>9,793 (58.27)</v>
      </c>
      <c r="K161" t="str">
        <f t="shared" ref="K161" si="92">TEXT(E164,"#,##0")&amp;" ("&amp;TEXT(E167,"0.00")&amp;")"</f>
        <v>9,949 (57.11)</v>
      </c>
      <c r="L161" t="str">
        <f t="shared" ref="L161" si="93">TEXT(F164,"#,##0")&amp;" ("&amp;TEXT(F167,"0.00")&amp;")"</f>
        <v>10,193 (56.24)</v>
      </c>
    </row>
    <row r="162" spans="1:12" x14ac:dyDescent="0.3">
      <c r="A162" s="2"/>
      <c r="B162" s="17"/>
      <c r="C162" s="7">
        <v>24.71</v>
      </c>
      <c r="D162" s="7">
        <v>24.01</v>
      </c>
      <c r="E162" s="7">
        <v>24.7</v>
      </c>
      <c r="F162" s="7">
        <v>26.58</v>
      </c>
      <c r="G162" s="7"/>
      <c r="I162" t="str">
        <f>TEXT(C168,"#,##0")&amp;" ("&amp;TEXT(C171,"0.00")&amp;")"</f>
        <v>2,153 (13.22)</v>
      </c>
      <c r="J162" t="str">
        <f t="shared" ref="J162" si="94">TEXT(D168,"#,##0")&amp;" ("&amp;TEXT(D171,"0.00")&amp;")"</f>
        <v>2,630 (15.65)</v>
      </c>
      <c r="K162" t="str">
        <f t="shared" ref="K162" si="95">TEXT(E168,"#,##0")&amp;" ("&amp;TEXT(E171,"0.00")&amp;")"</f>
        <v>2,964 (17.01)</v>
      </c>
      <c r="L162" t="str">
        <f t="shared" ref="L162" si="96">TEXT(F168,"#,##0")&amp;" ("&amp;TEXT(F171,"0.00")&amp;")"</f>
        <v>3,080 (16.99)</v>
      </c>
    </row>
    <row r="163" spans="1:12" x14ac:dyDescent="0.3">
      <c r="A163" s="2"/>
      <c r="B163" s="17"/>
      <c r="C163" s="7">
        <v>27.71</v>
      </c>
      <c r="D163" s="7">
        <v>26.08</v>
      </c>
      <c r="E163" s="7">
        <v>25.88</v>
      </c>
      <c r="F163" s="7">
        <v>26.77</v>
      </c>
      <c r="G163" s="7"/>
      <c r="I163" t="str">
        <f>TEXT(C172,"#,##0")&amp;" ("&amp;TEXT(C175,"0.00")&amp;")"</f>
        <v>16,281 (0.00)</v>
      </c>
      <c r="J163" t="str">
        <f t="shared" ref="J163" si="97">TEXT(D172,"#,##0")&amp;" ("&amp;TEXT(D175,"0.00")&amp;")"</f>
        <v>16,807 (0.00)</v>
      </c>
      <c r="K163" t="str">
        <f t="shared" ref="K163" si="98">TEXT(E172,"#,##0")&amp;" ("&amp;TEXT(E175,"0.00")&amp;")"</f>
        <v>17,422 (0.00)</v>
      </c>
      <c r="L163" t="str">
        <f t="shared" ref="L163" si="99">TEXT(F172,"#,##0")&amp;" ("&amp;TEXT(F175,"0.00")&amp;")"</f>
        <v>18,125 (0.00)</v>
      </c>
    </row>
    <row r="164" spans="1:12" x14ac:dyDescent="0.3">
      <c r="A164" s="2"/>
      <c r="B164" s="17">
        <v>2</v>
      </c>
      <c r="C164" s="7">
        <v>9616</v>
      </c>
      <c r="D164" s="7">
        <v>9793</v>
      </c>
      <c r="E164" s="7">
        <v>9949</v>
      </c>
      <c r="F164" s="7">
        <v>10193</v>
      </c>
      <c r="G164" s="7">
        <v>39551</v>
      </c>
    </row>
    <row r="165" spans="1:12" x14ac:dyDescent="0.3">
      <c r="A165" s="2"/>
      <c r="B165" s="17"/>
      <c r="C165" s="7">
        <v>14.01</v>
      </c>
      <c r="D165" s="7">
        <v>14.27</v>
      </c>
      <c r="E165" s="7">
        <v>14.5</v>
      </c>
      <c r="F165" s="7">
        <v>14.85</v>
      </c>
      <c r="G165" s="7">
        <v>57.63</v>
      </c>
    </row>
    <row r="166" spans="1:12" x14ac:dyDescent="0.3">
      <c r="A166" s="2"/>
      <c r="B166" s="17"/>
      <c r="C166" s="7">
        <v>24.31</v>
      </c>
      <c r="D166" s="7">
        <v>24.76</v>
      </c>
      <c r="E166" s="7">
        <v>25.15</v>
      </c>
      <c r="F166" s="7">
        <v>25.77</v>
      </c>
      <c r="G166" s="7"/>
    </row>
    <row r="167" spans="1:12" x14ac:dyDescent="0.3">
      <c r="A167" s="2"/>
      <c r="B167" s="17"/>
      <c r="C167" s="7">
        <v>59.06</v>
      </c>
      <c r="D167" s="7">
        <v>58.27</v>
      </c>
      <c r="E167" s="7">
        <v>57.11</v>
      </c>
      <c r="F167" s="7">
        <v>56.24</v>
      </c>
      <c r="G167" s="7"/>
    </row>
    <row r="168" spans="1:12" x14ac:dyDescent="0.3">
      <c r="A168" s="2"/>
      <c r="B168" s="17">
        <v>3</v>
      </c>
      <c r="C168" s="7">
        <v>2153</v>
      </c>
      <c r="D168" s="7">
        <v>2630</v>
      </c>
      <c r="E168" s="7">
        <v>2964</v>
      </c>
      <c r="F168" s="7">
        <v>3080</v>
      </c>
      <c r="G168" s="7">
        <v>10827</v>
      </c>
    </row>
    <row r="169" spans="1:12" x14ac:dyDescent="0.3">
      <c r="A169" s="2"/>
      <c r="B169" s="17"/>
      <c r="C169" s="7">
        <v>3.14</v>
      </c>
      <c r="D169" s="7">
        <v>3.83</v>
      </c>
      <c r="E169" s="7">
        <v>4.32</v>
      </c>
      <c r="F169" s="7">
        <v>4.49</v>
      </c>
      <c r="G169" s="7">
        <v>15.77</v>
      </c>
    </row>
    <row r="170" spans="1:12" x14ac:dyDescent="0.3">
      <c r="A170" s="2"/>
      <c r="B170" s="17"/>
      <c r="C170" s="7">
        <v>19.89</v>
      </c>
      <c r="D170" s="7">
        <v>24.29</v>
      </c>
      <c r="E170" s="7">
        <v>27.38</v>
      </c>
      <c r="F170" s="7">
        <v>28.45</v>
      </c>
      <c r="G170" s="7"/>
    </row>
    <row r="171" spans="1:12" x14ac:dyDescent="0.3">
      <c r="A171" s="2"/>
      <c r="B171" s="17"/>
      <c r="C171" s="7">
        <v>13.22</v>
      </c>
      <c r="D171" s="7">
        <v>15.65</v>
      </c>
      <c r="E171" s="7">
        <v>17.010000000000002</v>
      </c>
      <c r="F171" s="7">
        <v>16.989999999999998</v>
      </c>
      <c r="G171" s="7"/>
    </row>
    <row r="172" spans="1:12" x14ac:dyDescent="0.3">
      <c r="A172" s="2"/>
      <c r="B172" s="17" t="s">
        <v>26</v>
      </c>
      <c r="C172" s="7">
        <v>16281</v>
      </c>
      <c r="D172" s="7">
        <v>16807</v>
      </c>
      <c r="E172" s="7">
        <v>17422</v>
      </c>
      <c r="F172" s="7">
        <v>18125</v>
      </c>
      <c r="G172" s="7">
        <v>68635</v>
      </c>
    </row>
    <row r="173" spans="1:12" x14ac:dyDescent="0.3">
      <c r="A173" s="2"/>
      <c r="B173" s="17"/>
      <c r="C173" s="7">
        <v>23.72</v>
      </c>
      <c r="D173" s="7">
        <v>24.49</v>
      </c>
      <c r="E173" s="7">
        <v>25.38</v>
      </c>
      <c r="F173" s="7">
        <v>26.41</v>
      </c>
      <c r="G173" s="7">
        <v>100</v>
      </c>
    </row>
    <row r="174" spans="1:12" x14ac:dyDescent="0.3">
      <c r="A174" s="2"/>
      <c r="B174" s="20"/>
      <c r="C174" s="20"/>
      <c r="D174" s="20"/>
      <c r="E174" s="20"/>
      <c r="F174" s="20"/>
      <c r="G174" s="20"/>
    </row>
    <row r="175" spans="1:12" ht="17.25" thickBot="1" x14ac:dyDescent="0.35"/>
    <row r="176" spans="1:12" ht="16.5" customHeight="1" x14ac:dyDescent="0.3">
      <c r="A176" s="4" t="s">
        <v>3</v>
      </c>
      <c r="B176" s="16" t="s">
        <v>35</v>
      </c>
      <c r="C176" s="18"/>
      <c r="D176" s="18"/>
      <c r="E176" s="18"/>
      <c r="F176" s="18"/>
      <c r="G176" s="18"/>
    </row>
    <row r="177" spans="1:12" ht="16.5" customHeight="1" x14ac:dyDescent="0.3">
      <c r="A177" s="6" t="s">
        <v>4</v>
      </c>
      <c r="B177" s="17" t="s">
        <v>14</v>
      </c>
      <c r="C177" s="19" t="s">
        <v>25</v>
      </c>
      <c r="D177" s="19"/>
      <c r="E177" s="19"/>
      <c r="F177" s="19"/>
      <c r="G177" s="19"/>
    </row>
    <row r="178" spans="1:12" x14ac:dyDescent="0.3">
      <c r="A178" s="6" t="s">
        <v>22</v>
      </c>
      <c r="B178" s="17"/>
      <c r="C178" s="3">
        <v>1</v>
      </c>
      <c r="D178" s="3">
        <v>2</v>
      </c>
      <c r="E178" s="3">
        <v>3</v>
      </c>
      <c r="F178" s="3">
        <v>4</v>
      </c>
      <c r="G178" s="3" t="s">
        <v>26</v>
      </c>
    </row>
    <row r="179" spans="1:12" ht="33" x14ac:dyDescent="0.3">
      <c r="A179" s="6" t="s">
        <v>23</v>
      </c>
      <c r="B179" s="17">
        <v>1</v>
      </c>
      <c r="C179" s="7">
        <v>6789</v>
      </c>
      <c r="D179" s="7">
        <v>7003</v>
      </c>
      <c r="E179" s="7">
        <v>6988</v>
      </c>
      <c r="F179" s="7">
        <v>6128</v>
      </c>
      <c r="G179" s="7">
        <v>26908</v>
      </c>
      <c r="I179" t="str">
        <f>TEXT(C179,"#,##0")&amp;" ("&amp;TEXT(C182,"0.00")&amp;")"</f>
        <v>6,789 (41.70)</v>
      </c>
      <c r="J179" t="str">
        <f t="shared" ref="J179" si="100">TEXT(D179,"#,##0")&amp;" ("&amp;TEXT(D182,"0.00")&amp;")"</f>
        <v>7,003 (41.67)</v>
      </c>
      <c r="K179" t="str">
        <f t="shared" ref="K179" si="101">TEXT(E179,"#,##0")&amp;" ("&amp;TEXT(E182,"0.00")&amp;")"</f>
        <v>6,988 (40.11)</v>
      </c>
      <c r="L179" t="str">
        <f t="shared" ref="L179" si="102">TEXT(F179,"#,##0")&amp;" ("&amp;TEXT(F182,"0.00")&amp;")"</f>
        <v>6,128 (33.81)</v>
      </c>
    </row>
    <row r="180" spans="1:12" x14ac:dyDescent="0.3">
      <c r="A180" s="2"/>
      <c r="B180" s="17"/>
      <c r="C180" s="7">
        <v>9.89</v>
      </c>
      <c r="D180" s="7">
        <v>10.199999999999999</v>
      </c>
      <c r="E180" s="7">
        <v>10.18</v>
      </c>
      <c r="F180" s="7">
        <v>8.93</v>
      </c>
      <c r="G180" s="7">
        <v>39.200000000000003</v>
      </c>
      <c r="I180" t="str">
        <f>TEXT(C183,"#,##0")&amp;" ("&amp;TEXT(C186,"0.00")&amp;")"</f>
        <v>6,708 (41.20)</v>
      </c>
      <c r="J180" t="str">
        <f t="shared" ref="J180" si="103">TEXT(D183,"#,##0")&amp;" ("&amp;TEXT(D186,"0.00")&amp;")"</f>
        <v>6,311 (37.55)</v>
      </c>
      <c r="K180" t="str">
        <f t="shared" ref="K180" si="104">TEXT(E183,"#,##0")&amp;" ("&amp;TEXT(E186,"0.00")&amp;")"</f>
        <v>6,141 (35.25)</v>
      </c>
      <c r="L180" t="str">
        <f t="shared" ref="L180" si="105">TEXT(F183,"#,##0")&amp;" ("&amp;TEXT(F186,"0.00")&amp;")"</f>
        <v>5,839 (32.22)</v>
      </c>
    </row>
    <row r="181" spans="1:12" x14ac:dyDescent="0.3">
      <c r="A181" s="2"/>
      <c r="B181" s="17"/>
      <c r="C181" s="7">
        <v>25.23</v>
      </c>
      <c r="D181" s="7">
        <v>26.03</v>
      </c>
      <c r="E181" s="7">
        <v>25.97</v>
      </c>
      <c r="F181" s="7">
        <v>22.77</v>
      </c>
      <c r="G181" s="7"/>
      <c r="I181" t="str">
        <f>TEXT(C187,"#,##0")&amp;" ("&amp;TEXT(C190,"0.00")&amp;")"</f>
        <v>2,784 (17.10)</v>
      </c>
      <c r="J181" t="str">
        <f t="shared" ref="J181" si="106">TEXT(D187,"#,##0")&amp;" ("&amp;TEXT(D190,"0.00")&amp;")"</f>
        <v>3,493 (20.78)</v>
      </c>
      <c r="K181" t="str">
        <f t="shared" ref="K181" si="107">TEXT(E187,"#,##0")&amp;" ("&amp;TEXT(E190,"0.00")&amp;")"</f>
        <v>4,293 (24.64)</v>
      </c>
      <c r="L181" t="str">
        <f t="shared" ref="L181" si="108">TEXT(F187,"#,##0")&amp;" ("&amp;TEXT(F190,"0.00")&amp;")"</f>
        <v>6,158 (33.98)</v>
      </c>
    </row>
    <row r="182" spans="1:12" x14ac:dyDescent="0.3">
      <c r="A182" s="2"/>
      <c r="B182" s="17"/>
      <c r="C182" s="7">
        <v>41.7</v>
      </c>
      <c r="D182" s="7">
        <v>41.67</v>
      </c>
      <c r="E182" s="7">
        <v>40.11</v>
      </c>
      <c r="F182" s="7">
        <v>33.81</v>
      </c>
      <c r="G182" s="7"/>
      <c r="I182" t="str">
        <f>TEXT(C191,"#,##0")&amp;" ("&amp;TEXT(C194,"0.00")&amp;")"</f>
        <v>16,281 (0.00)</v>
      </c>
      <c r="J182" t="str">
        <f t="shared" ref="J182" si="109">TEXT(D191,"#,##0")&amp;" ("&amp;TEXT(D194,"0.00")&amp;")"</f>
        <v>16,807 (0.00)</v>
      </c>
      <c r="K182" t="str">
        <f t="shared" ref="K182" si="110">TEXT(E191,"#,##0")&amp;" ("&amp;TEXT(E194,"0.00")&amp;")"</f>
        <v>17,422 (0.00)</v>
      </c>
      <c r="L182" t="str">
        <f t="shared" ref="L182" si="111">TEXT(F191,"#,##0")&amp;" ("&amp;TEXT(F194,"0.00")&amp;")"</f>
        <v>18,125 (0.00)</v>
      </c>
    </row>
    <row r="183" spans="1:12" x14ac:dyDescent="0.3">
      <c r="A183" s="2"/>
      <c r="B183" s="17">
        <v>2</v>
      </c>
      <c r="C183" s="7">
        <v>6708</v>
      </c>
      <c r="D183" s="7">
        <v>6311</v>
      </c>
      <c r="E183" s="7">
        <v>6141</v>
      </c>
      <c r="F183" s="7">
        <v>5839</v>
      </c>
      <c r="G183" s="7">
        <v>24999</v>
      </c>
    </row>
    <row r="184" spans="1:12" x14ac:dyDescent="0.3">
      <c r="A184" s="2"/>
      <c r="B184" s="17"/>
      <c r="C184" s="7">
        <v>9.77</v>
      </c>
      <c r="D184" s="7">
        <v>9.1999999999999993</v>
      </c>
      <c r="E184" s="7">
        <v>8.9499999999999993</v>
      </c>
      <c r="F184" s="7">
        <v>8.51</v>
      </c>
      <c r="G184" s="7">
        <v>36.42</v>
      </c>
    </row>
    <row r="185" spans="1:12" x14ac:dyDescent="0.3">
      <c r="A185" s="2"/>
      <c r="B185" s="17"/>
      <c r="C185" s="7">
        <v>26.83</v>
      </c>
      <c r="D185" s="7">
        <v>25.25</v>
      </c>
      <c r="E185" s="7">
        <v>24.56</v>
      </c>
      <c r="F185" s="7">
        <v>23.36</v>
      </c>
      <c r="G185" s="7"/>
    </row>
    <row r="186" spans="1:12" x14ac:dyDescent="0.3">
      <c r="A186" s="2"/>
      <c r="B186" s="17"/>
      <c r="C186" s="7">
        <v>41.2</v>
      </c>
      <c r="D186" s="7">
        <v>37.549999999999997</v>
      </c>
      <c r="E186" s="7">
        <v>35.25</v>
      </c>
      <c r="F186" s="7">
        <v>32.22</v>
      </c>
      <c r="G186" s="7"/>
    </row>
    <row r="187" spans="1:12" x14ac:dyDescent="0.3">
      <c r="A187" s="2"/>
      <c r="B187" s="17">
        <v>3</v>
      </c>
      <c r="C187" s="7">
        <v>2784</v>
      </c>
      <c r="D187" s="7">
        <v>3493</v>
      </c>
      <c r="E187" s="7">
        <v>4293</v>
      </c>
      <c r="F187" s="7">
        <v>6158</v>
      </c>
      <c r="G187" s="7">
        <v>16728</v>
      </c>
    </row>
    <row r="188" spans="1:12" x14ac:dyDescent="0.3">
      <c r="A188" s="2"/>
      <c r="B188" s="17"/>
      <c r="C188" s="7">
        <v>4.0599999999999996</v>
      </c>
      <c r="D188" s="7">
        <v>5.09</v>
      </c>
      <c r="E188" s="7">
        <v>6.25</v>
      </c>
      <c r="F188" s="7">
        <v>8.9700000000000006</v>
      </c>
      <c r="G188" s="7">
        <v>24.37</v>
      </c>
    </row>
    <row r="189" spans="1:12" x14ac:dyDescent="0.3">
      <c r="A189" s="2"/>
      <c r="B189" s="17"/>
      <c r="C189" s="7">
        <v>16.64</v>
      </c>
      <c r="D189" s="7">
        <v>20.88</v>
      </c>
      <c r="E189" s="7">
        <v>25.66</v>
      </c>
      <c r="F189" s="7">
        <v>36.81</v>
      </c>
      <c r="G189" s="7"/>
    </row>
    <row r="190" spans="1:12" x14ac:dyDescent="0.3">
      <c r="A190" s="2"/>
      <c r="B190" s="17"/>
      <c r="C190" s="7">
        <v>17.100000000000001</v>
      </c>
      <c r="D190" s="7">
        <v>20.78</v>
      </c>
      <c r="E190" s="7">
        <v>24.64</v>
      </c>
      <c r="F190" s="7">
        <v>33.979999999999997</v>
      </c>
      <c r="G190" s="7"/>
    </row>
    <row r="191" spans="1:12" x14ac:dyDescent="0.3">
      <c r="A191" s="2"/>
      <c r="B191" s="17" t="s">
        <v>26</v>
      </c>
      <c r="C191" s="7">
        <v>16281</v>
      </c>
      <c r="D191" s="7">
        <v>16807</v>
      </c>
      <c r="E191" s="7">
        <v>17422</v>
      </c>
      <c r="F191" s="7">
        <v>18125</v>
      </c>
      <c r="G191" s="7">
        <v>68635</v>
      </c>
    </row>
    <row r="192" spans="1:12" x14ac:dyDescent="0.3">
      <c r="A192" s="2"/>
      <c r="B192" s="17"/>
      <c r="C192" s="7">
        <v>23.72</v>
      </c>
      <c r="D192" s="7">
        <v>24.49</v>
      </c>
      <c r="E192" s="7">
        <v>25.38</v>
      </c>
      <c r="F192" s="7">
        <v>26.41</v>
      </c>
      <c r="G192" s="7">
        <v>100</v>
      </c>
    </row>
    <row r="193" spans="1:12" x14ac:dyDescent="0.3">
      <c r="A193" s="2"/>
      <c r="B193" s="20"/>
      <c r="C193" s="20"/>
      <c r="D193" s="20"/>
      <c r="E193" s="20"/>
      <c r="F193" s="20"/>
      <c r="G193" s="20"/>
    </row>
    <row r="194" spans="1:12" ht="17.25" thickBot="1" x14ac:dyDescent="0.35"/>
    <row r="195" spans="1:12" ht="16.5" customHeight="1" x14ac:dyDescent="0.3">
      <c r="A195" s="4" t="s">
        <v>3</v>
      </c>
      <c r="B195" s="16" t="s">
        <v>36</v>
      </c>
      <c r="C195" s="18"/>
      <c r="D195" s="18"/>
      <c r="E195" s="18"/>
      <c r="F195" s="18"/>
      <c r="G195" s="18"/>
    </row>
    <row r="196" spans="1:12" ht="16.5" customHeight="1" x14ac:dyDescent="0.3">
      <c r="A196" s="6" t="s">
        <v>4</v>
      </c>
      <c r="B196" s="17" t="s">
        <v>15</v>
      </c>
      <c r="C196" s="19" t="s">
        <v>25</v>
      </c>
      <c r="D196" s="19"/>
      <c r="E196" s="19"/>
      <c r="F196" s="19"/>
      <c r="G196" s="19"/>
    </row>
    <row r="197" spans="1:12" x14ac:dyDescent="0.3">
      <c r="A197" s="6" t="s">
        <v>22</v>
      </c>
      <c r="B197" s="17"/>
      <c r="C197" s="3">
        <v>1</v>
      </c>
      <c r="D197" s="3">
        <v>2</v>
      </c>
      <c r="E197" s="3">
        <v>3</v>
      </c>
      <c r="F197" s="3">
        <v>4</v>
      </c>
      <c r="G197" s="3" t="s">
        <v>26</v>
      </c>
    </row>
    <row r="198" spans="1:12" ht="33" x14ac:dyDescent="0.3">
      <c r="A198" s="6" t="s">
        <v>23</v>
      </c>
      <c r="B198" s="17">
        <v>0</v>
      </c>
      <c r="C198" s="7">
        <v>13870</v>
      </c>
      <c r="D198" s="7">
        <v>13397</v>
      </c>
      <c r="E198" s="7">
        <v>13046</v>
      </c>
      <c r="F198" s="7">
        <v>11751</v>
      </c>
      <c r="G198" s="7">
        <v>52064</v>
      </c>
      <c r="I198" t="str">
        <f>TEXT(C198,"#,##0")&amp;" ("&amp;TEXT(C201,"0.00")&amp;")"</f>
        <v>13,870 (85.19)</v>
      </c>
      <c r="J198" t="str">
        <f t="shared" ref="J198" si="112">TEXT(D198,"#,##0")&amp;" ("&amp;TEXT(D201,"0.00")&amp;")"</f>
        <v>13,397 (79.71)</v>
      </c>
      <c r="K198" t="str">
        <f t="shared" ref="K198" si="113">TEXT(E198,"#,##0")&amp;" ("&amp;TEXT(E201,"0.00")&amp;")"</f>
        <v>13,046 (74.88)</v>
      </c>
      <c r="L198" t="str">
        <f t="shared" ref="L198" si="114">TEXT(F198,"#,##0")&amp;" ("&amp;TEXT(F201,"0.00")&amp;")"</f>
        <v>11,751 (64.83)</v>
      </c>
    </row>
    <row r="199" spans="1:12" x14ac:dyDescent="0.3">
      <c r="A199" s="2"/>
      <c r="B199" s="17"/>
      <c r="C199" s="7">
        <v>20.21</v>
      </c>
      <c r="D199" s="7">
        <v>19.52</v>
      </c>
      <c r="E199" s="7">
        <v>19.010000000000002</v>
      </c>
      <c r="F199" s="7">
        <v>17.12</v>
      </c>
      <c r="G199" s="7">
        <v>75.86</v>
      </c>
      <c r="I199" t="str">
        <f>TEXT(C202,"#,##0")&amp;" ("&amp;TEXT(C205,"0.00")&amp;")"</f>
        <v>2,411 (14.81)</v>
      </c>
      <c r="J199" t="str">
        <f t="shared" ref="J199" si="115">TEXT(D202,"#,##0")&amp;" ("&amp;TEXT(D205,"0.00")&amp;")"</f>
        <v>3,410 (20.29)</v>
      </c>
      <c r="K199" t="str">
        <f t="shared" ref="K199" si="116">TEXT(E202,"#,##0")&amp;" ("&amp;TEXT(E205,"0.00")&amp;")"</f>
        <v>4,376 (25.12)</v>
      </c>
      <c r="L199" t="str">
        <f t="shared" ref="L199" si="117">TEXT(F202,"#,##0")&amp;" ("&amp;TEXT(F205,"0.00")&amp;")"</f>
        <v>6,374 (35.17)</v>
      </c>
    </row>
    <row r="200" spans="1:12" x14ac:dyDescent="0.3">
      <c r="A200" s="2"/>
      <c r="B200" s="17"/>
      <c r="C200" s="7">
        <v>26.64</v>
      </c>
      <c r="D200" s="7">
        <v>25.73</v>
      </c>
      <c r="E200" s="7">
        <v>25.06</v>
      </c>
      <c r="F200" s="7">
        <v>22.57</v>
      </c>
      <c r="G200" s="7"/>
      <c r="I200" t="str">
        <f>TEXT(C206,"#,##0")&amp;" ("&amp;TEXT(C209,"0.00")&amp;")"</f>
        <v>16,281 (0.00)</v>
      </c>
      <c r="J200" t="str">
        <f t="shared" ref="J200" si="118">TEXT(D206,"#,##0")&amp;" ("&amp;TEXT(D209,"0.00")&amp;")"</f>
        <v>16,807 (0.00)</v>
      </c>
      <c r="K200" t="str">
        <f t="shared" ref="K200" si="119">TEXT(E206,"#,##0")&amp;" ("&amp;TEXT(E209,"0.00")&amp;")"</f>
        <v>17,422 (0.00)</v>
      </c>
      <c r="L200" t="str">
        <f t="shared" ref="L200" si="120">TEXT(F206,"#,##0")&amp;" ("&amp;TEXT(F209,"0.00")&amp;")"</f>
        <v>18,125 (0.00)</v>
      </c>
    </row>
    <row r="201" spans="1:12" x14ac:dyDescent="0.3">
      <c r="A201" s="2"/>
      <c r="B201" s="17"/>
      <c r="C201" s="7">
        <v>85.19</v>
      </c>
      <c r="D201" s="7">
        <v>79.709999999999994</v>
      </c>
      <c r="E201" s="7">
        <v>74.88</v>
      </c>
      <c r="F201" s="7">
        <v>64.83</v>
      </c>
      <c r="G201" s="7"/>
      <c r="I201" t="str">
        <f>TEXT(C210,"#,##0")&amp;" ("&amp;TEXT(C213,"0.00")&amp;")"</f>
        <v>0 (14678.00)</v>
      </c>
      <c r="J201" t="str">
        <f t="shared" ref="J201" si="121">TEXT(D210,"#,##0")&amp;" ("&amp;TEXT(D213,"0.00")&amp;")"</f>
        <v>0 (13811.00)</v>
      </c>
      <c r="K201" t="str">
        <f t="shared" ref="K201" si="122">TEXT(E210,"#,##0")&amp;" ("&amp;TEXT(E213,"0.00")&amp;")"</f>
        <v>0 (12984.00)</v>
      </c>
      <c r="L201" t="str">
        <f t="shared" ref="L201" si="123">TEXT(F210,"#,##0")&amp;" ("&amp;TEXT(F213,"0.00")&amp;")"</f>
        <v>0 (12437.00)</v>
      </c>
    </row>
    <row r="202" spans="1:12" x14ac:dyDescent="0.3">
      <c r="A202" s="2"/>
      <c r="B202" s="17">
        <v>1</v>
      </c>
      <c r="C202" s="7">
        <v>2411</v>
      </c>
      <c r="D202" s="7">
        <v>3410</v>
      </c>
      <c r="E202" s="7">
        <v>4376</v>
      </c>
      <c r="F202" s="7">
        <v>6374</v>
      </c>
      <c r="G202" s="7">
        <v>16571</v>
      </c>
    </row>
    <row r="203" spans="1:12" x14ac:dyDescent="0.3">
      <c r="A203" s="2"/>
      <c r="B203" s="17"/>
      <c r="C203" s="7">
        <v>3.51</v>
      </c>
      <c r="D203" s="7">
        <v>4.97</v>
      </c>
      <c r="E203" s="7">
        <v>6.38</v>
      </c>
      <c r="F203" s="7">
        <v>9.2899999999999991</v>
      </c>
      <c r="G203" s="7">
        <v>24.14</v>
      </c>
    </row>
    <row r="204" spans="1:12" x14ac:dyDescent="0.3">
      <c r="A204" s="2"/>
      <c r="B204" s="17"/>
      <c r="C204" s="7">
        <v>14.55</v>
      </c>
      <c r="D204" s="7">
        <v>20.58</v>
      </c>
      <c r="E204" s="7">
        <v>26.41</v>
      </c>
      <c r="F204" s="7">
        <v>38.46</v>
      </c>
      <c r="G204" s="7"/>
    </row>
    <row r="205" spans="1:12" x14ac:dyDescent="0.3">
      <c r="A205" s="2"/>
      <c r="B205" s="17"/>
      <c r="C205" s="7">
        <v>14.81</v>
      </c>
      <c r="D205" s="7">
        <v>20.29</v>
      </c>
      <c r="E205" s="7">
        <v>25.12</v>
      </c>
      <c r="F205" s="7">
        <v>35.17</v>
      </c>
      <c r="G205" s="7"/>
    </row>
    <row r="206" spans="1:12" x14ac:dyDescent="0.3">
      <c r="A206" s="2"/>
      <c r="B206" s="17" t="s">
        <v>26</v>
      </c>
      <c r="C206" s="7">
        <v>16281</v>
      </c>
      <c r="D206" s="7">
        <v>16807</v>
      </c>
      <c r="E206" s="7">
        <v>17422</v>
      </c>
      <c r="F206" s="7">
        <v>18125</v>
      </c>
      <c r="G206" s="7">
        <v>68635</v>
      </c>
    </row>
    <row r="207" spans="1:12" x14ac:dyDescent="0.3">
      <c r="A207" s="2"/>
      <c r="B207" s="17"/>
      <c r="C207" s="7">
        <v>23.72</v>
      </c>
      <c r="D207" s="7">
        <v>24.49</v>
      </c>
      <c r="E207" s="7">
        <v>25.38</v>
      </c>
      <c r="F207" s="7">
        <v>26.41</v>
      </c>
      <c r="G207" s="7">
        <v>100</v>
      </c>
    </row>
    <row r="208" spans="1:12" x14ac:dyDescent="0.3">
      <c r="A208" s="2"/>
      <c r="B208" s="20"/>
      <c r="C208" s="20"/>
      <c r="D208" s="20"/>
      <c r="E208" s="20"/>
      <c r="F208" s="20"/>
      <c r="G208" s="20"/>
    </row>
    <row r="209" spans="1:12" ht="17.25" thickBot="1" x14ac:dyDescent="0.35"/>
    <row r="210" spans="1:12" ht="16.5" customHeight="1" x14ac:dyDescent="0.3">
      <c r="A210" s="4" t="s">
        <v>3</v>
      </c>
      <c r="B210" s="16" t="s">
        <v>37</v>
      </c>
      <c r="C210" s="18"/>
      <c r="D210" s="18"/>
      <c r="E210" s="18"/>
      <c r="F210" s="18"/>
      <c r="G210" s="18"/>
    </row>
    <row r="211" spans="1:12" ht="16.5" customHeight="1" x14ac:dyDescent="0.3">
      <c r="A211" s="6" t="s">
        <v>4</v>
      </c>
      <c r="B211" s="17" t="s">
        <v>16</v>
      </c>
      <c r="C211" s="19" t="s">
        <v>25</v>
      </c>
      <c r="D211" s="19"/>
      <c r="E211" s="19"/>
      <c r="F211" s="19"/>
      <c r="G211" s="19"/>
    </row>
    <row r="212" spans="1:12" x14ac:dyDescent="0.3">
      <c r="A212" s="6" t="s">
        <v>22</v>
      </c>
      <c r="B212" s="17"/>
      <c r="C212" s="3">
        <v>1</v>
      </c>
      <c r="D212" s="3">
        <v>2</v>
      </c>
      <c r="E212" s="3">
        <v>3</v>
      </c>
      <c r="F212" s="3">
        <v>4</v>
      </c>
      <c r="G212" s="3" t="s">
        <v>26</v>
      </c>
    </row>
    <row r="213" spans="1:12" ht="33" x14ac:dyDescent="0.3">
      <c r="A213" s="6" t="s">
        <v>23</v>
      </c>
      <c r="B213" s="17">
        <v>0</v>
      </c>
      <c r="C213" s="7">
        <v>14678</v>
      </c>
      <c r="D213" s="7">
        <v>13811</v>
      </c>
      <c r="E213" s="7">
        <v>12984</v>
      </c>
      <c r="F213" s="7">
        <v>12437</v>
      </c>
      <c r="G213" s="7">
        <v>53910</v>
      </c>
      <c r="I213" t="str">
        <f>TEXT(C213,"#,##0")&amp;" ("&amp;TEXT(C216,"0.00")&amp;")"</f>
        <v>14,678 (90.15)</v>
      </c>
      <c r="J213" t="str">
        <f t="shared" ref="J213" si="124">TEXT(D213,"#,##0")&amp;" ("&amp;TEXT(D216,"0.00")&amp;")"</f>
        <v>13,811 (82.17)</v>
      </c>
      <c r="K213" t="str">
        <f t="shared" ref="K213" si="125">TEXT(E213,"#,##0")&amp;" ("&amp;TEXT(E216,"0.00")&amp;")"</f>
        <v>12,984 (74.53)</v>
      </c>
      <c r="L213" t="str">
        <f t="shared" ref="L213" si="126">TEXT(F213,"#,##0")&amp;" ("&amp;TEXT(F216,"0.00")&amp;")"</f>
        <v>12,437 (68.62)</v>
      </c>
    </row>
    <row r="214" spans="1:12" x14ac:dyDescent="0.3">
      <c r="A214" s="2"/>
      <c r="B214" s="17"/>
      <c r="C214" s="7">
        <v>21.39</v>
      </c>
      <c r="D214" s="7">
        <v>20.12</v>
      </c>
      <c r="E214" s="7">
        <v>18.920000000000002</v>
      </c>
      <c r="F214" s="7">
        <v>18.12</v>
      </c>
      <c r="G214" s="7">
        <v>78.55</v>
      </c>
      <c r="I214" t="str">
        <f>TEXT(C217,"#,##0")&amp;" ("&amp;TEXT(C220,"0.00")&amp;")"</f>
        <v>1,603 (9.85)</v>
      </c>
      <c r="J214" t="str">
        <f t="shared" ref="J214" si="127">TEXT(D217,"#,##0")&amp;" ("&amp;TEXT(D220,"0.00")&amp;")"</f>
        <v>2,996 (17.83)</v>
      </c>
      <c r="K214" t="str">
        <f t="shared" ref="K214" si="128">TEXT(E217,"#,##0")&amp;" ("&amp;TEXT(E220,"0.00")&amp;")"</f>
        <v>4,438 (25.47)</v>
      </c>
      <c r="L214" t="str">
        <f t="shared" ref="L214" si="129">TEXT(F217,"#,##0")&amp;" ("&amp;TEXT(F220,"0.00")&amp;")"</f>
        <v>5,688 (31.38)</v>
      </c>
    </row>
    <row r="215" spans="1:12" x14ac:dyDescent="0.3">
      <c r="A215" s="2"/>
      <c r="B215" s="17"/>
      <c r="C215" s="7">
        <v>27.23</v>
      </c>
      <c r="D215" s="7">
        <v>25.62</v>
      </c>
      <c r="E215" s="7">
        <v>24.08</v>
      </c>
      <c r="F215" s="7">
        <v>23.07</v>
      </c>
      <c r="G215" s="7"/>
      <c r="I215" t="str">
        <f>TEXT(C221,"#,##0")&amp;" ("&amp;TEXT(C224,"0.00")&amp;")"</f>
        <v>16,281 (0.00)</v>
      </c>
      <c r="J215" t="str">
        <f t="shared" ref="J215" si="130">TEXT(D221,"#,##0")&amp;" ("&amp;TEXT(D224,"0.00")&amp;")"</f>
        <v>16,807 (0.00)</v>
      </c>
      <c r="K215" t="str">
        <f t="shared" ref="K215" si="131">TEXT(E221,"#,##0")&amp;" ("&amp;TEXT(E224,"0.00")&amp;")"</f>
        <v>17,422 (0.00)</v>
      </c>
      <c r="L215" t="str">
        <f t="shared" ref="L215" si="132">TEXT(F221,"#,##0")&amp;" ("&amp;TEXT(F224,"0.00")&amp;")"</f>
        <v>18,125 (0.00)</v>
      </c>
    </row>
    <row r="216" spans="1:12" x14ac:dyDescent="0.3">
      <c r="A216" s="2"/>
      <c r="B216" s="17"/>
      <c r="C216" s="7">
        <v>90.15</v>
      </c>
      <c r="D216" s="7">
        <v>82.17</v>
      </c>
      <c r="E216" s="7">
        <v>74.53</v>
      </c>
      <c r="F216" s="7">
        <v>68.62</v>
      </c>
      <c r="G216" s="7"/>
      <c r="I216" t="str">
        <f>TEXT(C225,"#,##0")&amp;" ("&amp;TEXT(C228,"0.00")&amp;")"</f>
        <v>0 (15258.00)</v>
      </c>
      <c r="J216" t="str">
        <f t="shared" ref="J216" si="133">TEXT(D225,"#,##0")&amp;" ("&amp;TEXT(D228,"0.00")&amp;")"</f>
        <v>0 (14719.00)</v>
      </c>
      <c r="K216" t="str">
        <f t="shared" ref="K216" si="134">TEXT(E225,"#,##0")&amp;" ("&amp;TEXT(E228,"0.00")&amp;")"</f>
        <v>0 (14331.00)</v>
      </c>
      <c r="L216" t="str">
        <f t="shared" ref="L216" si="135">TEXT(F225,"#,##0")&amp;" ("&amp;TEXT(F228,"0.00")&amp;")"</f>
        <v>0 (14159.00)</v>
      </c>
    </row>
    <row r="217" spans="1:12" x14ac:dyDescent="0.3">
      <c r="A217" s="2"/>
      <c r="B217" s="17">
        <v>1</v>
      </c>
      <c r="C217" s="7">
        <v>1603</v>
      </c>
      <c r="D217" s="7">
        <v>2996</v>
      </c>
      <c r="E217" s="7">
        <v>4438</v>
      </c>
      <c r="F217" s="7">
        <v>5688</v>
      </c>
      <c r="G217" s="7">
        <v>14725</v>
      </c>
    </row>
    <row r="218" spans="1:12" x14ac:dyDescent="0.3">
      <c r="A218" s="2"/>
      <c r="B218" s="17"/>
      <c r="C218" s="7">
        <v>2.34</v>
      </c>
      <c r="D218" s="7">
        <v>4.37</v>
      </c>
      <c r="E218" s="7">
        <v>6.47</v>
      </c>
      <c r="F218" s="7">
        <v>8.2899999999999991</v>
      </c>
      <c r="G218" s="7">
        <v>21.45</v>
      </c>
    </row>
    <row r="219" spans="1:12" x14ac:dyDescent="0.3">
      <c r="A219" s="2"/>
      <c r="B219" s="17"/>
      <c r="C219" s="7">
        <v>10.89</v>
      </c>
      <c r="D219" s="7">
        <v>20.350000000000001</v>
      </c>
      <c r="E219" s="7">
        <v>30.14</v>
      </c>
      <c r="F219" s="7">
        <v>38.630000000000003</v>
      </c>
      <c r="G219" s="7"/>
    </row>
    <row r="220" spans="1:12" x14ac:dyDescent="0.3">
      <c r="A220" s="2"/>
      <c r="B220" s="17"/>
      <c r="C220" s="7">
        <v>9.85</v>
      </c>
      <c r="D220" s="7">
        <v>17.829999999999998</v>
      </c>
      <c r="E220" s="7">
        <v>25.47</v>
      </c>
      <c r="F220" s="7">
        <v>31.38</v>
      </c>
      <c r="G220" s="7"/>
    </row>
    <row r="221" spans="1:12" x14ac:dyDescent="0.3">
      <c r="A221" s="2"/>
      <c r="B221" s="17" t="s">
        <v>26</v>
      </c>
      <c r="C221" s="7">
        <v>16281</v>
      </c>
      <c r="D221" s="7">
        <v>16807</v>
      </c>
      <c r="E221" s="7">
        <v>17422</v>
      </c>
      <c r="F221" s="7">
        <v>18125</v>
      </c>
      <c r="G221" s="7">
        <v>68635</v>
      </c>
    </row>
    <row r="222" spans="1:12" x14ac:dyDescent="0.3">
      <c r="A222" s="2"/>
      <c r="B222" s="17"/>
      <c r="C222" s="7">
        <v>23.72</v>
      </c>
      <c r="D222" s="7">
        <v>24.49</v>
      </c>
      <c r="E222" s="7">
        <v>25.38</v>
      </c>
      <c r="F222" s="7">
        <v>26.41</v>
      </c>
      <c r="G222" s="7">
        <v>100</v>
      </c>
    </row>
    <row r="223" spans="1:12" x14ac:dyDescent="0.3">
      <c r="A223" s="2"/>
      <c r="B223" s="20"/>
      <c r="C223" s="20"/>
      <c r="D223" s="20"/>
      <c r="E223" s="20"/>
      <c r="F223" s="20"/>
      <c r="G223" s="20"/>
    </row>
    <row r="224" spans="1:12" ht="17.25" thickBot="1" x14ac:dyDescent="0.35"/>
    <row r="225" spans="1:12" ht="16.5" customHeight="1" x14ac:dyDescent="0.3">
      <c r="A225" s="4" t="s">
        <v>3</v>
      </c>
      <c r="B225" s="16" t="s">
        <v>38</v>
      </c>
      <c r="C225" s="18"/>
      <c r="D225" s="18"/>
      <c r="E225" s="18"/>
      <c r="F225" s="18"/>
      <c r="G225" s="18"/>
    </row>
    <row r="226" spans="1:12" ht="16.5" customHeight="1" x14ac:dyDescent="0.3">
      <c r="A226" s="6" t="s">
        <v>4</v>
      </c>
      <c r="B226" s="17" t="s">
        <v>17</v>
      </c>
      <c r="C226" s="19" t="s">
        <v>25</v>
      </c>
      <c r="D226" s="19"/>
      <c r="E226" s="19"/>
      <c r="F226" s="19"/>
      <c r="G226" s="19"/>
    </row>
    <row r="227" spans="1:12" x14ac:dyDescent="0.3">
      <c r="A227" s="6" t="s">
        <v>22</v>
      </c>
      <c r="B227" s="17"/>
      <c r="C227" s="3">
        <v>1</v>
      </c>
      <c r="D227" s="3">
        <v>2</v>
      </c>
      <c r="E227" s="3">
        <v>3</v>
      </c>
      <c r="F227" s="3">
        <v>4</v>
      </c>
      <c r="G227" s="3" t="s">
        <v>26</v>
      </c>
    </row>
    <row r="228" spans="1:12" ht="33" x14ac:dyDescent="0.3">
      <c r="A228" s="6" t="s">
        <v>23</v>
      </c>
      <c r="B228" s="17">
        <v>0</v>
      </c>
      <c r="C228" s="7">
        <v>15258</v>
      </c>
      <c r="D228" s="7">
        <v>14719</v>
      </c>
      <c r="E228" s="7">
        <v>14331</v>
      </c>
      <c r="F228" s="7">
        <v>14159</v>
      </c>
      <c r="G228" s="7">
        <v>58467</v>
      </c>
      <c r="I228" t="str">
        <f>TEXT(C228,"#,##0")&amp;" ("&amp;TEXT(C231,"0.00")&amp;")"</f>
        <v>15,258 (93.72)</v>
      </c>
      <c r="J228" t="str">
        <f t="shared" ref="J228" si="136">TEXT(D228,"#,##0")&amp;" ("&amp;TEXT(D231,"0.00")&amp;")"</f>
        <v>14,719 (87.58)</v>
      </c>
      <c r="K228" t="str">
        <f t="shared" ref="K228" si="137">TEXT(E228,"#,##0")&amp;" ("&amp;TEXT(E231,"0.00")&amp;")"</f>
        <v>14,331 (82.26)</v>
      </c>
      <c r="L228" t="str">
        <f t="shared" ref="L228" si="138">TEXT(F228,"#,##0")&amp;" ("&amp;TEXT(F231,"0.00")&amp;")"</f>
        <v>14,159 (78.12)</v>
      </c>
    </row>
    <row r="229" spans="1:12" x14ac:dyDescent="0.3">
      <c r="A229" s="2"/>
      <c r="B229" s="17"/>
      <c r="C229" s="7">
        <v>22.23</v>
      </c>
      <c r="D229" s="7">
        <v>21.45</v>
      </c>
      <c r="E229" s="7">
        <v>20.88</v>
      </c>
      <c r="F229" s="7">
        <v>20.63</v>
      </c>
      <c r="G229" s="7">
        <v>85.19</v>
      </c>
      <c r="I229" t="str">
        <f>TEXT(C232,"#,##0")&amp;" ("&amp;TEXT(C235,"0.00")&amp;")"</f>
        <v>1,023 (6.28)</v>
      </c>
      <c r="J229" t="str">
        <f t="shared" ref="J229" si="139">TEXT(D232,"#,##0")&amp;" ("&amp;TEXT(D235,"0.00")&amp;")"</f>
        <v>2,088 (12.42)</v>
      </c>
      <c r="K229" t="str">
        <f t="shared" ref="K229" si="140">TEXT(E232,"#,##0")&amp;" ("&amp;TEXT(E235,"0.00")&amp;")"</f>
        <v>3,091 (17.74)</v>
      </c>
      <c r="L229" t="str">
        <f t="shared" ref="L229" si="141">TEXT(F232,"#,##0")&amp;" ("&amp;TEXT(F235,"0.00")&amp;")"</f>
        <v>3,966 (21.88)</v>
      </c>
    </row>
    <row r="230" spans="1:12" x14ac:dyDescent="0.3">
      <c r="A230" s="2"/>
      <c r="B230" s="17"/>
      <c r="C230" s="7">
        <v>26.1</v>
      </c>
      <c r="D230" s="7">
        <v>25.17</v>
      </c>
      <c r="E230" s="7">
        <v>24.51</v>
      </c>
      <c r="F230" s="7">
        <v>24.22</v>
      </c>
      <c r="G230" s="7"/>
      <c r="I230" t="str">
        <f>TEXT(C236,"#,##0")&amp;" ("&amp;TEXT(C239,"0.00")&amp;")"</f>
        <v>16,281 (0.00)</v>
      </c>
      <c r="J230" t="str">
        <f t="shared" ref="J230" si="142">TEXT(D236,"#,##0")&amp;" ("&amp;TEXT(D239,"0.00")&amp;")"</f>
        <v>16,807 (0.00)</v>
      </c>
      <c r="K230" t="str">
        <f t="shared" ref="K230" si="143">TEXT(E236,"#,##0")&amp;" ("&amp;TEXT(E239,"0.00")&amp;")"</f>
        <v>17,422 (0.00)</v>
      </c>
      <c r="L230" t="str">
        <f t="shared" ref="L230" si="144">TEXT(F236,"#,##0")&amp;" ("&amp;TEXT(F239,"0.00")&amp;")"</f>
        <v>18,125 (0.00)</v>
      </c>
    </row>
    <row r="231" spans="1:12" x14ac:dyDescent="0.3">
      <c r="A231" s="2"/>
      <c r="B231" s="17"/>
      <c r="C231" s="7">
        <v>93.72</v>
      </c>
      <c r="D231" s="7">
        <v>87.58</v>
      </c>
      <c r="E231" s="7">
        <v>82.26</v>
      </c>
      <c r="F231" s="7">
        <v>78.12</v>
      </c>
      <c r="G231" s="7"/>
      <c r="I231" t="str">
        <f>TEXT(C240,"#,##0")&amp;" ("&amp;TEXT(C243,"0.00")&amp;")"</f>
        <v>0 (16134.00)</v>
      </c>
      <c r="J231" t="str">
        <f t="shared" ref="J231" si="145">TEXT(D240,"#,##0")&amp;" ("&amp;TEXT(D243,"0.00")&amp;")"</f>
        <v>0 (16521.00)</v>
      </c>
      <c r="K231" t="str">
        <f t="shared" ref="K231" si="146">TEXT(E240,"#,##0")&amp;" ("&amp;TEXT(E243,"0.00")&amp;")"</f>
        <v>0 (17026.00)</v>
      </c>
      <c r="L231" t="str">
        <f t="shared" ref="L231" si="147">TEXT(F240,"#,##0")&amp;" ("&amp;TEXT(F243,"0.00")&amp;")"</f>
        <v>0 (17663.00)</v>
      </c>
    </row>
    <row r="232" spans="1:12" x14ac:dyDescent="0.3">
      <c r="A232" s="2"/>
      <c r="B232" s="17">
        <v>1</v>
      </c>
      <c r="C232" s="7">
        <v>1023</v>
      </c>
      <c r="D232" s="7">
        <v>2088</v>
      </c>
      <c r="E232" s="7">
        <v>3091</v>
      </c>
      <c r="F232" s="7">
        <v>3966</v>
      </c>
      <c r="G232" s="7">
        <v>10168</v>
      </c>
    </row>
    <row r="233" spans="1:12" x14ac:dyDescent="0.3">
      <c r="A233" s="2"/>
      <c r="B233" s="17"/>
      <c r="C233" s="7">
        <v>1.49</v>
      </c>
      <c r="D233" s="7">
        <v>3.04</v>
      </c>
      <c r="E233" s="7">
        <v>4.5</v>
      </c>
      <c r="F233" s="7">
        <v>5.78</v>
      </c>
      <c r="G233" s="7">
        <v>14.81</v>
      </c>
    </row>
    <row r="234" spans="1:12" x14ac:dyDescent="0.3">
      <c r="A234" s="2"/>
      <c r="B234" s="17"/>
      <c r="C234" s="7">
        <v>10.06</v>
      </c>
      <c r="D234" s="7">
        <v>20.54</v>
      </c>
      <c r="E234" s="7">
        <v>30.4</v>
      </c>
      <c r="F234" s="7">
        <v>39</v>
      </c>
      <c r="G234" s="7"/>
    </row>
    <row r="235" spans="1:12" x14ac:dyDescent="0.3">
      <c r="A235" s="2"/>
      <c r="B235" s="17"/>
      <c r="C235" s="7">
        <v>6.28</v>
      </c>
      <c r="D235" s="7">
        <v>12.42</v>
      </c>
      <c r="E235" s="7">
        <v>17.739999999999998</v>
      </c>
      <c r="F235" s="7">
        <v>21.88</v>
      </c>
      <c r="G235" s="7"/>
    </row>
    <row r="236" spans="1:12" x14ac:dyDescent="0.3">
      <c r="A236" s="2"/>
      <c r="B236" s="17" t="s">
        <v>26</v>
      </c>
      <c r="C236" s="7">
        <v>16281</v>
      </c>
      <c r="D236" s="7">
        <v>16807</v>
      </c>
      <c r="E236" s="7">
        <v>17422</v>
      </c>
      <c r="F236" s="7">
        <v>18125</v>
      </c>
      <c r="G236" s="7">
        <v>68635</v>
      </c>
    </row>
    <row r="237" spans="1:12" x14ac:dyDescent="0.3">
      <c r="A237" s="2"/>
      <c r="B237" s="17"/>
      <c r="C237" s="7">
        <v>23.72</v>
      </c>
      <c r="D237" s="7">
        <v>24.49</v>
      </c>
      <c r="E237" s="7">
        <v>25.38</v>
      </c>
      <c r="F237" s="7">
        <v>26.41</v>
      </c>
      <c r="G237" s="7">
        <v>100</v>
      </c>
    </row>
    <row r="238" spans="1:12" x14ac:dyDescent="0.3">
      <c r="A238" s="2"/>
      <c r="B238" s="20"/>
      <c r="C238" s="20"/>
      <c r="D238" s="20"/>
      <c r="E238" s="20"/>
      <c r="F238" s="20"/>
      <c r="G238" s="20"/>
    </row>
    <row r="239" spans="1:12" ht="17.25" thickBot="1" x14ac:dyDescent="0.35"/>
    <row r="240" spans="1:12" ht="16.5" customHeight="1" x14ac:dyDescent="0.3">
      <c r="A240" s="4" t="s">
        <v>3</v>
      </c>
      <c r="B240" s="16" t="s">
        <v>39</v>
      </c>
      <c r="C240" s="18"/>
      <c r="D240" s="18"/>
      <c r="E240" s="18"/>
      <c r="F240" s="18"/>
      <c r="G240" s="18"/>
    </row>
    <row r="241" spans="1:12" ht="16.5" customHeight="1" x14ac:dyDescent="0.3">
      <c r="A241" s="6" t="s">
        <v>4</v>
      </c>
      <c r="B241" s="17" t="s">
        <v>18</v>
      </c>
      <c r="C241" s="19" t="s">
        <v>25</v>
      </c>
      <c r="D241" s="19"/>
      <c r="E241" s="19"/>
      <c r="F241" s="19"/>
      <c r="G241" s="19"/>
    </row>
    <row r="242" spans="1:12" x14ac:dyDescent="0.3">
      <c r="A242" s="6" t="s">
        <v>22</v>
      </c>
      <c r="B242" s="17"/>
      <c r="C242" s="3">
        <v>1</v>
      </c>
      <c r="D242" s="3">
        <v>2</v>
      </c>
      <c r="E242" s="3">
        <v>3</v>
      </c>
      <c r="F242" s="3">
        <v>4</v>
      </c>
      <c r="G242" s="3" t="s">
        <v>26</v>
      </c>
    </row>
    <row r="243" spans="1:12" ht="33" x14ac:dyDescent="0.3">
      <c r="A243" s="6" t="s">
        <v>23</v>
      </c>
      <c r="B243" s="17">
        <v>0</v>
      </c>
      <c r="C243" s="7">
        <v>16134</v>
      </c>
      <c r="D243" s="7">
        <v>16521</v>
      </c>
      <c r="E243" s="7">
        <v>17026</v>
      </c>
      <c r="F243" s="7">
        <v>17663</v>
      </c>
      <c r="G243" s="7">
        <v>67344</v>
      </c>
      <c r="I243" t="str">
        <f>TEXT(C243,"#,##0")&amp;" ("&amp;TEXT(C246,"0.00")&amp;")"</f>
        <v>16,134 (99.10)</v>
      </c>
      <c r="J243" t="str">
        <f t="shared" ref="J243" si="148">TEXT(D243,"#,##0")&amp;" ("&amp;TEXT(D246,"0.00")&amp;")"</f>
        <v>16,521 (98.30)</v>
      </c>
      <c r="K243" t="str">
        <f t="shared" ref="K243" si="149">TEXT(E243,"#,##0")&amp;" ("&amp;TEXT(E246,"0.00")&amp;")"</f>
        <v>17,026 (97.73)</v>
      </c>
      <c r="L243" t="str">
        <f t="shared" ref="L243" si="150">TEXT(F243,"#,##0")&amp;" ("&amp;TEXT(F246,"0.00")&amp;")"</f>
        <v>17,663 (97.45)</v>
      </c>
    </row>
    <row r="244" spans="1:12" x14ac:dyDescent="0.3">
      <c r="A244" s="2"/>
      <c r="B244" s="17"/>
      <c r="C244" s="7">
        <v>23.51</v>
      </c>
      <c r="D244" s="7">
        <v>24.07</v>
      </c>
      <c r="E244" s="7">
        <v>24.81</v>
      </c>
      <c r="F244" s="7">
        <v>25.73</v>
      </c>
      <c r="G244" s="7">
        <v>98.12</v>
      </c>
      <c r="I244" t="str">
        <f>TEXT(C247,"#,##0")&amp;" ("&amp;TEXT(C250,"0.00")&amp;")"</f>
        <v>147 (0.90)</v>
      </c>
      <c r="J244" t="str">
        <f t="shared" ref="J244" si="151">TEXT(D247,"#,##0")&amp;" ("&amp;TEXT(D250,"0.00")&amp;")"</f>
        <v>286 (1.70)</v>
      </c>
      <c r="K244" t="str">
        <f t="shared" ref="K244" si="152">TEXT(E247,"#,##0")&amp;" ("&amp;TEXT(E250,"0.00")&amp;")"</f>
        <v>396 (2.27)</v>
      </c>
      <c r="L244" t="str">
        <f t="shared" ref="L244" si="153">TEXT(F247,"#,##0")&amp;" ("&amp;TEXT(F250,"0.00")&amp;")"</f>
        <v>462 (2.55)</v>
      </c>
    </row>
    <row r="245" spans="1:12" x14ac:dyDescent="0.3">
      <c r="A245" s="2"/>
      <c r="B245" s="17"/>
      <c r="C245" s="7">
        <v>23.96</v>
      </c>
      <c r="D245" s="7">
        <v>24.53</v>
      </c>
      <c r="E245" s="7">
        <v>25.28</v>
      </c>
      <c r="F245" s="7">
        <v>26.23</v>
      </c>
      <c r="G245" s="7"/>
      <c r="I245" t="str">
        <f>TEXT(C251,"#,##0")&amp;" ("&amp;TEXT(C254,"0.00")&amp;")"</f>
        <v>16,281 (0.00)</v>
      </c>
      <c r="J245" t="str">
        <f t="shared" ref="J245" si="154">TEXT(D251,"#,##0")&amp;" ("&amp;TEXT(D254,"0.00")&amp;")"</f>
        <v>16,807 (0.00)</v>
      </c>
      <c r="K245" t="str">
        <f t="shared" ref="K245" si="155">TEXT(E251,"#,##0")&amp;" ("&amp;TEXT(E254,"0.00")&amp;")"</f>
        <v>17,422 (0.00)</v>
      </c>
      <c r="L245" t="str">
        <f t="shared" ref="L245" si="156">TEXT(F251,"#,##0")&amp;" ("&amp;TEXT(F254,"0.00")&amp;")"</f>
        <v>18,125 (0.00)</v>
      </c>
    </row>
    <row r="246" spans="1:12" x14ac:dyDescent="0.3">
      <c r="A246" s="2"/>
      <c r="B246" s="17"/>
      <c r="C246" s="7">
        <v>99.1</v>
      </c>
      <c r="D246" s="7">
        <v>98.3</v>
      </c>
      <c r="E246" s="7">
        <v>97.73</v>
      </c>
      <c r="F246" s="7">
        <v>97.45</v>
      </c>
      <c r="G246" s="7"/>
      <c r="I246" t="str">
        <f>TEXT(C255,"#,##0")&amp;" ("&amp;TEXT(C258,"0.00")&amp;")"</f>
        <v>0 (16197.00)</v>
      </c>
      <c r="J246" t="str">
        <f t="shared" ref="J246" si="157">TEXT(D255,"#,##0")&amp;" ("&amp;TEXT(D258,"0.00")&amp;")"</f>
        <v>0 (16657.00)</v>
      </c>
      <c r="K246" t="str">
        <f t="shared" ref="K246" si="158">TEXT(E255,"#,##0")&amp;" ("&amp;TEXT(E258,"0.00")&amp;")"</f>
        <v>0 (17238.00)</v>
      </c>
      <c r="L246" t="str">
        <f t="shared" ref="L246" si="159">TEXT(F255,"#,##0")&amp;" ("&amp;TEXT(F258,"0.00")&amp;")"</f>
        <v>0 (17906.00)</v>
      </c>
    </row>
    <row r="247" spans="1:12" x14ac:dyDescent="0.3">
      <c r="A247" s="2"/>
      <c r="B247" s="17">
        <v>1</v>
      </c>
      <c r="C247" s="7">
        <v>147</v>
      </c>
      <c r="D247" s="7">
        <v>286</v>
      </c>
      <c r="E247" s="7">
        <v>396</v>
      </c>
      <c r="F247" s="7">
        <v>462</v>
      </c>
      <c r="G247" s="7">
        <v>1291</v>
      </c>
    </row>
    <row r="248" spans="1:12" x14ac:dyDescent="0.3">
      <c r="A248" s="2"/>
      <c r="B248" s="17"/>
      <c r="C248" s="7">
        <v>0.21</v>
      </c>
      <c r="D248" s="7">
        <v>0.42</v>
      </c>
      <c r="E248" s="7">
        <v>0.57999999999999996</v>
      </c>
      <c r="F248" s="7">
        <v>0.67</v>
      </c>
      <c r="G248" s="7">
        <v>1.88</v>
      </c>
    </row>
    <row r="249" spans="1:12" x14ac:dyDescent="0.3">
      <c r="A249" s="2"/>
      <c r="B249" s="17"/>
      <c r="C249" s="7">
        <v>11.39</v>
      </c>
      <c r="D249" s="7">
        <v>22.15</v>
      </c>
      <c r="E249" s="7">
        <v>30.67</v>
      </c>
      <c r="F249" s="7">
        <v>35.79</v>
      </c>
      <c r="G249" s="7"/>
    </row>
    <row r="250" spans="1:12" x14ac:dyDescent="0.3">
      <c r="A250" s="2"/>
      <c r="B250" s="17"/>
      <c r="C250" s="7">
        <v>0.9</v>
      </c>
      <c r="D250" s="7">
        <v>1.7</v>
      </c>
      <c r="E250" s="7">
        <v>2.27</v>
      </c>
      <c r="F250" s="7">
        <v>2.5499999999999998</v>
      </c>
      <c r="G250" s="7"/>
    </row>
    <row r="251" spans="1:12" x14ac:dyDescent="0.3">
      <c r="A251" s="2"/>
      <c r="B251" s="17" t="s">
        <v>26</v>
      </c>
      <c r="C251" s="7">
        <v>16281</v>
      </c>
      <c r="D251" s="7">
        <v>16807</v>
      </c>
      <c r="E251" s="7">
        <v>17422</v>
      </c>
      <c r="F251" s="7">
        <v>18125</v>
      </c>
      <c r="G251" s="7">
        <v>68635</v>
      </c>
    </row>
    <row r="252" spans="1:12" x14ac:dyDescent="0.3">
      <c r="A252" s="2"/>
      <c r="B252" s="17"/>
      <c r="C252" s="7">
        <v>23.72</v>
      </c>
      <c r="D252" s="7">
        <v>24.49</v>
      </c>
      <c r="E252" s="7">
        <v>25.38</v>
      </c>
      <c r="F252" s="7">
        <v>26.41</v>
      </c>
      <c r="G252" s="7">
        <v>100</v>
      </c>
    </row>
    <row r="253" spans="1:12" x14ac:dyDescent="0.3">
      <c r="A253" s="2"/>
      <c r="B253" s="20"/>
      <c r="C253" s="20"/>
      <c r="D253" s="20"/>
      <c r="E253" s="20"/>
      <c r="F253" s="20"/>
      <c r="G253" s="20"/>
    </row>
    <row r="254" spans="1:12" ht="17.25" thickBot="1" x14ac:dyDescent="0.35"/>
    <row r="255" spans="1:12" ht="16.5" customHeight="1" x14ac:dyDescent="0.3">
      <c r="A255" s="4" t="s">
        <v>3</v>
      </c>
      <c r="B255" s="16" t="s">
        <v>40</v>
      </c>
      <c r="C255" s="18"/>
      <c r="D255" s="18"/>
      <c r="E255" s="18"/>
      <c r="F255" s="18"/>
      <c r="G255" s="18"/>
    </row>
    <row r="256" spans="1:12" ht="16.5" customHeight="1" x14ac:dyDescent="0.3">
      <c r="A256" s="6" t="s">
        <v>4</v>
      </c>
      <c r="B256" s="17" t="s">
        <v>19</v>
      </c>
      <c r="C256" s="19" t="s">
        <v>25</v>
      </c>
      <c r="D256" s="19"/>
      <c r="E256" s="19"/>
      <c r="F256" s="19"/>
      <c r="G256" s="19"/>
    </row>
    <row r="257" spans="1:12" x14ac:dyDescent="0.3">
      <c r="A257" s="6" t="s">
        <v>22</v>
      </c>
      <c r="B257" s="17"/>
      <c r="C257" s="3">
        <v>1</v>
      </c>
      <c r="D257" s="3">
        <v>2</v>
      </c>
      <c r="E257" s="3">
        <v>3</v>
      </c>
      <c r="F257" s="3">
        <v>4</v>
      </c>
      <c r="G257" s="3" t="s">
        <v>26</v>
      </c>
    </row>
    <row r="258" spans="1:12" ht="33" x14ac:dyDescent="0.3">
      <c r="A258" s="6" t="s">
        <v>23</v>
      </c>
      <c r="B258" s="17">
        <v>0</v>
      </c>
      <c r="C258" s="7">
        <v>16197</v>
      </c>
      <c r="D258" s="7">
        <v>16657</v>
      </c>
      <c r="E258" s="7">
        <v>17238</v>
      </c>
      <c r="F258" s="7">
        <v>17906</v>
      </c>
      <c r="G258" s="7">
        <v>67998</v>
      </c>
      <c r="I258" t="str">
        <f>TEXT(C258,"#,##0")&amp;" ("&amp;TEXT(C261,"0.00")&amp;")"</f>
        <v>16,197 (99.48)</v>
      </c>
      <c r="J258" t="str">
        <f t="shared" ref="J258" si="160">TEXT(D258,"#,##0")&amp;" ("&amp;TEXT(D261,"0.00")&amp;")"</f>
        <v>16,657 (99.11)</v>
      </c>
      <c r="K258" t="str">
        <f t="shared" ref="K258" si="161">TEXT(E258,"#,##0")&amp;" ("&amp;TEXT(E261,"0.00")&amp;")"</f>
        <v>17,238 (98.94)</v>
      </c>
      <c r="L258" t="str">
        <f t="shared" ref="L258" si="162">TEXT(F258,"#,##0")&amp;" ("&amp;TEXT(F261,"0.00")&amp;")"</f>
        <v>17,906 (98.79)</v>
      </c>
    </row>
    <row r="259" spans="1:12" x14ac:dyDescent="0.3">
      <c r="A259" s="2"/>
      <c r="B259" s="17"/>
      <c r="C259" s="7">
        <v>23.6</v>
      </c>
      <c r="D259" s="7">
        <v>24.27</v>
      </c>
      <c r="E259" s="7">
        <v>25.12</v>
      </c>
      <c r="F259" s="7">
        <v>26.09</v>
      </c>
      <c r="G259" s="7">
        <v>99.07</v>
      </c>
      <c r="I259" t="str">
        <f>TEXT(C262,"#,##0")&amp;" ("&amp;TEXT(C265,"0.00")&amp;")"</f>
        <v>84 (0.52)</v>
      </c>
      <c r="J259" t="str">
        <f t="shared" ref="J259" si="163">TEXT(D262,"#,##0")&amp;" ("&amp;TEXT(D265,"0.00")&amp;")"</f>
        <v>150 (0.89)</v>
      </c>
      <c r="K259" t="str">
        <f t="shared" ref="K259" si="164">TEXT(E262,"#,##0")&amp;" ("&amp;TEXT(E265,"0.00")&amp;")"</f>
        <v>184 (1.06)</v>
      </c>
      <c r="L259" t="str">
        <f t="shared" ref="L259" si="165">TEXT(F262,"#,##0")&amp;" ("&amp;TEXT(F265,"0.00")&amp;")"</f>
        <v>219 (1.21)</v>
      </c>
    </row>
    <row r="260" spans="1:12" x14ac:dyDescent="0.3">
      <c r="A260" s="2"/>
      <c r="B260" s="17"/>
      <c r="C260" s="7">
        <v>23.82</v>
      </c>
      <c r="D260" s="7">
        <v>24.5</v>
      </c>
      <c r="E260" s="7">
        <v>25.35</v>
      </c>
      <c r="F260" s="7">
        <v>26.33</v>
      </c>
      <c r="G260" s="7"/>
      <c r="I260" t="str">
        <f>TEXT(C266,"#,##0")&amp;" ("&amp;TEXT(C269,"0.00")&amp;")"</f>
        <v>16,281 (0.00)</v>
      </c>
      <c r="J260" t="str">
        <f t="shared" ref="J260" si="166">TEXT(D266,"#,##0")&amp;" ("&amp;TEXT(D269,"0.00")&amp;")"</f>
        <v>16,807 (0.00)</v>
      </c>
      <c r="K260" t="str">
        <f t="shared" ref="K260" si="167">TEXT(E266,"#,##0")&amp;" ("&amp;TEXT(E269,"0.00")&amp;")"</f>
        <v>17,422 (0.00)</v>
      </c>
      <c r="L260" t="str">
        <f t="shared" ref="L260" si="168">TEXT(F266,"#,##0")&amp;" ("&amp;TEXT(F269,"0.00")&amp;")"</f>
        <v>18,125 (0.00)</v>
      </c>
    </row>
    <row r="261" spans="1:12" x14ac:dyDescent="0.3">
      <c r="A261" s="2"/>
      <c r="B261" s="17"/>
      <c r="C261" s="7">
        <v>99.48</v>
      </c>
      <c r="D261" s="7">
        <v>99.11</v>
      </c>
      <c r="E261" s="7">
        <v>98.94</v>
      </c>
      <c r="F261" s="7">
        <v>98.79</v>
      </c>
      <c r="G261" s="7"/>
      <c r="I261" t="str">
        <f>TEXT(C270,"#,##0")&amp;" ("&amp;TEXT(C273,"0.00")&amp;")"</f>
        <v>0 (16110.00)</v>
      </c>
      <c r="J261" t="str">
        <f t="shared" ref="J261" si="169">TEXT(D270,"#,##0")&amp;" ("&amp;TEXT(D273,"0.00")&amp;")"</f>
        <v>0 (16520.00)</v>
      </c>
      <c r="K261" t="str">
        <f t="shared" ref="K261" si="170">TEXT(E270,"#,##0")&amp;" ("&amp;TEXT(E273,"0.00")&amp;")"</f>
        <v>0 (17061.00)</v>
      </c>
      <c r="L261" t="str">
        <f t="shared" ref="L261" si="171">TEXT(F270,"#,##0")&amp;" ("&amp;TEXT(F273,"0.00")&amp;")"</f>
        <v>0 (17743.00)</v>
      </c>
    </row>
    <row r="262" spans="1:12" x14ac:dyDescent="0.3">
      <c r="A262" s="2"/>
      <c r="B262" s="17">
        <v>1</v>
      </c>
      <c r="C262" s="7">
        <v>84</v>
      </c>
      <c r="D262" s="7">
        <v>150</v>
      </c>
      <c r="E262" s="7">
        <v>184</v>
      </c>
      <c r="F262" s="7">
        <v>219</v>
      </c>
      <c r="G262" s="7">
        <v>637</v>
      </c>
    </row>
    <row r="263" spans="1:12" x14ac:dyDescent="0.3">
      <c r="A263" s="2"/>
      <c r="B263" s="17"/>
      <c r="C263" s="7">
        <v>0.12</v>
      </c>
      <c r="D263" s="7">
        <v>0.22</v>
      </c>
      <c r="E263" s="7">
        <v>0.27</v>
      </c>
      <c r="F263" s="7">
        <v>0.32</v>
      </c>
      <c r="G263" s="7">
        <v>0.93</v>
      </c>
    </row>
    <row r="264" spans="1:12" x14ac:dyDescent="0.3">
      <c r="A264" s="2"/>
      <c r="B264" s="17"/>
      <c r="C264" s="7">
        <v>13.19</v>
      </c>
      <c r="D264" s="7">
        <v>23.55</v>
      </c>
      <c r="E264" s="7">
        <v>28.89</v>
      </c>
      <c r="F264" s="7">
        <v>34.380000000000003</v>
      </c>
      <c r="G264" s="7"/>
    </row>
    <row r="265" spans="1:12" x14ac:dyDescent="0.3">
      <c r="A265" s="2"/>
      <c r="B265" s="17"/>
      <c r="C265" s="7">
        <v>0.52</v>
      </c>
      <c r="D265" s="7">
        <v>0.89</v>
      </c>
      <c r="E265" s="7">
        <v>1.06</v>
      </c>
      <c r="F265" s="7">
        <v>1.21</v>
      </c>
      <c r="G265" s="7"/>
    </row>
    <row r="266" spans="1:12" x14ac:dyDescent="0.3">
      <c r="A266" s="2"/>
      <c r="B266" s="17" t="s">
        <v>26</v>
      </c>
      <c r="C266" s="7">
        <v>16281</v>
      </c>
      <c r="D266" s="7">
        <v>16807</v>
      </c>
      <c r="E266" s="7">
        <v>17422</v>
      </c>
      <c r="F266" s="7">
        <v>18125</v>
      </c>
      <c r="G266" s="7">
        <v>68635</v>
      </c>
    </row>
    <row r="267" spans="1:12" x14ac:dyDescent="0.3">
      <c r="A267" s="2"/>
      <c r="B267" s="17"/>
      <c r="C267" s="7">
        <v>23.72</v>
      </c>
      <c r="D267" s="7">
        <v>24.49</v>
      </c>
      <c r="E267" s="7">
        <v>25.38</v>
      </c>
      <c r="F267" s="7">
        <v>26.41</v>
      </c>
      <c r="G267" s="7">
        <v>100</v>
      </c>
    </row>
    <row r="268" spans="1:12" x14ac:dyDescent="0.3">
      <c r="A268" s="2"/>
      <c r="B268" s="20"/>
      <c r="C268" s="20"/>
      <c r="D268" s="20"/>
      <c r="E268" s="20"/>
      <c r="F268" s="20"/>
      <c r="G268" s="20"/>
    </row>
    <row r="269" spans="1:12" ht="17.25" thickBot="1" x14ac:dyDescent="0.35"/>
    <row r="270" spans="1:12" ht="16.5" customHeight="1" x14ac:dyDescent="0.3">
      <c r="A270" s="4" t="s">
        <v>3</v>
      </c>
      <c r="B270" s="16" t="s">
        <v>41</v>
      </c>
      <c r="C270" s="18"/>
      <c r="D270" s="18"/>
      <c r="E270" s="18"/>
      <c r="F270" s="18"/>
      <c r="G270" s="18"/>
    </row>
    <row r="271" spans="1:12" ht="16.5" customHeight="1" x14ac:dyDescent="0.3">
      <c r="A271" s="6" t="s">
        <v>4</v>
      </c>
      <c r="B271" s="17" t="s">
        <v>20</v>
      </c>
      <c r="C271" s="19" t="s">
        <v>25</v>
      </c>
      <c r="D271" s="19"/>
      <c r="E271" s="19"/>
      <c r="F271" s="19"/>
      <c r="G271" s="19"/>
    </row>
    <row r="272" spans="1:12" x14ac:dyDescent="0.3">
      <c r="A272" s="6" t="s">
        <v>22</v>
      </c>
      <c r="B272" s="17"/>
      <c r="C272" s="3">
        <v>1</v>
      </c>
      <c r="D272" s="3">
        <v>2</v>
      </c>
      <c r="E272" s="3">
        <v>3</v>
      </c>
      <c r="F272" s="3">
        <v>4</v>
      </c>
      <c r="G272" s="3" t="s">
        <v>26</v>
      </c>
    </row>
    <row r="273" spans="1:12" ht="33" x14ac:dyDescent="0.3">
      <c r="A273" s="6" t="s">
        <v>23</v>
      </c>
      <c r="B273" s="17">
        <v>0</v>
      </c>
      <c r="C273" s="7">
        <v>16110</v>
      </c>
      <c r="D273" s="7">
        <v>16520</v>
      </c>
      <c r="E273" s="7">
        <v>17061</v>
      </c>
      <c r="F273" s="7">
        <v>17743</v>
      </c>
      <c r="G273" s="7">
        <v>67434</v>
      </c>
      <c r="I273" t="str">
        <f>TEXT(C273,"#,##0")&amp;" ("&amp;TEXT(C276,"0.00")&amp;")"</f>
        <v>16,110 (98.95)</v>
      </c>
      <c r="J273" t="str">
        <f t="shared" ref="J273" si="172">TEXT(D273,"#,##0")&amp;" ("&amp;TEXT(D276,"0.00")&amp;")"</f>
        <v>16,520 (98.29)</v>
      </c>
      <c r="K273" t="str">
        <f t="shared" ref="K273" si="173">TEXT(E273,"#,##0")&amp;" ("&amp;TEXT(E276,"0.00")&amp;")"</f>
        <v>17,061 (97.93)</v>
      </c>
      <c r="L273" t="str">
        <f t="shared" ref="L273" si="174">TEXT(F273,"#,##0")&amp;" ("&amp;TEXT(F276,"0.00")&amp;")"</f>
        <v>17,743 (97.89)</v>
      </c>
    </row>
    <row r="274" spans="1:12" x14ac:dyDescent="0.3">
      <c r="A274" s="2"/>
      <c r="B274" s="17"/>
      <c r="C274" s="7">
        <v>23.47</v>
      </c>
      <c r="D274" s="7">
        <v>24.07</v>
      </c>
      <c r="E274" s="7">
        <v>24.86</v>
      </c>
      <c r="F274" s="7">
        <v>25.85</v>
      </c>
      <c r="G274" s="7">
        <v>98.25</v>
      </c>
      <c r="I274" t="str">
        <f>TEXT(C277,"#,##0")&amp;" ("&amp;TEXT(C280,"0.00")&amp;")"</f>
        <v>171 (1.05)</v>
      </c>
      <c r="J274" t="str">
        <f t="shared" ref="J274" si="175">TEXT(D277,"#,##0")&amp;" ("&amp;TEXT(D280,"0.00")&amp;")"</f>
        <v>287 (1.71)</v>
      </c>
      <c r="K274" t="str">
        <f t="shared" ref="K274" si="176">TEXT(E277,"#,##0")&amp;" ("&amp;TEXT(E280,"0.00")&amp;")"</f>
        <v>361 (2.07)</v>
      </c>
      <c r="L274" t="str">
        <f t="shared" ref="L274" si="177">TEXT(F277,"#,##0")&amp;" ("&amp;TEXT(F280,"0.00")&amp;")"</f>
        <v>382 (2.11)</v>
      </c>
    </row>
    <row r="275" spans="1:12" x14ac:dyDescent="0.3">
      <c r="A275" s="2"/>
      <c r="B275" s="17"/>
      <c r="C275" s="7">
        <v>23.89</v>
      </c>
      <c r="D275" s="7">
        <v>24.5</v>
      </c>
      <c r="E275" s="7">
        <v>25.3</v>
      </c>
      <c r="F275" s="7">
        <v>26.31</v>
      </c>
      <c r="G275" s="7"/>
      <c r="I275" t="str">
        <f>TEXT(C281,"#,##0")&amp;" ("&amp;TEXT(C284,"0.00")&amp;")"</f>
        <v>16,281 (0.00)</v>
      </c>
      <c r="J275" t="str">
        <f t="shared" ref="J275" si="178">TEXT(D281,"#,##0")&amp;" ("&amp;TEXT(D284,"0.00")&amp;")"</f>
        <v>16,807 (0.00)</v>
      </c>
      <c r="K275" t="str">
        <f t="shared" ref="K275" si="179">TEXT(E281,"#,##0")&amp;" ("&amp;TEXT(E284,"0.00")&amp;")"</f>
        <v>17,422 (0.00)</v>
      </c>
      <c r="L275" t="str">
        <f t="shared" ref="L275" si="180">TEXT(F281,"#,##0")&amp;" ("&amp;TEXT(F284,"0.00")&amp;")"</f>
        <v>18,125 (0.00)</v>
      </c>
    </row>
    <row r="276" spans="1:12" x14ac:dyDescent="0.3">
      <c r="A276" s="2"/>
      <c r="B276" s="17"/>
      <c r="C276" s="7">
        <v>98.95</v>
      </c>
      <c r="D276" s="7">
        <v>98.29</v>
      </c>
      <c r="E276" s="7">
        <v>97.93</v>
      </c>
      <c r="F276" s="7">
        <v>97.89</v>
      </c>
      <c r="G276" s="7"/>
      <c r="I276" t="str">
        <f>TEXT(C285,"#,##0")&amp;" ("&amp;TEXT(C288,"0.00")&amp;")"</f>
        <v>0 (0.00)</v>
      </c>
      <c r="J276" t="str">
        <f t="shared" ref="J276" si="181">TEXT(D285,"#,##0")&amp;" ("&amp;TEXT(D288,"0.00")&amp;")"</f>
        <v>0 (0.00)</v>
      </c>
      <c r="K276" t="str">
        <f t="shared" ref="K276" si="182">TEXT(E285,"#,##0")&amp;" ("&amp;TEXT(E288,"0.00")&amp;")"</f>
        <v>0 (0.00)</v>
      </c>
      <c r="L276" t="str">
        <f t="shared" ref="L276" si="183">TEXT(F285,"#,##0")&amp;" ("&amp;TEXT(F288,"0.00")&amp;")"</f>
        <v>0 (0.00)</v>
      </c>
    </row>
    <row r="277" spans="1:12" x14ac:dyDescent="0.3">
      <c r="A277" s="2"/>
      <c r="B277" s="17">
        <v>1</v>
      </c>
      <c r="C277" s="7">
        <v>171</v>
      </c>
      <c r="D277" s="7">
        <v>287</v>
      </c>
      <c r="E277" s="7">
        <v>361</v>
      </c>
      <c r="F277" s="7">
        <v>382</v>
      </c>
      <c r="G277" s="7">
        <v>1201</v>
      </c>
    </row>
    <row r="278" spans="1:12" x14ac:dyDescent="0.3">
      <c r="A278" s="2"/>
      <c r="B278" s="17"/>
      <c r="C278" s="7">
        <v>0.25</v>
      </c>
      <c r="D278" s="7">
        <v>0.42</v>
      </c>
      <c r="E278" s="7">
        <v>0.53</v>
      </c>
      <c r="F278" s="7">
        <v>0.56000000000000005</v>
      </c>
      <c r="G278" s="7">
        <v>1.75</v>
      </c>
    </row>
    <row r="279" spans="1:12" x14ac:dyDescent="0.3">
      <c r="A279" s="2"/>
      <c r="B279" s="17"/>
      <c r="C279" s="7">
        <v>14.24</v>
      </c>
      <c r="D279" s="7">
        <v>23.9</v>
      </c>
      <c r="E279" s="7">
        <v>30.06</v>
      </c>
      <c r="F279" s="7">
        <v>31.81</v>
      </c>
      <c r="G279" s="7"/>
    </row>
    <row r="280" spans="1:12" x14ac:dyDescent="0.3">
      <c r="A280" s="2"/>
      <c r="B280" s="17"/>
      <c r="C280" s="7">
        <v>1.05</v>
      </c>
      <c r="D280" s="7">
        <v>1.71</v>
      </c>
      <c r="E280" s="7">
        <v>2.0699999999999998</v>
      </c>
      <c r="F280" s="7">
        <v>2.11</v>
      </c>
      <c r="G280" s="7"/>
    </row>
    <row r="281" spans="1:12" x14ac:dyDescent="0.3">
      <c r="A281" s="2"/>
      <c r="B281" s="17" t="s">
        <v>26</v>
      </c>
      <c r="C281" s="7">
        <v>16281</v>
      </c>
      <c r="D281" s="7">
        <v>16807</v>
      </c>
      <c r="E281" s="7">
        <v>17422</v>
      </c>
      <c r="F281" s="7">
        <v>18125</v>
      </c>
      <c r="G281" s="7">
        <v>68635</v>
      </c>
    </row>
    <row r="282" spans="1:12" x14ac:dyDescent="0.3">
      <c r="A282" s="2"/>
      <c r="B282" s="17"/>
      <c r="C282" s="7">
        <v>23.72</v>
      </c>
      <c r="D282" s="7">
        <v>24.49</v>
      </c>
      <c r="E282" s="7">
        <v>25.38</v>
      </c>
      <c r="F282" s="7">
        <v>26.41</v>
      </c>
      <c r="G282" s="7">
        <v>100</v>
      </c>
    </row>
    <row r="283" spans="1:12" x14ac:dyDescent="0.3">
      <c r="A283" s="2"/>
      <c r="B283" s="20"/>
      <c r="C283" s="20"/>
      <c r="D283" s="20"/>
      <c r="E283" s="20"/>
      <c r="F283" s="20"/>
      <c r="G283" s="20"/>
    </row>
  </sheetData>
  <mergeCells count="122">
    <mergeCell ref="B5:G5"/>
    <mergeCell ref="B22:G22"/>
    <mergeCell ref="B24:G24"/>
    <mergeCell ref="B25:B26"/>
    <mergeCell ref="C25:G25"/>
    <mergeCell ref="B27:B30"/>
    <mergeCell ref="B31:B34"/>
    <mergeCell ref="B6:B7"/>
    <mergeCell ref="C6:G6"/>
    <mergeCell ref="B8:B11"/>
    <mergeCell ref="B12:B15"/>
    <mergeCell ref="B16:B19"/>
    <mergeCell ref="B20:B21"/>
    <mergeCell ref="B46:B49"/>
    <mergeCell ref="B50:B51"/>
    <mergeCell ref="B52:G52"/>
    <mergeCell ref="B54:G54"/>
    <mergeCell ref="B55:B56"/>
    <mergeCell ref="C55:G55"/>
    <mergeCell ref="B35:B36"/>
    <mergeCell ref="B37:G37"/>
    <mergeCell ref="B39:G39"/>
    <mergeCell ref="B40:B41"/>
    <mergeCell ref="C40:G40"/>
    <mergeCell ref="B42:B45"/>
    <mergeCell ref="B77:G77"/>
    <mergeCell ref="B78:B79"/>
    <mergeCell ref="C78:G78"/>
    <mergeCell ref="B80:B83"/>
    <mergeCell ref="B84:B87"/>
    <mergeCell ref="B88:B91"/>
    <mergeCell ref="B57:B60"/>
    <mergeCell ref="B61:B64"/>
    <mergeCell ref="B65:B68"/>
    <mergeCell ref="B69:B72"/>
    <mergeCell ref="B73:B74"/>
    <mergeCell ref="B75:G75"/>
    <mergeCell ref="B103:B106"/>
    <mergeCell ref="B107:B110"/>
    <mergeCell ref="B111:B114"/>
    <mergeCell ref="B115:B118"/>
    <mergeCell ref="B119:B120"/>
    <mergeCell ref="B121:G121"/>
    <mergeCell ref="B92:B95"/>
    <mergeCell ref="B96:B97"/>
    <mergeCell ref="B98:G98"/>
    <mergeCell ref="B100:G100"/>
    <mergeCell ref="B101:B102"/>
    <mergeCell ref="C101:G101"/>
    <mergeCell ref="B136:G136"/>
    <mergeCell ref="B138:G138"/>
    <mergeCell ref="B139:B140"/>
    <mergeCell ref="C139:G139"/>
    <mergeCell ref="B141:B144"/>
    <mergeCell ref="B145:B148"/>
    <mergeCell ref="B123:G123"/>
    <mergeCell ref="B124:B125"/>
    <mergeCell ref="C124:G124"/>
    <mergeCell ref="B126:B129"/>
    <mergeCell ref="B130:B133"/>
    <mergeCell ref="B134:B135"/>
    <mergeCell ref="B160:B163"/>
    <mergeCell ref="B164:B167"/>
    <mergeCell ref="B168:B171"/>
    <mergeCell ref="B172:B173"/>
    <mergeCell ref="B174:G174"/>
    <mergeCell ref="B176:G176"/>
    <mergeCell ref="B149:B152"/>
    <mergeCell ref="B153:B154"/>
    <mergeCell ref="B155:G155"/>
    <mergeCell ref="B157:G157"/>
    <mergeCell ref="B158:B159"/>
    <mergeCell ref="C158:G158"/>
    <mergeCell ref="B193:G193"/>
    <mergeCell ref="B195:G195"/>
    <mergeCell ref="B196:B197"/>
    <mergeCell ref="C196:G196"/>
    <mergeCell ref="B198:B201"/>
    <mergeCell ref="B202:B205"/>
    <mergeCell ref="B177:B178"/>
    <mergeCell ref="C177:G177"/>
    <mergeCell ref="B179:B182"/>
    <mergeCell ref="B183:B186"/>
    <mergeCell ref="B187:B190"/>
    <mergeCell ref="B191:B192"/>
    <mergeCell ref="B217:B220"/>
    <mergeCell ref="B221:B222"/>
    <mergeCell ref="B223:G223"/>
    <mergeCell ref="B225:G225"/>
    <mergeCell ref="B226:B227"/>
    <mergeCell ref="C226:G226"/>
    <mergeCell ref="B206:B207"/>
    <mergeCell ref="B208:G208"/>
    <mergeCell ref="B210:G210"/>
    <mergeCell ref="B211:B212"/>
    <mergeCell ref="C211:G211"/>
    <mergeCell ref="B213:B216"/>
    <mergeCell ref="B243:B246"/>
    <mergeCell ref="B247:B250"/>
    <mergeCell ref="B251:B252"/>
    <mergeCell ref="B253:G253"/>
    <mergeCell ref="B255:G255"/>
    <mergeCell ref="B256:B257"/>
    <mergeCell ref="C256:G256"/>
    <mergeCell ref="B228:B231"/>
    <mergeCell ref="B232:B235"/>
    <mergeCell ref="B236:B237"/>
    <mergeCell ref="B238:G238"/>
    <mergeCell ref="B240:G240"/>
    <mergeCell ref="B241:B242"/>
    <mergeCell ref="C241:G241"/>
    <mergeCell ref="B273:B276"/>
    <mergeCell ref="B277:B280"/>
    <mergeCell ref="B281:B282"/>
    <mergeCell ref="B283:G283"/>
    <mergeCell ref="B258:B261"/>
    <mergeCell ref="B262:B265"/>
    <mergeCell ref="B266:B267"/>
    <mergeCell ref="B268:G268"/>
    <mergeCell ref="B270:G270"/>
    <mergeCell ref="B271:B272"/>
    <mergeCell ref="C271:G27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86DE1-ADA5-47E1-81DD-9ED62D87C780}">
  <dimension ref="A1:L283"/>
  <sheetViews>
    <sheetView workbookViewId="0">
      <selection activeCell="C20" sqref="C20:F20"/>
    </sheetView>
  </sheetViews>
  <sheetFormatPr defaultRowHeight="16.5" x14ac:dyDescent="0.3"/>
  <cols>
    <col min="9" max="11" width="12.375" bestFit="1" customWidth="1"/>
    <col min="12" max="12" width="13.5" bestFit="1" customWidth="1"/>
  </cols>
  <sheetData>
    <row r="1" spans="1:12" x14ac:dyDescent="0.3">
      <c r="A1" s="1" t="s">
        <v>0</v>
      </c>
    </row>
    <row r="3" spans="1:12" x14ac:dyDescent="0.3">
      <c r="A3" s="1" t="s">
        <v>21</v>
      </c>
    </row>
    <row r="4" spans="1:12" ht="17.25" thickBot="1" x14ac:dyDescent="0.35"/>
    <row r="5" spans="1:12" ht="16.5" customHeight="1" x14ac:dyDescent="0.3">
      <c r="A5" s="4" t="s">
        <v>3</v>
      </c>
      <c r="B5" s="16" t="s">
        <v>42</v>
      </c>
      <c r="C5" s="18"/>
      <c r="D5" s="18"/>
      <c r="E5" s="18"/>
      <c r="F5" s="18"/>
      <c r="G5" s="18"/>
    </row>
    <row r="6" spans="1:12" ht="16.5" customHeight="1" x14ac:dyDescent="0.3">
      <c r="A6" s="6" t="s">
        <v>4</v>
      </c>
      <c r="B6" s="17" t="s">
        <v>2</v>
      </c>
      <c r="C6" s="19" t="s">
        <v>43</v>
      </c>
      <c r="D6" s="19"/>
      <c r="E6" s="19"/>
      <c r="F6" s="19"/>
      <c r="G6" s="19"/>
    </row>
    <row r="7" spans="1:12" x14ac:dyDescent="0.3">
      <c r="A7" s="6" t="s">
        <v>22</v>
      </c>
      <c r="B7" s="17"/>
      <c r="C7" s="3">
        <v>1</v>
      </c>
      <c r="D7" s="3">
        <v>2</v>
      </c>
      <c r="E7" s="3">
        <v>3</v>
      </c>
      <c r="F7" s="3">
        <v>4</v>
      </c>
      <c r="G7" s="3" t="s">
        <v>26</v>
      </c>
    </row>
    <row r="8" spans="1:12" ht="33" x14ac:dyDescent="0.3">
      <c r="A8" s="6" t="s">
        <v>23</v>
      </c>
      <c r="B8" s="17">
        <v>1</v>
      </c>
      <c r="C8" s="7">
        <v>9030</v>
      </c>
      <c r="D8" s="7">
        <v>6220</v>
      </c>
      <c r="E8" s="7">
        <v>3862</v>
      </c>
      <c r="F8" s="7">
        <v>1967</v>
      </c>
      <c r="G8" s="7">
        <v>21079</v>
      </c>
      <c r="I8" t="str">
        <f>TEXT(C8,"#,##0")&amp;" ("&amp;TEXT(C11,"0.00")&amp;")"</f>
        <v>9,030 (58.21)</v>
      </c>
      <c r="J8" t="str">
        <f t="shared" ref="J8:L8" si="0">TEXT(D8,"#,##0")&amp;" ("&amp;TEXT(D11,"0.00")&amp;")"</f>
        <v>6,220 (35.60)</v>
      </c>
      <c r="K8" t="str">
        <f t="shared" si="0"/>
        <v>3,862 (21.47)</v>
      </c>
      <c r="L8" t="str">
        <f t="shared" si="0"/>
        <v>1,967 (11.14)</v>
      </c>
    </row>
    <row r="9" spans="1:12" x14ac:dyDescent="0.3">
      <c r="A9" s="2"/>
      <c r="B9" s="17"/>
      <c r="C9" s="7">
        <v>13.16</v>
      </c>
      <c r="D9" s="7">
        <v>9.06</v>
      </c>
      <c r="E9" s="7">
        <v>5.63</v>
      </c>
      <c r="F9" s="7">
        <v>2.87</v>
      </c>
      <c r="G9" s="7">
        <v>30.71</v>
      </c>
      <c r="I9" t="str">
        <f>TEXT(C12,"#,##0")&amp;" ("&amp;TEXT(C15,"0.00")&amp;")"</f>
        <v>5,755 (37.10)</v>
      </c>
      <c r="J9" t="str">
        <f t="shared" ref="J9:L9" si="1">TEXT(D12,"#,##0")&amp;" ("&amp;TEXT(D15,"0.00")&amp;")"</f>
        <v>8,824 (50.51)</v>
      </c>
      <c r="K9" t="str">
        <f t="shared" si="1"/>
        <v>9,605 (53.40)</v>
      </c>
      <c r="L9" t="str">
        <f t="shared" si="1"/>
        <v>9,286 (52.58)</v>
      </c>
    </row>
    <row r="10" spans="1:12" x14ac:dyDescent="0.3">
      <c r="A10" s="2"/>
      <c r="B10" s="17"/>
      <c r="C10" s="7">
        <v>42.84</v>
      </c>
      <c r="D10" s="7">
        <v>29.51</v>
      </c>
      <c r="E10" s="7">
        <v>18.32</v>
      </c>
      <c r="F10" s="7">
        <v>9.33</v>
      </c>
      <c r="G10" s="7"/>
      <c r="I10" t="str">
        <f>TEXT(C16,"#,##0")&amp;" ("&amp;TEXT(C19,"0.00")&amp;")"</f>
        <v>729 (4.70)</v>
      </c>
      <c r="J10" t="str">
        <f t="shared" ref="J10:L10" si="2">TEXT(D16,"#,##0")&amp;" ("&amp;TEXT(D19,"0.00")&amp;")"</f>
        <v>2,427 (13.89)</v>
      </c>
      <c r="K10" t="str">
        <f t="shared" si="2"/>
        <v>4,521 (25.13)</v>
      </c>
      <c r="L10" t="str">
        <f t="shared" si="2"/>
        <v>6,409 (36.29)</v>
      </c>
    </row>
    <row r="11" spans="1:12" x14ac:dyDescent="0.3">
      <c r="A11" s="2"/>
      <c r="B11" s="17"/>
      <c r="C11" s="7">
        <v>58.21</v>
      </c>
      <c r="D11" s="7">
        <v>35.6</v>
      </c>
      <c r="E11" s="7">
        <v>21.47</v>
      </c>
      <c r="F11" s="7">
        <v>11.14</v>
      </c>
      <c r="G11" s="7"/>
      <c r="I11" t="str">
        <f>TEXT(C20,"#,##0")&amp;" ("&amp;TEXT(C23,"0.00")&amp;")"</f>
        <v>15,514 (0.00)</v>
      </c>
      <c r="J11" t="str">
        <f t="shared" ref="J11:L11" si="3">TEXT(D20,"#,##0")&amp;" ("&amp;TEXT(D23,"0.00")&amp;")"</f>
        <v>17,471 (0.00)</v>
      </c>
      <c r="K11" t="str">
        <f t="shared" si="3"/>
        <v>17,988 (0.00)</v>
      </c>
      <c r="L11" t="str">
        <f t="shared" si="3"/>
        <v>17,662 (0.00)</v>
      </c>
    </row>
    <row r="12" spans="1:12" x14ac:dyDescent="0.3">
      <c r="A12" s="2"/>
      <c r="B12" s="17">
        <v>2</v>
      </c>
      <c r="C12" s="7">
        <v>5755</v>
      </c>
      <c r="D12" s="7">
        <v>8824</v>
      </c>
      <c r="E12" s="7">
        <v>9605</v>
      </c>
      <c r="F12" s="7">
        <v>9286</v>
      </c>
      <c r="G12" s="7">
        <v>33470</v>
      </c>
    </row>
    <row r="13" spans="1:12" x14ac:dyDescent="0.3">
      <c r="A13" s="2"/>
      <c r="B13" s="17"/>
      <c r="C13" s="7">
        <v>8.3800000000000008</v>
      </c>
      <c r="D13" s="7">
        <v>12.86</v>
      </c>
      <c r="E13" s="7">
        <v>13.99</v>
      </c>
      <c r="F13" s="7">
        <v>13.53</v>
      </c>
      <c r="G13" s="7">
        <v>48.77</v>
      </c>
    </row>
    <row r="14" spans="1:12" x14ac:dyDescent="0.3">
      <c r="A14" s="2"/>
      <c r="B14" s="17"/>
      <c r="C14" s="7">
        <v>17.190000000000001</v>
      </c>
      <c r="D14" s="7">
        <v>26.36</v>
      </c>
      <c r="E14" s="7">
        <v>28.7</v>
      </c>
      <c r="F14" s="7">
        <v>27.74</v>
      </c>
      <c r="G14" s="7"/>
    </row>
    <row r="15" spans="1:12" x14ac:dyDescent="0.3">
      <c r="A15" s="2"/>
      <c r="B15" s="17"/>
      <c r="C15" s="7">
        <v>37.1</v>
      </c>
      <c r="D15" s="7">
        <v>50.51</v>
      </c>
      <c r="E15" s="7">
        <v>53.4</v>
      </c>
      <c r="F15" s="7">
        <v>52.58</v>
      </c>
      <c r="G15" s="7"/>
    </row>
    <row r="16" spans="1:12" x14ac:dyDescent="0.3">
      <c r="A16" s="2"/>
      <c r="B16" s="17">
        <v>3</v>
      </c>
      <c r="C16" s="7">
        <v>729</v>
      </c>
      <c r="D16" s="7">
        <v>2427</v>
      </c>
      <c r="E16" s="7">
        <v>4521</v>
      </c>
      <c r="F16" s="7">
        <v>6409</v>
      </c>
      <c r="G16" s="7">
        <v>14086</v>
      </c>
    </row>
    <row r="17" spans="1:12" x14ac:dyDescent="0.3">
      <c r="A17" s="2"/>
      <c r="B17" s="17"/>
      <c r="C17" s="7">
        <v>1.06</v>
      </c>
      <c r="D17" s="7">
        <v>3.54</v>
      </c>
      <c r="E17" s="7">
        <v>6.59</v>
      </c>
      <c r="F17" s="7">
        <v>9.34</v>
      </c>
      <c r="G17" s="7">
        <v>20.52</v>
      </c>
    </row>
    <row r="18" spans="1:12" x14ac:dyDescent="0.3">
      <c r="A18" s="2"/>
      <c r="B18" s="17"/>
      <c r="C18" s="7">
        <v>5.18</v>
      </c>
      <c r="D18" s="7">
        <v>17.23</v>
      </c>
      <c r="E18" s="7">
        <v>32.1</v>
      </c>
      <c r="F18" s="7">
        <v>45.5</v>
      </c>
      <c r="G18" s="7"/>
    </row>
    <row r="19" spans="1:12" x14ac:dyDescent="0.3">
      <c r="A19" s="2"/>
      <c r="B19" s="17"/>
      <c r="C19" s="7">
        <v>4.7</v>
      </c>
      <c r="D19" s="7">
        <v>13.89</v>
      </c>
      <c r="E19" s="7">
        <v>25.13</v>
      </c>
      <c r="F19" s="7">
        <v>36.29</v>
      </c>
      <c r="G19" s="7"/>
    </row>
    <row r="20" spans="1:12" x14ac:dyDescent="0.3">
      <c r="A20" s="2"/>
      <c r="B20" s="17" t="s">
        <v>26</v>
      </c>
      <c r="C20" s="7">
        <v>15514</v>
      </c>
      <c r="D20" s="7">
        <v>17471</v>
      </c>
      <c r="E20" s="7">
        <v>17988</v>
      </c>
      <c r="F20" s="7">
        <v>17662</v>
      </c>
      <c r="G20" s="7">
        <v>68635</v>
      </c>
    </row>
    <row r="21" spans="1:12" x14ac:dyDescent="0.3">
      <c r="A21" s="2"/>
      <c r="B21" s="17"/>
      <c r="C21" s="7">
        <v>22.6</v>
      </c>
      <c r="D21" s="7">
        <v>25.45</v>
      </c>
      <c r="E21" s="7">
        <v>26.21</v>
      </c>
      <c r="F21" s="7">
        <v>25.73</v>
      </c>
      <c r="G21" s="7">
        <v>100</v>
      </c>
    </row>
    <row r="22" spans="1:12" x14ac:dyDescent="0.3">
      <c r="A22" s="2"/>
      <c r="B22" s="20"/>
      <c r="C22" s="20"/>
      <c r="D22" s="20"/>
      <c r="E22" s="20"/>
      <c r="F22" s="20"/>
      <c r="G22" s="20"/>
    </row>
    <row r="23" spans="1:12" ht="17.25" thickBot="1" x14ac:dyDescent="0.35"/>
    <row r="24" spans="1:12" ht="16.5" customHeight="1" x14ac:dyDescent="0.3">
      <c r="A24" s="4" t="s">
        <v>3</v>
      </c>
      <c r="B24" s="16" t="s">
        <v>44</v>
      </c>
      <c r="C24" s="18"/>
      <c r="D24" s="18"/>
      <c r="E24" s="18"/>
      <c r="F24" s="18"/>
      <c r="G24" s="18"/>
    </row>
    <row r="25" spans="1:12" ht="16.5" customHeight="1" x14ac:dyDescent="0.3">
      <c r="A25" s="6" t="s">
        <v>4</v>
      </c>
      <c r="B25" s="17" t="s">
        <v>6</v>
      </c>
      <c r="C25" s="19" t="s">
        <v>43</v>
      </c>
      <c r="D25" s="19"/>
      <c r="E25" s="19"/>
      <c r="F25" s="19"/>
      <c r="G25" s="19"/>
    </row>
    <row r="26" spans="1:12" x14ac:dyDescent="0.3">
      <c r="A26" s="6" t="s">
        <v>22</v>
      </c>
      <c r="B26" s="17"/>
      <c r="C26" s="3">
        <v>1</v>
      </c>
      <c r="D26" s="3">
        <v>2</v>
      </c>
      <c r="E26" s="3">
        <v>3</v>
      </c>
      <c r="F26" s="3">
        <v>4</v>
      </c>
      <c r="G26" s="3" t="s">
        <v>26</v>
      </c>
    </row>
    <row r="27" spans="1:12" ht="33" x14ac:dyDescent="0.3">
      <c r="A27" s="6" t="s">
        <v>23</v>
      </c>
      <c r="B27" s="17">
        <v>1</v>
      </c>
      <c r="C27" s="7">
        <v>4194</v>
      </c>
      <c r="D27" s="7">
        <v>7687</v>
      </c>
      <c r="E27" s="7">
        <v>10028</v>
      </c>
      <c r="F27" s="7">
        <v>11291</v>
      </c>
      <c r="G27" s="7">
        <v>33200</v>
      </c>
      <c r="I27" t="str">
        <f>TEXT(C27,"#,##0")&amp;" ("&amp;TEXT(C30,"0.00")&amp;")"</f>
        <v>4,194 (27.03)</v>
      </c>
      <c r="J27" t="str">
        <f t="shared" ref="J27:L27" si="4">TEXT(D27,"#,##0")&amp;" ("&amp;TEXT(D30,"0.00")&amp;")"</f>
        <v>7,687 (44.00)</v>
      </c>
      <c r="K27" t="str">
        <f t="shared" si="4"/>
        <v>10,028 (55.75)</v>
      </c>
      <c r="L27" t="str">
        <f t="shared" si="4"/>
        <v>11,291 (63.93)</v>
      </c>
    </row>
    <row r="28" spans="1:12" x14ac:dyDescent="0.3">
      <c r="A28" s="2"/>
      <c r="B28" s="17"/>
      <c r="C28" s="7">
        <v>6.11</v>
      </c>
      <c r="D28" s="7">
        <v>11.2</v>
      </c>
      <c r="E28" s="7">
        <v>14.61</v>
      </c>
      <c r="F28" s="7">
        <v>16.45</v>
      </c>
      <c r="G28" s="7">
        <v>48.37</v>
      </c>
      <c r="I28" t="str">
        <f>TEXT(C31,"#,##0")&amp;" ("&amp;TEXT(C34,"0.00")&amp;")"</f>
        <v>11,320 (72.97)</v>
      </c>
      <c r="J28" t="str">
        <f t="shared" ref="J28:L28" si="5">TEXT(D31,"#,##0")&amp;" ("&amp;TEXT(D34,"0.00")&amp;")"</f>
        <v>9,784 (56.00)</v>
      </c>
      <c r="K28" t="str">
        <f t="shared" si="5"/>
        <v>7,960 (44.25)</v>
      </c>
      <c r="L28" t="str">
        <f t="shared" si="5"/>
        <v>6,371 (36.07)</v>
      </c>
    </row>
    <row r="29" spans="1:12" x14ac:dyDescent="0.3">
      <c r="A29" s="2"/>
      <c r="B29" s="17"/>
      <c r="C29" s="7">
        <v>12.63</v>
      </c>
      <c r="D29" s="7">
        <v>23.15</v>
      </c>
      <c r="E29" s="7">
        <v>30.2</v>
      </c>
      <c r="F29" s="7">
        <v>34.01</v>
      </c>
      <c r="G29" s="7"/>
      <c r="I29" t="str">
        <f>TEXT(C35,"#,##0")&amp;" ("&amp;TEXT(C38,"0.00")&amp;")"</f>
        <v>15,514 (0.00)</v>
      </c>
      <c r="J29" t="str">
        <f t="shared" ref="J29:L29" si="6">TEXT(D35,"#,##0")&amp;" ("&amp;TEXT(D38,"0.00")&amp;")"</f>
        <v>17,471 (0.00)</v>
      </c>
      <c r="K29" t="str">
        <f t="shared" si="6"/>
        <v>17,988 (0.00)</v>
      </c>
      <c r="L29" t="str">
        <f t="shared" si="6"/>
        <v>17,662 (0.00)</v>
      </c>
    </row>
    <row r="30" spans="1:12" x14ac:dyDescent="0.3">
      <c r="A30" s="2"/>
      <c r="B30" s="17"/>
      <c r="C30" s="7">
        <v>27.03</v>
      </c>
      <c r="D30" s="7">
        <v>44</v>
      </c>
      <c r="E30" s="7">
        <v>55.75</v>
      </c>
      <c r="F30" s="7">
        <v>63.93</v>
      </c>
      <c r="G30" s="7"/>
      <c r="I30" t="str">
        <f>TEXT(C39,"#,##0")&amp;" ("&amp;TEXT(C42,"0.00")&amp;")"</f>
        <v>0 (13432.00)</v>
      </c>
      <c r="J30" t="str">
        <f t="shared" ref="J30:L30" si="7">TEXT(D39,"#,##0")&amp;" ("&amp;TEXT(D42,"0.00")&amp;")"</f>
        <v>0 (14346.00)</v>
      </c>
      <c r="K30" t="str">
        <f t="shared" si="7"/>
        <v>0 (14156.00)</v>
      </c>
      <c r="L30" t="str">
        <f t="shared" si="7"/>
        <v>0 (13242.00)</v>
      </c>
    </row>
    <row r="31" spans="1:12" x14ac:dyDescent="0.3">
      <c r="A31" s="2"/>
      <c r="B31" s="17">
        <v>2</v>
      </c>
      <c r="C31" s="7">
        <v>11320</v>
      </c>
      <c r="D31" s="7">
        <v>9784</v>
      </c>
      <c r="E31" s="7">
        <v>7960</v>
      </c>
      <c r="F31" s="7">
        <v>6371</v>
      </c>
      <c r="G31" s="7">
        <v>35435</v>
      </c>
    </row>
    <row r="32" spans="1:12" x14ac:dyDescent="0.3">
      <c r="A32" s="2"/>
      <c r="B32" s="17"/>
      <c r="C32" s="7">
        <v>16.489999999999998</v>
      </c>
      <c r="D32" s="7">
        <v>14.26</v>
      </c>
      <c r="E32" s="7">
        <v>11.6</v>
      </c>
      <c r="F32" s="7">
        <v>9.2799999999999994</v>
      </c>
      <c r="G32" s="7">
        <v>51.63</v>
      </c>
    </row>
    <row r="33" spans="1:12" x14ac:dyDescent="0.3">
      <c r="A33" s="2"/>
      <c r="B33" s="17"/>
      <c r="C33" s="7">
        <v>31.95</v>
      </c>
      <c r="D33" s="7">
        <v>27.61</v>
      </c>
      <c r="E33" s="7">
        <v>22.46</v>
      </c>
      <c r="F33" s="7">
        <v>17.98</v>
      </c>
      <c r="G33" s="7"/>
    </row>
    <row r="34" spans="1:12" x14ac:dyDescent="0.3">
      <c r="A34" s="2"/>
      <c r="B34" s="17"/>
      <c r="C34" s="7">
        <v>72.97</v>
      </c>
      <c r="D34" s="7">
        <v>56</v>
      </c>
      <c r="E34" s="7">
        <v>44.25</v>
      </c>
      <c r="F34" s="7">
        <v>36.07</v>
      </c>
      <c r="G34" s="7"/>
    </row>
    <row r="35" spans="1:12" x14ac:dyDescent="0.3">
      <c r="A35" s="2"/>
      <c r="B35" s="17" t="s">
        <v>26</v>
      </c>
      <c r="C35" s="7">
        <v>15514</v>
      </c>
      <c r="D35" s="7">
        <v>17471</v>
      </c>
      <c r="E35" s="7">
        <v>17988</v>
      </c>
      <c r="F35" s="7">
        <v>17662</v>
      </c>
      <c r="G35" s="7">
        <v>68635</v>
      </c>
    </row>
    <row r="36" spans="1:12" x14ac:dyDescent="0.3">
      <c r="A36" s="2"/>
      <c r="B36" s="17"/>
      <c r="C36" s="7">
        <v>22.6</v>
      </c>
      <c r="D36" s="7">
        <v>25.45</v>
      </c>
      <c r="E36" s="7">
        <v>26.21</v>
      </c>
      <c r="F36" s="7">
        <v>25.73</v>
      </c>
      <c r="G36" s="7">
        <v>100</v>
      </c>
    </row>
    <row r="37" spans="1:12" x14ac:dyDescent="0.3">
      <c r="A37" s="2"/>
      <c r="B37" s="20"/>
      <c r="C37" s="20"/>
      <c r="D37" s="20"/>
      <c r="E37" s="20"/>
      <c r="F37" s="20"/>
      <c r="G37" s="20"/>
    </row>
    <row r="38" spans="1:12" ht="17.25" thickBot="1" x14ac:dyDescent="0.35"/>
    <row r="39" spans="1:12" ht="16.5" customHeight="1" x14ac:dyDescent="0.3">
      <c r="A39" s="4" t="s">
        <v>3</v>
      </c>
      <c r="B39" s="16" t="s">
        <v>45</v>
      </c>
      <c r="C39" s="18"/>
      <c r="D39" s="18"/>
      <c r="E39" s="18"/>
      <c r="F39" s="18"/>
      <c r="G39" s="18"/>
    </row>
    <row r="40" spans="1:12" ht="16.5" customHeight="1" x14ac:dyDescent="0.3">
      <c r="A40" s="6" t="s">
        <v>4</v>
      </c>
      <c r="B40" s="17" t="s">
        <v>7</v>
      </c>
      <c r="C40" s="19" t="s">
        <v>43</v>
      </c>
      <c r="D40" s="19"/>
      <c r="E40" s="19"/>
      <c r="F40" s="19"/>
      <c r="G40" s="19"/>
    </row>
    <row r="41" spans="1:12" x14ac:dyDescent="0.3">
      <c r="A41" s="6" t="s">
        <v>22</v>
      </c>
      <c r="B41" s="17"/>
      <c r="C41" s="3">
        <v>1</v>
      </c>
      <c r="D41" s="3">
        <v>2</v>
      </c>
      <c r="E41" s="3">
        <v>3</v>
      </c>
      <c r="F41" s="3">
        <v>4</v>
      </c>
      <c r="G41" s="3" t="s">
        <v>26</v>
      </c>
    </row>
    <row r="42" spans="1:12" ht="33" x14ac:dyDescent="0.3">
      <c r="A42" s="6" t="s">
        <v>23</v>
      </c>
      <c r="B42" s="17">
        <v>1</v>
      </c>
      <c r="C42" s="7">
        <v>13432</v>
      </c>
      <c r="D42" s="7">
        <v>14346</v>
      </c>
      <c r="E42" s="7">
        <v>14156</v>
      </c>
      <c r="F42" s="7">
        <v>13242</v>
      </c>
      <c r="G42" s="7">
        <v>55176</v>
      </c>
      <c r="I42" t="str">
        <f>TEXT(C42,"#,##0")&amp;" ("&amp;TEXT(C45,"0.00")&amp;")"</f>
        <v>13,432 (86.58)</v>
      </c>
      <c r="J42" t="str">
        <f t="shared" ref="J42:L42" si="8">TEXT(D42,"#,##0")&amp;" ("&amp;TEXT(D45,"0.00")&amp;")"</f>
        <v>14,346 (82.11)</v>
      </c>
      <c r="K42" t="str">
        <f t="shared" si="8"/>
        <v>14,156 (78.70)</v>
      </c>
      <c r="L42" t="str">
        <f t="shared" si="8"/>
        <v>13,242 (74.97)</v>
      </c>
    </row>
    <row r="43" spans="1:12" x14ac:dyDescent="0.3">
      <c r="A43" s="2"/>
      <c r="B43" s="17"/>
      <c r="C43" s="7">
        <v>19.57</v>
      </c>
      <c r="D43" s="7">
        <v>20.9</v>
      </c>
      <c r="E43" s="7">
        <v>20.63</v>
      </c>
      <c r="F43" s="7">
        <v>19.29</v>
      </c>
      <c r="G43" s="7">
        <v>80.39</v>
      </c>
      <c r="I43" t="str">
        <f>TEXT(C46,"#,##0")&amp;" ("&amp;TEXT(C49,"0.00")&amp;")"</f>
        <v>2,082 (13.42)</v>
      </c>
      <c r="J43" t="str">
        <f t="shared" ref="J43:L43" si="9">TEXT(D46,"#,##0")&amp;" ("&amp;TEXT(D49,"0.00")&amp;")"</f>
        <v>3,125 (17.89)</v>
      </c>
      <c r="K43" t="str">
        <f t="shared" si="9"/>
        <v>3,832 (21.30)</v>
      </c>
      <c r="L43" t="str">
        <f t="shared" si="9"/>
        <v>4,420 (25.03)</v>
      </c>
    </row>
    <row r="44" spans="1:12" x14ac:dyDescent="0.3">
      <c r="A44" s="2"/>
      <c r="B44" s="17"/>
      <c r="C44" s="7">
        <v>24.34</v>
      </c>
      <c r="D44" s="7">
        <v>26</v>
      </c>
      <c r="E44" s="7">
        <v>25.66</v>
      </c>
      <c r="F44" s="7">
        <v>24</v>
      </c>
      <c r="G44" s="7"/>
      <c r="I44" t="str">
        <f>TEXT(C50,"#,##0")&amp;" ("&amp;TEXT(C53,"0.00")&amp;")"</f>
        <v>15,514 (0.00)</v>
      </c>
      <c r="J44" t="str">
        <f t="shared" ref="J44:L44" si="10">TEXT(D50,"#,##0")&amp;" ("&amp;TEXT(D53,"0.00")&amp;")"</f>
        <v>17,471 (0.00)</v>
      </c>
      <c r="K44" t="str">
        <f t="shared" si="10"/>
        <v>17,988 (0.00)</v>
      </c>
      <c r="L44" t="str">
        <f t="shared" si="10"/>
        <v>17,662 (0.00)</v>
      </c>
    </row>
    <row r="45" spans="1:12" x14ac:dyDescent="0.3">
      <c r="A45" s="2"/>
      <c r="B45" s="17"/>
      <c r="C45" s="7">
        <v>86.58</v>
      </c>
      <c r="D45" s="7">
        <v>82.11</v>
      </c>
      <c r="E45" s="7">
        <v>78.7</v>
      </c>
      <c r="F45" s="7">
        <v>74.97</v>
      </c>
      <c r="G45" s="7"/>
      <c r="I45" t="str">
        <f>TEXT(C54,"#,##0")&amp;" ("&amp;TEXT(C57,"0.00")&amp;")"</f>
        <v>0 (558.00)</v>
      </c>
      <c r="J45" t="str">
        <f t="shared" ref="J45:L45" si="11">TEXT(D54,"#,##0")&amp;" ("&amp;TEXT(D57,"0.00")&amp;")"</f>
        <v>0 (1668.00)</v>
      </c>
      <c r="K45" t="str">
        <f t="shared" si="11"/>
        <v>0 (2915.00)</v>
      </c>
      <c r="L45" t="str">
        <f t="shared" si="11"/>
        <v>0 (4058.00)</v>
      </c>
    </row>
    <row r="46" spans="1:12" x14ac:dyDescent="0.3">
      <c r="A46" s="2"/>
      <c r="B46" s="17">
        <v>2</v>
      </c>
      <c r="C46" s="7">
        <v>2082</v>
      </c>
      <c r="D46" s="7">
        <v>3125</v>
      </c>
      <c r="E46" s="7">
        <v>3832</v>
      </c>
      <c r="F46" s="7">
        <v>4420</v>
      </c>
      <c r="G46" s="7">
        <v>13459</v>
      </c>
    </row>
    <row r="47" spans="1:12" x14ac:dyDescent="0.3">
      <c r="A47" s="2"/>
      <c r="B47" s="17"/>
      <c r="C47" s="7">
        <v>3.03</v>
      </c>
      <c r="D47" s="7">
        <v>4.55</v>
      </c>
      <c r="E47" s="7">
        <v>5.58</v>
      </c>
      <c r="F47" s="7">
        <v>6.44</v>
      </c>
      <c r="G47" s="7">
        <v>19.61</v>
      </c>
    </row>
    <row r="48" spans="1:12" x14ac:dyDescent="0.3">
      <c r="A48" s="2"/>
      <c r="B48" s="17"/>
      <c r="C48" s="7">
        <v>15.47</v>
      </c>
      <c r="D48" s="7">
        <v>23.22</v>
      </c>
      <c r="E48" s="7">
        <v>28.47</v>
      </c>
      <c r="F48" s="7">
        <v>32.840000000000003</v>
      </c>
      <c r="G48" s="7"/>
    </row>
    <row r="49" spans="1:12" x14ac:dyDescent="0.3">
      <c r="A49" s="2"/>
      <c r="B49" s="17"/>
      <c r="C49" s="7">
        <v>13.42</v>
      </c>
      <c r="D49" s="7">
        <v>17.89</v>
      </c>
      <c r="E49" s="7">
        <v>21.3</v>
      </c>
      <c r="F49" s="7">
        <v>25.03</v>
      </c>
      <c r="G49" s="7"/>
    </row>
    <row r="50" spans="1:12" x14ac:dyDescent="0.3">
      <c r="A50" s="2"/>
      <c r="B50" s="17" t="s">
        <v>26</v>
      </c>
      <c r="C50" s="7">
        <v>15514</v>
      </c>
      <c r="D50" s="7">
        <v>17471</v>
      </c>
      <c r="E50" s="7">
        <v>17988</v>
      </c>
      <c r="F50" s="7">
        <v>17662</v>
      </c>
      <c r="G50" s="7">
        <v>68635</v>
      </c>
    </row>
    <row r="51" spans="1:12" x14ac:dyDescent="0.3">
      <c r="A51" s="2"/>
      <c r="B51" s="17"/>
      <c r="C51" s="7">
        <v>22.6</v>
      </c>
      <c r="D51" s="7">
        <v>25.45</v>
      </c>
      <c r="E51" s="7">
        <v>26.21</v>
      </c>
      <c r="F51" s="7">
        <v>25.73</v>
      </c>
      <c r="G51" s="7">
        <v>100</v>
      </c>
    </row>
    <row r="52" spans="1:12" x14ac:dyDescent="0.3">
      <c r="A52" s="2"/>
      <c r="B52" s="20"/>
      <c r="C52" s="20"/>
      <c r="D52" s="20"/>
      <c r="E52" s="20"/>
      <c r="F52" s="20"/>
      <c r="G52" s="20"/>
    </row>
    <row r="53" spans="1:12" ht="17.25" thickBot="1" x14ac:dyDescent="0.35"/>
    <row r="54" spans="1:12" ht="16.5" customHeight="1" x14ac:dyDescent="0.3">
      <c r="A54" s="4" t="s">
        <v>3</v>
      </c>
      <c r="B54" s="16" t="s">
        <v>46</v>
      </c>
      <c r="C54" s="18"/>
      <c r="D54" s="18"/>
      <c r="E54" s="18"/>
      <c r="F54" s="18"/>
      <c r="G54" s="18"/>
    </row>
    <row r="55" spans="1:12" ht="16.5" customHeight="1" x14ac:dyDescent="0.3">
      <c r="A55" s="6" t="s">
        <v>4</v>
      </c>
      <c r="B55" s="17" t="s">
        <v>8</v>
      </c>
      <c r="C55" s="19" t="s">
        <v>43</v>
      </c>
      <c r="D55" s="19"/>
      <c r="E55" s="19"/>
      <c r="F55" s="19"/>
      <c r="G55" s="19"/>
    </row>
    <row r="56" spans="1:12" x14ac:dyDescent="0.3">
      <c r="A56" s="6" t="s">
        <v>22</v>
      </c>
      <c r="B56" s="17"/>
      <c r="C56" s="3">
        <v>1</v>
      </c>
      <c r="D56" s="3">
        <v>2</v>
      </c>
      <c r="E56" s="3">
        <v>3</v>
      </c>
      <c r="F56" s="3">
        <v>4</v>
      </c>
      <c r="G56" s="3" t="s">
        <v>26</v>
      </c>
    </row>
    <row r="57" spans="1:12" ht="33" x14ac:dyDescent="0.3">
      <c r="A57" s="6" t="s">
        <v>23</v>
      </c>
      <c r="B57" s="17">
        <v>1</v>
      </c>
      <c r="C57" s="7">
        <v>558</v>
      </c>
      <c r="D57" s="7">
        <v>1668</v>
      </c>
      <c r="E57" s="7">
        <v>2915</v>
      </c>
      <c r="F57" s="7">
        <v>4058</v>
      </c>
      <c r="G57" s="7">
        <v>9199</v>
      </c>
      <c r="I57" t="str">
        <f>TEXT(C57,"#,##0")&amp;" ("&amp;TEXT(C60,"0.00")&amp;")"</f>
        <v>558 (3.60)</v>
      </c>
      <c r="J57" t="str">
        <f t="shared" ref="J57:L57" si="12">TEXT(D57,"#,##0")&amp;" ("&amp;TEXT(D60,"0.00")&amp;")"</f>
        <v>1,668 (9.55)</v>
      </c>
      <c r="K57" t="str">
        <f t="shared" si="12"/>
        <v>2,915 (16.21)</v>
      </c>
      <c r="L57" t="str">
        <f t="shared" si="12"/>
        <v>4,058 (22.98)</v>
      </c>
    </row>
    <row r="58" spans="1:12" x14ac:dyDescent="0.3">
      <c r="A58" s="2"/>
      <c r="B58" s="17"/>
      <c r="C58" s="7">
        <v>0.81</v>
      </c>
      <c r="D58" s="7">
        <v>2.4300000000000002</v>
      </c>
      <c r="E58" s="7">
        <v>4.25</v>
      </c>
      <c r="F58" s="7">
        <v>5.91</v>
      </c>
      <c r="G58" s="7">
        <v>13.4</v>
      </c>
      <c r="I58" t="str">
        <f>TEXT(C61,"#,##0")&amp;" ("&amp;TEXT(C64,"0.00")&amp;")"</f>
        <v>754 (4.86)</v>
      </c>
      <c r="J58" t="str">
        <f t="shared" ref="J58:L58" si="13">TEXT(D61,"#,##0")&amp;" ("&amp;TEXT(D64,"0.00")&amp;")"</f>
        <v>1,706 (9.76)</v>
      </c>
      <c r="K58" t="str">
        <f t="shared" si="13"/>
        <v>2,445 (13.59)</v>
      </c>
      <c r="L58" t="str">
        <f t="shared" si="13"/>
        <v>3,032 (17.17)</v>
      </c>
    </row>
    <row r="59" spans="1:12" x14ac:dyDescent="0.3">
      <c r="A59" s="2"/>
      <c r="B59" s="17"/>
      <c r="C59" s="7">
        <v>6.07</v>
      </c>
      <c r="D59" s="7">
        <v>18.13</v>
      </c>
      <c r="E59" s="7">
        <v>31.69</v>
      </c>
      <c r="F59" s="7">
        <v>44.11</v>
      </c>
      <c r="G59" s="7"/>
      <c r="I59" t="str">
        <f>TEXT(C65,"#,##0")&amp;" ("&amp;TEXT(C68,"0.00")&amp;")"</f>
        <v>3,413 (22.00)</v>
      </c>
      <c r="J59" t="str">
        <f t="shared" ref="J59:L59" si="14">TEXT(D65,"#,##0")&amp;" ("&amp;TEXT(D68,"0.00")&amp;")"</f>
        <v>4,650 (26.62)</v>
      </c>
      <c r="K59" t="str">
        <f t="shared" si="14"/>
        <v>4,917 (27.33)</v>
      </c>
      <c r="L59" t="str">
        <f t="shared" si="14"/>
        <v>4,778 (27.05)</v>
      </c>
    </row>
    <row r="60" spans="1:12" x14ac:dyDescent="0.3">
      <c r="A60" s="2"/>
      <c r="B60" s="17"/>
      <c r="C60" s="7">
        <v>3.6</v>
      </c>
      <c r="D60" s="7">
        <v>9.5500000000000007</v>
      </c>
      <c r="E60" s="7">
        <v>16.21</v>
      </c>
      <c r="F60" s="7">
        <v>22.98</v>
      </c>
      <c r="G60" s="7"/>
      <c r="I60" t="str">
        <f>TEXT(C69,"#,##0")&amp;" ("&amp;TEXT(C72,"0.00")&amp;")"</f>
        <v>10,789 (69.54)</v>
      </c>
      <c r="J60" t="str">
        <f t="shared" ref="J60:L60" si="15">TEXT(D69,"#,##0")&amp;" ("&amp;TEXT(D72,"0.00")&amp;")"</f>
        <v>9,447 (54.07)</v>
      </c>
      <c r="K60" t="str">
        <f t="shared" si="15"/>
        <v>7,711 (42.87)</v>
      </c>
      <c r="L60" t="str">
        <f t="shared" si="15"/>
        <v>5,794 (32.80)</v>
      </c>
    </row>
    <row r="61" spans="1:12" x14ac:dyDescent="0.3">
      <c r="A61" s="2"/>
      <c r="B61" s="17">
        <v>2</v>
      </c>
      <c r="C61" s="7">
        <v>754</v>
      </c>
      <c r="D61" s="7">
        <v>1706</v>
      </c>
      <c r="E61" s="7">
        <v>2445</v>
      </c>
      <c r="F61" s="7">
        <v>3032</v>
      </c>
      <c r="G61" s="7">
        <v>7937</v>
      </c>
    </row>
    <row r="62" spans="1:12" x14ac:dyDescent="0.3">
      <c r="A62" s="2"/>
      <c r="B62" s="17"/>
      <c r="C62" s="7">
        <v>1.1000000000000001</v>
      </c>
      <c r="D62" s="7">
        <v>2.4900000000000002</v>
      </c>
      <c r="E62" s="7">
        <v>3.56</v>
      </c>
      <c r="F62" s="7">
        <v>4.42</v>
      </c>
      <c r="G62" s="7">
        <v>11.56</v>
      </c>
    </row>
    <row r="63" spans="1:12" x14ac:dyDescent="0.3">
      <c r="A63" s="2"/>
      <c r="B63" s="17"/>
      <c r="C63" s="7">
        <v>9.5</v>
      </c>
      <c r="D63" s="7">
        <v>21.49</v>
      </c>
      <c r="E63" s="7">
        <v>30.81</v>
      </c>
      <c r="F63" s="7">
        <v>38.200000000000003</v>
      </c>
      <c r="G63" s="7"/>
    </row>
    <row r="64" spans="1:12" x14ac:dyDescent="0.3">
      <c r="A64" s="2"/>
      <c r="B64" s="17"/>
      <c r="C64" s="7">
        <v>4.8600000000000003</v>
      </c>
      <c r="D64" s="7">
        <v>9.76</v>
      </c>
      <c r="E64" s="7">
        <v>13.59</v>
      </c>
      <c r="F64" s="7">
        <v>17.170000000000002</v>
      </c>
      <c r="G64" s="7"/>
    </row>
    <row r="65" spans="1:12" x14ac:dyDescent="0.3">
      <c r="A65" s="2"/>
      <c r="B65" s="17">
        <v>3</v>
      </c>
      <c r="C65" s="7">
        <v>3413</v>
      </c>
      <c r="D65" s="7">
        <v>4650</v>
      </c>
      <c r="E65" s="7">
        <v>4917</v>
      </c>
      <c r="F65" s="7">
        <v>4778</v>
      </c>
      <c r="G65" s="7">
        <v>17758</v>
      </c>
    </row>
    <row r="66" spans="1:12" x14ac:dyDescent="0.3">
      <c r="A66" s="2"/>
      <c r="B66" s="17"/>
      <c r="C66" s="7">
        <v>4.97</v>
      </c>
      <c r="D66" s="7">
        <v>6.77</v>
      </c>
      <c r="E66" s="7">
        <v>7.16</v>
      </c>
      <c r="F66" s="7">
        <v>6.96</v>
      </c>
      <c r="G66" s="7">
        <v>25.87</v>
      </c>
    </row>
    <row r="67" spans="1:12" x14ac:dyDescent="0.3">
      <c r="A67" s="2"/>
      <c r="B67" s="17"/>
      <c r="C67" s="7">
        <v>19.22</v>
      </c>
      <c r="D67" s="7">
        <v>26.19</v>
      </c>
      <c r="E67" s="7">
        <v>27.69</v>
      </c>
      <c r="F67" s="7">
        <v>26.91</v>
      </c>
      <c r="G67" s="7"/>
    </row>
    <row r="68" spans="1:12" x14ac:dyDescent="0.3">
      <c r="A68" s="2"/>
      <c r="B68" s="17"/>
      <c r="C68" s="7">
        <v>22</v>
      </c>
      <c r="D68" s="7">
        <v>26.62</v>
      </c>
      <c r="E68" s="7">
        <v>27.33</v>
      </c>
      <c r="F68" s="7">
        <v>27.05</v>
      </c>
      <c r="G68" s="7"/>
    </row>
    <row r="69" spans="1:12" x14ac:dyDescent="0.3">
      <c r="A69" s="2"/>
      <c r="B69" s="17">
        <v>4</v>
      </c>
      <c r="C69" s="7">
        <v>10789</v>
      </c>
      <c r="D69" s="7">
        <v>9447</v>
      </c>
      <c r="E69" s="7">
        <v>7711</v>
      </c>
      <c r="F69" s="7">
        <v>5794</v>
      </c>
      <c r="G69" s="7">
        <v>33741</v>
      </c>
    </row>
    <row r="70" spans="1:12" x14ac:dyDescent="0.3">
      <c r="A70" s="2"/>
      <c r="B70" s="17"/>
      <c r="C70" s="7">
        <v>15.72</v>
      </c>
      <c r="D70" s="7">
        <v>13.76</v>
      </c>
      <c r="E70" s="7">
        <v>11.23</v>
      </c>
      <c r="F70" s="7">
        <v>8.44</v>
      </c>
      <c r="G70" s="7">
        <v>49.16</v>
      </c>
    </row>
    <row r="71" spans="1:12" x14ac:dyDescent="0.3">
      <c r="A71" s="2"/>
      <c r="B71" s="17"/>
      <c r="C71" s="7">
        <v>31.98</v>
      </c>
      <c r="D71" s="7">
        <v>28</v>
      </c>
      <c r="E71" s="7">
        <v>22.85</v>
      </c>
      <c r="F71" s="7">
        <v>17.170000000000002</v>
      </c>
      <c r="G71" s="7"/>
    </row>
    <row r="72" spans="1:12" x14ac:dyDescent="0.3">
      <c r="A72" s="2"/>
      <c r="B72" s="17"/>
      <c r="C72" s="7">
        <v>69.540000000000006</v>
      </c>
      <c r="D72" s="7">
        <v>54.07</v>
      </c>
      <c r="E72" s="7">
        <v>42.87</v>
      </c>
      <c r="F72" s="7">
        <v>32.799999999999997</v>
      </c>
      <c r="G72" s="7"/>
    </row>
    <row r="73" spans="1:12" x14ac:dyDescent="0.3">
      <c r="A73" s="2"/>
      <c r="B73" s="17" t="s">
        <v>26</v>
      </c>
      <c r="C73" s="7">
        <v>15514</v>
      </c>
      <c r="D73" s="7">
        <v>17471</v>
      </c>
      <c r="E73" s="7">
        <v>17988</v>
      </c>
      <c r="F73" s="7">
        <v>17662</v>
      </c>
      <c r="G73" s="7">
        <v>68635</v>
      </c>
    </row>
    <row r="74" spans="1:12" x14ac:dyDescent="0.3">
      <c r="A74" s="2"/>
      <c r="B74" s="17"/>
      <c r="C74" s="7">
        <v>22.6</v>
      </c>
      <c r="D74" s="7">
        <v>25.45</v>
      </c>
      <c r="E74" s="7">
        <v>26.21</v>
      </c>
      <c r="F74" s="7">
        <v>25.73</v>
      </c>
      <c r="G74" s="7">
        <v>100</v>
      </c>
    </row>
    <row r="75" spans="1:12" x14ac:dyDescent="0.3">
      <c r="A75" s="2"/>
      <c r="B75" s="20"/>
      <c r="C75" s="20"/>
      <c r="D75" s="20"/>
      <c r="E75" s="20"/>
      <c r="F75" s="20"/>
      <c r="G75" s="20"/>
    </row>
    <row r="76" spans="1:12" ht="17.25" thickBot="1" x14ac:dyDescent="0.35"/>
    <row r="77" spans="1:12" ht="16.5" customHeight="1" x14ac:dyDescent="0.3">
      <c r="A77" s="4" t="s">
        <v>3</v>
      </c>
      <c r="B77" s="16" t="s">
        <v>47</v>
      </c>
      <c r="C77" s="18"/>
      <c r="D77" s="18"/>
      <c r="E77" s="18"/>
      <c r="F77" s="18"/>
      <c r="G77" s="18"/>
    </row>
    <row r="78" spans="1:12" ht="16.5" customHeight="1" x14ac:dyDescent="0.3">
      <c r="A78" s="6" t="s">
        <v>4</v>
      </c>
      <c r="B78" s="17" t="s">
        <v>9</v>
      </c>
      <c r="C78" s="19" t="s">
        <v>43</v>
      </c>
      <c r="D78" s="19"/>
      <c r="E78" s="19"/>
      <c r="F78" s="19"/>
      <c r="G78" s="19"/>
    </row>
    <row r="79" spans="1:12" x14ac:dyDescent="0.3">
      <c r="A79" s="6" t="s">
        <v>22</v>
      </c>
      <c r="B79" s="17"/>
      <c r="C79" s="3">
        <v>1</v>
      </c>
      <c r="D79" s="3">
        <v>2</v>
      </c>
      <c r="E79" s="3">
        <v>3</v>
      </c>
      <c r="F79" s="3">
        <v>4</v>
      </c>
      <c r="G79" s="3" t="s">
        <v>26</v>
      </c>
    </row>
    <row r="80" spans="1:12" ht="33" x14ac:dyDescent="0.3">
      <c r="A80" s="6" t="s">
        <v>23</v>
      </c>
      <c r="B80" s="17">
        <v>1</v>
      </c>
      <c r="C80" s="7">
        <v>1355</v>
      </c>
      <c r="D80" s="7">
        <v>2292</v>
      </c>
      <c r="E80" s="7">
        <v>3196</v>
      </c>
      <c r="F80" s="7">
        <v>4422</v>
      </c>
      <c r="G80" s="7">
        <v>11265</v>
      </c>
      <c r="I80" t="str">
        <f>TEXT(C80,"#,##0")&amp;" ("&amp;TEXT(C83,"0.00")&amp;")"</f>
        <v>1,355 (8.73)</v>
      </c>
      <c r="J80" t="str">
        <f t="shared" ref="J80:L80" si="16">TEXT(D80,"#,##0")&amp;" ("&amp;TEXT(D83,"0.00")&amp;")"</f>
        <v>2,292 (13.12)</v>
      </c>
      <c r="K80" t="str">
        <f t="shared" si="16"/>
        <v>3,196 (17.77)</v>
      </c>
      <c r="L80" t="str">
        <f t="shared" si="16"/>
        <v>4,422 (25.04)</v>
      </c>
    </row>
    <row r="81" spans="1:12" x14ac:dyDescent="0.3">
      <c r="A81" s="2"/>
      <c r="B81" s="17"/>
      <c r="C81" s="7">
        <v>1.97</v>
      </c>
      <c r="D81" s="7">
        <v>3.34</v>
      </c>
      <c r="E81" s="7">
        <v>4.66</v>
      </c>
      <c r="F81" s="7">
        <v>6.44</v>
      </c>
      <c r="G81" s="7">
        <v>16.41</v>
      </c>
      <c r="I81" t="str">
        <f>TEXT(C84,"#,##0")&amp;" ("&amp;TEXT(C87,"0.00")&amp;")"</f>
        <v>3,511 (22.63)</v>
      </c>
      <c r="J81" t="str">
        <f t="shared" ref="J81:L81" si="17">TEXT(D84,"#,##0")&amp;" ("&amp;TEXT(D87,"0.00")&amp;")"</f>
        <v>4,182 (23.94)</v>
      </c>
      <c r="K81" t="str">
        <f t="shared" si="17"/>
        <v>4,465 (24.82)</v>
      </c>
      <c r="L81" t="str">
        <f t="shared" si="17"/>
        <v>4,676 (26.47)</v>
      </c>
    </row>
    <row r="82" spans="1:12" x14ac:dyDescent="0.3">
      <c r="A82" s="2"/>
      <c r="B82" s="17"/>
      <c r="C82" s="7">
        <v>12.03</v>
      </c>
      <c r="D82" s="7">
        <v>20.350000000000001</v>
      </c>
      <c r="E82" s="7">
        <v>28.37</v>
      </c>
      <c r="F82" s="7">
        <v>39.25</v>
      </c>
      <c r="G82" s="7"/>
      <c r="I82" t="str">
        <f>TEXT(C88,"#,##0")&amp;" ("&amp;TEXT(C91,"0.00")&amp;")"</f>
        <v>4,856 (31.30)</v>
      </c>
      <c r="J82" t="str">
        <f t="shared" ref="J82:L82" si="18">TEXT(D88,"#,##0")&amp;" ("&amp;TEXT(D91,"0.00")&amp;")"</f>
        <v>5,319 (30.44)</v>
      </c>
      <c r="K82" t="str">
        <f t="shared" si="18"/>
        <v>5,106 (28.39)</v>
      </c>
      <c r="L82" t="str">
        <f t="shared" si="18"/>
        <v>4,305 (24.37)</v>
      </c>
    </row>
    <row r="83" spans="1:12" x14ac:dyDescent="0.3">
      <c r="A83" s="2"/>
      <c r="B83" s="17"/>
      <c r="C83" s="7">
        <v>8.73</v>
      </c>
      <c r="D83" s="7">
        <v>13.12</v>
      </c>
      <c r="E83" s="7">
        <v>17.77</v>
      </c>
      <c r="F83" s="7">
        <v>25.04</v>
      </c>
      <c r="G83" s="7"/>
      <c r="I83" t="str">
        <f>TEXT(C92,"#,##0")&amp;" ("&amp;TEXT(C95,"0.00")&amp;")"</f>
        <v>5,792 (37.33)</v>
      </c>
      <c r="J83" t="str">
        <f t="shared" ref="J83:L83" si="19">TEXT(D92,"#,##0")&amp;" ("&amp;TEXT(D95,"0.00")&amp;")"</f>
        <v>5,678 (32.50)</v>
      </c>
      <c r="K83" t="str">
        <f t="shared" si="19"/>
        <v>5,221 (29.02)</v>
      </c>
      <c r="L83" t="str">
        <f t="shared" si="19"/>
        <v>4,259 (24.11)</v>
      </c>
    </row>
    <row r="84" spans="1:12" x14ac:dyDescent="0.3">
      <c r="A84" s="2"/>
      <c r="B84" s="17">
        <v>2</v>
      </c>
      <c r="C84" s="7">
        <v>3511</v>
      </c>
      <c r="D84" s="7">
        <v>4182</v>
      </c>
      <c r="E84" s="7">
        <v>4465</v>
      </c>
      <c r="F84" s="7">
        <v>4676</v>
      </c>
      <c r="G84" s="7">
        <v>16834</v>
      </c>
    </row>
    <row r="85" spans="1:12" x14ac:dyDescent="0.3">
      <c r="A85" s="2"/>
      <c r="B85" s="17"/>
      <c r="C85" s="7">
        <v>5.12</v>
      </c>
      <c r="D85" s="7">
        <v>6.09</v>
      </c>
      <c r="E85" s="7">
        <v>6.51</v>
      </c>
      <c r="F85" s="7">
        <v>6.81</v>
      </c>
      <c r="G85" s="7">
        <v>24.53</v>
      </c>
    </row>
    <row r="86" spans="1:12" x14ac:dyDescent="0.3">
      <c r="A86" s="2"/>
      <c r="B86" s="17"/>
      <c r="C86" s="7">
        <v>20.86</v>
      </c>
      <c r="D86" s="7">
        <v>24.84</v>
      </c>
      <c r="E86" s="7">
        <v>26.52</v>
      </c>
      <c r="F86" s="7">
        <v>27.78</v>
      </c>
      <c r="G86" s="7"/>
    </row>
    <row r="87" spans="1:12" x14ac:dyDescent="0.3">
      <c r="A87" s="2"/>
      <c r="B87" s="17"/>
      <c r="C87" s="7">
        <v>22.63</v>
      </c>
      <c r="D87" s="7">
        <v>23.94</v>
      </c>
      <c r="E87" s="7">
        <v>24.82</v>
      </c>
      <c r="F87" s="7">
        <v>26.47</v>
      </c>
      <c r="G87" s="7"/>
    </row>
    <row r="88" spans="1:12" x14ac:dyDescent="0.3">
      <c r="A88" s="2"/>
      <c r="B88" s="17">
        <v>3</v>
      </c>
      <c r="C88" s="7">
        <v>4856</v>
      </c>
      <c r="D88" s="7">
        <v>5319</v>
      </c>
      <c r="E88" s="7">
        <v>5106</v>
      </c>
      <c r="F88" s="7">
        <v>4305</v>
      </c>
      <c r="G88" s="7">
        <v>19586</v>
      </c>
    </row>
    <row r="89" spans="1:12" x14ac:dyDescent="0.3">
      <c r="A89" s="2"/>
      <c r="B89" s="17"/>
      <c r="C89" s="7">
        <v>7.08</v>
      </c>
      <c r="D89" s="7">
        <v>7.75</v>
      </c>
      <c r="E89" s="7">
        <v>7.44</v>
      </c>
      <c r="F89" s="7">
        <v>6.27</v>
      </c>
      <c r="G89" s="7">
        <v>28.54</v>
      </c>
    </row>
    <row r="90" spans="1:12" x14ac:dyDescent="0.3">
      <c r="A90" s="2"/>
      <c r="B90" s="17"/>
      <c r="C90" s="7">
        <v>24.79</v>
      </c>
      <c r="D90" s="7">
        <v>27.16</v>
      </c>
      <c r="E90" s="7">
        <v>26.07</v>
      </c>
      <c r="F90" s="7">
        <v>21.98</v>
      </c>
      <c r="G90" s="7"/>
    </row>
    <row r="91" spans="1:12" x14ac:dyDescent="0.3">
      <c r="A91" s="2"/>
      <c r="B91" s="17"/>
      <c r="C91" s="7">
        <v>31.3</v>
      </c>
      <c r="D91" s="7">
        <v>30.44</v>
      </c>
      <c r="E91" s="7">
        <v>28.39</v>
      </c>
      <c r="F91" s="7">
        <v>24.37</v>
      </c>
      <c r="G91" s="7"/>
    </row>
    <row r="92" spans="1:12" x14ac:dyDescent="0.3">
      <c r="A92" s="2"/>
      <c r="B92" s="17">
        <v>4</v>
      </c>
      <c r="C92" s="7">
        <v>5792</v>
      </c>
      <c r="D92" s="7">
        <v>5678</v>
      </c>
      <c r="E92" s="7">
        <v>5221</v>
      </c>
      <c r="F92" s="7">
        <v>4259</v>
      </c>
      <c r="G92" s="7">
        <v>20950</v>
      </c>
    </row>
    <row r="93" spans="1:12" x14ac:dyDescent="0.3">
      <c r="A93" s="2"/>
      <c r="B93" s="17"/>
      <c r="C93" s="7">
        <v>8.44</v>
      </c>
      <c r="D93" s="7">
        <v>8.27</v>
      </c>
      <c r="E93" s="7">
        <v>7.61</v>
      </c>
      <c r="F93" s="7">
        <v>6.21</v>
      </c>
      <c r="G93" s="7">
        <v>30.52</v>
      </c>
    </row>
    <row r="94" spans="1:12" x14ac:dyDescent="0.3">
      <c r="A94" s="2"/>
      <c r="B94" s="17"/>
      <c r="C94" s="7">
        <v>27.65</v>
      </c>
      <c r="D94" s="7">
        <v>27.1</v>
      </c>
      <c r="E94" s="7">
        <v>24.92</v>
      </c>
      <c r="F94" s="7">
        <v>20.329999999999998</v>
      </c>
      <c r="G94" s="7"/>
    </row>
    <row r="95" spans="1:12" x14ac:dyDescent="0.3">
      <c r="A95" s="2"/>
      <c r="B95" s="17"/>
      <c r="C95" s="7">
        <v>37.33</v>
      </c>
      <c r="D95" s="7">
        <v>32.5</v>
      </c>
      <c r="E95" s="7">
        <v>29.02</v>
      </c>
      <c r="F95" s="7">
        <v>24.11</v>
      </c>
      <c r="G95" s="7"/>
    </row>
    <row r="96" spans="1:12" x14ac:dyDescent="0.3">
      <c r="A96" s="2"/>
      <c r="B96" s="17" t="s">
        <v>26</v>
      </c>
      <c r="C96" s="7">
        <v>15514</v>
      </c>
      <c r="D96" s="7">
        <v>17471</v>
      </c>
      <c r="E96" s="7">
        <v>17988</v>
      </c>
      <c r="F96" s="7">
        <v>17662</v>
      </c>
      <c r="G96" s="7">
        <v>68635</v>
      </c>
    </row>
    <row r="97" spans="1:12" x14ac:dyDescent="0.3">
      <c r="A97" s="2"/>
      <c r="B97" s="17"/>
      <c r="C97" s="7">
        <v>22.6</v>
      </c>
      <c r="D97" s="7">
        <v>25.45</v>
      </c>
      <c r="E97" s="7">
        <v>26.21</v>
      </c>
      <c r="F97" s="7">
        <v>25.73</v>
      </c>
      <c r="G97" s="7">
        <v>100</v>
      </c>
    </row>
    <row r="98" spans="1:12" x14ac:dyDescent="0.3">
      <c r="A98" s="2"/>
      <c r="B98" s="20"/>
      <c r="C98" s="20"/>
      <c r="D98" s="20"/>
      <c r="E98" s="20"/>
      <c r="F98" s="20"/>
      <c r="G98" s="20"/>
    </row>
    <row r="99" spans="1:12" ht="17.25" thickBot="1" x14ac:dyDescent="0.35"/>
    <row r="100" spans="1:12" ht="16.5" customHeight="1" x14ac:dyDescent="0.3">
      <c r="A100" s="4" t="s">
        <v>3</v>
      </c>
      <c r="B100" s="16" t="s">
        <v>48</v>
      </c>
      <c r="C100" s="18"/>
      <c r="D100" s="18"/>
      <c r="E100" s="18"/>
      <c r="F100" s="18"/>
      <c r="G100" s="18"/>
    </row>
    <row r="101" spans="1:12" ht="16.5" customHeight="1" x14ac:dyDescent="0.3">
      <c r="A101" s="6" t="s">
        <v>4</v>
      </c>
      <c r="B101" s="17" t="s">
        <v>10</v>
      </c>
      <c r="C101" s="19" t="s">
        <v>43</v>
      </c>
      <c r="D101" s="19"/>
      <c r="E101" s="19"/>
      <c r="F101" s="19"/>
      <c r="G101" s="19"/>
    </row>
    <row r="102" spans="1:12" x14ac:dyDescent="0.3">
      <c r="A102" s="6" t="s">
        <v>22</v>
      </c>
      <c r="B102" s="17"/>
      <c r="C102" s="3">
        <v>1</v>
      </c>
      <c r="D102" s="3">
        <v>2</v>
      </c>
      <c r="E102" s="3">
        <v>3</v>
      </c>
      <c r="F102" s="3">
        <v>4</v>
      </c>
      <c r="G102" s="3" t="s">
        <v>26</v>
      </c>
    </row>
    <row r="103" spans="1:12" ht="33" x14ac:dyDescent="0.3">
      <c r="A103" s="6" t="s">
        <v>23</v>
      </c>
      <c r="B103" s="17">
        <v>1</v>
      </c>
      <c r="C103" s="7">
        <v>1417</v>
      </c>
      <c r="D103" s="7">
        <v>863</v>
      </c>
      <c r="E103" s="7">
        <v>355</v>
      </c>
      <c r="F103" s="7">
        <v>142</v>
      </c>
      <c r="G103" s="7">
        <v>2777</v>
      </c>
      <c r="I103" t="str">
        <f>TEXT(C103,"#,##0")&amp;" ("&amp;TEXT(C106,"0.00")&amp;")"</f>
        <v>1,417 (9.13)</v>
      </c>
      <c r="J103" t="str">
        <f t="shared" ref="J103:L103" si="20">TEXT(D103,"#,##0")&amp;" ("&amp;TEXT(D106,"0.00")&amp;")"</f>
        <v>863 (4.94)</v>
      </c>
      <c r="K103" t="str">
        <f t="shared" si="20"/>
        <v>355 (1.97)</v>
      </c>
      <c r="L103" t="str">
        <f t="shared" si="20"/>
        <v>142 (0.80)</v>
      </c>
    </row>
    <row r="104" spans="1:12" x14ac:dyDescent="0.3">
      <c r="A104" s="2"/>
      <c r="B104" s="17"/>
      <c r="C104" s="7">
        <v>2.06</v>
      </c>
      <c r="D104" s="7">
        <v>1.26</v>
      </c>
      <c r="E104" s="7">
        <v>0.52</v>
      </c>
      <c r="F104" s="7">
        <v>0.21</v>
      </c>
      <c r="G104" s="7">
        <v>4.05</v>
      </c>
      <c r="I104" t="str">
        <f>TEXT(C107,"#,##0")&amp;" ("&amp;TEXT(C110,"0.00")&amp;")"</f>
        <v>9,129 (58.84)</v>
      </c>
      <c r="J104" t="str">
        <f t="shared" ref="J104:L104" si="21">TEXT(D107,"#,##0")&amp;" ("&amp;TEXT(D110,"0.00")&amp;")"</f>
        <v>7,543 (43.17)</v>
      </c>
      <c r="K104" t="str">
        <f t="shared" si="21"/>
        <v>5,563 (30.93)</v>
      </c>
      <c r="L104" t="str">
        <f t="shared" si="21"/>
        <v>4,200 (23.78)</v>
      </c>
    </row>
    <row r="105" spans="1:12" x14ac:dyDescent="0.3">
      <c r="A105" s="2"/>
      <c r="B105" s="17"/>
      <c r="C105" s="7">
        <v>51.03</v>
      </c>
      <c r="D105" s="7">
        <v>31.08</v>
      </c>
      <c r="E105" s="7">
        <v>12.78</v>
      </c>
      <c r="F105" s="7">
        <v>5.1100000000000003</v>
      </c>
      <c r="G105" s="7"/>
      <c r="I105" t="str">
        <f>TEXT(C111,"#,##0")&amp;" ("&amp;TEXT(C114,"0.00")&amp;")"</f>
        <v>2,804 (18.07)</v>
      </c>
      <c r="J105" t="str">
        <f t="shared" ref="J105:L105" si="22">TEXT(D111,"#,##0")&amp;" ("&amp;TEXT(D114,"0.00")&amp;")"</f>
        <v>4,177 (23.91)</v>
      </c>
      <c r="K105" t="str">
        <f t="shared" si="22"/>
        <v>4,662 (25.92)</v>
      </c>
      <c r="L105" t="str">
        <f t="shared" si="22"/>
        <v>4,622 (26.17)</v>
      </c>
    </row>
    <row r="106" spans="1:12" x14ac:dyDescent="0.3">
      <c r="A106" s="2"/>
      <c r="B106" s="17"/>
      <c r="C106" s="7">
        <v>9.1300000000000008</v>
      </c>
      <c r="D106" s="7">
        <v>4.9400000000000004</v>
      </c>
      <c r="E106" s="7">
        <v>1.97</v>
      </c>
      <c r="F106" s="7">
        <v>0.8</v>
      </c>
      <c r="G106" s="7"/>
      <c r="I106" t="str">
        <f>TEXT(C115,"#,##0")&amp;" ("&amp;TEXT(C118,"0.00")&amp;")"</f>
        <v>2,164 (13.95)</v>
      </c>
      <c r="J106" t="str">
        <f t="shared" ref="J106:L106" si="23">TEXT(D115,"#,##0")&amp;" ("&amp;TEXT(D118,"0.00")&amp;")"</f>
        <v>4,888 (27.98)</v>
      </c>
      <c r="K106" t="str">
        <f t="shared" si="23"/>
        <v>7,408 (41.18)</v>
      </c>
      <c r="L106" t="str">
        <f t="shared" si="23"/>
        <v>8,698 (49.25)</v>
      </c>
    </row>
    <row r="107" spans="1:12" x14ac:dyDescent="0.3">
      <c r="A107" s="2"/>
      <c r="B107" s="17">
        <v>2</v>
      </c>
      <c r="C107" s="7">
        <v>9129</v>
      </c>
      <c r="D107" s="7">
        <v>7543</v>
      </c>
      <c r="E107" s="7">
        <v>5563</v>
      </c>
      <c r="F107" s="7">
        <v>4200</v>
      </c>
      <c r="G107" s="7">
        <v>26435</v>
      </c>
    </row>
    <row r="108" spans="1:12" x14ac:dyDescent="0.3">
      <c r="A108" s="2"/>
      <c r="B108" s="17"/>
      <c r="C108" s="7">
        <v>13.3</v>
      </c>
      <c r="D108" s="7">
        <v>10.99</v>
      </c>
      <c r="E108" s="7">
        <v>8.11</v>
      </c>
      <c r="F108" s="7">
        <v>6.12</v>
      </c>
      <c r="G108" s="7">
        <v>38.520000000000003</v>
      </c>
    </row>
    <row r="109" spans="1:12" x14ac:dyDescent="0.3">
      <c r="A109" s="2"/>
      <c r="B109" s="17"/>
      <c r="C109" s="7">
        <v>34.53</v>
      </c>
      <c r="D109" s="7">
        <v>28.53</v>
      </c>
      <c r="E109" s="7">
        <v>21.04</v>
      </c>
      <c r="F109" s="7">
        <v>15.89</v>
      </c>
      <c r="G109" s="7"/>
    </row>
    <row r="110" spans="1:12" x14ac:dyDescent="0.3">
      <c r="A110" s="2"/>
      <c r="B110" s="17"/>
      <c r="C110" s="7">
        <v>58.84</v>
      </c>
      <c r="D110" s="7">
        <v>43.17</v>
      </c>
      <c r="E110" s="7">
        <v>30.93</v>
      </c>
      <c r="F110" s="7">
        <v>23.78</v>
      </c>
      <c r="G110" s="7"/>
    </row>
    <row r="111" spans="1:12" x14ac:dyDescent="0.3">
      <c r="A111" s="2"/>
      <c r="B111" s="17">
        <v>3</v>
      </c>
      <c r="C111" s="7">
        <v>2804</v>
      </c>
      <c r="D111" s="7">
        <v>4177</v>
      </c>
      <c r="E111" s="7">
        <v>4662</v>
      </c>
      <c r="F111" s="7">
        <v>4622</v>
      </c>
      <c r="G111" s="7">
        <v>16265</v>
      </c>
    </row>
    <row r="112" spans="1:12" x14ac:dyDescent="0.3">
      <c r="A112" s="2"/>
      <c r="B112" s="17"/>
      <c r="C112" s="7">
        <v>4.09</v>
      </c>
      <c r="D112" s="7">
        <v>6.09</v>
      </c>
      <c r="E112" s="7">
        <v>6.79</v>
      </c>
      <c r="F112" s="7">
        <v>6.73</v>
      </c>
      <c r="G112" s="7">
        <v>23.7</v>
      </c>
    </row>
    <row r="113" spans="1:12" x14ac:dyDescent="0.3">
      <c r="A113" s="2"/>
      <c r="B113" s="17"/>
      <c r="C113" s="7">
        <v>17.239999999999998</v>
      </c>
      <c r="D113" s="7">
        <v>25.68</v>
      </c>
      <c r="E113" s="7">
        <v>28.66</v>
      </c>
      <c r="F113" s="7">
        <v>28.42</v>
      </c>
      <c r="G113" s="7"/>
    </row>
    <row r="114" spans="1:12" x14ac:dyDescent="0.3">
      <c r="A114" s="2"/>
      <c r="B114" s="17"/>
      <c r="C114" s="7">
        <v>18.07</v>
      </c>
      <c r="D114" s="7">
        <v>23.91</v>
      </c>
      <c r="E114" s="7">
        <v>25.92</v>
      </c>
      <c r="F114" s="7">
        <v>26.17</v>
      </c>
      <c r="G114" s="7"/>
    </row>
    <row r="115" spans="1:12" x14ac:dyDescent="0.3">
      <c r="A115" s="2"/>
      <c r="B115" s="17">
        <v>4</v>
      </c>
      <c r="C115" s="7">
        <v>2164</v>
      </c>
      <c r="D115" s="7">
        <v>4888</v>
      </c>
      <c r="E115" s="7">
        <v>7408</v>
      </c>
      <c r="F115" s="7">
        <v>8698</v>
      </c>
      <c r="G115" s="7">
        <v>23158</v>
      </c>
    </row>
    <row r="116" spans="1:12" x14ac:dyDescent="0.3">
      <c r="A116" s="2"/>
      <c r="B116" s="17"/>
      <c r="C116" s="7">
        <v>3.15</v>
      </c>
      <c r="D116" s="7">
        <v>7.12</v>
      </c>
      <c r="E116" s="7">
        <v>10.79</v>
      </c>
      <c r="F116" s="7">
        <v>12.67</v>
      </c>
      <c r="G116" s="7">
        <v>33.74</v>
      </c>
    </row>
    <row r="117" spans="1:12" x14ac:dyDescent="0.3">
      <c r="A117" s="2"/>
      <c r="B117" s="17"/>
      <c r="C117" s="7">
        <v>9.34</v>
      </c>
      <c r="D117" s="7">
        <v>21.11</v>
      </c>
      <c r="E117" s="7">
        <v>31.99</v>
      </c>
      <c r="F117" s="7">
        <v>37.56</v>
      </c>
      <c r="G117" s="7"/>
    </row>
    <row r="118" spans="1:12" x14ac:dyDescent="0.3">
      <c r="A118" s="2"/>
      <c r="B118" s="17"/>
      <c r="C118" s="7">
        <v>13.95</v>
      </c>
      <c r="D118" s="7">
        <v>27.98</v>
      </c>
      <c r="E118" s="7">
        <v>41.18</v>
      </c>
      <c r="F118" s="7">
        <v>49.25</v>
      </c>
      <c r="G118" s="7"/>
    </row>
    <row r="119" spans="1:12" x14ac:dyDescent="0.3">
      <c r="A119" s="2"/>
      <c r="B119" s="17" t="s">
        <v>26</v>
      </c>
      <c r="C119" s="7">
        <v>15514</v>
      </c>
      <c r="D119" s="7">
        <v>17471</v>
      </c>
      <c r="E119" s="7">
        <v>17988</v>
      </c>
      <c r="F119" s="7">
        <v>17662</v>
      </c>
      <c r="G119" s="7">
        <v>68635</v>
      </c>
    </row>
    <row r="120" spans="1:12" x14ac:dyDescent="0.3">
      <c r="A120" s="2"/>
      <c r="B120" s="17"/>
      <c r="C120" s="7">
        <v>22.6</v>
      </c>
      <c r="D120" s="7">
        <v>25.45</v>
      </c>
      <c r="E120" s="7">
        <v>26.21</v>
      </c>
      <c r="F120" s="7">
        <v>25.73</v>
      </c>
      <c r="G120" s="7">
        <v>100</v>
      </c>
    </row>
    <row r="121" spans="1:12" x14ac:dyDescent="0.3">
      <c r="A121" s="2"/>
      <c r="B121" s="20"/>
      <c r="C121" s="20"/>
      <c r="D121" s="20"/>
      <c r="E121" s="20"/>
      <c r="F121" s="20"/>
      <c r="G121" s="20"/>
    </row>
    <row r="122" spans="1:12" ht="17.25" thickBot="1" x14ac:dyDescent="0.35"/>
    <row r="123" spans="1:12" ht="16.5" customHeight="1" x14ac:dyDescent="0.3">
      <c r="A123" s="4" t="s">
        <v>3</v>
      </c>
      <c r="B123" s="16" t="s">
        <v>49</v>
      </c>
      <c r="C123" s="18"/>
      <c r="D123" s="18"/>
      <c r="E123" s="18"/>
      <c r="F123" s="18"/>
      <c r="G123" s="18"/>
    </row>
    <row r="124" spans="1:12" ht="16.5" customHeight="1" x14ac:dyDescent="0.3">
      <c r="A124" s="6" t="s">
        <v>4</v>
      </c>
      <c r="B124" s="17" t="s">
        <v>11</v>
      </c>
      <c r="C124" s="19" t="s">
        <v>43</v>
      </c>
      <c r="D124" s="19"/>
      <c r="E124" s="19"/>
      <c r="F124" s="19"/>
      <c r="G124" s="19"/>
    </row>
    <row r="125" spans="1:12" x14ac:dyDescent="0.3">
      <c r="A125" s="6" t="s">
        <v>22</v>
      </c>
      <c r="B125" s="17"/>
      <c r="C125" s="3">
        <v>1</v>
      </c>
      <c r="D125" s="3">
        <v>2</v>
      </c>
      <c r="E125" s="3">
        <v>3</v>
      </c>
      <c r="F125" s="3">
        <v>4</v>
      </c>
      <c r="G125" s="3" t="s">
        <v>26</v>
      </c>
    </row>
    <row r="126" spans="1:12" ht="33" x14ac:dyDescent="0.3">
      <c r="A126" s="6" t="s">
        <v>23</v>
      </c>
      <c r="B126" s="17">
        <v>1</v>
      </c>
      <c r="C126" s="7">
        <v>10107</v>
      </c>
      <c r="D126" s="7">
        <v>14111</v>
      </c>
      <c r="E126" s="7">
        <v>16083</v>
      </c>
      <c r="F126" s="7">
        <v>16513</v>
      </c>
      <c r="G126" s="7">
        <v>56814</v>
      </c>
      <c r="I126" t="str">
        <f>TEXT(C126,"#,##0")&amp;" ("&amp;TEXT(C129,"0.00")&amp;")"</f>
        <v>10,107 (65.15)</v>
      </c>
      <c r="J126" t="str">
        <f t="shared" ref="J126:L126" si="24">TEXT(D126,"#,##0")&amp;" ("&amp;TEXT(D129,"0.00")&amp;")"</f>
        <v>14,111 (80.77)</v>
      </c>
      <c r="K126" t="str">
        <f t="shared" si="24"/>
        <v>16,083 (89.41)</v>
      </c>
      <c r="L126" t="str">
        <f t="shared" si="24"/>
        <v>16,513 (93.49)</v>
      </c>
    </row>
    <row r="127" spans="1:12" x14ac:dyDescent="0.3">
      <c r="A127" s="2"/>
      <c r="B127" s="17"/>
      <c r="C127" s="7">
        <v>14.73</v>
      </c>
      <c r="D127" s="7">
        <v>20.56</v>
      </c>
      <c r="E127" s="7">
        <v>23.43</v>
      </c>
      <c r="F127" s="7">
        <v>24.06</v>
      </c>
      <c r="G127" s="7">
        <v>82.78</v>
      </c>
      <c r="I127" t="str">
        <f>TEXT(C130,"#,##0")&amp;" ("&amp;TEXT(C133,"0.00")&amp;")"</f>
        <v>5,407 (34.85)</v>
      </c>
      <c r="J127" t="str">
        <f t="shared" ref="J127:L127" si="25">TEXT(D130,"#,##0")&amp;" ("&amp;TEXT(D133,"0.00")&amp;")"</f>
        <v>3,360 (19.23)</v>
      </c>
      <c r="K127" t="str">
        <f t="shared" si="25"/>
        <v>1,905 (10.59)</v>
      </c>
      <c r="L127" t="str">
        <f t="shared" si="25"/>
        <v>1,149 (6.51)</v>
      </c>
    </row>
    <row r="128" spans="1:12" x14ac:dyDescent="0.3">
      <c r="A128" s="2"/>
      <c r="B128" s="17"/>
      <c r="C128" s="7">
        <v>17.79</v>
      </c>
      <c r="D128" s="7">
        <v>24.84</v>
      </c>
      <c r="E128" s="7">
        <v>28.31</v>
      </c>
      <c r="F128" s="7">
        <v>29.07</v>
      </c>
      <c r="G128" s="7"/>
      <c r="I128" t="str">
        <f>TEXT(C134,"#,##0")&amp;" ("&amp;TEXT(C137,"0.00")&amp;")"</f>
        <v>15,514 (0.00)</v>
      </c>
      <c r="J128" t="str">
        <f t="shared" ref="J128:L128" si="26">TEXT(D134,"#,##0")&amp;" ("&amp;TEXT(D137,"0.00")&amp;")"</f>
        <v>17,471 (0.00)</v>
      </c>
      <c r="K128" t="str">
        <f t="shared" si="26"/>
        <v>17,988 (0.00)</v>
      </c>
      <c r="L128" t="str">
        <f t="shared" si="26"/>
        <v>17,662 (0.00)</v>
      </c>
    </row>
    <row r="129" spans="1:12" x14ac:dyDescent="0.3">
      <c r="A129" s="2"/>
      <c r="B129" s="17"/>
      <c r="C129" s="7">
        <v>65.150000000000006</v>
      </c>
      <c r="D129" s="7">
        <v>80.77</v>
      </c>
      <c r="E129" s="7">
        <v>89.41</v>
      </c>
      <c r="F129" s="7">
        <v>93.49</v>
      </c>
      <c r="G129" s="7"/>
      <c r="I129" t="str">
        <f>TEXT(C138,"#,##0")&amp;" ("&amp;TEXT(C141,"0.00")&amp;")"</f>
        <v>0 (6544.00)</v>
      </c>
      <c r="J129" t="str">
        <f t="shared" ref="J129:L129" si="27">TEXT(D138,"#,##0")&amp;" ("&amp;TEXT(D141,"0.00")&amp;")"</f>
        <v>0 (6170.00)</v>
      </c>
      <c r="K129" t="str">
        <f t="shared" si="27"/>
        <v>0 (5639.00)</v>
      </c>
      <c r="L129" t="str">
        <f t="shared" si="27"/>
        <v>0 (4523.00)</v>
      </c>
    </row>
    <row r="130" spans="1:12" x14ac:dyDescent="0.3">
      <c r="A130" s="2"/>
      <c r="B130" s="17">
        <v>2</v>
      </c>
      <c r="C130" s="7">
        <v>5407</v>
      </c>
      <c r="D130" s="7">
        <v>3360</v>
      </c>
      <c r="E130" s="7">
        <v>1905</v>
      </c>
      <c r="F130" s="7">
        <v>1149</v>
      </c>
      <c r="G130" s="7">
        <v>11821</v>
      </c>
    </row>
    <row r="131" spans="1:12" x14ac:dyDescent="0.3">
      <c r="A131" s="2"/>
      <c r="B131" s="17"/>
      <c r="C131" s="7">
        <v>7.88</v>
      </c>
      <c r="D131" s="7">
        <v>4.9000000000000004</v>
      </c>
      <c r="E131" s="7">
        <v>2.78</v>
      </c>
      <c r="F131" s="7">
        <v>1.67</v>
      </c>
      <c r="G131" s="7">
        <v>17.22</v>
      </c>
    </row>
    <row r="132" spans="1:12" x14ac:dyDescent="0.3">
      <c r="A132" s="2"/>
      <c r="B132" s="17"/>
      <c r="C132" s="7">
        <v>45.74</v>
      </c>
      <c r="D132" s="7">
        <v>28.42</v>
      </c>
      <c r="E132" s="7">
        <v>16.12</v>
      </c>
      <c r="F132" s="7">
        <v>9.7200000000000006</v>
      </c>
      <c r="G132" s="7"/>
    </row>
    <row r="133" spans="1:12" x14ac:dyDescent="0.3">
      <c r="A133" s="2"/>
      <c r="B133" s="17"/>
      <c r="C133" s="7">
        <v>34.85</v>
      </c>
      <c r="D133" s="7">
        <v>19.23</v>
      </c>
      <c r="E133" s="7">
        <v>10.59</v>
      </c>
      <c r="F133" s="7">
        <v>6.51</v>
      </c>
      <c r="G133" s="7"/>
    </row>
    <row r="134" spans="1:12" x14ac:dyDescent="0.3">
      <c r="A134" s="2"/>
      <c r="B134" s="17" t="s">
        <v>26</v>
      </c>
      <c r="C134" s="7">
        <v>15514</v>
      </c>
      <c r="D134" s="7">
        <v>17471</v>
      </c>
      <c r="E134" s="7">
        <v>17988</v>
      </c>
      <c r="F134" s="7">
        <v>17662</v>
      </c>
      <c r="G134" s="7">
        <v>68635</v>
      </c>
    </row>
    <row r="135" spans="1:12" x14ac:dyDescent="0.3">
      <c r="A135" s="2"/>
      <c r="B135" s="17"/>
      <c r="C135" s="7">
        <v>22.6</v>
      </c>
      <c r="D135" s="7">
        <v>25.45</v>
      </c>
      <c r="E135" s="7">
        <v>26.21</v>
      </c>
      <c r="F135" s="7">
        <v>25.73</v>
      </c>
      <c r="G135" s="7">
        <v>100</v>
      </c>
    </row>
    <row r="136" spans="1:12" x14ac:dyDescent="0.3">
      <c r="A136" s="2"/>
      <c r="B136" s="20"/>
      <c r="C136" s="20"/>
      <c r="D136" s="20"/>
      <c r="E136" s="20"/>
      <c r="F136" s="20"/>
      <c r="G136" s="20"/>
    </row>
    <row r="137" spans="1:12" ht="17.25" thickBot="1" x14ac:dyDescent="0.35"/>
    <row r="138" spans="1:12" ht="16.5" customHeight="1" x14ac:dyDescent="0.3">
      <c r="A138" s="4" t="s">
        <v>3</v>
      </c>
      <c r="B138" s="16" t="s">
        <v>50</v>
      </c>
      <c r="C138" s="18"/>
      <c r="D138" s="18"/>
      <c r="E138" s="18"/>
      <c r="F138" s="18"/>
      <c r="G138" s="18"/>
    </row>
    <row r="139" spans="1:12" ht="16.5" customHeight="1" x14ac:dyDescent="0.3">
      <c r="A139" s="6" t="s">
        <v>4</v>
      </c>
      <c r="B139" s="17" t="s">
        <v>12</v>
      </c>
      <c r="C139" s="19" t="s">
        <v>43</v>
      </c>
      <c r="D139" s="19"/>
      <c r="E139" s="19"/>
      <c r="F139" s="19"/>
      <c r="G139" s="19"/>
    </row>
    <row r="140" spans="1:12" x14ac:dyDescent="0.3">
      <c r="A140" s="6" t="s">
        <v>22</v>
      </c>
      <c r="B140" s="17"/>
      <c r="C140" s="3">
        <v>1</v>
      </c>
      <c r="D140" s="3">
        <v>2</v>
      </c>
      <c r="E140" s="3">
        <v>3</v>
      </c>
      <c r="F140" s="3">
        <v>4</v>
      </c>
      <c r="G140" s="3" t="s">
        <v>26</v>
      </c>
    </row>
    <row r="141" spans="1:12" ht="33" x14ac:dyDescent="0.3">
      <c r="A141" s="6" t="s">
        <v>23</v>
      </c>
      <c r="B141" s="17">
        <v>1</v>
      </c>
      <c r="C141" s="7">
        <v>6544</v>
      </c>
      <c r="D141" s="7">
        <v>6170</v>
      </c>
      <c r="E141" s="7">
        <v>5639</v>
      </c>
      <c r="F141" s="7">
        <v>4523</v>
      </c>
      <c r="G141" s="7">
        <v>22876</v>
      </c>
      <c r="I141" t="str">
        <f>TEXT(C141,"#,##0")&amp;" ("&amp;TEXT(C144,"0.00")&amp;")"</f>
        <v>6,544 (42.18)</v>
      </c>
      <c r="J141" t="str">
        <f t="shared" ref="J141:L141" si="28">TEXT(D141,"#,##0")&amp;" ("&amp;TEXT(D144,"0.00")&amp;")"</f>
        <v>6,170 (35.32)</v>
      </c>
      <c r="K141" t="str">
        <f t="shared" si="28"/>
        <v>5,639 (31.35)</v>
      </c>
      <c r="L141" t="str">
        <f t="shared" si="28"/>
        <v>4,523 (25.61)</v>
      </c>
    </row>
    <row r="142" spans="1:12" x14ac:dyDescent="0.3">
      <c r="A142" s="2"/>
      <c r="B142" s="17"/>
      <c r="C142" s="7">
        <v>9.5299999999999994</v>
      </c>
      <c r="D142" s="7">
        <v>8.99</v>
      </c>
      <c r="E142" s="7">
        <v>8.2200000000000006</v>
      </c>
      <c r="F142" s="7">
        <v>6.59</v>
      </c>
      <c r="G142" s="7">
        <v>33.33</v>
      </c>
      <c r="I142" t="str">
        <f>TEXT(C145,"#,##0")&amp;" ("&amp;TEXT(C148,"0.00")&amp;")"</f>
        <v>7,070 (45.57)</v>
      </c>
      <c r="J142" t="str">
        <f t="shared" ref="J142:L142" si="29">TEXT(D145,"#,##0")&amp;" ("&amp;TEXT(D148,"0.00")&amp;")"</f>
        <v>8,591 (49.17)</v>
      </c>
      <c r="K142" t="str">
        <f t="shared" si="29"/>
        <v>8,875 (49.34)</v>
      </c>
      <c r="L142" t="str">
        <f t="shared" si="29"/>
        <v>8,674 (49.11)</v>
      </c>
    </row>
    <row r="143" spans="1:12" x14ac:dyDescent="0.3">
      <c r="A143" s="2"/>
      <c r="B143" s="17"/>
      <c r="C143" s="7">
        <v>28.61</v>
      </c>
      <c r="D143" s="7">
        <v>26.97</v>
      </c>
      <c r="E143" s="7">
        <v>24.65</v>
      </c>
      <c r="F143" s="7">
        <v>19.77</v>
      </c>
      <c r="G143" s="7"/>
      <c r="I143" t="str">
        <f>TEXT(C149,"#,##0")&amp;" ("&amp;TEXT(C152,"0.00")&amp;")"</f>
        <v>1,900 (12.25)</v>
      </c>
      <c r="J143" t="str">
        <f t="shared" ref="J143:L143" si="30">TEXT(D149,"#,##0")&amp;" ("&amp;TEXT(D152,"0.00")&amp;")"</f>
        <v>2,710 (15.51)</v>
      </c>
      <c r="K143" t="str">
        <f t="shared" si="30"/>
        <v>3,474 (19.31)</v>
      </c>
      <c r="L143" t="str">
        <f t="shared" si="30"/>
        <v>4,465 (25.28)</v>
      </c>
    </row>
    <row r="144" spans="1:12" x14ac:dyDescent="0.3">
      <c r="A144" s="2"/>
      <c r="B144" s="17"/>
      <c r="C144" s="7">
        <v>42.18</v>
      </c>
      <c r="D144" s="7">
        <v>35.32</v>
      </c>
      <c r="E144" s="7">
        <v>31.35</v>
      </c>
      <c r="F144" s="7">
        <v>25.61</v>
      </c>
      <c r="G144" s="7"/>
      <c r="I144" t="str">
        <f>TEXT(C153,"#,##0")&amp;" ("&amp;TEXT(C156,"0.00")&amp;")"</f>
        <v>15,514 (0.00)</v>
      </c>
      <c r="J144" t="str">
        <f t="shared" ref="J144:L144" si="31">TEXT(D153,"#,##0")&amp;" ("&amp;TEXT(D156,"0.00")&amp;")"</f>
        <v>17,471 (0.00)</v>
      </c>
      <c r="K144" t="str">
        <f t="shared" si="31"/>
        <v>17,988 (0.00)</v>
      </c>
      <c r="L144" t="str">
        <f t="shared" si="31"/>
        <v>17,662 (0.00)</v>
      </c>
    </row>
    <row r="145" spans="1:12" x14ac:dyDescent="0.3">
      <c r="A145" s="2"/>
      <c r="B145" s="17">
        <v>2</v>
      </c>
      <c r="C145" s="7">
        <v>7070</v>
      </c>
      <c r="D145" s="7">
        <v>8591</v>
      </c>
      <c r="E145" s="7">
        <v>8875</v>
      </c>
      <c r="F145" s="7">
        <v>8674</v>
      </c>
      <c r="G145" s="7">
        <v>33210</v>
      </c>
    </row>
    <row r="146" spans="1:12" x14ac:dyDescent="0.3">
      <c r="A146" s="2"/>
      <c r="B146" s="17"/>
      <c r="C146" s="7">
        <v>10.3</v>
      </c>
      <c r="D146" s="7">
        <v>12.52</v>
      </c>
      <c r="E146" s="7">
        <v>12.93</v>
      </c>
      <c r="F146" s="7">
        <v>12.64</v>
      </c>
      <c r="G146" s="7">
        <v>48.39</v>
      </c>
    </row>
    <row r="147" spans="1:12" x14ac:dyDescent="0.3">
      <c r="A147" s="2"/>
      <c r="B147" s="17"/>
      <c r="C147" s="7">
        <v>21.29</v>
      </c>
      <c r="D147" s="7">
        <v>25.87</v>
      </c>
      <c r="E147" s="7">
        <v>26.72</v>
      </c>
      <c r="F147" s="7">
        <v>26.12</v>
      </c>
      <c r="G147" s="7"/>
    </row>
    <row r="148" spans="1:12" x14ac:dyDescent="0.3">
      <c r="A148" s="2"/>
      <c r="B148" s="17"/>
      <c r="C148" s="7">
        <v>45.57</v>
      </c>
      <c r="D148" s="7">
        <v>49.17</v>
      </c>
      <c r="E148" s="7">
        <v>49.34</v>
      </c>
      <c r="F148" s="7">
        <v>49.11</v>
      </c>
      <c r="G148" s="7"/>
    </row>
    <row r="149" spans="1:12" x14ac:dyDescent="0.3">
      <c r="A149" s="2"/>
      <c r="B149" s="17">
        <v>3</v>
      </c>
      <c r="C149" s="7">
        <v>1900</v>
      </c>
      <c r="D149" s="7">
        <v>2710</v>
      </c>
      <c r="E149" s="7">
        <v>3474</v>
      </c>
      <c r="F149" s="7">
        <v>4465</v>
      </c>
      <c r="G149" s="7">
        <v>12549</v>
      </c>
    </row>
    <row r="150" spans="1:12" x14ac:dyDescent="0.3">
      <c r="A150" s="2"/>
      <c r="B150" s="17"/>
      <c r="C150" s="7">
        <v>2.77</v>
      </c>
      <c r="D150" s="7">
        <v>3.95</v>
      </c>
      <c r="E150" s="7">
        <v>5.0599999999999996</v>
      </c>
      <c r="F150" s="7">
        <v>6.51</v>
      </c>
      <c r="G150" s="7">
        <v>18.28</v>
      </c>
    </row>
    <row r="151" spans="1:12" x14ac:dyDescent="0.3">
      <c r="A151" s="2"/>
      <c r="B151" s="17"/>
      <c r="C151" s="7">
        <v>15.14</v>
      </c>
      <c r="D151" s="7">
        <v>21.6</v>
      </c>
      <c r="E151" s="7">
        <v>27.68</v>
      </c>
      <c r="F151" s="7">
        <v>35.58</v>
      </c>
      <c r="G151" s="7"/>
    </row>
    <row r="152" spans="1:12" x14ac:dyDescent="0.3">
      <c r="A152" s="2"/>
      <c r="B152" s="17"/>
      <c r="C152" s="7">
        <v>12.25</v>
      </c>
      <c r="D152" s="7">
        <v>15.51</v>
      </c>
      <c r="E152" s="7">
        <v>19.309999999999999</v>
      </c>
      <c r="F152" s="7">
        <v>25.28</v>
      </c>
      <c r="G152" s="7"/>
    </row>
    <row r="153" spans="1:12" x14ac:dyDescent="0.3">
      <c r="A153" s="2"/>
      <c r="B153" s="17" t="s">
        <v>26</v>
      </c>
      <c r="C153" s="7">
        <v>15514</v>
      </c>
      <c r="D153" s="7">
        <v>17471</v>
      </c>
      <c r="E153" s="7">
        <v>17988</v>
      </c>
      <c r="F153" s="7">
        <v>17662</v>
      </c>
      <c r="G153" s="7">
        <v>68635</v>
      </c>
    </row>
    <row r="154" spans="1:12" x14ac:dyDescent="0.3">
      <c r="A154" s="2"/>
      <c r="B154" s="17"/>
      <c r="C154" s="7">
        <v>22.6</v>
      </c>
      <c r="D154" s="7">
        <v>25.45</v>
      </c>
      <c r="E154" s="7">
        <v>26.21</v>
      </c>
      <c r="F154" s="7">
        <v>25.73</v>
      </c>
      <c r="G154" s="7">
        <v>100</v>
      </c>
    </row>
    <row r="155" spans="1:12" x14ac:dyDescent="0.3">
      <c r="A155" s="2"/>
      <c r="B155" s="20"/>
      <c r="C155" s="20"/>
      <c r="D155" s="20"/>
      <c r="E155" s="20"/>
      <c r="F155" s="20"/>
      <c r="G155" s="20"/>
    </row>
    <row r="156" spans="1:12" ht="17.25" thickBot="1" x14ac:dyDescent="0.35"/>
    <row r="157" spans="1:12" ht="16.5" customHeight="1" x14ac:dyDescent="0.3">
      <c r="A157" s="4" t="s">
        <v>3</v>
      </c>
      <c r="B157" s="16" t="s">
        <v>51</v>
      </c>
      <c r="C157" s="18"/>
      <c r="D157" s="18"/>
      <c r="E157" s="18"/>
      <c r="F157" s="18"/>
      <c r="G157" s="18"/>
    </row>
    <row r="158" spans="1:12" ht="16.5" customHeight="1" x14ac:dyDescent="0.3">
      <c r="A158" s="6" t="s">
        <v>4</v>
      </c>
      <c r="B158" s="17" t="s">
        <v>13</v>
      </c>
      <c r="C158" s="19" t="s">
        <v>43</v>
      </c>
      <c r="D158" s="19"/>
      <c r="E158" s="19"/>
      <c r="F158" s="19"/>
      <c r="G158" s="19"/>
    </row>
    <row r="159" spans="1:12" x14ac:dyDescent="0.3">
      <c r="A159" s="6" t="s">
        <v>22</v>
      </c>
      <c r="B159" s="17"/>
      <c r="C159" s="3">
        <v>1</v>
      </c>
      <c r="D159" s="3">
        <v>2</v>
      </c>
      <c r="E159" s="3">
        <v>3</v>
      </c>
      <c r="F159" s="3">
        <v>4</v>
      </c>
      <c r="G159" s="3" t="s">
        <v>26</v>
      </c>
    </row>
    <row r="160" spans="1:12" ht="33" x14ac:dyDescent="0.3">
      <c r="A160" s="6" t="s">
        <v>23</v>
      </c>
      <c r="B160" s="17">
        <v>1</v>
      </c>
      <c r="C160" s="7">
        <v>4504</v>
      </c>
      <c r="D160" s="7">
        <v>4692</v>
      </c>
      <c r="E160" s="7">
        <v>4703</v>
      </c>
      <c r="F160" s="7">
        <v>4358</v>
      </c>
      <c r="G160" s="7">
        <v>18257</v>
      </c>
      <c r="I160" t="str">
        <f>TEXT(C160,"#,##0")&amp;" ("&amp;TEXT(C163,"0.00")&amp;")"</f>
        <v>4,504 (29.03)</v>
      </c>
      <c r="J160" t="str">
        <f t="shared" ref="J160:L160" si="32">TEXT(D160,"#,##0")&amp;" ("&amp;TEXT(D163,"0.00")&amp;")"</f>
        <v>4,692 (26.86)</v>
      </c>
      <c r="K160" t="str">
        <f t="shared" si="32"/>
        <v>4,703 (26.15)</v>
      </c>
      <c r="L160" t="str">
        <f t="shared" si="32"/>
        <v>4,358 (24.67)</v>
      </c>
    </row>
    <row r="161" spans="1:12" x14ac:dyDescent="0.3">
      <c r="A161" s="2"/>
      <c r="B161" s="17"/>
      <c r="C161" s="7">
        <v>6.56</v>
      </c>
      <c r="D161" s="7">
        <v>6.84</v>
      </c>
      <c r="E161" s="7">
        <v>6.85</v>
      </c>
      <c r="F161" s="7">
        <v>6.35</v>
      </c>
      <c r="G161" s="7">
        <v>26.6</v>
      </c>
      <c r="I161" t="str">
        <f>TEXT(C164,"#,##0")&amp;" ("&amp;TEXT(C167,"0.00")&amp;")"</f>
        <v>9,215 (59.40)</v>
      </c>
      <c r="J161" t="str">
        <f t="shared" ref="J161:L161" si="33">TEXT(D164,"#,##0")&amp;" ("&amp;TEXT(D167,"0.00")&amp;")"</f>
        <v>10,319 (59.06)</v>
      </c>
      <c r="K161" t="str">
        <f t="shared" si="33"/>
        <v>10,287 (57.19)</v>
      </c>
      <c r="L161" t="str">
        <f t="shared" si="33"/>
        <v>9,730 (55.09)</v>
      </c>
    </row>
    <row r="162" spans="1:12" x14ac:dyDescent="0.3">
      <c r="A162" s="2"/>
      <c r="B162" s="17"/>
      <c r="C162" s="7">
        <v>24.67</v>
      </c>
      <c r="D162" s="7">
        <v>25.7</v>
      </c>
      <c r="E162" s="7">
        <v>25.76</v>
      </c>
      <c r="F162" s="7">
        <v>23.87</v>
      </c>
      <c r="G162" s="7"/>
      <c r="I162" t="str">
        <f>TEXT(C168,"#,##0")&amp;" ("&amp;TEXT(C171,"0.00")&amp;")"</f>
        <v>1,795 (11.57)</v>
      </c>
      <c r="J162" t="str">
        <f t="shared" ref="J162:L162" si="34">TEXT(D168,"#,##0")&amp;" ("&amp;TEXT(D171,"0.00")&amp;")"</f>
        <v>2,460 (14.08)</v>
      </c>
      <c r="K162" t="str">
        <f t="shared" si="34"/>
        <v>2,998 (16.67)</v>
      </c>
      <c r="L162" t="str">
        <f t="shared" si="34"/>
        <v>3,574 (20.24)</v>
      </c>
    </row>
    <row r="163" spans="1:12" x14ac:dyDescent="0.3">
      <c r="A163" s="2"/>
      <c r="B163" s="17"/>
      <c r="C163" s="7">
        <v>29.03</v>
      </c>
      <c r="D163" s="7">
        <v>26.86</v>
      </c>
      <c r="E163" s="7">
        <v>26.15</v>
      </c>
      <c r="F163" s="7">
        <v>24.67</v>
      </c>
      <c r="G163" s="7"/>
      <c r="I163" t="str">
        <f>TEXT(C172,"#,##0")&amp;" ("&amp;TEXT(C175,"0.00")&amp;")"</f>
        <v>15,514 (0.00)</v>
      </c>
      <c r="J163" t="str">
        <f t="shared" ref="J163:L163" si="35">TEXT(D172,"#,##0")&amp;" ("&amp;TEXT(D175,"0.00")&amp;")"</f>
        <v>17,471 (0.00)</v>
      </c>
      <c r="K163" t="str">
        <f t="shared" si="35"/>
        <v>17,988 (0.00)</v>
      </c>
      <c r="L163" t="str">
        <f t="shared" si="35"/>
        <v>17,662 (0.00)</v>
      </c>
    </row>
    <row r="164" spans="1:12" x14ac:dyDescent="0.3">
      <c r="A164" s="2"/>
      <c r="B164" s="17">
        <v>2</v>
      </c>
      <c r="C164" s="7">
        <v>9215</v>
      </c>
      <c r="D164" s="7">
        <v>10319</v>
      </c>
      <c r="E164" s="7">
        <v>10287</v>
      </c>
      <c r="F164" s="7">
        <v>9730</v>
      </c>
      <c r="G164" s="7">
        <v>39551</v>
      </c>
    </row>
    <row r="165" spans="1:12" x14ac:dyDescent="0.3">
      <c r="A165" s="2"/>
      <c r="B165" s="17"/>
      <c r="C165" s="7">
        <v>13.43</v>
      </c>
      <c r="D165" s="7">
        <v>15.03</v>
      </c>
      <c r="E165" s="7">
        <v>14.99</v>
      </c>
      <c r="F165" s="7">
        <v>14.18</v>
      </c>
      <c r="G165" s="7">
        <v>57.63</v>
      </c>
    </row>
    <row r="166" spans="1:12" x14ac:dyDescent="0.3">
      <c r="A166" s="2"/>
      <c r="B166" s="17"/>
      <c r="C166" s="7">
        <v>23.3</v>
      </c>
      <c r="D166" s="7">
        <v>26.09</v>
      </c>
      <c r="E166" s="7">
        <v>26.01</v>
      </c>
      <c r="F166" s="7">
        <v>24.6</v>
      </c>
      <c r="G166" s="7"/>
    </row>
    <row r="167" spans="1:12" x14ac:dyDescent="0.3">
      <c r="A167" s="2"/>
      <c r="B167" s="17"/>
      <c r="C167" s="7">
        <v>59.4</v>
      </c>
      <c r="D167" s="7">
        <v>59.06</v>
      </c>
      <c r="E167" s="7">
        <v>57.19</v>
      </c>
      <c r="F167" s="7">
        <v>55.09</v>
      </c>
      <c r="G167" s="7"/>
    </row>
    <row r="168" spans="1:12" x14ac:dyDescent="0.3">
      <c r="A168" s="2"/>
      <c r="B168" s="17">
        <v>3</v>
      </c>
      <c r="C168" s="7">
        <v>1795</v>
      </c>
      <c r="D168" s="7">
        <v>2460</v>
      </c>
      <c r="E168" s="7">
        <v>2998</v>
      </c>
      <c r="F168" s="7">
        <v>3574</v>
      </c>
      <c r="G168" s="7">
        <v>10827</v>
      </c>
    </row>
    <row r="169" spans="1:12" x14ac:dyDescent="0.3">
      <c r="A169" s="2"/>
      <c r="B169" s="17"/>
      <c r="C169" s="7">
        <v>2.62</v>
      </c>
      <c r="D169" s="7">
        <v>3.58</v>
      </c>
      <c r="E169" s="7">
        <v>4.37</v>
      </c>
      <c r="F169" s="7">
        <v>5.21</v>
      </c>
      <c r="G169" s="7">
        <v>15.77</v>
      </c>
    </row>
    <row r="170" spans="1:12" x14ac:dyDescent="0.3">
      <c r="A170" s="2"/>
      <c r="B170" s="17"/>
      <c r="C170" s="7">
        <v>16.579999999999998</v>
      </c>
      <c r="D170" s="7">
        <v>22.72</v>
      </c>
      <c r="E170" s="7">
        <v>27.69</v>
      </c>
      <c r="F170" s="7">
        <v>33.01</v>
      </c>
      <c r="G170" s="7"/>
    </row>
    <row r="171" spans="1:12" x14ac:dyDescent="0.3">
      <c r="A171" s="2"/>
      <c r="B171" s="17"/>
      <c r="C171" s="7">
        <v>11.57</v>
      </c>
      <c r="D171" s="7">
        <v>14.08</v>
      </c>
      <c r="E171" s="7">
        <v>16.670000000000002</v>
      </c>
      <c r="F171" s="7">
        <v>20.239999999999998</v>
      </c>
      <c r="G171" s="7"/>
    </row>
    <row r="172" spans="1:12" x14ac:dyDescent="0.3">
      <c r="A172" s="2"/>
      <c r="B172" s="17" t="s">
        <v>26</v>
      </c>
      <c r="C172" s="7">
        <v>15514</v>
      </c>
      <c r="D172" s="7">
        <v>17471</v>
      </c>
      <c r="E172" s="7">
        <v>17988</v>
      </c>
      <c r="F172" s="7">
        <v>17662</v>
      </c>
      <c r="G172" s="7">
        <v>68635</v>
      </c>
    </row>
    <row r="173" spans="1:12" x14ac:dyDescent="0.3">
      <c r="A173" s="2"/>
      <c r="B173" s="17"/>
      <c r="C173" s="7">
        <v>22.6</v>
      </c>
      <c r="D173" s="7">
        <v>25.45</v>
      </c>
      <c r="E173" s="7">
        <v>26.21</v>
      </c>
      <c r="F173" s="7">
        <v>25.73</v>
      </c>
      <c r="G173" s="7">
        <v>100</v>
      </c>
    </row>
    <row r="174" spans="1:12" x14ac:dyDescent="0.3">
      <c r="A174" s="2"/>
      <c r="B174" s="20"/>
      <c r="C174" s="20"/>
      <c r="D174" s="20"/>
      <c r="E174" s="20"/>
      <c r="F174" s="20"/>
      <c r="G174" s="20"/>
    </row>
    <row r="175" spans="1:12" ht="17.25" thickBot="1" x14ac:dyDescent="0.35"/>
    <row r="176" spans="1:12" ht="16.5" customHeight="1" x14ac:dyDescent="0.3">
      <c r="A176" s="4" t="s">
        <v>3</v>
      </c>
      <c r="B176" s="16" t="s">
        <v>52</v>
      </c>
      <c r="C176" s="18"/>
      <c r="D176" s="18"/>
      <c r="E176" s="18"/>
      <c r="F176" s="18"/>
      <c r="G176" s="18"/>
    </row>
    <row r="177" spans="1:12" ht="16.5" customHeight="1" x14ac:dyDescent="0.3">
      <c r="A177" s="6" t="s">
        <v>4</v>
      </c>
      <c r="B177" s="17" t="s">
        <v>14</v>
      </c>
      <c r="C177" s="19" t="s">
        <v>43</v>
      </c>
      <c r="D177" s="19"/>
      <c r="E177" s="19"/>
      <c r="F177" s="19"/>
      <c r="G177" s="19"/>
    </row>
    <row r="178" spans="1:12" x14ac:dyDescent="0.3">
      <c r="A178" s="6" t="s">
        <v>22</v>
      </c>
      <c r="B178" s="17"/>
      <c r="C178" s="3">
        <v>1</v>
      </c>
      <c r="D178" s="3">
        <v>2</v>
      </c>
      <c r="E178" s="3">
        <v>3</v>
      </c>
      <c r="F178" s="3">
        <v>4</v>
      </c>
      <c r="G178" s="3" t="s">
        <v>26</v>
      </c>
    </row>
    <row r="179" spans="1:12" ht="33" x14ac:dyDescent="0.3">
      <c r="A179" s="6" t="s">
        <v>23</v>
      </c>
      <c r="B179" s="17">
        <v>1</v>
      </c>
      <c r="C179" s="7">
        <v>6232</v>
      </c>
      <c r="D179" s="7">
        <v>7074</v>
      </c>
      <c r="E179" s="7">
        <v>7065</v>
      </c>
      <c r="F179" s="7">
        <v>6537</v>
      </c>
      <c r="G179" s="7">
        <v>26908</v>
      </c>
      <c r="I179" t="str">
        <f>TEXT(C179,"#,##0")&amp;" ("&amp;TEXT(C182,"0.00")&amp;")"</f>
        <v>6,232 (40.17)</v>
      </c>
      <c r="J179" t="str">
        <f t="shared" ref="J179:L179" si="36">TEXT(D179,"#,##0")&amp;" ("&amp;TEXT(D182,"0.00")&amp;")"</f>
        <v>7,074 (40.49)</v>
      </c>
      <c r="K179" t="str">
        <f t="shared" si="36"/>
        <v>7,065 (39.28)</v>
      </c>
      <c r="L179" t="str">
        <f t="shared" si="36"/>
        <v>6,537 (37.01)</v>
      </c>
    </row>
    <row r="180" spans="1:12" x14ac:dyDescent="0.3">
      <c r="A180" s="2"/>
      <c r="B180" s="17"/>
      <c r="C180" s="7">
        <v>9.08</v>
      </c>
      <c r="D180" s="7">
        <v>10.31</v>
      </c>
      <c r="E180" s="7">
        <v>10.29</v>
      </c>
      <c r="F180" s="7">
        <v>9.52</v>
      </c>
      <c r="G180" s="7">
        <v>39.200000000000003</v>
      </c>
      <c r="I180" t="str">
        <f>TEXT(C183,"#,##0")&amp;" ("&amp;TEXT(C186,"0.00")&amp;")"</f>
        <v>6,846 (44.13)</v>
      </c>
      <c r="J180" t="str">
        <f t="shared" ref="J180:L180" si="37">TEXT(D183,"#,##0")&amp;" ("&amp;TEXT(D186,"0.00")&amp;")"</f>
        <v>6,713 (38.42)</v>
      </c>
      <c r="K180" t="str">
        <f t="shared" si="37"/>
        <v>6,272 (34.87)</v>
      </c>
      <c r="L180" t="str">
        <f t="shared" si="37"/>
        <v>5,168 (29.26)</v>
      </c>
    </row>
    <row r="181" spans="1:12" x14ac:dyDescent="0.3">
      <c r="A181" s="2"/>
      <c r="B181" s="17"/>
      <c r="C181" s="7">
        <v>23.16</v>
      </c>
      <c r="D181" s="7">
        <v>26.29</v>
      </c>
      <c r="E181" s="7">
        <v>26.26</v>
      </c>
      <c r="F181" s="7">
        <v>24.29</v>
      </c>
      <c r="G181" s="7"/>
      <c r="I181" t="str">
        <f>TEXT(C187,"#,##0")&amp;" ("&amp;TEXT(C190,"0.00")&amp;")"</f>
        <v>2,436 (15.70)</v>
      </c>
      <c r="J181" t="str">
        <f t="shared" ref="J181:L181" si="38">TEXT(D187,"#,##0")&amp;" ("&amp;TEXT(D190,"0.00")&amp;")"</f>
        <v>3,684 (21.09)</v>
      </c>
      <c r="K181" t="str">
        <f t="shared" si="38"/>
        <v>4,651 (25.86)</v>
      </c>
      <c r="L181" t="str">
        <f t="shared" si="38"/>
        <v>5,957 (33.73)</v>
      </c>
    </row>
    <row r="182" spans="1:12" x14ac:dyDescent="0.3">
      <c r="A182" s="2"/>
      <c r="B182" s="17"/>
      <c r="C182" s="7">
        <v>40.17</v>
      </c>
      <c r="D182" s="7">
        <v>40.49</v>
      </c>
      <c r="E182" s="7">
        <v>39.28</v>
      </c>
      <c r="F182" s="7">
        <v>37.01</v>
      </c>
      <c r="G182" s="7"/>
      <c r="I182" t="str">
        <f>TEXT(C191,"#,##0")&amp;" ("&amp;TEXT(C194,"0.00")&amp;")"</f>
        <v>15,514 (0.00)</v>
      </c>
      <c r="J182" t="str">
        <f t="shared" ref="J182:L182" si="39">TEXT(D191,"#,##0")&amp;" ("&amp;TEXT(D194,"0.00")&amp;")"</f>
        <v>17,471 (0.00)</v>
      </c>
      <c r="K182" t="str">
        <f t="shared" si="39"/>
        <v>17,988 (0.00)</v>
      </c>
      <c r="L182" t="str">
        <f t="shared" si="39"/>
        <v>17,662 (0.00)</v>
      </c>
    </row>
    <row r="183" spans="1:12" x14ac:dyDescent="0.3">
      <c r="A183" s="2"/>
      <c r="B183" s="17">
        <v>2</v>
      </c>
      <c r="C183" s="7">
        <v>6846</v>
      </c>
      <c r="D183" s="7">
        <v>6713</v>
      </c>
      <c r="E183" s="7">
        <v>6272</v>
      </c>
      <c r="F183" s="7">
        <v>5168</v>
      </c>
      <c r="G183" s="7">
        <v>24999</v>
      </c>
    </row>
    <row r="184" spans="1:12" x14ac:dyDescent="0.3">
      <c r="A184" s="2"/>
      <c r="B184" s="17"/>
      <c r="C184" s="7">
        <v>9.9700000000000006</v>
      </c>
      <c r="D184" s="7">
        <v>9.7799999999999994</v>
      </c>
      <c r="E184" s="7">
        <v>9.14</v>
      </c>
      <c r="F184" s="7">
        <v>7.53</v>
      </c>
      <c r="G184" s="7">
        <v>36.42</v>
      </c>
    </row>
    <row r="185" spans="1:12" x14ac:dyDescent="0.3">
      <c r="A185" s="2"/>
      <c r="B185" s="17"/>
      <c r="C185" s="7">
        <v>27.39</v>
      </c>
      <c r="D185" s="7">
        <v>26.85</v>
      </c>
      <c r="E185" s="7">
        <v>25.09</v>
      </c>
      <c r="F185" s="7">
        <v>20.67</v>
      </c>
      <c r="G185" s="7"/>
    </row>
    <row r="186" spans="1:12" x14ac:dyDescent="0.3">
      <c r="A186" s="2"/>
      <c r="B186" s="17"/>
      <c r="C186" s="7">
        <v>44.13</v>
      </c>
      <c r="D186" s="7">
        <v>38.42</v>
      </c>
      <c r="E186" s="7">
        <v>34.869999999999997</v>
      </c>
      <c r="F186" s="7">
        <v>29.26</v>
      </c>
      <c r="G186" s="7"/>
    </row>
    <row r="187" spans="1:12" x14ac:dyDescent="0.3">
      <c r="A187" s="2"/>
      <c r="B187" s="17">
        <v>3</v>
      </c>
      <c r="C187" s="7">
        <v>2436</v>
      </c>
      <c r="D187" s="7">
        <v>3684</v>
      </c>
      <c r="E187" s="7">
        <v>4651</v>
      </c>
      <c r="F187" s="7">
        <v>5957</v>
      </c>
      <c r="G187" s="7">
        <v>16728</v>
      </c>
    </row>
    <row r="188" spans="1:12" x14ac:dyDescent="0.3">
      <c r="A188" s="2"/>
      <c r="B188" s="17"/>
      <c r="C188" s="7">
        <v>3.55</v>
      </c>
      <c r="D188" s="7">
        <v>5.37</v>
      </c>
      <c r="E188" s="7">
        <v>6.78</v>
      </c>
      <c r="F188" s="7">
        <v>8.68</v>
      </c>
      <c r="G188" s="7">
        <v>24.37</v>
      </c>
    </row>
    <row r="189" spans="1:12" x14ac:dyDescent="0.3">
      <c r="A189" s="2"/>
      <c r="B189" s="17"/>
      <c r="C189" s="7">
        <v>14.56</v>
      </c>
      <c r="D189" s="7">
        <v>22.02</v>
      </c>
      <c r="E189" s="7">
        <v>27.8</v>
      </c>
      <c r="F189" s="7">
        <v>35.61</v>
      </c>
      <c r="G189" s="7"/>
    </row>
    <row r="190" spans="1:12" x14ac:dyDescent="0.3">
      <c r="A190" s="2"/>
      <c r="B190" s="17"/>
      <c r="C190" s="7">
        <v>15.7</v>
      </c>
      <c r="D190" s="7">
        <v>21.09</v>
      </c>
      <c r="E190" s="7">
        <v>25.86</v>
      </c>
      <c r="F190" s="7">
        <v>33.729999999999997</v>
      </c>
      <c r="G190" s="7"/>
    </row>
    <row r="191" spans="1:12" x14ac:dyDescent="0.3">
      <c r="A191" s="2"/>
      <c r="B191" s="17" t="s">
        <v>26</v>
      </c>
      <c r="C191" s="7">
        <v>15514</v>
      </c>
      <c r="D191" s="7">
        <v>17471</v>
      </c>
      <c r="E191" s="7">
        <v>17988</v>
      </c>
      <c r="F191" s="7">
        <v>17662</v>
      </c>
      <c r="G191" s="7">
        <v>68635</v>
      </c>
    </row>
    <row r="192" spans="1:12" x14ac:dyDescent="0.3">
      <c r="A192" s="2"/>
      <c r="B192" s="17"/>
      <c r="C192" s="7">
        <v>22.6</v>
      </c>
      <c r="D192" s="7">
        <v>25.45</v>
      </c>
      <c r="E192" s="7">
        <v>26.21</v>
      </c>
      <c r="F192" s="7">
        <v>25.73</v>
      </c>
      <c r="G192" s="7">
        <v>100</v>
      </c>
    </row>
    <row r="193" spans="1:12" x14ac:dyDescent="0.3">
      <c r="A193" s="2"/>
      <c r="B193" s="20"/>
      <c r="C193" s="20"/>
      <c r="D193" s="20"/>
      <c r="E193" s="20"/>
      <c r="F193" s="20"/>
      <c r="G193" s="20"/>
    </row>
    <row r="194" spans="1:12" ht="17.25" thickBot="1" x14ac:dyDescent="0.35"/>
    <row r="195" spans="1:12" ht="16.5" customHeight="1" x14ac:dyDescent="0.3">
      <c r="A195" s="4" t="s">
        <v>3</v>
      </c>
      <c r="B195" s="16" t="s">
        <v>53</v>
      </c>
      <c r="C195" s="18"/>
      <c r="D195" s="18"/>
      <c r="E195" s="18"/>
      <c r="F195" s="18"/>
      <c r="G195" s="18"/>
    </row>
    <row r="196" spans="1:12" ht="16.5" customHeight="1" x14ac:dyDescent="0.3">
      <c r="A196" s="6" t="s">
        <v>4</v>
      </c>
      <c r="B196" s="17" t="s">
        <v>15</v>
      </c>
      <c r="C196" s="19" t="s">
        <v>43</v>
      </c>
      <c r="D196" s="19"/>
      <c r="E196" s="19"/>
      <c r="F196" s="19"/>
      <c r="G196" s="19"/>
    </row>
    <row r="197" spans="1:12" x14ac:dyDescent="0.3">
      <c r="A197" s="6" t="s">
        <v>22</v>
      </c>
      <c r="B197" s="17"/>
      <c r="C197" s="3">
        <v>1</v>
      </c>
      <c r="D197" s="3">
        <v>2</v>
      </c>
      <c r="E197" s="3">
        <v>3</v>
      </c>
      <c r="F197" s="3">
        <v>4</v>
      </c>
      <c r="G197" s="3" t="s">
        <v>26</v>
      </c>
    </row>
    <row r="198" spans="1:12" ht="33" x14ac:dyDescent="0.3">
      <c r="A198" s="6" t="s">
        <v>23</v>
      </c>
      <c r="B198" s="17">
        <v>0</v>
      </c>
      <c r="C198" s="7">
        <v>13231</v>
      </c>
      <c r="D198" s="7">
        <v>13703</v>
      </c>
      <c r="E198" s="7">
        <v>13255</v>
      </c>
      <c r="F198" s="7">
        <v>11875</v>
      </c>
      <c r="G198" s="7">
        <v>52064</v>
      </c>
      <c r="I198" t="str">
        <f>TEXT(C198,"#,##0")&amp;" ("&amp;TEXT(C201,"0.00")&amp;")"</f>
        <v>13,231 (85.28)</v>
      </c>
      <c r="J198" t="str">
        <f t="shared" ref="J198:L198" si="40">TEXT(D198,"#,##0")&amp;" ("&amp;TEXT(D201,"0.00")&amp;")"</f>
        <v>13,703 (78.43)</v>
      </c>
      <c r="K198" t="str">
        <f t="shared" si="40"/>
        <v>13,255 (73.69)</v>
      </c>
      <c r="L198" t="str">
        <f t="shared" si="40"/>
        <v>11,875 (67.23)</v>
      </c>
    </row>
    <row r="199" spans="1:12" x14ac:dyDescent="0.3">
      <c r="A199" s="2"/>
      <c r="B199" s="17"/>
      <c r="C199" s="7">
        <v>19.28</v>
      </c>
      <c r="D199" s="7">
        <v>19.97</v>
      </c>
      <c r="E199" s="7">
        <v>19.309999999999999</v>
      </c>
      <c r="F199" s="7">
        <v>17.3</v>
      </c>
      <c r="G199" s="7">
        <v>75.86</v>
      </c>
      <c r="I199" t="str">
        <f>TEXT(C202,"#,##0")&amp;" ("&amp;TEXT(C205,"0.00")&amp;")"</f>
        <v>2,283 (14.72)</v>
      </c>
      <c r="J199" t="str">
        <f t="shared" ref="J199:L199" si="41">TEXT(D202,"#,##0")&amp;" ("&amp;TEXT(D205,"0.00")&amp;")"</f>
        <v>3,768 (21.57)</v>
      </c>
      <c r="K199" t="str">
        <f t="shared" si="41"/>
        <v>4,733 (26.31)</v>
      </c>
      <c r="L199" t="str">
        <f t="shared" si="41"/>
        <v>5,787 (32.77)</v>
      </c>
    </row>
    <row r="200" spans="1:12" x14ac:dyDescent="0.3">
      <c r="A200" s="2"/>
      <c r="B200" s="17"/>
      <c r="C200" s="7">
        <v>25.41</v>
      </c>
      <c r="D200" s="7">
        <v>26.32</v>
      </c>
      <c r="E200" s="7">
        <v>25.46</v>
      </c>
      <c r="F200" s="7">
        <v>22.81</v>
      </c>
      <c r="G200" s="7"/>
      <c r="I200" t="str">
        <f>TEXT(C206,"#,##0")&amp;" ("&amp;TEXT(C209,"0.00")&amp;")"</f>
        <v>15,514 (0.00)</v>
      </c>
      <c r="J200" t="str">
        <f t="shared" ref="J200:L200" si="42">TEXT(D206,"#,##0")&amp;" ("&amp;TEXT(D209,"0.00")&amp;")"</f>
        <v>17,471 (0.00)</v>
      </c>
      <c r="K200" t="str">
        <f t="shared" si="42"/>
        <v>17,988 (0.00)</v>
      </c>
      <c r="L200" t="str">
        <f t="shared" si="42"/>
        <v>17,662 (0.00)</v>
      </c>
    </row>
    <row r="201" spans="1:12" x14ac:dyDescent="0.3">
      <c r="A201" s="2"/>
      <c r="B201" s="17"/>
      <c r="C201" s="7">
        <v>85.28</v>
      </c>
      <c r="D201" s="7">
        <v>78.430000000000007</v>
      </c>
      <c r="E201" s="7">
        <v>73.69</v>
      </c>
      <c r="F201" s="7">
        <v>67.23</v>
      </c>
      <c r="G201" s="7"/>
      <c r="I201" t="str">
        <f>TEXT(C210,"#,##0")&amp;" ("&amp;TEXT(C213,"0.00")&amp;")"</f>
        <v>0 (14712.00)</v>
      </c>
      <c r="J201" t="str">
        <f t="shared" ref="J201:L201" si="43">TEXT(D210,"#,##0")&amp;" ("&amp;TEXT(D213,"0.00")&amp;")"</f>
        <v>0 (14937.00)</v>
      </c>
      <c r="K201" t="str">
        <f t="shared" si="43"/>
        <v>0 (13403.00)</v>
      </c>
      <c r="L201" t="str">
        <f t="shared" si="43"/>
        <v>0 (10858.00)</v>
      </c>
    </row>
    <row r="202" spans="1:12" x14ac:dyDescent="0.3">
      <c r="A202" s="2"/>
      <c r="B202" s="17">
        <v>1</v>
      </c>
      <c r="C202" s="7">
        <v>2283</v>
      </c>
      <c r="D202" s="7">
        <v>3768</v>
      </c>
      <c r="E202" s="7">
        <v>4733</v>
      </c>
      <c r="F202" s="7">
        <v>5787</v>
      </c>
      <c r="G202" s="7">
        <v>16571</v>
      </c>
    </row>
    <row r="203" spans="1:12" x14ac:dyDescent="0.3">
      <c r="A203" s="2"/>
      <c r="B203" s="17"/>
      <c r="C203" s="7">
        <v>3.33</v>
      </c>
      <c r="D203" s="7">
        <v>5.49</v>
      </c>
      <c r="E203" s="7">
        <v>6.9</v>
      </c>
      <c r="F203" s="7">
        <v>8.43</v>
      </c>
      <c r="G203" s="7">
        <v>24.14</v>
      </c>
    </row>
    <row r="204" spans="1:12" x14ac:dyDescent="0.3">
      <c r="A204" s="2"/>
      <c r="B204" s="17"/>
      <c r="C204" s="7">
        <v>13.78</v>
      </c>
      <c r="D204" s="7">
        <v>22.74</v>
      </c>
      <c r="E204" s="7">
        <v>28.56</v>
      </c>
      <c r="F204" s="7">
        <v>34.92</v>
      </c>
      <c r="G204" s="7"/>
    </row>
    <row r="205" spans="1:12" x14ac:dyDescent="0.3">
      <c r="A205" s="2"/>
      <c r="B205" s="17"/>
      <c r="C205" s="7">
        <v>14.72</v>
      </c>
      <c r="D205" s="7">
        <v>21.57</v>
      </c>
      <c r="E205" s="7">
        <v>26.31</v>
      </c>
      <c r="F205" s="7">
        <v>32.770000000000003</v>
      </c>
      <c r="G205" s="7"/>
    </row>
    <row r="206" spans="1:12" x14ac:dyDescent="0.3">
      <c r="A206" s="2"/>
      <c r="B206" s="17" t="s">
        <v>26</v>
      </c>
      <c r="C206" s="7">
        <v>15514</v>
      </c>
      <c r="D206" s="7">
        <v>17471</v>
      </c>
      <c r="E206" s="7">
        <v>17988</v>
      </c>
      <c r="F206" s="7">
        <v>17662</v>
      </c>
      <c r="G206" s="7">
        <v>68635</v>
      </c>
    </row>
    <row r="207" spans="1:12" x14ac:dyDescent="0.3">
      <c r="A207" s="2"/>
      <c r="B207" s="17"/>
      <c r="C207" s="7">
        <v>22.6</v>
      </c>
      <c r="D207" s="7">
        <v>25.45</v>
      </c>
      <c r="E207" s="7">
        <v>26.21</v>
      </c>
      <c r="F207" s="7">
        <v>25.73</v>
      </c>
      <c r="G207" s="7">
        <v>100</v>
      </c>
    </row>
    <row r="208" spans="1:12" x14ac:dyDescent="0.3">
      <c r="A208" s="2"/>
      <c r="B208" s="20"/>
      <c r="C208" s="20"/>
      <c r="D208" s="20"/>
      <c r="E208" s="20"/>
      <c r="F208" s="20"/>
      <c r="G208" s="20"/>
    </row>
    <row r="209" spans="1:12" ht="17.25" thickBot="1" x14ac:dyDescent="0.35"/>
    <row r="210" spans="1:12" ht="16.5" customHeight="1" x14ac:dyDescent="0.3">
      <c r="A210" s="4" t="s">
        <v>3</v>
      </c>
      <c r="B210" s="16" t="s">
        <v>54</v>
      </c>
      <c r="C210" s="18"/>
      <c r="D210" s="18"/>
      <c r="E210" s="18"/>
      <c r="F210" s="18"/>
      <c r="G210" s="18"/>
    </row>
    <row r="211" spans="1:12" ht="16.5" customHeight="1" x14ac:dyDescent="0.3">
      <c r="A211" s="6" t="s">
        <v>4</v>
      </c>
      <c r="B211" s="17" t="s">
        <v>16</v>
      </c>
      <c r="C211" s="19" t="s">
        <v>43</v>
      </c>
      <c r="D211" s="19"/>
      <c r="E211" s="19"/>
      <c r="F211" s="19"/>
      <c r="G211" s="19"/>
    </row>
    <row r="212" spans="1:12" x14ac:dyDescent="0.3">
      <c r="A212" s="6" t="s">
        <v>22</v>
      </c>
      <c r="B212" s="17"/>
      <c r="C212" s="3">
        <v>1</v>
      </c>
      <c r="D212" s="3">
        <v>2</v>
      </c>
      <c r="E212" s="3">
        <v>3</v>
      </c>
      <c r="F212" s="3">
        <v>4</v>
      </c>
      <c r="G212" s="3" t="s">
        <v>26</v>
      </c>
    </row>
    <row r="213" spans="1:12" ht="33" x14ac:dyDescent="0.3">
      <c r="A213" s="6" t="s">
        <v>23</v>
      </c>
      <c r="B213" s="17">
        <v>0</v>
      </c>
      <c r="C213" s="7">
        <v>14712</v>
      </c>
      <c r="D213" s="7">
        <v>14937</v>
      </c>
      <c r="E213" s="7">
        <v>13403</v>
      </c>
      <c r="F213" s="7">
        <v>10858</v>
      </c>
      <c r="G213" s="7">
        <v>53910</v>
      </c>
      <c r="I213" t="str">
        <f>TEXT(C213,"#,##0")&amp;" ("&amp;TEXT(C216,"0.00")&amp;")"</f>
        <v>14,712 (94.83)</v>
      </c>
      <c r="J213" t="str">
        <f t="shared" ref="J213:L213" si="44">TEXT(D213,"#,##0")&amp;" ("&amp;TEXT(D216,"0.00")&amp;")"</f>
        <v>14,937 (85.50)</v>
      </c>
      <c r="K213" t="str">
        <f t="shared" si="44"/>
        <v>13,403 (74.51)</v>
      </c>
      <c r="L213" t="str">
        <f t="shared" si="44"/>
        <v>10,858 (61.48)</v>
      </c>
    </row>
    <row r="214" spans="1:12" x14ac:dyDescent="0.3">
      <c r="A214" s="2"/>
      <c r="B214" s="17"/>
      <c r="C214" s="7">
        <v>21.44</v>
      </c>
      <c r="D214" s="7">
        <v>21.76</v>
      </c>
      <c r="E214" s="7">
        <v>19.53</v>
      </c>
      <c r="F214" s="7">
        <v>15.82</v>
      </c>
      <c r="G214" s="7">
        <v>78.55</v>
      </c>
      <c r="I214" t="str">
        <f>TEXT(C217,"#,##0")&amp;" ("&amp;TEXT(C220,"0.00")&amp;")"</f>
        <v>802 (5.17)</v>
      </c>
      <c r="J214" t="str">
        <f t="shared" ref="J214:L214" si="45">TEXT(D217,"#,##0")&amp;" ("&amp;TEXT(D220,"0.00")&amp;")"</f>
        <v>2,534 (14.50)</v>
      </c>
      <c r="K214" t="str">
        <f t="shared" si="45"/>
        <v>4,585 (25.49)</v>
      </c>
      <c r="L214" t="str">
        <f t="shared" si="45"/>
        <v>6,804 (38.52)</v>
      </c>
    </row>
    <row r="215" spans="1:12" x14ac:dyDescent="0.3">
      <c r="A215" s="2"/>
      <c r="B215" s="17"/>
      <c r="C215" s="7">
        <v>27.29</v>
      </c>
      <c r="D215" s="7">
        <v>27.71</v>
      </c>
      <c r="E215" s="7">
        <v>24.86</v>
      </c>
      <c r="F215" s="7">
        <v>20.14</v>
      </c>
      <c r="G215" s="7"/>
      <c r="I215" t="str">
        <f>TEXT(C221,"#,##0")&amp;" ("&amp;TEXT(C224,"0.00")&amp;")"</f>
        <v>15,514 (0.00)</v>
      </c>
      <c r="J215" t="str">
        <f t="shared" ref="J215:L215" si="46">TEXT(D221,"#,##0")&amp;" ("&amp;TEXT(D224,"0.00")&amp;")"</f>
        <v>17,471 (0.00)</v>
      </c>
      <c r="K215" t="str">
        <f t="shared" si="46"/>
        <v>17,988 (0.00)</v>
      </c>
      <c r="L215" t="str">
        <f t="shared" si="46"/>
        <v>17,662 (0.00)</v>
      </c>
    </row>
    <row r="216" spans="1:12" x14ac:dyDescent="0.3">
      <c r="A216" s="2"/>
      <c r="B216" s="17"/>
      <c r="C216" s="7">
        <v>94.83</v>
      </c>
      <c r="D216" s="7">
        <v>85.5</v>
      </c>
      <c r="E216" s="7">
        <v>74.510000000000005</v>
      </c>
      <c r="F216" s="7">
        <v>61.48</v>
      </c>
      <c r="G216" s="7"/>
      <c r="I216" t="str">
        <f>TEXT(C225,"#,##0")&amp;" ("&amp;TEXT(C228,"0.00")&amp;")"</f>
        <v>0 (14917.00)</v>
      </c>
      <c r="J216" t="str">
        <f t="shared" ref="J216:L216" si="47">TEXT(D225,"#,##0")&amp;" ("&amp;TEXT(D228,"0.00")&amp;")"</f>
        <v>0 (15586.00)</v>
      </c>
      <c r="K216" t="str">
        <f t="shared" si="47"/>
        <v>0 (14763.00)</v>
      </c>
      <c r="L216" t="str">
        <f t="shared" si="47"/>
        <v>0 (13201.00)</v>
      </c>
    </row>
    <row r="217" spans="1:12" x14ac:dyDescent="0.3">
      <c r="A217" s="2"/>
      <c r="B217" s="17">
        <v>1</v>
      </c>
      <c r="C217" s="7">
        <v>802</v>
      </c>
      <c r="D217" s="7">
        <v>2534</v>
      </c>
      <c r="E217" s="7">
        <v>4585</v>
      </c>
      <c r="F217" s="7">
        <v>6804</v>
      </c>
      <c r="G217" s="7">
        <v>14725</v>
      </c>
    </row>
    <row r="218" spans="1:12" x14ac:dyDescent="0.3">
      <c r="A218" s="2"/>
      <c r="B218" s="17"/>
      <c r="C218" s="7">
        <v>1.17</v>
      </c>
      <c r="D218" s="7">
        <v>3.69</v>
      </c>
      <c r="E218" s="7">
        <v>6.68</v>
      </c>
      <c r="F218" s="7">
        <v>9.91</v>
      </c>
      <c r="G218" s="7">
        <v>21.45</v>
      </c>
    </row>
    <row r="219" spans="1:12" x14ac:dyDescent="0.3">
      <c r="A219" s="2"/>
      <c r="B219" s="17"/>
      <c r="C219" s="7">
        <v>5.45</v>
      </c>
      <c r="D219" s="7">
        <v>17.21</v>
      </c>
      <c r="E219" s="7">
        <v>31.14</v>
      </c>
      <c r="F219" s="7">
        <v>46.21</v>
      </c>
      <c r="G219" s="7"/>
    </row>
    <row r="220" spans="1:12" x14ac:dyDescent="0.3">
      <c r="A220" s="2"/>
      <c r="B220" s="17"/>
      <c r="C220" s="7">
        <v>5.17</v>
      </c>
      <c r="D220" s="7">
        <v>14.5</v>
      </c>
      <c r="E220" s="7">
        <v>25.49</v>
      </c>
      <c r="F220" s="7">
        <v>38.520000000000003</v>
      </c>
      <c r="G220" s="7"/>
    </row>
    <row r="221" spans="1:12" x14ac:dyDescent="0.3">
      <c r="A221" s="2"/>
      <c r="B221" s="17" t="s">
        <v>26</v>
      </c>
      <c r="C221" s="7">
        <v>15514</v>
      </c>
      <c r="D221" s="7">
        <v>17471</v>
      </c>
      <c r="E221" s="7">
        <v>17988</v>
      </c>
      <c r="F221" s="7">
        <v>17662</v>
      </c>
      <c r="G221" s="7">
        <v>68635</v>
      </c>
    </row>
    <row r="222" spans="1:12" x14ac:dyDescent="0.3">
      <c r="A222" s="2"/>
      <c r="B222" s="17"/>
      <c r="C222" s="7">
        <v>22.6</v>
      </c>
      <c r="D222" s="7">
        <v>25.45</v>
      </c>
      <c r="E222" s="7">
        <v>26.21</v>
      </c>
      <c r="F222" s="7">
        <v>25.73</v>
      </c>
      <c r="G222" s="7">
        <v>100</v>
      </c>
    </row>
    <row r="223" spans="1:12" x14ac:dyDescent="0.3">
      <c r="A223" s="2"/>
      <c r="B223" s="20"/>
      <c r="C223" s="20"/>
      <c r="D223" s="20"/>
      <c r="E223" s="20"/>
      <c r="F223" s="20"/>
      <c r="G223" s="20"/>
    </row>
    <row r="224" spans="1:12" ht="17.25" thickBot="1" x14ac:dyDescent="0.35"/>
    <row r="225" spans="1:12" ht="16.5" customHeight="1" x14ac:dyDescent="0.3">
      <c r="A225" s="4" t="s">
        <v>3</v>
      </c>
      <c r="B225" s="16" t="s">
        <v>55</v>
      </c>
      <c r="C225" s="18"/>
      <c r="D225" s="18"/>
      <c r="E225" s="18"/>
      <c r="F225" s="18"/>
      <c r="G225" s="18"/>
    </row>
    <row r="226" spans="1:12" ht="16.5" customHeight="1" x14ac:dyDescent="0.3">
      <c r="A226" s="6" t="s">
        <v>4</v>
      </c>
      <c r="B226" s="17" t="s">
        <v>17</v>
      </c>
      <c r="C226" s="19" t="s">
        <v>43</v>
      </c>
      <c r="D226" s="19"/>
      <c r="E226" s="19"/>
      <c r="F226" s="19"/>
      <c r="G226" s="19"/>
    </row>
    <row r="227" spans="1:12" x14ac:dyDescent="0.3">
      <c r="A227" s="6" t="s">
        <v>22</v>
      </c>
      <c r="B227" s="17"/>
      <c r="C227" s="3">
        <v>1</v>
      </c>
      <c r="D227" s="3">
        <v>2</v>
      </c>
      <c r="E227" s="3">
        <v>3</v>
      </c>
      <c r="F227" s="3">
        <v>4</v>
      </c>
      <c r="G227" s="3" t="s">
        <v>26</v>
      </c>
    </row>
    <row r="228" spans="1:12" ht="33" x14ac:dyDescent="0.3">
      <c r="A228" s="6" t="s">
        <v>23</v>
      </c>
      <c r="B228" s="17">
        <v>0</v>
      </c>
      <c r="C228" s="7">
        <v>14917</v>
      </c>
      <c r="D228" s="7">
        <v>15586</v>
      </c>
      <c r="E228" s="7">
        <v>14763</v>
      </c>
      <c r="F228" s="7">
        <v>13201</v>
      </c>
      <c r="G228" s="7">
        <v>58467</v>
      </c>
      <c r="I228" t="str">
        <f>TEXT(C228,"#,##0")&amp;" ("&amp;TEXT(C231,"0.00")&amp;")"</f>
        <v>14,917 (96.15)</v>
      </c>
      <c r="J228" t="str">
        <f t="shared" ref="J228:L228" si="48">TEXT(D228,"#,##0")&amp;" ("&amp;TEXT(D231,"0.00")&amp;")"</f>
        <v>15,586 (89.21)</v>
      </c>
      <c r="K228" t="str">
        <f t="shared" si="48"/>
        <v>14,763 (82.07)</v>
      </c>
      <c r="L228" t="str">
        <f t="shared" si="48"/>
        <v>13,201 (74.74)</v>
      </c>
    </row>
    <row r="229" spans="1:12" x14ac:dyDescent="0.3">
      <c r="A229" s="2"/>
      <c r="B229" s="17"/>
      <c r="C229" s="7">
        <v>21.73</v>
      </c>
      <c r="D229" s="7">
        <v>22.71</v>
      </c>
      <c r="E229" s="7">
        <v>21.51</v>
      </c>
      <c r="F229" s="7">
        <v>19.23</v>
      </c>
      <c r="G229" s="7">
        <v>85.19</v>
      </c>
      <c r="I229" t="str">
        <f>TEXT(C232,"#,##0")&amp;" ("&amp;TEXT(C235,"0.00")&amp;")"</f>
        <v>597 (3.85)</v>
      </c>
      <c r="J229" t="str">
        <f t="shared" ref="J229:L229" si="49">TEXT(D232,"#,##0")&amp;" ("&amp;TEXT(D235,"0.00")&amp;")"</f>
        <v>1,885 (10.79)</v>
      </c>
      <c r="K229" t="str">
        <f t="shared" si="49"/>
        <v>3,225 (17.93)</v>
      </c>
      <c r="L229" t="str">
        <f t="shared" si="49"/>
        <v>4,461 (25.26)</v>
      </c>
    </row>
    <row r="230" spans="1:12" x14ac:dyDescent="0.3">
      <c r="A230" s="2"/>
      <c r="B230" s="17"/>
      <c r="C230" s="7">
        <v>25.51</v>
      </c>
      <c r="D230" s="7">
        <v>26.66</v>
      </c>
      <c r="E230" s="7">
        <v>25.25</v>
      </c>
      <c r="F230" s="7">
        <v>22.58</v>
      </c>
      <c r="G230" s="7"/>
      <c r="I230" t="str">
        <f>TEXT(C236,"#,##0")&amp;" ("&amp;TEXT(C239,"0.00")&amp;")"</f>
        <v>15,514 (0.00)</v>
      </c>
      <c r="J230" t="str">
        <f t="shared" ref="J230:L230" si="50">TEXT(D236,"#,##0")&amp;" ("&amp;TEXT(D239,"0.00")&amp;")"</f>
        <v>17,471 (0.00)</v>
      </c>
      <c r="K230" t="str">
        <f t="shared" si="50"/>
        <v>17,988 (0.00)</v>
      </c>
      <c r="L230" t="str">
        <f t="shared" si="50"/>
        <v>17,662 (0.00)</v>
      </c>
    </row>
    <row r="231" spans="1:12" x14ac:dyDescent="0.3">
      <c r="A231" s="2"/>
      <c r="B231" s="17"/>
      <c r="C231" s="7">
        <v>96.15</v>
      </c>
      <c r="D231" s="7">
        <v>89.21</v>
      </c>
      <c r="E231" s="7">
        <v>82.07</v>
      </c>
      <c r="F231" s="7">
        <v>74.739999999999995</v>
      </c>
      <c r="G231" s="7"/>
      <c r="I231" t="str">
        <f>TEXT(C240,"#,##0")&amp;" ("&amp;TEXT(C243,"0.00")&amp;")"</f>
        <v>0 (15451.00)</v>
      </c>
      <c r="J231" t="str">
        <f t="shared" ref="J231:L231" si="51">TEXT(D240,"#,##0")&amp;" ("&amp;TEXT(D243,"0.00")&amp;")"</f>
        <v>0 (17240.00)</v>
      </c>
      <c r="K231" t="str">
        <f t="shared" si="51"/>
        <v>0 (17618.00)</v>
      </c>
      <c r="L231" t="str">
        <f t="shared" si="51"/>
        <v>0 (17035.00)</v>
      </c>
    </row>
    <row r="232" spans="1:12" x14ac:dyDescent="0.3">
      <c r="A232" s="2"/>
      <c r="B232" s="17">
        <v>1</v>
      </c>
      <c r="C232" s="7">
        <v>597</v>
      </c>
      <c r="D232" s="7">
        <v>1885</v>
      </c>
      <c r="E232" s="7">
        <v>3225</v>
      </c>
      <c r="F232" s="7">
        <v>4461</v>
      </c>
      <c r="G232" s="7">
        <v>10168</v>
      </c>
    </row>
    <row r="233" spans="1:12" x14ac:dyDescent="0.3">
      <c r="A233" s="2"/>
      <c r="B233" s="17"/>
      <c r="C233" s="7">
        <v>0.87</v>
      </c>
      <c r="D233" s="7">
        <v>2.75</v>
      </c>
      <c r="E233" s="7">
        <v>4.7</v>
      </c>
      <c r="F233" s="7">
        <v>6.5</v>
      </c>
      <c r="G233" s="7">
        <v>14.81</v>
      </c>
    </row>
    <row r="234" spans="1:12" x14ac:dyDescent="0.3">
      <c r="A234" s="2"/>
      <c r="B234" s="17"/>
      <c r="C234" s="7">
        <v>5.87</v>
      </c>
      <c r="D234" s="7">
        <v>18.54</v>
      </c>
      <c r="E234" s="7">
        <v>31.72</v>
      </c>
      <c r="F234" s="7">
        <v>43.87</v>
      </c>
      <c r="G234" s="7"/>
    </row>
    <row r="235" spans="1:12" x14ac:dyDescent="0.3">
      <c r="A235" s="2"/>
      <c r="B235" s="17"/>
      <c r="C235" s="7">
        <v>3.85</v>
      </c>
      <c r="D235" s="7">
        <v>10.79</v>
      </c>
      <c r="E235" s="7">
        <v>17.93</v>
      </c>
      <c r="F235" s="7">
        <v>25.26</v>
      </c>
      <c r="G235" s="7"/>
    </row>
    <row r="236" spans="1:12" x14ac:dyDescent="0.3">
      <c r="A236" s="2"/>
      <c r="B236" s="17" t="s">
        <v>26</v>
      </c>
      <c r="C236" s="7">
        <v>15514</v>
      </c>
      <c r="D236" s="7">
        <v>17471</v>
      </c>
      <c r="E236" s="7">
        <v>17988</v>
      </c>
      <c r="F236" s="7">
        <v>17662</v>
      </c>
      <c r="G236" s="7">
        <v>68635</v>
      </c>
    </row>
    <row r="237" spans="1:12" x14ac:dyDescent="0.3">
      <c r="A237" s="2"/>
      <c r="B237" s="17"/>
      <c r="C237" s="7">
        <v>22.6</v>
      </c>
      <c r="D237" s="7">
        <v>25.45</v>
      </c>
      <c r="E237" s="7">
        <v>26.21</v>
      </c>
      <c r="F237" s="7">
        <v>25.73</v>
      </c>
      <c r="G237" s="7">
        <v>100</v>
      </c>
    </row>
    <row r="238" spans="1:12" x14ac:dyDescent="0.3">
      <c r="A238" s="2"/>
      <c r="B238" s="20"/>
      <c r="C238" s="20"/>
      <c r="D238" s="20"/>
      <c r="E238" s="20"/>
      <c r="F238" s="20"/>
      <c r="G238" s="20"/>
    </row>
    <row r="239" spans="1:12" ht="17.25" thickBot="1" x14ac:dyDescent="0.35"/>
    <row r="240" spans="1:12" ht="16.5" customHeight="1" x14ac:dyDescent="0.3">
      <c r="A240" s="4" t="s">
        <v>3</v>
      </c>
      <c r="B240" s="16" t="s">
        <v>56</v>
      </c>
      <c r="C240" s="18"/>
      <c r="D240" s="18"/>
      <c r="E240" s="18"/>
      <c r="F240" s="18"/>
      <c r="G240" s="18"/>
    </row>
    <row r="241" spans="1:12" ht="16.5" customHeight="1" x14ac:dyDescent="0.3">
      <c r="A241" s="6" t="s">
        <v>4</v>
      </c>
      <c r="B241" s="17" t="s">
        <v>18</v>
      </c>
      <c r="C241" s="19" t="s">
        <v>43</v>
      </c>
      <c r="D241" s="19"/>
      <c r="E241" s="19"/>
      <c r="F241" s="19"/>
      <c r="G241" s="19"/>
    </row>
    <row r="242" spans="1:12" x14ac:dyDescent="0.3">
      <c r="A242" s="6" t="s">
        <v>22</v>
      </c>
      <c r="B242" s="17"/>
      <c r="C242" s="3">
        <v>1</v>
      </c>
      <c r="D242" s="3">
        <v>2</v>
      </c>
      <c r="E242" s="3">
        <v>3</v>
      </c>
      <c r="F242" s="3">
        <v>4</v>
      </c>
      <c r="G242" s="3" t="s">
        <v>26</v>
      </c>
    </row>
    <row r="243" spans="1:12" ht="33" x14ac:dyDescent="0.3">
      <c r="A243" s="6" t="s">
        <v>23</v>
      </c>
      <c r="B243" s="17">
        <v>0</v>
      </c>
      <c r="C243" s="7">
        <v>15451</v>
      </c>
      <c r="D243" s="7">
        <v>17240</v>
      </c>
      <c r="E243" s="7">
        <v>17618</v>
      </c>
      <c r="F243" s="7">
        <v>17035</v>
      </c>
      <c r="G243" s="7">
        <v>67344</v>
      </c>
      <c r="I243" t="str">
        <f>TEXT(C243,"#,##0")&amp;" ("&amp;TEXT(C246,"0.00")&amp;")"</f>
        <v>15,451 (99.59)</v>
      </c>
      <c r="J243" t="str">
        <f t="shared" ref="J243:L243" si="52">TEXT(D243,"#,##0")&amp;" ("&amp;TEXT(D246,"0.00")&amp;")"</f>
        <v>17,240 (98.68)</v>
      </c>
      <c r="K243" t="str">
        <f t="shared" si="52"/>
        <v>17,618 (97.94)</v>
      </c>
      <c r="L243" t="str">
        <f t="shared" si="52"/>
        <v>17,035 (96.45)</v>
      </c>
    </row>
    <row r="244" spans="1:12" x14ac:dyDescent="0.3">
      <c r="A244" s="2"/>
      <c r="B244" s="17"/>
      <c r="C244" s="7">
        <v>22.51</v>
      </c>
      <c r="D244" s="7">
        <v>25.12</v>
      </c>
      <c r="E244" s="7">
        <v>25.67</v>
      </c>
      <c r="F244" s="7">
        <v>24.82</v>
      </c>
      <c r="G244" s="7">
        <v>98.12</v>
      </c>
      <c r="I244" t="str">
        <f>TEXT(C247,"#,##0")&amp;" ("&amp;TEXT(C250,"0.00")&amp;")"</f>
        <v>63 (0.41)</v>
      </c>
      <c r="J244" t="str">
        <f t="shared" ref="J244:L244" si="53">TEXT(D247,"#,##0")&amp;" ("&amp;TEXT(D250,"0.00")&amp;")"</f>
        <v>231 (1.32)</v>
      </c>
      <c r="K244" t="str">
        <f t="shared" si="53"/>
        <v>370 (2.06)</v>
      </c>
      <c r="L244" t="str">
        <f t="shared" si="53"/>
        <v>627 (3.55)</v>
      </c>
    </row>
    <row r="245" spans="1:12" x14ac:dyDescent="0.3">
      <c r="A245" s="2"/>
      <c r="B245" s="17"/>
      <c r="C245" s="7">
        <v>22.94</v>
      </c>
      <c r="D245" s="7">
        <v>25.6</v>
      </c>
      <c r="E245" s="7">
        <v>26.16</v>
      </c>
      <c r="F245" s="7">
        <v>25.3</v>
      </c>
      <c r="G245" s="7"/>
      <c r="I245" t="str">
        <f>TEXT(C251,"#,##0")&amp;" ("&amp;TEXT(C254,"0.00")&amp;")"</f>
        <v>15,514 (0.00)</v>
      </c>
      <c r="J245" t="str">
        <f t="shared" ref="J245:L245" si="54">TEXT(D251,"#,##0")&amp;" ("&amp;TEXT(D254,"0.00")&amp;")"</f>
        <v>17,471 (0.00)</v>
      </c>
      <c r="K245" t="str">
        <f t="shared" si="54"/>
        <v>17,988 (0.00)</v>
      </c>
      <c r="L245" t="str">
        <f t="shared" si="54"/>
        <v>17,662 (0.00)</v>
      </c>
    </row>
    <row r="246" spans="1:12" x14ac:dyDescent="0.3">
      <c r="A246" s="2"/>
      <c r="B246" s="17"/>
      <c r="C246" s="7">
        <v>99.59</v>
      </c>
      <c r="D246" s="7">
        <v>98.68</v>
      </c>
      <c r="E246" s="7">
        <v>97.94</v>
      </c>
      <c r="F246" s="7">
        <v>96.45</v>
      </c>
      <c r="G246" s="7"/>
      <c r="I246" t="str">
        <f>TEXT(C255,"#,##0")&amp;" ("&amp;TEXT(C258,"0.00")&amp;")"</f>
        <v>0 (15491.00)</v>
      </c>
      <c r="J246" t="str">
        <f t="shared" ref="J246:L246" si="55">TEXT(D255,"#,##0")&amp;" ("&amp;TEXT(D258,"0.00")&amp;")"</f>
        <v>0 (17356.00)</v>
      </c>
      <c r="K246" t="str">
        <f t="shared" si="55"/>
        <v>0 (17795.00)</v>
      </c>
      <c r="L246" t="str">
        <f t="shared" si="55"/>
        <v>0 (17356.00)</v>
      </c>
    </row>
    <row r="247" spans="1:12" x14ac:dyDescent="0.3">
      <c r="A247" s="2"/>
      <c r="B247" s="17">
        <v>1</v>
      </c>
      <c r="C247" s="7">
        <v>63</v>
      </c>
      <c r="D247" s="7">
        <v>231</v>
      </c>
      <c r="E247" s="7">
        <v>370</v>
      </c>
      <c r="F247" s="7">
        <v>627</v>
      </c>
      <c r="G247" s="7">
        <v>1291</v>
      </c>
    </row>
    <row r="248" spans="1:12" x14ac:dyDescent="0.3">
      <c r="A248" s="2"/>
      <c r="B248" s="17"/>
      <c r="C248" s="7">
        <v>0.09</v>
      </c>
      <c r="D248" s="7">
        <v>0.34</v>
      </c>
      <c r="E248" s="7">
        <v>0.54</v>
      </c>
      <c r="F248" s="7">
        <v>0.91</v>
      </c>
      <c r="G248" s="7">
        <v>1.88</v>
      </c>
    </row>
    <row r="249" spans="1:12" x14ac:dyDescent="0.3">
      <c r="A249" s="2"/>
      <c r="B249" s="17"/>
      <c r="C249" s="7">
        <v>4.88</v>
      </c>
      <c r="D249" s="7">
        <v>17.89</v>
      </c>
      <c r="E249" s="7">
        <v>28.66</v>
      </c>
      <c r="F249" s="7">
        <v>48.57</v>
      </c>
      <c r="G249" s="7"/>
    </row>
    <row r="250" spans="1:12" x14ac:dyDescent="0.3">
      <c r="A250" s="2"/>
      <c r="B250" s="17"/>
      <c r="C250" s="7">
        <v>0.41</v>
      </c>
      <c r="D250" s="7">
        <v>1.32</v>
      </c>
      <c r="E250" s="7">
        <v>2.06</v>
      </c>
      <c r="F250" s="7">
        <v>3.55</v>
      </c>
      <c r="G250" s="7"/>
    </row>
    <row r="251" spans="1:12" x14ac:dyDescent="0.3">
      <c r="A251" s="2"/>
      <c r="B251" s="17" t="s">
        <v>26</v>
      </c>
      <c r="C251" s="7">
        <v>15514</v>
      </c>
      <c r="D251" s="7">
        <v>17471</v>
      </c>
      <c r="E251" s="7">
        <v>17988</v>
      </c>
      <c r="F251" s="7">
        <v>17662</v>
      </c>
      <c r="G251" s="7">
        <v>68635</v>
      </c>
    </row>
    <row r="252" spans="1:12" x14ac:dyDescent="0.3">
      <c r="A252" s="2"/>
      <c r="B252" s="17"/>
      <c r="C252" s="7">
        <v>22.6</v>
      </c>
      <c r="D252" s="7">
        <v>25.45</v>
      </c>
      <c r="E252" s="7">
        <v>26.21</v>
      </c>
      <c r="F252" s="7">
        <v>25.73</v>
      </c>
      <c r="G252" s="7">
        <v>100</v>
      </c>
    </row>
    <row r="253" spans="1:12" x14ac:dyDescent="0.3">
      <c r="A253" s="2"/>
      <c r="B253" s="20"/>
      <c r="C253" s="20"/>
      <c r="D253" s="20"/>
      <c r="E253" s="20"/>
      <c r="F253" s="20"/>
      <c r="G253" s="20"/>
    </row>
    <row r="254" spans="1:12" ht="17.25" thickBot="1" x14ac:dyDescent="0.35"/>
    <row r="255" spans="1:12" ht="16.5" customHeight="1" x14ac:dyDescent="0.3">
      <c r="A255" s="4" t="s">
        <v>3</v>
      </c>
      <c r="B255" s="16" t="s">
        <v>57</v>
      </c>
      <c r="C255" s="18"/>
      <c r="D255" s="18"/>
      <c r="E255" s="18"/>
      <c r="F255" s="18"/>
      <c r="G255" s="18"/>
    </row>
    <row r="256" spans="1:12" ht="16.5" customHeight="1" x14ac:dyDescent="0.3">
      <c r="A256" s="6" t="s">
        <v>4</v>
      </c>
      <c r="B256" s="17" t="s">
        <v>19</v>
      </c>
      <c r="C256" s="19" t="s">
        <v>43</v>
      </c>
      <c r="D256" s="19"/>
      <c r="E256" s="19"/>
      <c r="F256" s="19"/>
      <c r="G256" s="19"/>
    </row>
    <row r="257" spans="1:12" x14ac:dyDescent="0.3">
      <c r="A257" s="6" t="s">
        <v>22</v>
      </c>
      <c r="B257" s="17"/>
      <c r="C257" s="3">
        <v>1</v>
      </c>
      <c r="D257" s="3">
        <v>2</v>
      </c>
      <c r="E257" s="3">
        <v>3</v>
      </c>
      <c r="F257" s="3">
        <v>4</v>
      </c>
      <c r="G257" s="3" t="s">
        <v>26</v>
      </c>
    </row>
    <row r="258" spans="1:12" ht="33" x14ac:dyDescent="0.3">
      <c r="A258" s="6" t="s">
        <v>23</v>
      </c>
      <c r="B258" s="17">
        <v>0</v>
      </c>
      <c r="C258" s="7">
        <v>15491</v>
      </c>
      <c r="D258" s="7">
        <v>17356</v>
      </c>
      <c r="E258" s="7">
        <v>17795</v>
      </c>
      <c r="F258" s="7">
        <v>17356</v>
      </c>
      <c r="G258" s="7">
        <v>67998</v>
      </c>
      <c r="I258" t="str">
        <f>TEXT(C258,"#,##0")&amp;" ("&amp;TEXT(C261,"0.00")&amp;")"</f>
        <v>15,491 (99.85)</v>
      </c>
      <c r="J258" t="str">
        <f t="shared" ref="J258:L258" si="56">TEXT(D258,"#,##0")&amp;" ("&amp;TEXT(D261,"0.00")&amp;")"</f>
        <v>17,356 (99.34)</v>
      </c>
      <c r="K258" t="str">
        <f t="shared" si="56"/>
        <v>17,795 (98.93)</v>
      </c>
      <c r="L258" t="str">
        <f t="shared" si="56"/>
        <v>17,356 (98.27)</v>
      </c>
    </row>
    <row r="259" spans="1:12" x14ac:dyDescent="0.3">
      <c r="A259" s="2"/>
      <c r="B259" s="17"/>
      <c r="C259" s="7">
        <v>22.57</v>
      </c>
      <c r="D259" s="7">
        <v>25.29</v>
      </c>
      <c r="E259" s="7">
        <v>25.93</v>
      </c>
      <c r="F259" s="7">
        <v>25.29</v>
      </c>
      <c r="G259" s="7">
        <v>99.07</v>
      </c>
      <c r="I259" t="str">
        <f>TEXT(C262,"#,##0")&amp;" ("&amp;TEXT(C265,"0.00")&amp;")"</f>
        <v>23 (0.15)</v>
      </c>
      <c r="J259" t="str">
        <f t="shared" ref="J259:L259" si="57">TEXT(D262,"#,##0")&amp;" ("&amp;TEXT(D265,"0.00")&amp;")"</f>
        <v>115 (0.66)</v>
      </c>
      <c r="K259" t="str">
        <f t="shared" si="57"/>
        <v>193 (1.07)</v>
      </c>
      <c r="L259" t="str">
        <f t="shared" si="57"/>
        <v>306 (1.73)</v>
      </c>
    </row>
    <row r="260" spans="1:12" x14ac:dyDescent="0.3">
      <c r="A260" s="2"/>
      <c r="B260" s="17"/>
      <c r="C260" s="7">
        <v>22.78</v>
      </c>
      <c r="D260" s="7">
        <v>25.52</v>
      </c>
      <c r="E260" s="7">
        <v>26.17</v>
      </c>
      <c r="F260" s="7">
        <v>25.52</v>
      </c>
      <c r="G260" s="7"/>
      <c r="I260" t="str">
        <f>TEXT(C266,"#,##0")&amp;" ("&amp;TEXT(C269,"0.00")&amp;")"</f>
        <v>15,514 (0.00)</v>
      </c>
      <c r="J260" t="str">
        <f t="shared" ref="J260:L260" si="58">TEXT(D266,"#,##0")&amp;" ("&amp;TEXT(D269,"0.00")&amp;")"</f>
        <v>17,471 (0.00)</v>
      </c>
      <c r="K260" t="str">
        <f t="shared" si="58"/>
        <v>17,988 (0.00)</v>
      </c>
      <c r="L260" t="str">
        <f t="shared" si="58"/>
        <v>17,662 (0.00)</v>
      </c>
    </row>
    <row r="261" spans="1:12" x14ac:dyDescent="0.3">
      <c r="A261" s="2"/>
      <c r="B261" s="17"/>
      <c r="C261" s="7">
        <v>99.85</v>
      </c>
      <c r="D261" s="7">
        <v>99.34</v>
      </c>
      <c r="E261" s="7">
        <v>98.93</v>
      </c>
      <c r="F261" s="7">
        <v>98.27</v>
      </c>
      <c r="G261" s="7"/>
      <c r="I261" t="str">
        <f>TEXT(C270,"#,##0")&amp;" ("&amp;TEXT(C273,"0.00")&amp;")"</f>
        <v>0 (15439.00)</v>
      </c>
      <c r="J261" t="str">
        <f t="shared" ref="J261:L261" si="59">TEXT(D270,"#,##0")&amp;" ("&amp;TEXT(D273,"0.00")&amp;")"</f>
        <v>0 (17275.00)</v>
      </c>
      <c r="K261" t="str">
        <f t="shared" si="59"/>
        <v>0 (17609.00)</v>
      </c>
      <c r="L261" t="str">
        <f t="shared" si="59"/>
        <v>0 (17111.00)</v>
      </c>
    </row>
    <row r="262" spans="1:12" x14ac:dyDescent="0.3">
      <c r="A262" s="2"/>
      <c r="B262" s="17">
        <v>1</v>
      </c>
      <c r="C262" s="7">
        <v>23</v>
      </c>
      <c r="D262" s="7">
        <v>115</v>
      </c>
      <c r="E262" s="7">
        <v>193</v>
      </c>
      <c r="F262" s="7">
        <v>306</v>
      </c>
      <c r="G262" s="7">
        <v>637</v>
      </c>
    </row>
    <row r="263" spans="1:12" x14ac:dyDescent="0.3">
      <c r="A263" s="2"/>
      <c r="B263" s="17"/>
      <c r="C263" s="7">
        <v>0.03</v>
      </c>
      <c r="D263" s="7">
        <v>0.17</v>
      </c>
      <c r="E263" s="7">
        <v>0.28000000000000003</v>
      </c>
      <c r="F263" s="7">
        <v>0.45</v>
      </c>
      <c r="G263" s="7">
        <v>0.93</v>
      </c>
    </row>
    <row r="264" spans="1:12" x14ac:dyDescent="0.3">
      <c r="A264" s="2"/>
      <c r="B264" s="17"/>
      <c r="C264" s="7">
        <v>3.61</v>
      </c>
      <c r="D264" s="7">
        <v>18.05</v>
      </c>
      <c r="E264" s="7">
        <v>30.3</v>
      </c>
      <c r="F264" s="7">
        <v>48.04</v>
      </c>
      <c r="G264" s="7"/>
    </row>
    <row r="265" spans="1:12" x14ac:dyDescent="0.3">
      <c r="A265" s="2"/>
      <c r="B265" s="17"/>
      <c r="C265" s="7">
        <v>0.15</v>
      </c>
      <c r="D265" s="7">
        <v>0.66</v>
      </c>
      <c r="E265" s="7">
        <v>1.07</v>
      </c>
      <c r="F265" s="7">
        <v>1.73</v>
      </c>
      <c r="G265" s="7"/>
    </row>
    <row r="266" spans="1:12" x14ac:dyDescent="0.3">
      <c r="A266" s="2"/>
      <c r="B266" s="17" t="s">
        <v>26</v>
      </c>
      <c r="C266" s="7">
        <v>15514</v>
      </c>
      <c r="D266" s="7">
        <v>17471</v>
      </c>
      <c r="E266" s="7">
        <v>17988</v>
      </c>
      <c r="F266" s="7">
        <v>17662</v>
      </c>
      <c r="G266" s="7">
        <v>68635</v>
      </c>
    </row>
    <row r="267" spans="1:12" x14ac:dyDescent="0.3">
      <c r="A267" s="2"/>
      <c r="B267" s="17"/>
      <c r="C267" s="7">
        <v>22.6</v>
      </c>
      <c r="D267" s="7">
        <v>25.45</v>
      </c>
      <c r="E267" s="7">
        <v>26.21</v>
      </c>
      <c r="F267" s="7">
        <v>25.73</v>
      </c>
      <c r="G267" s="7">
        <v>100</v>
      </c>
    </row>
    <row r="268" spans="1:12" x14ac:dyDescent="0.3">
      <c r="A268" s="2"/>
      <c r="B268" s="20"/>
      <c r="C268" s="20"/>
      <c r="D268" s="20"/>
      <c r="E268" s="20"/>
      <c r="F268" s="20"/>
      <c r="G268" s="20"/>
    </row>
    <row r="269" spans="1:12" ht="17.25" thickBot="1" x14ac:dyDescent="0.35"/>
    <row r="270" spans="1:12" ht="16.5" customHeight="1" x14ac:dyDescent="0.3">
      <c r="A270" s="4" t="s">
        <v>3</v>
      </c>
      <c r="B270" s="16" t="s">
        <v>58</v>
      </c>
      <c r="C270" s="18"/>
      <c r="D270" s="18"/>
      <c r="E270" s="18"/>
      <c r="F270" s="18"/>
      <c r="G270" s="18"/>
    </row>
    <row r="271" spans="1:12" ht="16.5" customHeight="1" x14ac:dyDescent="0.3">
      <c r="A271" s="6" t="s">
        <v>4</v>
      </c>
      <c r="B271" s="17" t="s">
        <v>20</v>
      </c>
      <c r="C271" s="19" t="s">
        <v>43</v>
      </c>
      <c r="D271" s="19"/>
      <c r="E271" s="19"/>
      <c r="F271" s="19"/>
      <c r="G271" s="19"/>
    </row>
    <row r="272" spans="1:12" x14ac:dyDescent="0.3">
      <c r="A272" s="6" t="s">
        <v>22</v>
      </c>
      <c r="B272" s="17"/>
      <c r="C272" s="3">
        <v>1</v>
      </c>
      <c r="D272" s="3">
        <v>2</v>
      </c>
      <c r="E272" s="3">
        <v>3</v>
      </c>
      <c r="F272" s="3">
        <v>4</v>
      </c>
      <c r="G272" s="3" t="s">
        <v>26</v>
      </c>
    </row>
    <row r="273" spans="1:12" ht="33" x14ac:dyDescent="0.3">
      <c r="A273" s="6" t="s">
        <v>23</v>
      </c>
      <c r="B273" s="17">
        <v>0</v>
      </c>
      <c r="C273" s="7">
        <v>15439</v>
      </c>
      <c r="D273" s="7">
        <v>17275</v>
      </c>
      <c r="E273" s="7">
        <v>17609</v>
      </c>
      <c r="F273" s="7">
        <v>17111</v>
      </c>
      <c r="G273" s="7">
        <v>67434</v>
      </c>
      <c r="I273" t="str">
        <f>TEXT(C273,"#,##0")&amp;" ("&amp;TEXT(C276,"0.00")&amp;")"</f>
        <v>15,439 (99.52)</v>
      </c>
      <c r="J273" t="str">
        <f t="shared" ref="J273:L273" si="60">TEXT(D273,"#,##0")&amp;" ("&amp;TEXT(D276,"0.00")&amp;")"</f>
        <v>17,275 (98.88)</v>
      </c>
      <c r="K273" t="str">
        <f t="shared" si="60"/>
        <v>17,609 (97.89)</v>
      </c>
      <c r="L273" t="str">
        <f t="shared" si="60"/>
        <v>17,111 (96.88)</v>
      </c>
    </row>
    <row r="274" spans="1:12" x14ac:dyDescent="0.3">
      <c r="A274" s="2"/>
      <c r="B274" s="17"/>
      <c r="C274" s="7">
        <v>22.49</v>
      </c>
      <c r="D274" s="7">
        <v>25.17</v>
      </c>
      <c r="E274" s="7">
        <v>25.66</v>
      </c>
      <c r="F274" s="7">
        <v>24.93</v>
      </c>
      <c r="G274" s="7">
        <v>98.25</v>
      </c>
      <c r="I274" t="str">
        <f>TEXT(C277,"#,##0")&amp;" ("&amp;TEXT(C280,"0.00")&amp;")"</f>
        <v>75 (0.48)</v>
      </c>
      <c r="J274" t="str">
        <f t="shared" ref="J274:L274" si="61">TEXT(D277,"#,##0")&amp;" ("&amp;TEXT(D280,"0.00")&amp;")"</f>
        <v>196 (1.12)</v>
      </c>
      <c r="K274" t="str">
        <f t="shared" si="61"/>
        <v>379 (2.11)</v>
      </c>
      <c r="L274" t="str">
        <f t="shared" si="61"/>
        <v>551 (3.12)</v>
      </c>
    </row>
    <row r="275" spans="1:12" x14ac:dyDescent="0.3">
      <c r="A275" s="2"/>
      <c r="B275" s="17"/>
      <c r="C275" s="7">
        <v>22.89</v>
      </c>
      <c r="D275" s="7">
        <v>25.62</v>
      </c>
      <c r="E275" s="7">
        <v>26.11</v>
      </c>
      <c r="F275" s="7">
        <v>25.37</v>
      </c>
      <c r="G275" s="7"/>
      <c r="I275" t="str">
        <f>TEXT(C281,"#,##0")&amp;" ("&amp;TEXT(C284,"0.00")&amp;")"</f>
        <v>15,514 (0.00)</v>
      </c>
      <c r="J275" t="str">
        <f t="shared" ref="J275:L275" si="62">TEXT(D281,"#,##0")&amp;" ("&amp;TEXT(D284,"0.00")&amp;")"</f>
        <v>17,471 (0.00)</v>
      </c>
      <c r="K275" t="str">
        <f t="shared" si="62"/>
        <v>17,988 (0.00)</v>
      </c>
      <c r="L275" t="str">
        <f t="shared" si="62"/>
        <v>17,662 (0.00)</v>
      </c>
    </row>
    <row r="276" spans="1:12" x14ac:dyDescent="0.3">
      <c r="A276" s="2"/>
      <c r="B276" s="17"/>
      <c r="C276" s="7">
        <v>99.52</v>
      </c>
      <c r="D276" s="7">
        <v>98.88</v>
      </c>
      <c r="E276" s="7">
        <v>97.89</v>
      </c>
      <c r="F276" s="7">
        <v>96.88</v>
      </c>
      <c r="G276" s="7"/>
      <c r="I276" t="str">
        <f>TEXT(C285,"#,##0")&amp;" ("&amp;TEXT(C288,"0.00")&amp;")"</f>
        <v>0 (0.00)</v>
      </c>
      <c r="J276" t="str">
        <f t="shared" ref="J276:L276" si="63">TEXT(D285,"#,##0")&amp;" ("&amp;TEXT(D288,"0.00")&amp;")"</f>
        <v>0 (0.00)</v>
      </c>
      <c r="K276" t="str">
        <f t="shared" si="63"/>
        <v>0 (0.00)</v>
      </c>
      <c r="L276" t="str">
        <f t="shared" si="63"/>
        <v>0 (0.00)</v>
      </c>
    </row>
    <row r="277" spans="1:12" x14ac:dyDescent="0.3">
      <c r="A277" s="2"/>
      <c r="B277" s="17">
        <v>1</v>
      </c>
      <c r="C277" s="7">
        <v>75</v>
      </c>
      <c r="D277" s="7">
        <v>196</v>
      </c>
      <c r="E277" s="7">
        <v>379</v>
      </c>
      <c r="F277" s="7">
        <v>551</v>
      </c>
      <c r="G277" s="7">
        <v>1201</v>
      </c>
    </row>
    <row r="278" spans="1:12" x14ac:dyDescent="0.3">
      <c r="A278" s="2"/>
      <c r="B278" s="17"/>
      <c r="C278" s="7">
        <v>0.11</v>
      </c>
      <c r="D278" s="7">
        <v>0.28999999999999998</v>
      </c>
      <c r="E278" s="7">
        <v>0.55000000000000004</v>
      </c>
      <c r="F278" s="7">
        <v>0.8</v>
      </c>
      <c r="G278" s="7">
        <v>1.75</v>
      </c>
    </row>
    <row r="279" spans="1:12" x14ac:dyDescent="0.3">
      <c r="A279" s="2"/>
      <c r="B279" s="17"/>
      <c r="C279" s="7">
        <v>6.24</v>
      </c>
      <c r="D279" s="7">
        <v>16.32</v>
      </c>
      <c r="E279" s="7">
        <v>31.56</v>
      </c>
      <c r="F279" s="7">
        <v>45.88</v>
      </c>
      <c r="G279" s="7"/>
    </row>
    <row r="280" spans="1:12" x14ac:dyDescent="0.3">
      <c r="A280" s="2"/>
      <c r="B280" s="17"/>
      <c r="C280" s="7">
        <v>0.48</v>
      </c>
      <c r="D280" s="7">
        <v>1.1200000000000001</v>
      </c>
      <c r="E280" s="7">
        <v>2.11</v>
      </c>
      <c r="F280" s="7">
        <v>3.12</v>
      </c>
      <c r="G280" s="7"/>
    </row>
    <row r="281" spans="1:12" x14ac:dyDescent="0.3">
      <c r="A281" s="2"/>
      <c r="B281" s="17" t="s">
        <v>26</v>
      </c>
      <c r="C281" s="7">
        <v>15514</v>
      </c>
      <c r="D281" s="7">
        <v>17471</v>
      </c>
      <c r="E281" s="7">
        <v>17988</v>
      </c>
      <c r="F281" s="7">
        <v>17662</v>
      </c>
      <c r="G281" s="7">
        <v>68635</v>
      </c>
    </row>
    <row r="282" spans="1:12" x14ac:dyDescent="0.3">
      <c r="A282" s="2"/>
      <c r="B282" s="17"/>
      <c r="C282" s="7">
        <v>22.6</v>
      </c>
      <c r="D282" s="7">
        <v>25.45</v>
      </c>
      <c r="E282" s="7">
        <v>26.21</v>
      </c>
      <c r="F282" s="7">
        <v>25.73</v>
      </c>
      <c r="G282" s="7">
        <v>100</v>
      </c>
    </row>
    <row r="283" spans="1:12" x14ac:dyDescent="0.3">
      <c r="A283" s="2"/>
      <c r="B283" s="20"/>
      <c r="C283" s="20"/>
      <c r="D283" s="20"/>
      <c r="E283" s="20"/>
      <c r="F283" s="20"/>
      <c r="G283" s="20"/>
    </row>
  </sheetData>
  <mergeCells count="122">
    <mergeCell ref="B20:B21"/>
    <mergeCell ref="B22:G22"/>
    <mergeCell ref="B24:G24"/>
    <mergeCell ref="B25:B26"/>
    <mergeCell ref="C25:G25"/>
    <mergeCell ref="B27:B30"/>
    <mergeCell ref="B5:G5"/>
    <mergeCell ref="B6:B7"/>
    <mergeCell ref="C6:G6"/>
    <mergeCell ref="B8:B11"/>
    <mergeCell ref="B12:B15"/>
    <mergeCell ref="B16:B19"/>
    <mergeCell ref="B42:B45"/>
    <mergeCell ref="B46:B49"/>
    <mergeCell ref="B50:B51"/>
    <mergeCell ref="B52:G52"/>
    <mergeCell ref="B54:G54"/>
    <mergeCell ref="B55:B56"/>
    <mergeCell ref="C55:G55"/>
    <mergeCell ref="B31:B34"/>
    <mergeCell ref="B35:B36"/>
    <mergeCell ref="B37:G37"/>
    <mergeCell ref="B39:G39"/>
    <mergeCell ref="B40:B41"/>
    <mergeCell ref="C40:G40"/>
    <mergeCell ref="B77:G77"/>
    <mergeCell ref="B78:B79"/>
    <mergeCell ref="C78:G78"/>
    <mergeCell ref="B80:B83"/>
    <mergeCell ref="B84:B87"/>
    <mergeCell ref="B88:B91"/>
    <mergeCell ref="B57:B60"/>
    <mergeCell ref="B61:B64"/>
    <mergeCell ref="B65:B68"/>
    <mergeCell ref="B69:B72"/>
    <mergeCell ref="B73:B74"/>
    <mergeCell ref="B75:G75"/>
    <mergeCell ref="B103:B106"/>
    <mergeCell ref="B107:B110"/>
    <mergeCell ref="B111:B114"/>
    <mergeCell ref="B115:B118"/>
    <mergeCell ref="B119:B120"/>
    <mergeCell ref="B121:G121"/>
    <mergeCell ref="B92:B95"/>
    <mergeCell ref="B96:B97"/>
    <mergeCell ref="B98:G98"/>
    <mergeCell ref="B100:G100"/>
    <mergeCell ref="B101:B102"/>
    <mergeCell ref="C101:G101"/>
    <mergeCell ref="B136:G136"/>
    <mergeCell ref="B138:G138"/>
    <mergeCell ref="B139:B140"/>
    <mergeCell ref="C139:G139"/>
    <mergeCell ref="B141:B144"/>
    <mergeCell ref="B145:B148"/>
    <mergeCell ref="B123:G123"/>
    <mergeCell ref="B124:B125"/>
    <mergeCell ref="C124:G124"/>
    <mergeCell ref="B126:B129"/>
    <mergeCell ref="B130:B133"/>
    <mergeCell ref="B134:B135"/>
    <mergeCell ref="B160:B163"/>
    <mergeCell ref="B164:B167"/>
    <mergeCell ref="B168:B171"/>
    <mergeCell ref="B172:B173"/>
    <mergeCell ref="B174:G174"/>
    <mergeCell ref="B176:G176"/>
    <mergeCell ref="B149:B152"/>
    <mergeCell ref="B153:B154"/>
    <mergeCell ref="B155:G155"/>
    <mergeCell ref="B157:G157"/>
    <mergeCell ref="B158:B159"/>
    <mergeCell ref="C158:G158"/>
    <mergeCell ref="B193:G193"/>
    <mergeCell ref="B195:G195"/>
    <mergeCell ref="B196:B197"/>
    <mergeCell ref="C196:G196"/>
    <mergeCell ref="B198:B201"/>
    <mergeCell ref="B202:B205"/>
    <mergeCell ref="B177:B178"/>
    <mergeCell ref="C177:G177"/>
    <mergeCell ref="B179:B182"/>
    <mergeCell ref="B183:B186"/>
    <mergeCell ref="B187:B190"/>
    <mergeCell ref="B191:B192"/>
    <mergeCell ref="B217:B220"/>
    <mergeCell ref="B221:B222"/>
    <mergeCell ref="B223:G223"/>
    <mergeCell ref="B225:G225"/>
    <mergeCell ref="B226:B227"/>
    <mergeCell ref="C226:G226"/>
    <mergeCell ref="B206:B207"/>
    <mergeCell ref="B208:G208"/>
    <mergeCell ref="B210:G210"/>
    <mergeCell ref="B211:B212"/>
    <mergeCell ref="C211:G211"/>
    <mergeCell ref="B213:B216"/>
    <mergeCell ref="B243:B246"/>
    <mergeCell ref="B247:B250"/>
    <mergeCell ref="B251:B252"/>
    <mergeCell ref="B253:G253"/>
    <mergeCell ref="B255:G255"/>
    <mergeCell ref="B256:B257"/>
    <mergeCell ref="C256:G256"/>
    <mergeCell ref="B228:B231"/>
    <mergeCell ref="B232:B235"/>
    <mergeCell ref="B236:B237"/>
    <mergeCell ref="B238:G238"/>
    <mergeCell ref="B240:G240"/>
    <mergeCell ref="B241:B242"/>
    <mergeCell ref="C241:G241"/>
    <mergeCell ref="B273:B276"/>
    <mergeCell ref="B277:B280"/>
    <mergeCell ref="B281:B282"/>
    <mergeCell ref="B283:G283"/>
    <mergeCell ref="B258:B261"/>
    <mergeCell ref="B262:B265"/>
    <mergeCell ref="B266:B267"/>
    <mergeCell ref="B268:G268"/>
    <mergeCell ref="B270:G270"/>
    <mergeCell ref="B271:B272"/>
    <mergeCell ref="C271:G27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568F-4AA0-4222-A2C0-A9616BFEC46D}">
  <dimension ref="A1:L283"/>
  <sheetViews>
    <sheetView workbookViewId="0">
      <selection activeCell="C20" sqref="C20:F20"/>
    </sheetView>
  </sheetViews>
  <sheetFormatPr defaultRowHeight="16.5" x14ac:dyDescent="0.3"/>
  <cols>
    <col min="9" max="11" width="12.375" bestFit="1" customWidth="1"/>
    <col min="12" max="12" width="13.5" bestFit="1" customWidth="1"/>
  </cols>
  <sheetData>
    <row r="1" spans="1:12" x14ac:dyDescent="0.3">
      <c r="A1" s="1" t="s">
        <v>0</v>
      </c>
    </row>
    <row r="3" spans="1:12" x14ac:dyDescent="0.3">
      <c r="A3" s="1" t="s">
        <v>21</v>
      </c>
    </row>
    <row r="4" spans="1:12" ht="17.25" thickBot="1" x14ac:dyDescent="0.35"/>
    <row r="5" spans="1:12" ht="16.5" customHeight="1" x14ac:dyDescent="0.3">
      <c r="A5" s="4" t="s">
        <v>3</v>
      </c>
      <c r="B5" s="16" t="s">
        <v>59</v>
      </c>
      <c r="C5" s="18"/>
      <c r="D5" s="18"/>
      <c r="E5" s="18"/>
      <c r="F5" s="18"/>
      <c r="G5" s="18"/>
    </row>
    <row r="6" spans="1:12" ht="16.5" customHeight="1" x14ac:dyDescent="0.3">
      <c r="A6" s="6" t="s">
        <v>4</v>
      </c>
      <c r="B6" s="17" t="s">
        <v>2</v>
      </c>
      <c r="C6" s="19" t="s">
        <v>60</v>
      </c>
      <c r="D6" s="19"/>
      <c r="E6" s="19"/>
      <c r="F6" s="19"/>
      <c r="G6" s="19"/>
    </row>
    <row r="7" spans="1:12" x14ac:dyDescent="0.3">
      <c r="A7" s="6" t="s">
        <v>22</v>
      </c>
      <c r="B7" s="17"/>
      <c r="C7" s="3">
        <v>1</v>
      </c>
      <c r="D7" s="3">
        <v>2</v>
      </c>
      <c r="E7" s="3">
        <v>3</v>
      </c>
      <c r="F7" s="3">
        <v>4</v>
      </c>
      <c r="G7" s="3" t="s">
        <v>26</v>
      </c>
    </row>
    <row r="8" spans="1:12" ht="33" x14ac:dyDescent="0.3">
      <c r="A8" s="6" t="s">
        <v>23</v>
      </c>
      <c r="B8" s="17">
        <v>1</v>
      </c>
      <c r="C8" s="7">
        <v>7343</v>
      </c>
      <c r="D8" s="7">
        <v>5521</v>
      </c>
      <c r="E8" s="7">
        <v>4278</v>
      </c>
      <c r="F8" s="7">
        <v>3937</v>
      </c>
      <c r="G8" s="7">
        <v>21079</v>
      </c>
      <c r="I8" t="str">
        <f>TEXT(C8,"#,##0")&amp;" ("&amp;TEXT(C11,"0.00")&amp;")"</f>
        <v>7,343 (44.11)</v>
      </c>
      <c r="J8" t="str">
        <f t="shared" ref="J8:L8" si="0">TEXT(D8,"#,##0")&amp;" ("&amp;TEXT(D11,"0.00")&amp;")"</f>
        <v>5,521 (32.90)</v>
      </c>
      <c r="K8" t="str">
        <f t="shared" si="0"/>
        <v>4,278 (24.93)</v>
      </c>
      <c r="L8" t="str">
        <f t="shared" si="0"/>
        <v>3,937 (21.82)</v>
      </c>
    </row>
    <row r="9" spans="1:12" x14ac:dyDescent="0.3">
      <c r="A9" s="2"/>
      <c r="B9" s="17"/>
      <c r="C9" s="7">
        <v>10.7</v>
      </c>
      <c r="D9" s="7">
        <v>8.0399999999999991</v>
      </c>
      <c r="E9" s="7">
        <v>6.23</v>
      </c>
      <c r="F9" s="7">
        <v>5.74</v>
      </c>
      <c r="G9" s="7">
        <v>30.71</v>
      </c>
      <c r="I9" t="str">
        <f>TEXT(C12,"#,##0")&amp;" ("&amp;TEXT(C15,"0.00")&amp;")"</f>
        <v>7,026 (42.21)</v>
      </c>
      <c r="J9" t="str">
        <f t="shared" ref="J9:L9" si="1">TEXT(D12,"#,##0")&amp;" ("&amp;TEXT(D15,"0.00")&amp;")"</f>
        <v>7,801 (46.49)</v>
      </c>
      <c r="K9" t="str">
        <f t="shared" si="1"/>
        <v>8,628 (50.27)</v>
      </c>
      <c r="L9" t="str">
        <f t="shared" si="1"/>
        <v>10,015 (55.50)</v>
      </c>
    </row>
    <row r="10" spans="1:12" x14ac:dyDescent="0.3">
      <c r="A10" s="2"/>
      <c r="B10" s="17"/>
      <c r="C10" s="7">
        <v>34.840000000000003</v>
      </c>
      <c r="D10" s="7">
        <v>26.19</v>
      </c>
      <c r="E10" s="7">
        <v>20.3</v>
      </c>
      <c r="F10" s="7">
        <v>18.68</v>
      </c>
      <c r="G10" s="7"/>
      <c r="I10" t="str">
        <f>TEXT(C16,"#,##0")&amp;" ("&amp;TEXT(C19,"0.00")&amp;")"</f>
        <v>2,278 (13.68)</v>
      </c>
      <c r="J10" t="str">
        <f t="shared" ref="J10:L10" si="2">TEXT(D16,"#,##0")&amp;" ("&amp;TEXT(D19,"0.00")&amp;")"</f>
        <v>3,457 (20.60)</v>
      </c>
      <c r="K10" t="str">
        <f t="shared" si="2"/>
        <v>4,257 (24.80)</v>
      </c>
      <c r="L10" t="str">
        <f t="shared" si="2"/>
        <v>4,094 (22.69)</v>
      </c>
    </row>
    <row r="11" spans="1:12" x14ac:dyDescent="0.3">
      <c r="A11" s="2"/>
      <c r="B11" s="17"/>
      <c r="C11" s="7">
        <v>44.11</v>
      </c>
      <c r="D11" s="7">
        <v>32.9</v>
      </c>
      <c r="E11" s="7">
        <v>24.93</v>
      </c>
      <c r="F11" s="7">
        <v>21.82</v>
      </c>
      <c r="G11" s="7"/>
      <c r="I11" t="str">
        <f>TEXT(C20,"#,##0")&amp;" ("&amp;TEXT(C23,"0.00")&amp;")"</f>
        <v>16,647 (0.00)</v>
      </c>
      <c r="J11" t="str">
        <f t="shared" ref="J11:L11" si="3">TEXT(D20,"#,##0")&amp;" ("&amp;TEXT(D23,"0.00")&amp;")"</f>
        <v>16,779 (0.00)</v>
      </c>
      <c r="K11" t="str">
        <f t="shared" si="3"/>
        <v>17,163 (0.00)</v>
      </c>
      <c r="L11" t="str">
        <f t="shared" si="3"/>
        <v>18,046 (0.00)</v>
      </c>
    </row>
    <row r="12" spans="1:12" x14ac:dyDescent="0.3">
      <c r="A12" s="2"/>
      <c r="B12" s="17">
        <v>2</v>
      </c>
      <c r="C12" s="7">
        <v>7026</v>
      </c>
      <c r="D12" s="7">
        <v>7801</v>
      </c>
      <c r="E12" s="7">
        <v>8628</v>
      </c>
      <c r="F12" s="7">
        <v>10015</v>
      </c>
      <c r="G12" s="7">
        <v>33470</v>
      </c>
    </row>
    <row r="13" spans="1:12" x14ac:dyDescent="0.3">
      <c r="A13" s="2"/>
      <c r="B13" s="17"/>
      <c r="C13" s="7">
        <v>10.24</v>
      </c>
      <c r="D13" s="7">
        <v>11.37</v>
      </c>
      <c r="E13" s="7">
        <v>12.57</v>
      </c>
      <c r="F13" s="7">
        <v>14.59</v>
      </c>
      <c r="G13" s="7">
        <v>48.77</v>
      </c>
    </row>
    <row r="14" spans="1:12" x14ac:dyDescent="0.3">
      <c r="A14" s="2"/>
      <c r="B14" s="17"/>
      <c r="C14" s="7">
        <v>20.99</v>
      </c>
      <c r="D14" s="7">
        <v>23.31</v>
      </c>
      <c r="E14" s="7">
        <v>25.78</v>
      </c>
      <c r="F14" s="7">
        <v>29.92</v>
      </c>
      <c r="G14" s="7"/>
    </row>
    <row r="15" spans="1:12" x14ac:dyDescent="0.3">
      <c r="A15" s="2"/>
      <c r="B15" s="17"/>
      <c r="C15" s="7">
        <v>42.21</v>
      </c>
      <c r="D15" s="7">
        <v>46.49</v>
      </c>
      <c r="E15" s="7">
        <v>50.27</v>
      </c>
      <c r="F15" s="7">
        <v>55.5</v>
      </c>
      <c r="G15" s="7"/>
    </row>
    <row r="16" spans="1:12" x14ac:dyDescent="0.3">
      <c r="A16" s="2"/>
      <c r="B16" s="17">
        <v>3</v>
      </c>
      <c r="C16" s="7">
        <v>2278</v>
      </c>
      <c r="D16" s="7">
        <v>3457</v>
      </c>
      <c r="E16" s="7">
        <v>4257</v>
      </c>
      <c r="F16" s="7">
        <v>4094</v>
      </c>
      <c r="G16" s="7">
        <v>14086</v>
      </c>
    </row>
    <row r="17" spans="1:12" x14ac:dyDescent="0.3">
      <c r="A17" s="2"/>
      <c r="B17" s="17"/>
      <c r="C17" s="7">
        <v>3.32</v>
      </c>
      <c r="D17" s="7">
        <v>5.04</v>
      </c>
      <c r="E17" s="7">
        <v>6.2</v>
      </c>
      <c r="F17" s="7">
        <v>5.96</v>
      </c>
      <c r="G17" s="7">
        <v>20.52</v>
      </c>
    </row>
    <row r="18" spans="1:12" x14ac:dyDescent="0.3">
      <c r="A18" s="2"/>
      <c r="B18" s="17"/>
      <c r="C18" s="7">
        <v>16.170000000000002</v>
      </c>
      <c r="D18" s="7">
        <v>24.54</v>
      </c>
      <c r="E18" s="7">
        <v>30.22</v>
      </c>
      <c r="F18" s="7">
        <v>29.06</v>
      </c>
      <c r="G18" s="7"/>
    </row>
    <row r="19" spans="1:12" x14ac:dyDescent="0.3">
      <c r="A19" s="2"/>
      <c r="B19" s="17"/>
      <c r="C19" s="7">
        <v>13.68</v>
      </c>
      <c r="D19" s="7">
        <v>20.6</v>
      </c>
      <c r="E19" s="7">
        <v>24.8</v>
      </c>
      <c r="F19" s="7">
        <v>22.69</v>
      </c>
      <c r="G19" s="7"/>
    </row>
    <row r="20" spans="1:12" x14ac:dyDescent="0.3">
      <c r="A20" s="2"/>
      <c r="B20" s="17" t="s">
        <v>26</v>
      </c>
      <c r="C20" s="7">
        <v>16647</v>
      </c>
      <c r="D20" s="7">
        <v>16779</v>
      </c>
      <c r="E20" s="7">
        <v>17163</v>
      </c>
      <c r="F20" s="7">
        <v>18046</v>
      </c>
      <c r="G20" s="7">
        <v>68635</v>
      </c>
    </row>
    <row r="21" spans="1:12" x14ac:dyDescent="0.3">
      <c r="A21" s="2"/>
      <c r="B21" s="17"/>
      <c r="C21" s="7">
        <v>24.25</v>
      </c>
      <c r="D21" s="7">
        <v>24.45</v>
      </c>
      <c r="E21" s="7">
        <v>25.01</v>
      </c>
      <c r="F21" s="7">
        <v>26.29</v>
      </c>
      <c r="G21" s="7">
        <v>100</v>
      </c>
    </row>
    <row r="22" spans="1:12" x14ac:dyDescent="0.3">
      <c r="A22" s="2"/>
      <c r="B22" s="20"/>
      <c r="C22" s="20"/>
      <c r="D22" s="20"/>
      <c r="E22" s="20"/>
      <c r="F22" s="20"/>
      <c r="G22" s="20"/>
    </row>
    <row r="23" spans="1:12" ht="17.25" thickBot="1" x14ac:dyDescent="0.35"/>
    <row r="24" spans="1:12" ht="16.5" customHeight="1" x14ac:dyDescent="0.3">
      <c r="A24" s="4" t="s">
        <v>3</v>
      </c>
      <c r="B24" s="16" t="s">
        <v>61</v>
      </c>
      <c r="C24" s="18"/>
      <c r="D24" s="18"/>
      <c r="E24" s="18"/>
      <c r="F24" s="18"/>
      <c r="G24" s="18"/>
    </row>
    <row r="25" spans="1:12" ht="16.5" customHeight="1" x14ac:dyDescent="0.3">
      <c r="A25" s="6" t="s">
        <v>4</v>
      </c>
      <c r="B25" s="17" t="s">
        <v>6</v>
      </c>
      <c r="C25" s="19" t="s">
        <v>60</v>
      </c>
      <c r="D25" s="19"/>
      <c r="E25" s="19"/>
      <c r="F25" s="19"/>
      <c r="G25" s="19"/>
    </row>
    <row r="26" spans="1:12" x14ac:dyDescent="0.3">
      <c r="A26" s="6" t="s">
        <v>22</v>
      </c>
      <c r="B26" s="17"/>
      <c r="C26" s="3">
        <v>1</v>
      </c>
      <c r="D26" s="3">
        <v>2</v>
      </c>
      <c r="E26" s="3">
        <v>3</v>
      </c>
      <c r="F26" s="3">
        <v>4</v>
      </c>
      <c r="G26" s="3" t="s">
        <v>26</v>
      </c>
    </row>
    <row r="27" spans="1:12" ht="33" x14ac:dyDescent="0.3">
      <c r="A27" s="6" t="s">
        <v>23</v>
      </c>
      <c r="B27" s="17">
        <v>1</v>
      </c>
      <c r="C27" s="7">
        <v>4721</v>
      </c>
      <c r="D27" s="7">
        <v>7232</v>
      </c>
      <c r="E27" s="7">
        <v>9253</v>
      </c>
      <c r="F27" s="7">
        <v>11994</v>
      </c>
      <c r="G27" s="7">
        <v>33200</v>
      </c>
      <c r="I27" t="str">
        <f>TEXT(C27,"#,##0")&amp;" ("&amp;TEXT(C30,"0.00")&amp;")"</f>
        <v>4,721 (28.36)</v>
      </c>
      <c r="J27" t="str">
        <f t="shared" ref="J27:L27" si="4">TEXT(D27,"#,##0")&amp;" ("&amp;TEXT(D30,"0.00")&amp;")"</f>
        <v>7,232 (43.10)</v>
      </c>
      <c r="K27" t="str">
        <f t="shared" si="4"/>
        <v>9,253 (53.91)</v>
      </c>
      <c r="L27" t="str">
        <f t="shared" si="4"/>
        <v>11,994 (66.46)</v>
      </c>
    </row>
    <row r="28" spans="1:12" x14ac:dyDescent="0.3">
      <c r="A28" s="2"/>
      <c r="B28" s="17"/>
      <c r="C28" s="7">
        <v>6.88</v>
      </c>
      <c r="D28" s="7">
        <v>10.54</v>
      </c>
      <c r="E28" s="7">
        <v>13.48</v>
      </c>
      <c r="F28" s="7">
        <v>17.48</v>
      </c>
      <c r="G28" s="7">
        <v>48.37</v>
      </c>
      <c r="I28" t="str">
        <f>TEXT(C31,"#,##0")&amp;" ("&amp;TEXT(C34,"0.00")&amp;")"</f>
        <v>11,926 (71.64)</v>
      </c>
      <c r="J28" t="str">
        <f t="shared" ref="J28:L28" si="5">TEXT(D31,"#,##0")&amp;" ("&amp;TEXT(D34,"0.00")&amp;")"</f>
        <v>9,547 (56.90)</v>
      </c>
      <c r="K28" t="str">
        <f t="shared" si="5"/>
        <v>7,910 (46.09)</v>
      </c>
      <c r="L28" t="str">
        <f t="shared" si="5"/>
        <v>6,052 (33.54)</v>
      </c>
    </row>
    <row r="29" spans="1:12" x14ac:dyDescent="0.3">
      <c r="A29" s="2"/>
      <c r="B29" s="17"/>
      <c r="C29" s="7">
        <v>14.22</v>
      </c>
      <c r="D29" s="7">
        <v>21.78</v>
      </c>
      <c r="E29" s="7">
        <v>27.87</v>
      </c>
      <c r="F29" s="7">
        <v>36.130000000000003</v>
      </c>
      <c r="G29" s="7"/>
      <c r="I29" t="str">
        <f>TEXT(C35,"#,##0")&amp;" ("&amp;TEXT(C38,"0.00")&amp;")"</f>
        <v>16,647 (0.00)</v>
      </c>
      <c r="J29" t="str">
        <f t="shared" ref="J29:L29" si="6">TEXT(D35,"#,##0")&amp;" ("&amp;TEXT(D38,"0.00")&amp;")"</f>
        <v>16,779 (0.00)</v>
      </c>
      <c r="K29" t="str">
        <f t="shared" si="6"/>
        <v>17,163 (0.00)</v>
      </c>
      <c r="L29" t="str">
        <f t="shared" si="6"/>
        <v>18,046 (0.00)</v>
      </c>
    </row>
    <row r="30" spans="1:12" x14ac:dyDescent="0.3">
      <c r="A30" s="2"/>
      <c r="B30" s="17"/>
      <c r="C30" s="7">
        <v>28.36</v>
      </c>
      <c r="D30" s="7">
        <v>43.1</v>
      </c>
      <c r="E30" s="7">
        <v>53.91</v>
      </c>
      <c r="F30" s="7">
        <v>66.459999999999994</v>
      </c>
      <c r="G30" s="7"/>
      <c r="I30" t="str">
        <f>TEXT(C39,"#,##0")&amp;" ("&amp;TEXT(C42,"0.00")&amp;")"</f>
        <v>0 (13948.00)</v>
      </c>
      <c r="J30" t="str">
        <f t="shared" ref="J30:L30" si="7">TEXT(D39,"#,##0")&amp;" ("&amp;TEXT(D42,"0.00")&amp;")"</f>
        <v>0 (13553.00)</v>
      </c>
      <c r="K30" t="str">
        <f t="shared" si="7"/>
        <v>0 (13640.00)</v>
      </c>
      <c r="L30" t="str">
        <f t="shared" si="7"/>
        <v>0 (14035.00)</v>
      </c>
    </row>
    <row r="31" spans="1:12" x14ac:dyDescent="0.3">
      <c r="A31" s="2"/>
      <c r="B31" s="17">
        <v>2</v>
      </c>
      <c r="C31" s="7">
        <v>11926</v>
      </c>
      <c r="D31" s="7">
        <v>9547</v>
      </c>
      <c r="E31" s="7">
        <v>7910</v>
      </c>
      <c r="F31" s="7">
        <v>6052</v>
      </c>
      <c r="G31" s="7">
        <v>35435</v>
      </c>
    </row>
    <row r="32" spans="1:12" x14ac:dyDescent="0.3">
      <c r="A32" s="2"/>
      <c r="B32" s="17"/>
      <c r="C32" s="7">
        <v>17.38</v>
      </c>
      <c r="D32" s="7">
        <v>13.91</v>
      </c>
      <c r="E32" s="7">
        <v>11.52</v>
      </c>
      <c r="F32" s="7">
        <v>8.82</v>
      </c>
      <c r="G32" s="7">
        <v>51.63</v>
      </c>
    </row>
    <row r="33" spans="1:12" x14ac:dyDescent="0.3">
      <c r="A33" s="2"/>
      <c r="B33" s="17"/>
      <c r="C33" s="7">
        <v>33.659999999999997</v>
      </c>
      <c r="D33" s="7">
        <v>26.94</v>
      </c>
      <c r="E33" s="7">
        <v>22.32</v>
      </c>
      <c r="F33" s="7">
        <v>17.079999999999998</v>
      </c>
      <c r="G33" s="7"/>
    </row>
    <row r="34" spans="1:12" x14ac:dyDescent="0.3">
      <c r="A34" s="2"/>
      <c r="B34" s="17"/>
      <c r="C34" s="7">
        <v>71.64</v>
      </c>
      <c r="D34" s="7">
        <v>56.9</v>
      </c>
      <c r="E34" s="7">
        <v>46.09</v>
      </c>
      <c r="F34" s="7">
        <v>33.54</v>
      </c>
      <c r="G34" s="7"/>
    </row>
    <row r="35" spans="1:12" x14ac:dyDescent="0.3">
      <c r="A35" s="2"/>
      <c r="B35" s="17" t="s">
        <v>26</v>
      </c>
      <c r="C35" s="7">
        <v>16647</v>
      </c>
      <c r="D35" s="7">
        <v>16779</v>
      </c>
      <c r="E35" s="7">
        <v>17163</v>
      </c>
      <c r="F35" s="7">
        <v>18046</v>
      </c>
      <c r="G35" s="7">
        <v>68635</v>
      </c>
    </row>
    <row r="36" spans="1:12" x14ac:dyDescent="0.3">
      <c r="A36" s="2"/>
      <c r="B36" s="17"/>
      <c r="C36" s="7">
        <v>24.25</v>
      </c>
      <c r="D36" s="7">
        <v>24.45</v>
      </c>
      <c r="E36" s="7">
        <v>25.01</v>
      </c>
      <c r="F36" s="7">
        <v>26.29</v>
      </c>
      <c r="G36" s="7">
        <v>100</v>
      </c>
    </row>
    <row r="37" spans="1:12" x14ac:dyDescent="0.3">
      <c r="A37" s="2"/>
      <c r="B37" s="20"/>
      <c r="C37" s="20"/>
      <c r="D37" s="20"/>
      <c r="E37" s="20"/>
      <c r="F37" s="20"/>
      <c r="G37" s="20"/>
    </row>
    <row r="38" spans="1:12" ht="17.25" thickBot="1" x14ac:dyDescent="0.35"/>
    <row r="39" spans="1:12" ht="16.5" customHeight="1" x14ac:dyDescent="0.3">
      <c r="A39" s="4" t="s">
        <v>3</v>
      </c>
      <c r="B39" s="16" t="s">
        <v>62</v>
      </c>
      <c r="C39" s="18"/>
      <c r="D39" s="18"/>
      <c r="E39" s="18"/>
      <c r="F39" s="18"/>
      <c r="G39" s="18"/>
    </row>
    <row r="40" spans="1:12" ht="16.5" customHeight="1" x14ac:dyDescent="0.3">
      <c r="A40" s="6" t="s">
        <v>4</v>
      </c>
      <c r="B40" s="17" t="s">
        <v>7</v>
      </c>
      <c r="C40" s="19" t="s">
        <v>60</v>
      </c>
      <c r="D40" s="19"/>
      <c r="E40" s="19"/>
      <c r="F40" s="19"/>
      <c r="G40" s="19"/>
    </row>
    <row r="41" spans="1:12" x14ac:dyDescent="0.3">
      <c r="A41" s="6" t="s">
        <v>22</v>
      </c>
      <c r="B41" s="17"/>
      <c r="C41" s="3">
        <v>1</v>
      </c>
      <c r="D41" s="3">
        <v>2</v>
      </c>
      <c r="E41" s="3">
        <v>3</v>
      </c>
      <c r="F41" s="3">
        <v>4</v>
      </c>
      <c r="G41" s="3" t="s">
        <v>26</v>
      </c>
    </row>
    <row r="42" spans="1:12" ht="33" x14ac:dyDescent="0.3">
      <c r="A42" s="6" t="s">
        <v>23</v>
      </c>
      <c r="B42" s="17">
        <v>1</v>
      </c>
      <c r="C42" s="7">
        <v>13948</v>
      </c>
      <c r="D42" s="7">
        <v>13553</v>
      </c>
      <c r="E42" s="7">
        <v>13640</v>
      </c>
      <c r="F42" s="7">
        <v>14035</v>
      </c>
      <c r="G42" s="7">
        <v>55176</v>
      </c>
      <c r="I42" t="str">
        <f>TEXT(C42,"#,##0")&amp;" ("&amp;TEXT(C45,"0.00")&amp;")"</f>
        <v>13,948 (83.79)</v>
      </c>
      <c r="J42" t="str">
        <f t="shared" ref="J42:L42" si="8">TEXT(D42,"#,##0")&amp;" ("&amp;TEXT(D45,"0.00")&amp;")"</f>
        <v>13,553 (80.77)</v>
      </c>
      <c r="K42" t="str">
        <f t="shared" si="8"/>
        <v>13,640 (79.47)</v>
      </c>
      <c r="L42" t="str">
        <f t="shared" si="8"/>
        <v>14,035 (77.77)</v>
      </c>
    </row>
    <row r="43" spans="1:12" x14ac:dyDescent="0.3">
      <c r="A43" s="2"/>
      <c r="B43" s="17"/>
      <c r="C43" s="7">
        <v>20.32</v>
      </c>
      <c r="D43" s="7">
        <v>19.75</v>
      </c>
      <c r="E43" s="7">
        <v>19.87</v>
      </c>
      <c r="F43" s="7">
        <v>20.45</v>
      </c>
      <c r="G43" s="7">
        <v>80.39</v>
      </c>
      <c r="I43" t="str">
        <f>TEXT(C46,"#,##0")&amp;" ("&amp;TEXT(C49,"0.00")&amp;")"</f>
        <v>2,699 (16.21)</v>
      </c>
      <c r="J43" t="str">
        <f t="shared" ref="J43:L43" si="9">TEXT(D46,"#,##0")&amp;" ("&amp;TEXT(D49,"0.00")&amp;")"</f>
        <v>3,226 (19.23)</v>
      </c>
      <c r="K43" t="str">
        <f t="shared" si="9"/>
        <v>3,523 (20.53)</v>
      </c>
      <c r="L43" t="str">
        <f t="shared" si="9"/>
        <v>4,011 (22.23)</v>
      </c>
    </row>
    <row r="44" spans="1:12" x14ac:dyDescent="0.3">
      <c r="A44" s="2"/>
      <c r="B44" s="17"/>
      <c r="C44" s="7">
        <v>25.28</v>
      </c>
      <c r="D44" s="7">
        <v>24.56</v>
      </c>
      <c r="E44" s="7">
        <v>24.72</v>
      </c>
      <c r="F44" s="7">
        <v>25.44</v>
      </c>
      <c r="G44" s="7"/>
      <c r="I44" t="str">
        <f>TEXT(C50,"#,##0")&amp;" ("&amp;TEXT(C53,"0.00")&amp;")"</f>
        <v>16,647 (0.00)</v>
      </c>
      <c r="J44" t="str">
        <f t="shared" ref="J44:L44" si="10">TEXT(D50,"#,##0")&amp;" ("&amp;TEXT(D53,"0.00")&amp;")"</f>
        <v>16,779 (0.00)</v>
      </c>
      <c r="K44" t="str">
        <f t="shared" si="10"/>
        <v>17,163 (0.00)</v>
      </c>
      <c r="L44" t="str">
        <f t="shared" si="10"/>
        <v>18,046 (0.00)</v>
      </c>
    </row>
    <row r="45" spans="1:12" x14ac:dyDescent="0.3">
      <c r="A45" s="2"/>
      <c r="B45" s="17"/>
      <c r="C45" s="7">
        <v>83.79</v>
      </c>
      <c r="D45" s="7">
        <v>80.77</v>
      </c>
      <c r="E45" s="7">
        <v>79.47</v>
      </c>
      <c r="F45" s="7">
        <v>77.77</v>
      </c>
      <c r="G45" s="7"/>
      <c r="I45" t="str">
        <f>TEXT(C54,"#,##0")&amp;" ("&amp;TEXT(C57,"0.00")&amp;")"</f>
        <v>0 (1437.00)</v>
      </c>
      <c r="J45" t="str">
        <f t="shared" ref="J45:L45" si="11">TEXT(D54,"#,##0")&amp;" ("&amp;TEXT(D57,"0.00")&amp;")"</f>
        <v>0 (2178.00)</v>
      </c>
      <c r="K45" t="str">
        <f t="shared" si="11"/>
        <v>0 (2715.00)</v>
      </c>
      <c r="L45" t="str">
        <f t="shared" si="11"/>
        <v>0 (2869.00)</v>
      </c>
    </row>
    <row r="46" spans="1:12" x14ac:dyDescent="0.3">
      <c r="A46" s="2"/>
      <c r="B46" s="17">
        <v>2</v>
      </c>
      <c r="C46" s="7">
        <v>2699</v>
      </c>
      <c r="D46" s="7">
        <v>3226</v>
      </c>
      <c r="E46" s="7">
        <v>3523</v>
      </c>
      <c r="F46" s="7">
        <v>4011</v>
      </c>
      <c r="G46" s="7">
        <v>13459</v>
      </c>
    </row>
    <row r="47" spans="1:12" x14ac:dyDescent="0.3">
      <c r="A47" s="2"/>
      <c r="B47" s="17"/>
      <c r="C47" s="7">
        <v>3.93</v>
      </c>
      <c r="D47" s="7">
        <v>4.7</v>
      </c>
      <c r="E47" s="7">
        <v>5.13</v>
      </c>
      <c r="F47" s="7">
        <v>5.84</v>
      </c>
      <c r="G47" s="7">
        <v>19.61</v>
      </c>
    </row>
    <row r="48" spans="1:12" x14ac:dyDescent="0.3">
      <c r="A48" s="2"/>
      <c r="B48" s="17"/>
      <c r="C48" s="7">
        <v>20.05</v>
      </c>
      <c r="D48" s="7">
        <v>23.97</v>
      </c>
      <c r="E48" s="7">
        <v>26.18</v>
      </c>
      <c r="F48" s="7">
        <v>29.8</v>
      </c>
      <c r="G48" s="7"/>
    </row>
    <row r="49" spans="1:12" x14ac:dyDescent="0.3">
      <c r="A49" s="2"/>
      <c r="B49" s="17"/>
      <c r="C49" s="7">
        <v>16.21</v>
      </c>
      <c r="D49" s="7">
        <v>19.23</v>
      </c>
      <c r="E49" s="7">
        <v>20.53</v>
      </c>
      <c r="F49" s="7">
        <v>22.23</v>
      </c>
      <c r="G49" s="7"/>
    </row>
    <row r="50" spans="1:12" x14ac:dyDescent="0.3">
      <c r="A50" s="2"/>
      <c r="B50" s="17" t="s">
        <v>26</v>
      </c>
      <c r="C50" s="7">
        <v>16647</v>
      </c>
      <c r="D50" s="7">
        <v>16779</v>
      </c>
      <c r="E50" s="7">
        <v>17163</v>
      </c>
      <c r="F50" s="7">
        <v>18046</v>
      </c>
      <c r="G50" s="7">
        <v>68635</v>
      </c>
    </row>
    <row r="51" spans="1:12" x14ac:dyDescent="0.3">
      <c r="A51" s="2"/>
      <c r="B51" s="17"/>
      <c r="C51" s="7">
        <v>24.25</v>
      </c>
      <c r="D51" s="7">
        <v>24.45</v>
      </c>
      <c r="E51" s="7">
        <v>25.01</v>
      </c>
      <c r="F51" s="7">
        <v>26.29</v>
      </c>
      <c r="G51" s="7">
        <v>100</v>
      </c>
    </row>
    <row r="52" spans="1:12" x14ac:dyDescent="0.3">
      <c r="A52" s="2"/>
      <c r="B52" s="20"/>
      <c r="C52" s="20"/>
      <c r="D52" s="20"/>
      <c r="E52" s="20"/>
      <c r="F52" s="20"/>
      <c r="G52" s="20"/>
    </row>
    <row r="53" spans="1:12" ht="17.25" thickBot="1" x14ac:dyDescent="0.35"/>
    <row r="54" spans="1:12" ht="16.5" customHeight="1" x14ac:dyDescent="0.3">
      <c r="A54" s="4" t="s">
        <v>3</v>
      </c>
      <c r="B54" s="16" t="s">
        <v>63</v>
      </c>
      <c r="C54" s="18"/>
      <c r="D54" s="18"/>
      <c r="E54" s="18"/>
      <c r="F54" s="18"/>
      <c r="G54" s="18"/>
    </row>
    <row r="55" spans="1:12" ht="16.5" customHeight="1" x14ac:dyDescent="0.3">
      <c r="A55" s="6" t="s">
        <v>4</v>
      </c>
      <c r="B55" s="17" t="s">
        <v>8</v>
      </c>
      <c r="C55" s="19" t="s">
        <v>60</v>
      </c>
      <c r="D55" s="19"/>
      <c r="E55" s="19"/>
      <c r="F55" s="19"/>
      <c r="G55" s="19"/>
    </row>
    <row r="56" spans="1:12" x14ac:dyDescent="0.3">
      <c r="A56" s="6" t="s">
        <v>22</v>
      </c>
      <c r="B56" s="17"/>
      <c r="C56" s="3">
        <v>1</v>
      </c>
      <c r="D56" s="3">
        <v>2</v>
      </c>
      <c r="E56" s="3">
        <v>3</v>
      </c>
      <c r="F56" s="3">
        <v>4</v>
      </c>
      <c r="G56" s="3" t="s">
        <v>26</v>
      </c>
    </row>
    <row r="57" spans="1:12" ht="33" x14ac:dyDescent="0.3">
      <c r="A57" s="6" t="s">
        <v>23</v>
      </c>
      <c r="B57" s="17">
        <v>1</v>
      </c>
      <c r="C57" s="7">
        <v>1437</v>
      </c>
      <c r="D57" s="7">
        <v>2178</v>
      </c>
      <c r="E57" s="7">
        <v>2715</v>
      </c>
      <c r="F57" s="7">
        <v>2869</v>
      </c>
      <c r="G57" s="7">
        <v>9199</v>
      </c>
      <c r="I57" t="str">
        <f>TEXT(C57,"#,##0")&amp;" ("&amp;TEXT(C60,"0.00")&amp;")"</f>
        <v>1,437 (8.63)</v>
      </c>
      <c r="J57" t="str">
        <f t="shared" ref="J57:L57" si="12">TEXT(D57,"#,##0")&amp;" ("&amp;TEXT(D60,"0.00")&amp;")"</f>
        <v>2,178 (12.98)</v>
      </c>
      <c r="K57" t="str">
        <f t="shared" si="12"/>
        <v>2,715 (15.82)</v>
      </c>
      <c r="L57" t="str">
        <f t="shared" si="12"/>
        <v>2,869 (15.90)</v>
      </c>
    </row>
    <row r="58" spans="1:12" x14ac:dyDescent="0.3">
      <c r="A58" s="2"/>
      <c r="B58" s="17"/>
      <c r="C58" s="7">
        <v>2.09</v>
      </c>
      <c r="D58" s="7">
        <v>3.17</v>
      </c>
      <c r="E58" s="7">
        <v>3.96</v>
      </c>
      <c r="F58" s="7">
        <v>4.18</v>
      </c>
      <c r="G58" s="7">
        <v>13.4</v>
      </c>
      <c r="I58" t="str">
        <f>TEXT(C61,"#,##0")&amp;" ("&amp;TEXT(C64,"0.00")&amp;")"</f>
        <v>1,369 (8.22)</v>
      </c>
      <c r="J58" t="str">
        <f t="shared" ref="J58:L58" si="13">TEXT(D61,"#,##0")&amp;" ("&amp;TEXT(D64,"0.00")&amp;")"</f>
        <v>1,807 (10.77)</v>
      </c>
      <c r="K58" t="str">
        <f t="shared" si="13"/>
        <v>2,292 (13.35)</v>
      </c>
      <c r="L58" t="str">
        <f t="shared" si="13"/>
        <v>2,469 (13.68)</v>
      </c>
    </row>
    <row r="59" spans="1:12" x14ac:dyDescent="0.3">
      <c r="A59" s="2"/>
      <c r="B59" s="17"/>
      <c r="C59" s="7">
        <v>15.62</v>
      </c>
      <c r="D59" s="7">
        <v>23.68</v>
      </c>
      <c r="E59" s="7">
        <v>29.51</v>
      </c>
      <c r="F59" s="7">
        <v>31.19</v>
      </c>
      <c r="G59" s="7"/>
      <c r="I59" t="str">
        <f>TEXT(C65,"#,##0")&amp;" ("&amp;TEXT(C68,"0.00")&amp;")"</f>
        <v>3,972 (23.86)</v>
      </c>
      <c r="J59" t="str">
        <f t="shared" ref="J59:L59" si="14">TEXT(D65,"#,##0")&amp;" ("&amp;TEXT(D68,"0.00")&amp;")"</f>
        <v>4,377 (26.09)</v>
      </c>
      <c r="K59" t="str">
        <f t="shared" si="14"/>
        <v>4,510 (26.28)</v>
      </c>
      <c r="L59" t="str">
        <f t="shared" si="14"/>
        <v>4,899 (27.15)</v>
      </c>
    </row>
    <row r="60" spans="1:12" x14ac:dyDescent="0.3">
      <c r="A60" s="2"/>
      <c r="B60" s="17"/>
      <c r="C60" s="7">
        <v>8.6300000000000008</v>
      </c>
      <c r="D60" s="7">
        <v>12.98</v>
      </c>
      <c r="E60" s="7">
        <v>15.82</v>
      </c>
      <c r="F60" s="7">
        <v>15.9</v>
      </c>
      <c r="G60" s="7"/>
      <c r="I60" t="str">
        <f>TEXT(C69,"#,##0")&amp;" ("&amp;TEXT(C72,"0.00")&amp;")"</f>
        <v>9,869 (59.28)</v>
      </c>
      <c r="J60" t="str">
        <f t="shared" ref="J60:L60" si="15">TEXT(D69,"#,##0")&amp;" ("&amp;TEXT(D72,"0.00")&amp;")"</f>
        <v>8,417 (50.16)</v>
      </c>
      <c r="K60" t="str">
        <f t="shared" si="15"/>
        <v>7,646 (44.55)</v>
      </c>
      <c r="L60" t="str">
        <f t="shared" si="15"/>
        <v>7,809 (43.27)</v>
      </c>
    </row>
    <row r="61" spans="1:12" x14ac:dyDescent="0.3">
      <c r="A61" s="2"/>
      <c r="B61" s="17">
        <v>2</v>
      </c>
      <c r="C61" s="7">
        <v>1369</v>
      </c>
      <c r="D61" s="7">
        <v>1807</v>
      </c>
      <c r="E61" s="7">
        <v>2292</v>
      </c>
      <c r="F61" s="7">
        <v>2469</v>
      </c>
      <c r="G61" s="7">
        <v>7937</v>
      </c>
    </row>
    <row r="62" spans="1:12" x14ac:dyDescent="0.3">
      <c r="A62" s="2"/>
      <c r="B62" s="17"/>
      <c r="C62" s="7">
        <v>1.99</v>
      </c>
      <c r="D62" s="7">
        <v>2.63</v>
      </c>
      <c r="E62" s="7">
        <v>3.34</v>
      </c>
      <c r="F62" s="7">
        <v>3.6</v>
      </c>
      <c r="G62" s="7">
        <v>11.56</v>
      </c>
    </row>
    <row r="63" spans="1:12" x14ac:dyDescent="0.3">
      <c r="A63" s="2"/>
      <c r="B63" s="17"/>
      <c r="C63" s="7">
        <v>17.25</v>
      </c>
      <c r="D63" s="7">
        <v>22.77</v>
      </c>
      <c r="E63" s="7">
        <v>28.88</v>
      </c>
      <c r="F63" s="7">
        <v>31.11</v>
      </c>
      <c r="G63" s="7"/>
    </row>
    <row r="64" spans="1:12" x14ac:dyDescent="0.3">
      <c r="A64" s="2"/>
      <c r="B64" s="17"/>
      <c r="C64" s="7">
        <v>8.2200000000000006</v>
      </c>
      <c r="D64" s="7">
        <v>10.77</v>
      </c>
      <c r="E64" s="7">
        <v>13.35</v>
      </c>
      <c r="F64" s="7">
        <v>13.68</v>
      </c>
      <c r="G64" s="7"/>
    </row>
    <row r="65" spans="1:12" x14ac:dyDescent="0.3">
      <c r="A65" s="2"/>
      <c r="B65" s="17">
        <v>3</v>
      </c>
      <c r="C65" s="7">
        <v>3972</v>
      </c>
      <c r="D65" s="7">
        <v>4377</v>
      </c>
      <c r="E65" s="7">
        <v>4510</v>
      </c>
      <c r="F65" s="7">
        <v>4899</v>
      </c>
      <c r="G65" s="7">
        <v>17758</v>
      </c>
    </row>
    <row r="66" spans="1:12" x14ac:dyDescent="0.3">
      <c r="A66" s="2"/>
      <c r="B66" s="17"/>
      <c r="C66" s="7">
        <v>5.79</v>
      </c>
      <c r="D66" s="7">
        <v>6.38</v>
      </c>
      <c r="E66" s="7">
        <v>6.57</v>
      </c>
      <c r="F66" s="7">
        <v>7.14</v>
      </c>
      <c r="G66" s="7">
        <v>25.87</v>
      </c>
    </row>
    <row r="67" spans="1:12" x14ac:dyDescent="0.3">
      <c r="A67" s="2"/>
      <c r="B67" s="17"/>
      <c r="C67" s="7">
        <v>22.37</v>
      </c>
      <c r="D67" s="7">
        <v>24.65</v>
      </c>
      <c r="E67" s="7">
        <v>25.4</v>
      </c>
      <c r="F67" s="7">
        <v>27.59</v>
      </c>
      <c r="G67" s="7"/>
    </row>
    <row r="68" spans="1:12" x14ac:dyDescent="0.3">
      <c r="A68" s="2"/>
      <c r="B68" s="17"/>
      <c r="C68" s="7">
        <v>23.86</v>
      </c>
      <c r="D68" s="7">
        <v>26.09</v>
      </c>
      <c r="E68" s="7">
        <v>26.28</v>
      </c>
      <c r="F68" s="7">
        <v>27.15</v>
      </c>
      <c r="G68" s="7"/>
    </row>
    <row r="69" spans="1:12" x14ac:dyDescent="0.3">
      <c r="A69" s="2"/>
      <c r="B69" s="17">
        <v>4</v>
      </c>
      <c r="C69" s="7">
        <v>9869</v>
      </c>
      <c r="D69" s="7">
        <v>8417</v>
      </c>
      <c r="E69" s="7">
        <v>7646</v>
      </c>
      <c r="F69" s="7">
        <v>7809</v>
      </c>
      <c r="G69" s="7">
        <v>33741</v>
      </c>
    </row>
    <row r="70" spans="1:12" x14ac:dyDescent="0.3">
      <c r="A70" s="2"/>
      <c r="B70" s="17"/>
      <c r="C70" s="7">
        <v>14.38</v>
      </c>
      <c r="D70" s="7">
        <v>12.26</v>
      </c>
      <c r="E70" s="7">
        <v>11.14</v>
      </c>
      <c r="F70" s="7">
        <v>11.38</v>
      </c>
      <c r="G70" s="7">
        <v>49.16</v>
      </c>
    </row>
    <row r="71" spans="1:12" x14ac:dyDescent="0.3">
      <c r="A71" s="2"/>
      <c r="B71" s="17"/>
      <c r="C71" s="7">
        <v>29.25</v>
      </c>
      <c r="D71" s="7">
        <v>24.95</v>
      </c>
      <c r="E71" s="7">
        <v>22.66</v>
      </c>
      <c r="F71" s="7">
        <v>23.14</v>
      </c>
      <c r="G71" s="7"/>
    </row>
    <row r="72" spans="1:12" x14ac:dyDescent="0.3">
      <c r="A72" s="2"/>
      <c r="B72" s="17"/>
      <c r="C72" s="7">
        <v>59.28</v>
      </c>
      <c r="D72" s="7">
        <v>50.16</v>
      </c>
      <c r="E72" s="7">
        <v>44.55</v>
      </c>
      <c r="F72" s="7">
        <v>43.27</v>
      </c>
      <c r="G72" s="7"/>
    </row>
    <row r="73" spans="1:12" x14ac:dyDescent="0.3">
      <c r="A73" s="2"/>
      <c r="B73" s="17" t="s">
        <v>26</v>
      </c>
      <c r="C73" s="7">
        <v>16647</v>
      </c>
      <c r="D73" s="7">
        <v>16779</v>
      </c>
      <c r="E73" s="7">
        <v>17163</v>
      </c>
      <c r="F73" s="7">
        <v>18046</v>
      </c>
      <c r="G73" s="7">
        <v>68635</v>
      </c>
    </row>
    <row r="74" spans="1:12" x14ac:dyDescent="0.3">
      <c r="A74" s="2"/>
      <c r="B74" s="17"/>
      <c r="C74" s="7">
        <v>24.25</v>
      </c>
      <c r="D74" s="7">
        <v>24.45</v>
      </c>
      <c r="E74" s="7">
        <v>25.01</v>
      </c>
      <c r="F74" s="7">
        <v>26.29</v>
      </c>
      <c r="G74" s="7">
        <v>100</v>
      </c>
    </row>
    <row r="75" spans="1:12" x14ac:dyDescent="0.3">
      <c r="A75" s="2"/>
      <c r="B75" s="20"/>
      <c r="C75" s="20"/>
      <c r="D75" s="20"/>
      <c r="E75" s="20"/>
      <c r="F75" s="20"/>
      <c r="G75" s="20"/>
    </row>
    <row r="76" spans="1:12" ht="17.25" thickBot="1" x14ac:dyDescent="0.35"/>
    <row r="77" spans="1:12" ht="16.5" customHeight="1" x14ac:dyDescent="0.3">
      <c r="A77" s="4" t="s">
        <v>3</v>
      </c>
      <c r="B77" s="16" t="s">
        <v>64</v>
      </c>
      <c r="C77" s="18"/>
      <c r="D77" s="18"/>
      <c r="E77" s="18"/>
      <c r="F77" s="18"/>
      <c r="G77" s="18"/>
    </row>
    <row r="78" spans="1:12" ht="16.5" customHeight="1" x14ac:dyDescent="0.3">
      <c r="A78" s="6" t="s">
        <v>4</v>
      </c>
      <c r="B78" s="17" t="s">
        <v>9</v>
      </c>
      <c r="C78" s="19" t="s">
        <v>60</v>
      </c>
      <c r="D78" s="19"/>
      <c r="E78" s="19"/>
      <c r="F78" s="19"/>
      <c r="G78" s="19"/>
    </row>
    <row r="79" spans="1:12" x14ac:dyDescent="0.3">
      <c r="A79" s="6" t="s">
        <v>22</v>
      </c>
      <c r="B79" s="17"/>
      <c r="C79" s="3">
        <v>1</v>
      </c>
      <c r="D79" s="3">
        <v>2</v>
      </c>
      <c r="E79" s="3">
        <v>3</v>
      </c>
      <c r="F79" s="3">
        <v>4</v>
      </c>
      <c r="G79" s="3" t="s">
        <v>26</v>
      </c>
    </row>
    <row r="80" spans="1:12" ht="33" x14ac:dyDescent="0.3">
      <c r="A80" s="6" t="s">
        <v>23</v>
      </c>
      <c r="B80" s="17">
        <v>1</v>
      </c>
      <c r="C80" s="7">
        <v>2064</v>
      </c>
      <c r="D80" s="7">
        <v>2641</v>
      </c>
      <c r="E80" s="7">
        <v>3187</v>
      </c>
      <c r="F80" s="7">
        <v>3373</v>
      </c>
      <c r="G80" s="7">
        <v>11265</v>
      </c>
      <c r="I80" t="str">
        <f>TEXT(C80,"#,##0")&amp;" ("&amp;TEXT(C83,"0.00")&amp;")"</f>
        <v>2,064 (12.40)</v>
      </c>
      <c r="J80" t="str">
        <f t="shared" ref="J80:L80" si="16">TEXT(D80,"#,##0")&amp;" ("&amp;TEXT(D83,"0.00")&amp;")"</f>
        <v>2,641 (15.74)</v>
      </c>
      <c r="K80" t="str">
        <f t="shared" si="16"/>
        <v>3,187 (18.57)</v>
      </c>
      <c r="L80" t="str">
        <f t="shared" si="16"/>
        <v>3,373 (18.69)</v>
      </c>
    </row>
    <row r="81" spans="1:12" x14ac:dyDescent="0.3">
      <c r="A81" s="2"/>
      <c r="B81" s="17"/>
      <c r="C81" s="7">
        <v>3.01</v>
      </c>
      <c r="D81" s="7">
        <v>3.85</v>
      </c>
      <c r="E81" s="7">
        <v>4.6399999999999997</v>
      </c>
      <c r="F81" s="7">
        <v>4.91</v>
      </c>
      <c r="G81" s="7">
        <v>16.41</v>
      </c>
      <c r="I81" t="str">
        <f>TEXT(C84,"#,##0")&amp;" ("&amp;TEXT(C87,"0.00")&amp;")"</f>
        <v>3,845 (23.10)</v>
      </c>
      <c r="J81" t="str">
        <f t="shared" ref="J81:L81" si="17">TEXT(D84,"#,##0")&amp;" ("&amp;TEXT(D87,"0.00")&amp;")"</f>
        <v>4,054 (24.16)</v>
      </c>
      <c r="K81" t="str">
        <f t="shared" si="17"/>
        <v>4,363 (25.42)</v>
      </c>
      <c r="L81" t="str">
        <f t="shared" si="17"/>
        <v>4,572 (25.34)</v>
      </c>
    </row>
    <row r="82" spans="1:12" x14ac:dyDescent="0.3">
      <c r="A82" s="2"/>
      <c r="B82" s="17"/>
      <c r="C82" s="7">
        <v>18.32</v>
      </c>
      <c r="D82" s="7">
        <v>23.44</v>
      </c>
      <c r="E82" s="7">
        <v>28.29</v>
      </c>
      <c r="F82" s="7">
        <v>29.94</v>
      </c>
      <c r="G82" s="7"/>
      <c r="I82" t="str">
        <f>TEXT(C88,"#,##0")&amp;" ("&amp;TEXT(C91,"0.00")&amp;")"</f>
        <v>4,949 (29.73)</v>
      </c>
      <c r="J82" t="str">
        <f t="shared" ref="J82:L82" si="18">TEXT(D88,"#,##0")&amp;" ("&amp;TEXT(D91,"0.00")&amp;")"</f>
        <v>4,945 (29.47)</v>
      </c>
      <c r="K82" t="str">
        <f t="shared" si="18"/>
        <v>4,681 (27.27)</v>
      </c>
      <c r="L82" t="str">
        <f t="shared" si="18"/>
        <v>5,011 (27.77)</v>
      </c>
    </row>
    <row r="83" spans="1:12" x14ac:dyDescent="0.3">
      <c r="A83" s="2"/>
      <c r="B83" s="17"/>
      <c r="C83" s="7">
        <v>12.4</v>
      </c>
      <c r="D83" s="7">
        <v>15.74</v>
      </c>
      <c r="E83" s="7">
        <v>18.57</v>
      </c>
      <c r="F83" s="7">
        <v>18.690000000000001</v>
      </c>
      <c r="G83" s="7"/>
      <c r="I83" t="str">
        <f>TEXT(C92,"#,##0")&amp;" ("&amp;TEXT(C95,"0.00")&amp;")"</f>
        <v>5,789 (34.78)</v>
      </c>
      <c r="J83" t="str">
        <f t="shared" ref="J83:L83" si="19">TEXT(D92,"#,##0")&amp;" ("&amp;TEXT(D95,"0.00")&amp;")"</f>
        <v>5,139 (30.63)</v>
      </c>
      <c r="K83" t="str">
        <f t="shared" si="19"/>
        <v>4,932 (28.74)</v>
      </c>
      <c r="L83" t="str">
        <f t="shared" si="19"/>
        <v>5,090 (28.21)</v>
      </c>
    </row>
    <row r="84" spans="1:12" x14ac:dyDescent="0.3">
      <c r="A84" s="2"/>
      <c r="B84" s="17">
        <v>2</v>
      </c>
      <c r="C84" s="7">
        <v>3845</v>
      </c>
      <c r="D84" s="7">
        <v>4054</v>
      </c>
      <c r="E84" s="7">
        <v>4363</v>
      </c>
      <c r="F84" s="7">
        <v>4572</v>
      </c>
      <c r="G84" s="7">
        <v>16834</v>
      </c>
    </row>
    <row r="85" spans="1:12" x14ac:dyDescent="0.3">
      <c r="A85" s="2"/>
      <c r="B85" s="17"/>
      <c r="C85" s="7">
        <v>5.6</v>
      </c>
      <c r="D85" s="7">
        <v>5.91</v>
      </c>
      <c r="E85" s="7">
        <v>6.36</v>
      </c>
      <c r="F85" s="7">
        <v>6.66</v>
      </c>
      <c r="G85" s="7">
        <v>24.53</v>
      </c>
    </row>
    <row r="86" spans="1:12" x14ac:dyDescent="0.3">
      <c r="A86" s="2"/>
      <c r="B86" s="17"/>
      <c r="C86" s="7">
        <v>22.84</v>
      </c>
      <c r="D86" s="7">
        <v>24.08</v>
      </c>
      <c r="E86" s="7">
        <v>25.92</v>
      </c>
      <c r="F86" s="7">
        <v>27.16</v>
      </c>
      <c r="G86" s="7"/>
    </row>
    <row r="87" spans="1:12" x14ac:dyDescent="0.3">
      <c r="A87" s="2"/>
      <c r="B87" s="17"/>
      <c r="C87" s="7">
        <v>23.1</v>
      </c>
      <c r="D87" s="7">
        <v>24.16</v>
      </c>
      <c r="E87" s="7">
        <v>25.42</v>
      </c>
      <c r="F87" s="7">
        <v>25.34</v>
      </c>
      <c r="G87" s="7"/>
    </row>
    <row r="88" spans="1:12" x14ac:dyDescent="0.3">
      <c r="A88" s="2"/>
      <c r="B88" s="17">
        <v>3</v>
      </c>
      <c r="C88" s="7">
        <v>4949</v>
      </c>
      <c r="D88" s="7">
        <v>4945</v>
      </c>
      <c r="E88" s="7">
        <v>4681</v>
      </c>
      <c r="F88" s="7">
        <v>5011</v>
      </c>
      <c r="G88" s="7">
        <v>19586</v>
      </c>
    </row>
    <row r="89" spans="1:12" x14ac:dyDescent="0.3">
      <c r="A89" s="2"/>
      <c r="B89" s="17"/>
      <c r="C89" s="7">
        <v>7.21</v>
      </c>
      <c r="D89" s="7">
        <v>7.2</v>
      </c>
      <c r="E89" s="7">
        <v>6.82</v>
      </c>
      <c r="F89" s="7">
        <v>7.3</v>
      </c>
      <c r="G89" s="7">
        <v>28.54</v>
      </c>
    </row>
    <row r="90" spans="1:12" x14ac:dyDescent="0.3">
      <c r="A90" s="2"/>
      <c r="B90" s="17"/>
      <c r="C90" s="7">
        <v>25.27</v>
      </c>
      <c r="D90" s="7">
        <v>25.25</v>
      </c>
      <c r="E90" s="7">
        <v>23.9</v>
      </c>
      <c r="F90" s="7">
        <v>25.58</v>
      </c>
      <c r="G90" s="7"/>
    </row>
    <row r="91" spans="1:12" x14ac:dyDescent="0.3">
      <c r="A91" s="2"/>
      <c r="B91" s="17"/>
      <c r="C91" s="7">
        <v>29.73</v>
      </c>
      <c r="D91" s="7">
        <v>29.47</v>
      </c>
      <c r="E91" s="7">
        <v>27.27</v>
      </c>
      <c r="F91" s="7">
        <v>27.77</v>
      </c>
      <c r="G91" s="7"/>
    </row>
    <row r="92" spans="1:12" x14ac:dyDescent="0.3">
      <c r="A92" s="2"/>
      <c r="B92" s="17">
        <v>4</v>
      </c>
      <c r="C92" s="7">
        <v>5789</v>
      </c>
      <c r="D92" s="7">
        <v>5139</v>
      </c>
      <c r="E92" s="7">
        <v>4932</v>
      </c>
      <c r="F92" s="7">
        <v>5090</v>
      </c>
      <c r="G92" s="7">
        <v>20950</v>
      </c>
    </row>
    <row r="93" spans="1:12" x14ac:dyDescent="0.3">
      <c r="A93" s="2"/>
      <c r="B93" s="17"/>
      <c r="C93" s="7">
        <v>8.43</v>
      </c>
      <c r="D93" s="7">
        <v>7.49</v>
      </c>
      <c r="E93" s="7">
        <v>7.19</v>
      </c>
      <c r="F93" s="7">
        <v>7.42</v>
      </c>
      <c r="G93" s="7">
        <v>30.52</v>
      </c>
    </row>
    <row r="94" spans="1:12" x14ac:dyDescent="0.3">
      <c r="A94" s="2"/>
      <c r="B94" s="17"/>
      <c r="C94" s="7">
        <v>27.63</v>
      </c>
      <c r="D94" s="7">
        <v>24.53</v>
      </c>
      <c r="E94" s="7">
        <v>23.54</v>
      </c>
      <c r="F94" s="7">
        <v>24.3</v>
      </c>
      <c r="G94" s="7"/>
    </row>
    <row r="95" spans="1:12" x14ac:dyDescent="0.3">
      <c r="A95" s="2"/>
      <c r="B95" s="17"/>
      <c r="C95" s="7">
        <v>34.78</v>
      </c>
      <c r="D95" s="7">
        <v>30.63</v>
      </c>
      <c r="E95" s="7">
        <v>28.74</v>
      </c>
      <c r="F95" s="7">
        <v>28.21</v>
      </c>
      <c r="G95" s="7"/>
    </row>
    <row r="96" spans="1:12" x14ac:dyDescent="0.3">
      <c r="A96" s="2"/>
      <c r="B96" s="17" t="s">
        <v>26</v>
      </c>
      <c r="C96" s="7">
        <v>16647</v>
      </c>
      <c r="D96" s="7">
        <v>16779</v>
      </c>
      <c r="E96" s="7">
        <v>17163</v>
      </c>
      <c r="F96" s="7">
        <v>18046</v>
      </c>
      <c r="G96" s="7">
        <v>68635</v>
      </c>
    </row>
    <row r="97" spans="1:12" x14ac:dyDescent="0.3">
      <c r="A97" s="2"/>
      <c r="B97" s="17"/>
      <c r="C97" s="7">
        <v>24.25</v>
      </c>
      <c r="D97" s="7">
        <v>24.45</v>
      </c>
      <c r="E97" s="7">
        <v>25.01</v>
      </c>
      <c r="F97" s="7">
        <v>26.29</v>
      </c>
      <c r="G97" s="7">
        <v>100</v>
      </c>
    </row>
    <row r="98" spans="1:12" x14ac:dyDescent="0.3">
      <c r="A98" s="2"/>
      <c r="B98" s="20"/>
      <c r="C98" s="20"/>
      <c r="D98" s="20"/>
      <c r="E98" s="20"/>
      <c r="F98" s="20"/>
      <c r="G98" s="20"/>
    </row>
    <row r="99" spans="1:12" ht="17.25" thickBot="1" x14ac:dyDescent="0.35"/>
    <row r="100" spans="1:12" ht="16.5" customHeight="1" x14ac:dyDescent="0.3">
      <c r="A100" s="4" t="s">
        <v>3</v>
      </c>
      <c r="B100" s="16" t="s">
        <v>65</v>
      </c>
      <c r="C100" s="18"/>
      <c r="D100" s="18"/>
      <c r="E100" s="18"/>
      <c r="F100" s="18"/>
      <c r="G100" s="18"/>
    </row>
    <row r="101" spans="1:12" ht="16.5" customHeight="1" x14ac:dyDescent="0.3">
      <c r="A101" s="6" t="s">
        <v>4</v>
      </c>
      <c r="B101" s="17" t="s">
        <v>10</v>
      </c>
      <c r="C101" s="19" t="s">
        <v>60</v>
      </c>
      <c r="D101" s="19"/>
      <c r="E101" s="19"/>
      <c r="F101" s="19"/>
      <c r="G101" s="19"/>
    </row>
    <row r="102" spans="1:12" x14ac:dyDescent="0.3">
      <c r="A102" s="6" t="s">
        <v>22</v>
      </c>
      <c r="B102" s="17"/>
      <c r="C102" s="3">
        <v>1</v>
      </c>
      <c r="D102" s="3">
        <v>2</v>
      </c>
      <c r="E102" s="3">
        <v>3</v>
      </c>
      <c r="F102" s="3">
        <v>4</v>
      </c>
      <c r="G102" s="3" t="s">
        <v>26</v>
      </c>
    </row>
    <row r="103" spans="1:12" ht="33" x14ac:dyDescent="0.3">
      <c r="A103" s="6" t="s">
        <v>23</v>
      </c>
      <c r="B103" s="17">
        <v>1</v>
      </c>
      <c r="C103" s="7">
        <v>1535</v>
      </c>
      <c r="D103" s="7">
        <v>794</v>
      </c>
      <c r="E103" s="7">
        <v>318</v>
      </c>
      <c r="F103" s="7">
        <v>130</v>
      </c>
      <c r="G103" s="7">
        <v>2777</v>
      </c>
      <c r="I103" t="str">
        <f>TEXT(C103,"#,##0")&amp;" ("&amp;TEXT(C106,"0.00")&amp;")"</f>
        <v>1,535 (9.22)</v>
      </c>
      <c r="J103" t="str">
        <f t="shared" ref="J103:L103" si="20">TEXT(D103,"#,##0")&amp;" ("&amp;TEXT(D106,"0.00")&amp;")"</f>
        <v>794 (4.73)</v>
      </c>
      <c r="K103" t="str">
        <f t="shared" si="20"/>
        <v>318 (1.85)</v>
      </c>
      <c r="L103" t="str">
        <f t="shared" si="20"/>
        <v>130 (0.72)</v>
      </c>
    </row>
    <row r="104" spans="1:12" x14ac:dyDescent="0.3">
      <c r="A104" s="2"/>
      <c r="B104" s="17"/>
      <c r="C104" s="7">
        <v>2.2400000000000002</v>
      </c>
      <c r="D104" s="7">
        <v>1.1599999999999999</v>
      </c>
      <c r="E104" s="7">
        <v>0.46</v>
      </c>
      <c r="F104" s="7">
        <v>0.19</v>
      </c>
      <c r="G104" s="7">
        <v>4.05</v>
      </c>
      <c r="I104" t="str">
        <f>TEXT(C107,"#,##0")&amp;" ("&amp;TEXT(C110,"0.00")&amp;")"</f>
        <v>9,510 (57.13)</v>
      </c>
      <c r="J104" t="str">
        <f t="shared" ref="J104:L104" si="21">TEXT(D107,"#,##0")&amp;" ("&amp;TEXT(D110,"0.00")&amp;")"</f>
        <v>7,425 (44.25)</v>
      </c>
      <c r="K104" t="str">
        <f t="shared" si="21"/>
        <v>5,594 (32.59)</v>
      </c>
      <c r="L104" t="str">
        <f t="shared" si="21"/>
        <v>3,906 (21.64)</v>
      </c>
    </row>
    <row r="105" spans="1:12" x14ac:dyDescent="0.3">
      <c r="A105" s="2"/>
      <c r="B105" s="17"/>
      <c r="C105" s="7">
        <v>55.28</v>
      </c>
      <c r="D105" s="7">
        <v>28.59</v>
      </c>
      <c r="E105" s="7">
        <v>11.45</v>
      </c>
      <c r="F105" s="7">
        <v>4.68</v>
      </c>
      <c r="G105" s="7"/>
      <c r="I105" t="str">
        <f>TEXT(C111,"#,##0")&amp;" ("&amp;TEXT(C114,"0.00")&amp;")"</f>
        <v>3,122 (18.75)</v>
      </c>
      <c r="J105" t="str">
        <f t="shared" ref="J105:L105" si="22">TEXT(D111,"#,##0")&amp;" ("&amp;TEXT(D114,"0.00")&amp;")"</f>
        <v>3,949 (23.54)</v>
      </c>
      <c r="K105" t="str">
        <f t="shared" si="22"/>
        <v>4,598 (26.79)</v>
      </c>
      <c r="L105" t="str">
        <f t="shared" si="22"/>
        <v>4,596 (25.47)</v>
      </c>
    </row>
    <row r="106" spans="1:12" x14ac:dyDescent="0.3">
      <c r="A106" s="2"/>
      <c r="B106" s="17"/>
      <c r="C106" s="7">
        <v>9.2200000000000006</v>
      </c>
      <c r="D106" s="7">
        <v>4.7300000000000004</v>
      </c>
      <c r="E106" s="7">
        <v>1.85</v>
      </c>
      <c r="F106" s="7">
        <v>0.72</v>
      </c>
      <c r="G106" s="7"/>
      <c r="I106" t="str">
        <f>TEXT(C115,"#,##0")&amp;" ("&amp;TEXT(C118,"0.00")&amp;")"</f>
        <v>2,480 (14.90)</v>
      </c>
      <c r="J106" t="str">
        <f t="shared" ref="J106:L106" si="23">TEXT(D115,"#,##0")&amp;" ("&amp;TEXT(D118,"0.00")&amp;")"</f>
        <v>4,611 (27.48)</v>
      </c>
      <c r="K106" t="str">
        <f t="shared" si="23"/>
        <v>6,653 (38.76)</v>
      </c>
      <c r="L106" t="str">
        <f t="shared" si="23"/>
        <v>9,414 (52.17)</v>
      </c>
    </row>
    <row r="107" spans="1:12" x14ac:dyDescent="0.3">
      <c r="A107" s="2"/>
      <c r="B107" s="17">
        <v>2</v>
      </c>
      <c r="C107" s="7">
        <v>9510</v>
      </c>
      <c r="D107" s="7">
        <v>7425</v>
      </c>
      <c r="E107" s="7">
        <v>5594</v>
      </c>
      <c r="F107" s="7">
        <v>3906</v>
      </c>
      <c r="G107" s="7">
        <v>26435</v>
      </c>
    </row>
    <row r="108" spans="1:12" x14ac:dyDescent="0.3">
      <c r="A108" s="2"/>
      <c r="B108" s="17"/>
      <c r="C108" s="7">
        <v>13.86</v>
      </c>
      <c r="D108" s="7">
        <v>10.82</v>
      </c>
      <c r="E108" s="7">
        <v>8.15</v>
      </c>
      <c r="F108" s="7">
        <v>5.69</v>
      </c>
      <c r="G108" s="7">
        <v>38.520000000000003</v>
      </c>
    </row>
    <row r="109" spans="1:12" x14ac:dyDescent="0.3">
      <c r="A109" s="2"/>
      <c r="B109" s="17"/>
      <c r="C109" s="7">
        <v>35.979999999999997</v>
      </c>
      <c r="D109" s="7">
        <v>28.09</v>
      </c>
      <c r="E109" s="7">
        <v>21.16</v>
      </c>
      <c r="F109" s="7">
        <v>14.78</v>
      </c>
      <c r="G109" s="7"/>
    </row>
    <row r="110" spans="1:12" x14ac:dyDescent="0.3">
      <c r="A110" s="2"/>
      <c r="B110" s="17"/>
      <c r="C110" s="7">
        <v>57.13</v>
      </c>
      <c r="D110" s="7">
        <v>44.25</v>
      </c>
      <c r="E110" s="7">
        <v>32.590000000000003</v>
      </c>
      <c r="F110" s="7">
        <v>21.64</v>
      </c>
      <c r="G110" s="7"/>
    </row>
    <row r="111" spans="1:12" x14ac:dyDescent="0.3">
      <c r="A111" s="2"/>
      <c r="B111" s="17">
        <v>3</v>
      </c>
      <c r="C111" s="7">
        <v>3122</v>
      </c>
      <c r="D111" s="7">
        <v>3949</v>
      </c>
      <c r="E111" s="7">
        <v>4598</v>
      </c>
      <c r="F111" s="7">
        <v>4596</v>
      </c>
      <c r="G111" s="7">
        <v>16265</v>
      </c>
    </row>
    <row r="112" spans="1:12" x14ac:dyDescent="0.3">
      <c r="A112" s="2"/>
      <c r="B112" s="17"/>
      <c r="C112" s="7">
        <v>4.55</v>
      </c>
      <c r="D112" s="7">
        <v>5.75</v>
      </c>
      <c r="E112" s="7">
        <v>6.7</v>
      </c>
      <c r="F112" s="7">
        <v>6.7</v>
      </c>
      <c r="G112" s="7">
        <v>23.7</v>
      </c>
    </row>
    <row r="113" spans="1:12" x14ac:dyDescent="0.3">
      <c r="A113" s="2"/>
      <c r="B113" s="17"/>
      <c r="C113" s="7">
        <v>19.190000000000001</v>
      </c>
      <c r="D113" s="7">
        <v>24.28</v>
      </c>
      <c r="E113" s="7">
        <v>28.27</v>
      </c>
      <c r="F113" s="7">
        <v>28.26</v>
      </c>
      <c r="G113" s="7"/>
    </row>
    <row r="114" spans="1:12" x14ac:dyDescent="0.3">
      <c r="A114" s="2"/>
      <c r="B114" s="17"/>
      <c r="C114" s="7">
        <v>18.75</v>
      </c>
      <c r="D114" s="7">
        <v>23.54</v>
      </c>
      <c r="E114" s="7">
        <v>26.79</v>
      </c>
      <c r="F114" s="7">
        <v>25.47</v>
      </c>
      <c r="G114" s="7"/>
    </row>
    <row r="115" spans="1:12" x14ac:dyDescent="0.3">
      <c r="A115" s="2"/>
      <c r="B115" s="17">
        <v>4</v>
      </c>
      <c r="C115" s="7">
        <v>2480</v>
      </c>
      <c r="D115" s="7">
        <v>4611</v>
      </c>
      <c r="E115" s="7">
        <v>6653</v>
      </c>
      <c r="F115" s="7">
        <v>9414</v>
      </c>
      <c r="G115" s="7">
        <v>23158</v>
      </c>
    </row>
    <row r="116" spans="1:12" x14ac:dyDescent="0.3">
      <c r="A116" s="2"/>
      <c r="B116" s="17"/>
      <c r="C116" s="7">
        <v>3.61</v>
      </c>
      <c r="D116" s="7">
        <v>6.72</v>
      </c>
      <c r="E116" s="7">
        <v>9.69</v>
      </c>
      <c r="F116" s="7">
        <v>13.72</v>
      </c>
      <c r="G116" s="7">
        <v>33.74</v>
      </c>
    </row>
    <row r="117" spans="1:12" x14ac:dyDescent="0.3">
      <c r="A117" s="2"/>
      <c r="B117" s="17"/>
      <c r="C117" s="7">
        <v>10.71</v>
      </c>
      <c r="D117" s="7">
        <v>19.91</v>
      </c>
      <c r="E117" s="7">
        <v>28.73</v>
      </c>
      <c r="F117" s="7">
        <v>40.65</v>
      </c>
      <c r="G117" s="7"/>
    </row>
    <row r="118" spans="1:12" x14ac:dyDescent="0.3">
      <c r="A118" s="2"/>
      <c r="B118" s="17"/>
      <c r="C118" s="7">
        <v>14.9</v>
      </c>
      <c r="D118" s="7">
        <v>27.48</v>
      </c>
      <c r="E118" s="7">
        <v>38.76</v>
      </c>
      <c r="F118" s="7">
        <v>52.17</v>
      </c>
      <c r="G118" s="7"/>
    </row>
    <row r="119" spans="1:12" x14ac:dyDescent="0.3">
      <c r="A119" s="2"/>
      <c r="B119" s="17" t="s">
        <v>26</v>
      </c>
      <c r="C119" s="7">
        <v>16647</v>
      </c>
      <c r="D119" s="7">
        <v>16779</v>
      </c>
      <c r="E119" s="7">
        <v>17163</v>
      </c>
      <c r="F119" s="7">
        <v>18046</v>
      </c>
      <c r="G119" s="7">
        <v>68635</v>
      </c>
    </row>
    <row r="120" spans="1:12" x14ac:dyDescent="0.3">
      <c r="A120" s="2"/>
      <c r="B120" s="17"/>
      <c r="C120" s="7">
        <v>24.25</v>
      </c>
      <c r="D120" s="7">
        <v>24.45</v>
      </c>
      <c r="E120" s="7">
        <v>25.01</v>
      </c>
      <c r="F120" s="7">
        <v>26.29</v>
      </c>
      <c r="G120" s="7">
        <v>100</v>
      </c>
    </row>
    <row r="121" spans="1:12" x14ac:dyDescent="0.3">
      <c r="A121" s="2"/>
      <c r="B121" s="20"/>
      <c r="C121" s="20"/>
      <c r="D121" s="20"/>
      <c r="E121" s="20"/>
      <c r="F121" s="20"/>
      <c r="G121" s="20"/>
    </row>
    <row r="122" spans="1:12" ht="17.25" thickBot="1" x14ac:dyDescent="0.35"/>
    <row r="123" spans="1:12" ht="16.5" customHeight="1" x14ac:dyDescent="0.3">
      <c r="A123" s="4" t="s">
        <v>3</v>
      </c>
      <c r="B123" s="16" t="s">
        <v>66</v>
      </c>
      <c r="C123" s="18"/>
      <c r="D123" s="18"/>
      <c r="E123" s="18"/>
      <c r="F123" s="18"/>
      <c r="G123" s="18"/>
    </row>
    <row r="124" spans="1:12" ht="16.5" customHeight="1" x14ac:dyDescent="0.3">
      <c r="A124" s="6" t="s">
        <v>4</v>
      </c>
      <c r="B124" s="17" t="s">
        <v>11</v>
      </c>
      <c r="C124" s="19" t="s">
        <v>60</v>
      </c>
      <c r="D124" s="19"/>
      <c r="E124" s="19"/>
      <c r="F124" s="19"/>
      <c r="G124" s="19"/>
    </row>
    <row r="125" spans="1:12" x14ac:dyDescent="0.3">
      <c r="A125" s="6" t="s">
        <v>22</v>
      </c>
      <c r="B125" s="17"/>
      <c r="C125" s="3">
        <v>1</v>
      </c>
      <c r="D125" s="3">
        <v>2</v>
      </c>
      <c r="E125" s="3">
        <v>3</v>
      </c>
      <c r="F125" s="3">
        <v>4</v>
      </c>
      <c r="G125" s="3" t="s">
        <v>26</v>
      </c>
    </row>
    <row r="126" spans="1:12" ht="33" x14ac:dyDescent="0.3">
      <c r="A126" s="6" t="s">
        <v>23</v>
      </c>
      <c r="B126" s="17">
        <v>1</v>
      </c>
      <c r="C126" s="7">
        <v>12402</v>
      </c>
      <c r="D126" s="7">
        <v>13644</v>
      </c>
      <c r="E126" s="7">
        <v>14869</v>
      </c>
      <c r="F126" s="7">
        <v>15899</v>
      </c>
      <c r="G126" s="7">
        <v>56814</v>
      </c>
      <c r="I126" t="str">
        <f>TEXT(C126,"#,##0")&amp;" ("&amp;TEXT(C129,"0.00")&amp;")"</f>
        <v>12,402 (74.50)</v>
      </c>
      <c r="J126" t="str">
        <f t="shared" ref="J126:L126" si="24">TEXT(D126,"#,##0")&amp;" ("&amp;TEXT(D129,"0.00")&amp;")"</f>
        <v>13,644 (81.32)</v>
      </c>
      <c r="K126" t="str">
        <f t="shared" si="24"/>
        <v>14,869 (86.63)</v>
      </c>
      <c r="L126" t="str">
        <f t="shared" si="24"/>
        <v>15,899 (88.10)</v>
      </c>
    </row>
    <row r="127" spans="1:12" x14ac:dyDescent="0.3">
      <c r="A127" s="2"/>
      <c r="B127" s="17"/>
      <c r="C127" s="7">
        <v>18.07</v>
      </c>
      <c r="D127" s="7">
        <v>19.88</v>
      </c>
      <c r="E127" s="7">
        <v>21.66</v>
      </c>
      <c r="F127" s="7">
        <v>23.16</v>
      </c>
      <c r="G127" s="7">
        <v>82.78</v>
      </c>
      <c r="I127" t="str">
        <f>TEXT(C130,"#,##0")&amp;" ("&amp;TEXT(C133,"0.00")&amp;")"</f>
        <v>4,245 (25.50)</v>
      </c>
      <c r="J127" t="str">
        <f t="shared" ref="J127:L127" si="25">TEXT(D130,"#,##0")&amp;" ("&amp;TEXT(D133,"0.00")&amp;")"</f>
        <v>3,135 (18.68)</v>
      </c>
      <c r="K127" t="str">
        <f t="shared" si="25"/>
        <v>2,294 (13.37)</v>
      </c>
      <c r="L127" t="str">
        <f t="shared" si="25"/>
        <v>2,147 (11.90)</v>
      </c>
    </row>
    <row r="128" spans="1:12" x14ac:dyDescent="0.3">
      <c r="A128" s="2"/>
      <c r="B128" s="17"/>
      <c r="C128" s="7">
        <v>21.83</v>
      </c>
      <c r="D128" s="7">
        <v>24.02</v>
      </c>
      <c r="E128" s="7">
        <v>26.17</v>
      </c>
      <c r="F128" s="7">
        <v>27.98</v>
      </c>
      <c r="G128" s="7"/>
      <c r="I128" t="str">
        <f>TEXT(C134,"#,##0")&amp;" ("&amp;TEXT(C137,"0.00")&amp;")"</f>
        <v>16,647 (0.00)</v>
      </c>
      <c r="J128" t="str">
        <f t="shared" ref="J128:L128" si="26">TEXT(D134,"#,##0")&amp;" ("&amp;TEXT(D137,"0.00")&amp;")"</f>
        <v>16,779 (0.00)</v>
      </c>
      <c r="K128" t="str">
        <f t="shared" si="26"/>
        <v>17,163 (0.00)</v>
      </c>
      <c r="L128" t="str">
        <f t="shared" si="26"/>
        <v>18,046 (0.00)</v>
      </c>
    </row>
    <row r="129" spans="1:12" x14ac:dyDescent="0.3">
      <c r="A129" s="2"/>
      <c r="B129" s="17"/>
      <c r="C129" s="7">
        <v>74.5</v>
      </c>
      <c r="D129" s="7">
        <v>81.319999999999993</v>
      </c>
      <c r="E129" s="7">
        <v>86.63</v>
      </c>
      <c r="F129" s="7">
        <v>88.1</v>
      </c>
      <c r="G129" s="7"/>
      <c r="I129" t="str">
        <f>TEXT(C138,"#,##0")&amp;" ("&amp;TEXT(C141,"0.00")&amp;")"</f>
        <v>0 (6399.00)</v>
      </c>
      <c r="J129" t="str">
        <f t="shared" ref="J129:L129" si="27">TEXT(D138,"#,##0")&amp;" ("&amp;TEXT(D141,"0.00")&amp;")"</f>
        <v>0 (5697.00)</v>
      </c>
      <c r="K129" t="str">
        <f t="shared" si="27"/>
        <v>0 (5426.00)</v>
      </c>
      <c r="L129" t="str">
        <f t="shared" si="27"/>
        <v>0 (5354.00)</v>
      </c>
    </row>
    <row r="130" spans="1:12" x14ac:dyDescent="0.3">
      <c r="A130" s="2"/>
      <c r="B130" s="17">
        <v>2</v>
      </c>
      <c r="C130" s="7">
        <v>4245</v>
      </c>
      <c r="D130" s="7">
        <v>3135</v>
      </c>
      <c r="E130" s="7">
        <v>2294</v>
      </c>
      <c r="F130" s="7">
        <v>2147</v>
      </c>
      <c r="G130" s="7">
        <v>11821</v>
      </c>
    </row>
    <row r="131" spans="1:12" x14ac:dyDescent="0.3">
      <c r="A131" s="2"/>
      <c r="B131" s="17"/>
      <c r="C131" s="7">
        <v>6.18</v>
      </c>
      <c r="D131" s="7">
        <v>4.57</v>
      </c>
      <c r="E131" s="7">
        <v>3.34</v>
      </c>
      <c r="F131" s="7">
        <v>3.13</v>
      </c>
      <c r="G131" s="7">
        <v>17.22</v>
      </c>
    </row>
    <row r="132" spans="1:12" x14ac:dyDescent="0.3">
      <c r="A132" s="2"/>
      <c r="B132" s="17"/>
      <c r="C132" s="7">
        <v>35.909999999999997</v>
      </c>
      <c r="D132" s="7">
        <v>26.52</v>
      </c>
      <c r="E132" s="7">
        <v>19.41</v>
      </c>
      <c r="F132" s="7">
        <v>18.16</v>
      </c>
      <c r="G132" s="7"/>
    </row>
    <row r="133" spans="1:12" x14ac:dyDescent="0.3">
      <c r="A133" s="2"/>
      <c r="B133" s="17"/>
      <c r="C133" s="7">
        <v>25.5</v>
      </c>
      <c r="D133" s="7">
        <v>18.68</v>
      </c>
      <c r="E133" s="7">
        <v>13.37</v>
      </c>
      <c r="F133" s="7">
        <v>11.9</v>
      </c>
      <c r="G133" s="7"/>
    </row>
    <row r="134" spans="1:12" x14ac:dyDescent="0.3">
      <c r="A134" s="2"/>
      <c r="B134" s="17" t="s">
        <v>26</v>
      </c>
      <c r="C134" s="7">
        <v>16647</v>
      </c>
      <c r="D134" s="7">
        <v>16779</v>
      </c>
      <c r="E134" s="7">
        <v>17163</v>
      </c>
      <c r="F134" s="7">
        <v>18046</v>
      </c>
      <c r="G134" s="7">
        <v>68635</v>
      </c>
    </row>
    <row r="135" spans="1:12" x14ac:dyDescent="0.3">
      <c r="A135" s="2"/>
      <c r="B135" s="17"/>
      <c r="C135" s="7">
        <v>24.25</v>
      </c>
      <c r="D135" s="7">
        <v>24.45</v>
      </c>
      <c r="E135" s="7">
        <v>25.01</v>
      </c>
      <c r="F135" s="7">
        <v>26.29</v>
      </c>
      <c r="G135" s="7">
        <v>100</v>
      </c>
    </row>
    <row r="136" spans="1:12" x14ac:dyDescent="0.3">
      <c r="A136" s="2"/>
      <c r="B136" s="20"/>
      <c r="C136" s="20"/>
      <c r="D136" s="20"/>
      <c r="E136" s="20"/>
      <c r="F136" s="20"/>
      <c r="G136" s="20"/>
    </row>
    <row r="137" spans="1:12" ht="17.25" thickBot="1" x14ac:dyDescent="0.35"/>
    <row r="138" spans="1:12" ht="16.5" customHeight="1" x14ac:dyDescent="0.3">
      <c r="A138" s="4" t="s">
        <v>3</v>
      </c>
      <c r="B138" s="16" t="s">
        <v>67</v>
      </c>
      <c r="C138" s="18"/>
      <c r="D138" s="18"/>
      <c r="E138" s="18"/>
      <c r="F138" s="18"/>
      <c r="G138" s="18"/>
    </row>
    <row r="139" spans="1:12" ht="16.5" customHeight="1" x14ac:dyDescent="0.3">
      <c r="A139" s="6" t="s">
        <v>4</v>
      </c>
      <c r="B139" s="17" t="s">
        <v>12</v>
      </c>
      <c r="C139" s="19" t="s">
        <v>60</v>
      </c>
      <c r="D139" s="19"/>
      <c r="E139" s="19"/>
      <c r="F139" s="19"/>
      <c r="G139" s="19"/>
    </row>
    <row r="140" spans="1:12" x14ac:dyDescent="0.3">
      <c r="A140" s="6" t="s">
        <v>22</v>
      </c>
      <c r="B140" s="17"/>
      <c r="C140" s="3">
        <v>1</v>
      </c>
      <c r="D140" s="3">
        <v>2</v>
      </c>
      <c r="E140" s="3">
        <v>3</v>
      </c>
      <c r="F140" s="3">
        <v>4</v>
      </c>
      <c r="G140" s="3" t="s">
        <v>26</v>
      </c>
    </row>
    <row r="141" spans="1:12" ht="33" x14ac:dyDescent="0.3">
      <c r="A141" s="6" t="s">
        <v>23</v>
      </c>
      <c r="B141" s="17">
        <v>1</v>
      </c>
      <c r="C141" s="7">
        <v>6399</v>
      </c>
      <c r="D141" s="7">
        <v>5697</v>
      </c>
      <c r="E141" s="7">
        <v>5426</v>
      </c>
      <c r="F141" s="7">
        <v>5354</v>
      </c>
      <c r="G141" s="7">
        <v>22876</v>
      </c>
      <c r="I141" t="str">
        <f>TEXT(C141,"#,##0")&amp;" ("&amp;TEXT(C144,"0.00")&amp;")"</f>
        <v>6,399 (38.44)</v>
      </c>
      <c r="J141" t="str">
        <f t="shared" ref="J141:L141" si="28">TEXT(D141,"#,##0")&amp;" ("&amp;TEXT(D144,"0.00")&amp;")"</f>
        <v>5,697 (33.95)</v>
      </c>
      <c r="K141" t="str">
        <f t="shared" si="28"/>
        <v>5,426 (31.61)</v>
      </c>
      <c r="L141" t="str">
        <f t="shared" si="28"/>
        <v>5,354 (29.67)</v>
      </c>
    </row>
    <row r="142" spans="1:12" x14ac:dyDescent="0.3">
      <c r="A142" s="2"/>
      <c r="B142" s="17"/>
      <c r="C142" s="7">
        <v>9.32</v>
      </c>
      <c r="D142" s="7">
        <v>8.3000000000000007</v>
      </c>
      <c r="E142" s="7">
        <v>7.91</v>
      </c>
      <c r="F142" s="7">
        <v>7.8</v>
      </c>
      <c r="G142" s="7">
        <v>33.33</v>
      </c>
      <c r="I142" t="str">
        <f>TEXT(C145,"#,##0")&amp;" ("&amp;TEXT(C148,"0.00")&amp;")"</f>
        <v>7,831 (47.04)</v>
      </c>
      <c r="J142" t="str">
        <f t="shared" ref="J142:L142" si="29">TEXT(D145,"#,##0")&amp;" ("&amp;TEXT(D148,"0.00")&amp;")"</f>
        <v>8,174 (48.72)</v>
      </c>
      <c r="K142" t="str">
        <f t="shared" si="29"/>
        <v>8,326 (48.51)</v>
      </c>
      <c r="L142" t="str">
        <f t="shared" si="29"/>
        <v>8,879 (49.20)</v>
      </c>
    </row>
    <row r="143" spans="1:12" x14ac:dyDescent="0.3">
      <c r="A143" s="2"/>
      <c r="B143" s="17"/>
      <c r="C143" s="7">
        <v>27.97</v>
      </c>
      <c r="D143" s="7">
        <v>24.9</v>
      </c>
      <c r="E143" s="7">
        <v>23.72</v>
      </c>
      <c r="F143" s="7">
        <v>23.4</v>
      </c>
      <c r="G143" s="7"/>
      <c r="I143" t="str">
        <f>TEXT(C149,"#,##0")&amp;" ("&amp;TEXT(C152,"0.00")&amp;")"</f>
        <v>2,417 (14.52)</v>
      </c>
      <c r="J143" t="str">
        <f t="shared" ref="J143:L143" si="30">TEXT(D149,"#,##0")&amp;" ("&amp;TEXT(D152,"0.00")&amp;")"</f>
        <v>2,908 (17.33)</v>
      </c>
      <c r="K143" t="str">
        <f t="shared" si="30"/>
        <v>3,411 (19.87)</v>
      </c>
      <c r="L143" t="str">
        <f t="shared" si="30"/>
        <v>3,813 (21.13)</v>
      </c>
    </row>
    <row r="144" spans="1:12" x14ac:dyDescent="0.3">
      <c r="A144" s="2"/>
      <c r="B144" s="17"/>
      <c r="C144" s="7">
        <v>38.44</v>
      </c>
      <c r="D144" s="7">
        <v>33.950000000000003</v>
      </c>
      <c r="E144" s="7">
        <v>31.61</v>
      </c>
      <c r="F144" s="7">
        <v>29.67</v>
      </c>
      <c r="G144" s="7"/>
      <c r="I144" t="str">
        <f>TEXT(C153,"#,##0")&amp;" ("&amp;TEXT(C156,"0.00")&amp;")"</f>
        <v>16,647 (0.00)</v>
      </c>
      <c r="J144" t="str">
        <f t="shared" ref="J144:L144" si="31">TEXT(D153,"#,##0")&amp;" ("&amp;TEXT(D156,"0.00")&amp;")"</f>
        <v>16,779 (0.00)</v>
      </c>
      <c r="K144" t="str">
        <f t="shared" si="31"/>
        <v>17,163 (0.00)</v>
      </c>
      <c r="L144" t="str">
        <f t="shared" si="31"/>
        <v>18,046 (0.00)</v>
      </c>
    </row>
    <row r="145" spans="1:12" x14ac:dyDescent="0.3">
      <c r="A145" s="2"/>
      <c r="B145" s="17">
        <v>2</v>
      </c>
      <c r="C145" s="7">
        <v>7831</v>
      </c>
      <c r="D145" s="7">
        <v>8174</v>
      </c>
      <c r="E145" s="7">
        <v>8326</v>
      </c>
      <c r="F145" s="7">
        <v>8879</v>
      </c>
      <c r="G145" s="7">
        <v>33210</v>
      </c>
    </row>
    <row r="146" spans="1:12" x14ac:dyDescent="0.3">
      <c r="A146" s="2"/>
      <c r="B146" s="17"/>
      <c r="C146" s="7">
        <v>11.41</v>
      </c>
      <c r="D146" s="7">
        <v>11.91</v>
      </c>
      <c r="E146" s="7">
        <v>12.13</v>
      </c>
      <c r="F146" s="7">
        <v>12.94</v>
      </c>
      <c r="G146" s="7">
        <v>48.39</v>
      </c>
    </row>
    <row r="147" spans="1:12" x14ac:dyDescent="0.3">
      <c r="A147" s="2"/>
      <c r="B147" s="17"/>
      <c r="C147" s="7">
        <v>23.58</v>
      </c>
      <c r="D147" s="7">
        <v>24.61</v>
      </c>
      <c r="E147" s="7">
        <v>25.07</v>
      </c>
      <c r="F147" s="7">
        <v>26.74</v>
      </c>
      <c r="G147" s="7"/>
    </row>
    <row r="148" spans="1:12" x14ac:dyDescent="0.3">
      <c r="A148" s="2"/>
      <c r="B148" s="17"/>
      <c r="C148" s="7">
        <v>47.04</v>
      </c>
      <c r="D148" s="7">
        <v>48.72</v>
      </c>
      <c r="E148" s="7">
        <v>48.51</v>
      </c>
      <c r="F148" s="7">
        <v>49.2</v>
      </c>
      <c r="G148" s="7"/>
    </row>
    <row r="149" spans="1:12" x14ac:dyDescent="0.3">
      <c r="A149" s="2"/>
      <c r="B149" s="17">
        <v>3</v>
      </c>
      <c r="C149" s="7">
        <v>2417</v>
      </c>
      <c r="D149" s="7">
        <v>2908</v>
      </c>
      <c r="E149" s="7">
        <v>3411</v>
      </c>
      <c r="F149" s="7">
        <v>3813</v>
      </c>
      <c r="G149" s="7">
        <v>12549</v>
      </c>
    </row>
    <row r="150" spans="1:12" x14ac:dyDescent="0.3">
      <c r="A150" s="2"/>
      <c r="B150" s="17"/>
      <c r="C150" s="7">
        <v>3.52</v>
      </c>
      <c r="D150" s="7">
        <v>4.24</v>
      </c>
      <c r="E150" s="7">
        <v>4.97</v>
      </c>
      <c r="F150" s="7">
        <v>5.56</v>
      </c>
      <c r="G150" s="7">
        <v>18.28</v>
      </c>
    </row>
    <row r="151" spans="1:12" x14ac:dyDescent="0.3">
      <c r="A151" s="2"/>
      <c r="B151" s="17"/>
      <c r="C151" s="7">
        <v>19.260000000000002</v>
      </c>
      <c r="D151" s="7">
        <v>23.17</v>
      </c>
      <c r="E151" s="7">
        <v>27.18</v>
      </c>
      <c r="F151" s="7">
        <v>30.38</v>
      </c>
      <c r="G151" s="7"/>
    </row>
    <row r="152" spans="1:12" x14ac:dyDescent="0.3">
      <c r="A152" s="2"/>
      <c r="B152" s="17"/>
      <c r="C152" s="7">
        <v>14.52</v>
      </c>
      <c r="D152" s="7">
        <v>17.329999999999998</v>
      </c>
      <c r="E152" s="7">
        <v>19.87</v>
      </c>
      <c r="F152" s="7">
        <v>21.13</v>
      </c>
      <c r="G152" s="7"/>
    </row>
    <row r="153" spans="1:12" x14ac:dyDescent="0.3">
      <c r="A153" s="2"/>
      <c r="B153" s="17" t="s">
        <v>26</v>
      </c>
      <c r="C153" s="7">
        <v>16647</v>
      </c>
      <c r="D153" s="7">
        <v>16779</v>
      </c>
      <c r="E153" s="7">
        <v>17163</v>
      </c>
      <c r="F153" s="7">
        <v>18046</v>
      </c>
      <c r="G153" s="7">
        <v>68635</v>
      </c>
    </row>
    <row r="154" spans="1:12" x14ac:dyDescent="0.3">
      <c r="A154" s="2"/>
      <c r="B154" s="17"/>
      <c r="C154" s="7">
        <v>24.25</v>
      </c>
      <c r="D154" s="7">
        <v>24.45</v>
      </c>
      <c r="E154" s="7">
        <v>25.01</v>
      </c>
      <c r="F154" s="7">
        <v>26.29</v>
      </c>
      <c r="G154" s="7">
        <v>100</v>
      </c>
    </row>
    <row r="155" spans="1:12" x14ac:dyDescent="0.3">
      <c r="A155" s="2"/>
      <c r="B155" s="20"/>
      <c r="C155" s="20"/>
      <c r="D155" s="20"/>
      <c r="E155" s="20"/>
      <c r="F155" s="20"/>
      <c r="G155" s="20"/>
    </row>
    <row r="156" spans="1:12" ht="17.25" thickBot="1" x14ac:dyDescent="0.35"/>
    <row r="157" spans="1:12" ht="16.5" customHeight="1" x14ac:dyDescent="0.3">
      <c r="A157" s="4" t="s">
        <v>3</v>
      </c>
      <c r="B157" s="16" t="s">
        <v>68</v>
      </c>
      <c r="C157" s="18"/>
      <c r="D157" s="18"/>
      <c r="E157" s="18"/>
      <c r="F157" s="18"/>
      <c r="G157" s="18"/>
    </row>
    <row r="158" spans="1:12" ht="16.5" customHeight="1" x14ac:dyDescent="0.3">
      <c r="A158" s="6" t="s">
        <v>4</v>
      </c>
      <c r="B158" s="17" t="s">
        <v>13</v>
      </c>
      <c r="C158" s="19" t="s">
        <v>60</v>
      </c>
      <c r="D158" s="19"/>
      <c r="E158" s="19"/>
      <c r="F158" s="19"/>
      <c r="G158" s="19"/>
    </row>
    <row r="159" spans="1:12" x14ac:dyDescent="0.3">
      <c r="A159" s="6" t="s">
        <v>22</v>
      </c>
      <c r="B159" s="17"/>
      <c r="C159" s="3">
        <v>1</v>
      </c>
      <c r="D159" s="3">
        <v>2</v>
      </c>
      <c r="E159" s="3">
        <v>3</v>
      </c>
      <c r="F159" s="3">
        <v>4</v>
      </c>
      <c r="G159" s="3" t="s">
        <v>26</v>
      </c>
    </row>
    <row r="160" spans="1:12" ht="33" x14ac:dyDescent="0.3">
      <c r="A160" s="6" t="s">
        <v>23</v>
      </c>
      <c r="B160" s="17">
        <v>1</v>
      </c>
      <c r="C160" s="7">
        <v>4507</v>
      </c>
      <c r="D160" s="7">
        <v>4402</v>
      </c>
      <c r="E160" s="7">
        <v>4469</v>
      </c>
      <c r="F160" s="7">
        <v>4879</v>
      </c>
      <c r="G160" s="7">
        <v>18257</v>
      </c>
      <c r="I160" t="str">
        <f>TEXT(C160,"#,##0")&amp;" ("&amp;TEXT(C163,"0.00")&amp;")"</f>
        <v>4,507 (27.07)</v>
      </c>
      <c r="J160" t="str">
        <f t="shared" ref="J160:L160" si="32">TEXT(D160,"#,##0")&amp;" ("&amp;TEXT(D163,"0.00")&amp;")"</f>
        <v>4,402 (26.24)</v>
      </c>
      <c r="K160" t="str">
        <f t="shared" si="32"/>
        <v>4,469 (26.04)</v>
      </c>
      <c r="L160" t="str">
        <f t="shared" si="32"/>
        <v>4,879 (27.04)</v>
      </c>
    </row>
    <row r="161" spans="1:12" x14ac:dyDescent="0.3">
      <c r="A161" s="2"/>
      <c r="B161" s="17"/>
      <c r="C161" s="7">
        <v>6.57</v>
      </c>
      <c r="D161" s="7">
        <v>6.41</v>
      </c>
      <c r="E161" s="7">
        <v>6.51</v>
      </c>
      <c r="F161" s="7">
        <v>7.11</v>
      </c>
      <c r="G161" s="7">
        <v>26.6</v>
      </c>
      <c r="I161" t="str">
        <f>TEXT(C164,"#,##0")&amp;" ("&amp;TEXT(C167,"0.00")&amp;")"</f>
        <v>9,800 (58.87)</v>
      </c>
      <c r="J161" t="str">
        <f t="shared" ref="J161:L161" si="33">TEXT(D164,"#,##0")&amp;" ("&amp;TEXT(D167,"0.00")&amp;")"</f>
        <v>9,823 (58.54)</v>
      </c>
      <c r="K161" t="str">
        <f t="shared" si="33"/>
        <v>9,774 (56.95)</v>
      </c>
      <c r="L161" t="str">
        <f t="shared" si="33"/>
        <v>10,154 (56.27)</v>
      </c>
    </row>
    <row r="162" spans="1:12" x14ac:dyDescent="0.3">
      <c r="A162" s="2"/>
      <c r="B162" s="17"/>
      <c r="C162" s="7">
        <v>24.69</v>
      </c>
      <c r="D162" s="7">
        <v>24.11</v>
      </c>
      <c r="E162" s="7">
        <v>24.48</v>
      </c>
      <c r="F162" s="7">
        <v>26.72</v>
      </c>
      <c r="G162" s="7"/>
      <c r="I162" t="str">
        <f>TEXT(C168,"#,##0")&amp;" ("&amp;TEXT(C171,"0.00")&amp;")"</f>
        <v>2,340 (14.06)</v>
      </c>
      <c r="J162" t="str">
        <f t="shared" ref="J162:L162" si="34">TEXT(D168,"#,##0")&amp;" ("&amp;TEXT(D171,"0.00")&amp;")"</f>
        <v>2,554 (15.22)</v>
      </c>
      <c r="K162" t="str">
        <f t="shared" si="34"/>
        <v>2,920 (17.01)</v>
      </c>
      <c r="L162" t="str">
        <f t="shared" si="34"/>
        <v>3,013 (16.70)</v>
      </c>
    </row>
    <row r="163" spans="1:12" x14ac:dyDescent="0.3">
      <c r="A163" s="2"/>
      <c r="B163" s="17"/>
      <c r="C163" s="7">
        <v>27.07</v>
      </c>
      <c r="D163" s="7">
        <v>26.24</v>
      </c>
      <c r="E163" s="7">
        <v>26.04</v>
      </c>
      <c r="F163" s="7">
        <v>27.04</v>
      </c>
      <c r="G163" s="7"/>
      <c r="I163" t="str">
        <f>TEXT(C172,"#,##0")&amp;" ("&amp;TEXT(C175,"0.00")&amp;")"</f>
        <v>16,647 (0.00)</v>
      </c>
      <c r="J163" t="str">
        <f t="shared" ref="J163:L163" si="35">TEXT(D172,"#,##0")&amp;" ("&amp;TEXT(D175,"0.00")&amp;")"</f>
        <v>16,779 (0.00)</v>
      </c>
      <c r="K163" t="str">
        <f t="shared" si="35"/>
        <v>17,163 (0.00)</v>
      </c>
      <c r="L163" t="str">
        <f t="shared" si="35"/>
        <v>18,046 (0.00)</v>
      </c>
    </row>
    <row r="164" spans="1:12" x14ac:dyDescent="0.3">
      <c r="A164" s="2"/>
      <c r="B164" s="17">
        <v>2</v>
      </c>
      <c r="C164" s="7">
        <v>9800</v>
      </c>
      <c r="D164" s="7">
        <v>9823</v>
      </c>
      <c r="E164" s="7">
        <v>9774</v>
      </c>
      <c r="F164" s="7">
        <v>10154</v>
      </c>
      <c r="G164" s="7">
        <v>39551</v>
      </c>
    </row>
    <row r="165" spans="1:12" x14ac:dyDescent="0.3">
      <c r="A165" s="2"/>
      <c r="B165" s="17"/>
      <c r="C165" s="7">
        <v>14.28</v>
      </c>
      <c r="D165" s="7">
        <v>14.31</v>
      </c>
      <c r="E165" s="7">
        <v>14.24</v>
      </c>
      <c r="F165" s="7">
        <v>14.79</v>
      </c>
      <c r="G165" s="7">
        <v>57.63</v>
      </c>
    </row>
    <row r="166" spans="1:12" x14ac:dyDescent="0.3">
      <c r="A166" s="2"/>
      <c r="B166" s="17"/>
      <c r="C166" s="7">
        <v>24.78</v>
      </c>
      <c r="D166" s="7">
        <v>24.84</v>
      </c>
      <c r="E166" s="7">
        <v>24.71</v>
      </c>
      <c r="F166" s="7">
        <v>25.67</v>
      </c>
      <c r="G166" s="7"/>
    </row>
    <row r="167" spans="1:12" x14ac:dyDescent="0.3">
      <c r="A167" s="2"/>
      <c r="B167" s="17"/>
      <c r="C167" s="7">
        <v>58.87</v>
      </c>
      <c r="D167" s="7">
        <v>58.54</v>
      </c>
      <c r="E167" s="7">
        <v>56.95</v>
      </c>
      <c r="F167" s="7">
        <v>56.27</v>
      </c>
      <c r="G167" s="7"/>
    </row>
    <row r="168" spans="1:12" x14ac:dyDescent="0.3">
      <c r="A168" s="2"/>
      <c r="B168" s="17">
        <v>3</v>
      </c>
      <c r="C168" s="7">
        <v>2340</v>
      </c>
      <c r="D168" s="7">
        <v>2554</v>
      </c>
      <c r="E168" s="7">
        <v>2920</v>
      </c>
      <c r="F168" s="7">
        <v>3013</v>
      </c>
      <c r="G168" s="7">
        <v>10827</v>
      </c>
    </row>
    <row r="169" spans="1:12" x14ac:dyDescent="0.3">
      <c r="A169" s="2"/>
      <c r="B169" s="17"/>
      <c r="C169" s="7">
        <v>3.41</v>
      </c>
      <c r="D169" s="7">
        <v>3.72</v>
      </c>
      <c r="E169" s="7">
        <v>4.25</v>
      </c>
      <c r="F169" s="7">
        <v>4.3899999999999997</v>
      </c>
      <c r="G169" s="7">
        <v>15.77</v>
      </c>
    </row>
    <row r="170" spans="1:12" x14ac:dyDescent="0.3">
      <c r="A170" s="2"/>
      <c r="B170" s="17"/>
      <c r="C170" s="7">
        <v>21.61</v>
      </c>
      <c r="D170" s="7">
        <v>23.59</v>
      </c>
      <c r="E170" s="7">
        <v>26.97</v>
      </c>
      <c r="F170" s="7">
        <v>27.83</v>
      </c>
      <c r="G170" s="7"/>
    </row>
    <row r="171" spans="1:12" x14ac:dyDescent="0.3">
      <c r="A171" s="2"/>
      <c r="B171" s="17"/>
      <c r="C171" s="7">
        <v>14.06</v>
      </c>
      <c r="D171" s="7">
        <v>15.22</v>
      </c>
      <c r="E171" s="7">
        <v>17.010000000000002</v>
      </c>
      <c r="F171" s="7">
        <v>16.7</v>
      </c>
      <c r="G171" s="7"/>
    </row>
    <row r="172" spans="1:12" x14ac:dyDescent="0.3">
      <c r="A172" s="2"/>
      <c r="B172" s="17" t="s">
        <v>26</v>
      </c>
      <c r="C172" s="7">
        <v>16647</v>
      </c>
      <c r="D172" s="7">
        <v>16779</v>
      </c>
      <c r="E172" s="7">
        <v>17163</v>
      </c>
      <c r="F172" s="7">
        <v>18046</v>
      </c>
      <c r="G172" s="7">
        <v>68635</v>
      </c>
    </row>
    <row r="173" spans="1:12" x14ac:dyDescent="0.3">
      <c r="A173" s="2"/>
      <c r="B173" s="17"/>
      <c r="C173" s="7">
        <v>24.25</v>
      </c>
      <c r="D173" s="7">
        <v>24.45</v>
      </c>
      <c r="E173" s="7">
        <v>25.01</v>
      </c>
      <c r="F173" s="7">
        <v>26.29</v>
      </c>
      <c r="G173" s="7">
        <v>100</v>
      </c>
    </row>
    <row r="174" spans="1:12" x14ac:dyDescent="0.3">
      <c r="A174" s="2"/>
      <c r="B174" s="20"/>
      <c r="C174" s="20"/>
      <c r="D174" s="20"/>
      <c r="E174" s="20"/>
      <c r="F174" s="20"/>
      <c r="G174" s="20"/>
    </row>
    <row r="175" spans="1:12" ht="17.25" thickBot="1" x14ac:dyDescent="0.35"/>
    <row r="176" spans="1:12" ht="16.5" customHeight="1" x14ac:dyDescent="0.3">
      <c r="A176" s="4" t="s">
        <v>3</v>
      </c>
      <c r="B176" s="16" t="s">
        <v>69</v>
      </c>
      <c r="C176" s="18"/>
      <c r="D176" s="18"/>
      <c r="E176" s="18"/>
      <c r="F176" s="18"/>
      <c r="G176" s="18"/>
    </row>
    <row r="177" spans="1:12" ht="16.5" customHeight="1" x14ac:dyDescent="0.3">
      <c r="A177" s="6" t="s">
        <v>4</v>
      </c>
      <c r="B177" s="17" t="s">
        <v>14</v>
      </c>
      <c r="C177" s="19" t="s">
        <v>60</v>
      </c>
      <c r="D177" s="19"/>
      <c r="E177" s="19"/>
      <c r="F177" s="19"/>
      <c r="G177" s="19"/>
    </row>
    <row r="178" spans="1:12" x14ac:dyDescent="0.3">
      <c r="A178" s="6" t="s">
        <v>22</v>
      </c>
      <c r="B178" s="17"/>
      <c r="C178" s="3">
        <v>1</v>
      </c>
      <c r="D178" s="3">
        <v>2</v>
      </c>
      <c r="E178" s="3">
        <v>3</v>
      </c>
      <c r="F178" s="3">
        <v>4</v>
      </c>
      <c r="G178" s="3" t="s">
        <v>26</v>
      </c>
    </row>
    <row r="179" spans="1:12" ht="33" x14ac:dyDescent="0.3">
      <c r="A179" s="6" t="s">
        <v>23</v>
      </c>
      <c r="B179" s="17">
        <v>1</v>
      </c>
      <c r="C179" s="7">
        <v>6670</v>
      </c>
      <c r="D179" s="7">
        <v>6867</v>
      </c>
      <c r="E179" s="7">
        <v>6918</v>
      </c>
      <c r="F179" s="7">
        <v>6453</v>
      </c>
      <c r="G179" s="7">
        <v>26908</v>
      </c>
      <c r="I179" t="str">
        <f>TEXT(C179,"#,##0")&amp;" ("&amp;TEXT(C182,"0.00")&amp;")"</f>
        <v>6,670 (40.07)</v>
      </c>
      <c r="J179" t="str">
        <f t="shared" ref="J179:L179" si="36">TEXT(D179,"#,##0")&amp;" ("&amp;TEXT(D182,"0.00")&amp;")"</f>
        <v>6,867 (40.93)</v>
      </c>
      <c r="K179" t="str">
        <f t="shared" si="36"/>
        <v>6,918 (40.31)</v>
      </c>
      <c r="L179" t="str">
        <f t="shared" si="36"/>
        <v>6,453 (35.76)</v>
      </c>
    </row>
    <row r="180" spans="1:12" x14ac:dyDescent="0.3">
      <c r="A180" s="2"/>
      <c r="B180" s="17"/>
      <c r="C180" s="7">
        <v>9.7200000000000006</v>
      </c>
      <c r="D180" s="7">
        <v>10.01</v>
      </c>
      <c r="E180" s="7">
        <v>10.08</v>
      </c>
      <c r="F180" s="7">
        <v>9.4</v>
      </c>
      <c r="G180" s="7">
        <v>39.200000000000003</v>
      </c>
      <c r="I180" t="str">
        <f>TEXT(C183,"#,##0")&amp;" ("&amp;TEXT(C186,"0.00")&amp;")"</f>
        <v>6,623 (39.78)</v>
      </c>
      <c r="J180" t="str">
        <f t="shared" ref="J180:L180" si="37">TEXT(D183,"#,##0")&amp;" ("&amp;TEXT(D186,"0.00")&amp;")"</f>
        <v>6,297 (37.53)</v>
      </c>
      <c r="K180" t="str">
        <f t="shared" si="37"/>
        <v>5,989 (34.89)</v>
      </c>
      <c r="L180" t="str">
        <f t="shared" si="37"/>
        <v>6,090 (33.75)</v>
      </c>
    </row>
    <row r="181" spans="1:12" x14ac:dyDescent="0.3">
      <c r="A181" s="2"/>
      <c r="B181" s="17"/>
      <c r="C181" s="7">
        <v>24.79</v>
      </c>
      <c r="D181" s="7">
        <v>25.52</v>
      </c>
      <c r="E181" s="7">
        <v>25.71</v>
      </c>
      <c r="F181" s="7">
        <v>23.98</v>
      </c>
      <c r="G181" s="7"/>
      <c r="I181" t="str">
        <f>TEXT(C187,"#,##0")&amp;" ("&amp;TEXT(C190,"0.00")&amp;")"</f>
        <v>3,354 (20.15)</v>
      </c>
      <c r="J181" t="str">
        <f t="shared" ref="J181:L181" si="38">TEXT(D187,"#,##0")&amp;" ("&amp;TEXT(D190,"0.00")&amp;")"</f>
        <v>3,615 (21.54)</v>
      </c>
      <c r="K181" t="str">
        <f t="shared" si="38"/>
        <v>4,256 (24.80)</v>
      </c>
      <c r="L181" t="str">
        <f t="shared" si="38"/>
        <v>5,503 (30.49)</v>
      </c>
    </row>
    <row r="182" spans="1:12" x14ac:dyDescent="0.3">
      <c r="A182" s="2"/>
      <c r="B182" s="17"/>
      <c r="C182" s="7">
        <v>40.07</v>
      </c>
      <c r="D182" s="7">
        <v>40.93</v>
      </c>
      <c r="E182" s="7">
        <v>40.31</v>
      </c>
      <c r="F182" s="7">
        <v>35.76</v>
      </c>
      <c r="G182" s="7"/>
      <c r="I182" t="str">
        <f>TEXT(C191,"#,##0")&amp;" ("&amp;TEXT(C194,"0.00")&amp;")"</f>
        <v>16,647 (0.00)</v>
      </c>
      <c r="J182" t="str">
        <f t="shared" ref="J182:L182" si="39">TEXT(D191,"#,##0")&amp;" ("&amp;TEXT(D194,"0.00")&amp;")"</f>
        <v>16,779 (0.00)</v>
      </c>
      <c r="K182" t="str">
        <f t="shared" si="39"/>
        <v>17,163 (0.00)</v>
      </c>
      <c r="L182" t="str">
        <f t="shared" si="39"/>
        <v>18,046 (0.00)</v>
      </c>
    </row>
    <row r="183" spans="1:12" x14ac:dyDescent="0.3">
      <c r="A183" s="2"/>
      <c r="B183" s="17">
        <v>2</v>
      </c>
      <c r="C183" s="7">
        <v>6623</v>
      </c>
      <c r="D183" s="7">
        <v>6297</v>
      </c>
      <c r="E183" s="7">
        <v>5989</v>
      </c>
      <c r="F183" s="7">
        <v>6090</v>
      </c>
      <c r="G183" s="7">
        <v>24999</v>
      </c>
    </row>
    <row r="184" spans="1:12" x14ac:dyDescent="0.3">
      <c r="A184" s="2"/>
      <c r="B184" s="17"/>
      <c r="C184" s="7">
        <v>9.65</v>
      </c>
      <c r="D184" s="7">
        <v>9.17</v>
      </c>
      <c r="E184" s="7">
        <v>8.73</v>
      </c>
      <c r="F184" s="7">
        <v>8.8699999999999992</v>
      </c>
      <c r="G184" s="7">
        <v>36.42</v>
      </c>
    </row>
    <row r="185" spans="1:12" x14ac:dyDescent="0.3">
      <c r="A185" s="2"/>
      <c r="B185" s="17"/>
      <c r="C185" s="7">
        <v>26.49</v>
      </c>
      <c r="D185" s="7">
        <v>25.19</v>
      </c>
      <c r="E185" s="7">
        <v>23.96</v>
      </c>
      <c r="F185" s="7">
        <v>24.36</v>
      </c>
      <c r="G185" s="7"/>
    </row>
    <row r="186" spans="1:12" x14ac:dyDescent="0.3">
      <c r="A186" s="2"/>
      <c r="B186" s="17"/>
      <c r="C186" s="7">
        <v>39.78</v>
      </c>
      <c r="D186" s="7">
        <v>37.53</v>
      </c>
      <c r="E186" s="7">
        <v>34.89</v>
      </c>
      <c r="F186" s="7">
        <v>33.75</v>
      </c>
      <c r="G186" s="7"/>
    </row>
    <row r="187" spans="1:12" x14ac:dyDescent="0.3">
      <c r="A187" s="2"/>
      <c r="B187" s="17">
        <v>3</v>
      </c>
      <c r="C187" s="7">
        <v>3354</v>
      </c>
      <c r="D187" s="7">
        <v>3615</v>
      </c>
      <c r="E187" s="7">
        <v>4256</v>
      </c>
      <c r="F187" s="7">
        <v>5503</v>
      </c>
      <c r="G187" s="7">
        <v>16728</v>
      </c>
    </row>
    <row r="188" spans="1:12" x14ac:dyDescent="0.3">
      <c r="A188" s="2"/>
      <c r="B188" s="17"/>
      <c r="C188" s="7">
        <v>4.8899999999999997</v>
      </c>
      <c r="D188" s="7">
        <v>5.27</v>
      </c>
      <c r="E188" s="7">
        <v>6.2</v>
      </c>
      <c r="F188" s="7">
        <v>8.02</v>
      </c>
      <c r="G188" s="7">
        <v>24.37</v>
      </c>
    </row>
    <row r="189" spans="1:12" x14ac:dyDescent="0.3">
      <c r="A189" s="2"/>
      <c r="B189" s="17"/>
      <c r="C189" s="7">
        <v>20.05</v>
      </c>
      <c r="D189" s="7">
        <v>21.61</v>
      </c>
      <c r="E189" s="7">
        <v>25.44</v>
      </c>
      <c r="F189" s="7">
        <v>32.9</v>
      </c>
      <c r="G189" s="7"/>
    </row>
    <row r="190" spans="1:12" x14ac:dyDescent="0.3">
      <c r="A190" s="2"/>
      <c r="B190" s="17"/>
      <c r="C190" s="7">
        <v>20.149999999999999</v>
      </c>
      <c r="D190" s="7">
        <v>21.54</v>
      </c>
      <c r="E190" s="7">
        <v>24.8</v>
      </c>
      <c r="F190" s="7">
        <v>30.49</v>
      </c>
      <c r="G190" s="7"/>
    </row>
    <row r="191" spans="1:12" x14ac:dyDescent="0.3">
      <c r="A191" s="2"/>
      <c r="B191" s="17" t="s">
        <v>26</v>
      </c>
      <c r="C191" s="7">
        <v>16647</v>
      </c>
      <c r="D191" s="7">
        <v>16779</v>
      </c>
      <c r="E191" s="7">
        <v>17163</v>
      </c>
      <c r="F191" s="7">
        <v>18046</v>
      </c>
      <c r="G191" s="7">
        <v>68635</v>
      </c>
    </row>
    <row r="192" spans="1:12" x14ac:dyDescent="0.3">
      <c r="A192" s="2"/>
      <c r="B192" s="17"/>
      <c r="C192" s="7">
        <v>24.25</v>
      </c>
      <c r="D192" s="7">
        <v>24.45</v>
      </c>
      <c r="E192" s="7">
        <v>25.01</v>
      </c>
      <c r="F192" s="7">
        <v>26.29</v>
      </c>
      <c r="G192" s="7">
        <v>100</v>
      </c>
    </row>
    <row r="193" spans="1:12" x14ac:dyDescent="0.3">
      <c r="A193" s="2"/>
      <c r="B193" s="20"/>
      <c r="C193" s="20"/>
      <c r="D193" s="20"/>
      <c r="E193" s="20"/>
      <c r="F193" s="20"/>
      <c r="G193" s="20"/>
    </row>
    <row r="194" spans="1:12" ht="17.25" thickBot="1" x14ac:dyDescent="0.35"/>
    <row r="195" spans="1:12" ht="16.5" customHeight="1" x14ac:dyDescent="0.3">
      <c r="A195" s="4" t="s">
        <v>3</v>
      </c>
      <c r="B195" s="16" t="s">
        <v>70</v>
      </c>
      <c r="C195" s="18"/>
      <c r="D195" s="18"/>
      <c r="E195" s="18"/>
      <c r="F195" s="18"/>
      <c r="G195" s="18"/>
    </row>
    <row r="196" spans="1:12" ht="16.5" customHeight="1" x14ac:dyDescent="0.3">
      <c r="A196" s="6" t="s">
        <v>4</v>
      </c>
      <c r="B196" s="17" t="s">
        <v>15</v>
      </c>
      <c r="C196" s="19" t="s">
        <v>60</v>
      </c>
      <c r="D196" s="19"/>
      <c r="E196" s="19"/>
      <c r="F196" s="19"/>
      <c r="G196" s="19"/>
    </row>
    <row r="197" spans="1:12" x14ac:dyDescent="0.3">
      <c r="A197" s="6" t="s">
        <v>22</v>
      </c>
      <c r="B197" s="17"/>
      <c r="C197" s="3">
        <v>1</v>
      </c>
      <c r="D197" s="3">
        <v>2</v>
      </c>
      <c r="E197" s="3">
        <v>3</v>
      </c>
      <c r="F197" s="3">
        <v>4</v>
      </c>
      <c r="G197" s="3" t="s">
        <v>26</v>
      </c>
    </row>
    <row r="198" spans="1:12" ht="33" x14ac:dyDescent="0.3">
      <c r="A198" s="6" t="s">
        <v>23</v>
      </c>
      <c r="B198" s="17">
        <v>0</v>
      </c>
      <c r="C198" s="7">
        <v>14441</v>
      </c>
      <c r="D198" s="7">
        <v>13399</v>
      </c>
      <c r="E198" s="7">
        <v>12785</v>
      </c>
      <c r="F198" s="7">
        <v>11439</v>
      </c>
      <c r="G198" s="7">
        <v>52064</v>
      </c>
      <c r="I198" t="str">
        <f>TEXT(C198,"#,##0")&amp;" ("&amp;TEXT(C201,"0.00")&amp;")"</f>
        <v>14,441 (86.75)</v>
      </c>
      <c r="J198" t="str">
        <f t="shared" ref="J198:L198" si="40">TEXT(D198,"#,##0")&amp;" ("&amp;TEXT(D201,"0.00")&amp;")"</f>
        <v>13,399 (79.86)</v>
      </c>
      <c r="K198" t="str">
        <f t="shared" si="40"/>
        <v>12,785 (74.49)</v>
      </c>
      <c r="L198" t="str">
        <f t="shared" si="40"/>
        <v>11,439 (63.39)</v>
      </c>
    </row>
    <row r="199" spans="1:12" x14ac:dyDescent="0.3">
      <c r="A199" s="2"/>
      <c r="B199" s="17"/>
      <c r="C199" s="7">
        <v>21.04</v>
      </c>
      <c r="D199" s="7">
        <v>19.52</v>
      </c>
      <c r="E199" s="7">
        <v>18.63</v>
      </c>
      <c r="F199" s="7">
        <v>16.670000000000002</v>
      </c>
      <c r="G199" s="7">
        <v>75.86</v>
      </c>
      <c r="I199" t="str">
        <f>TEXT(C202,"#,##0")&amp;" ("&amp;TEXT(C205,"0.00")&amp;")"</f>
        <v>2,206 (13.25)</v>
      </c>
      <c r="J199" t="str">
        <f t="shared" ref="J199:L199" si="41">TEXT(D202,"#,##0")&amp;" ("&amp;TEXT(D205,"0.00")&amp;")"</f>
        <v>3,380 (20.14)</v>
      </c>
      <c r="K199" t="str">
        <f t="shared" si="41"/>
        <v>4,378 (25.51)</v>
      </c>
      <c r="L199" t="str">
        <f t="shared" si="41"/>
        <v>6,607 (36.61)</v>
      </c>
    </row>
    <row r="200" spans="1:12" x14ac:dyDescent="0.3">
      <c r="A200" s="2"/>
      <c r="B200" s="17"/>
      <c r="C200" s="7">
        <v>27.74</v>
      </c>
      <c r="D200" s="7">
        <v>25.74</v>
      </c>
      <c r="E200" s="7">
        <v>24.56</v>
      </c>
      <c r="F200" s="7">
        <v>21.97</v>
      </c>
      <c r="G200" s="7"/>
      <c r="I200" t="str">
        <f>TEXT(C206,"#,##0")&amp;" ("&amp;TEXT(C209,"0.00")&amp;")"</f>
        <v>16,647 (0.00)</v>
      </c>
      <c r="J200" t="str">
        <f t="shared" ref="J200:L200" si="42">TEXT(D206,"#,##0")&amp;" ("&amp;TEXT(D209,"0.00")&amp;")"</f>
        <v>16,779 (0.00)</v>
      </c>
      <c r="K200" t="str">
        <f t="shared" si="42"/>
        <v>17,163 (0.00)</v>
      </c>
      <c r="L200" t="str">
        <f t="shared" si="42"/>
        <v>18,046 (0.00)</v>
      </c>
    </row>
    <row r="201" spans="1:12" x14ac:dyDescent="0.3">
      <c r="A201" s="2"/>
      <c r="B201" s="17"/>
      <c r="C201" s="7">
        <v>86.75</v>
      </c>
      <c r="D201" s="7">
        <v>79.86</v>
      </c>
      <c r="E201" s="7">
        <v>74.489999999999995</v>
      </c>
      <c r="F201" s="7">
        <v>63.39</v>
      </c>
      <c r="G201" s="7"/>
      <c r="I201" t="str">
        <f>TEXT(C210,"#,##0")&amp;" ("&amp;TEXT(C213,"0.00")&amp;")"</f>
        <v>0 (14672.00)</v>
      </c>
      <c r="J201" t="str">
        <f t="shared" ref="J201:L201" si="43">TEXT(D210,"#,##0")&amp;" ("&amp;TEXT(D213,"0.00")&amp;")"</f>
        <v>0 (13616.00)</v>
      </c>
      <c r="K201" t="str">
        <f t="shared" si="43"/>
        <v>0 (12785.00)</v>
      </c>
      <c r="L201" t="str">
        <f t="shared" si="43"/>
        <v>0 (12837.00)</v>
      </c>
    </row>
    <row r="202" spans="1:12" x14ac:dyDescent="0.3">
      <c r="A202" s="2"/>
      <c r="B202" s="17">
        <v>1</v>
      </c>
      <c r="C202" s="7">
        <v>2206</v>
      </c>
      <c r="D202" s="7">
        <v>3380</v>
      </c>
      <c r="E202" s="7">
        <v>4378</v>
      </c>
      <c r="F202" s="7">
        <v>6607</v>
      </c>
      <c r="G202" s="7">
        <v>16571</v>
      </c>
    </row>
    <row r="203" spans="1:12" x14ac:dyDescent="0.3">
      <c r="A203" s="2"/>
      <c r="B203" s="17"/>
      <c r="C203" s="7">
        <v>3.21</v>
      </c>
      <c r="D203" s="7">
        <v>4.92</v>
      </c>
      <c r="E203" s="7">
        <v>6.38</v>
      </c>
      <c r="F203" s="7">
        <v>9.6300000000000008</v>
      </c>
      <c r="G203" s="7">
        <v>24.14</v>
      </c>
    </row>
    <row r="204" spans="1:12" x14ac:dyDescent="0.3">
      <c r="A204" s="2"/>
      <c r="B204" s="17"/>
      <c r="C204" s="7">
        <v>13.31</v>
      </c>
      <c r="D204" s="7">
        <v>20.399999999999999</v>
      </c>
      <c r="E204" s="7">
        <v>26.42</v>
      </c>
      <c r="F204" s="7">
        <v>39.869999999999997</v>
      </c>
      <c r="G204" s="7"/>
    </row>
    <row r="205" spans="1:12" x14ac:dyDescent="0.3">
      <c r="A205" s="2"/>
      <c r="B205" s="17"/>
      <c r="C205" s="7">
        <v>13.25</v>
      </c>
      <c r="D205" s="7">
        <v>20.14</v>
      </c>
      <c r="E205" s="7">
        <v>25.51</v>
      </c>
      <c r="F205" s="7">
        <v>36.61</v>
      </c>
      <c r="G205" s="7"/>
    </row>
    <row r="206" spans="1:12" x14ac:dyDescent="0.3">
      <c r="A206" s="2"/>
      <c r="B206" s="17" t="s">
        <v>26</v>
      </c>
      <c r="C206" s="7">
        <v>16647</v>
      </c>
      <c r="D206" s="7">
        <v>16779</v>
      </c>
      <c r="E206" s="7">
        <v>17163</v>
      </c>
      <c r="F206" s="7">
        <v>18046</v>
      </c>
      <c r="G206" s="7">
        <v>68635</v>
      </c>
    </row>
    <row r="207" spans="1:12" x14ac:dyDescent="0.3">
      <c r="A207" s="2"/>
      <c r="B207" s="17"/>
      <c r="C207" s="7">
        <v>24.25</v>
      </c>
      <c r="D207" s="7">
        <v>24.45</v>
      </c>
      <c r="E207" s="7">
        <v>25.01</v>
      </c>
      <c r="F207" s="7">
        <v>26.29</v>
      </c>
      <c r="G207" s="7">
        <v>100</v>
      </c>
    </row>
    <row r="208" spans="1:12" x14ac:dyDescent="0.3">
      <c r="A208" s="2"/>
      <c r="B208" s="20"/>
      <c r="C208" s="20"/>
      <c r="D208" s="20"/>
      <c r="E208" s="20"/>
      <c r="F208" s="20"/>
      <c r="G208" s="20"/>
    </row>
    <row r="209" spans="1:12" ht="17.25" thickBot="1" x14ac:dyDescent="0.35"/>
    <row r="210" spans="1:12" ht="16.5" customHeight="1" x14ac:dyDescent="0.3">
      <c r="A210" s="4" t="s">
        <v>3</v>
      </c>
      <c r="B210" s="16" t="s">
        <v>71</v>
      </c>
      <c r="C210" s="18"/>
      <c r="D210" s="18"/>
      <c r="E210" s="18"/>
      <c r="F210" s="18"/>
      <c r="G210" s="18"/>
    </row>
    <row r="211" spans="1:12" ht="16.5" customHeight="1" x14ac:dyDescent="0.3">
      <c r="A211" s="6" t="s">
        <v>4</v>
      </c>
      <c r="B211" s="17" t="s">
        <v>16</v>
      </c>
      <c r="C211" s="19" t="s">
        <v>60</v>
      </c>
      <c r="D211" s="19"/>
      <c r="E211" s="19"/>
      <c r="F211" s="19"/>
      <c r="G211" s="19"/>
    </row>
    <row r="212" spans="1:12" x14ac:dyDescent="0.3">
      <c r="A212" s="6" t="s">
        <v>22</v>
      </c>
      <c r="B212" s="17"/>
      <c r="C212" s="3">
        <v>1</v>
      </c>
      <c r="D212" s="3">
        <v>2</v>
      </c>
      <c r="E212" s="3">
        <v>3</v>
      </c>
      <c r="F212" s="3">
        <v>4</v>
      </c>
      <c r="G212" s="3" t="s">
        <v>26</v>
      </c>
    </row>
    <row r="213" spans="1:12" ht="33" x14ac:dyDescent="0.3">
      <c r="A213" s="6" t="s">
        <v>23</v>
      </c>
      <c r="B213" s="17">
        <v>0</v>
      </c>
      <c r="C213" s="7">
        <v>14672</v>
      </c>
      <c r="D213" s="7">
        <v>13616</v>
      </c>
      <c r="E213" s="7">
        <v>12785</v>
      </c>
      <c r="F213" s="7">
        <v>12837</v>
      </c>
      <c r="G213" s="7">
        <v>53910</v>
      </c>
      <c r="I213" t="str">
        <f>TEXT(C213,"#,##0")&amp;" ("&amp;TEXT(C216,"0.00")&amp;")"</f>
        <v>14,672 (88.14)</v>
      </c>
      <c r="J213" t="str">
        <f t="shared" ref="J213:L213" si="44">TEXT(D213,"#,##0")&amp;" ("&amp;TEXT(D216,"0.00")&amp;")"</f>
        <v>13,616 (81.15)</v>
      </c>
      <c r="K213" t="str">
        <f t="shared" si="44"/>
        <v>12,785 (74.49)</v>
      </c>
      <c r="L213" t="str">
        <f t="shared" si="44"/>
        <v>12,837 (71.13)</v>
      </c>
    </row>
    <row r="214" spans="1:12" x14ac:dyDescent="0.3">
      <c r="A214" s="2"/>
      <c r="B214" s="17"/>
      <c r="C214" s="7">
        <v>21.38</v>
      </c>
      <c r="D214" s="7">
        <v>19.84</v>
      </c>
      <c r="E214" s="7">
        <v>18.63</v>
      </c>
      <c r="F214" s="7">
        <v>18.7</v>
      </c>
      <c r="G214" s="7">
        <v>78.55</v>
      </c>
      <c r="I214" t="str">
        <f>TEXT(C217,"#,##0")&amp;" ("&amp;TEXT(C220,"0.00")&amp;")"</f>
        <v>1,975 (11.86)</v>
      </c>
      <c r="J214" t="str">
        <f t="shared" ref="J214:L214" si="45">TEXT(D217,"#,##0")&amp;" ("&amp;TEXT(D220,"0.00")&amp;")"</f>
        <v>3,163 (18.85)</v>
      </c>
      <c r="K214" t="str">
        <f t="shared" si="45"/>
        <v>4,378 (25.51)</v>
      </c>
      <c r="L214" t="str">
        <f t="shared" si="45"/>
        <v>5,209 (28.87)</v>
      </c>
    </row>
    <row r="215" spans="1:12" x14ac:dyDescent="0.3">
      <c r="A215" s="2"/>
      <c r="B215" s="17"/>
      <c r="C215" s="7">
        <v>27.22</v>
      </c>
      <c r="D215" s="7">
        <v>25.26</v>
      </c>
      <c r="E215" s="7">
        <v>23.72</v>
      </c>
      <c r="F215" s="7">
        <v>23.81</v>
      </c>
      <c r="G215" s="7"/>
      <c r="I215" t="str">
        <f>TEXT(C221,"#,##0")&amp;" ("&amp;TEXT(C224,"0.00")&amp;")"</f>
        <v>16,647 (0.00)</v>
      </c>
      <c r="J215" t="str">
        <f t="shared" ref="J215:L215" si="46">TEXT(D221,"#,##0")&amp;" ("&amp;TEXT(D224,"0.00")&amp;")"</f>
        <v>16,779 (0.00)</v>
      </c>
      <c r="K215" t="str">
        <f t="shared" si="46"/>
        <v>17,163 (0.00)</v>
      </c>
      <c r="L215" t="str">
        <f t="shared" si="46"/>
        <v>18,046 (0.00)</v>
      </c>
    </row>
    <row r="216" spans="1:12" x14ac:dyDescent="0.3">
      <c r="A216" s="2"/>
      <c r="B216" s="17"/>
      <c r="C216" s="7">
        <v>88.14</v>
      </c>
      <c r="D216" s="7">
        <v>81.150000000000006</v>
      </c>
      <c r="E216" s="7">
        <v>74.489999999999995</v>
      </c>
      <c r="F216" s="7">
        <v>71.13</v>
      </c>
      <c r="G216" s="7"/>
      <c r="I216" t="str">
        <f>TEXT(C225,"#,##0")&amp;" ("&amp;TEXT(C228,"0.00")&amp;")"</f>
        <v>0 (15174.00)</v>
      </c>
      <c r="J216" t="str">
        <f t="shared" ref="J216:L216" si="47">TEXT(D225,"#,##0")&amp;" ("&amp;TEXT(D228,"0.00")&amp;")"</f>
        <v>0 (14527.00)</v>
      </c>
      <c r="K216" t="str">
        <f t="shared" si="47"/>
        <v>0 (14121.00)</v>
      </c>
      <c r="L216" t="str">
        <f t="shared" si="47"/>
        <v>0 (14645.00)</v>
      </c>
    </row>
    <row r="217" spans="1:12" x14ac:dyDescent="0.3">
      <c r="A217" s="2"/>
      <c r="B217" s="17">
        <v>1</v>
      </c>
      <c r="C217" s="7">
        <v>1975</v>
      </c>
      <c r="D217" s="7">
        <v>3163</v>
      </c>
      <c r="E217" s="7">
        <v>4378</v>
      </c>
      <c r="F217" s="7">
        <v>5209</v>
      </c>
      <c r="G217" s="7">
        <v>14725</v>
      </c>
    </row>
    <row r="218" spans="1:12" x14ac:dyDescent="0.3">
      <c r="A218" s="2"/>
      <c r="B218" s="17"/>
      <c r="C218" s="7">
        <v>2.88</v>
      </c>
      <c r="D218" s="7">
        <v>4.6100000000000003</v>
      </c>
      <c r="E218" s="7">
        <v>6.38</v>
      </c>
      <c r="F218" s="7">
        <v>7.59</v>
      </c>
      <c r="G218" s="7">
        <v>21.45</v>
      </c>
    </row>
    <row r="219" spans="1:12" x14ac:dyDescent="0.3">
      <c r="A219" s="2"/>
      <c r="B219" s="17"/>
      <c r="C219" s="7">
        <v>13.41</v>
      </c>
      <c r="D219" s="7">
        <v>21.48</v>
      </c>
      <c r="E219" s="7">
        <v>29.73</v>
      </c>
      <c r="F219" s="7">
        <v>35.380000000000003</v>
      </c>
      <c r="G219" s="7"/>
    </row>
    <row r="220" spans="1:12" x14ac:dyDescent="0.3">
      <c r="A220" s="2"/>
      <c r="B220" s="17"/>
      <c r="C220" s="7">
        <v>11.86</v>
      </c>
      <c r="D220" s="7">
        <v>18.850000000000001</v>
      </c>
      <c r="E220" s="7">
        <v>25.51</v>
      </c>
      <c r="F220" s="7">
        <v>28.87</v>
      </c>
      <c r="G220" s="7"/>
    </row>
    <row r="221" spans="1:12" x14ac:dyDescent="0.3">
      <c r="A221" s="2"/>
      <c r="B221" s="17" t="s">
        <v>26</v>
      </c>
      <c r="C221" s="7">
        <v>16647</v>
      </c>
      <c r="D221" s="7">
        <v>16779</v>
      </c>
      <c r="E221" s="7">
        <v>17163</v>
      </c>
      <c r="F221" s="7">
        <v>18046</v>
      </c>
      <c r="G221" s="7">
        <v>68635</v>
      </c>
    </row>
    <row r="222" spans="1:12" x14ac:dyDescent="0.3">
      <c r="A222" s="2"/>
      <c r="B222" s="17"/>
      <c r="C222" s="7">
        <v>24.25</v>
      </c>
      <c r="D222" s="7">
        <v>24.45</v>
      </c>
      <c r="E222" s="7">
        <v>25.01</v>
      </c>
      <c r="F222" s="7">
        <v>26.29</v>
      </c>
      <c r="G222" s="7">
        <v>100</v>
      </c>
    </row>
    <row r="223" spans="1:12" x14ac:dyDescent="0.3">
      <c r="A223" s="2"/>
      <c r="B223" s="20"/>
      <c r="C223" s="20"/>
      <c r="D223" s="20"/>
      <c r="E223" s="20"/>
      <c r="F223" s="20"/>
      <c r="G223" s="20"/>
    </row>
    <row r="224" spans="1:12" ht="17.25" thickBot="1" x14ac:dyDescent="0.35"/>
    <row r="225" spans="1:12" ht="16.5" customHeight="1" x14ac:dyDescent="0.3">
      <c r="A225" s="4" t="s">
        <v>3</v>
      </c>
      <c r="B225" s="16" t="s">
        <v>72</v>
      </c>
      <c r="C225" s="18"/>
      <c r="D225" s="18"/>
      <c r="E225" s="18"/>
      <c r="F225" s="18"/>
      <c r="G225" s="18"/>
    </row>
    <row r="226" spans="1:12" ht="16.5" customHeight="1" x14ac:dyDescent="0.3">
      <c r="A226" s="6" t="s">
        <v>4</v>
      </c>
      <c r="B226" s="17" t="s">
        <v>17</v>
      </c>
      <c r="C226" s="19" t="s">
        <v>60</v>
      </c>
      <c r="D226" s="19"/>
      <c r="E226" s="19"/>
      <c r="F226" s="19"/>
      <c r="G226" s="19"/>
    </row>
    <row r="227" spans="1:12" x14ac:dyDescent="0.3">
      <c r="A227" s="6" t="s">
        <v>22</v>
      </c>
      <c r="B227" s="17"/>
      <c r="C227" s="3">
        <v>1</v>
      </c>
      <c r="D227" s="3">
        <v>2</v>
      </c>
      <c r="E227" s="3">
        <v>3</v>
      </c>
      <c r="F227" s="3">
        <v>4</v>
      </c>
      <c r="G227" s="3" t="s">
        <v>26</v>
      </c>
    </row>
    <row r="228" spans="1:12" ht="33" x14ac:dyDescent="0.3">
      <c r="A228" s="6" t="s">
        <v>23</v>
      </c>
      <c r="B228" s="17">
        <v>0</v>
      </c>
      <c r="C228" s="7">
        <v>15174</v>
      </c>
      <c r="D228" s="7">
        <v>14527</v>
      </c>
      <c r="E228" s="7">
        <v>14121</v>
      </c>
      <c r="F228" s="7">
        <v>14645</v>
      </c>
      <c r="G228" s="7">
        <v>58467</v>
      </c>
      <c r="I228" t="str">
        <f>TEXT(C228,"#,##0")&amp;" ("&amp;TEXT(C231,"0.00")&amp;")"</f>
        <v>15,174 (91.15)</v>
      </c>
      <c r="J228" t="str">
        <f t="shared" ref="J228:L228" si="48">TEXT(D228,"#,##0")&amp;" ("&amp;TEXT(D231,"0.00")&amp;")"</f>
        <v>14,527 (86.58)</v>
      </c>
      <c r="K228" t="str">
        <f t="shared" si="48"/>
        <v>14,121 (82.28)</v>
      </c>
      <c r="L228" t="str">
        <f t="shared" si="48"/>
        <v>14,645 (81.15)</v>
      </c>
    </row>
    <row r="229" spans="1:12" x14ac:dyDescent="0.3">
      <c r="A229" s="2"/>
      <c r="B229" s="17"/>
      <c r="C229" s="7">
        <v>22.11</v>
      </c>
      <c r="D229" s="7">
        <v>21.17</v>
      </c>
      <c r="E229" s="7">
        <v>20.57</v>
      </c>
      <c r="F229" s="7">
        <v>21.34</v>
      </c>
      <c r="G229" s="7">
        <v>85.19</v>
      </c>
      <c r="I229" t="str">
        <f>TEXT(C232,"#,##0")&amp;" ("&amp;TEXT(C235,"0.00")&amp;")"</f>
        <v>1,473 (8.85)</v>
      </c>
      <c r="J229" t="str">
        <f t="shared" ref="J229:L229" si="49">TEXT(D232,"#,##0")&amp;" ("&amp;TEXT(D235,"0.00")&amp;")"</f>
        <v>2,252 (13.42)</v>
      </c>
      <c r="K229" t="str">
        <f t="shared" si="49"/>
        <v>3,042 (17.72)</v>
      </c>
      <c r="L229" t="str">
        <f t="shared" si="49"/>
        <v>3,401 (18.85)</v>
      </c>
    </row>
    <row r="230" spans="1:12" x14ac:dyDescent="0.3">
      <c r="A230" s="2"/>
      <c r="B230" s="17"/>
      <c r="C230" s="7">
        <v>25.95</v>
      </c>
      <c r="D230" s="7">
        <v>24.85</v>
      </c>
      <c r="E230" s="7">
        <v>24.15</v>
      </c>
      <c r="F230" s="7">
        <v>25.05</v>
      </c>
      <c r="G230" s="7"/>
      <c r="I230" t="str">
        <f>TEXT(C236,"#,##0")&amp;" ("&amp;TEXT(C239,"0.00")&amp;")"</f>
        <v>16,647 (0.00)</v>
      </c>
      <c r="J230" t="str">
        <f t="shared" ref="J230:L230" si="50">TEXT(D236,"#,##0")&amp;" ("&amp;TEXT(D239,"0.00")&amp;")"</f>
        <v>16,779 (0.00)</v>
      </c>
      <c r="K230" t="str">
        <f t="shared" si="50"/>
        <v>17,163 (0.00)</v>
      </c>
      <c r="L230" t="str">
        <f t="shared" si="50"/>
        <v>18,046 (0.00)</v>
      </c>
    </row>
    <row r="231" spans="1:12" x14ac:dyDescent="0.3">
      <c r="A231" s="2"/>
      <c r="B231" s="17"/>
      <c r="C231" s="7">
        <v>91.15</v>
      </c>
      <c r="D231" s="7">
        <v>86.58</v>
      </c>
      <c r="E231" s="7">
        <v>82.28</v>
      </c>
      <c r="F231" s="7">
        <v>81.150000000000006</v>
      </c>
      <c r="G231" s="7"/>
      <c r="I231" t="str">
        <f>TEXT(C240,"#,##0")&amp;" ("&amp;TEXT(C243,"0.00")&amp;")"</f>
        <v>0 (16488.00)</v>
      </c>
      <c r="J231" t="str">
        <f t="shared" ref="J231:L231" si="51">TEXT(D240,"#,##0")&amp;" ("&amp;TEXT(D243,"0.00")&amp;")"</f>
        <v>0 (16504.00)</v>
      </c>
      <c r="K231" t="str">
        <f t="shared" si="51"/>
        <v>0 (16744.00)</v>
      </c>
      <c r="L231" t="str">
        <f t="shared" si="51"/>
        <v>0 (17608.00)</v>
      </c>
    </row>
    <row r="232" spans="1:12" x14ac:dyDescent="0.3">
      <c r="A232" s="2"/>
      <c r="B232" s="17">
        <v>1</v>
      </c>
      <c r="C232" s="7">
        <v>1473</v>
      </c>
      <c r="D232" s="7">
        <v>2252</v>
      </c>
      <c r="E232" s="7">
        <v>3042</v>
      </c>
      <c r="F232" s="7">
        <v>3401</v>
      </c>
      <c r="G232" s="7">
        <v>10168</v>
      </c>
    </row>
    <row r="233" spans="1:12" x14ac:dyDescent="0.3">
      <c r="A233" s="2"/>
      <c r="B233" s="17"/>
      <c r="C233" s="7">
        <v>2.15</v>
      </c>
      <c r="D233" s="7">
        <v>3.28</v>
      </c>
      <c r="E233" s="7">
        <v>4.43</v>
      </c>
      <c r="F233" s="7">
        <v>4.96</v>
      </c>
      <c r="G233" s="7">
        <v>14.81</v>
      </c>
    </row>
    <row r="234" spans="1:12" x14ac:dyDescent="0.3">
      <c r="A234" s="2"/>
      <c r="B234" s="17"/>
      <c r="C234" s="7">
        <v>14.49</v>
      </c>
      <c r="D234" s="7">
        <v>22.15</v>
      </c>
      <c r="E234" s="7">
        <v>29.92</v>
      </c>
      <c r="F234" s="7">
        <v>33.450000000000003</v>
      </c>
      <c r="G234" s="7"/>
    </row>
    <row r="235" spans="1:12" x14ac:dyDescent="0.3">
      <c r="A235" s="2"/>
      <c r="B235" s="17"/>
      <c r="C235" s="7">
        <v>8.85</v>
      </c>
      <c r="D235" s="7">
        <v>13.42</v>
      </c>
      <c r="E235" s="7">
        <v>17.72</v>
      </c>
      <c r="F235" s="7">
        <v>18.850000000000001</v>
      </c>
      <c r="G235" s="7"/>
    </row>
    <row r="236" spans="1:12" x14ac:dyDescent="0.3">
      <c r="A236" s="2"/>
      <c r="B236" s="17" t="s">
        <v>26</v>
      </c>
      <c r="C236" s="7">
        <v>16647</v>
      </c>
      <c r="D236" s="7">
        <v>16779</v>
      </c>
      <c r="E236" s="7">
        <v>17163</v>
      </c>
      <c r="F236" s="7">
        <v>18046</v>
      </c>
      <c r="G236" s="7">
        <v>68635</v>
      </c>
    </row>
    <row r="237" spans="1:12" x14ac:dyDescent="0.3">
      <c r="A237" s="2"/>
      <c r="B237" s="17"/>
      <c r="C237" s="7">
        <v>24.25</v>
      </c>
      <c r="D237" s="7">
        <v>24.45</v>
      </c>
      <c r="E237" s="7">
        <v>25.01</v>
      </c>
      <c r="F237" s="7">
        <v>26.29</v>
      </c>
      <c r="G237" s="7">
        <v>100</v>
      </c>
    </row>
    <row r="238" spans="1:12" x14ac:dyDescent="0.3">
      <c r="A238" s="2"/>
      <c r="B238" s="20"/>
      <c r="C238" s="20"/>
      <c r="D238" s="20"/>
      <c r="E238" s="20"/>
      <c r="F238" s="20"/>
      <c r="G238" s="20"/>
    </row>
    <row r="239" spans="1:12" ht="17.25" thickBot="1" x14ac:dyDescent="0.35"/>
    <row r="240" spans="1:12" ht="16.5" customHeight="1" x14ac:dyDescent="0.3">
      <c r="A240" s="4" t="s">
        <v>3</v>
      </c>
      <c r="B240" s="16" t="s">
        <v>73</v>
      </c>
      <c r="C240" s="18"/>
      <c r="D240" s="18"/>
      <c r="E240" s="18"/>
      <c r="F240" s="18"/>
      <c r="G240" s="18"/>
    </row>
    <row r="241" spans="1:12" ht="16.5" customHeight="1" x14ac:dyDescent="0.3">
      <c r="A241" s="6" t="s">
        <v>4</v>
      </c>
      <c r="B241" s="17" t="s">
        <v>18</v>
      </c>
      <c r="C241" s="19" t="s">
        <v>60</v>
      </c>
      <c r="D241" s="19"/>
      <c r="E241" s="19"/>
      <c r="F241" s="19"/>
      <c r="G241" s="19"/>
    </row>
    <row r="242" spans="1:12" x14ac:dyDescent="0.3">
      <c r="A242" s="6" t="s">
        <v>22</v>
      </c>
      <c r="B242" s="17"/>
      <c r="C242" s="3">
        <v>1</v>
      </c>
      <c r="D242" s="3">
        <v>2</v>
      </c>
      <c r="E242" s="3">
        <v>3</v>
      </c>
      <c r="F242" s="3">
        <v>4</v>
      </c>
      <c r="G242" s="3" t="s">
        <v>26</v>
      </c>
    </row>
    <row r="243" spans="1:12" ht="33" x14ac:dyDescent="0.3">
      <c r="A243" s="6" t="s">
        <v>23</v>
      </c>
      <c r="B243" s="17">
        <v>0</v>
      </c>
      <c r="C243" s="7">
        <v>16488</v>
      </c>
      <c r="D243" s="7">
        <v>16504</v>
      </c>
      <c r="E243" s="7">
        <v>16744</v>
      </c>
      <c r="F243" s="7">
        <v>17608</v>
      </c>
      <c r="G243" s="7">
        <v>67344</v>
      </c>
      <c r="I243" t="str">
        <f>TEXT(C243,"#,##0")&amp;" ("&amp;TEXT(C246,"0.00")&amp;")"</f>
        <v>16,488 (99.04)</v>
      </c>
      <c r="J243" t="str">
        <f t="shared" ref="J243:L243" si="52">TEXT(D243,"#,##0")&amp;" ("&amp;TEXT(D246,"0.00")&amp;")"</f>
        <v>16,504 (98.36)</v>
      </c>
      <c r="K243" t="str">
        <f t="shared" si="52"/>
        <v>16,744 (97.56)</v>
      </c>
      <c r="L243" t="str">
        <f t="shared" si="52"/>
        <v>17,608 (97.57)</v>
      </c>
    </row>
    <row r="244" spans="1:12" x14ac:dyDescent="0.3">
      <c r="A244" s="2"/>
      <c r="B244" s="17"/>
      <c r="C244" s="7">
        <v>24.02</v>
      </c>
      <c r="D244" s="7">
        <v>24.05</v>
      </c>
      <c r="E244" s="7">
        <v>24.4</v>
      </c>
      <c r="F244" s="7">
        <v>25.65</v>
      </c>
      <c r="G244" s="7">
        <v>98.12</v>
      </c>
      <c r="I244" t="str">
        <f>TEXT(C247,"#,##0")&amp;" ("&amp;TEXT(C250,"0.00")&amp;")"</f>
        <v>159 (0.96)</v>
      </c>
      <c r="J244" t="str">
        <f t="shared" ref="J244:L244" si="53">TEXT(D247,"#,##0")&amp;" ("&amp;TEXT(D250,"0.00")&amp;")"</f>
        <v>275 (1.64)</v>
      </c>
      <c r="K244" t="str">
        <f t="shared" si="53"/>
        <v>419 (2.44)</v>
      </c>
      <c r="L244" t="str">
        <f t="shared" si="53"/>
        <v>438 (2.43)</v>
      </c>
    </row>
    <row r="245" spans="1:12" x14ac:dyDescent="0.3">
      <c r="A245" s="2"/>
      <c r="B245" s="17"/>
      <c r="C245" s="7">
        <v>24.48</v>
      </c>
      <c r="D245" s="7">
        <v>24.51</v>
      </c>
      <c r="E245" s="7">
        <v>24.86</v>
      </c>
      <c r="F245" s="7">
        <v>26.15</v>
      </c>
      <c r="G245" s="7"/>
      <c r="I245" t="str">
        <f>TEXT(C251,"#,##0")&amp;" ("&amp;TEXT(C254,"0.00")&amp;")"</f>
        <v>16,647 (0.00)</v>
      </c>
      <c r="J245" t="str">
        <f t="shared" ref="J245:L245" si="54">TEXT(D251,"#,##0")&amp;" ("&amp;TEXT(D254,"0.00")&amp;")"</f>
        <v>16,779 (0.00)</v>
      </c>
      <c r="K245" t="str">
        <f t="shared" si="54"/>
        <v>17,163 (0.00)</v>
      </c>
      <c r="L245" t="str">
        <f t="shared" si="54"/>
        <v>18,046 (0.00)</v>
      </c>
    </row>
    <row r="246" spans="1:12" x14ac:dyDescent="0.3">
      <c r="A246" s="2"/>
      <c r="B246" s="17"/>
      <c r="C246" s="7">
        <v>99.04</v>
      </c>
      <c r="D246" s="7">
        <v>98.36</v>
      </c>
      <c r="E246" s="7">
        <v>97.56</v>
      </c>
      <c r="F246" s="7">
        <v>97.57</v>
      </c>
      <c r="G246" s="7"/>
      <c r="I246" t="str">
        <f>TEXT(C255,"#,##0")&amp;" ("&amp;TEXT(C258,"0.00")&amp;")"</f>
        <v>0 (16563.00)</v>
      </c>
      <c r="J246" t="str">
        <f t="shared" ref="J246:L246" si="55">TEXT(D255,"#,##0")&amp;" ("&amp;TEXT(D258,"0.00")&amp;")"</f>
        <v>0 (16629.00)</v>
      </c>
      <c r="K246" t="str">
        <f t="shared" si="55"/>
        <v>0 (16976.00)</v>
      </c>
      <c r="L246" t="str">
        <f t="shared" si="55"/>
        <v>0 (17830.00)</v>
      </c>
    </row>
    <row r="247" spans="1:12" x14ac:dyDescent="0.3">
      <c r="A247" s="2"/>
      <c r="B247" s="17">
        <v>1</v>
      </c>
      <c r="C247" s="7">
        <v>159</v>
      </c>
      <c r="D247" s="7">
        <v>275</v>
      </c>
      <c r="E247" s="7">
        <v>419</v>
      </c>
      <c r="F247" s="7">
        <v>438</v>
      </c>
      <c r="G247" s="7">
        <v>1291</v>
      </c>
    </row>
    <row r="248" spans="1:12" x14ac:dyDescent="0.3">
      <c r="A248" s="2"/>
      <c r="B248" s="17"/>
      <c r="C248" s="7">
        <v>0.23</v>
      </c>
      <c r="D248" s="7">
        <v>0.4</v>
      </c>
      <c r="E248" s="7">
        <v>0.61</v>
      </c>
      <c r="F248" s="7">
        <v>0.64</v>
      </c>
      <c r="G248" s="7">
        <v>1.88</v>
      </c>
    </row>
    <row r="249" spans="1:12" x14ac:dyDescent="0.3">
      <c r="A249" s="2"/>
      <c r="B249" s="17"/>
      <c r="C249" s="7">
        <v>12.32</v>
      </c>
      <c r="D249" s="7">
        <v>21.3</v>
      </c>
      <c r="E249" s="7">
        <v>32.46</v>
      </c>
      <c r="F249" s="7">
        <v>33.93</v>
      </c>
      <c r="G249" s="7"/>
    </row>
    <row r="250" spans="1:12" x14ac:dyDescent="0.3">
      <c r="A250" s="2"/>
      <c r="B250" s="17"/>
      <c r="C250" s="7">
        <v>0.96</v>
      </c>
      <c r="D250" s="7">
        <v>1.64</v>
      </c>
      <c r="E250" s="7">
        <v>2.44</v>
      </c>
      <c r="F250" s="7">
        <v>2.4300000000000002</v>
      </c>
      <c r="G250" s="7"/>
    </row>
    <row r="251" spans="1:12" x14ac:dyDescent="0.3">
      <c r="A251" s="2"/>
      <c r="B251" s="17" t="s">
        <v>26</v>
      </c>
      <c r="C251" s="7">
        <v>16647</v>
      </c>
      <c r="D251" s="7">
        <v>16779</v>
      </c>
      <c r="E251" s="7">
        <v>17163</v>
      </c>
      <c r="F251" s="7">
        <v>18046</v>
      </c>
      <c r="G251" s="7">
        <v>68635</v>
      </c>
    </row>
    <row r="252" spans="1:12" x14ac:dyDescent="0.3">
      <c r="A252" s="2"/>
      <c r="B252" s="17"/>
      <c r="C252" s="7">
        <v>24.25</v>
      </c>
      <c r="D252" s="7">
        <v>24.45</v>
      </c>
      <c r="E252" s="7">
        <v>25.01</v>
      </c>
      <c r="F252" s="7">
        <v>26.29</v>
      </c>
      <c r="G252" s="7">
        <v>100</v>
      </c>
    </row>
    <row r="253" spans="1:12" x14ac:dyDescent="0.3">
      <c r="A253" s="2"/>
      <c r="B253" s="20"/>
      <c r="C253" s="20"/>
      <c r="D253" s="20"/>
      <c r="E253" s="20"/>
      <c r="F253" s="20"/>
      <c r="G253" s="20"/>
    </row>
    <row r="254" spans="1:12" ht="17.25" thickBot="1" x14ac:dyDescent="0.35"/>
    <row r="255" spans="1:12" ht="16.5" customHeight="1" x14ac:dyDescent="0.3">
      <c r="A255" s="4" t="s">
        <v>3</v>
      </c>
      <c r="B255" s="16" t="s">
        <v>74</v>
      </c>
      <c r="C255" s="18"/>
      <c r="D255" s="18"/>
      <c r="E255" s="18"/>
      <c r="F255" s="18"/>
      <c r="G255" s="18"/>
    </row>
    <row r="256" spans="1:12" ht="16.5" customHeight="1" x14ac:dyDescent="0.3">
      <c r="A256" s="6" t="s">
        <v>4</v>
      </c>
      <c r="B256" s="17" t="s">
        <v>19</v>
      </c>
      <c r="C256" s="19" t="s">
        <v>60</v>
      </c>
      <c r="D256" s="19"/>
      <c r="E256" s="19"/>
      <c r="F256" s="19"/>
      <c r="G256" s="19"/>
    </row>
    <row r="257" spans="1:12" x14ac:dyDescent="0.3">
      <c r="A257" s="6" t="s">
        <v>22</v>
      </c>
      <c r="B257" s="17"/>
      <c r="C257" s="3">
        <v>1</v>
      </c>
      <c r="D257" s="3">
        <v>2</v>
      </c>
      <c r="E257" s="3">
        <v>3</v>
      </c>
      <c r="F257" s="3">
        <v>4</v>
      </c>
      <c r="G257" s="3" t="s">
        <v>26</v>
      </c>
    </row>
    <row r="258" spans="1:12" ht="33" x14ac:dyDescent="0.3">
      <c r="A258" s="6" t="s">
        <v>23</v>
      </c>
      <c r="B258" s="17">
        <v>0</v>
      </c>
      <c r="C258" s="7">
        <v>16563</v>
      </c>
      <c r="D258" s="7">
        <v>16629</v>
      </c>
      <c r="E258" s="7">
        <v>16976</v>
      </c>
      <c r="F258" s="7">
        <v>17830</v>
      </c>
      <c r="G258" s="7">
        <v>67998</v>
      </c>
      <c r="I258" t="str">
        <f>TEXT(C258,"#,##0")&amp;" ("&amp;TEXT(C261,"0.00")&amp;")"</f>
        <v>16,563 (99.50)</v>
      </c>
      <c r="J258" t="str">
        <f t="shared" ref="J258:L258" si="56">TEXT(D258,"#,##0")&amp;" ("&amp;TEXT(D261,"0.00")&amp;")"</f>
        <v>16,629 (99.11)</v>
      </c>
      <c r="K258" t="str">
        <f t="shared" si="56"/>
        <v>16,976 (98.91)</v>
      </c>
      <c r="L258" t="str">
        <f t="shared" si="56"/>
        <v>17,830 (98.80)</v>
      </c>
    </row>
    <row r="259" spans="1:12" x14ac:dyDescent="0.3">
      <c r="A259" s="2"/>
      <c r="B259" s="17"/>
      <c r="C259" s="7">
        <v>24.13</v>
      </c>
      <c r="D259" s="7">
        <v>24.23</v>
      </c>
      <c r="E259" s="7">
        <v>24.73</v>
      </c>
      <c r="F259" s="7">
        <v>25.98</v>
      </c>
      <c r="G259" s="7">
        <v>99.07</v>
      </c>
      <c r="I259" t="str">
        <f>TEXT(C262,"#,##0")&amp;" ("&amp;TEXT(C265,"0.00")&amp;")"</f>
        <v>84 (0.50)</v>
      </c>
      <c r="J259" t="str">
        <f t="shared" ref="J259:L259" si="57">TEXT(D262,"#,##0")&amp;" ("&amp;TEXT(D265,"0.00")&amp;")"</f>
        <v>150 (0.89)</v>
      </c>
      <c r="K259" t="str">
        <f t="shared" si="57"/>
        <v>187 (1.09)</v>
      </c>
      <c r="L259" t="str">
        <f t="shared" si="57"/>
        <v>216 (1.20)</v>
      </c>
    </row>
    <row r="260" spans="1:12" x14ac:dyDescent="0.3">
      <c r="A260" s="2"/>
      <c r="B260" s="17"/>
      <c r="C260" s="7">
        <v>24.36</v>
      </c>
      <c r="D260" s="7">
        <v>24.46</v>
      </c>
      <c r="E260" s="7">
        <v>24.97</v>
      </c>
      <c r="F260" s="7">
        <v>26.22</v>
      </c>
      <c r="G260" s="7"/>
      <c r="I260" t="str">
        <f>TEXT(C266,"#,##0")&amp;" ("&amp;TEXT(C269,"0.00")&amp;")"</f>
        <v>16,647 (0.00)</v>
      </c>
      <c r="J260" t="str">
        <f t="shared" ref="J260:L260" si="58">TEXT(D266,"#,##0")&amp;" ("&amp;TEXT(D269,"0.00")&amp;")"</f>
        <v>16,779 (0.00)</v>
      </c>
      <c r="K260" t="str">
        <f t="shared" si="58"/>
        <v>17,163 (0.00)</v>
      </c>
      <c r="L260" t="str">
        <f t="shared" si="58"/>
        <v>18,046 (0.00)</v>
      </c>
    </row>
    <row r="261" spans="1:12" x14ac:dyDescent="0.3">
      <c r="A261" s="2"/>
      <c r="B261" s="17"/>
      <c r="C261" s="7">
        <v>99.5</v>
      </c>
      <c r="D261" s="7">
        <v>99.11</v>
      </c>
      <c r="E261" s="7">
        <v>98.91</v>
      </c>
      <c r="F261" s="7">
        <v>98.8</v>
      </c>
      <c r="G261" s="7"/>
      <c r="I261" t="str">
        <f>TEXT(C270,"#,##0")&amp;" ("&amp;TEXT(C273,"0.00")&amp;")"</f>
        <v>0 (16465.00)</v>
      </c>
      <c r="J261" t="str">
        <f t="shared" ref="J261:L261" si="59">TEXT(D270,"#,##0")&amp;" ("&amp;TEXT(D273,"0.00")&amp;")"</f>
        <v>0 (16485.00)</v>
      </c>
      <c r="K261" t="str">
        <f t="shared" si="59"/>
        <v>0 (16813.00)</v>
      </c>
      <c r="L261" t="str">
        <f t="shared" si="59"/>
        <v>0 (17671.00)</v>
      </c>
    </row>
    <row r="262" spans="1:12" x14ac:dyDescent="0.3">
      <c r="A262" s="2"/>
      <c r="B262" s="17">
        <v>1</v>
      </c>
      <c r="C262" s="7">
        <v>84</v>
      </c>
      <c r="D262" s="7">
        <v>150</v>
      </c>
      <c r="E262" s="7">
        <v>187</v>
      </c>
      <c r="F262" s="7">
        <v>216</v>
      </c>
      <c r="G262" s="7">
        <v>637</v>
      </c>
    </row>
    <row r="263" spans="1:12" x14ac:dyDescent="0.3">
      <c r="A263" s="2"/>
      <c r="B263" s="17"/>
      <c r="C263" s="7">
        <v>0.12</v>
      </c>
      <c r="D263" s="7">
        <v>0.22</v>
      </c>
      <c r="E263" s="7">
        <v>0.27</v>
      </c>
      <c r="F263" s="7">
        <v>0.31</v>
      </c>
      <c r="G263" s="7">
        <v>0.93</v>
      </c>
    </row>
    <row r="264" spans="1:12" x14ac:dyDescent="0.3">
      <c r="A264" s="2"/>
      <c r="B264" s="17"/>
      <c r="C264" s="7">
        <v>13.19</v>
      </c>
      <c r="D264" s="7">
        <v>23.55</v>
      </c>
      <c r="E264" s="7">
        <v>29.36</v>
      </c>
      <c r="F264" s="7">
        <v>33.909999999999997</v>
      </c>
      <c r="G264" s="7"/>
    </row>
    <row r="265" spans="1:12" x14ac:dyDescent="0.3">
      <c r="A265" s="2"/>
      <c r="B265" s="17"/>
      <c r="C265" s="7">
        <v>0.5</v>
      </c>
      <c r="D265" s="7">
        <v>0.89</v>
      </c>
      <c r="E265" s="7">
        <v>1.0900000000000001</v>
      </c>
      <c r="F265" s="7">
        <v>1.2</v>
      </c>
      <c r="G265" s="7"/>
    </row>
    <row r="266" spans="1:12" x14ac:dyDescent="0.3">
      <c r="A266" s="2"/>
      <c r="B266" s="17" t="s">
        <v>26</v>
      </c>
      <c r="C266" s="7">
        <v>16647</v>
      </c>
      <c r="D266" s="7">
        <v>16779</v>
      </c>
      <c r="E266" s="7">
        <v>17163</v>
      </c>
      <c r="F266" s="7">
        <v>18046</v>
      </c>
      <c r="G266" s="7">
        <v>68635</v>
      </c>
    </row>
    <row r="267" spans="1:12" x14ac:dyDescent="0.3">
      <c r="A267" s="2"/>
      <c r="B267" s="17"/>
      <c r="C267" s="7">
        <v>24.25</v>
      </c>
      <c r="D267" s="7">
        <v>24.45</v>
      </c>
      <c r="E267" s="7">
        <v>25.01</v>
      </c>
      <c r="F267" s="7">
        <v>26.29</v>
      </c>
      <c r="G267" s="7">
        <v>100</v>
      </c>
    </row>
    <row r="268" spans="1:12" x14ac:dyDescent="0.3">
      <c r="A268" s="2"/>
      <c r="B268" s="20"/>
      <c r="C268" s="20"/>
      <c r="D268" s="20"/>
      <c r="E268" s="20"/>
      <c r="F268" s="20"/>
      <c r="G268" s="20"/>
    </row>
    <row r="269" spans="1:12" ht="17.25" thickBot="1" x14ac:dyDescent="0.35"/>
    <row r="270" spans="1:12" ht="16.5" customHeight="1" x14ac:dyDescent="0.3">
      <c r="A270" s="4" t="s">
        <v>3</v>
      </c>
      <c r="B270" s="16" t="s">
        <v>75</v>
      </c>
      <c r="C270" s="18"/>
      <c r="D270" s="18"/>
      <c r="E270" s="18"/>
      <c r="F270" s="18"/>
      <c r="G270" s="18"/>
    </row>
    <row r="271" spans="1:12" ht="16.5" customHeight="1" x14ac:dyDescent="0.3">
      <c r="A271" s="6" t="s">
        <v>4</v>
      </c>
      <c r="B271" s="17" t="s">
        <v>20</v>
      </c>
      <c r="C271" s="19" t="s">
        <v>60</v>
      </c>
      <c r="D271" s="19"/>
      <c r="E271" s="19"/>
      <c r="F271" s="19"/>
      <c r="G271" s="19"/>
    </row>
    <row r="272" spans="1:12" x14ac:dyDescent="0.3">
      <c r="A272" s="6" t="s">
        <v>22</v>
      </c>
      <c r="B272" s="17"/>
      <c r="C272" s="3">
        <v>1</v>
      </c>
      <c r="D272" s="3">
        <v>2</v>
      </c>
      <c r="E272" s="3">
        <v>3</v>
      </c>
      <c r="F272" s="3">
        <v>4</v>
      </c>
      <c r="G272" s="3" t="s">
        <v>26</v>
      </c>
    </row>
    <row r="273" spans="1:12" ht="33" x14ac:dyDescent="0.3">
      <c r="A273" s="6" t="s">
        <v>23</v>
      </c>
      <c r="B273" s="17">
        <v>0</v>
      </c>
      <c r="C273" s="7">
        <v>16465</v>
      </c>
      <c r="D273" s="7">
        <v>16485</v>
      </c>
      <c r="E273" s="7">
        <v>16813</v>
      </c>
      <c r="F273" s="7">
        <v>17671</v>
      </c>
      <c r="G273" s="7">
        <v>67434</v>
      </c>
      <c r="I273" t="str">
        <f>TEXT(C273,"#,##0")&amp;" ("&amp;TEXT(C276,"0.00")&amp;")"</f>
        <v>16,465 (98.91)</v>
      </c>
      <c r="J273" t="str">
        <f t="shared" ref="J273:L273" si="60">TEXT(D273,"#,##0")&amp;" ("&amp;TEXT(D276,"0.00")&amp;")"</f>
        <v>16,485 (98.25)</v>
      </c>
      <c r="K273" t="str">
        <f t="shared" si="60"/>
        <v>16,813 (97.96)</v>
      </c>
      <c r="L273" t="str">
        <f t="shared" si="60"/>
        <v>17,671 (97.92)</v>
      </c>
    </row>
    <row r="274" spans="1:12" x14ac:dyDescent="0.3">
      <c r="A274" s="2"/>
      <c r="B274" s="17"/>
      <c r="C274" s="7">
        <v>23.99</v>
      </c>
      <c r="D274" s="7">
        <v>24.02</v>
      </c>
      <c r="E274" s="7">
        <v>24.5</v>
      </c>
      <c r="F274" s="7">
        <v>25.75</v>
      </c>
      <c r="G274" s="7">
        <v>98.25</v>
      </c>
      <c r="I274" t="str">
        <f>TEXT(C277,"#,##0")&amp;" ("&amp;TEXT(C280,"0.00")&amp;")"</f>
        <v>182 (1.09)</v>
      </c>
      <c r="J274" t="str">
        <f t="shared" ref="J274:L274" si="61">TEXT(D277,"#,##0")&amp;" ("&amp;TEXT(D280,"0.00")&amp;")"</f>
        <v>294 (1.75)</v>
      </c>
      <c r="K274" t="str">
        <f t="shared" si="61"/>
        <v>350 (2.04)</v>
      </c>
      <c r="L274" t="str">
        <f t="shared" si="61"/>
        <v>375 (2.08)</v>
      </c>
    </row>
    <row r="275" spans="1:12" x14ac:dyDescent="0.3">
      <c r="A275" s="2"/>
      <c r="B275" s="17"/>
      <c r="C275" s="7">
        <v>24.42</v>
      </c>
      <c r="D275" s="7">
        <v>24.45</v>
      </c>
      <c r="E275" s="7">
        <v>24.93</v>
      </c>
      <c r="F275" s="7">
        <v>26.2</v>
      </c>
      <c r="G275" s="7"/>
      <c r="I275" t="str">
        <f>TEXT(C281,"#,##0")&amp;" ("&amp;TEXT(C284,"0.00")&amp;")"</f>
        <v>16,647 (0.00)</v>
      </c>
      <c r="J275" t="str">
        <f t="shared" ref="J275:L275" si="62">TEXT(D281,"#,##0")&amp;" ("&amp;TEXT(D284,"0.00")&amp;")"</f>
        <v>16,779 (0.00)</v>
      </c>
      <c r="K275" t="str">
        <f t="shared" si="62"/>
        <v>17,163 (0.00)</v>
      </c>
      <c r="L275" t="str">
        <f t="shared" si="62"/>
        <v>18,046 (0.00)</v>
      </c>
    </row>
    <row r="276" spans="1:12" x14ac:dyDescent="0.3">
      <c r="A276" s="2"/>
      <c r="B276" s="17"/>
      <c r="C276" s="7">
        <v>98.91</v>
      </c>
      <c r="D276" s="7">
        <v>98.25</v>
      </c>
      <c r="E276" s="7">
        <v>97.96</v>
      </c>
      <c r="F276" s="7">
        <v>97.92</v>
      </c>
      <c r="G276" s="7"/>
      <c r="I276" t="str">
        <f>TEXT(C285,"#,##0")&amp;" ("&amp;TEXT(C288,"0.00")&amp;")"</f>
        <v>0 (0.00)</v>
      </c>
      <c r="J276" t="str">
        <f t="shared" ref="J276:L276" si="63">TEXT(D285,"#,##0")&amp;" ("&amp;TEXT(D288,"0.00")&amp;")"</f>
        <v>0 (0.00)</v>
      </c>
      <c r="K276" t="str">
        <f t="shared" si="63"/>
        <v>0 (0.00)</v>
      </c>
      <c r="L276" t="str">
        <f t="shared" si="63"/>
        <v>0 (0.00)</v>
      </c>
    </row>
    <row r="277" spans="1:12" x14ac:dyDescent="0.3">
      <c r="A277" s="2"/>
      <c r="B277" s="17">
        <v>1</v>
      </c>
      <c r="C277" s="7">
        <v>182</v>
      </c>
      <c r="D277" s="7">
        <v>294</v>
      </c>
      <c r="E277" s="7">
        <v>350</v>
      </c>
      <c r="F277" s="7">
        <v>375</v>
      </c>
      <c r="G277" s="7">
        <v>1201</v>
      </c>
    </row>
    <row r="278" spans="1:12" x14ac:dyDescent="0.3">
      <c r="A278" s="2"/>
      <c r="B278" s="17"/>
      <c r="C278" s="7">
        <v>0.27</v>
      </c>
      <c r="D278" s="7">
        <v>0.43</v>
      </c>
      <c r="E278" s="7">
        <v>0.51</v>
      </c>
      <c r="F278" s="7">
        <v>0.55000000000000004</v>
      </c>
      <c r="G278" s="7">
        <v>1.75</v>
      </c>
    </row>
    <row r="279" spans="1:12" x14ac:dyDescent="0.3">
      <c r="A279" s="2"/>
      <c r="B279" s="17"/>
      <c r="C279" s="7">
        <v>15.15</v>
      </c>
      <c r="D279" s="7">
        <v>24.48</v>
      </c>
      <c r="E279" s="7">
        <v>29.14</v>
      </c>
      <c r="F279" s="7">
        <v>31.22</v>
      </c>
      <c r="G279" s="7"/>
    </row>
    <row r="280" spans="1:12" x14ac:dyDescent="0.3">
      <c r="A280" s="2"/>
      <c r="B280" s="17"/>
      <c r="C280" s="7">
        <v>1.0900000000000001</v>
      </c>
      <c r="D280" s="7">
        <v>1.75</v>
      </c>
      <c r="E280" s="7">
        <v>2.04</v>
      </c>
      <c r="F280" s="7">
        <v>2.08</v>
      </c>
      <c r="G280" s="7"/>
    </row>
    <row r="281" spans="1:12" x14ac:dyDescent="0.3">
      <c r="A281" s="2"/>
      <c r="B281" s="17" t="s">
        <v>26</v>
      </c>
      <c r="C281" s="7">
        <v>16647</v>
      </c>
      <c r="D281" s="7">
        <v>16779</v>
      </c>
      <c r="E281" s="7">
        <v>17163</v>
      </c>
      <c r="F281" s="7">
        <v>18046</v>
      </c>
      <c r="G281" s="7">
        <v>68635</v>
      </c>
    </row>
    <row r="282" spans="1:12" x14ac:dyDescent="0.3">
      <c r="A282" s="2"/>
      <c r="B282" s="17"/>
      <c r="C282" s="7">
        <v>24.25</v>
      </c>
      <c r="D282" s="7">
        <v>24.45</v>
      </c>
      <c r="E282" s="7">
        <v>25.01</v>
      </c>
      <c r="F282" s="7">
        <v>26.29</v>
      </c>
      <c r="G282" s="7">
        <v>100</v>
      </c>
    </row>
    <row r="283" spans="1:12" x14ac:dyDescent="0.3">
      <c r="A283" s="2"/>
      <c r="B283" s="20"/>
      <c r="C283" s="20"/>
      <c r="D283" s="20"/>
      <c r="E283" s="20"/>
      <c r="F283" s="20"/>
      <c r="G283" s="20"/>
    </row>
  </sheetData>
  <mergeCells count="122">
    <mergeCell ref="B20:B21"/>
    <mergeCell ref="B22:G22"/>
    <mergeCell ref="B24:G24"/>
    <mergeCell ref="B25:B26"/>
    <mergeCell ref="C25:G25"/>
    <mergeCell ref="B27:B30"/>
    <mergeCell ref="B5:G5"/>
    <mergeCell ref="B6:B7"/>
    <mergeCell ref="C6:G6"/>
    <mergeCell ref="B8:B11"/>
    <mergeCell ref="B12:B15"/>
    <mergeCell ref="B16:B19"/>
    <mergeCell ref="B42:B45"/>
    <mergeCell ref="B46:B49"/>
    <mergeCell ref="B50:B51"/>
    <mergeCell ref="B52:G52"/>
    <mergeCell ref="B54:G54"/>
    <mergeCell ref="B55:B56"/>
    <mergeCell ref="C55:G55"/>
    <mergeCell ref="B31:B34"/>
    <mergeCell ref="B35:B36"/>
    <mergeCell ref="B37:G37"/>
    <mergeCell ref="B39:G39"/>
    <mergeCell ref="B40:B41"/>
    <mergeCell ref="C40:G40"/>
    <mergeCell ref="B77:G77"/>
    <mergeCell ref="B78:B79"/>
    <mergeCell ref="C78:G78"/>
    <mergeCell ref="B80:B83"/>
    <mergeCell ref="B84:B87"/>
    <mergeCell ref="B88:B91"/>
    <mergeCell ref="B57:B60"/>
    <mergeCell ref="B61:B64"/>
    <mergeCell ref="B65:B68"/>
    <mergeCell ref="B69:B72"/>
    <mergeCell ref="B73:B74"/>
    <mergeCell ref="B75:G75"/>
    <mergeCell ref="B103:B106"/>
    <mergeCell ref="B107:B110"/>
    <mergeCell ref="B111:B114"/>
    <mergeCell ref="B115:B118"/>
    <mergeCell ref="B119:B120"/>
    <mergeCell ref="B121:G121"/>
    <mergeCell ref="B92:B95"/>
    <mergeCell ref="B96:B97"/>
    <mergeCell ref="B98:G98"/>
    <mergeCell ref="B100:G100"/>
    <mergeCell ref="B101:B102"/>
    <mergeCell ref="C101:G101"/>
    <mergeCell ref="B136:G136"/>
    <mergeCell ref="B138:G138"/>
    <mergeCell ref="B139:B140"/>
    <mergeCell ref="C139:G139"/>
    <mergeCell ref="B141:B144"/>
    <mergeCell ref="B145:B148"/>
    <mergeCell ref="B123:G123"/>
    <mergeCell ref="B124:B125"/>
    <mergeCell ref="C124:G124"/>
    <mergeCell ref="B126:B129"/>
    <mergeCell ref="B130:B133"/>
    <mergeCell ref="B134:B135"/>
    <mergeCell ref="B160:B163"/>
    <mergeCell ref="B164:B167"/>
    <mergeCell ref="B168:B171"/>
    <mergeCell ref="B172:B173"/>
    <mergeCell ref="B174:G174"/>
    <mergeCell ref="B176:G176"/>
    <mergeCell ref="B149:B152"/>
    <mergeCell ref="B153:B154"/>
    <mergeCell ref="B155:G155"/>
    <mergeCell ref="B157:G157"/>
    <mergeCell ref="B158:B159"/>
    <mergeCell ref="C158:G158"/>
    <mergeCell ref="B193:G193"/>
    <mergeCell ref="B195:G195"/>
    <mergeCell ref="B196:B197"/>
    <mergeCell ref="C196:G196"/>
    <mergeCell ref="B198:B201"/>
    <mergeCell ref="B202:B205"/>
    <mergeCell ref="B177:B178"/>
    <mergeCell ref="C177:G177"/>
    <mergeCell ref="B179:B182"/>
    <mergeCell ref="B183:B186"/>
    <mergeCell ref="B187:B190"/>
    <mergeCell ref="B191:B192"/>
    <mergeCell ref="B217:B220"/>
    <mergeCell ref="B221:B222"/>
    <mergeCell ref="B223:G223"/>
    <mergeCell ref="B225:G225"/>
    <mergeCell ref="B226:B227"/>
    <mergeCell ref="C226:G226"/>
    <mergeCell ref="B206:B207"/>
    <mergeCell ref="B208:G208"/>
    <mergeCell ref="B210:G210"/>
    <mergeCell ref="B211:B212"/>
    <mergeCell ref="C211:G211"/>
    <mergeCell ref="B213:B216"/>
    <mergeCell ref="B243:B246"/>
    <mergeCell ref="B247:B250"/>
    <mergeCell ref="B251:B252"/>
    <mergeCell ref="B253:G253"/>
    <mergeCell ref="B255:G255"/>
    <mergeCell ref="B256:B257"/>
    <mergeCell ref="C256:G256"/>
    <mergeCell ref="B228:B231"/>
    <mergeCell ref="B232:B235"/>
    <mergeCell ref="B236:B237"/>
    <mergeCell ref="B238:G238"/>
    <mergeCell ref="B240:G240"/>
    <mergeCell ref="B241:B242"/>
    <mergeCell ref="C241:G241"/>
    <mergeCell ref="B273:B276"/>
    <mergeCell ref="B277:B280"/>
    <mergeCell ref="B281:B282"/>
    <mergeCell ref="B283:G283"/>
    <mergeCell ref="B258:B261"/>
    <mergeCell ref="B262:B265"/>
    <mergeCell ref="B266:B267"/>
    <mergeCell ref="B268:G268"/>
    <mergeCell ref="B270:G270"/>
    <mergeCell ref="B271:B272"/>
    <mergeCell ref="C271:G27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2CB17-F0BB-4CB0-B379-1E4B8F49CDE4}">
  <dimension ref="A1:L283"/>
  <sheetViews>
    <sheetView workbookViewId="0">
      <selection activeCell="I8" sqref="I8"/>
    </sheetView>
  </sheetViews>
  <sheetFormatPr defaultRowHeight="16.5" x14ac:dyDescent="0.3"/>
  <cols>
    <col min="9" max="11" width="12.375" bestFit="1" customWidth="1"/>
    <col min="12" max="12" width="13.5" bestFit="1" customWidth="1"/>
  </cols>
  <sheetData>
    <row r="1" spans="1:12" x14ac:dyDescent="0.3">
      <c r="A1" s="1" t="s">
        <v>0</v>
      </c>
    </row>
    <row r="3" spans="1:12" x14ac:dyDescent="0.3">
      <c r="A3" s="1" t="s">
        <v>21</v>
      </c>
    </row>
    <row r="4" spans="1:12" ht="17.25" thickBot="1" x14ac:dyDescent="0.35"/>
    <row r="5" spans="1:12" ht="16.5" customHeight="1" x14ac:dyDescent="0.3">
      <c r="A5" s="4" t="s">
        <v>3</v>
      </c>
      <c r="B5" s="16" t="s">
        <v>76</v>
      </c>
      <c r="C5" s="18"/>
      <c r="D5" s="18"/>
      <c r="E5" s="18"/>
      <c r="F5" s="18"/>
      <c r="G5" s="18"/>
    </row>
    <row r="6" spans="1:12" ht="16.5" customHeight="1" x14ac:dyDescent="0.3">
      <c r="A6" s="6" t="s">
        <v>4</v>
      </c>
      <c r="B6" s="17" t="s">
        <v>2</v>
      </c>
      <c r="C6" s="19" t="s">
        <v>77</v>
      </c>
      <c r="D6" s="19"/>
      <c r="E6" s="19"/>
      <c r="F6" s="19"/>
      <c r="G6" s="19"/>
    </row>
    <row r="7" spans="1:12" x14ac:dyDescent="0.3">
      <c r="A7" s="6" t="s">
        <v>22</v>
      </c>
      <c r="B7" s="17"/>
      <c r="C7" s="3">
        <v>1</v>
      </c>
      <c r="D7" s="3">
        <v>2</v>
      </c>
      <c r="E7" s="3">
        <v>3</v>
      </c>
      <c r="F7" s="3">
        <v>4</v>
      </c>
      <c r="G7" s="3" t="s">
        <v>26</v>
      </c>
    </row>
    <row r="8" spans="1:12" ht="33" x14ac:dyDescent="0.3">
      <c r="A8" s="6" t="s">
        <v>23</v>
      </c>
      <c r="B8" s="17">
        <v>1</v>
      </c>
      <c r="C8" s="7">
        <v>7485</v>
      </c>
      <c r="D8" s="7">
        <v>5321</v>
      </c>
      <c r="E8" s="7">
        <v>3947</v>
      </c>
      <c r="F8" s="7">
        <v>4326</v>
      </c>
      <c r="G8" s="7">
        <v>21079</v>
      </c>
      <c r="I8" t="str">
        <f>TEXT(C8,"#,##0")&amp;" ("&amp;TEXT(C11,"0.00")&amp;")"</f>
        <v>7,485 (48.42)</v>
      </c>
      <c r="J8" t="str">
        <f t="shared" ref="J8:L8" si="0">TEXT(D8,"#,##0")&amp;" ("&amp;TEXT(D11,"0.00")&amp;")"</f>
        <v>5,321 (30.72)</v>
      </c>
      <c r="K8" t="str">
        <f t="shared" si="0"/>
        <v>3,947 (22.14)</v>
      </c>
      <c r="L8" t="str">
        <f t="shared" si="0"/>
        <v>4,326 (24.00)</v>
      </c>
    </row>
    <row r="9" spans="1:12" x14ac:dyDescent="0.3">
      <c r="A9" s="2"/>
      <c r="B9" s="17"/>
      <c r="C9" s="7">
        <v>10.91</v>
      </c>
      <c r="D9" s="7">
        <v>7.75</v>
      </c>
      <c r="E9" s="7">
        <v>5.75</v>
      </c>
      <c r="F9" s="7">
        <v>6.3</v>
      </c>
      <c r="G9" s="7">
        <v>30.71</v>
      </c>
      <c r="I9" t="str">
        <f>TEXT(C12,"#,##0")&amp;" ("&amp;TEXT(C15,"0.00")&amp;")"</f>
        <v>6,024 (38.97)</v>
      </c>
      <c r="J9" t="str">
        <f t="shared" ref="J9:L9" si="1">TEXT(D12,"#,##0")&amp;" ("&amp;TEXT(D15,"0.00")&amp;")"</f>
        <v>8,501 (49.08)</v>
      </c>
      <c r="K9" t="str">
        <f t="shared" si="1"/>
        <v>9,240 (51.83)</v>
      </c>
      <c r="L9" t="str">
        <f t="shared" si="1"/>
        <v>9,705 (53.83)</v>
      </c>
    </row>
    <row r="10" spans="1:12" x14ac:dyDescent="0.3">
      <c r="A10" s="2"/>
      <c r="B10" s="17"/>
      <c r="C10" s="7">
        <v>35.51</v>
      </c>
      <c r="D10" s="7">
        <v>25.24</v>
      </c>
      <c r="E10" s="7">
        <v>18.72</v>
      </c>
      <c r="F10" s="7">
        <v>20.52</v>
      </c>
      <c r="G10" s="7"/>
      <c r="I10" t="str">
        <f>TEXT(C16,"#,##0")&amp;" ("&amp;TEXT(C19,"0.00")&amp;")"</f>
        <v>1,948 (12.60)</v>
      </c>
      <c r="J10" t="str">
        <f t="shared" ref="J10:L10" si="2">TEXT(D16,"#,##0")&amp;" ("&amp;TEXT(D19,"0.00")&amp;")"</f>
        <v>3,500 (20.21)</v>
      </c>
      <c r="K10" t="str">
        <f t="shared" si="2"/>
        <v>4,641 (26.03)</v>
      </c>
      <c r="L10" t="str">
        <f t="shared" si="2"/>
        <v>3,997 (22.17)</v>
      </c>
    </row>
    <row r="11" spans="1:12" x14ac:dyDescent="0.3">
      <c r="A11" s="2"/>
      <c r="B11" s="17"/>
      <c r="C11" s="7">
        <v>48.42</v>
      </c>
      <c r="D11" s="7">
        <v>30.72</v>
      </c>
      <c r="E11" s="7">
        <v>22.14</v>
      </c>
      <c r="F11" s="7">
        <v>24</v>
      </c>
      <c r="G11" s="7"/>
      <c r="I11" t="str">
        <f>TEXT(C20,"#,##0")&amp;" ("&amp;TEXT(C23,"0.00")&amp;")"</f>
        <v>15,457 (0.00)</v>
      </c>
      <c r="J11" t="str">
        <f t="shared" ref="J11:L11" si="3">TEXT(D20,"#,##0")&amp;" ("&amp;TEXT(D23,"0.00")&amp;")"</f>
        <v>17,322 (0.00)</v>
      </c>
      <c r="K11" t="str">
        <f t="shared" si="3"/>
        <v>17,828 (0.00)</v>
      </c>
      <c r="L11" t="str">
        <f t="shared" si="3"/>
        <v>18,028 (0.00)</v>
      </c>
    </row>
    <row r="12" spans="1:12" x14ac:dyDescent="0.3">
      <c r="A12" s="2"/>
      <c r="B12" s="17">
        <v>2</v>
      </c>
      <c r="C12" s="7">
        <v>6024</v>
      </c>
      <c r="D12" s="7">
        <v>8501</v>
      </c>
      <c r="E12" s="7">
        <v>9240</v>
      </c>
      <c r="F12" s="7">
        <v>9705</v>
      </c>
      <c r="G12" s="7">
        <v>33470</v>
      </c>
    </row>
    <row r="13" spans="1:12" x14ac:dyDescent="0.3">
      <c r="A13" s="2"/>
      <c r="B13" s="17"/>
      <c r="C13" s="7">
        <v>8.7799999999999994</v>
      </c>
      <c r="D13" s="7">
        <v>12.39</v>
      </c>
      <c r="E13" s="7">
        <v>13.46</v>
      </c>
      <c r="F13" s="7">
        <v>14.14</v>
      </c>
      <c r="G13" s="7">
        <v>48.77</v>
      </c>
    </row>
    <row r="14" spans="1:12" x14ac:dyDescent="0.3">
      <c r="A14" s="2"/>
      <c r="B14" s="17"/>
      <c r="C14" s="7">
        <v>18</v>
      </c>
      <c r="D14" s="7">
        <v>25.4</v>
      </c>
      <c r="E14" s="7">
        <v>27.61</v>
      </c>
      <c r="F14" s="7">
        <v>29</v>
      </c>
      <c r="G14" s="7"/>
    </row>
    <row r="15" spans="1:12" x14ac:dyDescent="0.3">
      <c r="A15" s="2"/>
      <c r="B15" s="17"/>
      <c r="C15" s="7">
        <v>38.97</v>
      </c>
      <c r="D15" s="7">
        <v>49.08</v>
      </c>
      <c r="E15" s="7">
        <v>51.83</v>
      </c>
      <c r="F15" s="7">
        <v>53.83</v>
      </c>
      <c r="G15" s="7"/>
    </row>
    <row r="16" spans="1:12" x14ac:dyDescent="0.3">
      <c r="A16" s="2"/>
      <c r="B16" s="17">
        <v>3</v>
      </c>
      <c r="C16" s="7">
        <v>1948</v>
      </c>
      <c r="D16" s="7">
        <v>3500</v>
      </c>
      <c r="E16" s="7">
        <v>4641</v>
      </c>
      <c r="F16" s="7">
        <v>3997</v>
      </c>
      <c r="G16" s="7">
        <v>14086</v>
      </c>
    </row>
    <row r="17" spans="1:12" x14ac:dyDescent="0.3">
      <c r="A17" s="2"/>
      <c r="B17" s="17"/>
      <c r="C17" s="7">
        <v>2.84</v>
      </c>
      <c r="D17" s="7">
        <v>5.0999999999999996</v>
      </c>
      <c r="E17" s="7">
        <v>6.76</v>
      </c>
      <c r="F17" s="7">
        <v>5.82</v>
      </c>
      <c r="G17" s="7">
        <v>20.52</v>
      </c>
    </row>
    <row r="18" spans="1:12" x14ac:dyDescent="0.3">
      <c r="A18" s="2"/>
      <c r="B18" s="17"/>
      <c r="C18" s="7">
        <v>13.83</v>
      </c>
      <c r="D18" s="7">
        <v>24.85</v>
      </c>
      <c r="E18" s="7">
        <v>32.950000000000003</v>
      </c>
      <c r="F18" s="7">
        <v>28.38</v>
      </c>
      <c r="G18" s="7"/>
    </row>
    <row r="19" spans="1:12" x14ac:dyDescent="0.3">
      <c r="A19" s="2"/>
      <c r="B19" s="17"/>
      <c r="C19" s="7">
        <v>12.6</v>
      </c>
      <c r="D19" s="7">
        <v>20.21</v>
      </c>
      <c r="E19" s="7">
        <v>26.03</v>
      </c>
      <c r="F19" s="7">
        <v>22.17</v>
      </c>
      <c r="G19" s="7"/>
    </row>
    <row r="20" spans="1:12" x14ac:dyDescent="0.3">
      <c r="A20" s="2"/>
      <c r="B20" s="17" t="s">
        <v>26</v>
      </c>
      <c r="C20" s="7">
        <v>15457</v>
      </c>
      <c r="D20" s="7">
        <v>17322</v>
      </c>
      <c r="E20" s="7">
        <v>17828</v>
      </c>
      <c r="F20" s="7">
        <v>18028</v>
      </c>
      <c r="G20" s="7">
        <v>68635</v>
      </c>
    </row>
    <row r="21" spans="1:12" x14ac:dyDescent="0.3">
      <c r="A21" s="2"/>
      <c r="B21" s="17"/>
      <c r="C21" s="7">
        <v>22.52</v>
      </c>
      <c r="D21" s="7">
        <v>25.24</v>
      </c>
      <c r="E21" s="7">
        <v>25.98</v>
      </c>
      <c r="F21" s="7">
        <v>26.27</v>
      </c>
      <c r="G21" s="7">
        <v>100</v>
      </c>
    </row>
    <row r="22" spans="1:12" x14ac:dyDescent="0.3">
      <c r="A22" s="2"/>
      <c r="B22" s="20"/>
      <c r="C22" s="20"/>
      <c r="D22" s="20"/>
      <c r="E22" s="20"/>
      <c r="F22" s="20"/>
      <c r="G22" s="20"/>
    </row>
    <row r="23" spans="1:12" ht="17.25" thickBot="1" x14ac:dyDescent="0.35"/>
    <row r="24" spans="1:12" ht="16.5" customHeight="1" x14ac:dyDescent="0.3">
      <c r="A24" s="4" t="s">
        <v>3</v>
      </c>
      <c r="B24" s="16" t="s">
        <v>78</v>
      </c>
      <c r="C24" s="18"/>
      <c r="D24" s="18"/>
      <c r="E24" s="18"/>
      <c r="F24" s="18"/>
      <c r="G24" s="18"/>
    </row>
    <row r="25" spans="1:12" ht="16.5" customHeight="1" x14ac:dyDescent="0.3">
      <c r="A25" s="6" t="s">
        <v>4</v>
      </c>
      <c r="B25" s="17" t="s">
        <v>6</v>
      </c>
      <c r="C25" s="19" t="s">
        <v>77</v>
      </c>
      <c r="D25" s="19"/>
      <c r="E25" s="19"/>
      <c r="F25" s="19"/>
      <c r="G25" s="19"/>
    </row>
    <row r="26" spans="1:12" x14ac:dyDescent="0.3">
      <c r="A26" s="6" t="s">
        <v>22</v>
      </c>
      <c r="B26" s="17"/>
      <c r="C26" s="3">
        <v>1</v>
      </c>
      <c r="D26" s="3">
        <v>2</v>
      </c>
      <c r="E26" s="3">
        <v>3</v>
      </c>
      <c r="F26" s="3">
        <v>4</v>
      </c>
      <c r="G26" s="3" t="s">
        <v>26</v>
      </c>
    </row>
    <row r="27" spans="1:12" ht="33" x14ac:dyDescent="0.3">
      <c r="A27" s="6" t="s">
        <v>23</v>
      </c>
      <c r="B27" s="17">
        <v>1</v>
      </c>
      <c r="C27" s="7">
        <v>4325</v>
      </c>
      <c r="D27" s="7">
        <v>7619</v>
      </c>
      <c r="E27" s="7">
        <v>9912</v>
      </c>
      <c r="F27" s="7">
        <v>11344</v>
      </c>
      <c r="G27" s="7">
        <v>33200</v>
      </c>
      <c r="I27" t="str">
        <f>TEXT(C27,"#,##0")&amp;" ("&amp;TEXT(C30,"0.00")&amp;")"</f>
        <v>4,325 (27.98)</v>
      </c>
      <c r="J27" t="str">
        <f t="shared" ref="J27:L27" si="4">TEXT(D27,"#,##0")&amp;" ("&amp;TEXT(D30,"0.00")&amp;")"</f>
        <v>7,619 (43.98)</v>
      </c>
      <c r="K27" t="str">
        <f t="shared" si="4"/>
        <v>9,912 (55.60)</v>
      </c>
      <c r="L27" t="str">
        <f t="shared" si="4"/>
        <v>11,344 (62.92)</v>
      </c>
    </row>
    <row r="28" spans="1:12" x14ac:dyDescent="0.3">
      <c r="A28" s="2"/>
      <c r="B28" s="17"/>
      <c r="C28" s="7">
        <v>6.3</v>
      </c>
      <c r="D28" s="7">
        <v>11.1</v>
      </c>
      <c r="E28" s="7">
        <v>14.44</v>
      </c>
      <c r="F28" s="7">
        <v>16.53</v>
      </c>
      <c r="G28" s="7">
        <v>48.37</v>
      </c>
      <c r="I28" t="str">
        <f>TEXT(C31,"#,##0")&amp;" ("&amp;TEXT(C34,"0.00")&amp;")"</f>
        <v>11,132 (72.02)</v>
      </c>
      <c r="J28" t="str">
        <f t="shared" ref="J28:L28" si="5">TEXT(D31,"#,##0")&amp;" ("&amp;TEXT(D34,"0.00")&amp;")"</f>
        <v>9,703 (56.02)</v>
      </c>
      <c r="K28" t="str">
        <f t="shared" si="5"/>
        <v>7,916 (44.40)</v>
      </c>
      <c r="L28" t="str">
        <f t="shared" si="5"/>
        <v>6,684 (37.08)</v>
      </c>
    </row>
    <row r="29" spans="1:12" x14ac:dyDescent="0.3">
      <c r="A29" s="2"/>
      <c r="B29" s="17"/>
      <c r="C29" s="7">
        <v>13.03</v>
      </c>
      <c r="D29" s="7">
        <v>22.95</v>
      </c>
      <c r="E29" s="7">
        <v>29.86</v>
      </c>
      <c r="F29" s="7">
        <v>34.17</v>
      </c>
      <c r="G29" s="7"/>
      <c r="I29" t="str">
        <f>TEXT(C35,"#,##0")&amp;" ("&amp;TEXT(C38,"0.00")&amp;")"</f>
        <v>15,457 (0.00)</v>
      </c>
      <c r="J29" t="str">
        <f t="shared" ref="J29:L29" si="6">TEXT(D35,"#,##0")&amp;" ("&amp;TEXT(D38,"0.00")&amp;")"</f>
        <v>17,322 (0.00)</v>
      </c>
      <c r="K29" t="str">
        <f t="shared" si="6"/>
        <v>17,828 (0.00)</v>
      </c>
      <c r="L29" t="str">
        <f t="shared" si="6"/>
        <v>18,028 (0.00)</v>
      </c>
    </row>
    <row r="30" spans="1:12" x14ac:dyDescent="0.3">
      <c r="A30" s="2"/>
      <c r="B30" s="17"/>
      <c r="C30" s="7">
        <v>27.98</v>
      </c>
      <c r="D30" s="7">
        <v>43.98</v>
      </c>
      <c r="E30" s="7">
        <v>55.6</v>
      </c>
      <c r="F30" s="7">
        <v>62.92</v>
      </c>
      <c r="G30" s="7"/>
      <c r="I30" t="str">
        <f>TEXT(C39,"#,##0")&amp;" ("&amp;TEXT(C42,"0.00")&amp;")"</f>
        <v>0 (13047.00)</v>
      </c>
      <c r="J30" t="str">
        <f t="shared" ref="J30:L30" si="7">TEXT(D39,"#,##0")&amp;" ("&amp;TEXT(D42,"0.00")&amp;")"</f>
        <v>0 (13941.00)</v>
      </c>
      <c r="K30" t="str">
        <f t="shared" si="7"/>
        <v>0 (14152.00)</v>
      </c>
      <c r="L30" t="str">
        <f t="shared" si="7"/>
        <v>0 (14036.00)</v>
      </c>
    </row>
    <row r="31" spans="1:12" x14ac:dyDescent="0.3">
      <c r="A31" s="2"/>
      <c r="B31" s="17">
        <v>2</v>
      </c>
      <c r="C31" s="7">
        <v>11132</v>
      </c>
      <c r="D31" s="7">
        <v>9703</v>
      </c>
      <c r="E31" s="7">
        <v>7916</v>
      </c>
      <c r="F31" s="7">
        <v>6684</v>
      </c>
      <c r="G31" s="7">
        <v>35435</v>
      </c>
    </row>
    <row r="32" spans="1:12" x14ac:dyDescent="0.3">
      <c r="A32" s="2"/>
      <c r="B32" s="17"/>
      <c r="C32" s="7">
        <v>16.22</v>
      </c>
      <c r="D32" s="7">
        <v>14.14</v>
      </c>
      <c r="E32" s="7">
        <v>11.53</v>
      </c>
      <c r="F32" s="7">
        <v>9.74</v>
      </c>
      <c r="G32" s="7">
        <v>51.63</v>
      </c>
    </row>
    <row r="33" spans="1:12" x14ac:dyDescent="0.3">
      <c r="A33" s="2"/>
      <c r="B33" s="17"/>
      <c r="C33" s="7">
        <v>31.42</v>
      </c>
      <c r="D33" s="7">
        <v>27.38</v>
      </c>
      <c r="E33" s="7">
        <v>22.34</v>
      </c>
      <c r="F33" s="7">
        <v>18.86</v>
      </c>
      <c r="G33" s="7"/>
    </row>
    <row r="34" spans="1:12" x14ac:dyDescent="0.3">
      <c r="A34" s="2"/>
      <c r="B34" s="17"/>
      <c r="C34" s="7">
        <v>72.02</v>
      </c>
      <c r="D34" s="7">
        <v>56.02</v>
      </c>
      <c r="E34" s="7">
        <v>44.4</v>
      </c>
      <c r="F34" s="7">
        <v>37.08</v>
      </c>
      <c r="G34" s="7"/>
    </row>
    <row r="35" spans="1:12" x14ac:dyDescent="0.3">
      <c r="A35" s="2"/>
      <c r="B35" s="17" t="s">
        <v>26</v>
      </c>
      <c r="C35" s="7">
        <v>15457</v>
      </c>
      <c r="D35" s="7">
        <v>17322</v>
      </c>
      <c r="E35" s="7">
        <v>17828</v>
      </c>
      <c r="F35" s="7">
        <v>18028</v>
      </c>
      <c r="G35" s="7">
        <v>68635</v>
      </c>
    </row>
    <row r="36" spans="1:12" x14ac:dyDescent="0.3">
      <c r="A36" s="2"/>
      <c r="B36" s="17"/>
      <c r="C36" s="7">
        <v>22.52</v>
      </c>
      <c r="D36" s="7">
        <v>25.24</v>
      </c>
      <c r="E36" s="7">
        <v>25.98</v>
      </c>
      <c r="F36" s="7">
        <v>26.27</v>
      </c>
      <c r="G36" s="7">
        <v>100</v>
      </c>
    </row>
    <row r="37" spans="1:12" x14ac:dyDescent="0.3">
      <c r="A37" s="2"/>
      <c r="B37" s="20"/>
      <c r="C37" s="20"/>
      <c r="D37" s="20"/>
      <c r="E37" s="20"/>
      <c r="F37" s="20"/>
      <c r="G37" s="20"/>
    </row>
    <row r="38" spans="1:12" ht="17.25" thickBot="1" x14ac:dyDescent="0.35"/>
    <row r="39" spans="1:12" ht="16.5" customHeight="1" x14ac:dyDescent="0.3">
      <c r="A39" s="4" t="s">
        <v>3</v>
      </c>
      <c r="B39" s="16" t="s">
        <v>79</v>
      </c>
      <c r="C39" s="18"/>
      <c r="D39" s="18"/>
      <c r="E39" s="18"/>
      <c r="F39" s="18"/>
      <c r="G39" s="18"/>
    </row>
    <row r="40" spans="1:12" ht="16.5" customHeight="1" x14ac:dyDescent="0.3">
      <c r="A40" s="6" t="s">
        <v>4</v>
      </c>
      <c r="B40" s="17" t="s">
        <v>7</v>
      </c>
      <c r="C40" s="19" t="s">
        <v>77</v>
      </c>
      <c r="D40" s="19"/>
      <c r="E40" s="19"/>
      <c r="F40" s="19"/>
      <c r="G40" s="19"/>
    </row>
    <row r="41" spans="1:12" x14ac:dyDescent="0.3">
      <c r="A41" s="6" t="s">
        <v>22</v>
      </c>
      <c r="B41" s="17"/>
      <c r="C41" s="3">
        <v>1</v>
      </c>
      <c r="D41" s="3">
        <v>2</v>
      </c>
      <c r="E41" s="3">
        <v>3</v>
      </c>
      <c r="F41" s="3">
        <v>4</v>
      </c>
      <c r="G41" s="3" t="s">
        <v>26</v>
      </c>
    </row>
    <row r="42" spans="1:12" ht="33" x14ac:dyDescent="0.3">
      <c r="A42" s="6" t="s">
        <v>23</v>
      </c>
      <c r="B42" s="17">
        <v>1</v>
      </c>
      <c r="C42" s="7">
        <v>13047</v>
      </c>
      <c r="D42" s="7">
        <v>13941</v>
      </c>
      <c r="E42" s="7">
        <v>14152</v>
      </c>
      <c r="F42" s="7">
        <v>14036</v>
      </c>
      <c r="G42" s="7">
        <v>55176</v>
      </c>
      <c r="I42" t="str">
        <f>TEXT(C42,"#,##0")&amp;" ("&amp;TEXT(C45,"0.00")&amp;")"</f>
        <v>13,047 (84.41)</v>
      </c>
      <c r="J42" t="str">
        <f t="shared" ref="J42:L42" si="8">TEXT(D42,"#,##0")&amp;" ("&amp;TEXT(D45,"0.00")&amp;")"</f>
        <v>13,941 (80.48)</v>
      </c>
      <c r="K42" t="str">
        <f t="shared" si="8"/>
        <v>14,152 (79.38)</v>
      </c>
      <c r="L42" t="str">
        <f t="shared" si="8"/>
        <v>14,036 (77.86)</v>
      </c>
    </row>
    <row r="43" spans="1:12" x14ac:dyDescent="0.3">
      <c r="A43" s="2"/>
      <c r="B43" s="17"/>
      <c r="C43" s="7">
        <v>19.010000000000002</v>
      </c>
      <c r="D43" s="7">
        <v>20.309999999999999</v>
      </c>
      <c r="E43" s="7">
        <v>20.62</v>
      </c>
      <c r="F43" s="7">
        <v>20.45</v>
      </c>
      <c r="G43" s="7">
        <v>80.39</v>
      </c>
      <c r="I43" t="str">
        <f>TEXT(C46,"#,##0")&amp;" ("&amp;TEXT(C49,"0.00")&amp;")"</f>
        <v>2,410 (15.59)</v>
      </c>
      <c r="J43" t="str">
        <f t="shared" ref="J43:L43" si="9">TEXT(D46,"#,##0")&amp;" ("&amp;TEXT(D49,"0.00")&amp;")"</f>
        <v>3,381 (19.52)</v>
      </c>
      <c r="K43" t="str">
        <f t="shared" si="9"/>
        <v>3,676 (20.62)</v>
      </c>
      <c r="L43" t="str">
        <f t="shared" si="9"/>
        <v>3,992 (22.14)</v>
      </c>
    </row>
    <row r="44" spans="1:12" x14ac:dyDescent="0.3">
      <c r="A44" s="2"/>
      <c r="B44" s="17"/>
      <c r="C44" s="7">
        <v>23.65</v>
      </c>
      <c r="D44" s="7">
        <v>25.27</v>
      </c>
      <c r="E44" s="7">
        <v>25.65</v>
      </c>
      <c r="F44" s="7">
        <v>25.44</v>
      </c>
      <c r="G44" s="7"/>
      <c r="I44" t="str">
        <f>TEXT(C50,"#,##0")&amp;" ("&amp;TEXT(C53,"0.00")&amp;")"</f>
        <v>15,457 (0.00)</v>
      </c>
      <c r="J44" t="str">
        <f t="shared" ref="J44:L44" si="10">TEXT(D50,"#,##0")&amp;" ("&amp;TEXT(D53,"0.00")&amp;")"</f>
        <v>17,322 (0.00)</v>
      </c>
      <c r="K44" t="str">
        <f t="shared" si="10"/>
        <v>17,828 (0.00)</v>
      </c>
      <c r="L44" t="str">
        <f t="shared" si="10"/>
        <v>18,028 (0.00)</v>
      </c>
    </row>
    <row r="45" spans="1:12" x14ac:dyDescent="0.3">
      <c r="A45" s="2"/>
      <c r="B45" s="17"/>
      <c r="C45" s="7">
        <v>84.41</v>
      </c>
      <c r="D45" s="7">
        <v>80.48</v>
      </c>
      <c r="E45" s="7">
        <v>79.38</v>
      </c>
      <c r="F45" s="7">
        <v>77.86</v>
      </c>
      <c r="G45" s="7"/>
      <c r="I45" t="str">
        <f>TEXT(C54,"#,##0")&amp;" ("&amp;TEXT(C57,"0.00")&amp;")"</f>
        <v>0 (1152.00)</v>
      </c>
      <c r="J45" t="str">
        <f t="shared" ref="J45:L45" si="11">TEXT(D54,"#,##0")&amp;" ("&amp;TEXT(D57,"0.00")&amp;")"</f>
        <v>0 (2234.00)</v>
      </c>
      <c r="K45" t="str">
        <f t="shared" si="11"/>
        <v>0 (2973.00)</v>
      </c>
      <c r="L45" t="str">
        <f t="shared" si="11"/>
        <v>0 (2840.00)</v>
      </c>
    </row>
    <row r="46" spans="1:12" x14ac:dyDescent="0.3">
      <c r="A46" s="2"/>
      <c r="B46" s="17">
        <v>2</v>
      </c>
      <c r="C46" s="7">
        <v>2410</v>
      </c>
      <c r="D46" s="7">
        <v>3381</v>
      </c>
      <c r="E46" s="7">
        <v>3676</v>
      </c>
      <c r="F46" s="7">
        <v>3992</v>
      </c>
      <c r="G46" s="7">
        <v>13459</v>
      </c>
    </row>
    <row r="47" spans="1:12" x14ac:dyDescent="0.3">
      <c r="A47" s="2"/>
      <c r="B47" s="17"/>
      <c r="C47" s="7">
        <v>3.51</v>
      </c>
      <c r="D47" s="7">
        <v>4.93</v>
      </c>
      <c r="E47" s="7">
        <v>5.36</v>
      </c>
      <c r="F47" s="7">
        <v>5.82</v>
      </c>
      <c r="G47" s="7">
        <v>19.61</v>
      </c>
    </row>
    <row r="48" spans="1:12" x14ac:dyDescent="0.3">
      <c r="A48" s="2"/>
      <c r="B48" s="17"/>
      <c r="C48" s="7">
        <v>17.91</v>
      </c>
      <c r="D48" s="7">
        <v>25.12</v>
      </c>
      <c r="E48" s="7">
        <v>27.31</v>
      </c>
      <c r="F48" s="7">
        <v>29.66</v>
      </c>
      <c r="G48" s="7"/>
    </row>
    <row r="49" spans="1:12" x14ac:dyDescent="0.3">
      <c r="A49" s="2"/>
      <c r="B49" s="17"/>
      <c r="C49" s="7">
        <v>15.59</v>
      </c>
      <c r="D49" s="7">
        <v>19.52</v>
      </c>
      <c r="E49" s="7">
        <v>20.62</v>
      </c>
      <c r="F49" s="7">
        <v>22.14</v>
      </c>
      <c r="G49" s="7"/>
    </row>
    <row r="50" spans="1:12" x14ac:dyDescent="0.3">
      <c r="A50" s="2"/>
      <c r="B50" s="17" t="s">
        <v>26</v>
      </c>
      <c r="C50" s="7">
        <v>15457</v>
      </c>
      <c r="D50" s="7">
        <v>17322</v>
      </c>
      <c r="E50" s="7">
        <v>17828</v>
      </c>
      <c r="F50" s="7">
        <v>18028</v>
      </c>
      <c r="G50" s="7">
        <v>68635</v>
      </c>
    </row>
    <row r="51" spans="1:12" x14ac:dyDescent="0.3">
      <c r="A51" s="2"/>
      <c r="B51" s="17"/>
      <c r="C51" s="7">
        <v>22.52</v>
      </c>
      <c r="D51" s="7">
        <v>25.24</v>
      </c>
      <c r="E51" s="7">
        <v>25.98</v>
      </c>
      <c r="F51" s="7">
        <v>26.27</v>
      </c>
      <c r="G51" s="7">
        <v>100</v>
      </c>
    </row>
    <row r="52" spans="1:12" x14ac:dyDescent="0.3">
      <c r="A52" s="2"/>
      <c r="B52" s="20"/>
      <c r="C52" s="20"/>
      <c r="D52" s="20"/>
      <c r="E52" s="20"/>
      <c r="F52" s="20"/>
      <c r="G52" s="20"/>
    </row>
    <row r="53" spans="1:12" ht="17.25" thickBot="1" x14ac:dyDescent="0.35"/>
    <row r="54" spans="1:12" ht="16.5" customHeight="1" x14ac:dyDescent="0.3">
      <c r="A54" s="4" t="s">
        <v>3</v>
      </c>
      <c r="B54" s="16" t="s">
        <v>80</v>
      </c>
      <c r="C54" s="18"/>
      <c r="D54" s="18"/>
      <c r="E54" s="18"/>
      <c r="F54" s="18"/>
      <c r="G54" s="18"/>
    </row>
    <row r="55" spans="1:12" ht="16.5" customHeight="1" x14ac:dyDescent="0.3">
      <c r="A55" s="6" t="s">
        <v>4</v>
      </c>
      <c r="B55" s="17" t="s">
        <v>8</v>
      </c>
      <c r="C55" s="19" t="s">
        <v>77</v>
      </c>
      <c r="D55" s="19"/>
      <c r="E55" s="19"/>
      <c r="F55" s="19"/>
      <c r="G55" s="19"/>
    </row>
    <row r="56" spans="1:12" x14ac:dyDescent="0.3">
      <c r="A56" s="6" t="s">
        <v>22</v>
      </c>
      <c r="B56" s="17"/>
      <c r="C56" s="3">
        <v>1</v>
      </c>
      <c r="D56" s="3">
        <v>2</v>
      </c>
      <c r="E56" s="3">
        <v>3</v>
      </c>
      <c r="F56" s="3">
        <v>4</v>
      </c>
      <c r="G56" s="3" t="s">
        <v>26</v>
      </c>
    </row>
    <row r="57" spans="1:12" ht="33" x14ac:dyDescent="0.3">
      <c r="A57" s="6" t="s">
        <v>23</v>
      </c>
      <c r="B57" s="17">
        <v>1</v>
      </c>
      <c r="C57" s="7">
        <v>1152</v>
      </c>
      <c r="D57" s="7">
        <v>2234</v>
      </c>
      <c r="E57" s="7">
        <v>2973</v>
      </c>
      <c r="F57" s="7">
        <v>2840</v>
      </c>
      <c r="G57" s="7">
        <v>9199</v>
      </c>
      <c r="I57" t="str">
        <f>TEXT(C57,"#,##0")&amp;" ("&amp;TEXT(C60,"0.00")&amp;")"</f>
        <v>1,152 (7.45)</v>
      </c>
      <c r="J57" t="str">
        <f t="shared" ref="J57:L57" si="12">TEXT(D57,"#,##0")&amp;" ("&amp;TEXT(D60,"0.00")&amp;")"</f>
        <v>2,234 (12.90)</v>
      </c>
      <c r="K57" t="str">
        <f t="shared" si="12"/>
        <v>2,973 (16.68)</v>
      </c>
      <c r="L57" t="str">
        <f t="shared" si="12"/>
        <v>2,840 (15.75)</v>
      </c>
    </row>
    <row r="58" spans="1:12" x14ac:dyDescent="0.3">
      <c r="A58" s="2"/>
      <c r="B58" s="17"/>
      <c r="C58" s="7">
        <v>1.68</v>
      </c>
      <c r="D58" s="7">
        <v>3.25</v>
      </c>
      <c r="E58" s="7">
        <v>4.33</v>
      </c>
      <c r="F58" s="7">
        <v>4.1399999999999997</v>
      </c>
      <c r="G58" s="7">
        <v>13.4</v>
      </c>
      <c r="I58" t="str">
        <f>TEXT(C61,"#,##0")&amp;" ("&amp;TEXT(C64,"0.00")&amp;")"</f>
        <v>1,079 (6.98)</v>
      </c>
      <c r="J58" t="str">
        <f t="shared" ref="J58:L58" si="13">TEXT(D61,"#,##0")&amp;" ("&amp;TEXT(D64,"0.00")&amp;")"</f>
        <v>1,957 (11.30)</v>
      </c>
      <c r="K58" t="str">
        <f t="shared" si="13"/>
        <v>2,474 (13.88)</v>
      </c>
      <c r="L58" t="str">
        <f t="shared" si="13"/>
        <v>2,427 (13.46)</v>
      </c>
    </row>
    <row r="59" spans="1:12" x14ac:dyDescent="0.3">
      <c r="A59" s="2"/>
      <c r="B59" s="17"/>
      <c r="C59" s="7">
        <v>12.52</v>
      </c>
      <c r="D59" s="7">
        <v>24.29</v>
      </c>
      <c r="E59" s="7">
        <v>32.32</v>
      </c>
      <c r="F59" s="7">
        <v>30.87</v>
      </c>
      <c r="G59" s="7"/>
      <c r="I59" t="str">
        <f>TEXT(C65,"#,##0")&amp;" ("&amp;TEXT(C68,"0.00")&amp;")"</f>
        <v>3,549 (22.96)</v>
      </c>
      <c r="J59" t="str">
        <f t="shared" ref="J59:L59" si="14">TEXT(D65,"#,##0")&amp;" ("&amp;TEXT(D68,"0.00")&amp;")"</f>
        <v>4,529 (26.15)</v>
      </c>
      <c r="K59" t="str">
        <f t="shared" si="14"/>
        <v>4,818 (27.02)</v>
      </c>
      <c r="L59" t="str">
        <f t="shared" si="14"/>
        <v>4,862 (26.97)</v>
      </c>
    </row>
    <row r="60" spans="1:12" x14ac:dyDescent="0.3">
      <c r="A60" s="2"/>
      <c r="B60" s="17"/>
      <c r="C60" s="7">
        <v>7.45</v>
      </c>
      <c r="D60" s="7">
        <v>12.9</v>
      </c>
      <c r="E60" s="7">
        <v>16.68</v>
      </c>
      <c r="F60" s="7">
        <v>15.75</v>
      </c>
      <c r="G60" s="7"/>
      <c r="I60" t="str">
        <f>TEXT(C69,"#,##0")&amp;" ("&amp;TEXT(C72,"0.00")&amp;")"</f>
        <v>9,677 (62.61)</v>
      </c>
      <c r="J60" t="str">
        <f t="shared" ref="J60:L60" si="15">TEXT(D69,"#,##0")&amp;" ("&amp;TEXT(D72,"0.00")&amp;")"</f>
        <v>8,602 (49.66)</v>
      </c>
      <c r="K60" t="str">
        <f t="shared" si="15"/>
        <v>7,563 (42.42)</v>
      </c>
      <c r="L60" t="str">
        <f t="shared" si="15"/>
        <v>7,899 (43.82)</v>
      </c>
    </row>
    <row r="61" spans="1:12" x14ac:dyDescent="0.3">
      <c r="A61" s="2"/>
      <c r="B61" s="17">
        <v>2</v>
      </c>
      <c r="C61" s="7">
        <v>1079</v>
      </c>
      <c r="D61" s="7">
        <v>1957</v>
      </c>
      <c r="E61" s="7">
        <v>2474</v>
      </c>
      <c r="F61" s="7">
        <v>2427</v>
      </c>
      <c r="G61" s="7">
        <v>7937</v>
      </c>
    </row>
    <row r="62" spans="1:12" x14ac:dyDescent="0.3">
      <c r="A62" s="2"/>
      <c r="B62" s="17"/>
      <c r="C62" s="7">
        <v>1.57</v>
      </c>
      <c r="D62" s="7">
        <v>2.85</v>
      </c>
      <c r="E62" s="7">
        <v>3.6</v>
      </c>
      <c r="F62" s="7">
        <v>3.54</v>
      </c>
      <c r="G62" s="7">
        <v>11.56</v>
      </c>
    </row>
    <row r="63" spans="1:12" x14ac:dyDescent="0.3">
      <c r="A63" s="2"/>
      <c r="B63" s="17"/>
      <c r="C63" s="7">
        <v>13.59</v>
      </c>
      <c r="D63" s="7">
        <v>24.66</v>
      </c>
      <c r="E63" s="7">
        <v>31.17</v>
      </c>
      <c r="F63" s="7">
        <v>30.58</v>
      </c>
      <c r="G63" s="7"/>
    </row>
    <row r="64" spans="1:12" x14ac:dyDescent="0.3">
      <c r="A64" s="2"/>
      <c r="B64" s="17"/>
      <c r="C64" s="7">
        <v>6.98</v>
      </c>
      <c r="D64" s="7">
        <v>11.3</v>
      </c>
      <c r="E64" s="7">
        <v>13.88</v>
      </c>
      <c r="F64" s="7">
        <v>13.46</v>
      </c>
      <c r="G64" s="7"/>
    </row>
    <row r="65" spans="1:12" x14ac:dyDescent="0.3">
      <c r="A65" s="2"/>
      <c r="B65" s="17">
        <v>3</v>
      </c>
      <c r="C65" s="7">
        <v>3549</v>
      </c>
      <c r="D65" s="7">
        <v>4529</v>
      </c>
      <c r="E65" s="7">
        <v>4818</v>
      </c>
      <c r="F65" s="7">
        <v>4862</v>
      </c>
      <c r="G65" s="7">
        <v>17758</v>
      </c>
    </row>
    <row r="66" spans="1:12" x14ac:dyDescent="0.3">
      <c r="A66" s="2"/>
      <c r="B66" s="17"/>
      <c r="C66" s="7">
        <v>5.17</v>
      </c>
      <c r="D66" s="7">
        <v>6.6</v>
      </c>
      <c r="E66" s="7">
        <v>7.02</v>
      </c>
      <c r="F66" s="7">
        <v>7.08</v>
      </c>
      <c r="G66" s="7">
        <v>25.87</v>
      </c>
    </row>
    <row r="67" spans="1:12" x14ac:dyDescent="0.3">
      <c r="A67" s="2"/>
      <c r="B67" s="17"/>
      <c r="C67" s="7">
        <v>19.989999999999998</v>
      </c>
      <c r="D67" s="7">
        <v>25.5</v>
      </c>
      <c r="E67" s="7">
        <v>27.13</v>
      </c>
      <c r="F67" s="7">
        <v>27.38</v>
      </c>
      <c r="G67" s="7"/>
    </row>
    <row r="68" spans="1:12" x14ac:dyDescent="0.3">
      <c r="A68" s="2"/>
      <c r="B68" s="17"/>
      <c r="C68" s="7">
        <v>22.96</v>
      </c>
      <c r="D68" s="7">
        <v>26.15</v>
      </c>
      <c r="E68" s="7">
        <v>27.02</v>
      </c>
      <c r="F68" s="7">
        <v>26.97</v>
      </c>
      <c r="G68" s="7"/>
    </row>
    <row r="69" spans="1:12" x14ac:dyDescent="0.3">
      <c r="A69" s="2"/>
      <c r="B69" s="17">
        <v>4</v>
      </c>
      <c r="C69" s="7">
        <v>9677</v>
      </c>
      <c r="D69" s="7">
        <v>8602</v>
      </c>
      <c r="E69" s="7">
        <v>7563</v>
      </c>
      <c r="F69" s="7">
        <v>7899</v>
      </c>
      <c r="G69" s="7">
        <v>33741</v>
      </c>
    </row>
    <row r="70" spans="1:12" x14ac:dyDescent="0.3">
      <c r="A70" s="2"/>
      <c r="B70" s="17"/>
      <c r="C70" s="7">
        <v>14.1</v>
      </c>
      <c r="D70" s="7">
        <v>12.53</v>
      </c>
      <c r="E70" s="7">
        <v>11.02</v>
      </c>
      <c r="F70" s="7">
        <v>11.51</v>
      </c>
      <c r="G70" s="7">
        <v>49.16</v>
      </c>
    </row>
    <row r="71" spans="1:12" x14ac:dyDescent="0.3">
      <c r="A71" s="2"/>
      <c r="B71" s="17"/>
      <c r="C71" s="7">
        <v>28.68</v>
      </c>
      <c r="D71" s="7">
        <v>25.49</v>
      </c>
      <c r="E71" s="7">
        <v>22.41</v>
      </c>
      <c r="F71" s="7">
        <v>23.41</v>
      </c>
      <c r="G71" s="7"/>
    </row>
    <row r="72" spans="1:12" x14ac:dyDescent="0.3">
      <c r="A72" s="2"/>
      <c r="B72" s="17"/>
      <c r="C72" s="7">
        <v>62.61</v>
      </c>
      <c r="D72" s="7">
        <v>49.66</v>
      </c>
      <c r="E72" s="7">
        <v>42.42</v>
      </c>
      <c r="F72" s="7">
        <v>43.82</v>
      </c>
      <c r="G72" s="7"/>
    </row>
    <row r="73" spans="1:12" x14ac:dyDescent="0.3">
      <c r="A73" s="2"/>
      <c r="B73" s="17" t="s">
        <v>26</v>
      </c>
      <c r="C73" s="7">
        <v>15457</v>
      </c>
      <c r="D73" s="7">
        <v>17322</v>
      </c>
      <c r="E73" s="7">
        <v>17828</v>
      </c>
      <c r="F73" s="7">
        <v>18028</v>
      </c>
      <c r="G73" s="7">
        <v>68635</v>
      </c>
    </row>
    <row r="74" spans="1:12" x14ac:dyDescent="0.3">
      <c r="A74" s="2"/>
      <c r="B74" s="17"/>
      <c r="C74" s="7">
        <v>22.52</v>
      </c>
      <c r="D74" s="7">
        <v>25.24</v>
      </c>
      <c r="E74" s="7">
        <v>25.98</v>
      </c>
      <c r="F74" s="7">
        <v>26.27</v>
      </c>
      <c r="G74" s="7">
        <v>100</v>
      </c>
    </row>
    <row r="75" spans="1:12" x14ac:dyDescent="0.3">
      <c r="A75" s="2"/>
      <c r="B75" s="20"/>
      <c r="C75" s="20"/>
      <c r="D75" s="20"/>
      <c r="E75" s="20"/>
      <c r="F75" s="20"/>
      <c r="G75" s="20"/>
    </row>
    <row r="76" spans="1:12" ht="17.25" thickBot="1" x14ac:dyDescent="0.35"/>
    <row r="77" spans="1:12" ht="16.5" customHeight="1" x14ac:dyDescent="0.3">
      <c r="A77" s="4" t="s">
        <v>3</v>
      </c>
      <c r="B77" s="16" t="s">
        <v>81</v>
      </c>
      <c r="C77" s="18"/>
      <c r="D77" s="18"/>
      <c r="E77" s="18"/>
      <c r="F77" s="18"/>
      <c r="G77" s="18"/>
    </row>
    <row r="78" spans="1:12" ht="16.5" customHeight="1" x14ac:dyDescent="0.3">
      <c r="A78" s="6" t="s">
        <v>4</v>
      </c>
      <c r="B78" s="17" t="s">
        <v>9</v>
      </c>
      <c r="C78" s="19" t="s">
        <v>77</v>
      </c>
      <c r="D78" s="19"/>
      <c r="E78" s="19"/>
      <c r="F78" s="19"/>
      <c r="G78" s="19"/>
    </row>
    <row r="79" spans="1:12" x14ac:dyDescent="0.3">
      <c r="A79" s="6" t="s">
        <v>22</v>
      </c>
      <c r="B79" s="17"/>
      <c r="C79" s="3">
        <v>1</v>
      </c>
      <c r="D79" s="3">
        <v>2</v>
      </c>
      <c r="E79" s="3">
        <v>3</v>
      </c>
      <c r="F79" s="3">
        <v>4</v>
      </c>
      <c r="G79" s="3" t="s">
        <v>26</v>
      </c>
    </row>
    <row r="80" spans="1:12" ht="33" x14ac:dyDescent="0.3">
      <c r="A80" s="6" t="s">
        <v>23</v>
      </c>
      <c r="B80" s="17">
        <v>1</v>
      </c>
      <c r="C80" s="7">
        <v>2041</v>
      </c>
      <c r="D80" s="7">
        <v>2774</v>
      </c>
      <c r="E80" s="7">
        <v>3147</v>
      </c>
      <c r="F80" s="7">
        <v>3303</v>
      </c>
      <c r="G80" s="7">
        <v>11265</v>
      </c>
      <c r="I80" t="str">
        <f>TEXT(C80,"#,##0")&amp;" ("&amp;TEXT(C83,"0.00")&amp;")"</f>
        <v>2,041 (13.20)</v>
      </c>
      <c r="J80" t="str">
        <f t="shared" ref="J80:L80" si="16">TEXT(D80,"#,##0")&amp;" ("&amp;TEXT(D83,"0.00")&amp;")"</f>
        <v>2,774 (16.01)</v>
      </c>
      <c r="K80" t="str">
        <f t="shared" si="16"/>
        <v>3,147 (17.65)</v>
      </c>
      <c r="L80" t="str">
        <f t="shared" si="16"/>
        <v>3,303 (18.32)</v>
      </c>
    </row>
    <row r="81" spans="1:12" x14ac:dyDescent="0.3">
      <c r="A81" s="2"/>
      <c r="B81" s="17"/>
      <c r="C81" s="7">
        <v>2.97</v>
      </c>
      <c r="D81" s="7">
        <v>4.04</v>
      </c>
      <c r="E81" s="7">
        <v>4.59</v>
      </c>
      <c r="F81" s="7">
        <v>4.8099999999999996</v>
      </c>
      <c r="G81" s="7">
        <v>16.41</v>
      </c>
      <c r="I81" t="str">
        <f>TEXT(C84,"#,##0")&amp;" ("&amp;TEXT(C87,"0.00")&amp;")"</f>
        <v>3,496 (22.62)</v>
      </c>
      <c r="J81" t="str">
        <f t="shared" ref="J81:L81" si="17">TEXT(D84,"#,##0")&amp;" ("&amp;TEXT(D87,"0.00")&amp;")"</f>
        <v>4,127 (23.83)</v>
      </c>
      <c r="K81" t="str">
        <f t="shared" si="17"/>
        <v>4,556 (25.56)</v>
      </c>
      <c r="L81" t="str">
        <f t="shared" si="17"/>
        <v>4,655 (25.82)</v>
      </c>
    </row>
    <row r="82" spans="1:12" x14ac:dyDescent="0.3">
      <c r="A82" s="2"/>
      <c r="B82" s="17"/>
      <c r="C82" s="7">
        <v>18.12</v>
      </c>
      <c r="D82" s="7">
        <v>24.62</v>
      </c>
      <c r="E82" s="7">
        <v>27.94</v>
      </c>
      <c r="F82" s="7">
        <v>29.32</v>
      </c>
      <c r="G82" s="7"/>
      <c r="I82" t="str">
        <f>TEXT(C88,"#,##0")&amp;" ("&amp;TEXT(C91,"0.00")&amp;")"</f>
        <v>4,591 (29.70)</v>
      </c>
      <c r="J82" t="str">
        <f t="shared" ref="J82:L82" si="18">TEXT(D88,"#,##0")&amp;" ("&amp;TEXT(D91,"0.00")&amp;")"</f>
        <v>5,005 (28.89)</v>
      </c>
      <c r="K82" t="str">
        <f t="shared" si="18"/>
        <v>4,916 (27.57)</v>
      </c>
      <c r="L82" t="str">
        <f t="shared" si="18"/>
        <v>5,074 (28.15)</v>
      </c>
    </row>
    <row r="83" spans="1:12" x14ac:dyDescent="0.3">
      <c r="A83" s="2"/>
      <c r="B83" s="17"/>
      <c r="C83" s="7">
        <v>13.2</v>
      </c>
      <c r="D83" s="7">
        <v>16.010000000000002</v>
      </c>
      <c r="E83" s="7">
        <v>17.649999999999999</v>
      </c>
      <c r="F83" s="7">
        <v>18.32</v>
      </c>
      <c r="G83" s="7"/>
      <c r="I83" t="str">
        <f>TEXT(C92,"#,##0")&amp;" ("&amp;TEXT(C95,"0.00")&amp;")"</f>
        <v>5,329 (34.48)</v>
      </c>
      <c r="J83" t="str">
        <f t="shared" ref="J83:L83" si="19">TEXT(D92,"#,##0")&amp;" ("&amp;TEXT(D95,"0.00")&amp;")"</f>
        <v>5,416 (31.27)</v>
      </c>
      <c r="K83" t="str">
        <f t="shared" si="19"/>
        <v>5,209 (29.22)</v>
      </c>
      <c r="L83" t="str">
        <f t="shared" si="19"/>
        <v>4,996 (27.71)</v>
      </c>
    </row>
    <row r="84" spans="1:12" x14ac:dyDescent="0.3">
      <c r="A84" s="2"/>
      <c r="B84" s="17">
        <v>2</v>
      </c>
      <c r="C84" s="7">
        <v>3496</v>
      </c>
      <c r="D84" s="7">
        <v>4127</v>
      </c>
      <c r="E84" s="7">
        <v>4556</v>
      </c>
      <c r="F84" s="7">
        <v>4655</v>
      </c>
      <c r="G84" s="7">
        <v>16834</v>
      </c>
    </row>
    <row r="85" spans="1:12" x14ac:dyDescent="0.3">
      <c r="A85" s="2"/>
      <c r="B85" s="17"/>
      <c r="C85" s="7">
        <v>5.09</v>
      </c>
      <c r="D85" s="7">
        <v>6.01</v>
      </c>
      <c r="E85" s="7">
        <v>6.64</v>
      </c>
      <c r="F85" s="7">
        <v>6.78</v>
      </c>
      <c r="G85" s="7">
        <v>24.53</v>
      </c>
    </row>
    <row r="86" spans="1:12" x14ac:dyDescent="0.3">
      <c r="A86" s="2"/>
      <c r="B86" s="17"/>
      <c r="C86" s="7">
        <v>20.77</v>
      </c>
      <c r="D86" s="7">
        <v>24.52</v>
      </c>
      <c r="E86" s="7">
        <v>27.06</v>
      </c>
      <c r="F86" s="7">
        <v>27.65</v>
      </c>
      <c r="G86" s="7"/>
    </row>
    <row r="87" spans="1:12" x14ac:dyDescent="0.3">
      <c r="A87" s="2"/>
      <c r="B87" s="17"/>
      <c r="C87" s="7">
        <v>22.62</v>
      </c>
      <c r="D87" s="7">
        <v>23.83</v>
      </c>
      <c r="E87" s="7">
        <v>25.56</v>
      </c>
      <c r="F87" s="7">
        <v>25.82</v>
      </c>
      <c r="G87" s="7"/>
    </row>
    <row r="88" spans="1:12" x14ac:dyDescent="0.3">
      <c r="A88" s="2"/>
      <c r="B88" s="17">
        <v>3</v>
      </c>
      <c r="C88" s="7">
        <v>4591</v>
      </c>
      <c r="D88" s="7">
        <v>5005</v>
      </c>
      <c r="E88" s="7">
        <v>4916</v>
      </c>
      <c r="F88" s="7">
        <v>5074</v>
      </c>
      <c r="G88" s="7">
        <v>19586</v>
      </c>
    </row>
    <row r="89" spans="1:12" x14ac:dyDescent="0.3">
      <c r="A89" s="2"/>
      <c r="B89" s="17"/>
      <c r="C89" s="7">
        <v>6.69</v>
      </c>
      <c r="D89" s="7">
        <v>7.29</v>
      </c>
      <c r="E89" s="7">
        <v>7.16</v>
      </c>
      <c r="F89" s="7">
        <v>7.39</v>
      </c>
      <c r="G89" s="7">
        <v>28.54</v>
      </c>
    </row>
    <row r="90" spans="1:12" x14ac:dyDescent="0.3">
      <c r="A90" s="2"/>
      <c r="B90" s="17"/>
      <c r="C90" s="7">
        <v>23.44</v>
      </c>
      <c r="D90" s="7">
        <v>25.55</v>
      </c>
      <c r="E90" s="7">
        <v>25.1</v>
      </c>
      <c r="F90" s="7">
        <v>25.91</v>
      </c>
      <c r="G90" s="7"/>
    </row>
    <row r="91" spans="1:12" x14ac:dyDescent="0.3">
      <c r="A91" s="2"/>
      <c r="B91" s="17"/>
      <c r="C91" s="7">
        <v>29.7</v>
      </c>
      <c r="D91" s="7">
        <v>28.89</v>
      </c>
      <c r="E91" s="7">
        <v>27.57</v>
      </c>
      <c r="F91" s="7">
        <v>28.15</v>
      </c>
      <c r="G91" s="7"/>
    </row>
    <row r="92" spans="1:12" x14ac:dyDescent="0.3">
      <c r="A92" s="2"/>
      <c r="B92" s="17">
        <v>4</v>
      </c>
      <c r="C92" s="7">
        <v>5329</v>
      </c>
      <c r="D92" s="7">
        <v>5416</v>
      </c>
      <c r="E92" s="7">
        <v>5209</v>
      </c>
      <c r="F92" s="7">
        <v>4996</v>
      </c>
      <c r="G92" s="7">
        <v>20950</v>
      </c>
    </row>
    <row r="93" spans="1:12" x14ac:dyDescent="0.3">
      <c r="A93" s="2"/>
      <c r="B93" s="17"/>
      <c r="C93" s="7">
        <v>7.76</v>
      </c>
      <c r="D93" s="7">
        <v>7.89</v>
      </c>
      <c r="E93" s="7">
        <v>7.59</v>
      </c>
      <c r="F93" s="7">
        <v>7.28</v>
      </c>
      <c r="G93" s="7">
        <v>30.52</v>
      </c>
    </row>
    <row r="94" spans="1:12" x14ac:dyDescent="0.3">
      <c r="A94" s="2"/>
      <c r="B94" s="17"/>
      <c r="C94" s="7">
        <v>25.44</v>
      </c>
      <c r="D94" s="7">
        <v>25.85</v>
      </c>
      <c r="E94" s="7">
        <v>24.86</v>
      </c>
      <c r="F94" s="7">
        <v>23.85</v>
      </c>
      <c r="G94" s="7"/>
    </row>
    <row r="95" spans="1:12" x14ac:dyDescent="0.3">
      <c r="A95" s="2"/>
      <c r="B95" s="17"/>
      <c r="C95" s="7">
        <v>34.479999999999997</v>
      </c>
      <c r="D95" s="7">
        <v>31.27</v>
      </c>
      <c r="E95" s="7">
        <v>29.22</v>
      </c>
      <c r="F95" s="7">
        <v>27.71</v>
      </c>
      <c r="G95" s="7"/>
    </row>
    <row r="96" spans="1:12" x14ac:dyDescent="0.3">
      <c r="A96" s="2"/>
      <c r="B96" s="17" t="s">
        <v>26</v>
      </c>
      <c r="C96" s="7">
        <v>15457</v>
      </c>
      <c r="D96" s="7">
        <v>17322</v>
      </c>
      <c r="E96" s="7">
        <v>17828</v>
      </c>
      <c r="F96" s="7">
        <v>18028</v>
      </c>
      <c r="G96" s="7">
        <v>68635</v>
      </c>
    </row>
    <row r="97" spans="1:12" x14ac:dyDescent="0.3">
      <c r="A97" s="2"/>
      <c r="B97" s="17"/>
      <c r="C97" s="7">
        <v>22.52</v>
      </c>
      <c r="D97" s="7">
        <v>25.24</v>
      </c>
      <c r="E97" s="7">
        <v>25.98</v>
      </c>
      <c r="F97" s="7">
        <v>26.27</v>
      </c>
      <c r="G97" s="7">
        <v>100</v>
      </c>
    </row>
    <row r="98" spans="1:12" x14ac:dyDescent="0.3">
      <c r="A98" s="2"/>
      <c r="B98" s="20"/>
      <c r="C98" s="20"/>
      <c r="D98" s="20"/>
      <c r="E98" s="20"/>
      <c r="F98" s="20"/>
      <c r="G98" s="20"/>
    </row>
    <row r="99" spans="1:12" ht="17.25" thickBot="1" x14ac:dyDescent="0.35"/>
    <row r="100" spans="1:12" ht="16.5" customHeight="1" x14ac:dyDescent="0.3">
      <c r="A100" s="4" t="s">
        <v>3</v>
      </c>
      <c r="B100" s="16" t="s">
        <v>82</v>
      </c>
      <c r="C100" s="18"/>
      <c r="D100" s="18"/>
      <c r="E100" s="18"/>
      <c r="F100" s="18"/>
      <c r="G100" s="18"/>
    </row>
    <row r="101" spans="1:12" ht="16.5" customHeight="1" x14ac:dyDescent="0.3">
      <c r="A101" s="6" t="s">
        <v>4</v>
      </c>
      <c r="B101" s="17" t="s">
        <v>10</v>
      </c>
      <c r="C101" s="19" t="s">
        <v>77</v>
      </c>
      <c r="D101" s="19"/>
      <c r="E101" s="19"/>
      <c r="F101" s="19"/>
      <c r="G101" s="19"/>
    </row>
    <row r="102" spans="1:12" x14ac:dyDescent="0.3">
      <c r="A102" s="6" t="s">
        <v>22</v>
      </c>
      <c r="B102" s="17"/>
      <c r="C102" s="3">
        <v>1</v>
      </c>
      <c r="D102" s="3">
        <v>2</v>
      </c>
      <c r="E102" s="3">
        <v>3</v>
      </c>
      <c r="F102" s="3">
        <v>4</v>
      </c>
      <c r="G102" s="3" t="s">
        <v>26</v>
      </c>
    </row>
    <row r="103" spans="1:12" ht="33" x14ac:dyDescent="0.3">
      <c r="A103" s="6" t="s">
        <v>23</v>
      </c>
      <c r="B103" s="17">
        <v>1</v>
      </c>
      <c r="C103" s="7">
        <v>2740</v>
      </c>
      <c r="D103" s="7">
        <v>36</v>
      </c>
      <c r="E103" s="7">
        <v>1</v>
      </c>
      <c r="F103" s="7">
        <v>0</v>
      </c>
      <c r="G103" s="7">
        <v>2777</v>
      </c>
      <c r="I103" t="str">
        <f>TEXT(C103,"#,##0")&amp;" ("&amp;TEXT(C106,"0.00")&amp;")"</f>
        <v>2,740 (17.73)</v>
      </c>
      <c r="J103" t="str">
        <f t="shared" ref="J103:L103" si="20">TEXT(D103,"#,##0")&amp;" ("&amp;TEXT(D106,"0.00")&amp;")"</f>
        <v>36 (0.21)</v>
      </c>
      <c r="K103" t="str">
        <f t="shared" si="20"/>
        <v>1 (0.01)</v>
      </c>
      <c r="L103" t="str">
        <f t="shared" si="20"/>
        <v>0 (0.00)</v>
      </c>
    </row>
    <row r="104" spans="1:12" x14ac:dyDescent="0.3">
      <c r="A104" s="2"/>
      <c r="B104" s="17"/>
      <c r="C104" s="7">
        <v>3.99</v>
      </c>
      <c r="D104" s="7">
        <v>0.05</v>
      </c>
      <c r="E104" s="7">
        <v>0</v>
      </c>
      <c r="F104" s="7">
        <v>0</v>
      </c>
      <c r="G104" s="7">
        <v>4.05</v>
      </c>
      <c r="I104" t="str">
        <f>TEXT(C107,"#,##0")&amp;" ("&amp;TEXT(C110,"0.00")&amp;")"</f>
        <v>12,464 (80.64)</v>
      </c>
      <c r="J104" t="str">
        <f t="shared" ref="J104:L104" si="21">TEXT(D107,"#,##0")&amp;" ("&amp;TEXT(D110,"0.00")&amp;")"</f>
        <v>10,749 (62.05)</v>
      </c>
      <c r="K104" t="str">
        <f t="shared" si="21"/>
        <v>2,911 (16.33)</v>
      </c>
      <c r="L104" t="str">
        <f t="shared" si="21"/>
        <v>311 (1.73)</v>
      </c>
    </row>
    <row r="105" spans="1:12" x14ac:dyDescent="0.3">
      <c r="A105" s="2"/>
      <c r="B105" s="17"/>
      <c r="C105" s="7">
        <v>98.67</v>
      </c>
      <c r="D105" s="7">
        <v>1.3</v>
      </c>
      <c r="E105" s="7">
        <v>0.04</v>
      </c>
      <c r="F105" s="7">
        <v>0</v>
      </c>
      <c r="G105" s="7"/>
      <c r="I105" t="str">
        <f>TEXT(C111,"#,##0")&amp;" ("&amp;TEXT(C114,"0.00")&amp;")"</f>
        <v>253 (1.64)</v>
      </c>
      <c r="J105" t="str">
        <f t="shared" ref="J105:L105" si="22">TEXT(D111,"#,##0")&amp;" ("&amp;TEXT(D114,"0.00")&amp;")"</f>
        <v>5,728 (33.07)</v>
      </c>
      <c r="K105" t="str">
        <f t="shared" si="22"/>
        <v>8,016 (44.96)</v>
      </c>
      <c r="L105" t="str">
        <f t="shared" si="22"/>
        <v>2,268 (12.58)</v>
      </c>
    </row>
    <row r="106" spans="1:12" x14ac:dyDescent="0.3">
      <c r="A106" s="2"/>
      <c r="B106" s="17"/>
      <c r="C106" s="7">
        <v>17.73</v>
      </c>
      <c r="D106" s="7">
        <v>0.21</v>
      </c>
      <c r="E106" s="7">
        <v>0.01</v>
      </c>
      <c r="F106" s="7">
        <v>0</v>
      </c>
      <c r="G106" s="7"/>
      <c r="I106" t="str">
        <f>TEXT(C115,"#,##0")&amp;" ("&amp;TEXT(C118,"0.00")&amp;")"</f>
        <v>0 (0.00)</v>
      </c>
      <c r="J106" t="str">
        <f t="shared" ref="J106:L106" si="23">TEXT(D115,"#,##0")&amp;" ("&amp;TEXT(D118,"0.00")&amp;")"</f>
        <v>809 (4.67)</v>
      </c>
      <c r="K106" t="str">
        <f t="shared" si="23"/>
        <v>6,900 (38.70)</v>
      </c>
      <c r="L106" t="str">
        <f t="shared" si="23"/>
        <v>15,449 (85.69)</v>
      </c>
    </row>
    <row r="107" spans="1:12" x14ac:dyDescent="0.3">
      <c r="A107" s="2"/>
      <c r="B107" s="17">
        <v>2</v>
      </c>
      <c r="C107" s="7">
        <v>12464</v>
      </c>
      <c r="D107" s="7">
        <v>10749</v>
      </c>
      <c r="E107" s="7">
        <v>2911</v>
      </c>
      <c r="F107" s="7">
        <v>311</v>
      </c>
      <c r="G107" s="7">
        <v>26435</v>
      </c>
    </row>
    <row r="108" spans="1:12" x14ac:dyDescent="0.3">
      <c r="A108" s="2"/>
      <c r="B108" s="17"/>
      <c r="C108" s="7">
        <v>18.16</v>
      </c>
      <c r="D108" s="7">
        <v>15.66</v>
      </c>
      <c r="E108" s="7">
        <v>4.24</v>
      </c>
      <c r="F108" s="7">
        <v>0.45</v>
      </c>
      <c r="G108" s="7">
        <v>38.520000000000003</v>
      </c>
    </row>
    <row r="109" spans="1:12" x14ac:dyDescent="0.3">
      <c r="A109" s="2"/>
      <c r="B109" s="17"/>
      <c r="C109" s="7">
        <v>47.15</v>
      </c>
      <c r="D109" s="7">
        <v>40.659999999999997</v>
      </c>
      <c r="E109" s="7">
        <v>11.01</v>
      </c>
      <c r="F109" s="7">
        <v>1.18</v>
      </c>
      <c r="G109" s="7"/>
    </row>
    <row r="110" spans="1:12" x14ac:dyDescent="0.3">
      <c r="A110" s="2"/>
      <c r="B110" s="17"/>
      <c r="C110" s="7">
        <v>80.64</v>
      </c>
      <c r="D110" s="7">
        <v>62.05</v>
      </c>
      <c r="E110" s="7">
        <v>16.329999999999998</v>
      </c>
      <c r="F110" s="7">
        <v>1.73</v>
      </c>
      <c r="G110" s="7"/>
    </row>
    <row r="111" spans="1:12" x14ac:dyDescent="0.3">
      <c r="A111" s="2"/>
      <c r="B111" s="17">
        <v>3</v>
      </c>
      <c r="C111" s="7">
        <v>253</v>
      </c>
      <c r="D111" s="7">
        <v>5728</v>
      </c>
      <c r="E111" s="7">
        <v>8016</v>
      </c>
      <c r="F111" s="7">
        <v>2268</v>
      </c>
      <c r="G111" s="7">
        <v>16265</v>
      </c>
    </row>
    <row r="112" spans="1:12" x14ac:dyDescent="0.3">
      <c r="A112" s="2"/>
      <c r="B112" s="17"/>
      <c r="C112" s="7">
        <v>0.37</v>
      </c>
      <c r="D112" s="7">
        <v>8.35</v>
      </c>
      <c r="E112" s="7">
        <v>11.68</v>
      </c>
      <c r="F112" s="7">
        <v>3.3</v>
      </c>
      <c r="G112" s="7">
        <v>23.7</v>
      </c>
    </row>
    <row r="113" spans="1:12" x14ac:dyDescent="0.3">
      <c r="A113" s="2"/>
      <c r="B113" s="17"/>
      <c r="C113" s="7">
        <v>1.56</v>
      </c>
      <c r="D113" s="7">
        <v>35.22</v>
      </c>
      <c r="E113" s="7">
        <v>49.28</v>
      </c>
      <c r="F113" s="7">
        <v>13.94</v>
      </c>
      <c r="G113" s="7"/>
    </row>
    <row r="114" spans="1:12" x14ac:dyDescent="0.3">
      <c r="A114" s="2"/>
      <c r="B114" s="17"/>
      <c r="C114" s="7">
        <v>1.64</v>
      </c>
      <c r="D114" s="7">
        <v>33.07</v>
      </c>
      <c r="E114" s="7">
        <v>44.96</v>
      </c>
      <c r="F114" s="7">
        <v>12.58</v>
      </c>
      <c r="G114" s="7"/>
    </row>
    <row r="115" spans="1:12" x14ac:dyDescent="0.3">
      <c r="A115" s="2"/>
      <c r="B115" s="17">
        <v>4</v>
      </c>
      <c r="C115" s="7">
        <v>0</v>
      </c>
      <c r="D115" s="7">
        <v>809</v>
      </c>
      <c r="E115" s="7">
        <v>6900</v>
      </c>
      <c r="F115" s="7">
        <v>15449</v>
      </c>
      <c r="G115" s="7">
        <v>23158</v>
      </c>
    </row>
    <row r="116" spans="1:12" x14ac:dyDescent="0.3">
      <c r="A116" s="2"/>
      <c r="B116" s="17"/>
      <c r="C116" s="7">
        <v>0</v>
      </c>
      <c r="D116" s="7">
        <v>1.18</v>
      </c>
      <c r="E116" s="7">
        <v>10.050000000000001</v>
      </c>
      <c r="F116" s="7">
        <v>22.51</v>
      </c>
      <c r="G116" s="7">
        <v>33.74</v>
      </c>
    </row>
    <row r="117" spans="1:12" x14ac:dyDescent="0.3">
      <c r="A117" s="2"/>
      <c r="B117" s="17"/>
      <c r="C117" s="7">
        <v>0</v>
      </c>
      <c r="D117" s="7">
        <v>3.49</v>
      </c>
      <c r="E117" s="7">
        <v>29.8</v>
      </c>
      <c r="F117" s="7">
        <v>66.709999999999994</v>
      </c>
      <c r="G117" s="7"/>
    </row>
    <row r="118" spans="1:12" x14ac:dyDescent="0.3">
      <c r="A118" s="2"/>
      <c r="B118" s="17"/>
      <c r="C118" s="7">
        <v>0</v>
      </c>
      <c r="D118" s="7">
        <v>4.67</v>
      </c>
      <c r="E118" s="7">
        <v>38.700000000000003</v>
      </c>
      <c r="F118" s="7">
        <v>85.69</v>
      </c>
      <c r="G118" s="7"/>
    </row>
    <row r="119" spans="1:12" x14ac:dyDescent="0.3">
      <c r="A119" s="2"/>
      <c r="B119" s="17" t="s">
        <v>26</v>
      </c>
      <c r="C119" s="7">
        <v>15457</v>
      </c>
      <c r="D119" s="7">
        <v>17322</v>
      </c>
      <c r="E119" s="7">
        <v>17828</v>
      </c>
      <c r="F119" s="7">
        <v>18028</v>
      </c>
      <c r="G119" s="7">
        <v>68635</v>
      </c>
    </row>
    <row r="120" spans="1:12" x14ac:dyDescent="0.3">
      <c r="A120" s="2"/>
      <c r="B120" s="17"/>
      <c r="C120" s="7">
        <v>22.52</v>
      </c>
      <c r="D120" s="7">
        <v>25.24</v>
      </c>
      <c r="E120" s="7">
        <v>25.98</v>
      </c>
      <c r="F120" s="7">
        <v>26.27</v>
      </c>
      <c r="G120" s="7">
        <v>100</v>
      </c>
    </row>
    <row r="121" spans="1:12" x14ac:dyDescent="0.3">
      <c r="A121" s="2"/>
      <c r="B121" s="20"/>
      <c r="C121" s="20"/>
      <c r="D121" s="20"/>
      <c r="E121" s="20"/>
      <c r="F121" s="20"/>
      <c r="G121" s="20"/>
    </row>
    <row r="122" spans="1:12" ht="17.25" thickBot="1" x14ac:dyDescent="0.35"/>
    <row r="123" spans="1:12" ht="16.5" customHeight="1" x14ac:dyDescent="0.3">
      <c r="A123" s="4" t="s">
        <v>3</v>
      </c>
      <c r="B123" s="16" t="s">
        <v>83</v>
      </c>
      <c r="C123" s="18"/>
      <c r="D123" s="18"/>
      <c r="E123" s="18"/>
      <c r="F123" s="18"/>
      <c r="G123" s="18"/>
    </row>
    <row r="124" spans="1:12" ht="16.5" customHeight="1" x14ac:dyDescent="0.3">
      <c r="A124" s="6" t="s">
        <v>4</v>
      </c>
      <c r="B124" s="17" t="s">
        <v>11</v>
      </c>
      <c r="C124" s="19" t="s">
        <v>77</v>
      </c>
      <c r="D124" s="19"/>
      <c r="E124" s="19"/>
      <c r="F124" s="19"/>
      <c r="G124" s="19"/>
    </row>
    <row r="125" spans="1:12" x14ac:dyDescent="0.3">
      <c r="A125" s="6" t="s">
        <v>22</v>
      </c>
      <c r="B125" s="17"/>
      <c r="C125" s="3">
        <v>1</v>
      </c>
      <c r="D125" s="3">
        <v>2</v>
      </c>
      <c r="E125" s="3">
        <v>3</v>
      </c>
      <c r="F125" s="3">
        <v>4</v>
      </c>
      <c r="G125" s="3" t="s">
        <v>26</v>
      </c>
    </row>
    <row r="126" spans="1:12" ht="33" x14ac:dyDescent="0.3">
      <c r="A126" s="6" t="s">
        <v>23</v>
      </c>
      <c r="B126" s="17">
        <v>1</v>
      </c>
      <c r="C126" s="7">
        <v>10963</v>
      </c>
      <c r="D126" s="7">
        <v>14447</v>
      </c>
      <c r="E126" s="7">
        <v>15695</v>
      </c>
      <c r="F126" s="7">
        <v>15709</v>
      </c>
      <c r="G126" s="7">
        <v>56814</v>
      </c>
      <c r="I126" t="str">
        <f>TEXT(C126,"#,##0")&amp;" ("&amp;TEXT(C129,"0.00")&amp;")"</f>
        <v>10,963 (70.93)</v>
      </c>
      <c r="J126" t="str">
        <f t="shared" ref="J126:L126" si="24">TEXT(D126,"#,##0")&amp;" ("&amp;TEXT(D129,"0.00")&amp;")"</f>
        <v>14,447 (83.40)</v>
      </c>
      <c r="K126" t="str">
        <f t="shared" si="24"/>
        <v>15,695 (88.04)</v>
      </c>
      <c r="L126" t="str">
        <f t="shared" si="24"/>
        <v>15,709 (87.14)</v>
      </c>
    </row>
    <row r="127" spans="1:12" x14ac:dyDescent="0.3">
      <c r="A127" s="2"/>
      <c r="B127" s="17"/>
      <c r="C127" s="7">
        <v>15.97</v>
      </c>
      <c r="D127" s="7">
        <v>21.05</v>
      </c>
      <c r="E127" s="7">
        <v>22.87</v>
      </c>
      <c r="F127" s="7">
        <v>22.89</v>
      </c>
      <c r="G127" s="7">
        <v>82.78</v>
      </c>
      <c r="I127" t="str">
        <f>TEXT(C130,"#,##0")&amp;" ("&amp;TEXT(C133,"0.00")&amp;")"</f>
        <v>4,494 (29.07)</v>
      </c>
      <c r="J127" t="str">
        <f t="shared" ref="J127:L127" si="25">TEXT(D130,"#,##0")&amp;" ("&amp;TEXT(D133,"0.00")&amp;")"</f>
        <v>2,875 (16.60)</v>
      </c>
      <c r="K127" t="str">
        <f t="shared" si="25"/>
        <v>2,133 (11.96)</v>
      </c>
      <c r="L127" t="str">
        <f t="shared" si="25"/>
        <v>2,319 (12.86)</v>
      </c>
    </row>
    <row r="128" spans="1:12" x14ac:dyDescent="0.3">
      <c r="A128" s="2"/>
      <c r="B128" s="17"/>
      <c r="C128" s="7">
        <v>19.3</v>
      </c>
      <c r="D128" s="7">
        <v>25.43</v>
      </c>
      <c r="E128" s="7">
        <v>27.63</v>
      </c>
      <c r="F128" s="7">
        <v>27.65</v>
      </c>
      <c r="G128" s="7"/>
      <c r="I128" t="str">
        <f>TEXT(C134,"#,##0")&amp;" ("&amp;TEXT(C137,"0.00")&amp;")"</f>
        <v>15,457 (0.00)</v>
      </c>
      <c r="J128" t="str">
        <f t="shared" ref="J128:L128" si="26">TEXT(D134,"#,##0")&amp;" ("&amp;TEXT(D137,"0.00")&amp;")"</f>
        <v>17,322 (0.00)</v>
      </c>
      <c r="K128" t="str">
        <f t="shared" si="26"/>
        <v>17,828 (0.00)</v>
      </c>
      <c r="L128" t="str">
        <f t="shared" si="26"/>
        <v>18,028 (0.00)</v>
      </c>
    </row>
    <row r="129" spans="1:12" x14ac:dyDescent="0.3">
      <c r="A129" s="2"/>
      <c r="B129" s="17"/>
      <c r="C129" s="7">
        <v>70.930000000000007</v>
      </c>
      <c r="D129" s="7">
        <v>83.4</v>
      </c>
      <c r="E129" s="7">
        <v>88.04</v>
      </c>
      <c r="F129" s="7">
        <v>87.14</v>
      </c>
      <c r="G129" s="7"/>
      <c r="I129" t="str">
        <f>TEXT(C138,"#,##0")&amp;" ("&amp;TEXT(C141,"0.00")&amp;")"</f>
        <v>0 (5526.00)</v>
      </c>
      <c r="J129" t="str">
        <f t="shared" ref="J129:L129" si="27">TEXT(D138,"#,##0")&amp;" ("&amp;TEXT(D141,"0.00")&amp;")"</f>
        <v>0 (6338.00)</v>
      </c>
      <c r="K129" t="str">
        <f t="shared" si="27"/>
        <v>0 (5954.00)</v>
      </c>
      <c r="L129" t="str">
        <f t="shared" si="27"/>
        <v>0 (5058.00)</v>
      </c>
    </row>
    <row r="130" spans="1:12" x14ac:dyDescent="0.3">
      <c r="A130" s="2"/>
      <c r="B130" s="17">
        <v>2</v>
      </c>
      <c r="C130" s="7">
        <v>4494</v>
      </c>
      <c r="D130" s="7">
        <v>2875</v>
      </c>
      <c r="E130" s="7">
        <v>2133</v>
      </c>
      <c r="F130" s="7">
        <v>2319</v>
      </c>
      <c r="G130" s="7">
        <v>11821</v>
      </c>
    </row>
    <row r="131" spans="1:12" x14ac:dyDescent="0.3">
      <c r="A131" s="2"/>
      <c r="B131" s="17"/>
      <c r="C131" s="7">
        <v>6.55</v>
      </c>
      <c r="D131" s="7">
        <v>4.1900000000000004</v>
      </c>
      <c r="E131" s="7">
        <v>3.11</v>
      </c>
      <c r="F131" s="7">
        <v>3.38</v>
      </c>
      <c r="G131" s="7">
        <v>17.22</v>
      </c>
    </row>
    <row r="132" spans="1:12" x14ac:dyDescent="0.3">
      <c r="A132" s="2"/>
      <c r="B132" s="17"/>
      <c r="C132" s="7">
        <v>38.020000000000003</v>
      </c>
      <c r="D132" s="7">
        <v>24.32</v>
      </c>
      <c r="E132" s="7">
        <v>18.04</v>
      </c>
      <c r="F132" s="7">
        <v>19.62</v>
      </c>
      <c r="G132" s="7"/>
    </row>
    <row r="133" spans="1:12" x14ac:dyDescent="0.3">
      <c r="A133" s="2"/>
      <c r="B133" s="17"/>
      <c r="C133" s="7">
        <v>29.07</v>
      </c>
      <c r="D133" s="7">
        <v>16.600000000000001</v>
      </c>
      <c r="E133" s="7">
        <v>11.96</v>
      </c>
      <c r="F133" s="7">
        <v>12.86</v>
      </c>
      <c r="G133" s="7"/>
    </row>
    <row r="134" spans="1:12" x14ac:dyDescent="0.3">
      <c r="A134" s="2"/>
      <c r="B134" s="17" t="s">
        <v>26</v>
      </c>
      <c r="C134" s="7">
        <v>15457</v>
      </c>
      <c r="D134" s="7">
        <v>17322</v>
      </c>
      <c r="E134" s="7">
        <v>17828</v>
      </c>
      <c r="F134" s="7">
        <v>18028</v>
      </c>
      <c r="G134" s="7">
        <v>68635</v>
      </c>
    </row>
    <row r="135" spans="1:12" x14ac:dyDescent="0.3">
      <c r="A135" s="2"/>
      <c r="B135" s="17"/>
      <c r="C135" s="7">
        <v>22.52</v>
      </c>
      <c r="D135" s="7">
        <v>25.24</v>
      </c>
      <c r="E135" s="7">
        <v>25.98</v>
      </c>
      <c r="F135" s="7">
        <v>26.27</v>
      </c>
      <c r="G135" s="7">
        <v>100</v>
      </c>
    </row>
    <row r="136" spans="1:12" x14ac:dyDescent="0.3">
      <c r="A136" s="2"/>
      <c r="B136" s="20"/>
      <c r="C136" s="20"/>
      <c r="D136" s="20"/>
      <c r="E136" s="20"/>
      <c r="F136" s="20"/>
      <c r="G136" s="20"/>
    </row>
    <row r="137" spans="1:12" ht="17.25" thickBot="1" x14ac:dyDescent="0.35"/>
    <row r="138" spans="1:12" ht="16.5" customHeight="1" x14ac:dyDescent="0.3">
      <c r="A138" s="4" t="s">
        <v>3</v>
      </c>
      <c r="B138" s="16" t="s">
        <v>84</v>
      </c>
      <c r="C138" s="18"/>
      <c r="D138" s="18"/>
      <c r="E138" s="18"/>
      <c r="F138" s="18"/>
      <c r="G138" s="18"/>
    </row>
    <row r="139" spans="1:12" ht="16.5" customHeight="1" x14ac:dyDescent="0.3">
      <c r="A139" s="6" t="s">
        <v>4</v>
      </c>
      <c r="B139" s="17" t="s">
        <v>12</v>
      </c>
      <c r="C139" s="19" t="s">
        <v>77</v>
      </c>
      <c r="D139" s="19"/>
      <c r="E139" s="19"/>
      <c r="F139" s="19"/>
      <c r="G139" s="19"/>
    </row>
    <row r="140" spans="1:12" x14ac:dyDescent="0.3">
      <c r="A140" s="6" t="s">
        <v>22</v>
      </c>
      <c r="B140" s="17"/>
      <c r="C140" s="3">
        <v>1</v>
      </c>
      <c r="D140" s="3">
        <v>2</v>
      </c>
      <c r="E140" s="3">
        <v>3</v>
      </c>
      <c r="F140" s="3">
        <v>4</v>
      </c>
      <c r="G140" s="3" t="s">
        <v>26</v>
      </c>
    </row>
    <row r="141" spans="1:12" ht="33" x14ac:dyDescent="0.3">
      <c r="A141" s="6" t="s">
        <v>23</v>
      </c>
      <c r="B141" s="17">
        <v>1</v>
      </c>
      <c r="C141" s="7">
        <v>5526</v>
      </c>
      <c r="D141" s="7">
        <v>6338</v>
      </c>
      <c r="E141" s="7">
        <v>5954</v>
      </c>
      <c r="F141" s="7">
        <v>5058</v>
      </c>
      <c r="G141" s="7">
        <v>22876</v>
      </c>
      <c r="I141" t="str">
        <f>TEXT(C141,"#,##0")&amp;" ("&amp;TEXT(C144,"0.00")&amp;")"</f>
        <v>5,526 (35.75)</v>
      </c>
      <c r="J141" t="str">
        <f t="shared" ref="J141:L141" si="28">TEXT(D141,"#,##0")&amp;" ("&amp;TEXT(D144,"0.00")&amp;")"</f>
        <v>6,338 (36.59)</v>
      </c>
      <c r="K141" t="str">
        <f t="shared" si="28"/>
        <v>5,954 (33.40)</v>
      </c>
      <c r="L141" t="str">
        <f t="shared" si="28"/>
        <v>5,058 (28.06)</v>
      </c>
    </row>
    <row r="142" spans="1:12" x14ac:dyDescent="0.3">
      <c r="A142" s="2"/>
      <c r="B142" s="17"/>
      <c r="C142" s="7">
        <v>8.0500000000000007</v>
      </c>
      <c r="D142" s="7">
        <v>9.23</v>
      </c>
      <c r="E142" s="7">
        <v>8.67</v>
      </c>
      <c r="F142" s="7">
        <v>7.37</v>
      </c>
      <c r="G142" s="7">
        <v>33.33</v>
      </c>
      <c r="I142" t="str">
        <f>TEXT(C145,"#,##0")&amp;" ("&amp;TEXT(C148,"0.00")&amp;")"</f>
        <v>7,556 (48.88)</v>
      </c>
      <c r="J142" t="str">
        <f t="shared" ref="J142:L142" si="29">TEXT(D145,"#,##0")&amp;" ("&amp;TEXT(D148,"0.00")&amp;")"</f>
        <v>8,180 (47.22)</v>
      </c>
      <c r="K142" t="str">
        <f t="shared" si="29"/>
        <v>8,627 (48.39)</v>
      </c>
      <c r="L142" t="str">
        <f t="shared" si="29"/>
        <v>8,847 (49.07)</v>
      </c>
    </row>
    <row r="143" spans="1:12" x14ac:dyDescent="0.3">
      <c r="A143" s="2"/>
      <c r="B143" s="17"/>
      <c r="C143" s="7">
        <v>24.16</v>
      </c>
      <c r="D143" s="7">
        <v>27.71</v>
      </c>
      <c r="E143" s="7">
        <v>26.03</v>
      </c>
      <c r="F143" s="7">
        <v>22.11</v>
      </c>
      <c r="G143" s="7"/>
      <c r="I143" t="str">
        <f>TEXT(C149,"#,##0")&amp;" ("&amp;TEXT(C152,"0.00")&amp;")"</f>
        <v>2,375 (15.37)</v>
      </c>
      <c r="J143" t="str">
        <f t="shared" ref="J143:L143" si="30">TEXT(D149,"#,##0")&amp;" ("&amp;TEXT(D152,"0.00")&amp;")"</f>
        <v>2,804 (16.19)</v>
      </c>
      <c r="K143" t="str">
        <f t="shared" si="30"/>
        <v>3,247 (18.21)</v>
      </c>
      <c r="L143" t="str">
        <f t="shared" si="30"/>
        <v>4,123 (22.87)</v>
      </c>
    </row>
    <row r="144" spans="1:12" x14ac:dyDescent="0.3">
      <c r="A144" s="2"/>
      <c r="B144" s="17"/>
      <c r="C144" s="7">
        <v>35.75</v>
      </c>
      <c r="D144" s="7">
        <v>36.590000000000003</v>
      </c>
      <c r="E144" s="7">
        <v>33.4</v>
      </c>
      <c r="F144" s="7">
        <v>28.06</v>
      </c>
      <c r="G144" s="7"/>
      <c r="I144" t="str">
        <f>TEXT(C153,"#,##0")&amp;" ("&amp;TEXT(C156,"0.00")&amp;")"</f>
        <v>15,457 (0.00)</v>
      </c>
      <c r="J144" t="str">
        <f t="shared" ref="J144:L144" si="31">TEXT(D153,"#,##0")&amp;" ("&amp;TEXT(D156,"0.00")&amp;")"</f>
        <v>17,322 (0.00)</v>
      </c>
      <c r="K144" t="str">
        <f t="shared" si="31"/>
        <v>17,828 (0.00)</v>
      </c>
      <c r="L144" t="str">
        <f t="shared" si="31"/>
        <v>18,028 (0.00)</v>
      </c>
    </row>
    <row r="145" spans="1:12" x14ac:dyDescent="0.3">
      <c r="A145" s="2"/>
      <c r="B145" s="17">
        <v>2</v>
      </c>
      <c r="C145" s="7">
        <v>7556</v>
      </c>
      <c r="D145" s="7">
        <v>8180</v>
      </c>
      <c r="E145" s="7">
        <v>8627</v>
      </c>
      <c r="F145" s="7">
        <v>8847</v>
      </c>
      <c r="G145" s="7">
        <v>33210</v>
      </c>
    </row>
    <row r="146" spans="1:12" x14ac:dyDescent="0.3">
      <c r="A146" s="2"/>
      <c r="B146" s="17"/>
      <c r="C146" s="7">
        <v>11.01</v>
      </c>
      <c r="D146" s="7">
        <v>11.92</v>
      </c>
      <c r="E146" s="7">
        <v>12.57</v>
      </c>
      <c r="F146" s="7">
        <v>12.89</v>
      </c>
      <c r="G146" s="7">
        <v>48.39</v>
      </c>
    </row>
    <row r="147" spans="1:12" x14ac:dyDescent="0.3">
      <c r="A147" s="2"/>
      <c r="B147" s="17"/>
      <c r="C147" s="7">
        <v>22.75</v>
      </c>
      <c r="D147" s="7">
        <v>24.63</v>
      </c>
      <c r="E147" s="7">
        <v>25.98</v>
      </c>
      <c r="F147" s="7">
        <v>26.64</v>
      </c>
      <c r="G147" s="7"/>
    </row>
    <row r="148" spans="1:12" x14ac:dyDescent="0.3">
      <c r="A148" s="2"/>
      <c r="B148" s="17"/>
      <c r="C148" s="7">
        <v>48.88</v>
      </c>
      <c r="D148" s="7">
        <v>47.22</v>
      </c>
      <c r="E148" s="7">
        <v>48.39</v>
      </c>
      <c r="F148" s="7">
        <v>49.07</v>
      </c>
      <c r="G148" s="7"/>
    </row>
    <row r="149" spans="1:12" x14ac:dyDescent="0.3">
      <c r="A149" s="2"/>
      <c r="B149" s="17">
        <v>3</v>
      </c>
      <c r="C149" s="7">
        <v>2375</v>
      </c>
      <c r="D149" s="7">
        <v>2804</v>
      </c>
      <c r="E149" s="7">
        <v>3247</v>
      </c>
      <c r="F149" s="7">
        <v>4123</v>
      </c>
      <c r="G149" s="7">
        <v>12549</v>
      </c>
    </row>
    <row r="150" spans="1:12" x14ac:dyDescent="0.3">
      <c r="A150" s="2"/>
      <c r="B150" s="17"/>
      <c r="C150" s="7">
        <v>3.46</v>
      </c>
      <c r="D150" s="7">
        <v>4.09</v>
      </c>
      <c r="E150" s="7">
        <v>4.7300000000000004</v>
      </c>
      <c r="F150" s="7">
        <v>6.01</v>
      </c>
      <c r="G150" s="7">
        <v>18.28</v>
      </c>
    </row>
    <row r="151" spans="1:12" x14ac:dyDescent="0.3">
      <c r="A151" s="2"/>
      <c r="B151" s="17"/>
      <c r="C151" s="7">
        <v>18.93</v>
      </c>
      <c r="D151" s="7">
        <v>22.34</v>
      </c>
      <c r="E151" s="7">
        <v>25.87</v>
      </c>
      <c r="F151" s="7">
        <v>32.86</v>
      </c>
      <c r="G151" s="7"/>
    </row>
    <row r="152" spans="1:12" x14ac:dyDescent="0.3">
      <c r="A152" s="2"/>
      <c r="B152" s="17"/>
      <c r="C152" s="7">
        <v>15.37</v>
      </c>
      <c r="D152" s="7">
        <v>16.190000000000001</v>
      </c>
      <c r="E152" s="7">
        <v>18.21</v>
      </c>
      <c r="F152" s="7">
        <v>22.87</v>
      </c>
      <c r="G152" s="7"/>
    </row>
    <row r="153" spans="1:12" x14ac:dyDescent="0.3">
      <c r="A153" s="2"/>
      <c r="B153" s="17" t="s">
        <v>26</v>
      </c>
      <c r="C153" s="7">
        <v>15457</v>
      </c>
      <c r="D153" s="7">
        <v>17322</v>
      </c>
      <c r="E153" s="7">
        <v>17828</v>
      </c>
      <c r="F153" s="7">
        <v>18028</v>
      </c>
      <c r="G153" s="7">
        <v>68635</v>
      </c>
    </row>
    <row r="154" spans="1:12" x14ac:dyDescent="0.3">
      <c r="A154" s="2"/>
      <c r="B154" s="17"/>
      <c r="C154" s="7">
        <v>22.52</v>
      </c>
      <c r="D154" s="7">
        <v>25.24</v>
      </c>
      <c r="E154" s="7">
        <v>25.98</v>
      </c>
      <c r="F154" s="7">
        <v>26.27</v>
      </c>
      <c r="G154" s="7">
        <v>100</v>
      </c>
    </row>
    <row r="155" spans="1:12" x14ac:dyDescent="0.3">
      <c r="A155" s="2"/>
      <c r="B155" s="20"/>
      <c r="C155" s="20"/>
      <c r="D155" s="20"/>
      <c r="E155" s="20"/>
      <c r="F155" s="20"/>
      <c r="G155" s="20"/>
    </row>
    <row r="156" spans="1:12" ht="17.25" thickBot="1" x14ac:dyDescent="0.35"/>
    <row r="157" spans="1:12" ht="16.5" customHeight="1" x14ac:dyDescent="0.3">
      <c r="A157" s="4" t="s">
        <v>3</v>
      </c>
      <c r="B157" s="16" t="s">
        <v>85</v>
      </c>
      <c r="C157" s="18"/>
      <c r="D157" s="18"/>
      <c r="E157" s="18"/>
      <c r="F157" s="18"/>
      <c r="G157" s="18"/>
    </row>
    <row r="158" spans="1:12" ht="16.5" customHeight="1" x14ac:dyDescent="0.3">
      <c r="A158" s="6" t="s">
        <v>4</v>
      </c>
      <c r="B158" s="17" t="s">
        <v>13</v>
      </c>
      <c r="C158" s="19" t="s">
        <v>77</v>
      </c>
      <c r="D158" s="19"/>
      <c r="E158" s="19"/>
      <c r="F158" s="19"/>
      <c r="G158" s="19"/>
    </row>
    <row r="159" spans="1:12" x14ac:dyDescent="0.3">
      <c r="A159" s="6" t="s">
        <v>22</v>
      </c>
      <c r="B159" s="17"/>
      <c r="C159" s="3">
        <v>1</v>
      </c>
      <c r="D159" s="3">
        <v>2</v>
      </c>
      <c r="E159" s="3">
        <v>3</v>
      </c>
      <c r="F159" s="3">
        <v>4</v>
      </c>
      <c r="G159" s="3" t="s">
        <v>26</v>
      </c>
    </row>
    <row r="160" spans="1:12" ht="33" x14ac:dyDescent="0.3">
      <c r="A160" s="6" t="s">
        <v>23</v>
      </c>
      <c r="B160" s="17">
        <v>1</v>
      </c>
      <c r="C160" s="7">
        <v>4412</v>
      </c>
      <c r="D160" s="7">
        <v>4459</v>
      </c>
      <c r="E160" s="7">
        <v>4344</v>
      </c>
      <c r="F160" s="7">
        <v>5042</v>
      </c>
      <c r="G160" s="7">
        <v>18257</v>
      </c>
      <c r="I160" t="str">
        <f>TEXT(C160,"#,##0")&amp;" ("&amp;TEXT(C163,"0.00")&amp;")"</f>
        <v>4,412 (28.54)</v>
      </c>
      <c r="J160" t="str">
        <f t="shared" ref="J160:L160" si="32">TEXT(D160,"#,##0")&amp;" ("&amp;TEXT(D163,"0.00")&amp;")"</f>
        <v>4,459 (25.74)</v>
      </c>
      <c r="K160" t="str">
        <f t="shared" si="32"/>
        <v>4,344 (24.37)</v>
      </c>
      <c r="L160" t="str">
        <f t="shared" si="32"/>
        <v>5,042 (27.97)</v>
      </c>
    </row>
    <row r="161" spans="1:12" x14ac:dyDescent="0.3">
      <c r="A161" s="2"/>
      <c r="B161" s="17"/>
      <c r="C161" s="7">
        <v>6.43</v>
      </c>
      <c r="D161" s="7">
        <v>6.5</v>
      </c>
      <c r="E161" s="7">
        <v>6.33</v>
      </c>
      <c r="F161" s="7">
        <v>7.35</v>
      </c>
      <c r="G161" s="7">
        <v>26.6</v>
      </c>
      <c r="I161" t="str">
        <f>TEXT(C164,"#,##0")&amp;" ("&amp;TEXT(C167,"0.00")&amp;")"</f>
        <v>9,059 (58.61)</v>
      </c>
      <c r="J161" t="str">
        <f t="shared" ref="J161:L161" si="33">TEXT(D164,"#,##0")&amp;" ("&amp;TEXT(D167,"0.00")&amp;")"</f>
        <v>10,158 (58.64)</v>
      </c>
      <c r="K161" t="str">
        <f t="shared" si="33"/>
        <v>10,322 (57.90)</v>
      </c>
      <c r="L161" t="str">
        <f t="shared" si="33"/>
        <v>10,012 (55.54)</v>
      </c>
    </row>
    <row r="162" spans="1:12" x14ac:dyDescent="0.3">
      <c r="A162" s="2"/>
      <c r="B162" s="17"/>
      <c r="C162" s="7">
        <v>24.17</v>
      </c>
      <c r="D162" s="7">
        <v>24.42</v>
      </c>
      <c r="E162" s="7">
        <v>23.79</v>
      </c>
      <c r="F162" s="7">
        <v>27.62</v>
      </c>
      <c r="G162" s="7"/>
      <c r="I162" t="str">
        <f>TEXT(C168,"#,##0")&amp;" ("&amp;TEXT(C171,"0.00")&amp;")"</f>
        <v>1,986 (12.85)</v>
      </c>
      <c r="J162" t="str">
        <f t="shared" ref="J162:L162" si="34">TEXT(D168,"#,##0")&amp;" ("&amp;TEXT(D171,"0.00")&amp;")"</f>
        <v>2,705 (15.62)</v>
      </c>
      <c r="K162" t="str">
        <f t="shared" si="34"/>
        <v>3,162 (17.74)</v>
      </c>
      <c r="L162" t="str">
        <f t="shared" si="34"/>
        <v>2,974 (16.50)</v>
      </c>
    </row>
    <row r="163" spans="1:12" x14ac:dyDescent="0.3">
      <c r="A163" s="2"/>
      <c r="B163" s="17"/>
      <c r="C163" s="7">
        <v>28.54</v>
      </c>
      <c r="D163" s="7">
        <v>25.74</v>
      </c>
      <c r="E163" s="7">
        <v>24.37</v>
      </c>
      <c r="F163" s="7">
        <v>27.97</v>
      </c>
      <c r="G163" s="7"/>
      <c r="I163" t="str">
        <f>TEXT(C172,"#,##0")&amp;" ("&amp;TEXT(C175,"0.00")&amp;")"</f>
        <v>15,457 (0.00)</v>
      </c>
      <c r="J163" t="str">
        <f t="shared" ref="J163:L163" si="35">TEXT(D172,"#,##0")&amp;" ("&amp;TEXT(D175,"0.00")&amp;")"</f>
        <v>17,322 (0.00)</v>
      </c>
      <c r="K163" t="str">
        <f t="shared" si="35"/>
        <v>17,828 (0.00)</v>
      </c>
      <c r="L163" t="str">
        <f t="shared" si="35"/>
        <v>18,028 (0.00)</v>
      </c>
    </row>
    <row r="164" spans="1:12" x14ac:dyDescent="0.3">
      <c r="A164" s="2"/>
      <c r="B164" s="17">
        <v>2</v>
      </c>
      <c r="C164" s="7">
        <v>9059</v>
      </c>
      <c r="D164" s="7">
        <v>10158</v>
      </c>
      <c r="E164" s="7">
        <v>10322</v>
      </c>
      <c r="F164" s="7">
        <v>10012</v>
      </c>
      <c r="G164" s="7">
        <v>39551</v>
      </c>
    </row>
    <row r="165" spans="1:12" x14ac:dyDescent="0.3">
      <c r="A165" s="2"/>
      <c r="B165" s="17"/>
      <c r="C165" s="7">
        <v>13.2</v>
      </c>
      <c r="D165" s="7">
        <v>14.8</v>
      </c>
      <c r="E165" s="7">
        <v>15.04</v>
      </c>
      <c r="F165" s="7">
        <v>14.59</v>
      </c>
      <c r="G165" s="7">
        <v>57.63</v>
      </c>
    </row>
    <row r="166" spans="1:12" x14ac:dyDescent="0.3">
      <c r="A166" s="2"/>
      <c r="B166" s="17"/>
      <c r="C166" s="7">
        <v>22.9</v>
      </c>
      <c r="D166" s="7">
        <v>25.68</v>
      </c>
      <c r="E166" s="7">
        <v>26.1</v>
      </c>
      <c r="F166" s="7">
        <v>25.31</v>
      </c>
      <c r="G166" s="7"/>
    </row>
    <row r="167" spans="1:12" x14ac:dyDescent="0.3">
      <c r="A167" s="2"/>
      <c r="B167" s="17"/>
      <c r="C167" s="7">
        <v>58.61</v>
      </c>
      <c r="D167" s="7">
        <v>58.64</v>
      </c>
      <c r="E167" s="7">
        <v>57.9</v>
      </c>
      <c r="F167" s="7">
        <v>55.54</v>
      </c>
      <c r="G167" s="7"/>
    </row>
    <row r="168" spans="1:12" x14ac:dyDescent="0.3">
      <c r="A168" s="2"/>
      <c r="B168" s="17">
        <v>3</v>
      </c>
      <c r="C168" s="7">
        <v>1986</v>
      </c>
      <c r="D168" s="7">
        <v>2705</v>
      </c>
      <c r="E168" s="7">
        <v>3162</v>
      </c>
      <c r="F168" s="7">
        <v>2974</v>
      </c>
      <c r="G168" s="7">
        <v>10827</v>
      </c>
    </row>
    <row r="169" spans="1:12" x14ac:dyDescent="0.3">
      <c r="A169" s="2"/>
      <c r="B169" s="17"/>
      <c r="C169" s="7">
        <v>2.89</v>
      </c>
      <c r="D169" s="7">
        <v>3.94</v>
      </c>
      <c r="E169" s="7">
        <v>4.6100000000000003</v>
      </c>
      <c r="F169" s="7">
        <v>4.33</v>
      </c>
      <c r="G169" s="7">
        <v>15.77</v>
      </c>
    </row>
    <row r="170" spans="1:12" x14ac:dyDescent="0.3">
      <c r="A170" s="2"/>
      <c r="B170" s="17"/>
      <c r="C170" s="7">
        <v>18.34</v>
      </c>
      <c r="D170" s="7">
        <v>24.98</v>
      </c>
      <c r="E170" s="7">
        <v>29.2</v>
      </c>
      <c r="F170" s="7">
        <v>27.47</v>
      </c>
      <c r="G170" s="7"/>
    </row>
    <row r="171" spans="1:12" x14ac:dyDescent="0.3">
      <c r="A171" s="2"/>
      <c r="B171" s="17"/>
      <c r="C171" s="7">
        <v>12.85</v>
      </c>
      <c r="D171" s="7">
        <v>15.62</v>
      </c>
      <c r="E171" s="7">
        <v>17.739999999999998</v>
      </c>
      <c r="F171" s="7">
        <v>16.5</v>
      </c>
      <c r="G171" s="7"/>
    </row>
    <row r="172" spans="1:12" x14ac:dyDescent="0.3">
      <c r="A172" s="2"/>
      <c r="B172" s="17" t="s">
        <v>26</v>
      </c>
      <c r="C172" s="7">
        <v>15457</v>
      </c>
      <c r="D172" s="7">
        <v>17322</v>
      </c>
      <c r="E172" s="7">
        <v>17828</v>
      </c>
      <c r="F172" s="7">
        <v>18028</v>
      </c>
      <c r="G172" s="7">
        <v>68635</v>
      </c>
    </row>
    <row r="173" spans="1:12" x14ac:dyDescent="0.3">
      <c r="A173" s="2"/>
      <c r="B173" s="17"/>
      <c r="C173" s="7">
        <v>22.52</v>
      </c>
      <c r="D173" s="7">
        <v>25.24</v>
      </c>
      <c r="E173" s="7">
        <v>25.98</v>
      </c>
      <c r="F173" s="7">
        <v>26.27</v>
      </c>
      <c r="G173" s="7">
        <v>100</v>
      </c>
    </row>
    <row r="174" spans="1:12" x14ac:dyDescent="0.3">
      <c r="A174" s="2"/>
      <c r="B174" s="20"/>
      <c r="C174" s="20"/>
      <c r="D174" s="20"/>
      <c r="E174" s="20"/>
      <c r="F174" s="20"/>
      <c r="G174" s="20"/>
    </row>
    <row r="175" spans="1:12" ht="17.25" thickBot="1" x14ac:dyDescent="0.35"/>
    <row r="176" spans="1:12" ht="16.5" customHeight="1" x14ac:dyDescent="0.3">
      <c r="A176" s="4" t="s">
        <v>3</v>
      </c>
      <c r="B176" s="16" t="s">
        <v>86</v>
      </c>
      <c r="C176" s="18"/>
      <c r="D176" s="18"/>
      <c r="E176" s="18"/>
      <c r="F176" s="18"/>
      <c r="G176" s="18"/>
    </row>
    <row r="177" spans="1:12" ht="16.5" customHeight="1" x14ac:dyDescent="0.3">
      <c r="A177" s="6" t="s">
        <v>4</v>
      </c>
      <c r="B177" s="17" t="s">
        <v>14</v>
      </c>
      <c r="C177" s="19" t="s">
        <v>77</v>
      </c>
      <c r="D177" s="19"/>
      <c r="E177" s="19"/>
      <c r="F177" s="19"/>
      <c r="G177" s="19"/>
    </row>
    <row r="178" spans="1:12" x14ac:dyDescent="0.3">
      <c r="A178" s="6" t="s">
        <v>22</v>
      </c>
      <c r="B178" s="17"/>
      <c r="C178" s="3">
        <v>1</v>
      </c>
      <c r="D178" s="3">
        <v>2</v>
      </c>
      <c r="E178" s="3">
        <v>3</v>
      </c>
      <c r="F178" s="3">
        <v>4</v>
      </c>
      <c r="G178" s="3" t="s">
        <v>26</v>
      </c>
    </row>
    <row r="179" spans="1:12" ht="33" x14ac:dyDescent="0.3">
      <c r="A179" s="6" t="s">
        <v>23</v>
      </c>
      <c r="B179" s="17">
        <v>1</v>
      </c>
      <c r="C179" s="7">
        <v>6223</v>
      </c>
      <c r="D179" s="7">
        <v>6905</v>
      </c>
      <c r="E179" s="7">
        <v>6912</v>
      </c>
      <c r="F179" s="7">
        <v>6868</v>
      </c>
      <c r="G179" s="7">
        <v>26908</v>
      </c>
      <c r="I179" t="str">
        <f>TEXT(C179,"#,##0")&amp;" ("&amp;TEXT(C182,"0.00")&amp;")"</f>
        <v>6,223 (40.26)</v>
      </c>
      <c r="J179" t="str">
        <f t="shared" ref="J179:L179" si="36">TEXT(D179,"#,##0")&amp;" ("&amp;TEXT(D182,"0.00")&amp;")"</f>
        <v>6,905 (39.86)</v>
      </c>
      <c r="K179" t="str">
        <f t="shared" si="36"/>
        <v>6,912 (38.77)</v>
      </c>
      <c r="L179" t="str">
        <f t="shared" si="36"/>
        <v>6,868 (38.10)</v>
      </c>
    </row>
    <row r="180" spans="1:12" x14ac:dyDescent="0.3">
      <c r="A180" s="2"/>
      <c r="B180" s="17"/>
      <c r="C180" s="7">
        <v>9.07</v>
      </c>
      <c r="D180" s="7">
        <v>10.06</v>
      </c>
      <c r="E180" s="7">
        <v>10.07</v>
      </c>
      <c r="F180" s="7">
        <v>10.01</v>
      </c>
      <c r="G180" s="7">
        <v>39.200000000000003</v>
      </c>
      <c r="I180" t="str">
        <f>TEXT(C183,"#,##0")&amp;" ("&amp;TEXT(C186,"0.00")&amp;")"</f>
        <v>6,025 (38.98)</v>
      </c>
      <c r="J180" t="str">
        <f t="shared" ref="J180:L180" si="37">TEXT(D183,"#,##0")&amp;" ("&amp;TEXT(D186,"0.00")&amp;")"</f>
        <v>6,428 (37.11)</v>
      </c>
      <c r="K180" t="str">
        <f t="shared" si="37"/>
        <v>6,293 (35.30)</v>
      </c>
      <c r="L180" t="str">
        <f t="shared" si="37"/>
        <v>6,253 (34.68)</v>
      </c>
    </row>
    <row r="181" spans="1:12" x14ac:dyDescent="0.3">
      <c r="A181" s="2"/>
      <c r="B181" s="17"/>
      <c r="C181" s="7">
        <v>23.13</v>
      </c>
      <c r="D181" s="7">
        <v>25.66</v>
      </c>
      <c r="E181" s="7">
        <v>25.69</v>
      </c>
      <c r="F181" s="7">
        <v>25.52</v>
      </c>
      <c r="G181" s="7"/>
      <c r="I181" t="str">
        <f>TEXT(C187,"#,##0")&amp;" ("&amp;TEXT(C190,"0.00")&amp;")"</f>
        <v>3,209 (20.76)</v>
      </c>
      <c r="J181" t="str">
        <f t="shared" ref="J181:L181" si="38">TEXT(D187,"#,##0")&amp;" ("&amp;TEXT(D190,"0.00")&amp;")"</f>
        <v>3,989 (23.03)</v>
      </c>
      <c r="K181" t="str">
        <f t="shared" si="38"/>
        <v>4,623 (25.93)</v>
      </c>
      <c r="L181" t="str">
        <f t="shared" si="38"/>
        <v>4,907 (27.22)</v>
      </c>
    </row>
    <row r="182" spans="1:12" x14ac:dyDescent="0.3">
      <c r="A182" s="2"/>
      <c r="B182" s="17"/>
      <c r="C182" s="7">
        <v>40.26</v>
      </c>
      <c r="D182" s="7">
        <v>39.86</v>
      </c>
      <c r="E182" s="7">
        <v>38.770000000000003</v>
      </c>
      <c r="F182" s="7">
        <v>38.1</v>
      </c>
      <c r="G182" s="7"/>
      <c r="I182" t="str">
        <f>TEXT(C191,"#,##0")&amp;" ("&amp;TEXT(C194,"0.00")&amp;")"</f>
        <v>15,457 (0.00)</v>
      </c>
      <c r="J182" t="str">
        <f t="shared" ref="J182:L182" si="39">TEXT(D191,"#,##0")&amp;" ("&amp;TEXT(D194,"0.00")&amp;")"</f>
        <v>17,322 (0.00)</v>
      </c>
      <c r="K182" t="str">
        <f t="shared" si="39"/>
        <v>17,828 (0.00)</v>
      </c>
      <c r="L182" t="str">
        <f t="shared" si="39"/>
        <v>18,028 (0.00)</v>
      </c>
    </row>
    <row r="183" spans="1:12" x14ac:dyDescent="0.3">
      <c r="A183" s="2"/>
      <c r="B183" s="17">
        <v>2</v>
      </c>
      <c r="C183" s="7">
        <v>6025</v>
      </c>
      <c r="D183" s="7">
        <v>6428</v>
      </c>
      <c r="E183" s="7">
        <v>6293</v>
      </c>
      <c r="F183" s="7">
        <v>6253</v>
      </c>
      <c r="G183" s="7">
        <v>24999</v>
      </c>
    </row>
    <row r="184" spans="1:12" x14ac:dyDescent="0.3">
      <c r="A184" s="2"/>
      <c r="B184" s="17"/>
      <c r="C184" s="7">
        <v>8.7799999999999994</v>
      </c>
      <c r="D184" s="7">
        <v>9.3699999999999992</v>
      </c>
      <c r="E184" s="7">
        <v>9.17</v>
      </c>
      <c r="F184" s="7">
        <v>9.11</v>
      </c>
      <c r="G184" s="7">
        <v>36.42</v>
      </c>
    </row>
    <row r="185" spans="1:12" x14ac:dyDescent="0.3">
      <c r="A185" s="2"/>
      <c r="B185" s="17"/>
      <c r="C185" s="7">
        <v>24.1</v>
      </c>
      <c r="D185" s="7">
        <v>25.71</v>
      </c>
      <c r="E185" s="7">
        <v>25.17</v>
      </c>
      <c r="F185" s="7">
        <v>25.01</v>
      </c>
      <c r="G185" s="7"/>
    </row>
    <row r="186" spans="1:12" x14ac:dyDescent="0.3">
      <c r="A186" s="2"/>
      <c r="B186" s="17"/>
      <c r="C186" s="7">
        <v>38.979999999999997</v>
      </c>
      <c r="D186" s="7">
        <v>37.11</v>
      </c>
      <c r="E186" s="7">
        <v>35.299999999999997</v>
      </c>
      <c r="F186" s="7">
        <v>34.68</v>
      </c>
      <c r="G186" s="7"/>
    </row>
    <row r="187" spans="1:12" x14ac:dyDescent="0.3">
      <c r="A187" s="2"/>
      <c r="B187" s="17">
        <v>3</v>
      </c>
      <c r="C187" s="7">
        <v>3209</v>
      </c>
      <c r="D187" s="7">
        <v>3989</v>
      </c>
      <c r="E187" s="7">
        <v>4623</v>
      </c>
      <c r="F187" s="7">
        <v>4907</v>
      </c>
      <c r="G187" s="7">
        <v>16728</v>
      </c>
    </row>
    <row r="188" spans="1:12" x14ac:dyDescent="0.3">
      <c r="A188" s="2"/>
      <c r="B188" s="17"/>
      <c r="C188" s="7">
        <v>4.68</v>
      </c>
      <c r="D188" s="7">
        <v>5.81</v>
      </c>
      <c r="E188" s="7">
        <v>6.74</v>
      </c>
      <c r="F188" s="7">
        <v>7.15</v>
      </c>
      <c r="G188" s="7">
        <v>24.37</v>
      </c>
    </row>
    <row r="189" spans="1:12" x14ac:dyDescent="0.3">
      <c r="A189" s="2"/>
      <c r="B189" s="17"/>
      <c r="C189" s="7">
        <v>19.18</v>
      </c>
      <c r="D189" s="7">
        <v>23.85</v>
      </c>
      <c r="E189" s="7">
        <v>27.64</v>
      </c>
      <c r="F189" s="7">
        <v>29.33</v>
      </c>
      <c r="G189" s="7"/>
    </row>
    <row r="190" spans="1:12" x14ac:dyDescent="0.3">
      <c r="A190" s="2"/>
      <c r="B190" s="17"/>
      <c r="C190" s="7">
        <v>20.76</v>
      </c>
      <c r="D190" s="7">
        <v>23.03</v>
      </c>
      <c r="E190" s="7">
        <v>25.93</v>
      </c>
      <c r="F190" s="7">
        <v>27.22</v>
      </c>
      <c r="G190" s="7"/>
    </row>
    <row r="191" spans="1:12" x14ac:dyDescent="0.3">
      <c r="A191" s="2"/>
      <c r="B191" s="17" t="s">
        <v>26</v>
      </c>
      <c r="C191" s="7">
        <v>15457</v>
      </c>
      <c r="D191" s="7">
        <v>17322</v>
      </c>
      <c r="E191" s="7">
        <v>17828</v>
      </c>
      <c r="F191" s="7">
        <v>18028</v>
      </c>
      <c r="G191" s="7">
        <v>68635</v>
      </c>
    </row>
    <row r="192" spans="1:12" x14ac:dyDescent="0.3">
      <c r="A192" s="2"/>
      <c r="B192" s="17"/>
      <c r="C192" s="7">
        <v>22.52</v>
      </c>
      <c r="D192" s="7">
        <v>25.24</v>
      </c>
      <c r="E192" s="7">
        <v>25.98</v>
      </c>
      <c r="F192" s="7">
        <v>26.27</v>
      </c>
      <c r="G192" s="7">
        <v>100</v>
      </c>
    </row>
    <row r="193" spans="1:12" x14ac:dyDescent="0.3">
      <c r="A193" s="2"/>
      <c r="B193" s="20"/>
      <c r="C193" s="20"/>
      <c r="D193" s="20"/>
      <c r="E193" s="20"/>
      <c r="F193" s="20"/>
      <c r="G193" s="20"/>
    </row>
    <row r="194" spans="1:12" ht="17.25" thickBot="1" x14ac:dyDescent="0.35"/>
    <row r="195" spans="1:12" ht="16.5" customHeight="1" x14ac:dyDescent="0.3">
      <c r="A195" s="4" t="s">
        <v>3</v>
      </c>
      <c r="B195" s="16" t="s">
        <v>87</v>
      </c>
      <c r="C195" s="18"/>
      <c r="D195" s="18"/>
      <c r="E195" s="18"/>
      <c r="F195" s="18"/>
      <c r="G195" s="18"/>
    </row>
    <row r="196" spans="1:12" ht="16.5" customHeight="1" x14ac:dyDescent="0.3">
      <c r="A196" s="6" t="s">
        <v>4</v>
      </c>
      <c r="B196" s="17" t="s">
        <v>15</v>
      </c>
      <c r="C196" s="19" t="s">
        <v>77</v>
      </c>
      <c r="D196" s="19"/>
      <c r="E196" s="19"/>
      <c r="F196" s="19"/>
      <c r="G196" s="19"/>
    </row>
    <row r="197" spans="1:12" x14ac:dyDescent="0.3">
      <c r="A197" s="6" t="s">
        <v>22</v>
      </c>
      <c r="B197" s="17"/>
      <c r="C197" s="3">
        <v>1</v>
      </c>
      <c r="D197" s="3">
        <v>2</v>
      </c>
      <c r="E197" s="3">
        <v>3</v>
      </c>
      <c r="F197" s="3">
        <v>4</v>
      </c>
      <c r="G197" s="3" t="s">
        <v>26</v>
      </c>
    </row>
    <row r="198" spans="1:12" ht="33" x14ac:dyDescent="0.3">
      <c r="A198" s="6" t="s">
        <v>23</v>
      </c>
      <c r="B198" s="17">
        <v>0</v>
      </c>
      <c r="C198" s="7">
        <v>12778</v>
      </c>
      <c r="D198" s="7">
        <v>13608</v>
      </c>
      <c r="E198" s="7">
        <v>13315</v>
      </c>
      <c r="F198" s="7">
        <v>12363</v>
      </c>
      <c r="G198" s="7">
        <v>52064</v>
      </c>
      <c r="I198" t="str">
        <f>TEXT(C198,"#,##0")&amp;" ("&amp;TEXT(C201,"0.00")&amp;")"</f>
        <v>12,778 (82.67)</v>
      </c>
      <c r="J198" t="str">
        <f t="shared" ref="J198:L198" si="40">TEXT(D198,"#,##0")&amp;" ("&amp;TEXT(D201,"0.00")&amp;")"</f>
        <v>13,608 (78.56)</v>
      </c>
      <c r="K198" t="str">
        <f t="shared" si="40"/>
        <v>13,315 (74.69)</v>
      </c>
      <c r="L198" t="str">
        <f t="shared" si="40"/>
        <v>12,363 (68.58)</v>
      </c>
    </row>
    <row r="199" spans="1:12" x14ac:dyDescent="0.3">
      <c r="A199" s="2"/>
      <c r="B199" s="17"/>
      <c r="C199" s="7">
        <v>18.62</v>
      </c>
      <c r="D199" s="7">
        <v>19.829999999999998</v>
      </c>
      <c r="E199" s="7">
        <v>19.399999999999999</v>
      </c>
      <c r="F199" s="7">
        <v>18.010000000000002</v>
      </c>
      <c r="G199" s="7">
        <v>75.86</v>
      </c>
      <c r="I199" t="str">
        <f>TEXT(C202,"#,##0")&amp;" ("&amp;TEXT(C205,"0.00")&amp;")"</f>
        <v>2,679 (17.33)</v>
      </c>
      <c r="J199" t="str">
        <f t="shared" ref="J199:L199" si="41">TEXT(D202,"#,##0")&amp;" ("&amp;TEXT(D205,"0.00")&amp;")"</f>
        <v>3,714 (21.44)</v>
      </c>
      <c r="K199" t="str">
        <f t="shared" si="41"/>
        <v>4,513 (25.31)</v>
      </c>
      <c r="L199" t="str">
        <f t="shared" si="41"/>
        <v>5,665 (31.42)</v>
      </c>
    </row>
    <row r="200" spans="1:12" x14ac:dyDescent="0.3">
      <c r="A200" s="2"/>
      <c r="B200" s="17"/>
      <c r="C200" s="7">
        <v>24.54</v>
      </c>
      <c r="D200" s="7">
        <v>26.14</v>
      </c>
      <c r="E200" s="7">
        <v>25.57</v>
      </c>
      <c r="F200" s="7">
        <v>23.75</v>
      </c>
      <c r="G200" s="7"/>
      <c r="I200" t="str">
        <f>TEXT(C206,"#,##0")&amp;" ("&amp;TEXT(C209,"0.00")&amp;")"</f>
        <v>15,457 (0.00)</v>
      </c>
      <c r="J200" t="str">
        <f t="shared" ref="J200:L200" si="42">TEXT(D206,"#,##0")&amp;" ("&amp;TEXT(D209,"0.00")&amp;")"</f>
        <v>17,322 (0.00)</v>
      </c>
      <c r="K200" t="str">
        <f t="shared" si="42"/>
        <v>17,828 (0.00)</v>
      </c>
      <c r="L200" t="str">
        <f t="shared" si="42"/>
        <v>18,028 (0.00)</v>
      </c>
    </row>
    <row r="201" spans="1:12" x14ac:dyDescent="0.3">
      <c r="A201" s="2"/>
      <c r="B201" s="17"/>
      <c r="C201" s="7">
        <v>82.67</v>
      </c>
      <c r="D201" s="7">
        <v>78.56</v>
      </c>
      <c r="E201" s="7">
        <v>74.69</v>
      </c>
      <c r="F201" s="7">
        <v>68.58</v>
      </c>
      <c r="G201" s="7"/>
      <c r="I201" t="str">
        <f>TEXT(C210,"#,##0")&amp;" ("&amp;TEXT(C213,"0.00")&amp;")"</f>
        <v>0 (14270.00)</v>
      </c>
      <c r="J201" t="str">
        <f t="shared" ref="J201:L201" si="43">TEXT(D210,"#,##0")&amp;" ("&amp;TEXT(D213,"0.00")&amp;")"</f>
        <v>0 (14562.00)</v>
      </c>
      <c r="K201" t="str">
        <f t="shared" si="43"/>
        <v>0 (13159.00)</v>
      </c>
      <c r="L201" t="str">
        <f t="shared" si="43"/>
        <v>0 (11919.00)</v>
      </c>
    </row>
    <row r="202" spans="1:12" x14ac:dyDescent="0.3">
      <c r="A202" s="2"/>
      <c r="B202" s="17">
        <v>1</v>
      </c>
      <c r="C202" s="7">
        <v>2679</v>
      </c>
      <c r="D202" s="7">
        <v>3714</v>
      </c>
      <c r="E202" s="7">
        <v>4513</v>
      </c>
      <c r="F202" s="7">
        <v>5665</v>
      </c>
      <c r="G202" s="7">
        <v>16571</v>
      </c>
    </row>
    <row r="203" spans="1:12" x14ac:dyDescent="0.3">
      <c r="A203" s="2"/>
      <c r="B203" s="17"/>
      <c r="C203" s="7">
        <v>3.9</v>
      </c>
      <c r="D203" s="7">
        <v>5.41</v>
      </c>
      <c r="E203" s="7">
        <v>6.58</v>
      </c>
      <c r="F203" s="7">
        <v>8.25</v>
      </c>
      <c r="G203" s="7">
        <v>24.14</v>
      </c>
    </row>
    <row r="204" spans="1:12" x14ac:dyDescent="0.3">
      <c r="A204" s="2"/>
      <c r="B204" s="17"/>
      <c r="C204" s="7">
        <v>16.170000000000002</v>
      </c>
      <c r="D204" s="7">
        <v>22.41</v>
      </c>
      <c r="E204" s="7">
        <v>27.23</v>
      </c>
      <c r="F204" s="7">
        <v>34.19</v>
      </c>
      <c r="G204" s="7"/>
    </row>
    <row r="205" spans="1:12" x14ac:dyDescent="0.3">
      <c r="A205" s="2"/>
      <c r="B205" s="17"/>
      <c r="C205" s="7">
        <v>17.329999999999998</v>
      </c>
      <c r="D205" s="7">
        <v>21.44</v>
      </c>
      <c r="E205" s="7">
        <v>25.31</v>
      </c>
      <c r="F205" s="7">
        <v>31.42</v>
      </c>
      <c r="G205" s="7"/>
    </row>
    <row r="206" spans="1:12" x14ac:dyDescent="0.3">
      <c r="A206" s="2"/>
      <c r="B206" s="17" t="s">
        <v>26</v>
      </c>
      <c r="C206" s="7">
        <v>15457</v>
      </c>
      <c r="D206" s="7">
        <v>17322</v>
      </c>
      <c r="E206" s="7">
        <v>17828</v>
      </c>
      <c r="F206" s="7">
        <v>18028</v>
      </c>
      <c r="G206" s="7">
        <v>68635</v>
      </c>
    </row>
    <row r="207" spans="1:12" x14ac:dyDescent="0.3">
      <c r="A207" s="2"/>
      <c r="B207" s="17"/>
      <c r="C207" s="7">
        <v>22.52</v>
      </c>
      <c r="D207" s="7">
        <v>25.24</v>
      </c>
      <c r="E207" s="7">
        <v>25.98</v>
      </c>
      <c r="F207" s="7">
        <v>26.27</v>
      </c>
      <c r="G207" s="7">
        <v>100</v>
      </c>
    </row>
    <row r="208" spans="1:12" x14ac:dyDescent="0.3">
      <c r="A208" s="2"/>
      <c r="B208" s="20"/>
      <c r="C208" s="20"/>
      <c r="D208" s="20"/>
      <c r="E208" s="20"/>
      <c r="F208" s="20"/>
      <c r="G208" s="20"/>
    </row>
    <row r="209" spans="1:12" ht="17.25" thickBot="1" x14ac:dyDescent="0.35"/>
    <row r="210" spans="1:12" ht="16.5" customHeight="1" x14ac:dyDescent="0.3">
      <c r="A210" s="4" t="s">
        <v>3</v>
      </c>
      <c r="B210" s="16" t="s">
        <v>88</v>
      </c>
      <c r="C210" s="18"/>
      <c r="D210" s="18"/>
      <c r="E210" s="18"/>
      <c r="F210" s="18"/>
      <c r="G210" s="18"/>
    </row>
    <row r="211" spans="1:12" ht="16.5" customHeight="1" x14ac:dyDescent="0.3">
      <c r="A211" s="6" t="s">
        <v>4</v>
      </c>
      <c r="B211" s="17" t="s">
        <v>16</v>
      </c>
      <c r="C211" s="19" t="s">
        <v>77</v>
      </c>
      <c r="D211" s="19"/>
      <c r="E211" s="19"/>
      <c r="F211" s="19"/>
      <c r="G211" s="19"/>
    </row>
    <row r="212" spans="1:12" x14ac:dyDescent="0.3">
      <c r="A212" s="6" t="s">
        <v>22</v>
      </c>
      <c r="B212" s="17"/>
      <c r="C212" s="3">
        <v>1</v>
      </c>
      <c r="D212" s="3">
        <v>2</v>
      </c>
      <c r="E212" s="3">
        <v>3</v>
      </c>
      <c r="F212" s="3">
        <v>4</v>
      </c>
      <c r="G212" s="3" t="s">
        <v>26</v>
      </c>
    </row>
    <row r="213" spans="1:12" ht="33" x14ac:dyDescent="0.3">
      <c r="A213" s="6" t="s">
        <v>23</v>
      </c>
      <c r="B213" s="17">
        <v>0</v>
      </c>
      <c r="C213" s="7">
        <v>14270</v>
      </c>
      <c r="D213" s="7">
        <v>14562</v>
      </c>
      <c r="E213" s="7">
        <v>13159</v>
      </c>
      <c r="F213" s="7">
        <v>11919</v>
      </c>
      <c r="G213" s="7">
        <v>53910</v>
      </c>
      <c r="I213" t="str">
        <f>TEXT(C213,"#,##0")&amp;" ("&amp;TEXT(C216,"0.00")&amp;")"</f>
        <v>14,270 (92.32)</v>
      </c>
      <c r="J213" t="str">
        <f t="shared" ref="J213:L213" si="44">TEXT(D213,"#,##0")&amp;" ("&amp;TEXT(D216,"0.00")&amp;")"</f>
        <v>14,562 (84.07)</v>
      </c>
      <c r="K213" t="str">
        <f t="shared" si="44"/>
        <v>13,159 (73.81)</v>
      </c>
      <c r="L213" t="str">
        <f t="shared" si="44"/>
        <v>11,919 (66.11)</v>
      </c>
    </row>
    <row r="214" spans="1:12" x14ac:dyDescent="0.3">
      <c r="A214" s="2"/>
      <c r="B214" s="17"/>
      <c r="C214" s="7">
        <v>20.79</v>
      </c>
      <c r="D214" s="7">
        <v>21.22</v>
      </c>
      <c r="E214" s="7">
        <v>19.170000000000002</v>
      </c>
      <c r="F214" s="7">
        <v>17.37</v>
      </c>
      <c r="G214" s="7">
        <v>78.55</v>
      </c>
      <c r="I214" t="str">
        <f>TEXT(C217,"#,##0")&amp;" ("&amp;TEXT(C220,"0.00")&amp;")"</f>
        <v>1,187 (7.68)</v>
      </c>
      <c r="J214" t="str">
        <f t="shared" ref="J214:L214" si="45">TEXT(D217,"#,##0")&amp;" ("&amp;TEXT(D220,"0.00")&amp;")"</f>
        <v>2,760 (15.93)</v>
      </c>
      <c r="K214" t="str">
        <f t="shared" si="45"/>
        <v>4,669 (26.19)</v>
      </c>
      <c r="L214" t="str">
        <f t="shared" si="45"/>
        <v>6,109 (33.89)</v>
      </c>
    </row>
    <row r="215" spans="1:12" x14ac:dyDescent="0.3">
      <c r="A215" s="2"/>
      <c r="B215" s="17"/>
      <c r="C215" s="7">
        <v>26.47</v>
      </c>
      <c r="D215" s="7">
        <v>27.01</v>
      </c>
      <c r="E215" s="7">
        <v>24.41</v>
      </c>
      <c r="F215" s="7">
        <v>22.11</v>
      </c>
      <c r="G215" s="7"/>
      <c r="I215" t="str">
        <f>TEXT(C221,"#,##0")&amp;" ("&amp;TEXT(C224,"0.00")&amp;")"</f>
        <v>15,457 (0.00)</v>
      </c>
      <c r="J215" t="str">
        <f t="shared" ref="J215:L215" si="46">TEXT(D221,"#,##0")&amp;" ("&amp;TEXT(D224,"0.00")&amp;")"</f>
        <v>17,322 (0.00)</v>
      </c>
      <c r="K215" t="str">
        <f t="shared" si="46"/>
        <v>17,828 (0.00)</v>
      </c>
      <c r="L215" t="str">
        <f t="shared" si="46"/>
        <v>18,028 (0.00)</v>
      </c>
    </row>
    <row r="216" spans="1:12" x14ac:dyDescent="0.3">
      <c r="A216" s="2"/>
      <c r="B216" s="17"/>
      <c r="C216" s="7">
        <v>92.32</v>
      </c>
      <c r="D216" s="7">
        <v>84.07</v>
      </c>
      <c r="E216" s="7">
        <v>73.81</v>
      </c>
      <c r="F216" s="7">
        <v>66.11</v>
      </c>
      <c r="G216" s="7"/>
      <c r="I216" t="str">
        <f>TEXT(C225,"#,##0")&amp;" ("&amp;TEXT(C228,"0.00")&amp;")"</f>
        <v>0 (14498.00)</v>
      </c>
      <c r="J216" t="str">
        <f t="shared" ref="J216:L216" si="47">TEXT(D225,"#,##0")&amp;" ("&amp;TEXT(D228,"0.00")&amp;")"</f>
        <v>0 (15173.00)</v>
      </c>
      <c r="K216" t="str">
        <f t="shared" si="47"/>
        <v>0 (14601.00)</v>
      </c>
      <c r="L216" t="str">
        <f t="shared" si="47"/>
        <v>0 (14195.00)</v>
      </c>
    </row>
    <row r="217" spans="1:12" x14ac:dyDescent="0.3">
      <c r="A217" s="2"/>
      <c r="B217" s="17">
        <v>1</v>
      </c>
      <c r="C217" s="7">
        <v>1187</v>
      </c>
      <c r="D217" s="7">
        <v>2760</v>
      </c>
      <c r="E217" s="7">
        <v>4669</v>
      </c>
      <c r="F217" s="7">
        <v>6109</v>
      </c>
      <c r="G217" s="7">
        <v>14725</v>
      </c>
    </row>
    <row r="218" spans="1:12" x14ac:dyDescent="0.3">
      <c r="A218" s="2"/>
      <c r="B218" s="17"/>
      <c r="C218" s="7">
        <v>1.73</v>
      </c>
      <c r="D218" s="7">
        <v>4.0199999999999996</v>
      </c>
      <c r="E218" s="7">
        <v>6.8</v>
      </c>
      <c r="F218" s="7">
        <v>8.9</v>
      </c>
      <c r="G218" s="7">
        <v>21.45</v>
      </c>
    </row>
    <row r="219" spans="1:12" x14ac:dyDescent="0.3">
      <c r="A219" s="2"/>
      <c r="B219" s="17"/>
      <c r="C219" s="7">
        <v>8.06</v>
      </c>
      <c r="D219" s="7">
        <v>18.739999999999998</v>
      </c>
      <c r="E219" s="7">
        <v>31.71</v>
      </c>
      <c r="F219" s="7">
        <v>41.49</v>
      </c>
      <c r="G219" s="7"/>
    </row>
    <row r="220" spans="1:12" x14ac:dyDescent="0.3">
      <c r="A220" s="2"/>
      <c r="B220" s="17"/>
      <c r="C220" s="7">
        <v>7.68</v>
      </c>
      <c r="D220" s="7">
        <v>15.93</v>
      </c>
      <c r="E220" s="7">
        <v>26.19</v>
      </c>
      <c r="F220" s="7">
        <v>33.89</v>
      </c>
      <c r="G220" s="7"/>
    </row>
    <row r="221" spans="1:12" x14ac:dyDescent="0.3">
      <c r="A221" s="2"/>
      <c r="B221" s="17" t="s">
        <v>26</v>
      </c>
      <c r="C221" s="7">
        <v>15457</v>
      </c>
      <c r="D221" s="7">
        <v>17322</v>
      </c>
      <c r="E221" s="7">
        <v>17828</v>
      </c>
      <c r="F221" s="7">
        <v>18028</v>
      </c>
      <c r="G221" s="7">
        <v>68635</v>
      </c>
    </row>
    <row r="222" spans="1:12" x14ac:dyDescent="0.3">
      <c r="A222" s="2"/>
      <c r="B222" s="17"/>
      <c r="C222" s="7">
        <v>22.52</v>
      </c>
      <c r="D222" s="7">
        <v>25.24</v>
      </c>
      <c r="E222" s="7">
        <v>25.98</v>
      </c>
      <c r="F222" s="7">
        <v>26.27</v>
      </c>
      <c r="G222" s="7">
        <v>100</v>
      </c>
    </row>
    <row r="223" spans="1:12" x14ac:dyDescent="0.3">
      <c r="A223" s="2"/>
      <c r="B223" s="20"/>
      <c r="C223" s="20"/>
      <c r="D223" s="20"/>
      <c r="E223" s="20"/>
      <c r="F223" s="20"/>
      <c r="G223" s="20"/>
    </row>
    <row r="224" spans="1:12" ht="17.25" thickBot="1" x14ac:dyDescent="0.35"/>
    <row r="225" spans="1:12" ht="16.5" customHeight="1" x14ac:dyDescent="0.3">
      <c r="A225" s="4" t="s">
        <v>3</v>
      </c>
      <c r="B225" s="16" t="s">
        <v>89</v>
      </c>
      <c r="C225" s="18"/>
      <c r="D225" s="18"/>
      <c r="E225" s="18"/>
      <c r="F225" s="18"/>
      <c r="G225" s="18"/>
    </row>
    <row r="226" spans="1:12" ht="16.5" customHeight="1" x14ac:dyDescent="0.3">
      <c r="A226" s="6" t="s">
        <v>4</v>
      </c>
      <c r="B226" s="17" t="s">
        <v>17</v>
      </c>
      <c r="C226" s="19" t="s">
        <v>77</v>
      </c>
      <c r="D226" s="19"/>
      <c r="E226" s="19"/>
      <c r="F226" s="19"/>
      <c r="G226" s="19"/>
    </row>
    <row r="227" spans="1:12" x14ac:dyDescent="0.3">
      <c r="A227" s="6" t="s">
        <v>22</v>
      </c>
      <c r="B227" s="17"/>
      <c r="C227" s="3">
        <v>1</v>
      </c>
      <c r="D227" s="3">
        <v>2</v>
      </c>
      <c r="E227" s="3">
        <v>3</v>
      </c>
      <c r="F227" s="3">
        <v>4</v>
      </c>
      <c r="G227" s="3" t="s">
        <v>26</v>
      </c>
    </row>
    <row r="228" spans="1:12" ht="33" x14ac:dyDescent="0.3">
      <c r="A228" s="6" t="s">
        <v>23</v>
      </c>
      <c r="B228" s="17">
        <v>0</v>
      </c>
      <c r="C228" s="7">
        <v>14498</v>
      </c>
      <c r="D228" s="7">
        <v>15173</v>
      </c>
      <c r="E228" s="7">
        <v>14601</v>
      </c>
      <c r="F228" s="7">
        <v>14195</v>
      </c>
      <c r="G228" s="7">
        <v>58467</v>
      </c>
      <c r="I228" t="str">
        <f>TEXT(C228,"#,##0")&amp;" ("&amp;TEXT(C231,"0.00")&amp;")"</f>
        <v>14,498 (93.80)</v>
      </c>
      <c r="J228" t="str">
        <f t="shared" ref="J228:L228" si="48">TEXT(D228,"#,##0")&amp;" ("&amp;TEXT(D231,"0.00")&amp;")"</f>
        <v>15,173 (87.59)</v>
      </c>
      <c r="K228" t="str">
        <f t="shared" si="48"/>
        <v>14,601 (81.90)</v>
      </c>
      <c r="L228" t="str">
        <f t="shared" si="48"/>
        <v>14,195 (78.74)</v>
      </c>
    </row>
    <row r="229" spans="1:12" x14ac:dyDescent="0.3">
      <c r="A229" s="2"/>
      <c r="B229" s="17"/>
      <c r="C229" s="7">
        <v>21.12</v>
      </c>
      <c r="D229" s="7">
        <v>22.11</v>
      </c>
      <c r="E229" s="7">
        <v>21.27</v>
      </c>
      <c r="F229" s="7">
        <v>20.68</v>
      </c>
      <c r="G229" s="7">
        <v>85.19</v>
      </c>
      <c r="I229" t="str">
        <f>TEXT(C232,"#,##0")&amp;" ("&amp;TEXT(C235,"0.00")&amp;")"</f>
        <v>959 (6.20)</v>
      </c>
      <c r="J229" t="str">
        <f t="shared" ref="J229:L229" si="49">TEXT(D232,"#,##0")&amp;" ("&amp;TEXT(D235,"0.00")&amp;")"</f>
        <v>2,149 (12.41)</v>
      </c>
      <c r="K229" t="str">
        <f t="shared" si="49"/>
        <v>3,227 (18.10)</v>
      </c>
      <c r="L229" t="str">
        <f t="shared" si="49"/>
        <v>3,833 (21.26)</v>
      </c>
    </row>
    <row r="230" spans="1:12" x14ac:dyDescent="0.3">
      <c r="A230" s="2"/>
      <c r="B230" s="17"/>
      <c r="C230" s="7">
        <v>24.8</v>
      </c>
      <c r="D230" s="7">
        <v>25.95</v>
      </c>
      <c r="E230" s="7">
        <v>24.97</v>
      </c>
      <c r="F230" s="7">
        <v>24.28</v>
      </c>
      <c r="G230" s="7"/>
      <c r="I230" t="str">
        <f>TEXT(C236,"#,##0")&amp;" ("&amp;TEXT(C239,"0.00")&amp;")"</f>
        <v>15,457 (0.00)</v>
      </c>
      <c r="J230" t="str">
        <f t="shared" ref="J230:L230" si="50">TEXT(D236,"#,##0")&amp;" ("&amp;TEXT(D239,"0.00")&amp;")"</f>
        <v>17,322 (0.00)</v>
      </c>
      <c r="K230" t="str">
        <f t="shared" si="50"/>
        <v>17,828 (0.00)</v>
      </c>
      <c r="L230" t="str">
        <f t="shared" si="50"/>
        <v>18,028 (0.00)</v>
      </c>
    </row>
    <row r="231" spans="1:12" x14ac:dyDescent="0.3">
      <c r="A231" s="2"/>
      <c r="B231" s="17"/>
      <c r="C231" s="7">
        <v>93.8</v>
      </c>
      <c r="D231" s="7">
        <v>87.59</v>
      </c>
      <c r="E231" s="7">
        <v>81.900000000000006</v>
      </c>
      <c r="F231" s="7">
        <v>78.739999999999995</v>
      </c>
      <c r="G231" s="7"/>
      <c r="I231" t="str">
        <f>TEXT(C240,"#,##0")&amp;" ("&amp;TEXT(C243,"0.00")&amp;")"</f>
        <v>0 (15343.00)</v>
      </c>
      <c r="J231" t="str">
        <f t="shared" ref="J231:L231" si="51">TEXT(D240,"#,##0")&amp;" ("&amp;TEXT(D243,"0.00")&amp;")"</f>
        <v>0 (17044.00)</v>
      </c>
      <c r="K231" t="str">
        <f t="shared" si="51"/>
        <v>0 (17391.00)</v>
      </c>
      <c r="L231" t="str">
        <f t="shared" si="51"/>
        <v>0 (17566.00)</v>
      </c>
    </row>
    <row r="232" spans="1:12" x14ac:dyDescent="0.3">
      <c r="A232" s="2"/>
      <c r="B232" s="17">
        <v>1</v>
      </c>
      <c r="C232" s="7">
        <v>959</v>
      </c>
      <c r="D232" s="7">
        <v>2149</v>
      </c>
      <c r="E232" s="7">
        <v>3227</v>
      </c>
      <c r="F232" s="7">
        <v>3833</v>
      </c>
      <c r="G232" s="7">
        <v>10168</v>
      </c>
    </row>
    <row r="233" spans="1:12" x14ac:dyDescent="0.3">
      <c r="A233" s="2"/>
      <c r="B233" s="17"/>
      <c r="C233" s="7">
        <v>1.4</v>
      </c>
      <c r="D233" s="7">
        <v>3.13</v>
      </c>
      <c r="E233" s="7">
        <v>4.7</v>
      </c>
      <c r="F233" s="7">
        <v>5.58</v>
      </c>
      <c r="G233" s="7">
        <v>14.81</v>
      </c>
    </row>
    <row r="234" spans="1:12" x14ac:dyDescent="0.3">
      <c r="A234" s="2"/>
      <c r="B234" s="17"/>
      <c r="C234" s="7">
        <v>9.43</v>
      </c>
      <c r="D234" s="7">
        <v>21.13</v>
      </c>
      <c r="E234" s="7">
        <v>31.74</v>
      </c>
      <c r="F234" s="7">
        <v>37.700000000000003</v>
      </c>
      <c r="G234" s="7"/>
    </row>
    <row r="235" spans="1:12" x14ac:dyDescent="0.3">
      <c r="A235" s="2"/>
      <c r="B235" s="17"/>
      <c r="C235" s="7">
        <v>6.2</v>
      </c>
      <c r="D235" s="7">
        <v>12.41</v>
      </c>
      <c r="E235" s="7">
        <v>18.100000000000001</v>
      </c>
      <c r="F235" s="7">
        <v>21.26</v>
      </c>
      <c r="G235" s="7"/>
    </row>
    <row r="236" spans="1:12" x14ac:dyDescent="0.3">
      <c r="A236" s="2"/>
      <c r="B236" s="17" t="s">
        <v>26</v>
      </c>
      <c r="C236" s="7">
        <v>15457</v>
      </c>
      <c r="D236" s="7">
        <v>17322</v>
      </c>
      <c r="E236" s="7">
        <v>17828</v>
      </c>
      <c r="F236" s="7">
        <v>18028</v>
      </c>
      <c r="G236" s="7">
        <v>68635</v>
      </c>
    </row>
    <row r="237" spans="1:12" x14ac:dyDescent="0.3">
      <c r="A237" s="2"/>
      <c r="B237" s="17"/>
      <c r="C237" s="7">
        <v>22.52</v>
      </c>
      <c r="D237" s="7">
        <v>25.24</v>
      </c>
      <c r="E237" s="7">
        <v>25.98</v>
      </c>
      <c r="F237" s="7">
        <v>26.27</v>
      </c>
      <c r="G237" s="7">
        <v>100</v>
      </c>
    </row>
    <row r="238" spans="1:12" x14ac:dyDescent="0.3">
      <c r="A238" s="2"/>
      <c r="B238" s="20"/>
      <c r="C238" s="20"/>
      <c r="D238" s="20"/>
      <c r="E238" s="20"/>
      <c r="F238" s="20"/>
      <c r="G238" s="20"/>
    </row>
    <row r="239" spans="1:12" ht="17.25" thickBot="1" x14ac:dyDescent="0.35"/>
    <row r="240" spans="1:12" ht="16.5" customHeight="1" x14ac:dyDescent="0.3">
      <c r="A240" s="4" t="s">
        <v>3</v>
      </c>
      <c r="B240" s="16" t="s">
        <v>90</v>
      </c>
      <c r="C240" s="18"/>
      <c r="D240" s="18"/>
      <c r="E240" s="18"/>
      <c r="F240" s="18"/>
      <c r="G240" s="18"/>
    </row>
    <row r="241" spans="1:12" ht="16.5" customHeight="1" x14ac:dyDescent="0.3">
      <c r="A241" s="6" t="s">
        <v>4</v>
      </c>
      <c r="B241" s="17" t="s">
        <v>18</v>
      </c>
      <c r="C241" s="19" t="s">
        <v>77</v>
      </c>
      <c r="D241" s="19"/>
      <c r="E241" s="19"/>
      <c r="F241" s="19"/>
      <c r="G241" s="19"/>
    </row>
    <row r="242" spans="1:12" x14ac:dyDescent="0.3">
      <c r="A242" s="6" t="s">
        <v>22</v>
      </c>
      <c r="B242" s="17"/>
      <c r="C242" s="3">
        <v>1</v>
      </c>
      <c r="D242" s="3">
        <v>2</v>
      </c>
      <c r="E242" s="3">
        <v>3</v>
      </c>
      <c r="F242" s="3">
        <v>4</v>
      </c>
      <c r="G242" s="3" t="s">
        <v>26</v>
      </c>
    </row>
    <row r="243" spans="1:12" ht="33" x14ac:dyDescent="0.3">
      <c r="A243" s="6" t="s">
        <v>23</v>
      </c>
      <c r="B243" s="17">
        <v>0</v>
      </c>
      <c r="C243" s="7">
        <v>15343</v>
      </c>
      <c r="D243" s="7">
        <v>17044</v>
      </c>
      <c r="E243" s="7">
        <v>17391</v>
      </c>
      <c r="F243" s="7">
        <v>17566</v>
      </c>
      <c r="G243" s="7">
        <v>67344</v>
      </c>
      <c r="I243" t="str">
        <f>TEXT(C243,"#,##0")&amp;" ("&amp;TEXT(C246,"0.00")&amp;")"</f>
        <v>15,343 (99.26)</v>
      </c>
      <c r="J243" t="str">
        <f t="shared" ref="J243:L243" si="52">TEXT(D243,"#,##0")&amp;" ("&amp;TEXT(D246,"0.00")&amp;")"</f>
        <v>17,044 (98.40)</v>
      </c>
      <c r="K243" t="str">
        <f t="shared" si="52"/>
        <v>17,391 (97.55)</v>
      </c>
      <c r="L243" t="str">
        <f t="shared" si="52"/>
        <v>17,566 (97.44)</v>
      </c>
    </row>
    <row r="244" spans="1:12" x14ac:dyDescent="0.3">
      <c r="A244" s="2"/>
      <c r="B244" s="17"/>
      <c r="C244" s="7">
        <v>22.35</v>
      </c>
      <c r="D244" s="7">
        <v>24.83</v>
      </c>
      <c r="E244" s="7">
        <v>25.34</v>
      </c>
      <c r="F244" s="7">
        <v>25.59</v>
      </c>
      <c r="G244" s="7">
        <v>98.12</v>
      </c>
      <c r="I244" t="str">
        <f>TEXT(C247,"#,##0")&amp;" ("&amp;TEXT(C250,"0.00")&amp;")"</f>
        <v>114 (0.74)</v>
      </c>
      <c r="J244" t="str">
        <f t="shared" ref="J244:L244" si="53">TEXT(D247,"#,##0")&amp;" ("&amp;TEXT(D250,"0.00")&amp;")"</f>
        <v>278 (1.60)</v>
      </c>
      <c r="K244" t="str">
        <f t="shared" si="53"/>
        <v>437 (2.45)</v>
      </c>
      <c r="L244" t="str">
        <f t="shared" si="53"/>
        <v>462 (2.56)</v>
      </c>
    </row>
    <row r="245" spans="1:12" x14ac:dyDescent="0.3">
      <c r="A245" s="2"/>
      <c r="B245" s="17"/>
      <c r="C245" s="7">
        <v>22.78</v>
      </c>
      <c r="D245" s="7">
        <v>25.31</v>
      </c>
      <c r="E245" s="7">
        <v>25.82</v>
      </c>
      <c r="F245" s="7">
        <v>26.08</v>
      </c>
      <c r="G245" s="7"/>
      <c r="I245" t="str">
        <f>TEXT(C251,"#,##0")&amp;" ("&amp;TEXT(C254,"0.00")&amp;")"</f>
        <v>15,457 (0.00)</v>
      </c>
      <c r="J245" t="str">
        <f t="shared" ref="J245:L245" si="54">TEXT(D251,"#,##0")&amp;" ("&amp;TEXT(D254,"0.00")&amp;")"</f>
        <v>17,322 (0.00)</v>
      </c>
      <c r="K245" t="str">
        <f t="shared" si="54"/>
        <v>17,828 (0.00)</v>
      </c>
      <c r="L245" t="str">
        <f t="shared" si="54"/>
        <v>18,028 (0.00)</v>
      </c>
    </row>
    <row r="246" spans="1:12" x14ac:dyDescent="0.3">
      <c r="A246" s="2"/>
      <c r="B246" s="17"/>
      <c r="C246" s="7">
        <v>99.26</v>
      </c>
      <c r="D246" s="7">
        <v>98.4</v>
      </c>
      <c r="E246" s="7">
        <v>97.55</v>
      </c>
      <c r="F246" s="7">
        <v>97.44</v>
      </c>
      <c r="G246" s="7"/>
      <c r="I246" t="str">
        <f>TEXT(C255,"#,##0")&amp;" ("&amp;TEXT(C258,"0.00")&amp;")"</f>
        <v>0 (15410.00)</v>
      </c>
      <c r="J246" t="str">
        <f t="shared" ref="J246:L246" si="55">TEXT(D255,"#,##0")&amp;" ("&amp;TEXT(D258,"0.00")&amp;")"</f>
        <v>0 (17190.00)</v>
      </c>
      <c r="K246" t="str">
        <f t="shared" si="55"/>
        <v>0 (17619.00)</v>
      </c>
      <c r="L246" t="str">
        <f t="shared" si="55"/>
        <v>0 (17779.00)</v>
      </c>
    </row>
    <row r="247" spans="1:12" x14ac:dyDescent="0.3">
      <c r="A247" s="2"/>
      <c r="B247" s="17">
        <v>1</v>
      </c>
      <c r="C247" s="7">
        <v>114</v>
      </c>
      <c r="D247" s="7">
        <v>278</v>
      </c>
      <c r="E247" s="7">
        <v>437</v>
      </c>
      <c r="F247" s="7">
        <v>462</v>
      </c>
      <c r="G247" s="7">
        <v>1291</v>
      </c>
    </row>
    <row r="248" spans="1:12" x14ac:dyDescent="0.3">
      <c r="A248" s="2"/>
      <c r="B248" s="17"/>
      <c r="C248" s="7">
        <v>0.17</v>
      </c>
      <c r="D248" s="7">
        <v>0.41</v>
      </c>
      <c r="E248" s="7">
        <v>0.64</v>
      </c>
      <c r="F248" s="7">
        <v>0.67</v>
      </c>
      <c r="G248" s="7">
        <v>1.88</v>
      </c>
    </row>
    <row r="249" spans="1:12" x14ac:dyDescent="0.3">
      <c r="A249" s="2"/>
      <c r="B249" s="17"/>
      <c r="C249" s="7">
        <v>8.83</v>
      </c>
      <c r="D249" s="7">
        <v>21.53</v>
      </c>
      <c r="E249" s="7">
        <v>33.85</v>
      </c>
      <c r="F249" s="7">
        <v>35.79</v>
      </c>
      <c r="G249" s="7"/>
    </row>
    <row r="250" spans="1:12" x14ac:dyDescent="0.3">
      <c r="A250" s="2"/>
      <c r="B250" s="17"/>
      <c r="C250" s="7">
        <v>0.74</v>
      </c>
      <c r="D250" s="7">
        <v>1.6</v>
      </c>
      <c r="E250" s="7">
        <v>2.4500000000000002</v>
      </c>
      <c r="F250" s="7">
        <v>2.56</v>
      </c>
      <c r="G250" s="7"/>
    </row>
    <row r="251" spans="1:12" x14ac:dyDescent="0.3">
      <c r="A251" s="2"/>
      <c r="B251" s="17" t="s">
        <v>26</v>
      </c>
      <c r="C251" s="7">
        <v>15457</v>
      </c>
      <c r="D251" s="7">
        <v>17322</v>
      </c>
      <c r="E251" s="7">
        <v>17828</v>
      </c>
      <c r="F251" s="7">
        <v>18028</v>
      </c>
      <c r="G251" s="7">
        <v>68635</v>
      </c>
    </row>
    <row r="252" spans="1:12" x14ac:dyDescent="0.3">
      <c r="A252" s="2"/>
      <c r="B252" s="17"/>
      <c r="C252" s="7">
        <v>22.52</v>
      </c>
      <c r="D252" s="7">
        <v>25.24</v>
      </c>
      <c r="E252" s="7">
        <v>25.98</v>
      </c>
      <c r="F252" s="7">
        <v>26.27</v>
      </c>
      <c r="G252" s="7">
        <v>100</v>
      </c>
    </row>
    <row r="253" spans="1:12" x14ac:dyDescent="0.3">
      <c r="A253" s="2"/>
      <c r="B253" s="20"/>
      <c r="C253" s="20"/>
      <c r="D253" s="20"/>
      <c r="E253" s="20"/>
      <c r="F253" s="20"/>
      <c r="G253" s="20"/>
    </row>
    <row r="254" spans="1:12" ht="17.25" thickBot="1" x14ac:dyDescent="0.35"/>
    <row r="255" spans="1:12" ht="16.5" customHeight="1" x14ac:dyDescent="0.3">
      <c r="A255" s="4" t="s">
        <v>3</v>
      </c>
      <c r="B255" s="16" t="s">
        <v>91</v>
      </c>
      <c r="C255" s="18"/>
      <c r="D255" s="18"/>
      <c r="E255" s="18"/>
      <c r="F255" s="18"/>
      <c r="G255" s="18"/>
    </row>
    <row r="256" spans="1:12" ht="16.5" customHeight="1" x14ac:dyDescent="0.3">
      <c r="A256" s="6" t="s">
        <v>4</v>
      </c>
      <c r="B256" s="17" t="s">
        <v>19</v>
      </c>
      <c r="C256" s="19" t="s">
        <v>77</v>
      </c>
      <c r="D256" s="19"/>
      <c r="E256" s="19"/>
      <c r="F256" s="19"/>
      <c r="G256" s="19"/>
    </row>
    <row r="257" spans="1:12" x14ac:dyDescent="0.3">
      <c r="A257" s="6" t="s">
        <v>22</v>
      </c>
      <c r="B257" s="17"/>
      <c r="C257" s="3">
        <v>1</v>
      </c>
      <c r="D257" s="3">
        <v>2</v>
      </c>
      <c r="E257" s="3">
        <v>3</v>
      </c>
      <c r="F257" s="3">
        <v>4</v>
      </c>
      <c r="G257" s="3" t="s">
        <v>26</v>
      </c>
    </row>
    <row r="258" spans="1:12" ht="33" x14ac:dyDescent="0.3">
      <c r="A258" s="6" t="s">
        <v>23</v>
      </c>
      <c r="B258" s="17">
        <v>0</v>
      </c>
      <c r="C258" s="7">
        <v>15410</v>
      </c>
      <c r="D258" s="7">
        <v>17190</v>
      </c>
      <c r="E258" s="7">
        <v>17619</v>
      </c>
      <c r="F258" s="7">
        <v>17779</v>
      </c>
      <c r="G258" s="7">
        <v>67998</v>
      </c>
      <c r="I258" t="str">
        <f>TEXT(C258,"#,##0")&amp;" ("&amp;TEXT(C261,"0.00")&amp;")"</f>
        <v>15,410 (99.70)</v>
      </c>
      <c r="J258" t="str">
        <f t="shared" ref="J258:L258" si="56">TEXT(D258,"#,##0")&amp;" ("&amp;TEXT(D261,"0.00")&amp;")"</f>
        <v>17,190 (99.24)</v>
      </c>
      <c r="K258" t="str">
        <f t="shared" si="56"/>
        <v>17,619 (98.83)</v>
      </c>
      <c r="L258" t="str">
        <f t="shared" si="56"/>
        <v>17,779 (98.62)</v>
      </c>
    </row>
    <row r="259" spans="1:12" x14ac:dyDescent="0.3">
      <c r="A259" s="2"/>
      <c r="B259" s="17"/>
      <c r="C259" s="7">
        <v>22.45</v>
      </c>
      <c r="D259" s="7">
        <v>25.05</v>
      </c>
      <c r="E259" s="7">
        <v>25.67</v>
      </c>
      <c r="F259" s="7">
        <v>25.9</v>
      </c>
      <c r="G259" s="7">
        <v>99.07</v>
      </c>
      <c r="I259" t="str">
        <f>TEXT(C262,"#,##0")&amp;" ("&amp;TEXT(C265,"0.00")&amp;")"</f>
        <v>47 (0.30)</v>
      </c>
      <c r="J259" t="str">
        <f t="shared" ref="J259:L259" si="57">TEXT(D262,"#,##0")&amp;" ("&amp;TEXT(D265,"0.00")&amp;")"</f>
        <v>132 (0.76)</v>
      </c>
      <c r="K259" t="str">
        <f t="shared" si="57"/>
        <v>209 (1.17)</v>
      </c>
      <c r="L259" t="str">
        <f t="shared" si="57"/>
        <v>249 (1.38)</v>
      </c>
    </row>
    <row r="260" spans="1:12" x14ac:dyDescent="0.3">
      <c r="A260" s="2"/>
      <c r="B260" s="17"/>
      <c r="C260" s="7">
        <v>22.66</v>
      </c>
      <c r="D260" s="7">
        <v>25.28</v>
      </c>
      <c r="E260" s="7">
        <v>25.91</v>
      </c>
      <c r="F260" s="7">
        <v>26.15</v>
      </c>
      <c r="G260" s="7"/>
      <c r="I260" t="str">
        <f>TEXT(C266,"#,##0")&amp;" ("&amp;TEXT(C269,"0.00")&amp;")"</f>
        <v>15,457 (0.00)</v>
      </c>
      <c r="J260" t="str">
        <f t="shared" ref="J260:L260" si="58">TEXT(D266,"#,##0")&amp;" ("&amp;TEXT(D269,"0.00")&amp;")"</f>
        <v>17,322 (0.00)</v>
      </c>
      <c r="K260" t="str">
        <f t="shared" si="58"/>
        <v>17,828 (0.00)</v>
      </c>
      <c r="L260" t="str">
        <f t="shared" si="58"/>
        <v>18,028 (0.00)</v>
      </c>
    </row>
    <row r="261" spans="1:12" x14ac:dyDescent="0.3">
      <c r="A261" s="2"/>
      <c r="B261" s="17"/>
      <c r="C261" s="7">
        <v>99.7</v>
      </c>
      <c r="D261" s="7">
        <v>99.24</v>
      </c>
      <c r="E261" s="7">
        <v>98.83</v>
      </c>
      <c r="F261" s="7">
        <v>98.62</v>
      </c>
      <c r="G261" s="7"/>
      <c r="I261" t="str">
        <f>TEXT(C270,"#,##0")&amp;" ("&amp;TEXT(C273,"0.00")&amp;")"</f>
        <v>0 (15347.00)</v>
      </c>
      <c r="J261" t="str">
        <f t="shared" ref="J261:L261" si="59">TEXT(D270,"#,##0")&amp;" ("&amp;TEXT(D273,"0.00")&amp;")"</f>
        <v>0 (17058.00)</v>
      </c>
      <c r="K261" t="str">
        <f t="shared" si="59"/>
        <v>0 (17446.00)</v>
      </c>
      <c r="L261" t="str">
        <f t="shared" si="59"/>
        <v>0 (17583.00)</v>
      </c>
    </row>
    <row r="262" spans="1:12" x14ac:dyDescent="0.3">
      <c r="A262" s="2"/>
      <c r="B262" s="17">
        <v>1</v>
      </c>
      <c r="C262" s="7">
        <v>47</v>
      </c>
      <c r="D262" s="7">
        <v>132</v>
      </c>
      <c r="E262" s="7">
        <v>209</v>
      </c>
      <c r="F262" s="7">
        <v>249</v>
      </c>
      <c r="G262" s="7">
        <v>637</v>
      </c>
    </row>
    <row r="263" spans="1:12" x14ac:dyDescent="0.3">
      <c r="A263" s="2"/>
      <c r="B263" s="17"/>
      <c r="C263" s="7">
        <v>7.0000000000000007E-2</v>
      </c>
      <c r="D263" s="7">
        <v>0.19</v>
      </c>
      <c r="E263" s="7">
        <v>0.3</v>
      </c>
      <c r="F263" s="7">
        <v>0.36</v>
      </c>
      <c r="G263" s="7">
        <v>0.93</v>
      </c>
    </row>
    <row r="264" spans="1:12" x14ac:dyDescent="0.3">
      <c r="A264" s="2"/>
      <c r="B264" s="17"/>
      <c r="C264" s="7">
        <v>7.38</v>
      </c>
      <c r="D264" s="7">
        <v>20.72</v>
      </c>
      <c r="E264" s="7">
        <v>32.81</v>
      </c>
      <c r="F264" s="7">
        <v>39.090000000000003</v>
      </c>
      <c r="G264" s="7"/>
    </row>
    <row r="265" spans="1:12" x14ac:dyDescent="0.3">
      <c r="A265" s="2"/>
      <c r="B265" s="17"/>
      <c r="C265" s="7">
        <v>0.3</v>
      </c>
      <c r="D265" s="7">
        <v>0.76</v>
      </c>
      <c r="E265" s="7">
        <v>1.17</v>
      </c>
      <c r="F265" s="7">
        <v>1.38</v>
      </c>
      <c r="G265" s="7"/>
    </row>
    <row r="266" spans="1:12" x14ac:dyDescent="0.3">
      <c r="A266" s="2"/>
      <c r="B266" s="17" t="s">
        <v>26</v>
      </c>
      <c r="C266" s="7">
        <v>15457</v>
      </c>
      <c r="D266" s="7">
        <v>17322</v>
      </c>
      <c r="E266" s="7">
        <v>17828</v>
      </c>
      <c r="F266" s="7">
        <v>18028</v>
      </c>
      <c r="G266" s="7">
        <v>68635</v>
      </c>
    </row>
    <row r="267" spans="1:12" x14ac:dyDescent="0.3">
      <c r="A267" s="2"/>
      <c r="B267" s="17"/>
      <c r="C267" s="7">
        <v>22.52</v>
      </c>
      <c r="D267" s="7">
        <v>25.24</v>
      </c>
      <c r="E267" s="7">
        <v>25.98</v>
      </c>
      <c r="F267" s="7">
        <v>26.27</v>
      </c>
      <c r="G267" s="7">
        <v>100</v>
      </c>
    </row>
    <row r="268" spans="1:12" x14ac:dyDescent="0.3">
      <c r="A268" s="2"/>
      <c r="B268" s="20"/>
      <c r="C268" s="20"/>
      <c r="D268" s="20"/>
      <c r="E268" s="20"/>
      <c r="F268" s="20"/>
      <c r="G268" s="20"/>
    </row>
    <row r="269" spans="1:12" ht="17.25" thickBot="1" x14ac:dyDescent="0.35"/>
    <row r="270" spans="1:12" ht="16.5" customHeight="1" x14ac:dyDescent="0.3">
      <c r="A270" s="4" t="s">
        <v>3</v>
      </c>
      <c r="B270" s="16" t="s">
        <v>92</v>
      </c>
      <c r="C270" s="18"/>
      <c r="D270" s="18"/>
      <c r="E270" s="18"/>
      <c r="F270" s="18"/>
      <c r="G270" s="18"/>
    </row>
    <row r="271" spans="1:12" ht="16.5" customHeight="1" x14ac:dyDescent="0.3">
      <c r="A271" s="6" t="s">
        <v>4</v>
      </c>
      <c r="B271" s="17" t="s">
        <v>20</v>
      </c>
      <c r="C271" s="19" t="s">
        <v>77</v>
      </c>
      <c r="D271" s="19"/>
      <c r="E271" s="19"/>
      <c r="F271" s="19"/>
      <c r="G271" s="19"/>
    </row>
    <row r="272" spans="1:12" x14ac:dyDescent="0.3">
      <c r="A272" s="6" t="s">
        <v>22</v>
      </c>
      <c r="B272" s="17"/>
      <c r="C272" s="3">
        <v>1</v>
      </c>
      <c r="D272" s="3">
        <v>2</v>
      </c>
      <c r="E272" s="3">
        <v>3</v>
      </c>
      <c r="F272" s="3">
        <v>4</v>
      </c>
      <c r="G272" s="3" t="s">
        <v>26</v>
      </c>
    </row>
    <row r="273" spans="1:12" ht="33" x14ac:dyDescent="0.3">
      <c r="A273" s="6" t="s">
        <v>23</v>
      </c>
      <c r="B273" s="17">
        <v>0</v>
      </c>
      <c r="C273" s="7">
        <v>15347</v>
      </c>
      <c r="D273" s="7">
        <v>17058</v>
      </c>
      <c r="E273" s="7">
        <v>17446</v>
      </c>
      <c r="F273" s="7">
        <v>17583</v>
      </c>
      <c r="G273" s="7">
        <v>67434</v>
      </c>
      <c r="I273" t="str">
        <f>TEXT(C273,"#,##0")&amp;" ("&amp;TEXT(C276,"0.00")&amp;")"</f>
        <v>15,347 (99.29)</v>
      </c>
      <c r="J273" t="str">
        <f t="shared" ref="J273:L273" si="60">TEXT(D273,"#,##0")&amp;" ("&amp;TEXT(D276,"0.00")&amp;")"</f>
        <v>17,058 (98.48)</v>
      </c>
      <c r="K273" t="str">
        <f t="shared" si="60"/>
        <v>17,446 (97.86)</v>
      </c>
      <c r="L273" t="str">
        <f t="shared" si="60"/>
        <v>17,583 (97.53)</v>
      </c>
    </row>
    <row r="274" spans="1:12" x14ac:dyDescent="0.3">
      <c r="A274" s="2"/>
      <c r="B274" s="17"/>
      <c r="C274" s="7">
        <v>22.36</v>
      </c>
      <c r="D274" s="7">
        <v>24.85</v>
      </c>
      <c r="E274" s="7">
        <v>25.42</v>
      </c>
      <c r="F274" s="7">
        <v>25.62</v>
      </c>
      <c r="G274" s="7">
        <v>98.25</v>
      </c>
      <c r="I274" t="str">
        <f>TEXT(C277,"#,##0")&amp;" ("&amp;TEXT(C280,"0.00")&amp;")"</f>
        <v>110 (0.71)</v>
      </c>
      <c r="J274" t="str">
        <f t="shared" ref="J274:L274" si="61">TEXT(D277,"#,##0")&amp;" ("&amp;TEXT(D280,"0.00")&amp;")"</f>
        <v>264 (1.52)</v>
      </c>
      <c r="K274" t="str">
        <f t="shared" si="61"/>
        <v>382 (2.14)</v>
      </c>
      <c r="L274" t="str">
        <f t="shared" si="61"/>
        <v>445 (2.47)</v>
      </c>
    </row>
    <row r="275" spans="1:12" x14ac:dyDescent="0.3">
      <c r="A275" s="2"/>
      <c r="B275" s="17"/>
      <c r="C275" s="7">
        <v>22.76</v>
      </c>
      <c r="D275" s="7">
        <v>25.3</v>
      </c>
      <c r="E275" s="7">
        <v>25.87</v>
      </c>
      <c r="F275" s="7">
        <v>26.07</v>
      </c>
      <c r="G275" s="7"/>
      <c r="I275" t="str">
        <f>TEXT(C281,"#,##0")&amp;" ("&amp;TEXT(C284,"0.00")&amp;")"</f>
        <v>15,457 (0.00)</v>
      </c>
      <c r="J275" t="str">
        <f t="shared" ref="J275:L275" si="62">TEXT(D281,"#,##0")&amp;" ("&amp;TEXT(D284,"0.00")&amp;")"</f>
        <v>17,322 (0.00)</v>
      </c>
      <c r="K275" t="str">
        <f t="shared" si="62"/>
        <v>17,828 (0.00)</v>
      </c>
      <c r="L275" t="str">
        <f t="shared" si="62"/>
        <v>18,028 (0.00)</v>
      </c>
    </row>
    <row r="276" spans="1:12" x14ac:dyDescent="0.3">
      <c r="A276" s="2"/>
      <c r="B276" s="17"/>
      <c r="C276" s="7">
        <v>99.29</v>
      </c>
      <c r="D276" s="7">
        <v>98.48</v>
      </c>
      <c r="E276" s="7">
        <v>97.86</v>
      </c>
      <c r="F276" s="7">
        <v>97.53</v>
      </c>
      <c r="G276" s="7"/>
      <c r="I276" t="str">
        <f>TEXT(C285,"#,##0")&amp;" ("&amp;TEXT(C288,"0.00")&amp;")"</f>
        <v>0 (0.00)</v>
      </c>
      <c r="J276" t="str">
        <f t="shared" ref="J276:L276" si="63">TEXT(D285,"#,##0")&amp;" ("&amp;TEXT(D288,"0.00")&amp;")"</f>
        <v>0 (0.00)</v>
      </c>
      <c r="K276" t="str">
        <f t="shared" si="63"/>
        <v>0 (0.00)</v>
      </c>
      <c r="L276" t="str">
        <f t="shared" si="63"/>
        <v>0 (0.00)</v>
      </c>
    </row>
    <row r="277" spans="1:12" x14ac:dyDescent="0.3">
      <c r="A277" s="2"/>
      <c r="B277" s="17">
        <v>1</v>
      </c>
      <c r="C277" s="7">
        <v>110</v>
      </c>
      <c r="D277" s="7">
        <v>264</v>
      </c>
      <c r="E277" s="7">
        <v>382</v>
      </c>
      <c r="F277" s="7">
        <v>445</v>
      </c>
      <c r="G277" s="7">
        <v>1201</v>
      </c>
    </row>
    <row r="278" spans="1:12" x14ac:dyDescent="0.3">
      <c r="A278" s="2"/>
      <c r="B278" s="17"/>
      <c r="C278" s="7">
        <v>0.16</v>
      </c>
      <c r="D278" s="7">
        <v>0.38</v>
      </c>
      <c r="E278" s="7">
        <v>0.56000000000000005</v>
      </c>
      <c r="F278" s="7">
        <v>0.65</v>
      </c>
      <c r="G278" s="7">
        <v>1.75</v>
      </c>
    </row>
    <row r="279" spans="1:12" x14ac:dyDescent="0.3">
      <c r="A279" s="2"/>
      <c r="B279" s="17"/>
      <c r="C279" s="7">
        <v>9.16</v>
      </c>
      <c r="D279" s="7">
        <v>21.98</v>
      </c>
      <c r="E279" s="7">
        <v>31.81</v>
      </c>
      <c r="F279" s="7">
        <v>37.049999999999997</v>
      </c>
      <c r="G279" s="7"/>
    </row>
    <row r="280" spans="1:12" x14ac:dyDescent="0.3">
      <c r="A280" s="2"/>
      <c r="B280" s="17"/>
      <c r="C280" s="7">
        <v>0.71</v>
      </c>
      <c r="D280" s="7">
        <v>1.52</v>
      </c>
      <c r="E280" s="7">
        <v>2.14</v>
      </c>
      <c r="F280" s="7">
        <v>2.4700000000000002</v>
      </c>
      <c r="G280" s="7"/>
    </row>
    <row r="281" spans="1:12" x14ac:dyDescent="0.3">
      <c r="A281" s="2"/>
      <c r="B281" s="17" t="s">
        <v>26</v>
      </c>
      <c r="C281" s="7">
        <v>15457</v>
      </c>
      <c r="D281" s="7">
        <v>17322</v>
      </c>
      <c r="E281" s="7">
        <v>17828</v>
      </c>
      <c r="F281" s="7">
        <v>18028</v>
      </c>
      <c r="G281" s="7">
        <v>68635</v>
      </c>
    </row>
    <row r="282" spans="1:12" x14ac:dyDescent="0.3">
      <c r="A282" s="2"/>
      <c r="B282" s="17"/>
      <c r="C282" s="7">
        <v>22.52</v>
      </c>
      <c r="D282" s="7">
        <v>25.24</v>
      </c>
      <c r="E282" s="7">
        <v>25.98</v>
      </c>
      <c r="F282" s="7">
        <v>26.27</v>
      </c>
      <c r="G282" s="7">
        <v>100</v>
      </c>
    </row>
    <row r="283" spans="1:12" x14ac:dyDescent="0.3">
      <c r="A283" s="2"/>
      <c r="B283" s="20"/>
      <c r="C283" s="20"/>
      <c r="D283" s="20"/>
      <c r="E283" s="20"/>
      <c r="F283" s="20"/>
      <c r="G283" s="20"/>
    </row>
  </sheetData>
  <mergeCells count="122">
    <mergeCell ref="B20:B21"/>
    <mergeCell ref="B22:G22"/>
    <mergeCell ref="B24:G24"/>
    <mergeCell ref="B25:B26"/>
    <mergeCell ref="C25:G25"/>
    <mergeCell ref="B27:B30"/>
    <mergeCell ref="B5:G5"/>
    <mergeCell ref="B6:B7"/>
    <mergeCell ref="C6:G6"/>
    <mergeCell ref="B8:B11"/>
    <mergeCell ref="B12:B15"/>
    <mergeCell ref="B16:B19"/>
    <mergeCell ref="B42:B45"/>
    <mergeCell ref="B46:B49"/>
    <mergeCell ref="B50:B51"/>
    <mergeCell ref="B52:G52"/>
    <mergeCell ref="B54:G54"/>
    <mergeCell ref="B55:B56"/>
    <mergeCell ref="C55:G55"/>
    <mergeCell ref="B31:B34"/>
    <mergeCell ref="B35:B36"/>
    <mergeCell ref="B37:G37"/>
    <mergeCell ref="B39:G39"/>
    <mergeCell ref="B40:B41"/>
    <mergeCell ref="C40:G40"/>
    <mergeCell ref="B77:G77"/>
    <mergeCell ref="B78:B79"/>
    <mergeCell ref="C78:G78"/>
    <mergeCell ref="B80:B83"/>
    <mergeCell ref="B84:B87"/>
    <mergeCell ref="B88:B91"/>
    <mergeCell ref="B57:B60"/>
    <mergeCell ref="B61:B64"/>
    <mergeCell ref="B65:B68"/>
    <mergeCell ref="B69:B72"/>
    <mergeCell ref="B73:B74"/>
    <mergeCell ref="B75:G75"/>
    <mergeCell ref="B103:B106"/>
    <mergeCell ref="B107:B110"/>
    <mergeCell ref="B111:B114"/>
    <mergeCell ref="B115:B118"/>
    <mergeCell ref="B119:B120"/>
    <mergeCell ref="B121:G121"/>
    <mergeCell ref="B92:B95"/>
    <mergeCell ref="B96:B97"/>
    <mergeCell ref="B98:G98"/>
    <mergeCell ref="B100:G100"/>
    <mergeCell ref="B101:B102"/>
    <mergeCell ref="C101:G101"/>
    <mergeCell ref="B136:G136"/>
    <mergeCell ref="B138:G138"/>
    <mergeCell ref="B139:B140"/>
    <mergeCell ref="C139:G139"/>
    <mergeCell ref="B141:B144"/>
    <mergeCell ref="B145:B148"/>
    <mergeCell ref="B123:G123"/>
    <mergeCell ref="B124:B125"/>
    <mergeCell ref="C124:G124"/>
    <mergeCell ref="B126:B129"/>
    <mergeCell ref="B130:B133"/>
    <mergeCell ref="B134:B135"/>
    <mergeCell ref="B160:B163"/>
    <mergeCell ref="B164:B167"/>
    <mergeCell ref="B168:B171"/>
    <mergeCell ref="B172:B173"/>
    <mergeCell ref="B174:G174"/>
    <mergeCell ref="B176:G176"/>
    <mergeCell ref="B149:B152"/>
    <mergeCell ref="B153:B154"/>
    <mergeCell ref="B155:G155"/>
    <mergeCell ref="B157:G157"/>
    <mergeCell ref="B158:B159"/>
    <mergeCell ref="C158:G158"/>
    <mergeCell ref="B193:G193"/>
    <mergeCell ref="B195:G195"/>
    <mergeCell ref="B196:B197"/>
    <mergeCell ref="C196:G196"/>
    <mergeCell ref="B198:B201"/>
    <mergeCell ref="B202:B205"/>
    <mergeCell ref="B177:B178"/>
    <mergeCell ref="C177:G177"/>
    <mergeCell ref="B179:B182"/>
    <mergeCell ref="B183:B186"/>
    <mergeCell ref="B187:B190"/>
    <mergeCell ref="B191:B192"/>
    <mergeCell ref="B217:B220"/>
    <mergeCell ref="B221:B222"/>
    <mergeCell ref="B223:G223"/>
    <mergeCell ref="B225:G225"/>
    <mergeCell ref="B226:B227"/>
    <mergeCell ref="C226:G226"/>
    <mergeCell ref="B206:B207"/>
    <mergeCell ref="B208:G208"/>
    <mergeCell ref="B210:G210"/>
    <mergeCell ref="B211:B212"/>
    <mergeCell ref="C211:G211"/>
    <mergeCell ref="B213:B216"/>
    <mergeCell ref="B243:B246"/>
    <mergeCell ref="B247:B250"/>
    <mergeCell ref="B251:B252"/>
    <mergeCell ref="B253:G253"/>
    <mergeCell ref="B255:G255"/>
    <mergeCell ref="B256:B257"/>
    <mergeCell ref="C256:G256"/>
    <mergeCell ref="B228:B231"/>
    <mergeCell ref="B232:B235"/>
    <mergeCell ref="B236:B237"/>
    <mergeCell ref="B238:G238"/>
    <mergeCell ref="B240:G240"/>
    <mergeCell ref="B241:B242"/>
    <mergeCell ref="C241:G241"/>
    <mergeCell ref="B273:B276"/>
    <mergeCell ref="B277:B280"/>
    <mergeCell ref="B281:B282"/>
    <mergeCell ref="B283:G283"/>
    <mergeCell ref="B258:B261"/>
    <mergeCell ref="B262:B265"/>
    <mergeCell ref="B266:B267"/>
    <mergeCell ref="B268:G268"/>
    <mergeCell ref="B270:G270"/>
    <mergeCell ref="B271:B272"/>
    <mergeCell ref="C271:G27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2907-BC40-4822-98BD-C196131B0D6C}">
  <dimension ref="A1:H22"/>
  <sheetViews>
    <sheetView workbookViewId="0">
      <selection activeCell="H4" sqref="H4"/>
    </sheetView>
  </sheetViews>
  <sheetFormatPr defaultRowHeight="16.5" x14ac:dyDescent="0.3"/>
  <cols>
    <col min="8" max="8" width="12.375" bestFit="1" customWidth="1"/>
  </cols>
  <sheetData>
    <row r="1" spans="1:8" x14ac:dyDescent="0.3">
      <c r="A1" s="1" t="s">
        <v>21</v>
      </c>
    </row>
    <row r="2" spans="1:8" ht="17.25" thickBot="1" x14ac:dyDescent="0.35"/>
    <row r="3" spans="1:8" x14ac:dyDescent="0.3">
      <c r="A3" s="4" t="s">
        <v>93</v>
      </c>
      <c r="B3" s="5" t="s">
        <v>94</v>
      </c>
      <c r="C3" s="5" t="s">
        <v>95</v>
      </c>
      <c r="D3" s="5" t="s">
        <v>96</v>
      </c>
      <c r="E3" s="5" t="s">
        <v>97</v>
      </c>
      <c r="F3" s="5" t="s">
        <v>98</v>
      </c>
    </row>
    <row r="4" spans="1:8" x14ac:dyDescent="0.3">
      <c r="A4" s="10" t="s">
        <v>99</v>
      </c>
      <c r="B4" s="8">
        <v>68635</v>
      </c>
      <c r="C4" s="8">
        <v>49.345173699999997</v>
      </c>
      <c r="D4" s="8">
        <v>16.063307900000002</v>
      </c>
      <c r="E4" s="8">
        <v>19</v>
      </c>
      <c r="F4" s="8">
        <v>80</v>
      </c>
      <c r="H4" t="str">
        <f>TEXT(C4,"0.00")&amp;" ("&amp;TEXT(D4,"0.00")&amp;")"</f>
        <v>49.35 (16.06)</v>
      </c>
    </row>
    <row r="5" spans="1:8" x14ac:dyDescent="0.3">
      <c r="A5" s="10" t="s">
        <v>100</v>
      </c>
      <c r="B5" s="8">
        <v>68635</v>
      </c>
      <c r="C5" s="8">
        <v>23.867210400000001</v>
      </c>
      <c r="D5" s="8">
        <v>3.4832602000000001</v>
      </c>
      <c r="E5" s="8">
        <v>13.1339583</v>
      </c>
      <c r="F5" s="8">
        <v>62.640542099999998</v>
      </c>
      <c r="H5" t="str">
        <f t="shared" ref="H5:H22" si="0">TEXT(C5,"0.00")&amp;" ("&amp;TEXT(D5,"0.00")&amp;")"</f>
        <v>23.87 (3.48)</v>
      </c>
    </row>
    <row r="6" spans="1:8" x14ac:dyDescent="0.3">
      <c r="A6" s="10" t="s">
        <v>101</v>
      </c>
      <c r="B6" s="8">
        <v>68635</v>
      </c>
      <c r="C6" s="8">
        <v>82.355279400000001</v>
      </c>
      <c r="D6" s="8">
        <v>10.2202018</v>
      </c>
      <c r="E6" s="8">
        <v>36.200000000000003</v>
      </c>
      <c r="F6" s="8">
        <v>166.1</v>
      </c>
      <c r="H6" t="str">
        <f t="shared" si="0"/>
        <v>82.36 (10.22)</v>
      </c>
    </row>
    <row r="7" spans="1:8" x14ac:dyDescent="0.3">
      <c r="A7" s="10" t="s">
        <v>102</v>
      </c>
      <c r="B7" s="8">
        <v>68635</v>
      </c>
      <c r="C7" s="8">
        <v>7.7756500000000006E-2</v>
      </c>
      <c r="D7" s="8">
        <v>4.6376999999999998E-3</v>
      </c>
      <c r="E7" s="8">
        <v>4.5616799999999999E-2</v>
      </c>
      <c r="F7" s="8">
        <v>0.15107219999999999</v>
      </c>
      <c r="H7" t="str">
        <f t="shared" si="0"/>
        <v>0.08 (0.00)</v>
      </c>
    </row>
    <row r="8" spans="1:8" x14ac:dyDescent="0.3">
      <c r="A8" s="10" t="s">
        <v>103</v>
      </c>
      <c r="B8" s="8">
        <v>68635</v>
      </c>
      <c r="C8" s="8">
        <v>118.5017192</v>
      </c>
      <c r="D8" s="8">
        <v>16.5546787</v>
      </c>
      <c r="E8" s="8">
        <v>70</v>
      </c>
      <c r="F8" s="8">
        <v>243</v>
      </c>
      <c r="H8" t="str">
        <f t="shared" si="0"/>
        <v>118.50 (16.55)</v>
      </c>
    </row>
    <row r="9" spans="1:8" x14ac:dyDescent="0.3">
      <c r="A9" s="10" t="s">
        <v>104</v>
      </c>
      <c r="B9" s="8">
        <v>68635</v>
      </c>
      <c r="C9" s="8">
        <v>99.444117399999996</v>
      </c>
      <c r="D9" s="8">
        <v>22.159756699999999</v>
      </c>
      <c r="E9" s="8">
        <v>40</v>
      </c>
      <c r="F9" s="8">
        <v>553</v>
      </c>
      <c r="H9" t="str">
        <f t="shared" si="0"/>
        <v>99.44 (22.16)</v>
      </c>
    </row>
    <row r="10" spans="1:8" x14ac:dyDescent="0.3">
      <c r="A10" s="10" t="s">
        <v>105</v>
      </c>
      <c r="B10" s="8">
        <v>68635</v>
      </c>
      <c r="C10" s="8">
        <v>189.8298681</v>
      </c>
      <c r="D10" s="8">
        <v>37.001587000000001</v>
      </c>
      <c r="E10" s="8">
        <v>66</v>
      </c>
      <c r="F10" s="8">
        <v>554</v>
      </c>
      <c r="H10" t="str">
        <f t="shared" si="0"/>
        <v>189.83 (37.00)</v>
      </c>
    </row>
    <row r="11" spans="1:8" ht="25.5" x14ac:dyDescent="0.3">
      <c r="A11" s="10" t="s">
        <v>106</v>
      </c>
      <c r="B11" s="8">
        <v>68635</v>
      </c>
      <c r="C11" s="8">
        <v>51.164030500000003</v>
      </c>
      <c r="D11" s="8">
        <v>12.7718588</v>
      </c>
      <c r="E11" s="8">
        <v>8</v>
      </c>
      <c r="F11" s="8">
        <v>145.298</v>
      </c>
      <c r="H11" t="str">
        <f t="shared" si="0"/>
        <v>51.16 (12.77)</v>
      </c>
    </row>
    <row r="12" spans="1:8" x14ac:dyDescent="0.3">
      <c r="A12" s="10" t="s">
        <v>107</v>
      </c>
      <c r="B12" s="8">
        <v>68635</v>
      </c>
      <c r="C12" s="8">
        <v>133.23160200000001</v>
      </c>
      <c r="D12" s="8">
        <v>108.1042686</v>
      </c>
      <c r="E12" s="8">
        <v>14</v>
      </c>
      <c r="F12" s="8">
        <v>2774</v>
      </c>
      <c r="H12" t="str">
        <f t="shared" si="0"/>
        <v>133.23 (108.10)</v>
      </c>
    </row>
    <row r="13" spans="1:8" x14ac:dyDescent="0.3">
      <c r="A13" s="10" t="s">
        <v>108</v>
      </c>
      <c r="B13" s="8">
        <v>68635</v>
      </c>
      <c r="C13" s="8">
        <v>23.276768400000002</v>
      </c>
      <c r="D13" s="8">
        <v>13.9185897</v>
      </c>
      <c r="E13" s="8">
        <v>6</v>
      </c>
      <c r="F13" s="8">
        <v>927</v>
      </c>
      <c r="H13" t="str">
        <f t="shared" si="0"/>
        <v>23.28 (13.92)</v>
      </c>
    </row>
    <row r="14" spans="1:8" x14ac:dyDescent="0.3">
      <c r="A14" s="10" t="s">
        <v>109</v>
      </c>
      <c r="B14" s="8">
        <v>68635</v>
      </c>
      <c r="C14" s="8">
        <v>22.5703067</v>
      </c>
      <c r="D14" s="8">
        <v>18.894632399999999</v>
      </c>
      <c r="E14" s="8">
        <v>1</v>
      </c>
      <c r="F14" s="8">
        <v>893</v>
      </c>
      <c r="H14" t="str">
        <f t="shared" si="0"/>
        <v>22.57 (18.89)</v>
      </c>
    </row>
    <row r="15" spans="1:8" x14ac:dyDescent="0.3">
      <c r="A15" s="10" t="s">
        <v>110</v>
      </c>
      <c r="B15" s="8">
        <v>68635</v>
      </c>
      <c r="C15" s="8">
        <v>14.085683700000001</v>
      </c>
      <c r="D15" s="8">
        <v>1.5735372999999999</v>
      </c>
      <c r="E15" s="8">
        <v>3.9</v>
      </c>
      <c r="F15" s="8">
        <v>21.3</v>
      </c>
      <c r="H15" t="str">
        <f t="shared" si="0"/>
        <v>14.09 (1.57)</v>
      </c>
    </row>
    <row r="16" spans="1:8" x14ac:dyDescent="0.3">
      <c r="A16" s="10" t="s">
        <v>111</v>
      </c>
      <c r="B16" s="8">
        <v>68635</v>
      </c>
      <c r="C16" s="8">
        <v>14.545540900000001</v>
      </c>
      <c r="D16" s="8">
        <v>4.4851574999999997</v>
      </c>
      <c r="E16" s="8">
        <v>2</v>
      </c>
      <c r="F16" s="8">
        <v>140</v>
      </c>
      <c r="H16" t="str">
        <f t="shared" si="0"/>
        <v>14.55 (4.49)</v>
      </c>
    </row>
    <row r="17" spans="1:8" x14ac:dyDescent="0.3">
      <c r="A17" s="10" t="s">
        <v>112</v>
      </c>
      <c r="B17" s="8">
        <v>68635</v>
      </c>
      <c r="C17" s="8">
        <v>0.83667279999999999</v>
      </c>
      <c r="D17" s="8">
        <v>0.2371038</v>
      </c>
      <c r="E17" s="8">
        <v>0.2</v>
      </c>
      <c r="F17" s="8">
        <v>14.38</v>
      </c>
      <c r="H17" t="str">
        <f t="shared" si="0"/>
        <v>0.84 (0.24)</v>
      </c>
    </row>
    <row r="18" spans="1:8" x14ac:dyDescent="0.3">
      <c r="A18" s="10" t="s">
        <v>113</v>
      </c>
      <c r="B18" s="8">
        <v>68635</v>
      </c>
      <c r="C18" s="8">
        <v>5.7757484999999997</v>
      </c>
      <c r="D18" s="8">
        <v>0.80111399999999999</v>
      </c>
      <c r="E18" s="8">
        <v>5</v>
      </c>
      <c r="F18" s="8">
        <v>9</v>
      </c>
      <c r="H18" t="str">
        <f t="shared" si="0"/>
        <v>5.78 (0.80)</v>
      </c>
    </row>
    <row r="19" spans="1:8" x14ac:dyDescent="0.3">
      <c r="A19" s="10" t="s">
        <v>114</v>
      </c>
      <c r="B19" s="8">
        <v>68635</v>
      </c>
      <c r="C19" s="8">
        <v>8.5878429999999994</v>
      </c>
      <c r="D19" s="8">
        <v>0.6604331</v>
      </c>
      <c r="E19" s="8">
        <v>6.4441312999999996</v>
      </c>
      <c r="F19" s="8">
        <v>12.7290689</v>
      </c>
      <c r="H19" t="str">
        <f t="shared" si="0"/>
        <v>8.59 (0.66)</v>
      </c>
    </row>
    <row r="20" spans="1:8" x14ac:dyDescent="0.3">
      <c r="A20" s="10" t="s">
        <v>115</v>
      </c>
      <c r="B20" s="8">
        <v>68635</v>
      </c>
      <c r="C20" s="8">
        <v>0.66871049999999999</v>
      </c>
      <c r="D20" s="8">
        <v>7.4022900000000003E-2</v>
      </c>
      <c r="E20" s="8">
        <v>0.40120869999999997</v>
      </c>
      <c r="F20" s="8">
        <v>1.3241700999999999</v>
      </c>
      <c r="H20" t="str">
        <f t="shared" si="0"/>
        <v>0.67 (0.07)</v>
      </c>
    </row>
    <row r="21" spans="1:8" x14ac:dyDescent="0.3">
      <c r="A21" s="10" t="s">
        <v>116</v>
      </c>
      <c r="B21" s="8">
        <v>68635</v>
      </c>
      <c r="C21" s="8">
        <v>0.34481020000000001</v>
      </c>
      <c r="D21" s="8">
        <v>0.3215383</v>
      </c>
      <c r="E21" s="9">
        <v>-0.69650619999999996</v>
      </c>
      <c r="F21" s="8">
        <v>2.1147776999999999</v>
      </c>
      <c r="H21" t="str">
        <f t="shared" si="0"/>
        <v>0.34 (0.32)</v>
      </c>
    </row>
    <row r="22" spans="1:8" x14ac:dyDescent="0.3">
      <c r="A22" s="10" t="s">
        <v>117</v>
      </c>
      <c r="B22" s="8">
        <v>68635</v>
      </c>
      <c r="C22" s="8">
        <v>35.570259399999998</v>
      </c>
      <c r="D22" s="8">
        <v>7.2824150000000003</v>
      </c>
      <c r="E22" s="8">
        <v>15.6032782</v>
      </c>
      <c r="F22" s="8">
        <v>93.063441699999998</v>
      </c>
      <c r="H22" t="str">
        <f t="shared" si="0"/>
        <v>35.57 (7.28)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A3A60-3EC8-48A4-B619-2ED0F58867C1}">
  <dimension ref="A1:H91"/>
  <sheetViews>
    <sheetView topLeftCell="A68" workbookViewId="0">
      <selection activeCell="H73" sqref="H73:H91"/>
    </sheetView>
  </sheetViews>
  <sheetFormatPr defaultRowHeight="16.5" x14ac:dyDescent="0.3"/>
  <cols>
    <col min="8" max="8" width="14.625" bestFit="1" customWidth="1"/>
  </cols>
  <sheetData>
    <row r="1" spans="1:8" x14ac:dyDescent="0.3">
      <c r="A1" s="1" t="s">
        <v>118</v>
      </c>
    </row>
    <row r="2" spans="1:8" ht="17.25" thickBot="1" x14ac:dyDescent="0.35"/>
    <row r="3" spans="1:8" x14ac:dyDescent="0.3">
      <c r="A3" s="4" t="s">
        <v>93</v>
      </c>
      <c r="B3" s="5" t="s">
        <v>94</v>
      </c>
      <c r="C3" s="5" t="s">
        <v>95</v>
      </c>
      <c r="D3" s="5" t="s">
        <v>96</v>
      </c>
      <c r="E3" s="5" t="s">
        <v>97</v>
      </c>
      <c r="F3" s="5" t="s">
        <v>98</v>
      </c>
    </row>
    <row r="4" spans="1:8" x14ac:dyDescent="0.3">
      <c r="A4" s="10" t="s">
        <v>99</v>
      </c>
      <c r="B4" s="8">
        <v>16281</v>
      </c>
      <c r="C4" s="8">
        <v>42.451692199999997</v>
      </c>
      <c r="D4" s="8">
        <v>15.955994199999999</v>
      </c>
      <c r="E4" s="8">
        <v>19</v>
      </c>
      <c r="F4" s="8">
        <v>80</v>
      </c>
      <c r="H4" t="str">
        <f>TEXT(C4,"0.00")&amp;" ("&amp;TEXT(D4,"0.00")&amp;")"</f>
        <v>42.45 (15.96)</v>
      </c>
    </row>
    <row r="5" spans="1:8" x14ac:dyDescent="0.3">
      <c r="A5" s="10" t="s">
        <v>100</v>
      </c>
      <c r="B5" s="8">
        <v>16281</v>
      </c>
      <c r="C5" s="8">
        <v>22.0465728</v>
      </c>
      <c r="D5" s="8">
        <v>2.9563763999999999</v>
      </c>
      <c r="E5" s="8">
        <v>13.512496799999999</v>
      </c>
      <c r="F5" s="8">
        <v>46.219893999999996</v>
      </c>
      <c r="H5" t="str">
        <f t="shared" ref="H5:H22" si="0">TEXT(C5,"0.00")&amp;" ("&amp;TEXT(D5,"0.00")&amp;")"</f>
        <v>22.05 (2.96)</v>
      </c>
    </row>
    <row r="6" spans="1:8" x14ac:dyDescent="0.3">
      <c r="A6" s="10" t="s">
        <v>101</v>
      </c>
      <c r="B6" s="8">
        <v>16281</v>
      </c>
      <c r="C6" s="8">
        <v>75.656599700000001</v>
      </c>
      <c r="D6" s="8">
        <v>8.8136009000000008</v>
      </c>
      <c r="E6" s="8">
        <v>51.9</v>
      </c>
      <c r="F6" s="8">
        <v>137.1</v>
      </c>
      <c r="H6" t="str">
        <f t="shared" si="0"/>
        <v>75.66 (8.81)</v>
      </c>
    </row>
    <row r="7" spans="1:8" x14ac:dyDescent="0.3">
      <c r="A7" s="10" t="s">
        <v>102</v>
      </c>
      <c r="B7" s="8">
        <v>16281</v>
      </c>
      <c r="C7" s="8">
        <v>7.5501799999999994E-2</v>
      </c>
      <c r="D7" s="8">
        <v>4.4473999999999998E-3</v>
      </c>
      <c r="E7" s="8">
        <v>5.6099799999999998E-2</v>
      </c>
      <c r="F7" s="8">
        <v>9.96866E-2</v>
      </c>
      <c r="H7" t="str">
        <f t="shared" si="0"/>
        <v>0.08 (0.00)</v>
      </c>
    </row>
    <row r="8" spans="1:8" x14ac:dyDescent="0.3">
      <c r="A8" s="10" t="s">
        <v>103</v>
      </c>
      <c r="B8" s="8">
        <v>16281</v>
      </c>
      <c r="C8" s="8">
        <v>111.1924329</v>
      </c>
      <c r="D8" s="8">
        <v>14.6850015</v>
      </c>
      <c r="E8" s="8">
        <v>75</v>
      </c>
      <c r="F8" s="8">
        <v>217</v>
      </c>
      <c r="H8" t="str">
        <f t="shared" si="0"/>
        <v>111.19 (14.69)</v>
      </c>
    </row>
    <row r="9" spans="1:8" x14ac:dyDescent="0.3">
      <c r="A9" s="10" t="s">
        <v>104</v>
      </c>
      <c r="B9" s="8">
        <v>16281</v>
      </c>
      <c r="C9" s="8">
        <v>89.284503400000006</v>
      </c>
      <c r="D9" s="8">
        <v>8.5921804000000002</v>
      </c>
      <c r="E9" s="8">
        <v>40</v>
      </c>
      <c r="F9" s="8">
        <v>197</v>
      </c>
      <c r="H9" t="str">
        <f t="shared" si="0"/>
        <v>89.28 (8.59)</v>
      </c>
    </row>
    <row r="10" spans="1:8" x14ac:dyDescent="0.3">
      <c r="A10" s="10" t="s">
        <v>105</v>
      </c>
      <c r="B10" s="8">
        <v>16281</v>
      </c>
      <c r="C10" s="8">
        <v>176.7964498</v>
      </c>
      <c r="D10" s="8">
        <v>31.630113699999999</v>
      </c>
      <c r="E10" s="8">
        <v>71</v>
      </c>
      <c r="F10" s="8">
        <v>457</v>
      </c>
      <c r="H10" t="str">
        <f t="shared" si="0"/>
        <v>176.80 (31.63)</v>
      </c>
    </row>
    <row r="11" spans="1:8" ht="25.5" x14ac:dyDescent="0.3">
      <c r="A11" s="10" t="s">
        <v>106</v>
      </c>
      <c r="B11" s="8">
        <v>16281</v>
      </c>
      <c r="C11" s="8">
        <v>59.040134600000002</v>
      </c>
      <c r="D11" s="8">
        <v>12.7350116</v>
      </c>
      <c r="E11" s="8">
        <v>13.997999999999999</v>
      </c>
      <c r="F11" s="8">
        <v>134</v>
      </c>
      <c r="H11" t="str">
        <f t="shared" si="0"/>
        <v>59.04 (12.74)</v>
      </c>
    </row>
    <row r="12" spans="1:8" x14ac:dyDescent="0.3">
      <c r="A12" s="10" t="s">
        <v>107</v>
      </c>
      <c r="B12" s="8">
        <v>16281</v>
      </c>
      <c r="C12" s="8">
        <v>55.389902300000003</v>
      </c>
      <c r="D12" s="8">
        <v>12.120233300000001</v>
      </c>
      <c r="E12" s="8">
        <v>14</v>
      </c>
      <c r="F12" s="8">
        <v>119</v>
      </c>
      <c r="H12" t="str">
        <f t="shared" si="0"/>
        <v>55.39 (12.12)</v>
      </c>
    </row>
    <row r="13" spans="1:8" x14ac:dyDescent="0.3">
      <c r="A13" s="10" t="s">
        <v>108</v>
      </c>
      <c r="B13" s="8">
        <v>16281</v>
      </c>
      <c r="C13" s="8">
        <v>20.5725078</v>
      </c>
      <c r="D13" s="8">
        <v>11.254605</v>
      </c>
      <c r="E13" s="8">
        <v>7</v>
      </c>
      <c r="F13" s="8">
        <v>415</v>
      </c>
      <c r="H13" t="str">
        <f t="shared" si="0"/>
        <v>20.57 (11.25)</v>
      </c>
    </row>
    <row r="14" spans="1:8" x14ac:dyDescent="0.3">
      <c r="A14" s="10" t="s">
        <v>109</v>
      </c>
      <c r="B14" s="8">
        <v>16281</v>
      </c>
      <c r="C14" s="8">
        <v>16.623856</v>
      </c>
      <c r="D14" s="8">
        <v>12.767824900000001</v>
      </c>
      <c r="E14" s="8">
        <v>3</v>
      </c>
      <c r="F14" s="8">
        <v>544</v>
      </c>
      <c r="H14" t="str">
        <f t="shared" si="0"/>
        <v>16.62 (12.77)</v>
      </c>
    </row>
    <row r="15" spans="1:8" x14ac:dyDescent="0.3">
      <c r="A15" s="10" t="s">
        <v>110</v>
      </c>
      <c r="B15" s="8">
        <v>16281</v>
      </c>
      <c r="C15" s="8">
        <v>13.4752656</v>
      </c>
      <c r="D15" s="8">
        <v>1.4676359000000001</v>
      </c>
      <c r="E15" s="8">
        <v>5</v>
      </c>
      <c r="F15" s="8">
        <v>18.8</v>
      </c>
      <c r="H15" t="str">
        <f t="shared" si="0"/>
        <v>13.48 (1.47)</v>
      </c>
    </row>
    <row r="16" spans="1:8" x14ac:dyDescent="0.3">
      <c r="A16" s="10" t="s">
        <v>111</v>
      </c>
      <c r="B16" s="8">
        <v>16281</v>
      </c>
      <c r="C16" s="8">
        <v>14.034371399999999</v>
      </c>
      <c r="D16" s="8">
        <v>4.3752827999999999</v>
      </c>
      <c r="E16" s="8">
        <v>2</v>
      </c>
      <c r="F16" s="8">
        <v>140</v>
      </c>
      <c r="H16" t="str">
        <f t="shared" si="0"/>
        <v>14.03 (4.38)</v>
      </c>
    </row>
    <row r="17" spans="1:8" x14ac:dyDescent="0.3">
      <c r="A17" s="10" t="s">
        <v>112</v>
      </c>
      <c r="B17" s="8">
        <v>16281</v>
      </c>
      <c r="C17" s="8">
        <v>0.7805571</v>
      </c>
      <c r="D17" s="8">
        <v>0.20467360000000001</v>
      </c>
      <c r="E17" s="8">
        <v>0.36</v>
      </c>
      <c r="F17" s="8">
        <v>14.38</v>
      </c>
      <c r="H17" t="str">
        <f t="shared" si="0"/>
        <v>0.78 (0.20)</v>
      </c>
    </row>
    <row r="18" spans="1:8" x14ac:dyDescent="0.3">
      <c r="A18" s="10" t="s">
        <v>113</v>
      </c>
      <c r="B18" s="8">
        <v>16281</v>
      </c>
      <c r="C18" s="8">
        <v>5.8291259999999996</v>
      </c>
      <c r="D18" s="8">
        <v>0.80512519999999999</v>
      </c>
      <c r="E18" s="8">
        <v>5</v>
      </c>
      <c r="F18" s="8">
        <v>9</v>
      </c>
      <c r="H18" t="str">
        <f t="shared" si="0"/>
        <v>5.83 (0.81)</v>
      </c>
    </row>
    <row r="19" spans="1:8" x14ac:dyDescent="0.3">
      <c r="A19" s="10" t="s">
        <v>114</v>
      </c>
      <c r="B19" s="8">
        <v>16281</v>
      </c>
      <c r="C19" s="8">
        <v>7.7821151999999998</v>
      </c>
      <c r="D19" s="8">
        <v>0.24596390000000001</v>
      </c>
      <c r="E19" s="8">
        <v>6.4441312999999996</v>
      </c>
      <c r="F19" s="8">
        <v>8.0951412999999999</v>
      </c>
      <c r="H19" t="str">
        <f t="shared" si="0"/>
        <v>7.78 (0.25)</v>
      </c>
    </row>
    <row r="20" spans="1:8" x14ac:dyDescent="0.3">
      <c r="A20" s="10" t="s">
        <v>115</v>
      </c>
      <c r="B20" s="8">
        <v>16281</v>
      </c>
      <c r="C20" s="8">
        <v>0.58773790000000004</v>
      </c>
      <c r="D20" s="8">
        <v>4.1757500000000003E-2</v>
      </c>
      <c r="E20" s="8">
        <v>0.43668079999999998</v>
      </c>
      <c r="F20" s="8">
        <v>0.75111479999999997</v>
      </c>
      <c r="H20" t="str">
        <f t="shared" si="0"/>
        <v>0.59 (0.04)</v>
      </c>
    </row>
    <row r="21" spans="1:8" x14ac:dyDescent="0.3">
      <c r="A21" s="10" t="s">
        <v>116</v>
      </c>
      <c r="B21" s="8">
        <v>16281</v>
      </c>
      <c r="C21" s="9">
        <v>-2.9339500000000001E-2</v>
      </c>
      <c r="D21" s="8">
        <v>0.14934420000000001</v>
      </c>
      <c r="E21" s="9">
        <v>-0.69650619999999996</v>
      </c>
      <c r="F21" s="8">
        <v>0.51669180000000003</v>
      </c>
      <c r="H21" t="str">
        <f t="shared" si="0"/>
        <v>-0.03 (0.15)</v>
      </c>
    </row>
    <row r="22" spans="1:8" x14ac:dyDescent="0.3">
      <c r="A22" s="10" t="s">
        <v>117</v>
      </c>
      <c r="B22" s="8">
        <v>16281</v>
      </c>
      <c r="C22" s="8">
        <v>29.777887799999998</v>
      </c>
      <c r="D22" s="8">
        <v>4.7453034000000001</v>
      </c>
      <c r="E22" s="8">
        <v>15.6032782</v>
      </c>
      <c r="F22" s="8">
        <v>67.677062599999999</v>
      </c>
      <c r="H22" t="str">
        <f t="shared" si="0"/>
        <v>29.78 (4.75)</v>
      </c>
    </row>
    <row r="24" spans="1:8" x14ac:dyDescent="0.3">
      <c r="A24" s="1" t="s">
        <v>119</v>
      </c>
    </row>
    <row r="25" spans="1:8" ht="17.25" thickBot="1" x14ac:dyDescent="0.35"/>
    <row r="26" spans="1:8" x14ac:dyDescent="0.3">
      <c r="A26" s="4" t="s">
        <v>93</v>
      </c>
      <c r="B26" s="5" t="s">
        <v>94</v>
      </c>
      <c r="C26" s="5" t="s">
        <v>95</v>
      </c>
      <c r="D26" s="5" t="s">
        <v>96</v>
      </c>
      <c r="E26" s="5" t="s">
        <v>97</v>
      </c>
      <c r="F26" s="5" t="s">
        <v>98</v>
      </c>
    </row>
    <row r="27" spans="1:8" x14ac:dyDescent="0.3">
      <c r="A27" s="10" t="s">
        <v>99</v>
      </c>
      <c r="B27" s="8">
        <v>16807</v>
      </c>
      <c r="C27" s="8">
        <v>48.848694000000002</v>
      </c>
      <c r="D27" s="8">
        <v>16.342898699999999</v>
      </c>
      <c r="E27" s="8">
        <v>19</v>
      </c>
      <c r="F27" s="8">
        <v>80</v>
      </c>
      <c r="H27" t="str">
        <f>TEXT(C27,"0.00")&amp;" ("&amp;TEXT(D27,"0.00")&amp;")"</f>
        <v>48.85 (16.34)</v>
      </c>
    </row>
    <row r="28" spans="1:8" x14ac:dyDescent="0.3">
      <c r="A28" s="10" t="s">
        <v>100</v>
      </c>
      <c r="B28" s="8">
        <v>16807</v>
      </c>
      <c r="C28" s="8">
        <v>23.282711500000001</v>
      </c>
      <c r="D28" s="8">
        <v>3.2391909000000001</v>
      </c>
      <c r="E28" s="8">
        <v>13.173742799999999</v>
      </c>
      <c r="F28" s="8">
        <v>62.640542099999998</v>
      </c>
      <c r="H28" t="str">
        <f t="shared" ref="H28:H45" si="1">TEXT(C28,"0.00")&amp;" ("&amp;TEXT(D28,"0.00")&amp;")"</f>
        <v>23.28 (3.24)</v>
      </c>
    </row>
    <row r="29" spans="1:8" x14ac:dyDescent="0.3">
      <c r="A29" s="10" t="s">
        <v>101</v>
      </c>
      <c r="B29" s="8">
        <v>16807</v>
      </c>
      <c r="C29" s="8">
        <v>80.422633399999995</v>
      </c>
      <c r="D29" s="8">
        <v>9.4148283999999993</v>
      </c>
      <c r="E29" s="8">
        <v>49.3</v>
      </c>
      <c r="F29" s="8">
        <v>139.19999999999999</v>
      </c>
      <c r="H29" t="str">
        <f t="shared" si="1"/>
        <v>80.42 (9.41)</v>
      </c>
    </row>
    <row r="30" spans="1:8" x14ac:dyDescent="0.3">
      <c r="A30" s="10" t="s">
        <v>102</v>
      </c>
      <c r="B30" s="8">
        <v>16807</v>
      </c>
      <c r="C30" s="8">
        <v>7.7331899999999995E-2</v>
      </c>
      <c r="D30" s="8">
        <v>4.5171999999999999E-3</v>
      </c>
      <c r="E30" s="8">
        <v>5.4297199999999997E-2</v>
      </c>
      <c r="F30" s="8">
        <v>0.1121983</v>
      </c>
      <c r="H30" t="str">
        <f t="shared" si="1"/>
        <v>0.08 (0.00)</v>
      </c>
    </row>
    <row r="31" spans="1:8" x14ac:dyDescent="0.3">
      <c r="A31" s="10" t="s">
        <v>103</v>
      </c>
      <c r="B31" s="8">
        <v>16807</v>
      </c>
      <c r="C31" s="8">
        <v>116.8408104</v>
      </c>
      <c r="D31" s="8">
        <v>16.105515199999999</v>
      </c>
      <c r="E31" s="8">
        <v>76</v>
      </c>
      <c r="F31" s="8">
        <v>232</v>
      </c>
      <c r="H31" t="str">
        <f t="shared" si="1"/>
        <v>116.84 (16.11)</v>
      </c>
    </row>
    <row r="32" spans="1:8" x14ac:dyDescent="0.3">
      <c r="A32" s="10" t="s">
        <v>104</v>
      </c>
      <c r="B32" s="8">
        <v>16807</v>
      </c>
      <c r="C32" s="8">
        <v>94.340691399999997</v>
      </c>
      <c r="D32" s="8">
        <v>10.9736174</v>
      </c>
      <c r="E32" s="8">
        <v>46</v>
      </c>
      <c r="F32" s="8">
        <v>243</v>
      </c>
      <c r="H32" t="str">
        <f t="shared" si="1"/>
        <v>94.34 (10.97)</v>
      </c>
    </row>
    <row r="33" spans="1:8" x14ac:dyDescent="0.3">
      <c r="A33" s="10" t="s">
        <v>105</v>
      </c>
      <c r="B33" s="8">
        <v>16807</v>
      </c>
      <c r="C33" s="8">
        <v>185.78544650000001</v>
      </c>
      <c r="D33" s="8">
        <v>34.179441500000003</v>
      </c>
      <c r="E33" s="8">
        <v>66</v>
      </c>
      <c r="F33" s="8">
        <v>374</v>
      </c>
      <c r="H33" t="str">
        <f t="shared" si="1"/>
        <v>185.79 (34.18)</v>
      </c>
    </row>
    <row r="34" spans="1:8" ht="25.5" x14ac:dyDescent="0.3">
      <c r="A34" s="10" t="s">
        <v>106</v>
      </c>
      <c r="B34" s="8">
        <v>16807</v>
      </c>
      <c r="C34" s="8">
        <v>53.812756200000003</v>
      </c>
      <c r="D34" s="8">
        <v>12.0340972</v>
      </c>
      <c r="E34" s="8">
        <v>15</v>
      </c>
      <c r="F34" s="8">
        <v>145.298</v>
      </c>
      <c r="H34" t="str">
        <f t="shared" si="1"/>
        <v>53.81 (12.03)</v>
      </c>
    </row>
    <row r="35" spans="1:8" x14ac:dyDescent="0.3">
      <c r="A35" s="10" t="s">
        <v>107</v>
      </c>
      <c r="B35" s="8">
        <v>16807</v>
      </c>
      <c r="C35" s="8">
        <v>87.608972499999993</v>
      </c>
      <c r="D35" s="8">
        <v>13.110471199999999</v>
      </c>
      <c r="E35" s="8">
        <v>36</v>
      </c>
      <c r="F35" s="8">
        <v>153</v>
      </c>
      <c r="H35" t="str">
        <f t="shared" si="1"/>
        <v>87.61 (13.11)</v>
      </c>
    </row>
    <row r="36" spans="1:8" x14ac:dyDescent="0.3">
      <c r="A36" s="10" t="s">
        <v>108</v>
      </c>
      <c r="B36" s="8">
        <v>16807</v>
      </c>
      <c r="C36" s="8">
        <v>21.801689799999998</v>
      </c>
      <c r="D36" s="8">
        <v>11.085567299999999</v>
      </c>
      <c r="E36" s="8">
        <v>7</v>
      </c>
      <c r="F36" s="8">
        <v>430</v>
      </c>
      <c r="H36" t="str">
        <f t="shared" si="1"/>
        <v>21.80 (11.09)</v>
      </c>
    </row>
    <row r="37" spans="1:8" x14ac:dyDescent="0.3">
      <c r="A37" s="10" t="s">
        <v>109</v>
      </c>
      <c r="B37" s="8">
        <v>16807</v>
      </c>
      <c r="C37" s="8">
        <v>19.652763700000001</v>
      </c>
      <c r="D37" s="8">
        <v>17.949148600000001</v>
      </c>
      <c r="E37" s="8">
        <v>1</v>
      </c>
      <c r="F37" s="8">
        <v>893</v>
      </c>
      <c r="H37" t="str">
        <f t="shared" si="1"/>
        <v>19.65 (17.95)</v>
      </c>
    </row>
    <row r="38" spans="1:8" x14ac:dyDescent="0.3">
      <c r="A38" s="10" t="s">
        <v>110</v>
      </c>
      <c r="B38" s="8">
        <v>16807</v>
      </c>
      <c r="C38" s="8">
        <v>13.8723984</v>
      </c>
      <c r="D38" s="8">
        <v>1.5250170000000001</v>
      </c>
      <c r="E38" s="8">
        <v>3.9</v>
      </c>
      <c r="F38" s="8">
        <v>19</v>
      </c>
      <c r="H38" t="str">
        <f t="shared" si="1"/>
        <v>13.87 (1.53)</v>
      </c>
    </row>
    <row r="39" spans="1:8" x14ac:dyDescent="0.3">
      <c r="A39" s="10" t="s">
        <v>111</v>
      </c>
      <c r="B39" s="8">
        <v>16807</v>
      </c>
      <c r="C39" s="8">
        <v>14.520545</v>
      </c>
      <c r="D39" s="8">
        <v>4.5163048999999997</v>
      </c>
      <c r="E39" s="8">
        <v>5</v>
      </c>
      <c r="F39" s="8">
        <v>87</v>
      </c>
      <c r="H39" t="str">
        <f t="shared" si="1"/>
        <v>14.52 (4.52)</v>
      </c>
    </row>
    <row r="40" spans="1:8" x14ac:dyDescent="0.3">
      <c r="A40" s="10" t="s">
        <v>112</v>
      </c>
      <c r="B40" s="8">
        <v>16807</v>
      </c>
      <c r="C40" s="8">
        <v>0.82091510000000001</v>
      </c>
      <c r="D40" s="8">
        <v>0.23528750000000001</v>
      </c>
      <c r="E40" s="8">
        <v>0.36</v>
      </c>
      <c r="F40" s="8">
        <v>11.33</v>
      </c>
      <c r="H40" t="str">
        <f t="shared" si="1"/>
        <v>0.82 (0.24)</v>
      </c>
    </row>
    <row r="41" spans="1:8" x14ac:dyDescent="0.3">
      <c r="A41" s="10" t="s">
        <v>113</v>
      </c>
      <c r="B41" s="8">
        <v>16807</v>
      </c>
      <c r="C41" s="8">
        <v>5.8380437000000001</v>
      </c>
      <c r="D41" s="8">
        <v>0.81361859999999997</v>
      </c>
      <c r="E41" s="8">
        <v>5</v>
      </c>
      <c r="F41" s="8">
        <v>9</v>
      </c>
      <c r="H41" t="str">
        <f t="shared" si="1"/>
        <v>5.84 (0.81)</v>
      </c>
    </row>
    <row r="42" spans="1:8" x14ac:dyDescent="0.3">
      <c r="A42" s="10" t="s">
        <v>114</v>
      </c>
      <c r="B42" s="8">
        <v>16807</v>
      </c>
      <c r="C42" s="8">
        <v>8.3092039</v>
      </c>
      <c r="D42" s="8">
        <v>0.1196673</v>
      </c>
      <c r="E42" s="8">
        <v>8.0955987</v>
      </c>
      <c r="F42" s="8">
        <v>8.5139881000000006</v>
      </c>
      <c r="H42" t="str">
        <f t="shared" si="1"/>
        <v>8.31 (0.12)</v>
      </c>
    </row>
    <row r="43" spans="1:8" x14ac:dyDescent="0.3">
      <c r="A43" s="10" t="s">
        <v>115</v>
      </c>
      <c r="B43" s="8">
        <v>16807</v>
      </c>
      <c r="C43" s="8">
        <v>0.64261780000000002</v>
      </c>
      <c r="D43" s="8">
        <v>3.9507100000000003E-2</v>
      </c>
      <c r="E43" s="8">
        <v>0.44715719999999998</v>
      </c>
      <c r="F43" s="8">
        <v>0.92555880000000001</v>
      </c>
      <c r="H43" t="str">
        <f t="shared" si="1"/>
        <v>0.64 (0.04)</v>
      </c>
    </row>
    <row r="44" spans="1:8" x14ac:dyDescent="0.3">
      <c r="A44" s="10" t="s">
        <v>116</v>
      </c>
      <c r="B44" s="8">
        <v>16807</v>
      </c>
      <c r="C44" s="8">
        <v>0.21720629999999999</v>
      </c>
      <c r="D44" s="8">
        <v>0.1222758</v>
      </c>
      <c r="E44" s="9">
        <v>-0.33996150000000003</v>
      </c>
      <c r="F44" s="8">
        <v>0.74656</v>
      </c>
      <c r="H44" t="str">
        <f t="shared" si="1"/>
        <v>0.22 (0.12)</v>
      </c>
    </row>
    <row r="45" spans="1:8" x14ac:dyDescent="0.3">
      <c r="A45" s="10" t="s">
        <v>117</v>
      </c>
      <c r="B45" s="8">
        <v>16807</v>
      </c>
      <c r="C45" s="8">
        <v>33.182197100000003</v>
      </c>
      <c r="D45" s="8">
        <v>5.3264174999999998</v>
      </c>
      <c r="E45" s="8">
        <v>17.320489200000001</v>
      </c>
      <c r="F45" s="8">
        <v>93.063441699999998</v>
      </c>
      <c r="H45" t="str">
        <f t="shared" si="1"/>
        <v>33.18 (5.33)</v>
      </c>
    </row>
    <row r="47" spans="1:8" x14ac:dyDescent="0.3">
      <c r="A47" s="1" t="s">
        <v>120</v>
      </c>
    </row>
    <row r="48" spans="1:8" ht="17.25" thickBot="1" x14ac:dyDescent="0.35"/>
    <row r="49" spans="1:8" x14ac:dyDescent="0.3">
      <c r="A49" s="4" t="s">
        <v>93</v>
      </c>
      <c r="B49" s="5" t="s">
        <v>94</v>
      </c>
      <c r="C49" s="5" t="s">
        <v>95</v>
      </c>
      <c r="D49" s="5" t="s">
        <v>96</v>
      </c>
      <c r="E49" s="5" t="s">
        <v>97</v>
      </c>
      <c r="F49" s="5" t="s">
        <v>98</v>
      </c>
    </row>
    <row r="50" spans="1:8" x14ac:dyDescent="0.3">
      <c r="A50" s="10" t="s">
        <v>99</v>
      </c>
      <c r="B50" s="8">
        <v>17422</v>
      </c>
      <c r="C50" s="8">
        <v>52.362300500000003</v>
      </c>
      <c r="D50" s="8">
        <v>15.6830131</v>
      </c>
      <c r="E50" s="8">
        <v>19</v>
      </c>
      <c r="F50" s="8">
        <v>80</v>
      </c>
      <c r="H50" t="str">
        <f>TEXT(C50,"0.00")&amp;" ("&amp;TEXT(D50,"0.00")&amp;")"</f>
        <v>52.36 (15.68)</v>
      </c>
    </row>
    <row r="51" spans="1:8" x14ac:dyDescent="0.3">
      <c r="A51" s="10" t="s">
        <v>100</v>
      </c>
      <c r="B51" s="8">
        <v>17422</v>
      </c>
      <c r="C51" s="8">
        <v>24.426838199999999</v>
      </c>
      <c r="D51" s="8">
        <v>3.3574389</v>
      </c>
      <c r="E51" s="8">
        <v>13.1339583</v>
      </c>
      <c r="F51" s="8">
        <v>45.934737699999999</v>
      </c>
      <c r="H51" t="str">
        <f t="shared" ref="H51:H68" si="2">TEXT(C51,"0.00")&amp;" ("&amp;TEXT(D51,"0.00")&amp;")"</f>
        <v>24.43 (3.36)</v>
      </c>
    </row>
    <row r="52" spans="1:8" x14ac:dyDescent="0.3">
      <c r="A52" s="10" t="s">
        <v>101</v>
      </c>
      <c r="B52" s="8">
        <v>17422</v>
      </c>
      <c r="C52" s="8">
        <v>84.381661100000002</v>
      </c>
      <c r="D52" s="8">
        <v>9.3535877000000003</v>
      </c>
      <c r="E52" s="8">
        <v>36.200000000000003</v>
      </c>
      <c r="F52" s="8">
        <v>166.1</v>
      </c>
      <c r="H52" t="str">
        <f t="shared" si="2"/>
        <v>84.38 (9.35)</v>
      </c>
    </row>
    <row r="53" spans="1:8" x14ac:dyDescent="0.3">
      <c r="A53" s="10" t="s">
        <v>102</v>
      </c>
      <c r="B53" s="8">
        <v>17422</v>
      </c>
      <c r="C53" s="8">
        <v>7.8509200000000001E-2</v>
      </c>
      <c r="D53" s="8">
        <v>4.4675000000000001E-3</v>
      </c>
      <c r="E53" s="8">
        <v>4.5616799999999999E-2</v>
      </c>
      <c r="F53" s="8">
        <v>0.15107219999999999</v>
      </c>
      <c r="H53" t="str">
        <f t="shared" si="2"/>
        <v>0.08 (0.00)</v>
      </c>
    </row>
    <row r="54" spans="1:8" x14ac:dyDescent="0.3">
      <c r="A54" s="10" t="s">
        <v>103</v>
      </c>
      <c r="B54" s="8">
        <v>17422</v>
      </c>
      <c r="C54" s="8">
        <v>120.6841637</v>
      </c>
      <c r="D54" s="8">
        <v>16.2728565</v>
      </c>
      <c r="E54" s="8">
        <v>70</v>
      </c>
      <c r="F54" s="8">
        <v>220</v>
      </c>
      <c r="H54" t="str">
        <f t="shared" si="2"/>
        <v>120.68 (16.27)</v>
      </c>
    </row>
    <row r="55" spans="1:8" x14ac:dyDescent="0.3">
      <c r="A55" s="10" t="s">
        <v>104</v>
      </c>
      <c r="B55" s="8">
        <v>17422</v>
      </c>
      <c r="C55" s="8">
        <v>99.320342100000005</v>
      </c>
      <c r="D55" s="8">
        <v>15.361651</v>
      </c>
      <c r="E55" s="8">
        <v>61</v>
      </c>
      <c r="F55" s="8">
        <v>306</v>
      </c>
      <c r="H55" t="str">
        <f t="shared" si="2"/>
        <v>99.32 (15.36)</v>
      </c>
    </row>
    <row r="56" spans="1:8" x14ac:dyDescent="0.3">
      <c r="A56" s="10" t="s">
        <v>105</v>
      </c>
      <c r="B56" s="8">
        <v>17422</v>
      </c>
      <c r="C56" s="8">
        <v>192.64579269999999</v>
      </c>
      <c r="D56" s="8">
        <v>35.976255799999997</v>
      </c>
      <c r="E56" s="8">
        <v>68</v>
      </c>
      <c r="F56" s="8">
        <v>381</v>
      </c>
      <c r="H56" t="str">
        <f t="shared" si="2"/>
        <v>192.65 (35.98)</v>
      </c>
    </row>
    <row r="57" spans="1:8" ht="25.5" x14ac:dyDescent="0.3">
      <c r="A57" s="10" t="s">
        <v>106</v>
      </c>
      <c r="B57" s="8">
        <v>17422</v>
      </c>
      <c r="C57" s="8">
        <v>49.1517087</v>
      </c>
      <c r="D57" s="8">
        <v>11.042202700000001</v>
      </c>
      <c r="E57" s="8">
        <v>19.027999999999999</v>
      </c>
      <c r="F57" s="8">
        <v>128</v>
      </c>
      <c r="H57" t="str">
        <f t="shared" si="2"/>
        <v>49.15 (11.04)</v>
      </c>
    </row>
    <row r="58" spans="1:8" x14ac:dyDescent="0.3">
      <c r="A58" s="10" t="s">
        <v>107</v>
      </c>
      <c r="B58" s="8">
        <v>17422</v>
      </c>
      <c r="C58" s="8">
        <v>127.8410056</v>
      </c>
      <c r="D58" s="8">
        <v>21.925438400000001</v>
      </c>
      <c r="E58" s="8">
        <v>41</v>
      </c>
      <c r="F58" s="8">
        <v>220</v>
      </c>
      <c r="H58" t="str">
        <f t="shared" si="2"/>
        <v>127.84 (21.93)</v>
      </c>
    </row>
    <row r="59" spans="1:8" x14ac:dyDescent="0.3">
      <c r="A59" s="10" t="s">
        <v>108</v>
      </c>
      <c r="B59" s="8">
        <v>17422</v>
      </c>
      <c r="C59" s="8">
        <v>23.2981862</v>
      </c>
      <c r="D59" s="8">
        <v>11.465934300000001</v>
      </c>
      <c r="E59" s="8">
        <v>7</v>
      </c>
      <c r="F59" s="8">
        <v>491</v>
      </c>
      <c r="H59" t="str">
        <f t="shared" si="2"/>
        <v>23.30 (11.47)</v>
      </c>
    </row>
    <row r="60" spans="1:8" x14ac:dyDescent="0.3">
      <c r="A60" s="10" t="s">
        <v>109</v>
      </c>
      <c r="B60" s="8">
        <v>17422</v>
      </c>
      <c r="C60" s="8">
        <v>23.208127699999999</v>
      </c>
      <c r="D60" s="8">
        <v>17.891199499999999</v>
      </c>
      <c r="E60" s="8">
        <v>3</v>
      </c>
      <c r="F60" s="8">
        <v>857</v>
      </c>
      <c r="H60" t="str">
        <f t="shared" si="2"/>
        <v>23.21 (17.89)</v>
      </c>
    </row>
    <row r="61" spans="1:8" x14ac:dyDescent="0.3">
      <c r="A61" s="10" t="s">
        <v>110</v>
      </c>
      <c r="B61" s="8">
        <v>17422</v>
      </c>
      <c r="C61" s="8">
        <v>14.228578799999999</v>
      </c>
      <c r="D61" s="8">
        <v>1.5453811</v>
      </c>
      <c r="E61" s="8">
        <v>5.5</v>
      </c>
      <c r="F61" s="8">
        <v>21.3</v>
      </c>
      <c r="H61" t="str">
        <f t="shared" si="2"/>
        <v>14.23 (1.55)</v>
      </c>
    </row>
    <row r="62" spans="1:8" x14ac:dyDescent="0.3">
      <c r="A62" s="10" t="s">
        <v>111</v>
      </c>
      <c r="B62" s="8">
        <v>17422</v>
      </c>
      <c r="C62" s="8">
        <v>14.7752325</v>
      </c>
      <c r="D62" s="8">
        <v>4.6374174000000004</v>
      </c>
      <c r="E62" s="8">
        <v>4</v>
      </c>
      <c r="F62" s="8">
        <v>115</v>
      </c>
      <c r="H62" t="str">
        <f t="shared" si="2"/>
        <v>14.78 (4.64)</v>
      </c>
    </row>
    <row r="63" spans="1:8" x14ac:dyDescent="0.3">
      <c r="A63" s="10" t="s">
        <v>112</v>
      </c>
      <c r="B63" s="8">
        <v>17422</v>
      </c>
      <c r="C63" s="8">
        <v>0.85487199999999997</v>
      </c>
      <c r="D63" s="8">
        <v>0.261687</v>
      </c>
      <c r="E63" s="8">
        <v>0.37</v>
      </c>
      <c r="F63" s="8">
        <v>10.48</v>
      </c>
      <c r="H63" t="str">
        <f t="shared" si="2"/>
        <v>0.85 (0.26)</v>
      </c>
    </row>
    <row r="64" spans="1:8" x14ac:dyDescent="0.3">
      <c r="A64" s="10" t="s">
        <v>113</v>
      </c>
      <c r="B64" s="8">
        <v>17422</v>
      </c>
      <c r="C64" s="8">
        <v>5.7848410000000001</v>
      </c>
      <c r="D64" s="8">
        <v>0.80761570000000005</v>
      </c>
      <c r="E64" s="8">
        <v>5</v>
      </c>
      <c r="F64" s="8">
        <v>9</v>
      </c>
      <c r="H64" t="str">
        <f t="shared" si="2"/>
        <v>5.78 (0.81)</v>
      </c>
    </row>
    <row r="65" spans="1:8" x14ac:dyDescent="0.3">
      <c r="A65" s="10" t="s">
        <v>114</v>
      </c>
      <c r="B65" s="8">
        <v>17422</v>
      </c>
      <c r="C65" s="8">
        <v>8.7308591999999994</v>
      </c>
      <c r="D65" s="8">
        <v>0.1304883</v>
      </c>
      <c r="E65" s="8">
        <v>8.5146900999999993</v>
      </c>
      <c r="F65" s="8">
        <v>8.9714484999999993</v>
      </c>
      <c r="H65" t="str">
        <f t="shared" si="2"/>
        <v>8.73 (0.13)</v>
      </c>
    </row>
    <row r="66" spans="1:8" x14ac:dyDescent="0.3">
      <c r="A66" s="10" t="s">
        <v>115</v>
      </c>
      <c r="B66" s="8">
        <v>17422</v>
      </c>
      <c r="C66" s="8">
        <v>0.68549210000000005</v>
      </c>
      <c r="D66" s="8">
        <v>4.0982699999999997E-2</v>
      </c>
      <c r="E66" s="8">
        <v>0.40120869999999997</v>
      </c>
      <c r="F66" s="8">
        <v>1.3241700999999999</v>
      </c>
      <c r="H66" t="str">
        <f t="shared" si="2"/>
        <v>0.69 (0.04)</v>
      </c>
    </row>
    <row r="67" spans="1:8" x14ac:dyDescent="0.3">
      <c r="A67" s="10" t="s">
        <v>116</v>
      </c>
      <c r="B67" s="8">
        <v>17422</v>
      </c>
      <c r="C67" s="8">
        <v>0.41902099999999998</v>
      </c>
      <c r="D67" s="8">
        <v>0.12970970000000001</v>
      </c>
      <c r="E67" s="9">
        <v>-0.25715840000000001</v>
      </c>
      <c r="F67" s="8">
        <v>0.89231689999999997</v>
      </c>
      <c r="H67" t="str">
        <f t="shared" si="2"/>
        <v>0.42 (0.13)</v>
      </c>
    </row>
    <row r="68" spans="1:8" x14ac:dyDescent="0.3">
      <c r="A68" s="10" t="s">
        <v>117</v>
      </c>
      <c r="B68" s="8">
        <v>17422</v>
      </c>
      <c r="C68" s="8">
        <v>36.678208900000001</v>
      </c>
      <c r="D68" s="8">
        <v>5.795458</v>
      </c>
      <c r="E68" s="8">
        <v>17.2447458</v>
      </c>
      <c r="F68" s="8">
        <v>77.268324699999994</v>
      </c>
      <c r="H68" t="str">
        <f t="shared" si="2"/>
        <v>36.68 (5.80)</v>
      </c>
    </row>
    <row r="70" spans="1:8" x14ac:dyDescent="0.3">
      <c r="A70" s="1" t="s">
        <v>121</v>
      </c>
    </row>
    <row r="71" spans="1:8" ht="17.25" thickBot="1" x14ac:dyDescent="0.35"/>
    <row r="72" spans="1:8" x14ac:dyDescent="0.3">
      <c r="A72" s="4" t="s">
        <v>93</v>
      </c>
      <c r="B72" s="5" t="s">
        <v>94</v>
      </c>
      <c r="C72" s="5" t="s">
        <v>95</v>
      </c>
      <c r="D72" s="5" t="s">
        <v>96</v>
      </c>
      <c r="E72" s="5" t="s">
        <v>97</v>
      </c>
      <c r="F72" s="5" t="s">
        <v>98</v>
      </c>
    </row>
    <row r="73" spans="1:8" x14ac:dyDescent="0.3">
      <c r="A73" s="10" t="s">
        <v>99</v>
      </c>
      <c r="B73" s="8">
        <v>18125</v>
      </c>
      <c r="C73" s="8">
        <v>53.0976</v>
      </c>
      <c r="D73" s="8">
        <v>14.093040500000001</v>
      </c>
      <c r="E73" s="8">
        <v>19</v>
      </c>
      <c r="F73" s="8">
        <v>80</v>
      </c>
      <c r="H73" t="str">
        <f t="shared" ref="H73:H91" si="3">TEXT(C73,"0.00")&amp;" ("&amp;TEXT(D73,"0.00")&amp;")"</f>
        <v>53.10 (14.09)</v>
      </c>
    </row>
    <row r="74" spans="1:8" x14ac:dyDescent="0.3">
      <c r="A74" s="10" t="s">
        <v>100</v>
      </c>
      <c r="B74" s="8">
        <v>18125</v>
      </c>
      <c r="C74" s="8">
        <v>25.506693899999998</v>
      </c>
      <c r="D74" s="8">
        <v>3.3538060999999999</v>
      </c>
      <c r="E74" s="8">
        <v>14.9232026</v>
      </c>
      <c r="F74" s="8">
        <v>50.898579099999999</v>
      </c>
      <c r="H74" t="str">
        <f t="shared" si="3"/>
        <v>25.51 (3.35)</v>
      </c>
    </row>
    <row r="75" spans="1:8" x14ac:dyDescent="0.3">
      <c r="A75" s="10" t="s">
        <v>101</v>
      </c>
      <c r="B75" s="8">
        <v>18125</v>
      </c>
      <c r="C75" s="8">
        <v>88.216772399999996</v>
      </c>
      <c r="D75" s="8">
        <v>8.7981882000000002</v>
      </c>
      <c r="E75" s="8">
        <v>52.3</v>
      </c>
      <c r="F75" s="8">
        <v>147.5</v>
      </c>
      <c r="H75" t="str">
        <f t="shared" si="3"/>
        <v>88.22 (8.80)</v>
      </c>
    </row>
    <row r="76" spans="1:8" x14ac:dyDescent="0.3">
      <c r="A76" s="10" t="s">
        <v>102</v>
      </c>
      <c r="B76" s="8">
        <v>18125</v>
      </c>
      <c r="C76" s="8">
        <v>7.9452099999999998E-2</v>
      </c>
      <c r="D76" s="8">
        <v>4.1742999999999997E-3</v>
      </c>
      <c r="E76" s="8">
        <v>4.8055199999999999E-2</v>
      </c>
      <c r="F76" s="8">
        <v>0.1020525</v>
      </c>
      <c r="H76" t="str">
        <f t="shared" si="3"/>
        <v>0.08 (0.00)</v>
      </c>
    </row>
    <row r="77" spans="1:8" x14ac:dyDescent="0.3">
      <c r="A77" s="10" t="s">
        <v>103</v>
      </c>
      <c r="B77" s="8">
        <v>18125</v>
      </c>
      <c r="C77" s="8">
        <v>124.50971029999999</v>
      </c>
      <c r="D77" s="8">
        <v>16.0572813</v>
      </c>
      <c r="E77" s="8">
        <v>77</v>
      </c>
      <c r="F77" s="8">
        <v>243</v>
      </c>
      <c r="H77" t="str">
        <f t="shared" si="3"/>
        <v>124.51 (16.06)</v>
      </c>
    </row>
    <row r="78" spans="1:8" x14ac:dyDescent="0.3">
      <c r="A78" s="10" t="s">
        <v>104</v>
      </c>
      <c r="B78" s="8">
        <v>18125</v>
      </c>
      <c r="C78" s="8">
        <v>113.42140689999999</v>
      </c>
      <c r="D78" s="8">
        <v>33.801077999999997</v>
      </c>
      <c r="E78" s="8">
        <v>61</v>
      </c>
      <c r="F78" s="8">
        <v>553</v>
      </c>
      <c r="H78" t="str">
        <f t="shared" si="3"/>
        <v>113.42 (33.80)</v>
      </c>
    </row>
    <row r="79" spans="1:8" x14ac:dyDescent="0.3">
      <c r="A79" s="10" t="s">
        <v>105</v>
      </c>
      <c r="B79" s="8">
        <v>18125</v>
      </c>
      <c r="C79" s="8">
        <v>202.5809103</v>
      </c>
      <c r="D79" s="8">
        <v>40.257953999999998</v>
      </c>
      <c r="E79" s="8">
        <v>75</v>
      </c>
      <c r="F79" s="8">
        <v>554</v>
      </c>
      <c r="H79" t="str">
        <f t="shared" si="3"/>
        <v>202.58 (40.26)</v>
      </c>
    </row>
    <row r="80" spans="1:8" ht="25.5" x14ac:dyDescent="0.3">
      <c r="A80" s="10" t="s">
        <v>106</v>
      </c>
      <c r="B80" s="8">
        <v>18125</v>
      </c>
      <c r="C80" s="8">
        <v>43.567378499999997</v>
      </c>
      <c r="D80" s="8">
        <v>9.8345438999999999</v>
      </c>
      <c r="E80" s="8">
        <v>8</v>
      </c>
      <c r="F80" s="8">
        <v>126.76</v>
      </c>
      <c r="H80" t="str">
        <f t="shared" si="3"/>
        <v>43.57 (9.83)</v>
      </c>
    </row>
    <row r="81" spans="1:8" x14ac:dyDescent="0.3">
      <c r="A81" s="10" t="s">
        <v>107</v>
      </c>
      <c r="B81" s="8">
        <v>18125</v>
      </c>
      <c r="C81" s="8">
        <v>250.64044139999999</v>
      </c>
      <c r="D81" s="8">
        <v>149.3840276</v>
      </c>
      <c r="E81" s="8">
        <v>57</v>
      </c>
      <c r="F81" s="8">
        <v>2774</v>
      </c>
      <c r="H81" t="str">
        <f t="shared" si="3"/>
        <v>250.64 (149.38)</v>
      </c>
    </row>
    <row r="82" spans="1:8" x14ac:dyDescent="0.3">
      <c r="A82" s="10" t="s">
        <v>108</v>
      </c>
      <c r="B82" s="8">
        <v>18125</v>
      </c>
      <c r="C82" s="8">
        <v>27.053131</v>
      </c>
      <c r="D82" s="8">
        <v>18.885932</v>
      </c>
      <c r="E82" s="8">
        <v>6</v>
      </c>
      <c r="F82" s="8">
        <v>927</v>
      </c>
      <c r="H82" t="str">
        <f t="shared" si="3"/>
        <v>27.05 (18.89)</v>
      </c>
    </row>
    <row r="83" spans="1:8" x14ac:dyDescent="0.3">
      <c r="A83" s="10" t="s">
        <v>109</v>
      </c>
      <c r="B83" s="8">
        <v>18125</v>
      </c>
      <c r="C83" s="8">
        <v>30.004082799999999</v>
      </c>
      <c r="D83" s="8">
        <v>22.445219699999999</v>
      </c>
      <c r="E83" s="8">
        <v>4</v>
      </c>
      <c r="F83" s="8">
        <v>402</v>
      </c>
      <c r="H83" t="str">
        <f t="shared" si="3"/>
        <v>30.00 (22.45)</v>
      </c>
    </row>
    <row r="84" spans="1:8" x14ac:dyDescent="0.3">
      <c r="A84" s="10" t="s">
        <v>110</v>
      </c>
      <c r="B84" s="8">
        <v>18125</v>
      </c>
      <c r="C84" s="8">
        <v>14.694422100000001</v>
      </c>
      <c r="D84" s="8">
        <v>1.4907817999999999</v>
      </c>
      <c r="E84" s="8">
        <v>6.2</v>
      </c>
      <c r="F84" s="8">
        <v>20.399999999999999</v>
      </c>
      <c r="H84" t="str">
        <f t="shared" si="3"/>
        <v>14.69 (1.49)</v>
      </c>
    </row>
    <row r="85" spans="1:8" x14ac:dyDescent="0.3">
      <c r="A85" s="10" t="s">
        <v>111</v>
      </c>
      <c r="B85" s="8">
        <v>18125</v>
      </c>
      <c r="C85" s="8">
        <v>14.807100699999999</v>
      </c>
      <c r="D85" s="8">
        <v>4.3640474999999999</v>
      </c>
      <c r="E85" s="8">
        <v>3</v>
      </c>
      <c r="F85" s="8">
        <v>71</v>
      </c>
      <c r="H85" t="str">
        <f t="shared" si="3"/>
        <v>14.81 (4.36)</v>
      </c>
    </row>
    <row r="86" spans="1:8" x14ac:dyDescent="0.3">
      <c r="A86" s="10" t="s">
        <v>112</v>
      </c>
      <c r="B86" s="8">
        <v>18125</v>
      </c>
      <c r="C86" s="8">
        <v>0.88419809999999999</v>
      </c>
      <c r="D86" s="8">
        <v>0.22906319999999999</v>
      </c>
      <c r="E86" s="8">
        <v>0.2</v>
      </c>
      <c r="F86" s="8">
        <v>8.35</v>
      </c>
      <c r="H86" t="str">
        <f t="shared" si="3"/>
        <v>0.88 (0.23)</v>
      </c>
    </row>
    <row r="87" spans="1:8" x14ac:dyDescent="0.3">
      <c r="A87" s="10" t="s">
        <v>113</v>
      </c>
      <c r="B87" s="8">
        <v>18125</v>
      </c>
      <c r="C87" s="8">
        <v>5.6612966</v>
      </c>
      <c r="D87" s="8">
        <v>0.76680389999999998</v>
      </c>
      <c r="E87" s="8">
        <v>5</v>
      </c>
      <c r="F87" s="8">
        <v>9</v>
      </c>
      <c r="H87" t="str">
        <f t="shared" si="3"/>
        <v>5.66 (0.77)</v>
      </c>
    </row>
    <row r="88" spans="1:8" x14ac:dyDescent="0.3">
      <c r="A88" s="10" t="s">
        <v>114</v>
      </c>
      <c r="B88" s="8">
        <v>18125</v>
      </c>
      <c r="C88" s="8">
        <v>9.4325057999999995</v>
      </c>
      <c r="D88" s="8">
        <v>0.42358059999999997</v>
      </c>
      <c r="E88" s="8">
        <v>8.9715754000000008</v>
      </c>
      <c r="F88" s="8">
        <v>12.7290689</v>
      </c>
      <c r="H88" t="str">
        <f t="shared" si="3"/>
        <v>9.43 (0.42)</v>
      </c>
    </row>
    <row r="89" spans="1:8" x14ac:dyDescent="0.3">
      <c r="A89" s="10" t="s">
        <v>115</v>
      </c>
      <c r="B89" s="8">
        <v>18125</v>
      </c>
      <c r="C89" s="8">
        <v>0.7495096</v>
      </c>
      <c r="D89" s="8">
        <v>5.2926300000000003E-2</v>
      </c>
      <c r="E89" s="8">
        <v>0.45287640000000001</v>
      </c>
      <c r="F89" s="8">
        <v>1.0740016999999999</v>
      </c>
      <c r="H89" t="str">
        <f t="shared" si="3"/>
        <v>0.75 (0.05)</v>
      </c>
    </row>
    <row r="90" spans="1:8" x14ac:dyDescent="0.3">
      <c r="A90" s="10" t="s">
        <v>116</v>
      </c>
      <c r="B90" s="8">
        <v>18125</v>
      </c>
      <c r="C90" s="8">
        <v>0.72788719999999996</v>
      </c>
      <c r="D90" s="8">
        <v>0.22032740000000001</v>
      </c>
      <c r="E90" s="9">
        <v>-6.8576399999999996E-2</v>
      </c>
      <c r="F90" s="8">
        <v>2.1147776999999999</v>
      </c>
      <c r="H90" t="str">
        <f t="shared" si="3"/>
        <v>0.73 (0.22)</v>
      </c>
    </row>
    <row r="91" spans="1:8" x14ac:dyDescent="0.3">
      <c r="A91" s="10" t="s">
        <v>117</v>
      </c>
      <c r="B91" s="8">
        <v>18125</v>
      </c>
      <c r="C91" s="8">
        <v>41.9227597</v>
      </c>
      <c r="D91" s="8">
        <v>6.7119163999999998</v>
      </c>
      <c r="E91" s="8">
        <v>22.639952900000001</v>
      </c>
      <c r="F91" s="8">
        <v>86.341505499999997</v>
      </c>
      <c r="H91" t="str">
        <f t="shared" si="3"/>
        <v>41.92 (6.71)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F89B-03EA-4541-837D-036F96B9DF2B}">
  <dimension ref="A1:H91"/>
  <sheetViews>
    <sheetView workbookViewId="0">
      <selection activeCell="H73" sqref="H73:H91"/>
    </sheetView>
  </sheetViews>
  <sheetFormatPr defaultRowHeight="16.5" x14ac:dyDescent="0.3"/>
  <cols>
    <col min="8" max="8" width="14.625" bestFit="1" customWidth="1"/>
  </cols>
  <sheetData>
    <row r="1" spans="1:8" x14ac:dyDescent="0.3">
      <c r="A1" s="1" t="s">
        <v>122</v>
      </c>
    </row>
    <row r="2" spans="1:8" ht="17.25" thickBot="1" x14ac:dyDescent="0.35"/>
    <row r="3" spans="1:8" x14ac:dyDescent="0.3">
      <c r="A3" s="4" t="s">
        <v>93</v>
      </c>
      <c r="B3" s="5" t="s">
        <v>94</v>
      </c>
      <c r="C3" s="5" t="s">
        <v>95</v>
      </c>
      <c r="D3" s="5" t="s">
        <v>96</v>
      </c>
      <c r="E3" s="5" t="s">
        <v>97</v>
      </c>
      <c r="F3" s="5" t="s">
        <v>98</v>
      </c>
    </row>
    <row r="4" spans="1:8" x14ac:dyDescent="0.3">
      <c r="A4" s="10" t="s">
        <v>99</v>
      </c>
      <c r="B4" s="8">
        <v>15514</v>
      </c>
      <c r="C4" s="8">
        <v>38.257573800000003</v>
      </c>
      <c r="D4" s="8">
        <v>13.5049423</v>
      </c>
      <c r="E4" s="8">
        <v>19</v>
      </c>
      <c r="F4" s="8">
        <v>80</v>
      </c>
      <c r="H4" t="str">
        <f>TEXT(C4,"0.00")&amp;" ("&amp;TEXT(D4,"0.00")&amp;")"</f>
        <v>38.26 (13.50)</v>
      </c>
    </row>
    <row r="5" spans="1:8" x14ac:dyDescent="0.3">
      <c r="A5" s="10" t="s">
        <v>100</v>
      </c>
      <c r="B5" s="8">
        <v>15514</v>
      </c>
      <c r="C5" s="8">
        <v>21.9807548</v>
      </c>
      <c r="D5" s="8">
        <v>2.9639006999999999</v>
      </c>
      <c r="E5" s="8">
        <v>13.512496799999999</v>
      </c>
      <c r="F5" s="8">
        <v>62.640542099999998</v>
      </c>
      <c r="H5" t="str">
        <f t="shared" ref="H5:H22" si="0">TEXT(C5,"0.00")&amp;" ("&amp;TEXT(D5,"0.00")&amp;")"</f>
        <v>21.98 (2.96)</v>
      </c>
    </row>
    <row r="6" spans="1:8" x14ac:dyDescent="0.3">
      <c r="A6" s="10" t="s">
        <v>101</v>
      </c>
      <c r="B6" s="8">
        <v>15514</v>
      </c>
      <c r="C6" s="8">
        <v>72.867854800000003</v>
      </c>
      <c r="D6" s="8">
        <v>7.3616826</v>
      </c>
      <c r="E6" s="8">
        <v>36.200000000000003</v>
      </c>
      <c r="F6" s="8">
        <v>139.19999999999999</v>
      </c>
      <c r="H6" t="str">
        <f t="shared" si="0"/>
        <v>72.87 (7.36)</v>
      </c>
    </row>
    <row r="7" spans="1:8" x14ac:dyDescent="0.3">
      <c r="A7" s="10" t="s">
        <v>102</v>
      </c>
      <c r="B7" s="8">
        <v>15514</v>
      </c>
      <c r="C7" s="8">
        <v>7.2875099999999998E-2</v>
      </c>
      <c r="D7" s="8">
        <v>3.1499000000000002E-3</v>
      </c>
      <c r="E7" s="8">
        <v>4.5616799999999999E-2</v>
      </c>
      <c r="F7" s="8">
        <v>8.6418499999999995E-2</v>
      </c>
      <c r="H7" t="str">
        <f t="shared" si="0"/>
        <v>0.07 (0.00)</v>
      </c>
    </row>
    <row r="8" spans="1:8" x14ac:dyDescent="0.3">
      <c r="A8" s="10" t="s">
        <v>103</v>
      </c>
      <c r="B8" s="8">
        <v>15514</v>
      </c>
      <c r="C8" s="8">
        <v>109.4927485</v>
      </c>
      <c r="D8" s="8">
        <v>13.2227517</v>
      </c>
      <c r="E8" s="8">
        <v>75</v>
      </c>
      <c r="F8" s="8">
        <v>217</v>
      </c>
      <c r="H8" t="str">
        <f t="shared" si="0"/>
        <v>109.49 (13.22)</v>
      </c>
    </row>
    <row r="9" spans="1:8" x14ac:dyDescent="0.3">
      <c r="A9" s="10" t="s">
        <v>104</v>
      </c>
      <c r="B9" s="8">
        <v>15514</v>
      </c>
      <c r="C9" s="8">
        <v>88.934381799999997</v>
      </c>
      <c r="D9" s="8">
        <v>8.0354208000000007</v>
      </c>
      <c r="E9" s="8">
        <v>40</v>
      </c>
      <c r="F9" s="8">
        <v>243</v>
      </c>
      <c r="H9" t="str">
        <f t="shared" si="0"/>
        <v>88.93 (8.04)</v>
      </c>
    </row>
    <row r="10" spans="1:8" x14ac:dyDescent="0.3">
      <c r="A10" s="10" t="s">
        <v>105</v>
      </c>
      <c r="B10" s="8">
        <v>15514</v>
      </c>
      <c r="C10" s="8">
        <v>178.10422840000001</v>
      </c>
      <c r="D10" s="8">
        <v>31.211792800000001</v>
      </c>
      <c r="E10" s="8">
        <v>71</v>
      </c>
      <c r="F10" s="8">
        <v>457</v>
      </c>
      <c r="H10" t="str">
        <f t="shared" si="0"/>
        <v>178.10 (31.21)</v>
      </c>
    </row>
    <row r="11" spans="1:8" ht="25.5" x14ac:dyDescent="0.3">
      <c r="A11" s="10" t="s">
        <v>106</v>
      </c>
      <c r="B11" s="8">
        <v>15514</v>
      </c>
      <c r="C11" s="8">
        <v>58.8774953</v>
      </c>
      <c r="D11" s="8">
        <v>12.605738499999999</v>
      </c>
      <c r="E11" s="8">
        <v>17.027999999999999</v>
      </c>
      <c r="F11" s="8">
        <v>134</v>
      </c>
      <c r="H11" t="str">
        <f t="shared" si="0"/>
        <v>58.88 (12.61)</v>
      </c>
    </row>
    <row r="12" spans="1:8" x14ac:dyDescent="0.3">
      <c r="A12" s="10" t="s">
        <v>107</v>
      </c>
      <c r="B12" s="8">
        <v>15514</v>
      </c>
      <c r="C12" s="8">
        <v>62.568196499999999</v>
      </c>
      <c r="D12" s="8">
        <v>21.682495800000002</v>
      </c>
      <c r="E12" s="8">
        <v>14</v>
      </c>
      <c r="F12" s="8">
        <v>250</v>
      </c>
      <c r="H12" t="str">
        <f t="shared" si="0"/>
        <v>62.57 (21.68)</v>
      </c>
    </row>
    <row r="13" spans="1:8" x14ac:dyDescent="0.3">
      <c r="A13" s="10" t="s">
        <v>108</v>
      </c>
      <c r="B13" s="8">
        <v>15514</v>
      </c>
      <c r="C13" s="8">
        <v>19.685703199999999</v>
      </c>
      <c r="D13" s="8">
        <v>10.993225000000001</v>
      </c>
      <c r="E13" s="8">
        <v>7</v>
      </c>
      <c r="F13" s="8">
        <v>430</v>
      </c>
      <c r="H13" t="str">
        <f t="shared" si="0"/>
        <v>19.69 (10.99)</v>
      </c>
    </row>
    <row r="14" spans="1:8" x14ac:dyDescent="0.3">
      <c r="A14" s="10" t="s">
        <v>109</v>
      </c>
      <c r="B14" s="8">
        <v>15514</v>
      </c>
      <c r="C14" s="8">
        <v>15.926195699999999</v>
      </c>
      <c r="D14" s="8">
        <v>14.2600885</v>
      </c>
      <c r="E14" s="8">
        <v>3</v>
      </c>
      <c r="F14" s="8">
        <v>768</v>
      </c>
      <c r="H14" t="str">
        <f t="shared" si="0"/>
        <v>15.93 (14.26)</v>
      </c>
    </row>
    <row r="15" spans="1:8" x14ac:dyDescent="0.3">
      <c r="A15" s="10" t="s">
        <v>110</v>
      </c>
      <c r="B15" s="8">
        <v>15514</v>
      </c>
      <c r="C15" s="8">
        <v>13.481822899999999</v>
      </c>
      <c r="D15" s="8">
        <v>1.4844337999999999</v>
      </c>
      <c r="E15" s="8">
        <v>5.2</v>
      </c>
      <c r="F15" s="8">
        <v>18.8</v>
      </c>
      <c r="H15" t="str">
        <f t="shared" si="0"/>
        <v>13.48 (1.48)</v>
      </c>
    </row>
    <row r="16" spans="1:8" x14ac:dyDescent="0.3">
      <c r="A16" s="10" t="s">
        <v>111</v>
      </c>
      <c r="B16" s="8">
        <v>15514</v>
      </c>
      <c r="C16" s="8">
        <v>13.3703623</v>
      </c>
      <c r="D16" s="8">
        <v>4.0405898999999996</v>
      </c>
      <c r="E16" s="8">
        <v>2</v>
      </c>
      <c r="F16" s="8">
        <v>140</v>
      </c>
      <c r="H16" t="str">
        <f t="shared" si="0"/>
        <v>13.37 (4.04)</v>
      </c>
    </row>
    <row r="17" spans="1:8" x14ac:dyDescent="0.3">
      <c r="A17" s="10" t="s">
        <v>112</v>
      </c>
      <c r="B17" s="8">
        <v>15514</v>
      </c>
      <c r="C17" s="8">
        <v>0.77736950000000005</v>
      </c>
      <c r="D17" s="8">
        <v>0.20495949999999999</v>
      </c>
      <c r="E17" s="8">
        <v>0.36</v>
      </c>
      <c r="F17" s="8">
        <v>14.38</v>
      </c>
      <c r="H17" t="str">
        <f t="shared" si="0"/>
        <v>0.78 (0.20)</v>
      </c>
    </row>
    <row r="18" spans="1:8" x14ac:dyDescent="0.3">
      <c r="A18" s="10" t="s">
        <v>113</v>
      </c>
      <c r="B18" s="8">
        <v>15514</v>
      </c>
      <c r="C18" s="8">
        <v>5.8077221000000003</v>
      </c>
      <c r="D18" s="8">
        <v>0.79105080000000005</v>
      </c>
      <c r="E18" s="8">
        <v>5</v>
      </c>
      <c r="F18" s="8">
        <v>9</v>
      </c>
      <c r="H18" t="str">
        <f t="shared" si="0"/>
        <v>5.81 (0.79)</v>
      </c>
    </row>
    <row r="19" spans="1:8" x14ac:dyDescent="0.3">
      <c r="A19" s="10" t="s">
        <v>114</v>
      </c>
      <c r="B19" s="8">
        <v>15514</v>
      </c>
      <c r="C19" s="8">
        <v>7.8715267000000004</v>
      </c>
      <c r="D19" s="8">
        <v>0.34696680000000002</v>
      </c>
      <c r="E19" s="8">
        <v>6.4441312999999996</v>
      </c>
      <c r="F19" s="8">
        <v>9.4240797999999995</v>
      </c>
      <c r="H19" t="str">
        <f t="shared" si="0"/>
        <v>7.87 (0.35)</v>
      </c>
    </row>
    <row r="20" spans="1:8" x14ac:dyDescent="0.3">
      <c r="A20" s="10" t="s">
        <v>115</v>
      </c>
      <c r="B20" s="8">
        <v>15514</v>
      </c>
      <c r="C20" s="8">
        <v>0.57324580000000003</v>
      </c>
      <c r="D20" s="8">
        <v>2.7976600000000001E-2</v>
      </c>
      <c r="E20" s="8">
        <v>0.40120869999999997</v>
      </c>
      <c r="F20" s="8">
        <v>0.60983799999999999</v>
      </c>
      <c r="H20" t="str">
        <f t="shared" si="0"/>
        <v>0.57 (0.03)</v>
      </c>
    </row>
    <row r="21" spans="1:8" x14ac:dyDescent="0.3">
      <c r="A21" s="10" t="s">
        <v>116</v>
      </c>
      <c r="B21" s="8">
        <v>15514</v>
      </c>
      <c r="C21" s="8">
        <v>1.1999900000000001E-2</v>
      </c>
      <c r="D21" s="8">
        <v>0.18687609999999999</v>
      </c>
      <c r="E21" s="9">
        <v>-0.69650619999999996</v>
      </c>
      <c r="F21" s="8">
        <v>0.75587490000000002</v>
      </c>
      <c r="H21" t="str">
        <f t="shared" si="0"/>
        <v>0.01 (0.19)</v>
      </c>
    </row>
    <row r="22" spans="1:8" x14ac:dyDescent="0.3">
      <c r="A22" s="10" t="s">
        <v>117</v>
      </c>
      <c r="B22" s="8">
        <v>15514</v>
      </c>
      <c r="C22" s="8">
        <v>29.851580599999998</v>
      </c>
      <c r="D22" s="8">
        <v>4.8921142</v>
      </c>
      <c r="E22" s="8">
        <v>15.6032782</v>
      </c>
      <c r="F22" s="8">
        <v>93.063441699999998</v>
      </c>
      <c r="H22" t="str">
        <f t="shared" si="0"/>
        <v>29.85 (4.89)</v>
      </c>
    </row>
    <row r="24" spans="1:8" x14ac:dyDescent="0.3">
      <c r="A24" s="1" t="s">
        <v>123</v>
      </c>
    </row>
    <row r="25" spans="1:8" ht="17.25" thickBot="1" x14ac:dyDescent="0.35"/>
    <row r="26" spans="1:8" x14ac:dyDescent="0.3">
      <c r="A26" s="4" t="s">
        <v>93</v>
      </c>
      <c r="B26" s="5" t="s">
        <v>94</v>
      </c>
      <c r="C26" s="5" t="s">
        <v>95</v>
      </c>
      <c r="D26" s="5" t="s">
        <v>96</v>
      </c>
      <c r="E26" s="5" t="s">
        <v>97</v>
      </c>
      <c r="F26" s="5" t="s">
        <v>98</v>
      </c>
    </row>
    <row r="27" spans="1:8" x14ac:dyDescent="0.3">
      <c r="A27" s="10" t="s">
        <v>99</v>
      </c>
      <c r="B27" s="8">
        <v>17471</v>
      </c>
      <c r="C27" s="8">
        <v>46.646728899999999</v>
      </c>
      <c r="D27" s="8">
        <v>15.144308000000001</v>
      </c>
      <c r="E27" s="8">
        <v>19</v>
      </c>
      <c r="F27" s="8">
        <v>80</v>
      </c>
      <c r="H27" t="str">
        <f>TEXT(C27,"0.00")&amp;" ("&amp;TEXT(D27,"0.00")&amp;")"</f>
        <v>46.65 (15.14)</v>
      </c>
    </row>
    <row r="28" spans="1:8" x14ac:dyDescent="0.3">
      <c r="A28" s="10" t="s">
        <v>100</v>
      </c>
      <c r="B28" s="8">
        <v>17471</v>
      </c>
      <c r="C28" s="8">
        <v>23.424705199999998</v>
      </c>
      <c r="D28" s="8">
        <v>3.372207</v>
      </c>
      <c r="E28" s="8">
        <v>13.173742799999999</v>
      </c>
      <c r="F28" s="8">
        <v>45.934737699999999</v>
      </c>
      <c r="H28" t="str">
        <f t="shared" ref="H28:H45" si="1">TEXT(C28,"0.00")&amp;" ("&amp;TEXT(D28,"0.00")&amp;")"</f>
        <v>23.42 (3.37)</v>
      </c>
    </row>
    <row r="29" spans="1:8" x14ac:dyDescent="0.3">
      <c r="A29" s="10" t="s">
        <v>101</v>
      </c>
      <c r="B29" s="8">
        <v>17471</v>
      </c>
      <c r="C29" s="8">
        <v>79.903382699999995</v>
      </c>
      <c r="D29" s="8">
        <v>8.1705322000000002</v>
      </c>
      <c r="E29" s="8">
        <v>51.1</v>
      </c>
      <c r="F29" s="8">
        <v>137.1</v>
      </c>
      <c r="H29" t="str">
        <f t="shared" si="1"/>
        <v>79.90 (8.17)</v>
      </c>
    </row>
    <row r="30" spans="1:8" x14ac:dyDescent="0.3">
      <c r="A30" s="10" t="s">
        <v>102</v>
      </c>
      <c r="B30" s="8">
        <v>17471</v>
      </c>
      <c r="C30" s="8">
        <v>7.6472299999999993E-2</v>
      </c>
      <c r="D30" s="8">
        <v>2.9386999999999998E-3</v>
      </c>
      <c r="E30" s="8">
        <v>6.1054499999999998E-2</v>
      </c>
      <c r="F30" s="8">
        <v>9.0233999999999995E-2</v>
      </c>
      <c r="H30" t="str">
        <f t="shared" si="1"/>
        <v>0.08 (0.00)</v>
      </c>
    </row>
    <row r="31" spans="1:8" x14ac:dyDescent="0.3">
      <c r="A31" s="10" t="s">
        <v>103</v>
      </c>
      <c r="B31" s="8">
        <v>17471</v>
      </c>
      <c r="C31" s="8">
        <v>116.0286761</v>
      </c>
      <c r="D31" s="8">
        <v>15.6019133</v>
      </c>
      <c r="E31" s="8">
        <v>76</v>
      </c>
      <c r="F31" s="8">
        <v>232</v>
      </c>
      <c r="H31" t="str">
        <f t="shared" si="1"/>
        <v>116.03 (15.60)</v>
      </c>
    </row>
    <row r="32" spans="1:8" x14ac:dyDescent="0.3">
      <c r="A32" s="10" t="s">
        <v>104</v>
      </c>
      <c r="B32" s="8">
        <v>17471</v>
      </c>
      <c r="C32" s="8">
        <v>93.915288200000006</v>
      </c>
      <c r="D32" s="8">
        <v>10.9123915</v>
      </c>
      <c r="E32" s="8">
        <v>44</v>
      </c>
      <c r="F32" s="8">
        <v>306</v>
      </c>
      <c r="H32" t="str">
        <f t="shared" si="1"/>
        <v>93.92 (10.91)</v>
      </c>
    </row>
    <row r="33" spans="1:8" x14ac:dyDescent="0.3">
      <c r="A33" s="10" t="s">
        <v>105</v>
      </c>
      <c r="B33" s="8">
        <v>17471</v>
      </c>
      <c r="C33" s="8">
        <v>187.92725089999999</v>
      </c>
      <c r="D33" s="8">
        <v>33.991318900000003</v>
      </c>
      <c r="E33" s="8">
        <v>79</v>
      </c>
      <c r="F33" s="8">
        <v>374</v>
      </c>
      <c r="H33" t="str">
        <f t="shared" si="1"/>
        <v>187.93 (33.99)</v>
      </c>
    </row>
    <row r="34" spans="1:8" ht="25.5" x14ac:dyDescent="0.3">
      <c r="A34" s="10" t="s">
        <v>106</v>
      </c>
      <c r="B34" s="8">
        <v>17471</v>
      </c>
      <c r="C34" s="8">
        <v>53.482752900000001</v>
      </c>
      <c r="D34" s="8">
        <v>12.1001295</v>
      </c>
      <c r="E34" s="8">
        <v>18</v>
      </c>
      <c r="F34" s="8">
        <v>145.298</v>
      </c>
      <c r="H34" t="str">
        <f t="shared" si="1"/>
        <v>53.48 (12.10)</v>
      </c>
    </row>
    <row r="35" spans="1:8" x14ac:dyDescent="0.3">
      <c r="A35" s="10" t="s">
        <v>107</v>
      </c>
      <c r="B35" s="8">
        <v>17471</v>
      </c>
      <c r="C35" s="8">
        <v>94.750214600000007</v>
      </c>
      <c r="D35" s="8">
        <v>32.9478747</v>
      </c>
      <c r="E35" s="8">
        <v>28</v>
      </c>
      <c r="F35" s="8">
        <v>560</v>
      </c>
      <c r="H35" t="str">
        <f t="shared" si="1"/>
        <v>94.75 (32.95)</v>
      </c>
    </row>
    <row r="36" spans="1:8" x14ac:dyDescent="0.3">
      <c r="A36" s="10" t="s">
        <v>108</v>
      </c>
      <c r="B36" s="8">
        <v>17471</v>
      </c>
      <c r="C36" s="8">
        <v>21.750558099999999</v>
      </c>
      <c r="D36" s="8">
        <v>10.798961500000001</v>
      </c>
      <c r="E36" s="8">
        <v>7</v>
      </c>
      <c r="F36" s="8">
        <v>329</v>
      </c>
      <c r="H36" t="str">
        <f t="shared" si="1"/>
        <v>21.75 (10.80)</v>
      </c>
    </row>
    <row r="37" spans="1:8" x14ac:dyDescent="0.3">
      <c r="A37" s="10" t="s">
        <v>109</v>
      </c>
      <c r="B37" s="8">
        <v>17471</v>
      </c>
      <c r="C37" s="8">
        <v>20.027073399999999</v>
      </c>
      <c r="D37" s="8">
        <v>15.301739400000001</v>
      </c>
      <c r="E37" s="8">
        <v>1</v>
      </c>
      <c r="F37" s="8">
        <v>434</v>
      </c>
      <c r="H37" t="str">
        <f t="shared" si="1"/>
        <v>20.03 (15.30)</v>
      </c>
    </row>
    <row r="38" spans="1:8" x14ac:dyDescent="0.3">
      <c r="A38" s="10" t="s">
        <v>110</v>
      </c>
      <c r="B38" s="8">
        <v>17471</v>
      </c>
      <c r="C38" s="8">
        <v>13.9416519</v>
      </c>
      <c r="D38" s="8">
        <v>1.548395</v>
      </c>
      <c r="E38" s="8">
        <v>3.9</v>
      </c>
      <c r="F38" s="8">
        <v>19.2</v>
      </c>
      <c r="H38" t="str">
        <f t="shared" si="1"/>
        <v>13.94 (1.55)</v>
      </c>
    </row>
    <row r="39" spans="1:8" x14ac:dyDescent="0.3">
      <c r="A39" s="10" t="s">
        <v>111</v>
      </c>
      <c r="B39" s="8">
        <v>17471</v>
      </c>
      <c r="C39" s="8">
        <v>14.2769046</v>
      </c>
      <c r="D39" s="8">
        <v>4.1977786999999998</v>
      </c>
      <c r="E39" s="8">
        <v>4</v>
      </c>
      <c r="F39" s="8">
        <v>74</v>
      </c>
      <c r="H39" t="str">
        <f t="shared" si="1"/>
        <v>14.28 (4.20)</v>
      </c>
    </row>
    <row r="40" spans="1:8" x14ac:dyDescent="0.3">
      <c r="A40" s="10" t="s">
        <v>112</v>
      </c>
      <c r="B40" s="8">
        <v>17471</v>
      </c>
      <c r="C40" s="8">
        <v>0.81779809999999997</v>
      </c>
      <c r="D40" s="8">
        <v>0.21145259999999999</v>
      </c>
      <c r="E40" s="8">
        <v>0.36</v>
      </c>
      <c r="F40" s="8">
        <v>11.33</v>
      </c>
      <c r="H40" t="str">
        <f t="shared" si="1"/>
        <v>0.82 (0.21)</v>
      </c>
    </row>
    <row r="41" spans="1:8" x14ac:dyDescent="0.3">
      <c r="A41" s="10" t="s">
        <v>113</v>
      </c>
      <c r="B41" s="8">
        <v>17471</v>
      </c>
      <c r="C41" s="8">
        <v>5.8192433000000001</v>
      </c>
      <c r="D41" s="8">
        <v>0.80550379999999999</v>
      </c>
      <c r="E41" s="8">
        <v>5</v>
      </c>
      <c r="F41" s="8">
        <v>9</v>
      </c>
      <c r="H41" t="str">
        <f t="shared" si="1"/>
        <v>5.82 (0.81)</v>
      </c>
    </row>
    <row r="42" spans="1:8" x14ac:dyDescent="0.3">
      <c r="A42" s="10" t="s">
        <v>114</v>
      </c>
      <c r="B42" s="8">
        <v>17471</v>
      </c>
      <c r="C42" s="8">
        <v>8.3397386999999998</v>
      </c>
      <c r="D42" s="8">
        <v>0.32818760000000002</v>
      </c>
      <c r="E42" s="8">
        <v>6.9893352999999996</v>
      </c>
      <c r="F42" s="8">
        <v>10.2597624</v>
      </c>
      <c r="H42" t="str">
        <f t="shared" si="1"/>
        <v>8.34 (0.33)</v>
      </c>
    </row>
    <row r="43" spans="1:8" x14ac:dyDescent="0.3">
      <c r="A43" s="10" t="s">
        <v>115</v>
      </c>
      <c r="B43" s="8">
        <v>17471</v>
      </c>
      <c r="C43" s="8">
        <v>0.63697499999999996</v>
      </c>
      <c r="D43" s="8">
        <v>1.50838E-2</v>
      </c>
      <c r="E43" s="8">
        <v>0.60983920000000003</v>
      </c>
      <c r="F43" s="8">
        <v>0.66241939999999999</v>
      </c>
      <c r="H43" t="str">
        <f t="shared" si="1"/>
        <v>0.64 (0.02)</v>
      </c>
    </row>
    <row r="44" spans="1:8" x14ac:dyDescent="0.3">
      <c r="A44" s="10" t="s">
        <v>116</v>
      </c>
      <c r="B44" s="8">
        <v>17471</v>
      </c>
      <c r="C44" s="8">
        <v>0.23520450000000001</v>
      </c>
      <c r="D44" s="8">
        <v>0.19079209999999999</v>
      </c>
      <c r="E44" s="9">
        <v>-0.48384389999999999</v>
      </c>
      <c r="F44" s="8">
        <v>1.1543705</v>
      </c>
      <c r="H44" t="str">
        <f t="shared" si="1"/>
        <v>0.24 (0.19)</v>
      </c>
    </row>
    <row r="45" spans="1:8" x14ac:dyDescent="0.3">
      <c r="A45" s="10" t="s">
        <v>117</v>
      </c>
      <c r="B45" s="8">
        <v>17471</v>
      </c>
      <c r="C45" s="8">
        <v>33.576927499999996</v>
      </c>
      <c r="D45" s="8">
        <v>5.8220552999999997</v>
      </c>
      <c r="E45" s="8">
        <v>17.320489200000001</v>
      </c>
      <c r="F45" s="8">
        <v>72.026266899999996</v>
      </c>
      <c r="H45" t="str">
        <f t="shared" si="1"/>
        <v>33.58 (5.82)</v>
      </c>
    </row>
    <row r="47" spans="1:8" x14ac:dyDescent="0.3">
      <c r="A47" s="1" t="s">
        <v>124</v>
      </c>
    </row>
    <row r="48" spans="1:8" ht="17.25" thickBot="1" x14ac:dyDescent="0.35"/>
    <row r="49" spans="1:8" x14ac:dyDescent="0.3">
      <c r="A49" s="4" t="s">
        <v>93</v>
      </c>
      <c r="B49" s="5" t="s">
        <v>94</v>
      </c>
      <c r="C49" s="5" t="s">
        <v>95</v>
      </c>
      <c r="D49" s="5" t="s">
        <v>96</v>
      </c>
      <c r="E49" s="5" t="s">
        <v>97</v>
      </c>
      <c r="F49" s="5" t="s">
        <v>98</v>
      </c>
    </row>
    <row r="50" spans="1:8" x14ac:dyDescent="0.3">
      <c r="A50" s="10" t="s">
        <v>99</v>
      </c>
      <c r="B50" s="8">
        <v>17988</v>
      </c>
      <c r="C50" s="8">
        <v>52.9167779</v>
      </c>
      <c r="D50" s="8">
        <v>14.852059300000001</v>
      </c>
      <c r="E50" s="8">
        <v>19</v>
      </c>
      <c r="F50" s="8">
        <v>80</v>
      </c>
      <c r="H50" t="str">
        <f>TEXT(C50,"0.00")&amp;" ("&amp;TEXT(D50,"0.00")&amp;")"</f>
        <v>52.92 (14.85)</v>
      </c>
    </row>
    <row r="51" spans="1:8" x14ac:dyDescent="0.3">
      <c r="A51" s="10" t="s">
        <v>100</v>
      </c>
      <c r="B51" s="8">
        <v>17988</v>
      </c>
      <c r="C51" s="8">
        <v>24.595856900000001</v>
      </c>
      <c r="D51" s="8">
        <v>3.3977415</v>
      </c>
      <c r="E51" s="8">
        <v>13.1339583</v>
      </c>
      <c r="F51" s="8">
        <v>47.846743199999999</v>
      </c>
      <c r="H51" t="str">
        <f t="shared" ref="H51:H68" si="2">TEXT(C51,"0.00")&amp;" ("&amp;TEXT(D51,"0.00")&amp;")"</f>
        <v>24.60 (3.40)</v>
      </c>
    </row>
    <row r="52" spans="1:8" x14ac:dyDescent="0.3">
      <c r="A52" s="10" t="s">
        <v>101</v>
      </c>
      <c r="B52" s="8">
        <v>17988</v>
      </c>
      <c r="C52" s="8">
        <v>85.3524405</v>
      </c>
      <c r="D52" s="8">
        <v>8.3145307000000006</v>
      </c>
      <c r="E52" s="8">
        <v>53.1</v>
      </c>
      <c r="F52" s="8">
        <v>130.30000000000001</v>
      </c>
      <c r="H52" t="str">
        <f t="shared" si="2"/>
        <v>85.35 (8.31)</v>
      </c>
    </row>
    <row r="53" spans="1:8" x14ac:dyDescent="0.3">
      <c r="A53" s="10" t="s">
        <v>102</v>
      </c>
      <c r="B53" s="8">
        <v>17988</v>
      </c>
      <c r="C53" s="8">
        <v>7.9026299999999994E-2</v>
      </c>
      <c r="D53" s="8">
        <v>3.1402000000000001E-3</v>
      </c>
      <c r="E53" s="8">
        <v>6.7925799999999995E-2</v>
      </c>
      <c r="F53" s="8">
        <v>9.7895099999999999E-2</v>
      </c>
      <c r="H53" t="str">
        <f t="shared" si="2"/>
        <v>0.08 (0.00)</v>
      </c>
    </row>
    <row r="54" spans="1:8" x14ac:dyDescent="0.3">
      <c r="A54" s="10" t="s">
        <v>103</v>
      </c>
      <c r="B54" s="8">
        <v>17988</v>
      </c>
      <c r="C54" s="8">
        <v>121.36315879999999</v>
      </c>
      <c r="D54" s="8">
        <v>16.149137799999998</v>
      </c>
      <c r="E54" s="8">
        <v>70</v>
      </c>
      <c r="F54" s="8">
        <v>212</v>
      </c>
      <c r="H54" t="str">
        <f t="shared" si="2"/>
        <v>121.36 (16.15)</v>
      </c>
    </row>
    <row r="55" spans="1:8" x14ac:dyDescent="0.3">
      <c r="A55" s="10" t="s">
        <v>104</v>
      </c>
      <c r="B55" s="8">
        <v>17988</v>
      </c>
      <c r="C55" s="8">
        <v>99.666499900000005</v>
      </c>
      <c r="D55" s="8">
        <v>16.233508199999999</v>
      </c>
      <c r="E55" s="8">
        <v>51</v>
      </c>
      <c r="F55" s="8">
        <v>400</v>
      </c>
      <c r="H55" t="str">
        <f t="shared" si="2"/>
        <v>99.67 (16.23)</v>
      </c>
    </row>
    <row r="56" spans="1:8" x14ac:dyDescent="0.3">
      <c r="A56" s="10" t="s">
        <v>105</v>
      </c>
      <c r="B56" s="8">
        <v>17988</v>
      </c>
      <c r="C56" s="8">
        <v>193.20752719999999</v>
      </c>
      <c r="D56" s="8">
        <v>36.722149700000003</v>
      </c>
      <c r="E56" s="8">
        <v>66</v>
      </c>
      <c r="F56" s="8">
        <v>381</v>
      </c>
      <c r="H56" t="str">
        <f t="shared" si="2"/>
        <v>193.21 (36.72)</v>
      </c>
    </row>
    <row r="57" spans="1:8" ht="25.5" x14ac:dyDescent="0.3">
      <c r="A57" s="10" t="s">
        <v>106</v>
      </c>
      <c r="B57" s="8">
        <v>17988</v>
      </c>
      <c r="C57" s="8">
        <v>49.0236248</v>
      </c>
      <c r="D57" s="8">
        <v>11.3543574</v>
      </c>
      <c r="E57" s="8">
        <v>13.997999999999999</v>
      </c>
      <c r="F57" s="8">
        <v>128</v>
      </c>
      <c r="H57" t="str">
        <f t="shared" si="2"/>
        <v>49.02 (11.35)</v>
      </c>
    </row>
    <row r="58" spans="1:8" x14ac:dyDescent="0.3">
      <c r="A58" s="10" t="s">
        <v>107</v>
      </c>
      <c r="B58" s="8">
        <v>17988</v>
      </c>
      <c r="C58" s="8">
        <v>133.2962531</v>
      </c>
      <c r="D58" s="8">
        <v>51.018032300000002</v>
      </c>
      <c r="E58" s="8">
        <v>30</v>
      </c>
      <c r="F58" s="8">
        <v>544</v>
      </c>
      <c r="H58" t="str">
        <f t="shared" si="2"/>
        <v>133.30 (51.02)</v>
      </c>
    </row>
    <row r="59" spans="1:8" x14ac:dyDescent="0.3">
      <c r="A59" s="10" t="s">
        <v>108</v>
      </c>
      <c r="B59" s="8">
        <v>17988</v>
      </c>
      <c r="C59" s="8">
        <v>24.0288526</v>
      </c>
      <c r="D59" s="8">
        <v>12.8493934</v>
      </c>
      <c r="E59" s="8">
        <v>6</v>
      </c>
      <c r="F59" s="8">
        <v>532</v>
      </c>
      <c r="H59" t="str">
        <f t="shared" si="2"/>
        <v>24.03 (12.85)</v>
      </c>
    </row>
    <row r="60" spans="1:8" x14ac:dyDescent="0.3">
      <c r="A60" s="10" t="s">
        <v>109</v>
      </c>
      <c r="B60" s="8">
        <v>17988</v>
      </c>
      <c r="C60" s="8">
        <v>24.6870136</v>
      </c>
      <c r="D60" s="8">
        <v>20.850853600000001</v>
      </c>
      <c r="E60" s="8">
        <v>3</v>
      </c>
      <c r="F60" s="8">
        <v>893</v>
      </c>
      <c r="H60" t="str">
        <f t="shared" si="2"/>
        <v>24.69 (20.85)</v>
      </c>
    </row>
    <row r="61" spans="1:8" x14ac:dyDescent="0.3">
      <c r="A61" s="10" t="s">
        <v>110</v>
      </c>
      <c r="B61" s="8">
        <v>17988</v>
      </c>
      <c r="C61" s="8">
        <v>14.3025962</v>
      </c>
      <c r="D61" s="8">
        <v>1.5263568999999999</v>
      </c>
      <c r="E61" s="8">
        <v>5.9</v>
      </c>
      <c r="F61" s="8">
        <v>21.3</v>
      </c>
      <c r="H61" t="str">
        <f t="shared" si="2"/>
        <v>14.30 (1.53)</v>
      </c>
    </row>
    <row r="62" spans="1:8" x14ac:dyDescent="0.3">
      <c r="A62" s="10" t="s">
        <v>111</v>
      </c>
      <c r="B62" s="8">
        <v>17988</v>
      </c>
      <c r="C62" s="8">
        <v>15.003541200000001</v>
      </c>
      <c r="D62" s="8">
        <v>4.5822361000000003</v>
      </c>
      <c r="E62" s="8">
        <v>3</v>
      </c>
      <c r="F62" s="8">
        <v>115</v>
      </c>
      <c r="H62" t="str">
        <f t="shared" si="2"/>
        <v>15.00 (4.58)</v>
      </c>
    </row>
    <row r="63" spans="1:8" x14ac:dyDescent="0.3">
      <c r="A63" s="10" t="s">
        <v>112</v>
      </c>
      <c r="B63" s="8">
        <v>17988</v>
      </c>
      <c r="C63" s="8">
        <v>0.85715249999999998</v>
      </c>
      <c r="D63" s="8">
        <v>0.2384397</v>
      </c>
      <c r="E63" s="8">
        <v>0.36</v>
      </c>
      <c r="F63" s="8">
        <v>9.4499999999999993</v>
      </c>
      <c r="H63" t="str">
        <f t="shared" si="2"/>
        <v>0.86 (0.24)</v>
      </c>
    </row>
    <row r="64" spans="1:8" x14ac:dyDescent="0.3">
      <c r="A64" s="10" t="s">
        <v>113</v>
      </c>
      <c r="B64" s="8">
        <v>17988</v>
      </c>
      <c r="C64" s="8">
        <v>5.7777684999999996</v>
      </c>
      <c r="D64" s="8">
        <v>0.80458050000000003</v>
      </c>
      <c r="E64" s="8">
        <v>5</v>
      </c>
      <c r="F64" s="8">
        <v>9</v>
      </c>
      <c r="H64" t="str">
        <f t="shared" si="2"/>
        <v>5.78 (0.80)</v>
      </c>
    </row>
    <row r="65" spans="1:8" x14ac:dyDescent="0.3">
      <c r="A65" s="10" t="s">
        <v>114</v>
      </c>
      <c r="B65" s="8">
        <v>17988</v>
      </c>
      <c r="C65" s="8">
        <v>8.7242297999999998</v>
      </c>
      <c r="D65" s="8">
        <v>0.35786630000000003</v>
      </c>
      <c r="E65" s="8">
        <v>7.2067481000000004</v>
      </c>
      <c r="F65" s="8">
        <v>10.1701503</v>
      </c>
      <c r="H65" t="str">
        <f t="shared" si="2"/>
        <v>8.72 (0.36)</v>
      </c>
    </row>
    <row r="66" spans="1:8" x14ac:dyDescent="0.3">
      <c r="A66" s="10" t="s">
        <v>115</v>
      </c>
      <c r="B66" s="8">
        <v>17988</v>
      </c>
      <c r="C66" s="8">
        <v>0.68849649999999996</v>
      </c>
      <c r="D66" s="8">
        <v>1.54778E-2</v>
      </c>
      <c r="E66" s="8">
        <v>0.6624196</v>
      </c>
      <c r="F66" s="8">
        <v>0.71644180000000002</v>
      </c>
      <c r="H66" t="str">
        <f t="shared" si="2"/>
        <v>0.69 (0.02)</v>
      </c>
    </row>
    <row r="67" spans="1:8" x14ac:dyDescent="0.3">
      <c r="A67" s="10" t="s">
        <v>116</v>
      </c>
      <c r="B67" s="8">
        <v>17988</v>
      </c>
      <c r="C67" s="8">
        <v>0.4166262</v>
      </c>
      <c r="D67" s="8">
        <v>0.20711930000000001</v>
      </c>
      <c r="E67" s="9">
        <v>-0.48447069999999998</v>
      </c>
      <c r="F67" s="8">
        <v>1.2280399</v>
      </c>
      <c r="H67" t="str">
        <f t="shared" si="2"/>
        <v>0.42 (0.21)</v>
      </c>
    </row>
    <row r="68" spans="1:8" x14ac:dyDescent="0.3">
      <c r="A68" s="10" t="s">
        <v>117</v>
      </c>
      <c r="B68" s="8">
        <v>17988</v>
      </c>
      <c r="C68" s="8">
        <v>37.077409500000002</v>
      </c>
      <c r="D68" s="8">
        <v>6.2645776</v>
      </c>
      <c r="E68" s="8">
        <v>17.2447458</v>
      </c>
      <c r="F68" s="8">
        <v>78.005146999999994</v>
      </c>
      <c r="H68" t="str">
        <f t="shared" si="2"/>
        <v>37.08 (6.26)</v>
      </c>
    </row>
    <row r="70" spans="1:8" x14ac:dyDescent="0.3">
      <c r="A70" s="1" t="s">
        <v>125</v>
      </c>
    </row>
    <row r="71" spans="1:8" ht="17.25" thickBot="1" x14ac:dyDescent="0.35"/>
    <row r="72" spans="1:8" x14ac:dyDescent="0.3">
      <c r="A72" s="4" t="s">
        <v>93</v>
      </c>
      <c r="B72" s="5" t="s">
        <v>94</v>
      </c>
      <c r="C72" s="5" t="s">
        <v>95</v>
      </c>
      <c r="D72" s="5" t="s">
        <v>96</v>
      </c>
      <c r="E72" s="5" t="s">
        <v>97</v>
      </c>
      <c r="F72" s="5" t="s">
        <v>98</v>
      </c>
    </row>
    <row r="73" spans="1:8" x14ac:dyDescent="0.3">
      <c r="A73" s="10" t="s">
        <v>99</v>
      </c>
      <c r="B73" s="8">
        <v>17662</v>
      </c>
      <c r="C73" s="8">
        <v>58.116068400000003</v>
      </c>
      <c r="D73" s="8">
        <v>13.6348061</v>
      </c>
      <c r="E73" s="8">
        <v>19</v>
      </c>
      <c r="F73" s="8">
        <v>80</v>
      </c>
      <c r="H73" t="str">
        <f t="shared" ref="H73:H91" si="3">TEXT(C73,"0.00")&amp;" ("&amp;TEXT(D73,"0.00")&amp;")"</f>
        <v>58.12 (13.63)</v>
      </c>
    </row>
    <row r="74" spans="1:8" x14ac:dyDescent="0.3">
      <c r="A74" s="10" t="s">
        <v>100</v>
      </c>
      <c r="B74" s="8">
        <v>17662</v>
      </c>
      <c r="C74" s="8">
        <v>25.2198651</v>
      </c>
      <c r="D74" s="8">
        <v>3.2769479000000001</v>
      </c>
      <c r="E74" s="8">
        <v>14.8999025</v>
      </c>
      <c r="F74" s="8">
        <v>50.898579099999999</v>
      </c>
      <c r="H74" t="str">
        <f t="shared" si="3"/>
        <v>25.22 (3.28)</v>
      </c>
    </row>
    <row r="75" spans="1:8" x14ac:dyDescent="0.3">
      <c r="A75" s="10" t="s">
        <v>101</v>
      </c>
      <c r="B75" s="8">
        <v>17662</v>
      </c>
      <c r="C75" s="8">
        <v>90.061770999999993</v>
      </c>
      <c r="D75" s="8">
        <v>8.2654449999999997</v>
      </c>
      <c r="E75" s="8">
        <v>62.7</v>
      </c>
      <c r="F75" s="8">
        <v>166.1</v>
      </c>
      <c r="H75" t="str">
        <f t="shared" si="3"/>
        <v>90.06 (8.27)</v>
      </c>
    </row>
    <row r="76" spans="1:8" x14ac:dyDescent="0.3">
      <c r="A76" s="10" t="s">
        <v>102</v>
      </c>
      <c r="B76" s="8">
        <v>17662</v>
      </c>
      <c r="C76" s="8">
        <v>8.2021399999999994E-2</v>
      </c>
      <c r="D76" s="8">
        <v>3.7269999999999998E-3</v>
      </c>
      <c r="E76" s="8">
        <v>6.9275500000000004E-2</v>
      </c>
      <c r="F76" s="8">
        <v>0.15107219999999999</v>
      </c>
      <c r="H76" t="str">
        <f t="shared" si="3"/>
        <v>0.08 (0.00)</v>
      </c>
    </row>
    <row r="77" spans="1:8" x14ac:dyDescent="0.3">
      <c r="A77" s="10" t="s">
        <v>103</v>
      </c>
      <c r="B77" s="8">
        <v>17662</v>
      </c>
      <c r="C77" s="8">
        <v>125.9470898</v>
      </c>
      <c r="D77" s="8">
        <v>16.246407999999999</v>
      </c>
      <c r="E77" s="8">
        <v>77</v>
      </c>
      <c r="F77" s="8">
        <v>243</v>
      </c>
      <c r="H77" t="str">
        <f t="shared" si="3"/>
        <v>125.95 (16.25)</v>
      </c>
    </row>
    <row r="78" spans="1:8" x14ac:dyDescent="0.3">
      <c r="A78" s="10" t="s">
        <v>104</v>
      </c>
      <c r="B78" s="8">
        <v>17662</v>
      </c>
      <c r="C78" s="8">
        <v>113.9182426</v>
      </c>
      <c r="D78" s="8">
        <v>33.594719400000002</v>
      </c>
      <c r="E78" s="8">
        <v>61</v>
      </c>
      <c r="F78" s="8">
        <v>553</v>
      </c>
      <c r="H78" t="str">
        <f t="shared" si="3"/>
        <v>113.92 (33.59)</v>
      </c>
    </row>
    <row r="79" spans="1:8" x14ac:dyDescent="0.3">
      <c r="A79" s="10" t="s">
        <v>105</v>
      </c>
      <c r="B79" s="8">
        <v>17662</v>
      </c>
      <c r="C79" s="8">
        <v>198.57150949999999</v>
      </c>
      <c r="D79" s="8">
        <v>41.668181099999998</v>
      </c>
      <c r="E79" s="8">
        <v>75</v>
      </c>
      <c r="F79" s="8">
        <v>554</v>
      </c>
      <c r="H79" t="str">
        <f t="shared" si="3"/>
        <v>198.57 (41.67)</v>
      </c>
    </row>
    <row r="80" spans="1:8" ht="25.5" x14ac:dyDescent="0.3">
      <c r="A80" s="10" t="s">
        <v>106</v>
      </c>
      <c r="B80" s="8">
        <v>17662</v>
      </c>
      <c r="C80" s="8">
        <v>44.274919599999997</v>
      </c>
      <c r="D80" s="8">
        <v>10.416138800000001</v>
      </c>
      <c r="E80" s="8">
        <v>8</v>
      </c>
      <c r="F80" s="8">
        <v>126.76</v>
      </c>
      <c r="H80" t="str">
        <f t="shared" si="3"/>
        <v>44.27 (10.42)</v>
      </c>
    </row>
    <row r="81" spans="1:8" x14ac:dyDescent="0.3">
      <c r="A81" s="10" t="s">
        <v>107</v>
      </c>
      <c r="B81" s="8">
        <v>17662</v>
      </c>
      <c r="C81" s="8">
        <v>233.30053219999999</v>
      </c>
      <c r="D81" s="8">
        <v>159.41419759999999</v>
      </c>
      <c r="E81" s="8">
        <v>39</v>
      </c>
      <c r="F81" s="8">
        <v>2774</v>
      </c>
      <c r="H81" t="str">
        <f t="shared" si="3"/>
        <v>233.30 (159.41)</v>
      </c>
    </row>
    <row r="82" spans="1:8" x14ac:dyDescent="0.3">
      <c r="A82" s="10" t="s">
        <v>108</v>
      </c>
      <c r="B82" s="8">
        <v>17662</v>
      </c>
      <c r="C82" s="8">
        <v>27.174838600000001</v>
      </c>
      <c r="D82" s="8">
        <v>18.269993299999999</v>
      </c>
      <c r="E82" s="8">
        <v>9</v>
      </c>
      <c r="F82" s="8">
        <v>927</v>
      </c>
      <c r="H82" t="str">
        <f t="shared" si="3"/>
        <v>27.17 (18.27)</v>
      </c>
    </row>
    <row r="83" spans="1:8" x14ac:dyDescent="0.3">
      <c r="A83" s="10" t="s">
        <v>109</v>
      </c>
      <c r="B83" s="8">
        <v>17662</v>
      </c>
      <c r="C83" s="8">
        <v>28.766334499999999</v>
      </c>
      <c r="D83" s="8">
        <v>21.124699100000001</v>
      </c>
      <c r="E83" s="8">
        <v>4</v>
      </c>
      <c r="F83" s="8">
        <v>402</v>
      </c>
      <c r="H83" t="str">
        <f t="shared" si="3"/>
        <v>28.77 (21.12)</v>
      </c>
    </row>
    <row r="84" spans="1:8" x14ac:dyDescent="0.3">
      <c r="A84" s="10" t="s">
        <v>110</v>
      </c>
      <c r="B84" s="8">
        <v>17662</v>
      </c>
      <c r="C84" s="8">
        <v>14.5376628</v>
      </c>
      <c r="D84" s="8">
        <v>1.5327474000000001</v>
      </c>
      <c r="E84" s="8">
        <v>5.5</v>
      </c>
      <c r="F84" s="8">
        <v>20.399999999999999</v>
      </c>
      <c r="H84" t="str">
        <f t="shared" si="3"/>
        <v>14.54 (1.53)</v>
      </c>
    </row>
    <row r="85" spans="1:8" x14ac:dyDescent="0.3">
      <c r="A85" s="10" t="s">
        <v>111</v>
      </c>
      <c r="B85" s="8">
        <v>17662</v>
      </c>
      <c r="C85" s="8">
        <v>15.377075100000001</v>
      </c>
      <c r="D85" s="8">
        <v>4.7782283000000003</v>
      </c>
      <c r="E85" s="8">
        <v>3</v>
      </c>
      <c r="F85" s="8">
        <v>76.900000000000006</v>
      </c>
      <c r="H85" t="str">
        <f t="shared" si="3"/>
        <v>15.38 (4.78)</v>
      </c>
    </row>
    <row r="86" spans="1:8" x14ac:dyDescent="0.3">
      <c r="A86" s="10" t="s">
        <v>112</v>
      </c>
      <c r="B86" s="8">
        <v>17662</v>
      </c>
      <c r="C86" s="8">
        <v>0.88657680000000005</v>
      </c>
      <c r="D86" s="8">
        <v>0.2703412</v>
      </c>
      <c r="E86" s="8">
        <v>0.2</v>
      </c>
      <c r="F86" s="8">
        <v>10.48</v>
      </c>
      <c r="H86" t="str">
        <f t="shared" si="3"/>
        <v>0.89 (0.27)</v>
      </c>
    </row>
    <row r="87" spans="1:8" x14ac:dyDescent="0.3">
      <c r="A87" s="10" t="s">
        <v>113</v>
      </c>
      <c r="B87" s="8">
        <v>17662</v>
      </c>
      <c r="C87" s="8">
        <v>5.7025817999999999</v>
      </c>
      <c r="D87" s="8">
        <v>0.79699059999999999</v>
      </c>
      <c r="E87" s="8">
        <v>5</v>
      </c>
      <c r="F87" s="8">
        <v>9</v>
      </c>
      <c r="H87" t="str">
        <f t="shared" si="3"/>
        <v>5.70 (0.80)</v>
      </c>
    </row>
    <row r="88" spans="1:8" x14ac:dyDescent="0.3">
      <c r="A88" s="10" t="s">
        <v>114</v>
      </c>
      <c r="B88" s="8">
        <v>17662</v>
      </c>
      <c r="C88" s="8">
        <v>9.3235600000000005</v>
      </c>
      <c r="D88" s="8">
        <v>0.5295723</v>
      </c>
      <c r="E88" s="8">
        <v>7.3752557999999997</v>
      </c>
      <c r="F88" s="8">
        <v>12.7290689</v>
      </c>
      <c r="H88" t="str">
        <f t="shared" si="3"/>
        <v>9.32 (0.53)</v>
      </c>
    </row>
    <row r="89" spans="1:8" x14ac:dyDescent="0.3">
      <c r="A89" s="10" t="s">
        <v>115</v>
      </c>
      <c r="B89" s="8">
        <v>17662</v>
      </c>
      <c r="C89" s="8">
        <v>0.76380599999999998</v>
      </c>
      <c r="D89" s="8">
        <v>4.1147599999999999E-2</v>
      </c>
      <c r="E89" s="8">
        <v>0.71644399999999997</v>
      </c>
      <c r="F89" s="8">
        <v>1.3241700999999999</v>
      </c>
      <c r="H89" t="str">
        <f t="shared" si="3"/>
        <v>0.76 (0.04)</v>
      </c>
    </row>
    <row r="90" spans="1:8" x14ac:dyDescent="0.3">
      <c r="A90" s="10" t="s">
        <v>116</v>
      </c>
      <c r="B90" s="8">
        <v>17662</v>
      </c>
      <c r="C90" s="8">
        <v>0.67242389999999996</v>
      </c>
      <c r="D90" s="8">
        <v>0.26388640000000002</v>
      </c>
      <c r="E90" s="9">
        <v>-0.23113880000000001</v>
      </c>
      <c r="F90" s="8">
        <v>2.1147776999999999</v>
      </c>
      <c r="H90" t="str">
        <f t="shared" si="3"/>
        <v>0.67 (0.26)</v>
      </c>
    </row>
    <row r="91" spans="1:8" x14ac:dyDescent="0.3">
      <c r="A91" s="10" t="s">
        <v>117</v>
      </c>
      <c r="B91" s="8">
        <v>17662</v>
      </c>
      <c r="C91" s="8">
        <v>41.030256600000001</v>
      </c>
      <c r="D91" s="8">
        <v>6.8404943999999999</v>
      </c>
      <c r="E91" s="8">
        <v>19.384262400000001</v>
      </c>
      <c r="F91" s="8">
        <v>86.341505499999997</v>
      </c>
      <c r="H91" t="str">
        <f t="shared" si="3"/>
        <v>41.03 (6.84)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7962F-D042-4D24-B050-3C6DE5CF9963}">
  <dimension ref="A1:H91"/>
  <sheetViews>
    <sheetView workbookViewId="0">
      <selection activeCell="H73" sqref="H73:H91"/>
    </sheetView>
  </sheetViews>
  <sheetFormatPr defaultRowHeight="16.5" x14ac:dyDescent="0.3"/>
  <cols>
    <col min="8" max="8" width="14.625" bestFit="1" customWidth="1"/>
  </cols>
  <sheetData>
    <row r="1" spans="1:8" x14ac:dyDescent="0.3">
      <c r="A1" s="1" t="s">
        <v>126</v>
      </c>
    </row>
    <row r="2" spans="1:8" ht="17.25" thickBot="1" x14ac:dyDescent="0.35"/>
    <row r="3" spans="1:8" x14ac:dyDescent="0.3">
      <c r="A3" s="4" t="s">
        <v>93</v>
      </c>
      <c r="B3" s="5" t="s">
        <v>94</v>
      </c>
      <c r="C3" s="5" t="s">
        <v>95</v>
      </c>
      <c r="D3" s="5" t="s">
        <v>96</v>
      </c>
      <c r="E3" s="5" t="s">
        <v>97</v>
      </c>
      <c r="F3" s="5" t="s">
        <v>98</v>
      </c>
    </row>
    <row r="4" spans="1:8" x14ac:dyDescent="0.3">
      <c r="A4" s="10" t="s">
        <v>99</v>
      </c>
      <c r="B4" s="8">
        <v>16647</v>
      </c>
      <c r="C4" s="8">
        <v>44.140145400000002</v>
      </c>
      <c r="D4" s="8">
        <v>16.161223700000001</v>
      </c>
      <c r="E4" s="8">
        <v>19</v>
      </c>
      <c r="F4" s="8">
        <v>80</v>
      </c>
      <c r="H4" t="str">
        <f>TEXT(C4,"0.00")&amp;" ("&amp;TEXT(D4,"0.00")&amp;")"</f>
        <v>44.14 (16.16)</v>
      </c>
    </row>
    <row r="5" spans="1:8" x14ac:dyDescent="0.3">
      <c r="A5" s="10" t="s">
        <v>100</v>
      </c>
      <c r="B5" s="8">
        <v>16647</v>
      </c>
      <c r="C5" s="8">
        <v>22.066978899999999</v>
      </c>
      <c r="D5" s="8">
        <v>2.9863852</v>
      </c>
      <c r="E5" s="8">
        <v>13.512496799999999</v>
      </c>
      <c r="F5" s="8">
        <v>46.219893999999996</v>
      </c>
      <c r="H5" t="str">
        <f t="shared" ref="H5:H22" si="0">TEXT(C5,"0.00")&amp;" ("&amp;TEXT(D5,"0.00")&amp;")"</f>
        <v>22.07 (2.99)</v>
      </c>
    </row>
    <row r="6" spans="1:8" x14ac:dyDescent="0.3">
      <c r="A6" s="10" t="s">
        <v>101</v>
      </c>
      <c r="B6" s="8">
        <v>16647</v>
      </c>
      <c r="C6" s="8">
        <v>75.805364299999994</v>
      </c>
      <c r="D6" s="8">
        <v>8.9573829000000007</v>
      </c>
      <c r="E6" s="8">
        <v>51.1</v>
      </c>
      <c r="F6" s="8">
        <v>137.1</v>
      </c>
      <c r="H6" t="str">
        <f t="shared" si="0"/>
        <v>75.81 (8.96)</v>
      </c>
    </row>
    <row r="7" spans="1:8" x14ac:dyDescent="0.3">
      <c r="A7" s="10" t="s">
        <v>102</v>
      </c>
      <c r="B7" s="8">
        <v>16647</v>
      </c>
      <c r="C7" s="8">
        <v>7.5718900000000006E-2</v>
      </c>
      <c r="D7" s="8">
        <v>4.5259000000000002E-3</v>
      </c>
      <c r="E7" s="8">
        <v>5.83732E-2</v>
      </c>
      <c r="F7" s="8">
        <v>9.96866E-2</v>
      </c>
      <c r="H7" t="str">
        <f t="shared" si="0"/>
        <v>0.08 (0.00)</v>
      </c>
    </row>
    <row r="8" spans="1:8" x14ac:dyDescent="0.3">
      <c r="A8" s="10" t="s">
        <v>103</v>
      </c>
      <c r="B8" s="8">
        <v>16647</v>
      </c>
      <c r="C8" s="8">
        <v>112.6253079</v>
      </c>
      <c r="D8" s="8">
        <v>15.538407100000001</v>
      </c>
      <c r="E8" s="8">
        <v>75</v>
      </c>
      <c r="F8" s="8">
        <v>217</v>
      </c>
      <c r="H8" t="str">
        <f t="shared" si="0"/>
        <v>112.63 (15.54)</v>
      </c>
    </row>
    <row r="9" spans="1:8" x14ac:dyDescent="0.3">
      <c r="A9" s="10" t="s">
        <v>104</v>
      </c>
      <c r="B9" s="8">
        <v>16647</v>
      </c>
      <c r="C9" s="8">
        <v>92.703670299999999</v>
      </c>
      <c r="D9" s="8">
        <v>14.5413256</v>
      </c>
      <c r="E9" s="8">
        <v>51</v>
      </c>
      <c r="F9" s="8">
        <v>400</v>
      </c>
      <c r="H9" t="str">
        <f t="shared" si="0"/>
        <v>92.70 (14.54)</v>
      </c>
    </row>
    <row r="10" spans="1:8" x14ac:dyDescent="0.3">
      <c r="A10" s="10" t="s">
        <v>105</v>
      </c>
      <c r="B10" s="8">
        <v>16647</v>
      </c>
      <c r="C10" s="8">
        <v>183.02030400000001</v>
      </c>
      <c r="D10" s="8">
        <v>32.885080500000001</v>
      </c>
      <c r="E10" s="8">
        <v>71</v>
      </c>
      <c r="F10" s="8">
        <v>457</v>
      </c>
      <c r="H10" t="str">
        <f t="shared" si="0"/>
        <v>183.02 (32.89)</v>
      </c>
    </row>
    <row r="11" spans="1:8" ht="25.5" x14ac:dyDescent="0.3">
      <c r="A11" s="10" t="s">
        <v>106</v>
      </c>
      <c r="B11" s="8">
        <v>16647</v>
      </c>
      <c r="C11" s="8">
        <v>63.620391699999999</v>
      </c>
      <c r="D11" s="8">
        <v>12.104817600000001</v>
      </c>
      <c r="E11" s="8">
        <v>30.364000000000001</v>
      </c>
      <c r="F11" s="8">
        <v>145.298</v>
      </c>
      <c r="H11" t="str">
        <f t="shared" si="0"/>
        <v>63.62 (12.10)</v>
      </c>
    </row>
    <row r="12" spans="1:8" x14ac:dyDescent="0.3">
      <c r="A12" s="10" t="s">
        <v>107</v>
      </c>
      <c r="B12" s="8">
        <v>16647</v>
      </c>
      <c r="C12" s="8">
        <v>57.374361700000001</v>
      </c>
      <c r="D12" s="8">
        <v>14.6022909</v>
      </c>
      <c r="E12" s="8">
        <v>14</v>
      </c>
      <c r="F12" s="8">
        <v>131</v>
      </c>
      <c r="H12" t="str">
        <f t="shared" si="0"/>
        <v>57.37 (14.60)</v>
      </c>
    </row>
    <row r="13" spans="1:8" x14ac:dyDescent="0.3">
      <c r="A13" s="10" t="s">
        <v>108</v>
      </c>
      <c r="B13" s="8">
        <v>16647</v>
      </c>
      <c r="C13" s="8">
        <v>21.010272100000002</v>
      </c>
      <c r="D13" s="8">
        <v>11.6111278</v>
      </c>
      <c r="E13" s="8">
        <v>7</v>
      </c>
      <c r="F13" s="8">
        <v>430</v>
      </c>
      <c r="H13" t="str">
        <f t="shared" si="0"/>
        <v>21.01 (11.61)</v>
      </c>
    </row>
    <row r="14" spans="1:8" x14ac:dyDescent="0.3">
      <c r="A14" s="10" t="s">
        <v>109</v>
      </c>
      <c r="B14" s="8">
        <v>16647</v>
      </c>
      <c r="C14" s="8">
        <v>16.839791000000002</v>
      </c>
      <c r="D14" s="8">
        <v>13.2381846</v>
      </c>
      <c r="E14" s="8">
        <v>3</v>
      </c>
      <c r="F14" s="8">
        <v>743</v>
      </c>
      <c r="H14" t="str">
        <f t="shared" si="0"/>
        <v>16.84 (13.24)</v>
      </c>
    </row>
    <row r="15" spans="1:8" x14ac:dyDescent="0.3">
      <c r="A15" s="10" t="s">
        <v>110</v>
      </c>
      <c r="B15" s="8">
        <v>16647</v>
      </c>
      <c r="C15" s="8">
        <v>13.4585451</v>
      </c>
      <c r="D15" s="8">
        <v>1.4179761</v>
      </c>
      <c r="E15" s="8">
        <v>5</v>
      </c>
      <c r="F15" s="8">
        <v>18.8</v>
      </c>
      <c r="H15" t="str">
        <f t="shared" si="0"/>
        <v>13.46 (1.42)</v>
      </c>
    </row>
    <row r="16" spans="1:8" x14ac:dyDescent="0.3">
      <c r="A16" s="10" t="s">
        <v>111</v>
      </c>
      <c r="B16" s="8">
        <v>16647</v>
      </c>
      <c r="C16" s="8">
        <v>14.2244248</v>
      </c>
      <c r="D16" s="8">
        <v>4.4780357999999998</v>
      </c>
      <c r="E16" s="8">
        <v>3</v>
      </c>
      <c r="F16" s="8">
        <v>140</v>
      </c>
      <c r="H16" t="str">
        <f t="shared" si="0"/>
        <v>14.22 (4.48)</v>
      </c>
    </row>
    <row r="17" spans="1:8" x14ac:dyDescent="0.3">
      <c r="A17" s="10" t="s">
        <v>112</v>
      </c>
      <c r="B17" s="8">
        <v>16647</v>
      </c>
      <c r="C17" s="8">
        <v>0.77231329999999998</v>
      </c>
      <c r="D17" s="8">
        <v>0.20378550000000001</v>
      </c>
      <c r="E17" s="8">
        <v>0.36</v>
      </c>
      <c r="F17" s="8">
        <v>14.38</v>
      </c>
      <c r="H17" t="str">
        <f t="shared" si="0"/>
        <v>0.77 (0.20)</v>
      </c>
    </row>
    <row r="18" spans="1:8" x14ac:dyDescent="0.3">
      <c r="A18" s="10" t="s">
        <v>113</v>
      </c>
      <c r="B18" s="8">
        <v>16647</v>
      </c>
      <c r="C18" s="8">
        <v>5.8471495999999998</v>
      </c>
      <c r="D18" s="8">
        <v>0.80754440000000005</v>
      </c>
      <c r="E18" s="8">
        <v>5</v>
      </c>
      <c r="F18" s="8">
        <v>9</v>
      </c>
      <c r="H18" t="str">
        <f t="shared" si="0"/>
        <v>5.85 (0.81)</v>
      </c>
    </row>
    <row r="19" spans="1:8" x14ac:dyDescent="0.3">
      <c r="A19" s="10" t="s">
        <v>114</v>
      </c>
      <c r="B19" s="8">
        <v>16647</v>
      </c>
      <c r="C19" s="8">
        <v>7.8427746999999997</v>
      </c>
      <c r="D19" s="8">
        <v>0.31226320000000002</v>
      </c>
      <c r="E19" s="8">
        <v>6.4441312999999996</v>
      </c>
      <c r="F19" s="8">
        <v>9.6018755999999996</v>
      </c>
      <c r="H19" t="str">
        <f t="shared" si="0"/>
        <v>7.84 (0.31)</v>
      </c>
    </row>
    <row r="20" spans="1:8" x14ac:dyDescent="0.3">
      <c r="A20" s="10" t="s">
        <v>115</v>
      </c>
      <c r="B20" s="8">
        <v>16647</v>
      </c>
      <c r="C20" s="8">
        <v>0.59418170000000003</v>
      </c>
      <c r="D20" s="8">
        <v>4.7234199999999997E-2</v>
      </c>
      <c r="E20" s="8">
        <v>0.43668079999999998</v>
      </c>
      <c r="F20" s="8">
        <v>0.82138029999999995</v>
      </c>
      <c r="H20" t="str">
        <f t="shared" si="0"/>
        <v>0.59 (0.05)</v>
      </c>
    </row>
    <row r="21" spans="1:8" x14ac:dyDescent="0.3">
      <c r="A21" s="10" t="s">
        <v>116</v>
      </c>
      <c r="B21" s="8">
        <v>16647</v>
      </c>
      <c r="C21" s="9">
        <v>-5.2026000000000003E-2</v>
      </c>
      <c r="D21" s="8">
        <v>0.1223614</v>
      </c>
      <c r="E21" s="9">
        <v>-0.69650619999999996</v>
      </c>
      <c r="F21" s="8">
        <v>0.1071959</v>
      </c>
      <c r="H21" t="str">
        <f t="shared" si="0"/>
        <v>-0.05 (0.12)</v>
      </c>
    </row>
    <row r="22" spans="1:8" x14ac:dyDescent="0.3">
      <c r="A22" s="10" t="s">
        <v>117</v>
      </c>
      <c r="B22" s="8">
        <v>16647</v>
      </c>
      <c r="C22" s="8">
        <v>29.357930499999998</v>
      </c>
      <c r="D22" s="8">
        <v>4.5279835000000004</v>
      </c>
      <c r="E22" s="8">
        <v>15.6032782</v>
      </c>
      <c r="F22" s="8">
        <v>65.434191900000002</v>
      </c>
      <c r="H22" t="str">
        <f t="shared" si="0"/>
        <v>29.36 (4.53)</v>
      </c>
    </row>
    <row r="24" spans="1:8" x14ac:dyDescent="0.3">
      <c r="A24" s="1" t="s">
        <v>127</v>
      </c>
    </row>
    <row r="25" spans="1:8" ht="17.25" thickBot="1" x14ac:dyDescent="0.35"/>
    <row r="26" spans="1:8" x14ac:dyDescent="0.3">
      <c r="A26" s="4" t="s">
        <v>93</v>
      </c>
      <c r="B26" s="5" t="s">
        <v>94</v>
      </c>
      <c r="C26" s="5" t="s">
        <v>95</v>
      </c>
      <c r="D26" s="5" t="s">
        <v>96</v>
      </c>
      <c r="E26" s="5" t="s">
        <v>97</v>
      </c>
      <c r="F26" s="5" t="s">
        <v>98</v>
      </c>
    </row>
    <row r="27" spans="1:8" x14ac:dyDescent="0.3">
      <c r="A27" s="10" t="s">
        <v>99</v>
      </c>
      <c r="B27" s="8">
        <v>16779</v>
      </c>
      <c r="C27" s="8">
        <v>48.8122653</v>
      </c>
      <c r="D27" s="8">
        <v>16.456031299999999</v>
      </c>
      <c r="E27" s="8">
        <v>19</v>
      </c>
      <c r="F27" s="8">
        <v>80</v>
      </c>
      <c r="H27" t="str">
        <f>TEXT(C27,"0.00")&amp;" ("&amp;TEXT(D27,"0.00")&amp;")"</f>
        <v>48.81 (16.46)</v>
      </c>
    </row>
    <row r="28" spans="1:8" x14ac:dyDescent="0.3">
      <c r="A28" s="10" t="s">
        <v>100</v>
      </c>
      <c r="B28" s="8">
        <v>16779</v>
      </c>
      <c r="C28" s="8">
        <v>23.349049000000001</v>
      </c>
      <c r="D28" s="8">
        <v>3.2720186999999998</v>
      </c>
      <c r="E28" s="8">
        <v>13.1339583</v>
      </c>
      <c r="F28" s="8">
        <v>62.640542099999998</v>
      </c>
      <c r="H28" t="str">
        <f t="shared" ref="H28:H45" si="1">TEXT(C28,"0.00")&amp;" ("&amp;TEXT(D28,"0.00")&amp;")"</f>
        <v>23.35 (3.27)</v>
      </c>
    </row>
    <row r="29" spans="1:8" x14ac:dyDescent="0.3">
      <c r="A29" s="10" t="s">
        <v>101</v>
      </c>
      <c r="B29" s="8">
        <v>16779</v>
      </c>
      <c r="C29" s="8">
        <v>80.626825199999999</v>
      </c>
      <c r="D29" s="8">
        <v>9.4949288000000003</v>
      </c>
      <c r="E29" s="8">
        <v>49.3</v>
      </c>
      <c r="F29" s="8">
        <v>139.19999999999999</v>
      </c>
      <c r="H29" t="str">
        <f t="shared" si="1"/>
        <v>80.63 (9.49)</v>
      </c>
    </row>
    <row r="30" spans="1:8" x14ac:dyDescent="0.3">
      <c r="A30" s="10" t="s">
        <v>102</v>
      </c>
      <c r="B30" s="8">
        <v>16779</v>
      </c>
      <c r="C30" s="8">
        <v>7.73953E-2</v>
      </c>
      <c r="D30" s="8">
        <v>4.5643000000000003E-3</v>
      </c>
      <c r="E30" s="8">
        <v>5.4297199999999997E-2</v>
      </c>
      <c r="F30" s="8">
        <v>0.1121983</v>
      </c>
      <c r="H30" t="str">
        <f t="shared" si="1"/>
        <v>0.08 (0.00)</v>
      </c>
    </row>
    <row r="31" spans="1:8" x14ac:dyDescent="0.3">
      <c r="A31" s="10" t="s">
        <v>103</v>
      </c>
      <c r="B31" s="8">
        <v>16779</v>
      </c>
      <c r="C31" s="8">
        <v>117.05211869999999</v>
      </c>
      <c r="D31" s="8">
        <v>16.336766999999998</v>
      </c>
      <c r="E31" s="8">
        <v>75</v>
      </c>
      <c r="F31" s="8">
        <v>232</v>
      </c>
      <c r="H31" t="str">
        <f t="shared" si="1"/>
        <v>117.05 (16.34)</v>
      </c>
    </row>
    <row r="32" spans="1:8" x14ac:dyDescent="0.3">
      <c r="A32" s="10" t="s">
        <v>104</v>
      </c>
      <c r="B32" s="8">
        <v>16779</v>
      </c>
      <c r="C32" s="8">
        <v>96.827641700000001</v>
      </c>
      <c r="D32" s="8">
        <v>18.391264700000001</v>
      </c>
      <c r="E32" s="8">
        <v>48</v>
      </c>
      <c r="F32" s="8">
        <v>415</v>
      </c>
      <c r="H32" t="str">
        <f t="shared" si="1"/>
        <v>96.83 (18.39)</v>
      </c>
    </row>
    <row r="33" spans="1:8" x14ac:dyDescent="0.3">
      <c r="A33" s="10" t="s">
        <v>105</v>
      </c>
      <c r="B33" s="8">
        <v>16779</v>
      </c>
      <c r="C33" s="8">
        <v>185.83300550000001</v>
      </c>
      <c r="D33" s="8">
        <v>35.429838500000002</v>
      </c>
      <c r="E33" s="8">
        <v>79</v>
      </c>
      <c r="F33" s="8">
        <v>371</v>
      </c>
      <c r="H33" t="str">
        <f t="shared" si="1"/>
        <v>185.83 (35.43)</v>
      </c>
    </row>
    <row r="34" spans="1:8" ht="25.5" x14ac:dyDescent="0.3">
      <c r="A34" s="10" t="s">
        <v>106</v>
      </c>
      <c r="B34" s="8">
        <v>16779</v>
      </c>
      <c r="C34" s="8">
        <v>53.960880299999999</v>
      </c>
      <c r="D34" s="8">
        <v>9.5679958999999997</v>
      </c>
      <c r="E34" s="8">
        <v>17.027999999999999</v>
      </c>
      <c r="F34" s="8">
        <v>126.76</v>
      </c>
      <c r="H34" t="str">
        <f t="shared" si="1"/>
        <v>53.96 (9.57)</v>
      </c>
    </row>
    <row r="35" spans="1:8" x14ac:dyDescent="0.3">
      <c r="A35" s="10" t="s">
        <v>107</v>
      </c>
      <c r="B35" s="8">
        <v>16779</v>
      </c>
      <c r="C35" s="8">
        <v>88.844567600000005</v>
      </c>
      <c r="D35" s="8">
        <v>17.9580786</v>
      </c>
      <c r="E35" s="8">
        <v>22</v>
      </c>
      <c r="F35" s="8">
        <v>214</v>
      </c>
      <c r="H35" t="str">
        <f t="shared" si="1"/>
        <v>88.84 (17.96)</v>
      </c>
    </row>
    <row r="36" spans="1:8" x14ac:dyDescent="0.3">
      <c r="A36" s="10" t="s">
        <v>108</v>
      </c>
      <c r="B36" s="8">
        <v>16779</v>
      </c>
      <c r="C36" s="8">
        <v>22.030871900000001</v>
      </c>
      <c r="D36" s="8">
        <v>12.7263533</v>
      </c>
      <c r="E36" s="8">
        <v>7</v>
      </c>
      <c r="F36" s="8">
        <v>621</v>
      </c>
      <c r="H36" t="str">
        <f t="shared" si="1"/>
        <v>22.03 (12.73)</v>
      </c>
    </row>
    <row r="37" spans="1:8" x14ac:dyDescent="0.3">
      <c r="A37" s="10" t="s">
        <v>109</v>
      </c>
      <c r="B37" s="8">
        <v>16779</v>
      </c>
      <c r="C37" s="8">
        <v>19.944514000000002</v>
      </c>
      <c r="D37" s="8">
        <v>18.181000399999999</v>
      </c>
      <c r="E37" s="8">
        <v>1</v>
      </c>
      <c r="F37" s="8">
        <v>893</v>
      </c>
      <c r="H37" t="str">
        <f t="shared" si="1"/>
        <v>19.94 (18.18)</v>
      </c>
    </row>
    <row r="38" spans="1:8" x14ac:dyDescent="0.3">
      <c r="A38" s="10" t="s">
        <v>110</v>
      </c>
      <c r="B38" s="8">
        <v>16779</v>
      </c>
      <c r="C38" s="8">
        <v>13.899904599999999</v>
      </c>
      <c r="D38" s="8">
        <v>1.520146</v>
      </c>
      <c r="E38" s="8">
        <v>5.3</v>
      </c>
      <c r="F38" s="8">
        <v>19.399999999999999</v>
      </c>
      <c r="H38" t="str">
        <f t="shared" si="1"/>
        <v>13.90 (1.52)</v>
      </c>
    </row>
    <row r="39" spans="1:8" x14ac:dyDescent="0.3">
      <c r="A39" s="10" t="s">
        <v>111</v>
      </c>
      <c r="B39" s="8">
        <v>16779</v>
      </c>
      <c r="C39" s="8">
        <v>14.5142857</v>
      </c>
      <c r="D39" s="8">
        <v>4.4280023999999996</v>
      </c>
      <c r="E39" s="8">
        <v>2</v>
      </c>
      <c r="F39" s="8">
        <v>83</v>
      </c>
      <c r="H39" t="str">
        <f t="shared" si="1"/>
        <v>14.51 (4.43)</v>
      </c>
    </row>
    <row r="40" spans="1:8" x14ac:dyDescent="0.3">
      <c r="A40" s="10" t="s">
        <v>112</v>
      </c>
      <c r="B40" s="8">
        <v>16779</v>
      </c>
      <c r="C40" s="8">
        <v>0.81627209999999994</v>
      </c>
      <c r="D40" s="8">
        <v>0.2156043</v>
      </c>
      <c r="E40" s="8">
        <v>0.36</v>
      </c>
      <c r="F40" s="8">
        <v>9.4499999999999993</v>
      </c>
      <c r="H40" t="str">
        <f t="shared" si="1"/>
        <v>0.82 (0.22)</v>
      </c>
    </row>
    <row r="41" spans="1:8" x14ac:dyDescent="0.3">
      <c r="A41" s="10" t="s">
        <v>113</v>
      </c>
      <c r="B41" s="8">
        <v>16779</v>
      </c>
      <c r="C41" s="8">
        <v>5.8264794999999996</v>
      </c>
      <c r="D41" s="8">
        <v>0.80891389999999996</v>
      </c>
      <c r="E41" s="8">
        <v>5</v>
      </c>
      <c r="F41" s="8">
        <v>9</v>
      </c>
      <c r="H41" t="str">
        <f t="shared" si="1"/>
        <v>5.83 (0.81)</v>
      </c>
    </row>
    <row r="42" spans="1:8" x14ac:dyDescent="0.3">
      <c r="A42" s="10" t="s">
        <v>114</v>
      </c>
      <c r="B42" s="8">
        <v>16779</v>
      </c>
      <c r="C42" s="8">
        <v>8.3339583000000008</v>
      </c>
      <c r="D42" s="8">
        <v>0.25892609999999999</v>
      </c>
      <c r="E42" s="8">
        <v>6.7923444000000002</v>
      </c>
      <c r="F42" s="8">
        <v>10.163445100000001</v>
      </c>
      <c r="H42" t="str">
        <f t="shared" si="1"/>
        <v>8.33 (0.26)</v>
      </c>
    </row>
    <row r="43" spans="1:8" x14ac:dyDescent="0.3">
      <c r="A43" s="10" t="s">
        <v>115</v>
      </c>
      <c r="B43" s="8">
        <v>16779</v>
      </c>
      <c r="C43" s="8">
        <v>0.64523790000000003</v>
      </c>
      <c r="D43" s="8">
        <v>4.64153E-2</v>
      </c>
      <c r="E43" s="8">
        <v>0.44211159999999999</v>
      </c>
      <c r="F43" s="8">
        <v>0.92555880000000001</v>
      </c>
      <c r="H43" t="str">
        <f t="shared" si="1"/>
        <v>0.65 (0.05)</v>
      </c>
    </row>
    <row r="44" spans="1:8" x14ac:dyDescent="0.3">
      <c r="A44" s="10" t="s">
        <v>116</v>
      </c>
      <c r="B44" s="8">
        <v>16779</v>
      </c>
      <c r="C44" s="8">
        <v>0.21456739999999999</v>
      </c>
      <c r="D44" s="8">
        <v>5.9982800000000003E-2</v>
      </c>
      <c r="E44" s="8">
        <v>0.1072075</v>
      </c>
      <c r="F44" s="8">
        <v>0.31695299999999998</v>
      </c>
      <c r="H44" t="str">
        <f t="shared" si="1"/>
        <v>0.21 (0.06)</v>
      </c>
    </row>
    <row r="45" spans="1:8" x14ac:dyDescent="0.3">
      <c r="A45" s="10" t="s">
        <v>117</v>
      </c>
      <c r="B45" s="8">
        <v>16779</v>
      </c>
      <c r="C45" s="8">
        <v>33.198983800000001</v>
      </c>
      <c r="D45" s="8">
        <v>5.0848775000000002</v>
      </c>
      <c r="E45" s="8">
        <v>17.2447458</v>
      </c>
      <c r="F45" s="8">
        <v>93.063441699999998</v>
      </c>
      <c r="H45" t="str">
        <f t="shared" si="1"/>
        <v>33.20 (5.08)</v>
      </c>
    </row>
    <row r="47" spans="1:8" x14ac:dyDescent="0.3">
      <c r="A47" s="1" t="s">
        <v>128</v>
      </c>
    </row>
    <row r="48" spans="1:8" ht="17.25" thickBot="1" x14ac:dyDescent="0.35"/>
    <row r="49" spans="1:8" x14ac:dyDescent="0.3">
      <c r="A49" s="4" t="s">
        <v>93</v>
      </c>
      <c r="B49" s="5" t="s">
        <v>94</v>
      </c>
      <c r="C49" s="5" t="s">
        <v>95</v>
      </c>
      <c r="D49" s="5" t="s">
        <v>96</v>
      </c>
      <c r="E49" s="5" t="s">
        <v>97</v>
      </c>
      <c r="F49" s="5" t="s">
        <v>98</v>
      </c>
    </row>
    <row r="50" spans="1:8" x14ac:dyDescent="0.3">
      <c r="A50" s="10" t="s">
        <v>99</v>
      </c>
      <c r="B50" s="8">
        <v>17163</v>
      </c>
      <c r="C50" s="8">
        <v>51.878517700000003</v>
      </c>
      <c r="D50" s="8">
        <v>15.763337</v>
      </c>
      <c r="E50" s="8">
        <v>19</v>
      </c>
      <c r="F50" s="8">
        <v>80</v>
      </c>
      <c r="H50" t="str">
        <f>TEXT(C50,"0.00")&amp;" ("&amp;TEXT(D50,"0.00")&amp;")"</f>
        <v>51.88 (15.76)</v>
      </c>
    </row>
    <row r="51" spans="1:8" x14ac:dyDescent="0.3">
      <c r="A51" s="10" t="s">
        <v>100</v>
      </c>
      <c r="B51" s="8">
        <v>17163</v>
      </c>
      <c r="C51" s="8">
        <v>24.462819700000001</v>
      </c>
      <c r="D51" s="8">
        <v>3.3769958</v>
      </c>
      <c r="E51" s="8">
        <v>14.446396</v>
      </c>
      <c r="F51" s="8">
        <v>50.898579099999999</v>
      </c>
      <c r="H51" t="str">
        <f t="shared" ref="H51:H68" si="2">TEXT(C51,"0.00")&amp;" ("&amp;TEXT(D51,"0.00")&amp;")"</f>
        <v>24.46 (3.38)</v>
      </c>
    </row>
    <row r="52" spans="1:8" x14ac:dyDescent="0.3">
      <c r="A52" s="10" t="s">
        <v>101</v>
      </c>
      <c r="B52" s="8">
        <v>17163</v>
      </c>
      <c r="C52" s="8">
        <v>84.531567899999999</v>
      </c>
      <c r="D52" s="8">
        <v>9.4118300999999995</v>
      </c>
      <c r="E52" s="8">
        <v>36.200000000000003</v>
      </c>
      <c r="F52" s="8">
        <v>166.1</v>
      </c>
      <c r="H52" t="str">
        <f t="shared" si="2"/>
        <v>84.53 (9.41)</v>
      </c>
    </row>
    <row r="53" spans="1:8" x14ac:dyDescent="0.3">
      <c r="A53" s="10" t="s">
        <v>102</v>
      </c>
      <c r="B53" s="8">
        <v>17163</v>
      </c>
      <c r="C53" s="8">
        <v>7.85246E-2</v>
      </c>
      <c r="D53" s="8">
        <v>4.4986999999999996E-3</v>
      </c>
      <c r="E53" s="8">
        <v>4.5616799999999999E-2</v>
      </c>
      <c r="F53" s="8">
        <v>0.15107219999999999</v>
      </c>
      <c r="H53" t="str">
        <f t="shared" si="2"/>
        <v>0.08 (0.00)</v>
      </c>
    </row>
    <row r="54" spans="1:8" x14ac:dyDescent="0.3">
      <c r="A54" s="10" t="s">
        <v>103</v>
      </c>
      <c r="B54" s="8">
        <v>17163</v>
      </c>
      <c r="C54" s="8">
        <v>120.60918839999999</v>
      </c>
      <c r="D54" s="8">
        <v>16.295780499999999</v>
      </c>
      <c r="E54" s="8">
        <v>70</v>
      </c>
      <c r="F54" s="8">
        <v>220</v>
      </c>
      <c r="H54" t="str">
        <f t="shared" si="2"/>
        <v>120.61 (16.30)</v>
      </c>
    </row>
    <row r="55" spans="1:8" x14ac:dyDescent="0.3">
      <c r="A55" s="10" t="s">
        <v>104</v>
      </c>
      <c r="B55" s="8">
        <v>17163</v>
      </c>
      <c r="C55" s="8">
        <v>100.970518</v>
      </c>
      <c r="D55" s="8">
        <v>22.095014599999999</v>
      </c>
      <c r="E55" s="8">
        <v>40</v>
      </c>
      <c r="F55" s="8">
        <v>465</v>
      </c>
      <c r="H55" t="str">
        <f t="shared" si="2"/>
        <v>100.97 (22.10)</v>
      </c>
    </row>
    <row r="56" spans="1:8" x14ac:dyDescent="0.3">
      <c r="A56" s="10" t="s">
        <v>105</v>
      </c>
      <c r="B56" s="8">
        <v>17163</v>
      </c>
      <c r="C56" s="8">
        <v>190.22088210000001</v>
      </c>
      <c r="D56" s="8">
        <v>37.173442100000003</v>
      </c>
      <c r="E56" s="8">
        <v>74</v>
      </c>
      <c r="F56" s="8">
        <v>407</v>
      </c>
      <c r="H56" t="str">
        <f t="shared" si="2"/>
        <v>190.22 (37.17)</v>
      </c>
    </row>
    <row r="57" spans="1:8" ht="25.5" x14ac:dyDescent="0.3">
      <c r="A57" s="10" t="s">
        <v>106</v>
      </c>
      <c r="B57" s="8">
        <v>17163</v>
      </c>
      <c r="C57" s="8">
        <v>47.596810699999999</v>
      </c>
      <c r="D57" s="8">
        <v>8.3364752000000006</v>
      </c>
      <c r="E57" s="8">
        <v>13.997999999999999</v>
      </c>
      <c r="F57" s="8">
        <v>105</v>
      </c>
      <c r="H57" t="str">
        <f t="shared" si="2"/>
        <v>47.60 (8.34)</v>
      </c>
    </row>
    <row r="58" spans="1:8" x14ac:dyDescent="0.3">
      <c r="A58" s="10" t="s">
        <v>107</v>
      </c>
      <c r="B58" s="8">
        <v>17163</v>
      </c>
      <c r="C58" s="8">
        <v>127.3075803</v>
      </c>
      <c r="D58" s="8">
        <v>26.33832</v>
      </c>
      <c r="E58" s="8">
        <v>39</v>
      </c>
      <c r="F58" s="8">
        <v>280</v>
      </c>
      <c r="H58" t="str">
        <f t="shared" si="2"/>
        <v>127.31 (26.34)</v>
      </c>
    </row>
    <row r="59" spans="1:8" x14ac:dyDescent="0.3">
      <c r="A59" s="10" t="s">
        <v>108</v>
      </c>
      <c r="B59" s="8">
        <v>17163</v>
      </c>
      <c r="C59" s="8">
        <v>23.429819999999999</v>
      </c>
      <c r="D59" s="8">
        <v>12.312190599999999</v>
      </c>
      <c r="E59" s="8">
        <v>7</v>
      </c>
      <c r="F59" s="8">
        <v>491</v>
      </c>
      <c r="H59" t="str">
        <f t="shared" si="2"/>
        <v>23.43 (12.31)</v>
      </c>
    </row>
    <row r="60" spans="1:8" x14ac:dyDescent="0.3">
      <c r="A60" s="10" t="s">
        <v>109</v>
      </c>
      <c r="B60" s="8">
        <v>17163</v>
      </c>
      <c r="C60" s="8">
        <v>23.462972700000002</v>
      </c>
      <c r="D60" s="8">
        <v>18.453049799999999</v>
      </c>
      <c r="E60" s="8">
        <v>2</v>
      </c>
      <c r="F60" s="8">
        <v>857</v>
      </c>
      <c r="H60" t="str">
        <f t="shared" si="2"/>
        <v>23.46 (18.45)</v>
      </c>
    </row>
    <row r="61" spans="1:8" x14ac:dyDescent="0.3">
      <c r="A61" s="10" t="s">
        <v>110</v>
      </c>
      <c r="B61" s="8">
        <v>17163</v>
      </c>
      <c r="C61" s="8">
        <v>14.239433699999999</v>
      </c>
      <c r="D61" s="8">
        <v>1.5499636999999999</v>
      </c>
      <c r="E61" s="8">
        <v>3.9</v>
      </c>
      <c r="F61" s="8">
        <v>21.3</v>
      </c>
      <c r="H61" t="str">
        <f t="shared" si="2"/>
        <v>14.24 (1.55)</v>
      </c>
    </row>
    <row r="62" spans="1:8" x14ac:dyDescent="0.3">
      <c r="A62" s="10" t="s">
        <v>111</v>
      </c>
      <c r="B62" s="8">
        <v>17163</v>
      </c>
      <c r="C62" s="8">
        <v>14.741974000000001</v>
      </c>
      <c r="D62" s="8">
        <v>4.5694106999999997</v>
      </c>
      <c r="E62" s="8">
        <v>4</v>
      </c>
      <c r="F62" s="8">
        <v>115</v>
      </c>
      <c r="H62" t="str">
        <f t="shared" si="2"/>
        <v>14.74 (4.57)</v>
      </c>
    </row>
    <row r="63" spans="1:8" x14ac:dyDescent="0.3">
      <c r="A63" s="10" t="s">
        <v>112</v>
      </c>
      <c r="B63" s="8">
        <v>17163</v>
      </c>
      <c r="C63" s="8">
        <v>0.85617080000000001</v>
      </c>
      <c r="D63" s="8">
        <v>0.24356449999999999</v>
      </c>
      <c r="E63" s="8">
        <v>0.37</v>
      </c>
      <c r="F63" s="8">
        <v>11.33</v>
      </c>
      <c r="H63" t="str">
        <f t="shared" si="2"/>
        <v>0.86 (0.24)</v>
      </c>
    </row>
    <row r="64" spans="1:8" x14ac:dyDescent="0.3">
      <c r="A64" s="10" t="s">
        <v>113</v>
      </c>
      <c r="B64" s="8">
        <v>17163</v>
      </c>
      <c r="C64" s="8">
        <v>5.7813610999999998</v>
      </c>
      <c r="D64" s="8">
        <v>0.80738160000000003</v>
      </c>
      <c r="E64" s="8">
        <v>5</v>
      </c>
      <c r="F64" s="8">
        <v>9</v>
      </c>
      <c r="H64" t="str">
        <f t="shared" si="2"/>
        <v>5.78 (0.81)</v>
      </c>
    </row>
    <row r="65" spans="1:8" x14ac:dyDescent="0.3">
      <c r="A65" s="10" t="s">
        <v>114</v>
      </c>
      <c r="B65" s="8">
        <v>17163</v>
      </c>
      <c r="C65" s="8">
        <v>8.7303643999999991</v>
      </c>
      <c r="D65" s="8">
        <v>0.27493240000000002</v>
      </c>
      <c r="E65" s="8">
        <v>7.5242914000000001</v>
      </c>
      <c r="F65" s="8">
        <v>10.618053700000001</v>
      </c>
      <c r="H65" t="str">
        <f t="shared" si="2"/>
        <v>8.73 (0.27)</v>
      </c>
    </row>
    <row r="66" spans="1:8" x14ac:dyDescent="0.3">
      <c r="A66" s="10" t="s">
        <v>115</v>
      </c>
      <c r="B66" s="8">
        <v>17163</v>
      </c>
      <c r="C66" s="8">
        <v>0.68573600000000001</v>
      </c>
      <c r="D66" s="8">
        <v>4.7673300000000002E-2</v>
      </c>
      <c r="E66" s="8">
        <v>0.40120869999999997</v>
      </c>
      <c r="F66" s="8">
        <v>1.3241700999999999</v>
      </c>
      <c r="H66" t="str">
        <f t="shared" si="2"/>
        <v>0.69 (0.05)</v>
      </c>
    </row>
    <row r="67" spans="1:8" x14ac:dyDescent="0.3">
      <c r="A67" s="10" t="s">
        <v>116</v>
      </c>
      <c r="B67" s="8">
        <v>17163</v>
      </c>
      <c r="C67" s="8">
        <v>0.42475170000000001</v>
      </c>
      <c r="D67" s="8">
        <v>6.4219999999999999E-2</v>
      </c>
      <c r="E67" s="8">
        <v>0.31700650000000002</v>
      </c>
      <c r="F67" s="8">
        <v>0.54054199999999997</v>
      </c>
      <c r="H67" t="str">
        <f t="shared" si="2"/>
        <v>0.42 (0.06)</v>
      </c>
    </row>
    <row r="68" spans="1:8" x14ac:dyDescent="0.3">
      <c r="A68" s="10" t="s">
        <v>117</v>
      </c>
      <c r="B68" s="8">
        <v>17163</v>
      </c>
      <c r="C68" s="8">
        <v>36.8734568</v>
      </c>
      <c r="D68" s="8">
        <v>5.5257633999999998</v>
      </c>
      <c r="E68" s="8">
        <v>20.2341506</v>
      </c>
      <c r="F68" s="8">
        <v>83.951480799999999</v>
      </c>
      <c r="H68" t="str">
        <f t="shared" si="2"/>
        <v>36.87 (5.53)</v>
      </c>
    </row>
    <row r="70" spans="1:8" x14ac:dyDescent="0.3">
      <c r="A70" s="1" t="s">
        <v>129</v>
      </c>
    </row>
    <row r="71" spans="1:8" ht="17.25" thickBot="1" x14ac:dyDescent="0.35"/>
    <row r="72" spans="1:8" x14ac:dyDescent="0.3">
      <c r="A72" s="4" t="s">
        <v>93</v>
      </c>
      <c r="B72" s="5" t="s">
        <v>94</v>
      </c>
      <c r="C72" s="5" t="s">
        <v>95</v>
      </c>
      <c r="D72" s="5" t="s">
        <v>96</v>
      </c>
      <c r="E72" s="5" t="s">
        <v>97</v>
      </c>
      <c r="F72" s="5" t="s">
        <v>98</v>
      </c>
    </row>
    <row r="73" spans="1:8" x14ac:dyDescent="0.3">
      <c r="A73" s="10" t="s">
        <v>99</v>
      </c>
      <c r="B73" s="8">
        <v>18046</v>
      </c>
      <c r="C73" s="8">
        <v>52.232793999999998</v>
      </c>
      <c r="D73" s="8">
        <v>14.583112399999999</v>
      </c>
      <c r="E73" s="8">
        <v>19</v>
      </c>
      <c r="F73" s="8">
        <v>80</v>
      </c>
      <c r="H73" t="str">
        <f t="shared" ref="H73:H91" si="3">TEXT(C73,"0.00")&amp;" ("&amp;TEXT(D73,"0.00")&amp;")"</f>
        <v>52.23 (14.58)</v>
      </c>
    </row>
    <row r="74" spans="1:8" x14ac:dyDescent="0.3">
      <c r="A74" s="10" t="s">
        <v>100</v>
      </c>
      <c r="B74" s="8">
        <v>18046</v>
      </c>
      <c r="C74" s="8">
        <v>25.4431963</v>
      </c>
      <c r="D74" s="8">
        <v>3.3256488000000002</v>
      </c>
      <c r="E74" s="8">
        <v>14.9232026</v>
      </c>
      <c r="F74" s="8">
        <v>48.054904200000003</v>
      </c>
      <c r="H74" t="str">
        <f t="shared" si="3"/>
        <v>25.44 (3.33)</v>
      </c>
    </row>
    <row r="75" spans="1:8" x14ac:dyDescent="0.3">
      <c r="A75" s="10" t="s">
        <v>101</v>
      </c>
      <c r="B75" s="8">
        <v>18046</v>
      </c>
      <c r="C75" s="8">
        <v>87.934716800000004</v>
      </c>
      <c r="D75" s="8">
        <v>8.7867060000000006</v>
      </c>
      <c r="E75" s="8">
        <v>52.3</v>
      </c>
      <c r="F75" s="8">
        <v>139.69999999999999</v>
      </c>
      <c r="H75" t="str">
        <f t="shared" si="3"/>
        <v>87.93 (8.79)</v>
      </c>
    </row>
    <row r="76" spans="1:8" x14ac:dyDescent="0.3">
      <c r="A76" s="10" t="s">
        <v>102</v>
      </c>
      <c r="B76" s="8">
        <v>18046</v>
      </c>
      <c r="C76" s="8">
        <v>7.9241500000000006E-2</v>
      </c>
      <c r="D76" s="8">
        <v>4.1923999999999998E-3</v>
      </c>
      <c r="E76" s="8">
        <v>4.8055199999999999E-2</v>
      </c>
      <c r="F76" s="8">
        <v>0.1020525</v>
      </c>
      <c r="H76" t="str">
        <f t="shared" si="3"/>
        <v>0.08 (0.00)</v>
      </c>
    </row>
    <row r="77" spans="1:8" x14ac:dyDescent="0.3">
      <c r="A77" s="10" t="s">
        <v>103</v>
      </c>
      <c r="B77" s="8">
        <v>18046</v>
      </c>
      <c r="C77" s="8">
        <v>123.2660423</v>
      </c>
      <c r="D77" s="8">
        <v>16.068832700000002</v>
      </c>
      <c r="E77" s="8">
        <v>77</v>
      </c>
      <c r="F77" s="8">
        <v>243</v>
      </c>
      <c r="H77" t="str">
        <f t="shared" si="3"/>
        <v>123.27 (16.07)</v>
      </c>
    </row>
    <row r="78" spans="1:8" x14ac:dyDescent="0.3">
      <c r="A78" s="10" t="s">
        <v>104</v>
      </c>
      <c r="B78" s="8">
        <v>18046</v>
      </c>
      <c r="C78" s="8">
        <v>106.6430788</v>
      </c>
      <c r="D78" s="8">
        <v>28.134532199999999</v>
      </c>
      <c r="E78" s="8">
        <v>46</v>
      </c>
      <c r="F78" s="8">
        <v>553</v>
      </c>
      <c r="H78" t="str">
        <f t="shared" si="3"/>
        <v>106.64 (28.13)</v>
      </c>
    </row>
    <row r="79" spans="1:8" x14ac:dyDescent="0.3">
      <c r="A79" s="10" t="s">
        <v>105</v>
      </c>
      <c r="B79" s="8">
        <v>18046</v>
      </c>
      <c r="C79" s="8">
        <v>199.45589050000001</v>
      </c>
      <c r="D79" s="8">
        <v>39.724226999999999</v>
      </c>
      <c r="E79" s="8">
        <v>66</v>
      </c>
      <c r="F79" s="8">
        <v>554</v>
      </c>
      <c r="H79" t="str">
        <f t="shared" si="3"/>
        <v>199.46 (39.72)</v>
      </c>
    </row>
    <row r="80" spans="1:8" ht="25.5" x14ac:dyDescent="0.3">
      <c r="A80" s="10" t="s">
        <v>106</v>
      </c>
      <c r="B80" s="8">
        <v>18046</v>
      </c>
      <c r="C80" s="8">
        <v>40.465526799999999</v>
      </c>
      <c r="D80" s="8">
        <v>7.5540913999999999</v>
      </c>
      <c r="E80" s="8">
        <v>8</v>
      </c>
      <c r="F80" s="8">
        <v>87.727999999999994</v>
      </c>
      <c r="H80" t="str">
        <f t="shared" si="3"/>
        <v>40.47 (7.55)</v>
      </c>
    </row>
    <row r="81" spans="1:8" x14ac:dyDescent="0.3">
      <c r="A81" s="10" t="s">
        <v>107</v>
      </c>
      <c r="B81" s="8">
        <v>18046</v>
      </c>
      <c r="C81" s="8">
        <v>250.11287820000001</v>
      </c>
      <c r="D81" s="8">
        <v>149.85810280000001</v>
      </c>
      <c r="E81" s="8">
        <v>68</v>
      </c>
      <c r="F81" s="8">
        <v>2774</v>
      </c>
      <c r="H81" t="str">
        <f t="shared" si="3"/>
        <v>250.11 (149.86)</v>
      </c>
    </row>
    <row r="82" spans="1:8" x14ac:dyDescent="0.3">
      <c r="A82" s="10" t="s">
        <v>108</v>
      </c>
      <c r="B82" s="8">
        <v>18046</v>
      </c>
      <c r="C82" s="8">
        <v>26.380416700000001</v>
      </c>
      <c r="D82" s="8">
        <v>17.374552099999999</v>
      </c>
      <c r="E82" s="8">
        <v>6</v>
      </c>
      <c r="F82" s="8">
        <v>927</v>
      </c>
      <c r="H82" t="str">
        <f t="shared" si="3"/>
        <v>26.38 (17.37)</v>
      </c>
    </row>
    <row r="83" spans="1:8" x14ac:dyDescent="0.3">
      <c r="A83" s="10" t="s">
        <v>109</v>
      </c>
      <c r="B83" s="8">
        <v>18046</v>
      </c>
      <c r="C83" s="8">
        <v>29.449019199999999</v>
      </c>
      <c r="D83" s="8">
        <v>21.914274899999999</v>
      </c>
      <c r="E83" s="8">
        <v>4</v>
      </c>
      <c r="F83" s="8">
        <v>402</v>
      </c>
      <c r="H83" t="str">
        <f t="shared" si="3"/>
        <v>29.45 (21.91)</v>
      </c>
    </row>
    <row r="84" spans="1:8" x14ac:dyDescent="0.3">
      <c r="A84" s="10" t="s">
        <v>110</v>
      </c>
      <c r="B84" s="8">
        <v>18046</v>
      </c>
      <c r="C84" s="8">
        <v>14.690712599999999</v>
      </c>
      <c r="D84" s="8">
        <v>1.5316117</v>
      </c>
      <c r="E84" s="8">
        <v>6.2</v>
      </c>
      <c r="F84" s="8">
        <v>19.600000000000001</v>
      </c>
      <c r="H84" t="str">
        <f t="shared" si="3"/>
        <v>14.69 (1.53)</v>
      </c>
    </row>
    <row r="85" spans="1:8" x14ac:dyDescent="0.3">
      <c r="A85" s="10" t="s">
        <v>111</v>
      </c>
      <c r="B85" s="8">
        <v>18046</v>
      </c>
      <c r="C85" s="8">
        <v>14.684002</v>
      </c>
      <c r="D85" s="8">
        <v>4.4469175999999999</v>
      </c>
      <c r="E85" s="8">
        <v>3</v>
      </c>
      <c r="F85" s="8">
        <v>77</v>
      </c>
      <c r="H85" t="str">
        <f t="shared" si="3"/>
        <v>14.68 (4.45)</v>
      </c>
    </row>
    <row r="86" spans="1:8" x14ac:dyDescent="0.3">
      <c r="A86" s="10" t="s">
        <v>112</v>
      </c>
      <c r="B86" s="8">
        <v>18046</v>
      </c>
      <c r="C86" s="8">
        <v>0.89646740000000003</v>
      </c>
      <c r="D86" s="8">
        <v>0.26024799999999998</v>
      </c>
      <c r="E86" s="8">
        <v>0.2</v>
      </c>
      <c r="F86" s="8">
        <v>10.48</v>
      </c>
      <c r="H86" t="str">
        <f t="shared" si="3"/>
        <v>0.90 (0.26)</v>
      </c>
    </row>
    <row r="87" spans="1:8" x14ac:dyDescent="0.3">
      <c r="A87" s="10" t="s">
        <v>113</v>
      </c>
      <c r="B87" s="8">
        <v>18046</v>
      </c>
      <c r="C87" s="8">
        <v>5.6573755999999999</v>
      </c>
      <c r="D87" s="8">
        <v>0.76807859999999994</v>
      </c>
      <c r="E87" s="8">
        <v>5</v>
      </c>
      <c r="F87" s="8">
        <v>9</v>
      </c>
      <c r="H87" t="str">
        <f t="shared" si="3"/>
        <v>5.66 (0.77)</v>
      </c>
    </row>
    <row r="88" spans="1:8" x14ac:dyDescent="0.3">
      <c r="A88" s="10" t="s">
        <v>114</v>
      </c>
      <c r="B88" s="8">
        <v>18046</v>
      </c>
      <c r="C88" s="8">
        <v>9.3756623000000001</v>
      </c>
      <c r="D88" s="8">
        <v>0.47194789999999998</v>
      </c>
      <c r="E88" s="8">
        <v>8.1659320999999991</v>
      </c>
      <c r="F88" s="8">
        <v>12.7290689</v>
      </c>
      <c r="H88" t="str">
        <f t="shared" si="3"/>
        <v>9.38 (0.47)</v>
      </c>
    </row>
    <row r="89" spans="1:8" x14ac:dyDescent="0.3">
      <c r="A89" s="10" t="s">
        <v>115</v>
      </c>
      <c r="B89" s="8">
        <v>18046</v>
      </c>
      <c r="C89" s="8">
        <v>0.74309360000000002</v>
      </c>
      <c r="D89" s="8">
        <v>5.63267E-2</v>
      </c>
      <c r="E89" s="8">
        <v>0.45287640000000001</v>
      </c>
      <c r="F89" s="8">
        <v>1.0740016999999999</v>
      </c>
      <c r="H89" t="str">
        <f t="shared" si="3"/>
        <v>0.74 (0.06)</v>
      </c>
    </row>
    <row r="90" spans="1:8" x14ac:dyDescent="0.3">
      <c r="A90" s="10" t="s">
        <v>116</v>
      </c>
      <c r="B90" s="8">
        <v>18046</v>
      </c>
      <c r="C90" s="8">
        <v>0.75595060000000003</v>
      </c>
      <c r="D90" s="8">
        <v>0.1896737</v>
      </c>
      <c r="E90" s="8">
        <v>0.54060750000000002</v>
      </c>
      <c r="F90" s="8">
        <v>2.1147776999999999</v>
      </c>
      <c r="H90" t="str">
        <f t="shared" si="3"/>
        <v>0.76 (0.19)</v>
      </c>
    </row>
    <row r="91" spans="1:8" x14ac:dyDescent="0.3">
      <c r="A91" s="10" t="s">
        <v>117</v>
      </c>
      <c r="B91" s="8">
        <v>18046</v>
      </c>
      <c r="C91" s="8">
        <v>42.266341400000002</v>
      </c>
      <c r="D91" s="8">
        <v>6.5140048999999998</v>
      </c>
      <c r="E91" s="8">
        <v>23.104423199999999</v>
      </c>
      <c r="F91" s="8">
        <v>86.341505499999997</v>
      </c>
      <c r="H91" t="str">
        <f t="shared" si="3"/>
        <v>42.27 (6.51)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9617E-E63E-45D7-9374-ADAA35101C46}">
  <dimension ref="A1:H91"/>
  <sheetViews>
    <sheetView workbookViewId="0">
      <selection activeCell="H4" sqref="H4"/>
    </sheetView>
  </sheetViews>
  <sheetFormatPr defaultRowHeight="16.5" x14ac:dyDescent="0.3"/>
  <cols>
    <col min="8" max="8" width="14.625" bestFit="1" customWidth="1"/>
  </cols>
  <sheetData>
    <row r="1" spans="1:8" x14ac:dyDescent="0.3">
      <c r="A1" s="1" t="s">
        <v>130</v>
      </c>
    </row>
    <row r="2" spans="1:8" ht="17.25" thickBot="1" x14ac:dyDescent="0.35"/>
    <row r="3" spans="1:8" x14ac:dyDescent="0.3">
      <c r="A3" s="4" t="s">
        <v>93</v>
      </c>
      <c r="B3" s="5" t="s">
        <v>94</v>
      </c>
      <c r="C3" s="5" t="s">
        <v>95</v>
      </c>
      <c r="D3" s="5" t="s">
        <v>96</v>
      </c>
      <c r="E3" s="5" t="s">
        <v>97</v>
      </c>
      <c r="F3" s="5" t="s">
        <v>98</v>
      </c>
    </row>
    <row r="4" spans="1:8" x14ac:dyDescent="0.3">
      <c r="A4" s="10" t="s">
        <v>99</v>
      </c>
      <c r="B4" s="8">
        <v>15457</v>
      </c>
      <c r="C4" s="8">
        <v>42.844665800000001</v>
      </c>
      <c r="D4" s="8">
        <v>16.242744099999999</v>
      </c>
      <c r="E4" s="8">
        <v>19</v>
      </c>
      <c r="F4" s="8">
        <v>80</v>
      </c>
      <c r="H4" t="str">
        <f>TEXT(C4,"0.00")&amp;" ("&amp;TEXT(D4,"0.00")&amp;")"</f>
        <v>42.84 (16.24)</v>
      </c>
    </row>
    <row r="5" spans="1:8" x14ac:dyDescent="0.3">
      <c r="A5" s="10" t="s">
        <v>100</v>
      </c>
      <c r="B5" s="8">
        <v>15457</v>
      </c>
      <c r="C5" s="8">
        <v>19.923037399999998</v>
      </c>
      <c r="D5" s="8">
        <v>1.5501853999999999</v>
      </c>
      <c r="E5" s="8">
        <v>13.1339583</v>
      </c>
      <c r="F5" s="8">
        <v>24.831937</v>
      </c>
      <c r="H5" t="str">
        <f t="shared" ref="H5:H22" si="0">TEXT(C5,"0.00")&amp;" ("&amp;TEXT(D5,"0.00")&amp;")"</f>
        <v>19.92 (1.55)</v>
      </c>
    </row>
    <row r="6" spans="1:8" x14ac:dyDescent="0.3">
      <c r="A6" s="10" t="s">
        <v>101</v>
      </c>
      <c r="B6" s="8">
        <v>15457</v>
      </c>
      <c r="C6" s="8">
        <v>70.768150399999996</v>
      </c>
      <c r="D6" s="8">
        <v>5.6283947999999997</v>
      </c>
      <c r="E6" s="8">
        <v>36.200000000000003</v>
      </c>
      <c r="F6" s="8">
        <v>104.6</v>
      </c>
      <c r="H6" t="str">
        <f t="shared" si="0"/>
        <v>70.77 (5.63)</v>
      </c>
    </row>
    <row r="7" spans="1:8" x14ac:dyDescent="0.3">
      <c r="A7" s="10" t="s">
        <v>102</v>
      </c>
      <c r="B7" s="8">
        <v>15457</v>
      </c>
      <c r="C7" s="8">
        <v>7.5579300000000002E-2</v>
      </c>
      <c r="D7" s="8">
        <v>4.4298000000000002E-3</v>
      </c>
      <c r="E7" s="8">
        <v>4.5616799999999999E-2</v>
      </c>
      <c r="F7" s="8">
        <v>0.1121983</v>
      </c>
      <c r="H7" t="str">
        <f t="shared" si="0"/>
        <v>0.08 (0.00)</v>
      </c>
    </row>
    <row r="8" spans="1:8" x14ac:dyDescent="0.3">
      <c r="A8" s="10" t="s">
        <v>103</v>
      </c>
      <c r="B8" s="8">
        <v>15457</v>
      </c>
      <c r="C8" s="8">
        <v>110.7592676</v>
      </c>
      <c r="D8" s="8">
        <v>15.118893999999999</v>
      </c>
      <c r="E8" s="8">
        <v>75</v>
      </c>
      <c r="F8" s="8">
        <v>217</v>
      </c>
      <c r="H8" t="str">
        <f t="shared" si="0"/>
        <v>110.76 (15.12)</v>
      </c>
    </row>
    <row r="9" spans="1:8" x14ac:dyDescent="0.3">
      <c r="A9" s="10" t="s">
        <v>104</v>
      </c>
      <c r="B9" s="8">
        <v>15457</v>
      </c>
      <c r="C9" s="8">
        <v>90.242931999999996</v>
      </c>
      <c r="D9" s="8">
        <v>11.0226357</v>
      </c>
      <c r="E9" s="8">
        <v>48</v>
      </c>
      <c r="F9" s="8">
        <v>364</v>
      </c>
      <c r="H9" t="str">
        <f t="shared" si="0"/>
        <v>90.24 (11.02)</v>
      </c>
    </row>
    <row r="10" spans="1:8" x14ac:dyDescent="0.3">
      <c r="A10" s="10" t="s">
        <v>105</v>
      </c>
      <c r="B10" s="8">
        <v>15457</v>
      </c>
      <c r="C10" s="8">
        <v>184.16497380000001</v>
      </c>
      <c r="D10" s="8">
        <v>32.904589999999999</v>
      </c>
      <c r="E10" s="8">
        <v>89</v>
      </c>
      <c r="F10" s="8">
        <v>354</v>
      </c>
      <c r="H10" t="str">
        <f t="shared" si="0"/>
        <v>184.16 (32.90)</v>
      </c>
    </row>
    <row r="11" spans="1:8" ht="25.5" x14ac:dyDescent="0.3">
      <c r="A11" s="10" t="s">
        <v>106</v>
      </c>
      <c r="B11" s="8">
        <v>15457</v>
      </c>
      <c r="C11" s="8">
        <v>62.806283200000003</v>
      </c>
      <c r="D11" s="8">
        <v>12.6268051</v>
      </c>
      <c r="E11" s="8">
        <v>27.748000000000001</v>
      </c>
      <c r="F11" s="8">
        <v>145.298</v>
      </c>
      <c r="H11" t="str">
        <f t="shared" si="0"/>
        <v>62.81 (12.63)</v>
      </c>
    </row>
    <row r="12" spans="1:8" x14ac:dyDescent="0.3">
      <c r="A12" s="10" t="s">
        <v>107</v>
      </c>
      <c r="B12" s="8">
        <v>15457</v>
      </c>
      <c r="C12" s="8">
        <v>74.960018099999999</v>
      </c>
      <c r="D12" s="8">
        <v>35.210445100000001</v>
      </c>
      <c r="E12" s="8">
        <v>14</v>
      </c>
      <c r="F12" s="8">
        <v>808</v>
      </c>
      <c r="H12" t="str">
        <f t="shared" si="0"/>
        <v>74.96 (35.21)</v>
      </c>
    </row>
    <row r="13" spans="1:8" x14ac:dyDescent="0.3">
      <c r="A13" s="10" t="s">
        <v>108</v>
      </c>
      <c r="B13" s="8">
        <v>15457</v>
      </c>
      <c r="C13" s="8">
        <v>20.686873299999998</v>
      </c>
      <c r="D13" s="8">
        <v>11.9844417</v>
      </c>
      <c r="E13" s="8">
        <v>7</v>
      </c>
      <c r="F13" s="8">
        <v>621</v>
      </c>
      <c r="H13" t="str">
        <f t="shared" si="0"/>
        <v>20.69 (11.98)</v>
      </c>
    </row>
    <row r="14" spans="1:8" x14ac:dyDescent="0.3">
      <c r="A14" s="10" t="s">
        <v>109</v>
      </c>
      <c r="B14" s="8">
        <v>15457</v>
      </c>
      <c r="C14" s="8">
        <v>15.6468267</v>
      </c>
      <c r="D14" s="8">
        <v>11.3607871</v>
      </c>
      <c r="E14" s="8">
        <v>3</v>
      </c>
      <c r="F14" s="8">
        <v>395</v>
      </c>
      <c r="H14" t="str">
        <f t="shared" si="0"/>
        <v>15.65 (11.36)</v>
      </c>
    </row>
    <row r="15" spans="1:8" x14ac:dyDescent="0.3">
      <c r="A15" s="10" t="s">
        <v>110</v>
      </c>
      <c r="B15" s="8">
        <v>15457</v>
      </c>
      <c r="C15" s="8">
        <v>13.4536003</v>
      </c>
      <c r="D15" s="8">
        <v>1.4266540000000001</v>
      </c>
      <c r="E15" s="8">
        <v>5.2</v>
      </c>
      <c r="F15" s="8">
        <v>20.399999999999999</v>
      </c>
      <c r="H15" t="str">
        <f t="shared" si="0"/>
        <v>13.45 (1.43)</v>
      </c>
    </row>
    <row r="16" spans="1:8" x14ac:dyDescent="0.3">
      <c r="A16" s="10" t="s">
        <v>111</v>
      </c>
      <c r="B16" s="8">
        <v>15457</v>
      </c>
      <c r="C16" s="8">
        <v>13.537918100000001</v>
      </c>
      <c r="D16" s="8">
        <v>4.3713955999999996</v>
      </c>
      <c r="E16" s="8">
        <v>4</v>
      </c>
      <c r="F16" s="8">
        <v>115</v>
      </c>
      <c r="H16" t="str">
        <f t="shared" si="0"/>
        <v>13.54 (4.37)</v>
      </c>
    </row>
    <row r="17" spans="1:8" x14ac:dyDescent="0.3">
      <c r="A17" s="10" t="s">
        <v>112</v>
      </c>
      <c r="B17" s="8">
        <v>15457</v>
      </c>
      <c r="C17" s="8">
        <v>0.76913109999999996</v>
      </c>
      <c r="D17" s="8">
        <v>0.20410110000000001</v>
      </c>
      <c r="E17" s="8">
        <v>0.36</v>
      </c>
      <c r="F17" s="8">
        <v>11.33</v>
      </c>
      <c r="H17" t="str">
        <f t="shared" si="0"/>
        <v>0.77 (0.20)</v>
      </c>
    </row>
    <row r="18" spans="1:8" x14ac:dyDescent="0.3">
      <c r="A18" s="10" t="s">
        <v>113</v>
      </c>
      <c r="B18" s="8">
        <v>15457</v>
      </c>
      <c r="C18" s="8">
        <v>5.8361584000000004</v>
      </c>
      <c r="D18" s="8">
        <v>0.79995879999999997</v>
      </c>
      <c r="E18" s="8">
        <v>5</v>
      </c>
      <c r="F18" s="8">
        <v>9</v>
      </c>
      <c r="H18" t="str">
        <f t="shared" si="0"/>
        <v>5.84 (0.80)</v>
      </c>
    </row>
    <row r="19" spans="1:8" x14ac:dyDescent="0.3">
      <c r="A19" s="10" t="s">
        <v>114</v>
      </c>
      <c r="B19" s="8">
        <v>15457</v>
      </c>
      <c r="C19" s="8">
        <v>8.0329753000000004</v>
      </c>
      <c r="D19" s="8">
        <v>0.43708269999999999</v>
      </c>
      <c r="E19" s="8">
        <v>6.4441312999999996</v>
      </c>
      <c r="F19" s="8">
        <v>10.6442099</v>
      </c>
      <c r="H19" t="str">
        <f t="shared" si="0"/>
        <v>8.03 (0.44)</v>
      </c>
    </row>
    <row r="20" spans="1:8" x14ac:dyDescent="0.3">
      <c r="A20" s="10" t="s">
        <v>115</v>
      </c>
      <c r="B20" s="8">
        <v>15457</v>
      </c>
      <c r="C20" s="8">
        <v>0.60764649999999998</v>
      </c>
      <c r="D20" s="8">
        <v>5.5024099999999999E-2</v>
      </c>
      <c r="E20" s="8">
        <v>0.40120869999999997</v>
      </c>
      <c r="F20" s="8">
        <v>0.93285070000000003</v>
      </c>
      <c r="H20" t="str">
        <f t="shared" si="0"/>
        <v>0.61 (0.06)</v>
      </c>
    </row>
    <row r="21" spans="1:8" x14ac:dyDescent="0.3">
      <c r="A21" s="10" t="s">
        <v>116</v>
      </c>
      <c r="B21" s="8">
        <v>15457</v>
      </c>
      <c r="C21" s="8">
        <v>4.73552E-2</v>
      </c>
      <c r="D21" s="8">
        <v>0.2073904</v>
      </c>
      <c r="E21" s="9">
        <v>-0.69650619999999996</v>
      </c>
      <c r="F21" s="8">
        <v>1.2899577</v>
      </c>
      <c r="H21" t="str">
        <f t="shared" si="0"/>
        <v>0.05 (0.21)</v>
      </c>
    </row>
    <row r="22" spans="1:8" x14ac:dyDescent="0.3">
      <c r="A22" s="10" t="s">
        <v>117</v>
      </c>
      <c r="B22" s="8">
        <v>15457</v>
      </c>
      <c r="C22" s="8">
        <v>26.7660959</v>
      </c>
      <c r="D22" s="8">
        <v>2.1273358</v>
      </c>
      <c r="E22" s="8">
        <v>15.6032782</v>
      </c>
      <c r="F22" s="8">
        <v>29.7139284</v>
      </c>
      <c r="H22" t="str">
        <f t="shared" si="0"/>
        <v>26.77 (2.13)</v>
      </c>
    </row>
    <row r="24" spans="1:8" x14ac:dyDescent="0.3">
      <c r="A24" s="1" t="s">
        <v>131</v>
      </c>
    </row>
    <row r="25" spans="1:8" ht="17.25" thickBot="1" x14ac:dyDescent="0.35"/>
    <row r="26" spans="1:8" x14ac:dyDescent="0.3">
      <c r="A26" s="4" t="s">
        <v>93</v>
      </c>
      <c r="B26" s="5" t="s">
        <v>94</v>
      </c>
      <c r="C26" s="5" t="s">
        <v>95</v>
      </c>
      <c r="D26" s="5" t="s">
        <v>96</v>
      </c>
      <c r="E26" s="5" t="s">
        <v>97</v>
      </c>
      <c r="F26" s="5" t="s">
        <v>98</v>
      </c>
    </row>
    <row r="27" spans="1:8" x14ac:dyDescent="0.3">
      <c r="A27" s="10" t="s">
        <v>99</v>
      </c>
      <c r="B27" s="8">
        <v>17322</v>
      </c>
      <c r="C27" s="8">
        <v>49.2724859</v>
      </c>
      <c r="D27" s="8">
        <v>16.0260848</v>
      </c>
      <c r="E27" s="8">
        <v>19</v>
      </c>
      <c r="F27" s="8">
        <v>80</v>
      </c>
      <c r="H27" t="str">
        <f>TEXT(C27,"0.00")&amp;" ("&amp;TEXT(D27,"0.00")&amp;")"</f>
        <v>49.27 (16.03)</v>
      </c>
    </row>
    <row r="28" spans="1:8" x14ac:dyDescent="0.3">
      <c r="A28" s="10" t="s">
        <v>100</v>
      </c>
      <c r="B28" s="8">
        <v>17322</v>
      </c>
      <c r="C28" s="8">
        <v>22.5786412</v>
      </c>
      <c r="D28" s="8">
        <v>1.4280058</v>
      </c>
      <c r="E28" s="8">
        <v>16.0899015</v>
      </c>
      <c r="F28" s="8">
        <v>29.064149400000002</v>
      </c>
      <c r="H28" t="str">
        <f t="shared" ref="H28:H45" si="1">TEXT(C28,"0.00")&amp;" ("&amp;TEXT(D28,"0.00")&amp;")"</f>
        <v>22.58 (1.43)</v>
      </c>
    </row>
    <row r="29" spans="1:8" x14ac:dyDescent="0.3">
      <c r="A29" s="10" t="s">
        <v>101</v>
      </c>
      <c r="B29" s="8">
        <v>17322</v>
      </c>
      <c r="C29" s="8">
        <v>78.9291652</v>
      </c>
      <c r="D29" s="8">
        <v>5.6819648999999997</v>
      </c>
      <c r="E29" s="8">
        <v>54.2</v>
      </c>
      <c r="F29" s="8">
        <v>104.8</v>
      </c>
      <c r="H29" t="str">
        <f t="shared" si="1"/>
        <v>78.93 (5.68)</v>
      </c>
    </row>
    <row r="30" spans="1:8" x14ac:dyDescent="0.3">
      <c r="A30" s="10" t="s">
        <v>102</v>
      </c>
      <c r="B30" s="8">
        <v>17322</v>
      </c>
      <c r="C30" s="8">
        <v>7.7441999999999997E-2</v>
      </c>
      <c r="D30" s="8">
        <v>4.6506000000000004E-3</v>
      </c>
      <c r="E30" s="8">
        <v>5.4297199999999997E-2</v>
      </c>
      <c r="F30" s="8">
        <v>0.1020525</v>
      </c>
      <c r="H30" t="str">
        <f t="shared" si="1"/>
        <v>0.08 (0.00)</v>
      </c>
    </row>
    <row r="31" spans="1:8" x14ac:dyDescent="0.3">
      <c r="A31" s="10" t="s">
        <v>103</v>
      </c>
      <c r="B31" s="8">
        <v>17322</v>
      </c>
      <c r="C31" s="8">
        <v>116.693973</v>
      </c>
      <c r="D31" s="8">
        <v>16.310147600000001</v>
      </c>
      <c r="E31" s="8">
        <v>70</v>
      </c>
      <c r="F31" s="8">
        <v>243</v>
      </c>
      <c r="H31" t="str">
        <f t="shared" si="1"/>
        <v>116.69 (16.31)</v>
      </c>
    </row>
    <row r="32" spans="1:8" x14ac:dyDescent="0.3">
      <c r="A32" s="10" t="s">
        <v>104</v>
      </c>
      <c r="B32" s="8">
        <v>17322</v>
      </c>
      <c r="C32" s="8">
        <v>95.322422399999994</v>
      </c>
      <c r="D32" s="8">
        <v>15.4430373</v>
      </c>
      <c r="E32" s="8">
        <v>40</v>
      </c>
      <c r="F32" s="8">
        <v>465</v>
      </c>
      <c r="H32" t="str">
        <f t="shared" si="1"/>
        <v>95.32 (15.44)</v>
      </c>
    </row>
    <row r="33" spans="1:8" x14ac:dyDescent="0.3">
      <c r="A33" s="10" t="s">
        <v>105</v>
      </c>
      <c r="B33" s="8">
        <v>17322</v>
      </c>
      <c r="C33" s="8">
        <v>188.8872532</v>
      </c>
      <c r="D33" s="8">
        <v>35.475042700000003</v>
      </c>
      <c r="E33" s="8">
        <v>71</v>
      </c>
      <c r="F33" s="8">
        <v>381</v>
      </c>
      <c r="H33" t="str">
        <f t="shared" si="1"/>
        <v>188.89 (35.48)</v>
      </c>
    </row>
    <row r="34" spans="1:8" ht="25.5" x14ac:dyDescent="0.3">
      <c r="A34" s="10" t="s">
        <v>106</v>
      </c>
      <c r="B34" s="8">
        <v>17322</v>
      </c>
      <c r="C34" s="8">
        <v>53.998510199999998</v>
      </c>
      <c r="D34" s="8">
        <v>10.3373586</v>
      </c>
      <c r="E34" s="8">
        <v>17.027999999999999</v>
      </c>
      <c r="F34" s="8">
        <v>116.008</v>
      </c>
      <c r="H34" t="str">
        <f t="shared" si="1"/>
        <v>54.00 (10.34)</v>
      </c>
    </row>
    <row r="35" spans="1:8" x14ac:dyDescent="0.3">
      <c r="A35" s="10" t="s">
        <v>107</v>
      </c>
      <c r="B35" s="8">
        <v>17322</v>
      </c>
      <c r="C35" s="8">
        <v>100.83852899999999</v>
      </c>
      <c r="D35" s="8">
        <v>48.8999144</v>
      </c>
      <c r="E35" s="8">
        <v>20</v>
      </c>
      <c r="F35" s="8">
        <v>764</v>
      </c>
      <c r="H35" t="str">
        <f t="shared" si="1"/>
        <v>100.84 (48.90)</v>
      </c>
    </row>
    <row r="36" spans="1:8" x14ac:dyDescent="0.3">
      <c r="A36" s="10" t="s">
        <v>108</v>
      </c>
      <c r="B36" s="8">
        <v>17322</v>
      </c>
      <c r="C36" s="8">
        <v>21.993361</v>
      </c>
      <c r="D36" s="8">
        <v>13.4283831</v>
      </c>
      <c r="E36" s="8">
        <v>8</v>
      </c>
      <c r="F36" s="8">
        <v>532</v>
      </c>
      <c r="H36" t="str">
        <f t="shared" si="1"/>
        <v>21.99 (13.43)</v>
      </c>
    </row>
    <row r="37" spans="1:8" x14ac:dyDescent="0.3">
      <c r="A37" s="10" t="s">
        <v>109</v>
      </c>
      <c r="B37" s="8">
        <v>17322</v>
      </c>
      <c r="C37" s="8">
        <v>19.090174300000001</v>
      </c>
      <c r="D37" s="8">
        <v>16.261330600000001</v>
      </c>
      <c r="E37" s="8">
        <v>1</v>
      </c>
      <c r="F37" s="8">
        <v>768</v>
      </c>
      <c r="H37" t="str">
        <f t="shared" si="1"/>
        <v>19.09 (16.26)</v>
      </c>
    </row>
    <row r="38" spans="1:8" x14ac:dyDescent="0.3">
      <c r="A38" s="10" t="s">
        <v>110</v>
      </c>
      <c r="B38" s="8">
        <v>17322</v>
      </c>
      <c r="C38" s="8">
        <v>13.882992700000001</v>
      </c>
      <c r="D38" s="8">
        <v>1.5206067000000001</v>
      </c>
      <c r="E38" s="8">
        <v>5</v>
      </c>
      <c r="F38" s="8">
        <v>20.399999999999999</v>
      </c>
      <c r="H38" t="str">
        <f t="shared" si="1"/>
        <v>13.88 (1.52)</v>
      </c>
    </row>
    <row r="39" spans="1:8" x14ac:dyDescent="0.3">
      <c r="A39" s="10" t="s">
        <v>111</v>
      </c>
      <c r="B39" s="8">
        <v>17322</v>
      </c>
      <c r="C39" s="8">
        <v>14.4934534</v>
      </c>
      <c r="D39" s="8">
        <v>4.4881406000000004</v>
      </c>
      <c r="E39" s="8">
        <v>3</v>
      </c>
      <c r="F39" s="8">
        <v>140</v>
      </c>
      <c r="H39" t="str">
        <f t="shared" si="1"/>
        <v>14.49 (4.49)</v>
      </c>
    </row>
    <row r="40" spans="1:8" x14ac:dyDescent="0.3">
      <c r="A40" s="10" t="s">
        <v>112</v>
      </c>
      <c r="B40" s="8">
        <v>17322</v>
      </c>
      <c r="C40" s="8">
        <v>0.81791130000000001</v>
      </c>
      <c r="D40" s="8">
        <v>0.23530509999999999</v>
      </c>
      <c r="E40" s="8">
        <v>0.33</v>
      </c>
      <c r="F40" s="8">
        <v>14.38</v>
      </c>
      <c r="H40" t="str">
        <f t="shared" si="1"/>
        <v>0.82 (0.24)</v>
      </c>
    </row>
    <row r="41" spans="1:8" x14ac:dyDescent="0.3">
      <c r="A41" s="10" t="s">
        <v>113</v>
      </c>
      <c r="B41" s="8">
        <v>17322</v>
      </c>
      <c r="C41" s="8">
        <v>5.8407515999999999</v>
      </c>
      <c r="D41" s="8">
        <v>0.82387460000000001</v>
      </c>
      <c r="E41" s="8">
        <v>5</v>
      </c>
      <c r="F41" s="8">
        <v>9</v>
      </c>
      <c r="H41" t="str">
        <f t="shared" si="1"/>
        <v>5.84 (0.82)</v>
      </c>
    </row>
    <row r="42" spans="1:8" x14ac:dyDescent="0.3">
      <c r="A42" s="10" t="s">
        <v>114</v>
      </c>
      <c r="B42" s="8">
        <v>17322</v>
      </c>
      <c r="C42" s="8">
        <v>8.3685150999999998</v>
      </c>
      <c r="D42" s="8">
        <v>0.47172799999999998</v>
      </c>
      <c r="E42" s="8">
        <v>6.7923444000000002</v>
      </c>
      <c r="F42" s="8">
        <v>10.626242100000001</v>
      </c>
      <c r="H42" t="str">
        <f t="shared" si="1"/>
        <v>8.37 (0.47)</v>
      </c>
    </row>
    <row r="43" spans="1:8" x14ac:dyDescent="0.3">
      <c r="A43" s="10" t="s">
        <v>115</v>
      </c>
      <c r="B43" s="8">
        <v>17322</v>
      </c>
      <c r="C43" s="8">
        <v>0.64863230000000005</v>
      </c>
      <c r="D43" s="8">
        <v>5.9892300000000002E-2</v>
      </c>
      <c r="E43" s="8">
        <v>0.44715719999999998</v>
      </c>
      <c r="F43" s="8">
        <v>0.96114219999999995</v>
      </c>
      <c r="H43" t="str">
        <f t="shared" si="1"/>
        <v>0.65 (0.06)</v>
      </c>
    </row>
    <row r="44" spans="1:8" x14ac:dyDescent="0.3">
      <c r="A44" s="10" t="s">
        <v>116</v>
      </c>
      <c r="B44" s="8">
        <v>17322</v>
      </c>
      <c r="C44" s="8">
        <v>0.23585829999999999</v>
      </c>
      <c r="D44" s="8">
        <v>0.2192663</v>
      </c>
      <c r="E44" s="9">
        <v>-0.56967670000000004</v>
      </c>
      <c r="F44" s="8">
        <v>1.3033098000000001</v>
      </c>
      <c r="H44" t="str">
        <f t="shared" si="1"/>
        <v>0.24 (0.22)</v>
      </c>
    </row>
    <row r="45" spans="1:8" x14ac:dyDescent="0.3">
      <c r="A45" s="10" t="s">
        <v>117</v>
      </c>
      <c r="B45" s="8">
        <v>17322</v>
      </c>
      <c r="C45" s="8">
        <v>32.1481055</v>
      </c>
      <c r="D45" s="8">
        <v>1.3633388</v>
      </c>
      <c r="E45" s="8">
        <v>29.714365600000001</v>
      </c>
      <c r="F45" s="8">
        <v>34.4682982</v>
      </c>
      <c r="H45" t="str">
        <f t="shared" si="1"/>
        <v>32.15 (1.36)</v>
      </c>
    </row>
    <row r="47" spans="1:8" x14ac:dyDescent="0.3">
      <c r="A47" s="1" t="s">
        <v>132</v>
      </c>
    </row>
    <row r="48" spans="1:8" ht="17.25" thickBot="1" x14ac:dyDescent="0.35"/>
    <row r="49" spans="1:8" x14ac:dyDescent="0.3">
      <c r="A49" s="4" t="s">
        <v>93</v>
      </c>
      <c r="B49" s="5" t="s">
        <v>94</v>
      </c>
      <c r="C49" s="5" t="s">
        <v>95</v>
      </c>
      <c r="D49" s="5" t="s">
        <v>96</v>
      </c>
      <c r="E49" s="5" t="s">
        <v>97</v>
      </c>
      <c r="F49" s="5" t="s">
        <v>98</v>
      </c>
    </row>
    <row r="50" spans="1:8" x14ac:dyDescent="0.3">
      <c r="A50" s="10" t="s">
        <v>99</v>
      </c>
      <c r="B50" s="8">
        <v>17828</v>
      </c>
      <c r="C50" s="8">
        <v>52.910758399999999</v>
      </c>
      <c r="D50" s="8">
        <v>15.338222399999999</v>
      </c>
      <c r="E50" s="8">
        <v>19</v>
      </c>
      <c r="F50" s="8">
        <v>80</v>
      </c>
      <c r="H50" t="str">
        <f>TEXT(C50,"0.00")&amp;" ("&amp;TEXT(D50,"0.00")&amp;")"</f>
        <v>52.91 (15.34)</v>
      </c>
    </row>
    <row r="51" spans="1:8" x14ac:dyDescent="0.3">
      <c r="A51" s="10" t="s">
        <v>100</v>
      </c>
      <c r="B51" s="8">
        <v>17828</v>
      </c>
      <c r="C51" s="8">
        <v>24.585460600000001</v>
      </c>
      <c r="D51" s="8">
        <v>1.6529510000000001</v>
      </c>
      <c r="E51" s="8">
        <v>18.048201299999999</v>
      </c>
      <c r="F51" s="8">
        <v>31.325904900000001</v>
      </c>
      <c r="H51" t="str">
        <f t="shared" ref="H51:H68" si="2">TEXT(C51,"0.00")&amp;" ("&amp;TEXT(D51,"0.00")&amp;")"</f>
        <v>24.59 (1.65)</v>
      </c>
    </row>
    <row r="52" spans="1:8" x14ac:dyDescent="0.3">
      <c r="A52" s="10" t="s">
        <v>101</v>
      </c>
      <c r="B52" s="8">
        <v>17828</v>
      </c>
      <c r="C52" s="8">
        <v>85.065273700000006</v>
      </c>
      <c r="D52" s="8">
        <v>5.896401</v>
      </c>
      <c r="E52" s="8">
        <v>61.8</v>
      </c>
      <c r="F52" s="8">
        <v>109.1</v>
      </c>
      <c r="H52" t="str">
        <f t="shared" si="2"/>
        <v>85.07 (5.90)</v>
      </c>
    </row>
    <row r="53" spans="1:8" x14ac:dyDescent="0.3">
      <c r="A53" s="10" t="s">
        <v>102</v>
      </c>
      <c r="B53" s="8">
        <v>17828</v>
      </c>
      <c r="C53" s="8">
        <v>7.8705800000000006E-2</v>
      </c>
      <c r="D53" s="8">
        <v>4.4809000000000003E-3</v>
      </c>
      <c r="E53" s="8">
        <v>5.4819399999999997E-2</v>
      </c>
      <c r="F53" s="8">
        <v>0.100623</v>
      </c>
      <c r="H53" t="str">
        <f t="shared" si="2"/>
        <v>0.08 (0.00)</v>
      </c>
    </row>
    <row r="54" spans="1:8" x14ac:dyDescent="0.3">
      <c r="A54" s="10" t="s">
        <v>103</v>
      </c>
      <c r="B54" s="8">
        <v>17828</v>
      </c>
      <c r="C54" s="8">
        <v>121.1807269</v>
      </c>
      <c r="D54" s="8">
        <v>16.217359800000001</v>
      </c>
      <c r="E54" s="8">
        <v>77</v>
      </c>
      <c r="F54" s="8">
        <v>232</v>
      </c>
      <c r="H54" t="str">
        <f t="shared" si="2"/>
        <v>121.18 (16.22)</v>
      </c>
    </row>
    <row r="55" spans="1:8" x14ac:dyDescent="0.3">
      <c r="A55" s="10" t="s">
        <v>104</v>
      </c>
      <c r="B55" s="8">
        <v>17828</v>
      </c>
      <c r="C55" s="8">
        <v>100.8766547</v>
      </c>
      <c r="D55" s="8">
        <v>20.474058299999999</v>
      </c>
      <c r="E55" s="8">
        <v>54</v>
      </c>
      <c r="F55" s="8">
        <v>455</v>
      </c>
      <c r="H55" t="str">
        <f t="shared" si="2"/>
        <v>100.88 (20.47)</v>
      </c>
    </row>
    <row r="56" spans="1:8" x14ac:dyDescent="0.3">
      <c r="A56" s="10" t="s">
        <v>105</v>
      </c>
      <c r="B56" s="8">
        <v>17828</v>
      </c>
      <c r="C56" s="8">
        <v>191.49450300000001</v>
      </c>
      <c r="D56" s="8">
        <v>38.109416400000001</v>
      </c>
      <c r="E56" s="8">
        <v>72</v>
      </c>
      <c r="F56" s="8">
        <v>457</v>
      </c>
      <c r="H56" t="str">
        <f t="shared" si="2"/>
        <v>191.49 (38.11)</v>
      </c>
    </row>
    <row r="57" spans="1:8" ht="25.5" x14ac:dyDescent="0.3">
      <c r="A57" s="10" t="s">
        <v>106</v>
      </c>
      <c r="B57" s="8">
        <v>17828</v>
      </c>
      <c r="C57" s="8">
        <v>47.989019599999999</v>
      </c>
      <c r="D57" s="8">
        <v>9.2982800000000001</v>
      </c>
      <c r="E57" s="8">
        <v>17.027999999999999</v>
      </c>
      <c r="F57" s="8">
        <v>107.928</v>
      </c>
      <c r="H57" t="str">
        <f t="shared" si="2"/>
        <v>47.99 (9.30)</v>
      </c>
    </row>
    <row r="58" spans="1:8" x14ac:dyDescent="0.3">
      <c r="A58" s="10" t="s">
        <v>107</v>
      </c>
      <c r="B58" s="8">
        <v>17828</v>
      </c>
      <c r="C58" s="8">
        <v>135.1400606</v>
      </c>
      <c r="D58" s="8">
        <v>72.249338899999998</v>
      </c>
      <c r="E58" s="8">
        <v>19</v>
      </c>
      <c r="F58" s="8">
        <v>1573</v>
      </c>
      <c r="H58" t="str">
        <f t="shared" si="2"/>
        <v>135.14 (72.25)</v>
      </c>
    </row>
    <row r="59" spans="1:8" x14ac:dyDescent="0.3">
      <c r="A59" s="10" t="s">
        <v>108</v>
      </c>
      <c r="B59" s="8">
        <v>17828</v>
      </c>
      <c r="C59" s="8">
        <v>23.362239200000001</v>
      </c>
      <c r="D59" s="8">
        <v>12.124359500000001</v>
      </c>
      <c r="E59" s="8">
        <v>9</v>
      </c>
      <c r="F59" s="8">
        <v>491</v>
      </c>
      <c r="H59" t="str">
        <f t="shared" si="2"/>
        <v>23.36 (12.12)</v>
      </c>
    </row>
    <row r="60" spans="1:8" x14ac:dyDescent="0.3">
      <c r="A60" s="10" t="s">
        <v>109</v>
      </c>
      <c r="B60" s="8">
        <v>17828</v>
      </c>
      <c r="C60" s="8">
        <v>23.0245681</v>
      </c>
      <c r="D60" s="8">
        <v>17.761512400000001</v>
      </c>
      <c r="E60" s="8">
        <v>3</v>
      </c>
      <c r="F60" s="8">
        <v>893</v>
      </c>
      <c r="H60" t="str">
        <f t="shared" si="2"/>
        <v>23.02 (17.76)</v>
      </c>
    </row>
    <row r="61" spans="1:8" x14ac:dyDescent="0.3">
      <c r="A61" s="10" t="s">
        <v>110</v>
      </c>
      <c r="B61" s="8">
        <v>17828</v>
      </c>
      <c r="C61" s="8">
        <v>14.272952699999999</v>
      </c>
      <c r="D61" s="8">
        <v>1.5307663</v>
      </c>
      <c r="E61" s="8">
        <v>3.9</v>
      </c>
      <c r="F61" s="8">
        <v>21.3</v>
      </c>
      <c r="H61" t="str">
        <f t="shared" si="2"/>
        <v>14.27 (1.53)</v>
      </c>
    </row>
    <row r="62" spans="1:8" x14ac:dyDescent="0.3">
      <c r="A62" s="10" t="s">
        <v>111</v>
      </c>
      <c r="B62" s="8">
        <v>17828</v>
      </c>
      <c r="C62" s="8">
        <v>15.044143999999999</v>
      </c>
      <c r="D62" s="8">
        <v>4.4405492000000004</v>
      </c>
      <c r="E62" s="8">
        <v>2</v>
      </c>
      <c r="F62" s="8">
        <v>77</v>
      </c>
      <c r="H62" t="str">
        <f t="shared" si="2"/>
        <v>15.04 (4.44)</v>
      </c>
    </row>
    <row r="63" spans="1:8" x14ac:dyDescent="0.3">
      <c r="A63" s="10" t="s">
        <v>112</v>
      </c>
      <c r="B63" s="8">
        <v>17828</v>
      </c>
      <c r="C63" s="8">
        <v>0.86046999999999996</v>
      </c>
      <c r="D63" s="8">
        <v>0.22797110000000001</v>
      </c>
      <c r="E63" s="8">
        <v>0.4</v>
      </c>
      <c r="F63" s="8">
        <v>9.8000000000000007</v>
      </c>
      <c r="H63" t="str">
        <f t="shared" si="2"/>
        <v>0.86 (0.23)</v>
      </c>
    </row>
    <row r="64" spans="1:8" x14ac:dyDescent="0.3">
      <c r="A64" s="10" t="s">
        <v>113</v>
      </c>
      <c r="B64" s="8">
        <v>17828</v>
      </c>
      <c r="C64" s="8">
        <v>5.7772043999999996</v>
      </c>
      <c r="D64" s="8">
        <v>0.80890030000000002</v>
      </c>
      <c r="E64" s="8">
        <v>5</v>
      </c>
      <c r="F64" s="8">
        <v>9</v>
      </c>
      <c r="H64" t="str">
        <f t="shared" si="2"/>
        <v>5.78 (0.81)</v>
      </c>
    </row>
    <row r="65" spans="1:8" x14ac:dyDescent="0.3">
      <c r="A65" s="10" t="s">
        <v>114</v>
      </c>
      <c r="B65" s="8">
        <v>17828</v>
      </c>
      <c r="C65" s="8">
        <v>8.6994392999999999</v>
      </c>
      <c r="D65" s="8">
        <v>0.50505089999999997</v>
      </c>
      <c r="E65" s="8">
        <v>6.7080840999999998</v>
      </c>
      <c r="F65" s="8">
        <v>11.452012399999999</v>
      </c>
      <c r="H65" t="str">
        <f t="shared" si="2"/>
        <v>8.70 (0.51)</v>
      </c>
    </row>
    <row r="66" spans="1:8" x14ac:dyDescent="0.3">
      <c r="A66" s="10" t="s">
        <v>115</v>
      </c>
      <c r="B66" s="8">
        <v>17828</v>
      </c>
      <c r="C66" s="8">
        <v>0.68515150000000002</v>
      </c>
      <c r="D66" s="8">
        <v>6.0982799999999997E-2</v>
      </c>
      <c r="E66" s="8">
        <v>0.44151820000000003</v>
      </c>
      <c r="F66" s="8">
        <v>0.98108759999999995</v>
      </c>
      <c r="H66" t="str">
        <f t="shared" si="2"/>
        <v>0.69 (0.06)</v>
      </c>
    </row>
    <row r="67" spans="1:8" x14ac:dyDescent="0.3">
      <c r="A67" s="10" t="s">
        <v>116</v>
      </c>
      <c r="B67" s="8">
        <v>17828</v>
      </c>
      <c r="C67" s="8">
        <v>0.40864499999999998</v>
      </c>
      <c r="D67" s="8">
        <v>0.23072529999999999</v>
      </c>
      <c r="E67" s="9">
        <v>-0.39840700000000001</v>
      </c>
      <c r="F67" s="8">
        <v>1.5539082</v>
      </c>
      <c r="H67" t="str">
        <f t="shared" si="2"/>
        <v>0.41 (0.23)</v>
      </c>
    </row>
    <row r="68" spans="1:8" x14ac:dyDescent="0.3">
      <c r="A68" s="10" t="s">
        <v>117</v>
      </c>
      <c r="B68" s="8">
        <v>17828</v>
      </c>
      <c r="C68" s="8">
        <v>36.935640499999998</v>
      </c>
      <c r="D68" s="8">
        <v>1.4941521</v>
      </c>
      <c r="E68" s="8">
        <v>34.468389000000002</v>
      </c>
      <c r="F68" s="8">
        <v>39.679793099999998</v>
      </c>
      <c r="H68" t="str">
        <f t="shared" si="2"/>
        <v>36.94 (1.49)</v>
      </c>
    </row>
    <row r="70" spans="1:8" x14ac:dyDescent="0.3">
      <c r="A70" s="1" t="s">
        <v>133</v>
      </c>
    </row>
    <row r="71" spans="1:8" ht="17.25" thickBot="1" x14ac:dyDescent="0.35"/>
    <row r="72" spans="1:8" x14ac:dyDescent="0.3">
      <c r="A72" s="4" t="s">
        <v>93</v>
      </c>
      <c r="B72" s="5" t="s">
        <v>94</v>
      </c>
      <c r="C72" s="5" t="s">
        <v>95</v>
      </c>
      <c r="D72" s="5" t="s">
        <v>96</v>
      </c>
      <c r="E72" s="5" t="s">
        <v>97</v>
      </c>
      <c r="F72" s="5" t="s">
        <v>98</v>
      </c>
    </row>
    <row r="73" spans="1:8" x14ac:dyDescent="0.3">
      <c r="A73" s="10" t="s">
        <v>99</v>
      </c>
      <c r="B73" s="8">
        <v>18028</v>
      </c>
      <c r="C73" s="8">
        <v>51.462447300000001</v>
      </c>
      <c r="D73" s="8">
        <v>14.949013000000001</v>
      </c>
      <c r="E73" s="8">
        <v>19</v>
      </c>
      <c r="F73" s="8">
        <v>80</v>
      </c>
      <c r="H73" t="str">
        <f t="shared" ref="H73:H91" si="3">TEXT(C73,"0.00")&amp;" ("&amp;TEXT(D73,"0.00")&amp;")"</f>
        <v>51.46 (14.95)</v>
      </c>
    </row>
    <row r="74" spans="1:8" x14ac:dyDescent="0.3">
      <c r="A74" s="10" t="s">
        <v>100</v>
      </c>
      <c r="B74" s="8">
        <v>18028</v>
      </c>
      <c r="C74" s="8">
        <v>27.776724099999999</v>
      </c>
      <c r="D74" s="8">
        <v>2.9568718000000001</v>
      </c>
      <c r="E74" s="8">
        <v>18.6167634</v>
      </c>
      <c r="F74" s="8">
        <v>62.640542099999998</v>
      </c>
      <c r="H74" t="str">
        <f t="shared" si="3"/>
        <v>27.78 (2.96)</v>
      </c>
    </row>
    <row r="75" spans="1:8" x14ac:dyDescent="0.3">
      <c r="A75" s="10" t="s">
        <v>101</v>
      </c>
      <c r="B75" s="8">
        <v>18028</v>
      </c>
      <c r="C75" s="8">
        <v>92.901963600000002</v>
      </c>
      <c r="D75" s="8">
        <v>7.7599203000000001</v>
      </c>
      <c r="E75" s="8">
        <v>52.3</v>
      </c>
      <c r="F75" s="8">
        <v>166.1</v>
      </c>
      <c r="H75" t="str">
        <f t="shared" si="3"/>
        <v>92.90 (7.76)</v>
      </c>
    </row>
    <row r="76" spans="1:8" x14ac:dyDescent="0.3">
      <c r="A76" s="10" t="s">
        <v>102</v>
      </c>
      <c r="B76" s="8">
        <v>18028</v>
      </c>
      <c r="C76" s="8">
        <v>7.8986700000000007E-2</v>
      </c>
      <c r="D76" s="8">
        <v>4.2265000000000002E-3</v>
      </c>
      <c r="E76" s="8">
        <v>4.8055199999999999E-2</v>
      </c>
      <c r="F76" s="8">
        <v>0.15107219999999999</v>
      </c>
      <c r="H76" t="str">
        <f t="shared" si="3"/>
        <v>0.08 (0.00)</v>
      </c>
    </row>
    <row r="77" spans="1:8" x14ac:dyDescent="0.3">
      <c r="A77" s="10" t="s">
        <v>103</v>
      </c>
      <c r="B77" s="8">
        <v>18028</v>
      </c>
      <c r="C77" s="8">
        <v>124.2276736</v>
      </c>
      <c r="D77" s="8">
        <v>15.4052419</v>
      </c>
      <c r="E77" s="8">
        <v>78</v>
      </c>
      <c r="F77" s="8">
        <v>220</v>
      </c>
      <c r="H77" t="str">
        <f t="shared" si="3"/>
        <v>124.23 (15.41)</v>
      </c>
    </row>
    <row r="78" spans="1:8" x14ac:dyDescent="0.3">
      <c r="A78" s="10" t="s">
        <v>104</v>
      </c>
      <c r="B78" s="8">
        <v>18028</v>
      </c>
      <c r="C78" s="8">
        <v>109.87674730000001</v>
      </c>
      <c r="D78" s="8">
        <v>30.363497500000001</v>
      </c>
      <c r="E78" s="8">
        <v>53</v>
      </c>
      <c r="F78" s="8">
        <v>553</v>
      </c>
      <c r="H78" t="str">
        <f t="shared" si="3"/>
        <v>109.88 (30.36)</v>
      </c>
    </row>
    <row r="79" spans="1:8" x14ac:dyDescent="0.3">
      <c r="A79" s="10" t="s">
        <v>105</v>
      </c>
      <c r="B79" s="8">
        <v>18028</v>
      </c>
      <c r="C79" s="8">
        <v>193.94641669999999</v>
      </c>
      <c r="D79" s="8">
        <v>39.8856538</v>
      </c>
      <c r="E79" s="8">
        <v>66</v>
      </c>
      <c r="F79" s="8">
        <v>554</v>
      </c>
      <c r="H79" t="str">
        <f t="shared" si="3"/>
        <v>193.95 (39.89)</v>
      </c>
    </row>
    <row r="80" spans="1:8" ht="25.5" x14ac:dyDescent="0.3">
      <c r="A80" s="10" t="s">
        <v>106</v>
      </c>
      <c r="B80" s="8">
        <v>18028</v>
      </c>
      <c r="C80" s="8">
        <v>41.598406699999998</v>
      </c>
      <c r="D80" s="8">
        <v>8.4118855999999997</v>
      </c>
      <c r="E80" s="8">
        <v>8</v>
      </c>
      <c r="F80" s="8">
        <v>100.104</v>
      </c>
      <c r="H80" t="str">
        <f t="shared" si="3"/>
        <v>41.60 (8.41)</v>
      </c>
    </row>
    <row r="81" spans="1:8" x14ac:dyDescent="0.3">
      <c r="A81" s="10" t="s">
        <v>107</v>
      </c>
      <c r="B81" s="8">
        <v>18028</v>
      </c>
      <c r="C81" s="8">
        <v>212.43021970000001</v>
      </c>
      <c r="D81" s="8">
        <v>160.54689379999999</v>
      </c>
      <c r="E81" s="8">
        <v>26</v>
      </c>
      <c r="F81" s="8">
        <v>2774</v>
      </c>
      <c r="H81" t="str">
        <f t="shared" si="3"/>
        <v>212.43 (160.55)</v>
      </c>
    </row>
    <row r="82" spans="1:8" x14ac:dyDescent="0.3">
      <c r="A82" s="10" t="s">
        <v>108</v>
      </c>
      <c r="B82" s="8">
        <v>18028</v>
      </c>
      <c r="C82" s="8">
        <v>26.645939599999998</v>
      </c>
      <c r="D82" s="8">
        <v>16.646636399999998</v>
      </c>
      <c r="E82" s="8">
        <v>6</v>
      </c>
      <c r="F82" s="8">
        <v>927</v>
      </c>
      <c r="H82" t="str">
        <f t="shared" si="3"/>
        <v>26.65 (16.65)</v>
      </c>
    </row>
    <row r="83" spans="1:8" x14ac:dyDescent="0.3">
      <c r="A83" s="10" t="s">
        <v>109</v>
      </c>
      <c r="B83" s="8">
        <v>18028</v>
      </c>
      <c r="C83" s="8">
        <v>31.401042799999999</v>
      </c>
      <c r="D83" s="8">
        <v>23.486047200000002</v>
      </c>
      <c r="E83" s="8">
        <v>4</v>
      </c>
      <c r="F83" s="8">
        <v>402</v>
      </c>
      <c r="H83" t="str">
        <f t="shared" si="3"/>
        <v>31.40 (23.49)</v>
      </c>
    </row>
    <row r="84" spans="1:8" x14ac:dyDescent="0.3">
      <c r="A84" s="10" t="s">
        <v>110</v>
      </c>
      <c r="B84" s="8">
        <v>18028</v>
      </c>
      <c r="C84" s="8">
        <v>14.6371866</v>
      </c>
      <c r="D84" s="8">
        <v>1.556284</v>
      </c>
      <c r="E84" s="8">
        <v>5.3</v>
      </c>
      <c r="F84" s="8">
        <v>19.600000000000001</v>
      </c>
      <c r="H84" t="str">
        <f t="shared" si="3"/>
        <v>14.64 (1.56)</v>
      </c>
    </row>
    <row r="85" spans="1:8" x14ac:dyDescent="0.3">
      <c r="A85" s="10" t="s">
        <v>111</v>
      </c>
      <c r="B85" s="8">
        <v>18028</v>
      </c>
      <c r="C85" s="8">
        <v>14.966441100000001</v>
      </c>
      <c r="D85" s="8">
        <v>4.4783546000000003</v>
      </c>
      <c r="E85" s="8">
        <v>3</v>
      </c>
      <c r="F85" s="8">
        <v>83</v>
      </c>
      <c r="H85" t="str">
        <f t="shared" si="3"/>
        <v>14.97 (4.48)</v>
      </c>
    </row>
    <row r="86" spans="1:8" x14ac:dyDescent="0.3">
      <c r="A86" s="10" t="s">
        <v>112</v>
      </c>
      <c r="B86" s="8">
        <v>18028</v>
      </c>
      <c r="C86" s="8">
        <v>0.88907590000000003</v>
      </c>
      <c r="D86" s="8">
        <v>0.25724019999999997</v>
      </c>
      <c r="E86" s="8">
        <v>0.2</v>
      </c>
      <c r="F86" s="8">
        <v>10.48</v>
      </c>
      <c r="H86" t="str">
        <f t="shared" si="3"/>
        <v>0.89 (0.26)</v>
      </c>
    </row>
    <row r="87" spans="1:8" x14ac:dyDescent="0.3">
      <c r="A87" s="10" t="s">
        <v>113</v>
      </c>
      <c r="B87" s="8">
        <v>18028</v>
      </c>
      <c r="C87" s="8">
        <v>5.6600565999999999</v>
      </c>
      <c r="D87" s="8">
        <v>0.75826490000000002</v>
      </c>
      <c r="E87" s="8">
        <v>5</v>
      </c>
      <c r="F87" s="8">
        <v>9</v>
      </c>
      <c r="H87" t="str">
        <f t="shared" si="3"/>
        <v>5.66 (0.76)</v>
      </c>
    </row>
    <row r="88" spans="1:8" x14ac:dyDescent="0.3">
      <c r="A88" s="10" t="s">
        <v>114</v>
      </c>
      <c r="B88" s="8">
        <v>18028</v>
      </c>
      <c r="C88" s="8">
        <v>9.1639605999999993</v>
      </c>
      <c r="D88" s="8">
        <v>0.61345170000000004</v>
      </c>
      <c r="E88" s="8">
        <v>7.0758089000000002</v>
      </c>
      <c r="F88" s="8">
        <v>12.7290689</v>
      </c>
      <c r="H88" t="str">
        <f t="shared" si="3"/>
        <v>9.16 (0.61)</v>
      </c>
    </row>
    <row r="89" spans="1:8" x14ac:dyDescent="0.3">
      <c r="A89" s="10" t="s">
        <v>115</v>
      </c>
      <c r="B89" s="8">
        <v>18028</v>
      </c>
      <c r="C89" s="8">
        <v>0.72409920000000005</v>
      </c>
      <c r="D89" s="8">
        <v>6.4973500000000003E-2</v>
      </c>
      <c r="E89" s="8">
        <v>0.43864829999999999</v>
      </c>
      <c r="F89" s="8">
        <v>1.3241700999999999</v>
      </c>
      <c r="H89" t="str">
        <f t="shared" si="3"/>
        <v>0.72 (0.06)</v>
      </c>
    </row>
    <row r="90" spans="1:8" x14ac:dyDescent="0.3">
      <c r="A90" s="10" t="s">
        <v>116</v>
      </c>
      <c r="B90" s="8">
        <v>18028</v>
      </c>
      <c r="C90" s="8">
        <v>0.64140330000000001</v>
      </c>
      <c r="D90" s="8">
        <v>0.28041880000000002</v>
      </c>
      <c r="E90" s="9">
        <v>-0.2447116</v>
      </c>
      <c r="F90" s="8">
        <v>2.1147776999999999</v>
      </c>
      <c r="H90" t="str">
        <f t="shared" si="3"/>
        <v>0.64 (0.28)</v>
      </c>
    </row>
    <row r="91" spans="1:8" x14ac:dyDescent="0.3">
      <c r="A91" s="10" t="s">
        <v>117</v>
      </c>
      <c r="B91" s="8">
        <v>18028</v>
      </c>
      <c r="C91" s="8">
        <v>45.056752099999997</v>
      </c>
      <c r="D91" s="8">
        <v>4.9479613999999996</v>
      </c>
      <c r="E91" s="8">
        <v>39.680236200000003</v>
      </c>
      <c r="F91" s="8">
        <v>93.063441699999998</v>
      </c>
      <c r="H91" t="str">
        <f t="shared" si="3"/>
        <v>45.06 (4.95)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2815-9C41-4AFF-B62A-DE15C3968B02}">
  <dimension ref="A1:J135"/>
  <sheetViews>
    <sheetView topLeftCell="A116" workbookViewId="0">
      <selection activeCell="J134" sqref="J134"/>
    </sheetView>
  </sheetViews>
  <sheetFormatPr defaultRowHeight="16.5" x14ac:dyDescent="0.3"/>
  <cols>
    <col min="10" max="10" width="20.5" bestFit="1" customWidth="1"/>
  </cols>
  <sheetData>
    <row r="1" spans="1:8" x14ac:dyDescent="0.3">
      <c r="A1" s="1" t="s">
        <v>134</v>
      </c>
    </row>
    <row r="3" spans="1:8" x14ac:dyDescent="0.3">
      <c r="A3" s="1" t="s">
        <v>21</v>
      </c>
    </row>
    <row r="4" spans="1:8" ht="17.25" thickBot="1" x14ac:dyDescent="0.35"/>
    <row r="5" spans="1:8" ht="16.5" customHeight="1" x14ac:dyDescent="0.3">
      <c r="A5" s="16" t="s">
        <v>135</v>
      </c>
      <c r="B5" s="18"/>
    </row>
    <row r="6" spans="1:8" ht="26.25" thickBot="1" x14ac:dyDescent="0.35">
      <c r="A6" s="12" t="s">
        <v>136</v>
      </c>
      <c r="B6" s="2">
        <v>183</v>
      </c>
    </row>
    <row r="7" spans="1:8" ht="26.25" thickBot="1" x14ac:dyDescent="0.35">
      <c r="A7" s="12" t="s">
        <v>137</v>
      </c>
      <c r="B7" s="2">
        <v>2982</v>
      </c>
    </row>
    <row r="8" spans="1:8" ht="39" thickBot="1" x14ac:dyDescent="0.35">
      <c r="A8" s="12" t="s">
        <v>138</v>
      </c>
      <c r="B8" s="2">
        <v>68635</v>
      </c>
    </row>
    <row r="9" spans="1:8" ht="25.5" x14ac:dyDescent="0.3">
      <c r="A9" s="13" t="s">
        <v>139</v>
      </c>
      <c r="B9" s="2">
        <v>30251935.699999999</v>
      </c>
    </row>
    <row r="10" spans="1:8" ht="17.25" thickBot="1" x14ac:dyDescent="0.35"/>
    <row r="11" spans="1:8" ht="33" customHeight="1" x14ac:dyDescent="0.3">
      <c r="A11" s="16" t="s">
        <v>140</v>
      </c>
      <c r="B11" s="18"/>
    </row>
    <row r="12" spans="1:8" ht="33.75" thickBot="1" x14ac:dyDescent="0.35">
      <c r="A12" s="12" t="s">
        <v>141</v>
      </c>
      <c r="B12" s="2" t="s">
        <v>142</v>
      </c>
    </row>
    <row r="13" spans="1:8" ht="25.5" x14ac:dyDescent="0.3">
      <c r="A13" s="13" t="s">
        <v>143</v>
      </c>
      <c r="B13" s="2" t="s">
        <v>144</v>
      </c>
    </row>
    <row r="14" spans="1:8" ht="17.25" thickBot="1" x14ac:dyDescent="0.35"/>
    <row r="15" spans="1:8" ht="16.5" customHeight="1" x14ac:dyDescent="0.3">
      <c r="A15" s="16" t="s">
        <v>145</v>
      </c>
      <c r="B15" s="18"/>
      <c r="C15" s="18"/>
      <c r="D15" s="18"/>
      <c r="E15" s="18"/>
      <c r="F15" s="18"/>
      <c r="G15" s="18"/>
      <c r="H15" s="18"/>
    </row>
    <row r="16" spans="1:8" ht="33" customHeight="1" x14ac:dyDescent="0.3">
      <c r="A16" s="17" t="s">
        <v>2</v>
      </c>
      <c r="B16" s="19" t="s">
        <v>146</v>
      </c>
      <c r="C16" s="3" t="s">
        <v>147</v>
      </c>
      <c r="D16" s="3" t="s">
        <v>148</v>
      </c>
      <c r="E16" s="19" t="s">
        <v>150</v>
      </c>
      <c r="F16" s="3" t="s">
        <v>148</v>
      </c>
      <c r="G16" s="19" t="s">
        <v>151</v>
      </c>
      <c r="H16" s="19"/>
    </row>
    <row r="17" spans="1:10" ht="33" x14ac:dyDescent="0.3">
      <c r="A17" s="17"/>
      <c r="B17" s="19"/>
      <c r="C17" s="3" t="s">
        <v>146</v>
      </c>
      <c r="D17" s="3" t="s">
        <v>149</v>
      </c>
      <c r="E17" s="19"/>
      <c r="F17" s="3" t="s">
        <v>150</v>
      </c>
      <c r="G17" s="19" t="s">
        <v>152</v>
      </c>
      <c r="H17" s="19"/>
    </row>
    <row r="18" spans="1:10" ht="17.25" thickBot="1" x14ac:dyDescent="0.35">
      <c r="A18" s="12">
        <v>1</v>
      </c>
      <c r="B18" s="2">
        <v>21079</v>
      </c>
      <c r="C18" s="2">
        <v>11834513</v>
      </c>
      <c r="D18" s="2">
        <v>141523</v>
      </c>
      <c r="E18" s="2">
        <v>39.119900000000001</v>
      </c>
      <c r="F18" s="2">
        <v>0.31680000000000003</v>
      </c>
      <c r="G18" s="2">
        <v>38.498699999999999</v>
      </c>
      <c r="H18" s="2">
        <v>39.741</v>
      </c>
      <c r="J18" t="str">
        <f>TEXT(E18,"0.00")&amp;" ("&amp;TEXT(G18,"0.00")&amp;" to "&amp;TEXT(H18,"0.00")&amp;")"</f>
        <v>39.12 (38.50 to 39.74)</v>
      </c>
    </row>
    <row r="19" spans="1:10" ht="17.25" thickBot="1" x14ac:dyDescent="0.35">
      <c r="A19" s="12">
        <v>2</v>
      </c>
      <c r="B19" s="2">
        <v>33470</v>
      </c>
      <c r="C19" s="2">
        <v>14667390</v>
      </c>
      <c r="D19" s="2">
        <v>140978</v>
      </c>
      <c r="E19" s="2">
        <v>48.484099999999998</v>
      </c>
      <c r="F19" s="2">
        <v>0.27379999999999999</v>
      </c>
      <c r="G19" s="2">
        <v>47.947200000000002</v>
      </c>
      <c r="H19" s="2">
        <v>49.021099999999997</v>
      </c>
      <c r="J19" t="str">
        <f t="shared" ref="J19:J20" si="0">TEXT(E19,"0.00")&amp;" ("&amp;TEXT(G19,"0.00")&amp;" to "&amp;TEXT(H19,"0.00")&amp;")"</f>
        <v>48.48 (47.95 to 49.02)</v>
      </c>
    </row>
    <row r="20" spans="1:10" ht="17.25" thickBot="1" x14ac:dyDescent="0.35">
      <c r="A20" s="12">
        <v>3</v>
      </c>
      <c r="B20" s="2">
        <v>14086</v>
      </c>
      <c r="C20" s="2">
        <v>3750032</v>
      </c>
      <c r="D20" s="2">
        <v>51705</v>
      </c>
      <c r="E20" s="2">
        <v>12.396000000000001</v>
      </c>
      <c r="F20" s="2">
        <v>0.17949999999999999</v>
      </c>
      <c r="G20" s="2">
        <v>12.044</v>
      </c>
      <c r="H20" s="2">
        <v>12.747999999999999</v>
      </c>
      <c r="J20" t="str">
        <f t="shared" si="0"/>
        <v>12.40 (12.04 to 12.75)</v>
      </c>
    </row>
    <row r="21" spans="1:10" x14ac:dyDescent="0.3">
      <c r="A21" s="13" t="s">
        <v>153</v>
      </c>
      <c r="B21" s="2">
        <v>68635</v>
      </c>
      <c r="C21" s="2">
        <v>30251936</v>
      </c>
      <c r="D21" s="2">
        <v>228758</v>
      </c>
      <c r="E21" s="2">
        <v>100</v>
      </c>
      <c r="F21" s="2"/>
      <c r="G21" s="2"/>
      <c r="H21" s="2"/>
    </row>
    <row r="22" spans="1:10" ht="17.25" thickBot="1" x14ac:dyDescent="0.35"/>
    <row r="23" spans="1:10" ht="16.5" customHeight="1" x14ac:dyDescent="0.3">
      <c r="A23" s="16" t="s">
        <v>154</v>
      </c>
      <c r="B23" s="18"/>
      <c r="C23" s="18"/>
      <c r="D23" s="18"/>
      <c r="E23" s="18"/>
      <c r="F23" s="18"/>
      <c r="G23" s="18"/>
      <c r="H23" s="18"/>
    </row>
    <row r="24" spans="1:10" ht="33" customHeight="1" x14ac:dyDescent="0.3">
      <c r="A24" s="17" t="s">
        <v>6</v>
      </c>
      <c r="B24" s="19" t="s">
        <v>146</v>
      </c>
      <c r="C24" s="3" t="s">
        <v>147</v>
      </c>
      <c r="D24" s="3" t="s">
        <v>148</v>
      </c>
      <c r="E24" s="19" t="s">
        <v>150</v>
      </c>
      <c r="F24" s="3" t="s">
        <v>148</v>
      </c>
      <c r="G24" s="19" t="s">
        <v>151</v>
      </c>
      <c r="H24" s="19"/>
    </row>
    <row r="25" spans="1:10" ht="33" x14ac:dyDescent="0.3">
      <c r="A25" s="17"/>
      <c r="B25" s="19"/>
      <c r="C25" s="3" t="s">
        <v>146</v>
      </c>
      <c r="D25" s="3" t="s">
        <v>149</v>
      </c>
      <c r="E25" s="19"/>
      <c r="F25" s="3" t="s">
        <v>150</v>
      </c>
      <c r="G25" s="19" t="s">
        <v>152</v>
      </c>
      <c r="H25" s="19"/>
    </row>
    <row r="26" spans="1:10" ht="17.25" thickBot="1" x14ac:dyDescent="0.35">
      <c r="A26" s="12">
        <v>1</v>
      </c>
      <c r="B26" s="2">
        <v>33200</v>
      </c>
      <c r="C26" s="2">
        <v>16448830</v>
      </c>
      <c r="D26" s="2">
        <v>140406</v>
      </c>
      <c r="E26" s="2">
        <v>54.372799999999998</v>
      </c>
      <c r="F26" s="2">
        <v>0.18820000000000001</v>
      </c>
      <c r="G26" s="2">
        <v>54.003799999999998</v>
      </c>
      <c r="H26" s="2">
        <v>54.741900000000001</v>
      </c>
      <c r="J26" t="str">
        <f t="shared" ref="J26:J27" si="1">TEXT(E26,"0.00")&amp;" ("&amp;TEXT(G26,"0.00")&amp;" to "&amp;TEXT(H26,"0.00")&amp;")"</f>
        <v>54.37 (54.00 to 54.74)</v>
      </c>
    </row>
    <row r="27" spans="1:10" ht="17.25" thickBot="1" x14ac:dyDescent="0.35">
      <c r="A27" s="12">
        <v>2</v>
      </c>
      <c r="B27" s="2">
        <v>35435</v>
      </c>
      <c r="C27" s="2">
        <v>13803105</v>
      </c>
      <c r="D27" s="2">
        <v>115313</v>
      </c>
      <c r="E27" s="2">
        <v>45.627200000000002</v>
      </c>
      <c r="F27" s="2">
        <v>0.18820000000000001</v>
      </c>
      <c r="G27" s="2">
        <v>45.258099999999999</v>
      </c>
      <c r="H27" s="2">
        <v>45.996200000000002</v>
      </c>
      <c r="J27" t="str">
        <f t="shared" si="1"/>
        <v>45.63 (45.26 to 46.00)</v>
      </c>
    </row>
    <row r="28" spans="1:10" x14ac:dyDescent="0.3">
      <c r="A28" s="13" t="s">
        <v>153</v>
      </c>
      <c r="B28" s="2">
        <v>68635</v>
      </c>
      <c r="C28" s="2">
        <v>30251936</v>
      </c>
      <c r="D28" s="2">
        <v>228758</v>
      </c>
      <c r="E28" s="2">
        <v>100</v>
      </c>
      <c r="F28" s="2"/>
      <c r="G28" s="2"/>
      <c r="H28" s="2"/>
    </row>
    <row r="29" spans="1:10" ht="17.25" thickBot="1" x14ac:dyDescent="0.35"/>
    <row r="30" spans="1:10" ht="16.5" customHeight="1" x14ac:dyDescent="0.3">
      <c r="A30" s="16" t="s">
        <v>155</v>
      </c>
      <c r="B30" s="18"/>
      <c r="C30" s="18"/>
      <c r="D30" s="18"/>
      <c r="E30" s="18"/>
      <c r="F30" s="18"/>
      <c r="G30" s="18"/>
      <c r="H30" s="18"/>
    </row>
    <row r="31" spans="1:10" ht="33" customHeight="1" x14ac:dyDescent="0.3">
      <c r="A31" s="17" t="s">
        <v>7</v>
      </c>
      <c r="B31" s="19" t="s">
        <v>146</v>
      </c>
      <c r="C31" s="3" t="s">
        <v>147</v>
      </c>
      <c r="D31" s="3" t="s">
        <v>148</v>
      </c>
      <c r="E31" s="19" t="s">
        <v>150</v>
      </c>
      <c r="F31" s="3" t="s">
        <v>148</v>
      </c>
      <c r="G31" s="19" t="s">
        <v>151</v>
      </c>
      <c r="H31" s="19"/>
    </row>
    <row r="32" spans="1:10" ht="33" x14ac:dyDescent="0.3">
      <c r="A32" s="17"/>
      <c r="B32" s="19"/>
      <c r="C32" s="3" t="s">
        <v>146</v>
      </c>
      <c r="D32" s="3" t="s">
        <v>149</v>
      </c>
      <c r="E32" s="19"/>
      <c r="F32" s="3" t="s">
        <v>150</v>
      </c>
      <c r="G32" s="19" t="s">
        <v>152</v>
      </c>
      <c r="H32" s="19"/>
    </row>
    <row r="33" spans="1:10" ht="17.25" thickBot="1" x14ac:dyDescent="0.35">
      <c r="A33" s="12">
        <v>1</v>
      </c>
      <c r="B33" s="2">
        <v>55176</v>
      </c>
      <c r="C33" s="2">
        <v>25392078</v>
      </c>
      <c r="D33" s="2">
        <v>290318</v>
      </c>
      <c r="E33" s="2">
        <v>83.935400000000001</v>
      </c>
      <c r="F33" s="2">
        <v>0.64080000000000004</v>
      </c>
      <c r="G33" s="2">
        <v>82.678899999999999</v>
      </c>
      <c r="H33" s="2">
        <v>85.191800000000001</v>
      </c>
      <c r="J33" t="str">
        <f t="shared" ref="J33:J34" si="2">TEXT(E33,"0.00")&amp;" ("&amp;TEXT(G33,"0.00")&amp;" to "&amp;TEXT(H33,"0.00")&amp;")"</f>
        <v>83.94 (82.68 to 85.19)</v>
      </c>
    </row>
    <row r="34" spans="1:10" ht="17.25" thickBot="1" x14ac:dyDescent="0.35">
      <c r="A34" s="12">
        <v>2</v>
      </c>
      <c r="B34" s="2">
        <v>13459</v>
      </c>
      <c r="C34" s="2">
        <v>4859858</v>
      </c>
      <c r="D34" s="2">
        <v>192472</v>
      </c>
      <c r="E34" s="2">
        <v>16.064599999999999</v>
      </c>
      <c r="F34" s="2">
        <v>0.64080000000000004</v>
      </c>
      <c r="G34" s="2">
        <v>14.808199999999999</v>
      </c>
      <c r="H34" s="2">
        <v>17.321100000000001</v>
      </c>
      <c r="J34" t="str">
        <f t="shared" si="2"/>
        <v>16.06 (14.81 to 17.32)</v>
      </c>
    </row>
    <row r="35" spans="1:10" x14ac:dyDescent="0.3">
      <c r="A35" s="13" t="s">
        <v>153</v>
      </c>
      <c r="B35" s="2">
        <v>68635</v>
      </c>
      <c r="C35" s="2">
        <v>30251936</v>
      </c>
      <c r="D35" s="2">
        <v>228758</v>
      </c>
      <c r="E35" s="2">
        <v>100</v>
      </c>
      <c r="F35" s="2"/>
      <c r="G35" s="2"/>
      <c r="H35" s="2"/>
    </row>
    <row r="36" spans="1:10" ht="17.25" thickBot="1" x14ac:dyDescent="0.35"/>
    <row r="37" spans="1:10" ht="16.5" customHeight="1" x14ac:dyDescent="0.3">
      <c r="A37" s="16" t="s">
        <v>156</v>
      </c>
      <c r="B37" s="18"/>
      <c r="C37" s="18"/>
      <c r="D37" s="18"/>
      <c r="E37" s="18"/>
      <c r="F37" s="18"/>
      <c r="G37" s="18"/>
      <c r="H37" s="18"/>
    </row>
    <row r="38" spans="1:10" ht="33" customHeight="1" x14ac:dyDescent="0.3">
      <c r="A38" s="17" t="s">
        <v>8</v>
      </c>
      <c r="B38" s="19" t="s">
        <v>146</v>
      </c>
      <c r="C38" s="3" t="s">
        <v>147</v>
      </c>
      <c r="D38" s="3" t="s">
        <v>148</v>
      </c>
      <c r="E38" s="19" t="s">
        <v>150</v>
      </c>
      <c r="F38" s="3" t="s">
        <v>148</v>
      </c>
      <c r="G38" s="19" t="s">
        <v>151</v>
      </c>
      <c r="H38" s="19"/>
    </row>
    <row r="39" spans="1:10" ht="33" x14ac:dyDescent="0.3">
      <c r="A39" s="17"/>
      <c r="B39" s="19"/>
      <c r="C39" s="3" t="s">
        <v>146</v>
      </c>
      <c r="D39" s="3" t="s">
        <v>149</v>
      </c>
      <c r="E39" s="19"/>
      <c r="F39" s="3" t="s">
        <v>150</v>
      </c>
      <c r="G39" s="19" t="s">
        <v>152</v>
      </c>
      <c r="H39" s="19"/>
    </row>
    <row r="40" spans="1:10" ht="17.25" thickBot="1" x14ac:dyDescent="0.35">
      <c r="A40" s="12">
        <v>1</v>
      </c>
      <c r="B40" s="2">
        <v>9199</v>
      </c>
      <c r="C40" s="2">
        <v>2778708</v>
      </c>
      <c r="D40" s="2">
        <v>48157</v>
      </c>
      <c r="E40" s="2">
        <v>9.1852</v>
      </c>
      <c r="F40" s="2">
        <v>0.16550000000000001</v>
      </c>
      <c r="G40" s="2">
        <v>8.8606999999999996</v>
      </c>
      <c r="H40" s="2">
        <v>9.5098000000000003</v>
      </c>
      <c r="J40" t="str">
        <f t="shared" ref="J40:J43" si="3">TEXT(E40,"0.00")&amp;" ("&amp;TEXT(G40,"0.00")&amp;" to "&amp;TEXT(H40,"0.00")&amp;")"</f>
        <v>9.19 (8.86 to 9.51)</v>
      </c>
    </row>
    <row r="41" spans="1:10" ht="17.25" thickBot="1" x14ac:dyDescent="0.35">
      <c r="A41" s="12">
        <v>2</v>
      </c>
      <c r="B41" s="2">
        <v>7937</v>
      </c>
      <c r="C41" s="2">
        <v>2682504</v>
      </c>
      <c r="D41" s="2">
        <v>43699</v>
      </c>
      <c r="E41" s="2">
        <v>8.8672000000000004</v>
      </c>
      <c r="F41" s="2">
        <v>0.14430000000000001</v>
      </c>
      <c r="G41" s="2">
        <v>8.5841999999999992</v>
      </c>
      <c r="H41" s="2">
        <v>9.1501999999999999</v>
      </c>
      <c r="J41" t="str">
        <f t="shared" si="3"/>
        <v>8.87 (8.58 to 9.15)</v>
      </c>
    </row>
    <row r="42" spans="1:10" ht="17.25" thickBot="1" x14ac:dyDescent="0.35">
      <c r="A42" s="12">
        <v>3</v>
      </c>
      <c r="B42" s="2">
        <v>17758</v>
      </c>
      <c r="C42" s="2">
        <v>7987796</v>
      </c>
      <c r="D42" s="2">
        <v>95615</v>
      </c>
      <c r="E42" s="2">
        <v>26.404199999999999</v>
      </c>
      <c r="F42" s="2">
        <v>0.25690000000000002</v>
      </c>
      <c r="G42" s="2">
        <v>25.900500000000001</v>
      </c>
      <c r="H42" s="2">
        <v>26.908000000000001</v>
      </c>
      <c r="J42" t="str">
        <f t="shared" si="3"/>
        <v>26.40 (25.90 to 26.91)</v>
      </c>
    </row>
    <row r="43" spans="1:10" ht="17.25" thickBot="1" x14ac:dyDescent="0.35">
      <c r="A43" s="12">
        <v>4</v>
      </c>
      <c r="B43" s="2">
        <v>33741</v>
      </c>
      <c r="C43" s="2">
        <v>16802927</v>
      </c>
      <c r="D43" s="2">
        <v>189742</v>
      </c>
      <c r="E43" s="2">
        <v>55.543300000000002</v>
      </c>
      <c r="F43" s="2">
        <v>0.36720000000000003</v>
      </c>
      <c r="G43" s="2">
        <v>54.8232</v>
      </c>
      <c r="H43" s="2">
        <v>56.263399999999997</v>
      </c>
      <c r="J43" t="str">
        <f t="shared" si="3"/>
        <v>55.54 (54.82 to 56.26)</v>
      </c>
    </row>
    <row r="44" spans="1:10" x14ac:dyDescent="0.3">
      <c r="A44" s="13" t="s">
        <v>153</v>
      </c>
      <c r="B44" s="2">
        <v>68635</v>
      </c>
      <c r="C44" s="2">
        <v>30251936</v>
      </c>
      <c r="D44" s="2">
        <v>228758</v>
      </c>
      <c r="E44" s="2">
        <v>100</v>
      </c>
      <c r="F44" s="2"/>
      <c r="G44" s="2"/>
      <c r="H44" s="2"/>
    </row>
    <row r="45" spans="1:10" ht="17.25" thickBot="1" x14ac:dyDescent="0.35"/>
    <row r="46" spans="1:10" ht="16.5" customHeight="1" x14ac:dyDescent="0.3">
      <c r="A46" s="16" t="s">
        <v>157</v>
      </c>
      <c r="B46" s="18"/>
      <c r="C46" s="18"/>
      <c r="D46" s="18"/>
      <c r="E46" s="18"/>
      <c r="F46" s="18"/>
      <c r="G46" s="18"/>
      <c r="H46" s="18"/>
    </row>
    <row r="47" spans="1:10" ht="33" customHeight="1" x14ac:dyDescent="0.3">
      <c r="A47" s="17" t="s">
        <v>9</v>
      </c>
      <c r="B47" s="19" t="s">
        <v>146</v>
      </c>
      <c r="C47" s="3" t="s">
        <v>147</v>
      </c>
      <c r="D47" s="3" t="s">
        <v>148</v>
      </c>
      <c r="E47" s="19" t="s">
        <v>150</v>
      </c>
      <c r="F47" s="3" t="s">
        <v>148</v>
      </c>
      <c r="G47" s="19" t="s">
        <v>151</v>
      </c>
      <c r="H47" s="19"/>
    </row>
    <row r="48" spans="1:10" ht="33" x14ac:dyDescent="0.3">
      <c r="A48" s="17"/>
      <c r="B48" s="19"/>
      <c r="C48" s="3" t="s">
        <v>146</v>
      </c>
      <c r="D48" s="3" t="s">
        <v>149</v>
      </c>
      <c r="E48" s="19"/>
      <c r="F48" s="3" t="s">
        <v>150</v>
      </c>
      <c r="G48" s="19" t="s">
        <v>152</v>
      </c>
      <c r="H48" s="19"/>
    </row>
    <row r="49" spans="1:10" ht="17.25" thickBot="1" x14ac:dyDescent="0.35">
      <c r="A49" s="12">
        <v>1</v>
      </c>
      <c r="B49" s="2">
        <v>11265</v>
      </c>
      <c r="C49" s="2">
        <v>3936155</v>
      </c>
      <c r="D49" s="2">
        <v>65921</v>
      </c>
      <c r="E49" s="2">
        <v>13.0113</v>
      </c>
      <c r="F49" s="2">
        <v>0.22689999999999999</v>
      </c>
      <c r="G49" s="2">
        <v>12.5664</v>
      </c>
      <c r="H49" s="2">
        <v>13.456099999999999</v>
      </c>
      <c r="J49" t="str">
        <f t="shared" ref="J49:J52" si="4">TEXT(E49,"0.00")&amp;" ("&amp;TEXT(G49,"0.00")&amp;" to "&amp;TEXT(H49,"0.00")&amp;")"</f>
        <v>13.01 (12.57 to 13.46)</v>
      </c>
    </row>
    <row r="50" spans="1:10" ht="17.25" thickBot="1" x14ac:dyDescent="0.35">
      <c r="A50" s="12">
        <v>2</v>
      </c>
      <c r="B50" s="2">
        <v>16834</v>
      </c>
      <c r="C50" s="2">
        <v>7267525</v>
      </c>
      <c r="D50" s="2">
        <v>98219</v>
      </c>
      <c r="E50" s="2">
        <v>24.023299999999999</v>
      </c>
      <c r="F50" s="2">
        <v>0.29559999999999997</v>
      </c>
      <c r="G50" s="2">
        <v>23.4437</v>
      </c>
      <c r="H50" s="2">
        <v>24.603000000000002</v>
      </c>
      <c r="J50" t="str">
        <f t="shared" si="4"/>
        <v>24.02 (23.44 to 24.60)</v>
      </c>
    </row>
    <row r="51" spans="1:10" ht="17.25" thickBot="1" x14ac:dyDescent="0.35">
      <c r="A51" s="12">
        <v>3</v>
      </c>
      <c r="B51" s="2">
        <v>19586</v>
      </c>
      <c r="C51" s="2">
        <v>9190109</v>
      </c>
      <c r="D51" s="2">
        <v>122325</v>
      </c>
      <c r="E51" s="2">
        <v>30.378599999999999</v>
      </c>
      <c r="F51" s="2">
        <v>0.30769999999999997</v>
      </c>
      <c r="G51" s="2">
        <v>29.775200000000002</v>
      </c>
      <c r="H51" s="2">
        <v>30.9819</v>
      </c>
      <c r="J51" t="str">
        <f t="shared" si="4"/>
        <v>30.38 (29.78 to 30.98)</v>
      </c>
    </row>
    <row r="52" spans="1:10" ht="17.25" thickBot="1" x14ac:dyDescent="0.35">
      <c r="A52" s="12">
        <v>4</v>
      </c>
      <c r="B52" s="2">
        <v>20950</v>
      </c>
      <c r="C52" s="2">
        <v>9858146</v>
      </c>
      <c r="D52" s="2">
        <v>157165</v>
      </c>
      <c r="E52" s="2">
        <v>32.586799999999997</v>
      </c>
      <c r="F52" s="2">
        <v>0.41460000000000002</v>
      </c>
      <c r="G52" s="2">
        <v>31.774000000000001</v>
      </c>
      <c r="H52" s="2">
        <v>33.399700000000003</v>
      </c>
      <c r="J52" t="str">
        <f t="shared" si="4"/>
        <v>32.59 (31.77 to 33.40)</v>
      </c>
    </row>
    <row r="53" spans="1:10" x14ac:dyDescent="0.3">
      <c r="A53" s="13" t="s">
        <v>153</v>
      </c>
      <c r="B53" s="2">
        <v>68635</v>
      </c>
      <c r="C53" s="2">
        <v>30251936</v>
      </c>
      <c r="D53" s="2">
        <v>228758</v>
      </c>
      <c r="E53" s="2">
        <v>100</v>
      </c>
      <c r="F53" s="2"/>
      <c r="G53" s="2"/>
      <c r="H53" s="2"/>
    </row>
    <row r="54" spans="1:10" ht="17.25" thickBot="1" x14ac:dyDescent="0.35"/>
    <row r="55" spans="1:10" ht="16.5" customHeight="1" x14ac:dyDescent="0.3">
      <c r="A55" s="16" t="s">
        <v>158</v>
      </c>
      <c r="B55" s="18"/>
      <c r="C55" s="18"/>
      <c r="D55" s="18"/>
      <c r="E55" s="18"/>
      <c r="F55" s="18"/>
      <c r="G55" s="18"/>
      <c r="H55" s="18"/>
    </row>
    <row r="56" spans="1:10" ht="33" customHeight="1" x14ac:dyDescent="0.3">
      <c r="A56" s="17" t="s">
        <v>10</v>
      </c>
      <c r="B56" s="19" t="s">
        <v>146</v>
      </c>
      <c r="C56" s="3" t="s">
        <v>147</v>
      </c>
      <c r="D56" s="3" t="s">
        <v>148</v>
      </c>
      <c r="E56" s="19" t="s">
        <v>150</v>
      </c>
      <c r="F56" s="3" t="s">
        <v>148</v>
      </c>
      <c r="G56" s="19" t="s">
        <v>151</v>
      </c>
      <c r="H56" s="19"/>
    </row>
    <row r="57" spans="1:10" ht="33" x14ac:dyDescent="0.3">
      <c r="A57" s="17"/>
      <c r="B57" s="19"/>
      <c r="C57" s="3" t="s">
        <v>146</v>
      </c>
      <c r="D57" s="3" t="s">
        <v>149</v>
      </c>
      <c r="E57" s="19"/>
      <c r="F57" s="3" t="s">
        <v>150</v>
      </c>
      <c r="G57" s="19" t="s">
        <v>152</v>
      </c>
      <c r="H57" s="19"/>
    </row>
    <row r="58" spans="1:10" ht="17.25" thickBot="1" x14ac:dyDescent="0.35">
      <c r="A58" s="12">
        <v>1</v>
      </c>
      <c r="B58" s="2">
        <v>2777</v>
      </c>
      <c r="C58" s="2">
        <v>1296193</v>
      </c>
      <c r="D58" s="2">
        <v>31560</v>
      </c>
      <c r="E58" s="2">
        <v>4.2847</v>
      </c>
      <c r="F58" s="2">
        <v>9.8500000000000004E-2</v>
      </c>
      <c r="G58" s="2">
        <v>4.0914999999999999</v>
      </c>
      <c r="H58" s="2">
        <v>4.4778000000000002</v>
      </c>
      <c r="J58" t="str">
        <f t="shared" ref="J58:J61" si="5">TEXT(E58,"0.00")&amp;" ("&amp;TEXT(G58,"0.00")&amp;" to "&amp;TEXT(H58,"0.00")&amp;")"</f>
        <v>4.28 (4.09 to 4.48)</v>
      </c>
    </row>
    <row r="59" spans="1:10" ht="17.25" thickBot="1" x14ac:dyDescent="0.35">
      <c r="A59" s="12">
        <v>2</v>
      </c>
      <c r="B59" s="2">
        <v>26435</v>
      </c>
      <c r="C59" s="2">
        <v>11585647</v>
      </c>
      <c r="D59" s="2">
        <v>115210</v>
      </c>
      <c r="E59" s="2">
        <v>38.297199999999997</v>
      </c>
      <c r="F59" s="2">
        <v>0.2286</v>
      </c>
      <c r="G59" s="2">
        <v>37.848999999999997</v>
      </c>
      <c r="H59" s="2">
        <v>38.745399999999997</v>
      </c>
      <c r="J59" t="str">
        <f t="shared" si="5"/>
        <v>38.30 (37.85 to 38.75)</v>
      </c>
    </row>
    <row r="60" spans="1:10" ht="17.25" thickBot="1" x14ac:dyDescent="0.35">
      <c r="A60" s="12">
        <v>3</v>
      </c>
      <c r="B60" s="2">
        <v>16265</v>
      </c>
      <c r="C60" s="2">
        <v>7016830</v>
      </c>
      <c r="D60" s="2">
        <v>76881</v>
      </c>
      <c r="E60" s="2">
        <v>23.194600000000001</v>
      </c>
      <c r="F60" s="2">
        <v>0.189</v>
      </c>
      <c r="G60" s="2">
        <v>22.824000000000002</v>
      </c>
      <c r="H60" s="2">
        <v>23.565300000000001</v>
      </c>
      <c r="J60" t="str">
        <f t="shared" si="5"/>
        <v>23.19 (22.82 to 23.57)</v>
      </c>
    </row>
    <row r="61" spans="1:10" ht="17.25" thickBot="1" x14ac:dyDescent="0.35">
      <c r="A61" s="12">
        <v>4</v>
      </c>
      <c r="B61" s="2">
        <v>23158</v>
      </c>
      <c r="C61" s="2">
        <v>10353266</v>
      </c>
      <c r="D61" s="2">
        <v>102556</v>
      </c>
      <c r="E61" s="2">
        <v>34.223500000000001</v>
      </c>
      <c r="F61" s="2">
        <v>0.23269999999999999</v>
      </c>
      <c r="G61" s="2">
        <v>33.767099999999999</v>
      </c>
      <c r="H61" s="2">
        <v>34.6798</v>
      </c>
      <c r="J61" t="str">
        <f t="shared" si="5"/>
        <v>34.22 (33.77 to 34.68)</v>
      </c>
    </row>
    <row r="62" spans="1:10" x14ac:dyDescent="0.3">
      <c r="A62" s="13" t="s">
        <v>153</v>
      </c>
      <c r="B62" s="2">
        <v>68635</v>
      </c>
      <c r="C62" s="2">
        <v>30251936</v>
      </c>
      <c r="D62" s="2">
        <v>228758</v>
      </c>
      <c r="E62" s="2">
        <v>100</v>
      </c>
      <c r="F62" s="2"/>
      <c r="G62" s="2"/>
      <c r="H62" s="2"/>
    </row>
    <row r="63" spans="1:10" ht="17.25" thickBot="1" x14ac:dyDescent="0.35"/>
    <row r="64" spans="1:10" ht="16.5" customHeight="1" x14ac:dyDescent="0.3">
      <c r="A64" s="16" t="s">
        <v>159</v>
      </c>
      <c r="B64" s="18"/>
      <c r="C64" s="18"/>
      <c r="D64" s="18"/>
      <c r="E64" s="18"/>
      <c r="F64" s="18"/>
      <c r="G64" s="18"/>
      <c r="H64" s="18"/>
    </row>
    <row r="65" spans="1:10" ht="33" customHeight="1" x14ac:dyDescent="0.3">
      <c r="A65" s="17" t="s">
        <v>11</v>
      </c>
      <c r="B65" s="19" t="s">
        <v>146</v>
      </c>
      <c r="C65" s="3" t="s">
        <v>147</v>
      </c>
      <c r="D65" s="3" t="s">
        <v>148</v>
      </c>
      <c r="E65" s="19" t="s">
        <v>150</v>
      </c>
      <c r="F65" s="3" t="s">
        <v>148</v>
      </c>
      <c r="G65" s="19" t="s">
        <v>151</v>
      </c>
      <c r="H65" s="19"/>
    </row>
    <row r="66" spans="1:10" ht="33" x14ac:dyDescent="0.3">
      <c r="A66" s="17"/>
      <c r="B66" s="19"/>
      <c r="C66" s="3" t="s">
        <v>146</v>
      </c>
      <c r="D66" s="3" t="s">
        <v>149</v>
      </c>
      <c r="E66" s="19"/>
      <c r="F66" s="3" t="s">
        <v>150</v>
      </c>
      <c r="G66" s="19" t="s">
        <v>152</v>
      </c>
      <c r="H66" s="19"/>
    </row>
    <row r="67" spans="1:10" ht="17.25" thickBot="1" x14ac:dyDescent="0.35">
      <c r="A67" s="12">
        <v>1</v>
      </c>
      <c r="B67" s="2">
        <v>56814</v>
      </c>
      <c r="C67" s="2">
        <v>22898766</v>
      </c>
      <c r="D67" s="2">
        <v>183193</v>
      </c>
      <c r="E67" s="2">
        <v>75.693600000000004</v>
      </c>
      <c r="F67" s="2">
        <v>0.28570000000000001</v>
      </c>
      <c r="G67" s="2">
        <v>75.133300000000006</v>
      </c>
      <c r="H67" s="2">
        <v>76.253799999999998</v>
      </c>
      <c r="J67" t="str">
        <f t="shared" ref="J67:J68" si="6">TEXT(E67,"0.00")&amp;" ("&amp;TEXT(G67,"0.00")&amp;" to "&amp;TEXT(H67,"0.00")&amp;")"</f>
        <v>75.69 (75.13 to 76.25)</v>
      </c>
    </row>
    <row r="68" spans="1:10" ht="17.25" thickBot="1" x14ac:dyDescent="0.35">
      <c r="A68" s="12">
        <v>2</v>
      </c>
      <c r="B68" s="2">
        <v>11821</v>
      </c>
      <c r="C68" s="2">
        <v>7353170</v>
      </c>
      <c r="D68" s="2">
        <v>108690</v>
      </c>
      <c r="E68" s="2">
        <v>24.3064</v>
      </c>
      <c r="F68" s="2">
        <v>0.28570000000000001</v>
      </c>
      <c r="G68" s="2">
        <v>23.746200000000002</v>
      </c>
      <c r="H68" s="2">
        <v>24.866700000000002</v>
      </c>
      <c r="J68" t="str">
        <f t="shared" si="6"/>
        <v>24.31 (23.75 to 24.87)</v>
      </c>
    </row>
    <row r="69" spans="1:10" x14ac:dyDescent="0.3">
      <c r="A69" s="13" t="s">
        <v>153</v>
      </c>
      <c r="B69" s="2">
        <v>68635</v>
      </c>
      <c r="C69" s="2">
        <v>30251936</v>
      </c>
      <c r="D69" s="2">
        <v>228758</v>
      </c>
      <c r="E69" s="2">
        <v>100</v>
      </c>
      <c r="F69" s="2"/>
      <c r="G69" s="2"/>
      <c r="H69" s="2"/>
    </row>
    <row r="70" spans="1:10" ht="17.25" thickBot="1" x14ac:dyDescent="0.35"/>
    <row r="71" spans="1:10" ht="16.5" customHeight="1" x14ac:dyDescent="0.3">
      <c r="A71" s="16" t="s">
        <v>160</v>
      </c>
      <c r="B71" s="18"/>
      <c r="C71" s="18"/>
      <c r="D71" s="18"/>
      <c r="E71" s="18"/>
      <c r="F71" s="18"/>
      <c r="G71" s="18"/>
      <c r="H71" s="18"/>
    </row>
    <row r="72" spans="1:10" ht="33" customHeight="1" x14ac:dyDescent="0.3">
      <c r="A72" s="17" t="s">
        <v>12</v>
      </c>
      <c r="B72" s="19" t="s">
        <v>146</v>
      </c>
      <c r="C72" s="3" t="s">
        <v>147</v>
      </c>
      <c r="D72" s="3" t="s">
        <v>148</v>
      </c>
      <c r="E72" s="19" t="s">
        <v>150</v>
      </c>
      <c r="F72" s="3" t="s">
        <v>148</v>
      </c>
      <c r="G72" s="19" t="s">
        <v>151</v>
      </c>
      <c r="H72" s="19"/>
    </row>
    <row r="73" spans="1:10" ht="33" x14ac:dyDescent="0.3">
      <c r="A73" s="17"/>
      <c r="B73" s="19"/>
      <c r="C73" s="3" t="s">
        <v>146</v>
      </c>
      <c r="D73" s="3" t="s">
        <v>149</v>
      </c>
      <c r="E73" s="19"/>
      <c r="F73" s="3" t="s">
        <v>150</v>
      </c>
      <c r="G73" s="19" t="s">
        <v>152</v>
      </c>
      <c r="H73" s="19"/>
    </row>
    <row r="74" spans="1:10" ht="17.25" thickBot="1" x14ac:dyDescent="0.35">
      <c r="A74" s="12">
        <v>1</v>
      </c>
      <c r="B74" s="2">
        <v>22876</v>
      </c>
      <c r="C74" s="2">
        <v>10423023</v>
      </c>
      <c r="D74" s="2">
        <v>111794</v>
      </c>
      <c r="E74" s="2">
        <v>34.454099999999997</v>
      </c>
      <c r="F74" s="2">
        <v>0.2404</v>
      </c>
      <c r="G74" s="2">
        <v>33.982599999999998</v>
      </c>
      <c r="H74" s="2">
        <v>34.9255</v>
      </c>
      <c r="J74" t="str">
        <f t="shared" ref="J74:J76" si="7">TEXT(E74,"0.00")&amp;" ("&amp;TEXT(G74,"0.00")&amp;" to "&amp;TEXT(H74,"0.00")&amp;")"</f>
        <v>34.45 (33.98 to 34.93)</v>
      </c>
    </row>
    <row r="75" spans="1:10" ht="17.25" thickBot="1" x14ac:dyDescent="0.35">
      <c r="A75" s="12">
        <v>2</v>
      </c>
      <c r="B75" s="2">
        <v>33210</v>
      </c>
      <c r="C75" s="2">
        <v>14887576</v>
      </c>
      <c r="D75" s="2">
        <v>139026</v>
      </c>
      <c r="E75" s="2">
        <v>49.212000000000003</v>
      </c>
      <c r="F75" s="2">
        <v>0.25819999999999999</v>
      </c>
      <c r="G75" s="2">
        <v>48.7057</v>
      </c>
      <c r="H75" s="2">
        <v>49.718200000000003</v>
      </c>
      <c r="J75" t="str">
        <f t="shared" si="7"/>
        <v>49.21 (48.71 to 49.72)</v>
      </c>
    </row>
    <row r="76" spans="1:10" ht="17.25" thickBot="1" x14ac:dyDescent="0.35">
      <c r="A76" s="12">
        <v>3</v>
      </c>
      <c r="B76" s="2">
        <v>12549</v>
      </c>
      <c r="C76" s="2">
        <v>4941337</v>
      </c>
      <c r="D76" s="2">
        <v>60754</v>
      </c>
      <c r="E76" s="2">
        <v>16.334</v>
      </c>
      <c r="F76" s="2">
        <v>0.17949999999999999</v>
      </c>
      <c r="G76" s="2">
        <v>15.9819</v>
      </c>
      <c r="H76" s="2">
        <v>16.686</v>
      </c>
      <c r="J76" t="str">
        <f t="shared" si="7"/>
        <v>16.33 (15.98 to 16.69)</v>
      </c>
    </row>
    <row r="77" spans="1:10" x14ac:dyDescent="0.3">
      <c r="A77" s="13" t="s">
        <v>153</v>
      </c>
      <c r="B77" s="2">
        <v>68635</v>
      </c>
      <c r="C77" s="2">
        <v>30251936</v>
      </c>
      <c r="D77" s="2">
        <v>228758</v>
      </c>
      <c r="E77" s="2">
        <v>100</v>
      </c>
      <c r="F77" s="2"/>
      <c r="G77" s="2"/>
      <c r="H77" s="2"/>
    </row>
    <row r="78" spans="1:10" ht="17.25" thickBot="1" x14ac:dyDescent="0.35"/>
    <row r="79" spans="1:10" ht="16.5" customHeight="1" x14ac:dyDescent="0.3">
      <c r="A79" s="16" t="s">
        <v>161</v>
      </c>
      <c r="B79" s="18"/>
      <c r="C79" s="18"/>
      <c r="D79" s="18"/>
      <c r="E79" s="18"/>
      <c r="F79" s="18"/>
      <c r="G79" s="18"/>
      <c r="H79" s="18"/>
    </row>
    <row r="80" spans="1:10" ht="33" customHeight="1" x14ac:dyDescent="0.3">
      <c r="A80" s="17" t="s">
        <v>13</v>
      </c>
      <c r="B80" s="19" t="s">
        <v>146</v>
      </c>
      <c r="C80" s="3" t="s">
        <v>147</v>
      </c>
      <c r="D80" s="3" t="s">
        <v>148</v>
      </c>
      <c r="E80" s="19" t="s">
        <v>150</v>
      </c>
      <c r="F80" s="3" t="s">
        <v>148</v>
      </c>
      <c r="G80" s="19" t="s">
        <v>151</v>
      </c>
      <c r="H80" s="19"/>
    </row>
    <row r="81" spans="1:10" ht="33" x14ac:dyDescent="0.3">
      <c r="A81" s="17"/>
      <c r="B81" s="19"/>
      <c r="C81" s="3" t="s">
        <v>146</v>
      </c>
      <c r="D81" s="3" t="s">
        <v>149</v>
      </c>
      <c r="E81" s="19"/>
      <c r="F81" s="3" t="s">
        <v>150</v>
      </c>
      <c r="G81" s="19" t="s">
        <v>152</v>
      </c>
      <c r="H81" s="19"/>
    </row>
    <row r="82" spans="1:10" ht="17.25" thickBot="1" x14ac:dyDescent="0.35">
      <c r="A82" s="12">
        <v>1</v>
      </c>
      <c r="B82" s="2">
        <v>18257</v>
      </c>
      <c r="C82" s="2">
        <v>8413045</v>
      </c>
      <c r="D82" s="2">
        <v>91908</v>
      </c>
      <c r="E82" s="2">
        <v>27.809899999999999</v>
      </c>
      <c r="F82" s="2">
        <v>0.22020000000000001</v>
      </c>
      <c r="G82" s="2">
        <v>27.378299999999999</v>
      </c>
      <c r="H82" s="2">
        <v>28.241599999999998</v>
      </c>
      <c r="J82" t="str">
        <f t="shared" ref="J82:J84" si="8">TEXT(E82,"0.00")&amp;" ("&amp;TEXT(G82,"0.00")&amp;" to "&amp;TEXT(H82,"0.00")&amp;")"</f>
        <v>27.81 (27.38 to 28.24)</v>
      </c>
    </row>
    <row r="83" spans="1:10" ht="17.25" thickBot="1" x14ac:dyDescent="0.35">
      <c r="A83" s="12">
        <v>2</v>
      </c>
      <c r="B83" s="2">
        <v>39551</v>
      </c>
      <c r="C83" s="2">
        <v>17621468</v>
      </c>
      <c r="D83" s="2">
        <v>153953</v>
      </c>
      <c r="E83" s="2">
        <v>58.249099999999999</v>
      </c>
      <c r="F83" s="2">
        <v>0.22770000000000001</v>
      </c>
      <c r="G83" s="2">
        <v>57.802599999999998</v>
      </c>
      <c r="H83" s="2">
        <v>58.695500000000003</v>
      </c>
      <c r="J83" t="str">
        <f t="shared" si="8"/>
        <v>58.25 (57.80 to 58.70)</v>
      </c>
    </row>
    <row r="84" spans="1:10" ht="17.25" thickBot="1" x14ac:dyDescent="0.35">
      <c r="A84" s="12">
        <v>3</v>
      </c>
      <c r="B84" s="2">
        <v>10827</v>
      </c>
      <c r="C84" s="2">
        <v>4217422</v>
      </c>
      <c r="D84" s="2">
        <v>56411</v>
      </c>
      <c r="E84" s="2">
        <v>13.941000000000001</v>
      </c>
      <c r="F84" s="2">
        <v>0.16309999999999999</v>
      </c>
      <c r="G84" s="2">
        <v>13.6212</v>
      </c>
      <c r="H84" s="2">
        <v>14.2608</v>
      </c>
      <c r="J84" t="str">
        <f t="shared" si="8"/>
        <v>13.94 (13.62 to 14.26)</v>
      </c>
    </row>
    <row r="85" spans="1:10" x14ac:dyDescent="0.3">
      <c r="A85" s="13" t="s">
        <v>153</v>
      </c>
      <c r="B85" s="2">
        <v>68635</v>
      </c>
      <c r="C85" s="2">
        <v>30251936</v>
      </c>
      <c r="D85" s="2">
        <v>228758</v>
      </c>
      <c r="E85" s="2">
        <v>100</v>
      </c>
      <c r="F85" s="2"/>
      <c r="G85" s="2"/>
      <c r="H85" s="2"/>
    </row>
    <row r="86" spans="1:10" ht="17.25" thickBot="1" x14ac:dyDescent="0.35"/>
    <row r="87" spans="1:10" ht="16.5" customHeight="1" x14ac:dyDescent="0.3">
      <c r="A87" s="16" t="s">
        <v>162</v>
      </c>
      <c r="B87" s="18"/>
      <c r="C87" s="18"/>
      <c r="D87" s="18"/>
      <c r="E87" s="18"/>
      <c r="F87" s="18"/>
      <c r="G87" s="18"/>
      <c r="H87" s="18"/>
    </row>
    <row r="88" spans="1:10" ht="33" customHeight="1" x14ac:dyDescent="0.3">
      <c r="A88" s="17" t="s">
        <v>14</v>
      </c>
      <c r="B88" s="19" t="s">
        <v>146</v>
      </c>
      <c r="C88" s="3" t="s">
        <v>147</v>
      </c>
      <c r="D88" s="3" t="s">
        <v>148</v>
      </c>
      <c r="E88" s="19" t="s">
        <v>150</v>
      </c>
      <c r="F88" s="3" t="s">
        <v>148</v>
      </c>
      <c r="G88" s="19" t="s">
        <v>151</v>
      </c>
      <c r="H88" s="19"/>
    </row>
    <row r="89" spans="1:10" ht="33" x14ac:dyDescent="0.3">
      <c r="A89" s="17"/>
      <c r="B89" s="19"/>
      <c r="C89" s="3" t="s">
        <v>146</v>
      </c>
      <c r="D89" s="3" t="s">
        <v>149</v>
      </c>
      <c r="E89" s="19"/>
      <c r="F89" s="3" t="s">
        <v>150</v>
      </c>
      <c r="G89" s="19" t="s">
        <v>152</v>
      </c>
      <c r="H89" s="19"/>
    </row>
    <row r="90" spans="1:10" ht="17.25" thickBot="1" x14ac:dyDescent="0.35">
      <c r="A90" s="12">
        <v>1</v>
      </c>
      <c r="B90" s="2">
        <v>26908</v>
      </c>
      <c r="C90" s="2">
        <v>10739070</v>
      </c>
      <c r="D90" s="2">
        <v>101823</v>
      </c>
      <c r="E90" s="2">
        <v>35.498800000000003</v>
      </c>
      <c r="F90" s="2">
        <v>0.23380000000000001</v>
      </c>
      <c r="G90" s="2">
        <v>35.040300000000002</v>
      </c>
      <c r="H90" s="2">
        <v>35.957299999999996</v>
      </c>
      <c r="J90" t="str">
        <f t="shared" ref="J90:J92" si="9">TEXT(E90,"0.00")&amp;" ("&amp;TEXT(G90,"0.00")&amp;" to "&amp;TEXT(H90,"0.00")&amp;")"</f>
        <v>35.50 (35.04 to 35.96)</v>
      </c>
    </row>
    <row r="91" spans="1:10" ht="17.25" thickBot="1" x14ac:dyDescent="0.35">
      <c r="A91" s="12">
        <v>2</v>
      </c>
      <c r="B91" s="2">
        <v>24999</v>
      </c>
      <c r="C91" s="2">
        <v>11740558</v>
      </c>
      <c r="D91" s="2">
        <v>121651</v>
      </c>
      <c r="E91" s="2">
        <v>38.8093</v>
      </c>
      <c r="F91" s="2">
        <v>0.23860000000000001</v>
      </c>
      <c r="G91" s="2">
        <v>38.3414</v>
      </c>
      <c r="H91" s="2">
        <v>39.277200000000001</v>
      </c>
      <c r="J91" t="str">
        <f t="shared" si="9"/>
        <v>38.81 (38.34 to 39.28)</v>
      </c>
    </row>
    <row r="92" spans="1:10" ht="17.25" thickBot="1" x14ac:dyDescent="0.35">
      <c r="A92" s="12">
        <v>3</v>
      </c>
      <c r="B92" s="2">
        <v>16728</v>
      </c>
      <c r="C92" s="2">
        <v>7772308</v>
      </c>
      <c r="D92" s="2">
        <v>85013</v>
      </c>
      <c r="E92" s="2">
        <v>25.6919</v>
      </c>
      <c r="F92" s="2">
        <v>0.2094</v>
      </c>
      <c r="G92" s="2">
        <v>25.281400000000001</v>
      </c>
      <c r="H92" s="2">
        <v>26.102499999999999</v>
      </c>
      <c r="J92" t="str">
        <f t="shared" si="9"/>
        <v>25.69 (25.28 to 26.10)</v>
      </c>
    </row>
    <row r="93" spans="1:10" x14ac:dyDescent="0.3">
      <c r="A93" s="13" t="s">
        <v>153</v>
      </c>
      <c r="B93" s="2">
        <v>68635</v>
      </c>
      <c r="C93" s="2">
        <v>30251936</v>
      </c>
      <c r="D93" s="2">
        <v>228758</v>
      </c>
      <c r="E93" s="2">
        <v>100</v>
      </c>
      <c r="F93" s="2"/>
      <c r="G93" s="2"/>
      <c r="H93" s="2"/>
    </row>
    <row r="94" spans="1:10" ht="17.25" thickBot="1" x14ac:dyDescent="0.35"/>
    <row r="95" spans="1:10" ht="16.5" customHeight="1" x14ac:dyDescent="0.3">
      <c r="A95" s="16" t="s">
        <v>163</v>
      </c>
      <c r="B95" s="18"/>
      <c r="C95" s="18"/>
      <c r="D95" s="18"/>
      <c r="E95" s="18"/>
      <c r="F95" s="18"/>
      <c r="G95" s="18"/>
      <c r="H95" s="18"/>
    </row>
    <row r="96" spans="1:10" ht="33" customHeight="1" x14ac:dyDescent="0.3">
      <c r="A96" s="17" t="s">
        <v>15</v>
      </c>
      <c r="B96" s="19" t="s">
        <v>146</v>
      </c>
      <c r="C96" s="3" t="s">
        <v>147</v>
      </c>
      <c r="D96" s="3" t="s">
        <v>148</v>
      </c>
      <c r="E96" s="19" t="s">
        <v>150</v>
      </c>
      <c r="F96" s="3" t="s">
        <v>148</v>
      </c>
      <c r="G96" s="19" t="s">
        <v>151</v>
      </c>
      <c r="H96" s="19"/>
    </row>
    <row r="97" spans="1:10" ht="33" x14ac:dyDescent="0.3">
      <c r="A97" s="17"/>
      <c r="B97" s="19"/>
      <c r="C97" s="3" t="s">
        <v>146</v>
      </c>
      <c r="D97" s="3" t="s">
        <v>149</v>
      </c>
      <c r="E97" s="19"/>
      <c r="F97" s="3" t="s">
        <v>150</v>
      </c>
      <c r="G97" s="19" t="s">
        <v>152</v>
      </c>
      <c r="H97" s="19"/>
    </row>
    <row r="98" spans="1:10" ht="17.25" thickBot="1" x14ac:dyDescent="0.35">
      <c r="A98" s="12">
        <v>0</v>
      </c>
      <c r="B98" s="2">
        <v>52064</v>
      </c>
      <c r="C98" s="2">
        <v>22068163</v>
      </c>
      <c r="D98" s="2">
        <v>184428</v>
      </c>
      <c r="E98" s="2">
        <v>72.947900000000004</v>
      </c>
      <c r="F98" s="2">
        <v>0.23330000000000001</v>
      </c>
      <c r="G98" s="2">
        <v>72.490499999999997</v>
      </c>
      <c r="H98" s="2">
        <v>73.405299999999997</v>
      </c>
      <c r="J98" t="str">
        <f t="shared" ref="J98:J99" si="10">TEXT(E98,"0.00")&amp;" ("&amp;TEXT(G98,"0.00")&amp;" to "&amp;TEXT(H98,"0.00")&amp;")"</f>
        <v>72.95 (72.49 to 73.41)</v>
      </c>
    </row>
    <row r="99" spans="1:10" ht="17.25" thickBot="1" x14ac:dyDescent="0.35">
      <c r="A99" s="12">
        <v>1</v>
      </c>
      <c r="B99" s="2">
        <v>16571</v>
      </c>
      <c r="C99" s="2">
        <v>8183773</v>
      </c>
      <c r="D99" s="2">
        <v>91483</v>
      </c>
      <c r="E99" s="2">
        <v>27.052099999999999</v>
      </c>
      <c r="F99" s="2">
        <v>0.23330000000000001</v>
      </c>
      <c r="G99" s="2">
        <v>26.5947</v>
      </c>
      <c r="H99" s="2">
        <v>27.509499999999999</v>
      </c>
      <c r="J99" t="str">
        <f t="shared" si="10"/>
        <v>27.05 (26.59 to 27.51)</v>
      </c>
    </row>
    <row r="100" spans="1:10" x14ac:dyDescent="0.3">
      <c r="A100" s="13" t="s">
        <v>153</v>
      </c>
      <c r="B100" s="2">
        <v>68635</v>
      </c>
      <c r="C100" s="2">
        <v>30251936</v>
      </c>
      <c r="D100" s="2">
        <v>228758</v>
      </c>
      <c r="E100" s="2">
        <v>100</v>
      </c>
      <c r="F100" s="2"/>
      <c r="G100" s="2"/>
      <c r="H100" s="2"/>
    </row>
    <row r="101" spans="1:10" ht="17.25" thickBot="1" x14ac:dyDescent="0.35"/>
    <row r="102" spans="1:10" ht="16.5" customHeight="1" x14ac:dyDescent="0.3">
      <c r="A102" s="16" t="s">
        <v>164</v>
      </c>
      <c r="B102" s="18"/>
      <c r="C102" s="18"/>
      <c r="D102" s="18"/>
      <c r="E102" s="18"/>
      <c r="F102" s="18"/>
      <c r="G102" s="18"/>
      <c r="H102" s="18"/>
    </row>
    <row r="103" spans="1:10" ht="33" customHeight="1" x14ac:dyDescent="0.3">
      <c r="A103" s="17" t="s">
        <v>16</v>
      </c>
      <c r="B103" s="19" t="s">
        <v>146</v>
      </c>
      <c r="C103" s="3" t="s">
        <v>147</v>
      </c>
      <c r="D103" s="3" t="s">
        <v>148</v>
      </c>
      <c r="E103" s="19" t="s">
        <v>150</v>
      </c>
      <c r="F103" s="3" t="s">
        <v>148</v>
      </c>
      <c r="G103" s="19" t="s">
        <v>151</v>
      </c>
      <c r="H103" s="19"/>
    </row>
    <row r="104" spans="1:10" ht="33" x14ac:dyDescent="0.3">
      <c r="A104" s="17"/>
      <c r="B104" s="19"/>
      <c r="C104" s="3" t="s">
        <v>146</v>
      </c>
      <c r="D104" s="3" t="s">
        <v>149</v>
      </c>
      <c r="E104" s="19"/>
      <c r="F104" s="3" t="s">
        <v>150</v>
      </c>
      <c r="G104" s="19" t="s">
        <v>152</v>
      </c>
      <c r="H104" s="19"/>
    </row>
    <row r="105" spans="1:10" ht="17.25" thickBot="1" x14ac:dyDescent="0.35">
      <c r="A105" s="12">
        <v>0</v>
      </c>
      <c r="B105" s="2">
        <v>53910</v>
      </c>
      <c r="C105" s="2">
        <v>25120748</v>
      </c>
      <c r="D105" s="2">
        <v>210229</v>
      </c>
      <c r="E105" s="2">
        <v>83.038499999999999</v>
      </c>
      <c r="F105" s="2">
        <v>0.19189999999999999</v>
      </c>
      <c r="G105" s="2">
        <v>82.662300000000002</v>
      </c>
      <c r="H105" s="2">
        <v>83.414699999999996</v>
      </c>
      <c r="J105" t="str">
        <f t="shared" ref="J105:J106" si="11">TEXT(E105,"0.00")&amp;" ("&amp;TEXT(G105,"0.00")&amp;" to "&amp;TEXT(H105,"0.00")&amp;")"</f>
        <v>83.04 (82.66 to 83.41)</v>
      </c>
    </row>
    <row r="106" spans="1:10" ht="17.25" thickBot="1" x14ac:dyDescent="0.35">
      <c r="A106" s="12">
        <v>1</v>
      </c>
      <c r="B106" s="2">
        <v>14725</v>
      </c>
      <c r="C106" s="2">
        <v>5131188</v>
      </c>
      <c r="D106" s="2">
        <v>62498</v>
      </c>
      <c r="E106" s="2">
        <v>16.961500000000001</v>
      </c>
      <c r="F106" s="2">
        <v>0.19189999999999999</v>
      </c>
      <c r="G106" s="2">
        <v>16.5853</v>
      </c>
      <c r="H106" s="2">
        <v>17.337700000000002</v>
      </c>
      <c r="J106" t="str">
        <f t="shared" si="11"/>
        <v>16.96 (16.59 to 17.34)</v>
      </c>
    </row>
    <row r="107" spans="1:10" x14ac:dyDescent="0.3">
      <c r="A107" s="13" t="s">
        <v>153</v>
      </c>
      <c r="B107" s="2">
        <v>68635</v>
      </c>
      <c r="C107" s="2">
        <v>30251936</v>
      </c>
      <c r="D107" s="2">
        <v>228758</v>
      </c>
      <c r="E107" s="2">
        <v>100</v>
      </c>
      <c r="F107" s="2"/>
      <c r="G107" s="2"/>
      <c r="H107" s="2"/>
    </row>
    <row r="108" spans="1:10" ht="17.25" thickBot="1" x14ac:dyDescent="0.35"/>
    <row r="109" spans="1:10" ht="16.5" customHeight="1" x14ac:dyDescent="0.3">
      <c r="A109" s="16" t="s">
        <v>165</v>
      </c>
      <c r="B109" s="18"/>
      <c r="C109" s="18"/>
      <c r="D109" s="18"/>
      <c r="E109" s="18"/>
      <c r="F109" s="18"/>
      <c r="G109" s="18"/>
      <c r="H109" s="18"/>
    </row>
    <row r="110" spans="1:10" ht="33" customHeight="1" x14ac:dyDescent="0.3">
      <c r="A110" s="17" t="s">
        <v>17</v>
      </c>
      <c r="B110" s="19" t="s">
        <v>146</v>
      </c>
      <c r="C110" s="3" t="s">
        <v>147</v>
      </c>
      <c r="D110" s="3" t="s">
        <v>148</v>
      </c>
      <c r="E110" s="19" t="s">
        <v>150</v>
      </c>
      <c r="F110" s="3" t="s">
        <v>148</v>
      </c>
      <c r="G110" s="19" t="s">
        <v>151</v>
      </c>
      <c r="H110" s="19"/>
    </row>
    <row r="111" spans="1:10" ht="33" x14ac:dyDescent="0.3">
      <c r="A111" s="17"/>
      <c r="B111" s="19"/>
      <c r="C111" s="3" t="s">
        <v>146</v>
      </c>
      <c r="D111" s="3" t="s">
        <v>149</v>
      </c>
      <c r="E111" s="19"/>
      <c r="F111" s="3" t="s">
        <v>150</v>
      </c>
      <c r="G111" s="19" t="s">
        <v>152</v>
      </c>
      <c r="H111" s="19"/>
    </row>
    <row r="112" spans="1:10" ht="17.25" thickBot="1" x14ac:dyDescent="0.35">
      <c r="A112" s="12">
        <v>0</v>
      </c>
      <c r="B112" s="2">
        <v>58467</v>
      </c>
      <c r="C112" s="2">
        <v>26457207</v>
      </c>
      <c r="D112" s="2">
        <v>211261</v>
      </c>
      <c r="E112" s="2">
        <v>87.456199999999995</v>
      </c>
      <c r="F112" s="2">
        <v>0.1542</v>
      </c>
      <c r="G112" s="2">
        <v>87.153800000000004</v>
      </c>
      <c r="H112" s="2">
        <v>87.758700000000005</v>
      </c>
      <c r="J112" t="str">
        <f t="shared" ref="J112:J113" si="12">TEXT(E112,"0.00")&amp;" ("&amp;TEXT(G112,"0.00")&amp;" to "&amp;TEXT(H112,"0.00")&amp;")"</f>
        <v>87.46 (87.15 to 87.76)</v>
      </c>
    </row>
    <row r="113" spans="1:10" ht="17.25" thickBot="1" x14ac:dyDescent="0.35">
      <c r="A113" s="12">
        <v>1</v>
      </c>
      <c r="B113" s="2">
        <v>10168</v>
      </c>
      <c r="C113" s="2">
        <v>3794729</v>
      </c>
      <c r="D113" s="2">
        <v>51502</v>
      </c>
      <c r="E113" s="2">
        <v>12.543799999999999</v>
      </c>
      <c r="F113" s="2">
        <v>0.1542</v>
      </c>
      <c r="G113" s="2">
        <v>12.241300000000001</v>
      </c>
      <c r="H113" s="2">
        <v>12.8462</v>
      </c>
      <c r="J113" t="str">
        <f t="shared" si="12"/>
        <v>12.54 (12.24 to 12.85)</v>
      </c>
    </row>
    <row r="114" spans="1:10" x14ac:dyDescent="0.3">
      <c r="A114" s="13" t="s">
        <v>153</v>
      </c>
      <c r="B114" s="2">
        <v>68635</v>
      </c>
      <c r="C114" s="2">
        <v>30251936</v>
      </c>
      <c r="D114" s="2">
        <v>228758</v>
      </c>
      <c r="E114" s="2">
        <v>100</v>
      </c>
      <c r="F114" s="2"/>
      <c r="G114" s="2"/>
      <c r="H114" s="2"/>
    </row>
    <row r="115" spans="1:10" ht="17.25" thickBot="1" x14ac:dyDescent="0.35"/>
    <row r="116" spans="1:10" ht="16.5" customHeight="1" x14ac:dyDescent="0.3">
      <c r="A116" s="16" t="s">
        <v>166</v>
      </c>
      <c r="B116" s="18"/>
      <c r="C116" s="18"/>
      <c r="D116" s="18"/>
      <c r="E116" s="18"/>
      <c r="F116" s="18"/>
      <c r="G116" s="18"/>
      <c r="H116" s="18"/>
    </row>
    <row r="117" spans="1:10" ht="33" customHeight="1" x14ac:dyDescent="0.3">
      <c r="A117" s="17" t="s">
        <v>18</v>
      </c>
      <c r="B117" s="19" t="s">
        <v>146</v>
      </c>
      <c r="C117" s="3" t="s">
        <v>147</v>
      </c>
      <c r="D117" s="3" t="s">
        <v>148</v>
      </c>
      <c r="E117" s="19" t="s">
        <v>150</v>
      </c>
      <c r="F117" s="3" t="s">
        <v>148</v>
      </c>
      <c r="G117" s="19" t="s">
        <v>151</v>
      </c>
      <c r="H117" s="19"/>
    </row>
    <row r="118" spans="1:10" ht="33" x14ac:dyDescent="0.3">
      <c r="A118" s="17"/>
      <c r="B118" s="19"/>
      <c r="C118" s="3" t="s">
        <v>146</v>
      </c>
      <c r="D118" s="3" t="s">
        <v>149</v>
      </c>
      <c r="E118" s="19"/>
      <c r="F118" s="3" t="s">
        <v>150</v>
      </c>
      <c r="G118" s="19" t="s">
        <v>152</v>
      </c>
      <c r="H118" s="19"/>
    </row>
    <row r="119" spans="1:10" ht="17.25" thickBot="1" x14ac:dyDescent="0.35">
      <c r="A119" s="12">
        <v>0</v>
      </c>
      <c r="B119" s="2">
        <v>67344</v>
      </c>
      <c r="C119" s="2">
        <v>29839323</v>
      </c>
      <c r="D119" s="2">
        <v>227888</v>
      </c>
      <c r="E119" s="2">
        <v>98.636099999999999</v>
      </c>
      <c r="F119" s="2">
        <v>4.7500000000000001E-2</v>
      </c>
      <c r="G119" s="2">
        <v>98.543000000000006</v>
      </c>
      <c r="H119" s="2">
        <v>98.729200000000006</v>
      </c>
      <c r="J119" t="str">
        <f t="shared" ref="J119:J120" si="13">TEXT(E119,"0.00")&amp;" ("&amp;TEXT(G119,"0.00")&amp;" to "&amp;TEXT(H119,"0.00")&amp;")"</f>
        <v>98.64 (98.54 to 98.73)</v>
      </c>
    </row>
    <row r="120" spans="1:10" ht="17.25" thickBot="1" x14ac:dyDescent="0.35">
      <c r="A120" s="12">
        <v>1</v>
      </c>
      <c r="B120" s="2">
        <v>1291</v>
      </c>
      <c r="C120" s="2">
        <v>412612</v>
      </c>
      <c r="D120" s="2">
        <v>14314</v>
      </c>
      <c r="E120" s="2">
        <v>1.3638999999999999</v>
      </c>
      <c r="F120" s="2">
        <v>4.7500000000000001E-2</v>
      </c>
      <c r="G120" s="2">
        <v>1.2707999999999999</v>
      </c>
      <c r="H120" s="2">
        <v>1.4570000000000001</v>
      </c>
      <c r="J120" t="str">
        <f t="shared" si="13"/>
        <v>1.36 (1.27 to 1.46)</v>
      </c>
    </row>
    <row r="121" spans="1:10" x14ac:dyDescent="0.3">
      <c r="A121" s="13" t="s">
        <v>153</v>
      </c>
      <c r="B121" s="2">
        <v>68635</v>
      </c>
      <c r="C121" s="2">
        <v>30251936</v>
      </c>
      <c r="D121" s="2">
        <v>228758</v>
      </c>
      <c r="E121" s="2">
        <v>100</v>
      </c>
      <c r="F121" s="2"/>
      <c r="G121" s="2"/>
      <c r="H121" s="2"/>
    </row>
    <row r="122" spans="1:10" ht="17.25" thickBot="1" x14ac:dyDescent="0.35"/>
    <row r="123" spans="1:10" ht="16.5" customHeight="1" x14ac:dyDescent="0.3">
      <c r="A123" s="16" t="s">
        <v>167</v>
      </c>
      <c r="B123" s="18"/>
      <c r="C123" s="18"/>
      <c r="D123" s="18"/>
      <c r="E123" s="18"/>
      <c r="F123" s="18"/>
      <c r="G123" s="18"/>
      <c r="H123" s="18"/>
    </row>
    <row r="124" spans="1:10" ht="33" customHeight="1" x14ac:dyDescent="0.3">
      <c r="A124" s="17" t="s">
        <v>19</v>
      </c>
      <c r="B124" s="19" t="s">
        <v>146</v>
      </c>
      <c r="C124" s="3" t="s">
        <v>147</v>
      </c>
      <c r="D124" s="3" t="s">
        <v>148</v>
      </c>
      <c r="E124" s="19" t="s">
        <v>150</v>
      </c>
      <c r="F124" s="3" t="s">
        <v>148</v>
      </c>
      <c r="G124" s="19" t="s">
        <v>151</v>
      </c>
      <c r="H124" s="19"/>
    </row>
    <row r="125" spans="1:10" ht="33" x14ac:dyDescent="0.3">
      <c r="A125" s="17"/>
      <c r="B125" s="19"/>
      <c r="C125" s="3" t="s">
        <v>146</v>
      </c>
      <c r="D125" s="3" t="s">
        <v>149</v>
      </c>
      <c r="E125" s="19"/>
      <c r="F125" s="3" t="s">
        <v>150</v>
      </c>
      <c r="G125" s="19" t="s">
        <v>152</v>
      </c>
      <c r="H125" s="19"/>
    </row>
    <row r="126" spans="1:10" ht="17.25" thickBot="1" x14ac:dyDescent="0.35">
      <c r="A126" s="12">
        <v>0</v>
      </c>
      <c r="B126" s="2">
        <v>67998</v>
      </c>
      <c r="C126" s="2">
        <v>30047789</v>
      </c>
      <c r="D126" s="2">
        <v>227796</v>
      </c>
      <c r="E126" s="2">
        <v>99.325199999999995</v>
      </c>
      <c r="F126" s="2">
        <v>3.1699999999999999E-2</v>
      </c>
      <c r="G126" s="2">
        <v>99.263000000000005</v>
      </c>
      <c r="H126" s="2">
        <v>99.387299999999996</v>
      </c>
      <c r="J126" t="str">
        <f t="shared" ref="J126:J127" si="14">TEXT(E126,"0.00")&amp;" ("&amp;TEXT(G126,"0.00")&amp;" to "&amp;TEXT(H126,"0.00")&amp;")"</f>
        <v>99.33 (99.26 to 99.39)</v>
      </c>
    </row>
    <row r="127" spans="1:10" ht="17.25" thickBot="1" x14ac:dyDescent="0.35">
      <c r="A127" s="12">
        <v>1</v>
      </c>
      <c r="B127" s="2">
        <v>637</v>
      </c>
      <c r="C127" s="2">
        <v>204146</v>
      </c>
      <c r="D127" s="2">
        <v>9654</v>
      </c>
      <c r="E127" s="2">
        <v>0.67479999999999996</v>
      </c>
      <c r="F127" s="2">
        <v>3.1699999999999999E-2</v>
      </c>
      <c r="G127" s="2">
        <v>0.61270000000000002</v>
      </c>
      <c r="H127" s="2">
        <v>0.73699999999999999</v>
      </c>
      <c r="J127" t="str">
        <f t="shared" si="14"/>
        <v>0.67 (0.61 to 0.74)</v>
      </c>
    </row>
    <row r="128" spans="1:10" x14ac:dyDescent="0.3">
      <c r="A128" s="13" t="s">
        <v>153</v>
      </c>
      <c r="B128" s="2">
        <v>68635</v>
      </c>
      <c r="C128" s="2">
        <v>30251936</v>
      </c>
      <c r="D128" s="2">
        <v>228758</v>
      </c>
      <c r="E128" s="2">
        <v>100</v>
      </c>
      <c r="F128" s="2"/>
      <c r="G128" s="2"/>
      <c r="H128" s="2"/>
    </row>
    <row r="129" spans="1:10" ht="17.25" thickBot="1" x14ac:dyDescent="0.35"/>
    <row r="130" spans="1:10" ht="16.5" customHeight="1" x14ac:dyDescent="0.3">
      <c r="A130" s="16" t="s">
        <v>168</v>
      </c>
      <c r="B130" s="18"/>
      <c r="C130" s="18"/>
      <c r="D130" s="18"/>
      <c r="E130" s="18"/>
      <c r="F130" s="18"/>
      <c r="G130" s="18"/>
      <c r="H130" s="18"/>
    </row>
    <row r="131" spans="1:10" ht="33" customHeight="1" x14ac:dyDescent="0.3">
      <c r="A131" s="17" t="s">
        <v>20</v>
      </c>
      <c r="B131" s="19" t="s">
        <v>146</v>
      </c>
      <c r="C131" s="3" t="s">
        <v>147</v>
      </c>
      <c r="D131" s="3" t="s">
        <v>148</v>
      </c>
      <c r="E131" s="19" t="s">
        <v>150</v>
      </c>
      <c r="F131" s="3" t="s">
        <v>148</v>
      </c>
      <c r="G131" s="19" t="s">
        <v>151</v>
      </c>
      <c r="H131" s="19"/>
    </row>
    <row r="132" spans="1:10" ht="33" x14ac:dyDescent="0.3">
      <c r="A132" s="17"/>
      <c r="B132" s="19"/>
      <c r="C132" s="3" t="s">
        <v>146</v>
      </c>
      <c r="D132" s="3" t="s">
        <v>149</v>
      </c>
      <c r="E132" s="19"/>
      <c r="F132" s="3" t="s">
        <v>150</v>
      </c>
      <c r="G132" s="19" t="s">
        <v>152</v>
      </c>
      <c r="H132" s="19"/>
    </row>
    <row r="133" spans="1:10" ht="17.25" thickBot="1" x14ac:dyDescent="0.35">
      <c r="A133" s="12">
        <v>0</v>
      </c>
      <c r="B133" s="2">
        <v>67434</v>
      </c>
      <c r="C133" s="2">
        <v>29874191</v>
      </c>
      <c r="D133" s="2">
        <v>227215</v>
      </c>
      <c r="E133" s="2">
        <v>98.751300000000001</v>
      </c>
      <c r="F133" s="2">
        <v>4.3299999999999998E-2</v>
      </c>
      <c r="G133" s="2">
        <v>98.666499999999999</v>
      </c>
      <c r="H133" s="2">
        <v>98.836200000000005</v>
      </c>
      <c r="J133" t="str">
        <f t="shared" ref="J133:J134" si="15">TEXT(E133,"0.00")&amp;" ("&amp;TEXT(G133,"0.00")&amp;" to "&amp;TEXT(H133,"0.00")&amp;")"</f>
        <v>98.75 (98.67 to 98.84)</v>
      </c>
    </row>
    <row r="134" spans="1:10" ht="17.25" thickBot="1" x14ac:dyDescent="0.35">
      <c r="A134" s="12">
        <v>1</v>
      </c>
      <c r="B134" s="2">
        <v>1201</v>
      </c>
      <c r="C134" s="2">
        <v>377745</v>
      </c>
      <c r="D134" s="2">
        <v>13202</v>
      </c>
      <c r="E134" s="2">
        <v>1.2486999999999999</v>
      </c>
      <c r="F134" s="2">
        <v>4.3299999999999998E-2</v>
      </c>
      <c r="G134" s="2">
        <v>1.1637999999999999</v>
      </c>
      <c r="H134" s="2">
        <v>1.3334999999999999</v>
      </c>
      <c r="J134" t="str">
        <f t="shared" si="15"/>
        <v>1.25 (1.16 to 1.33)</v>
      </c>
    </row>
    <row r="135" spans="1:10" x14ac:dyDescent="0.3">
      <c r="A135" s="13" t="s">
        <v>153</v>
      </c>
      <c r="B135" s="2">
        <v>68635</v>
      </c>
      <c r="C135" s="2">
        <v>30251936</v>
      </c>
      <c r="D135" s="2">
        <v>228758</v>
      </c>
      <c r="E135" s="2">
        <v>100</v>
      </c>
      <c r="F135" s="2"/>
      <c r="G135" s="2"/>
      <c r="H135" s="2"/>
    </row>
  </sheetData>
  <autoFilter ref="A1:A135" xr:uid="{91922815-9C41-4AFF-B62A-DE15C3968B02}"/>
  <mergeCells count="98">
    <mergeCell ref="A5:B5"/>
    <mergeCell ref="A11:B11"/>
    <mergeCell ref="A15:H15"/>
    <mergeCell ref="A16:A17"/>
    <mergeCell ref="B16:B17"/>
    <mergeCell ref="E16:E17"/>
    <mergeCell ref="G16:H16"/>
    <mergeCell ref="G17:H17"/>
    <mergeCell ref="A23:H23"/>
    <mergeCell ref="A24:A25"/>
    <mergeCell ref="B24:B25"/>
    <mergeCell ref="E24:E25"/>
    <mergeCell ref="G24:H24"/>
    <mergeCell ref="G25:H25"/>
    <mergeCell ref="A30:H30"/>
    <mergeCell ref="A31:A32"/>
    <mergeCell ref="B31:B32"/>
    <mergeCell ref="E31:E32"/>
    <mergeCell ref="G31:H31"/>
    <mergeCell ref="G32:H32"/>
    <mergeCell ref="A37:H37"/>
    <mergeCell ref="A38:A39"/>
    <mergeCell ref="B38:B39"/>
    <mergeCell ref="E38:E39"/>
    <mergeCell ref="G38:H38"/>
    <mergeCell ref="G39:H39"/>
    <mergeCell ref="A46:H46"/>
    <mergeCell ref="A47:A48"/>
    <mergeCell ref="B47:B48"/>
    <mergeCell ref="E47:E48"/>
    <mergeCell ref="G47:H47"/>
    <mergeCell ref="G48:H48"/>
    <mergeCell ref="A55:H55"/>
    <mergeCell ref="A56:A57"/>
    <mergeCell ref="B56:B57"/>
    <mergeCell ref="E56:E57"/>
    <mergeCell ref="G56:H56"/>
    <mergeCell ref="G57:H57"/>
    <mergeCell ref="A64:H64"/>
    <mergeCell ref="A65:A66"/>
    <mergeCell ref="B65:B66"/>
    <mergeCell ref="E65:E66"/>
    <mergeCell ref="G65:H65"/>
    <mergeCell ref="G66:H66"/>
    <mergeCell ref="A71:H71"/>
    <mergeCell ref="A72:A73"/>
    <mergeCell ref="B72:B73"/>
    <mergeCell ref="E72:E73"/>
    <mergeCell ref="G72:H72"/>
    <mergeCell ref="G73:H73"/>
    <mergeCell ref="A79:H79"/>
    <mergeCell ref="A80:A81"/>
    <mergeCell ref="B80:B81"/>
    <mergeCell ref="E80:E81"/>
    <mergeCell ref="G80:H80"/>
    <mergeCell ref="G81:H81"/>
    <mergeCell ref="A87:H87"/>
    <mergeCell ref="A88:A89"/>
    <mergeCell ref="B88:B89"/>
    <mergeCell ref="E88:E89"/>
    <mergeCell ref="G88:H88"/>
    <mergeCell ref="G89:H89"/>
    <mergeCell ref="A95:H95"/>
    <mergeCell ref="A96:A97"/>
    <mergeCell ref="B96:B97"/>
    <mergeCell ref="E96:E97"/>
    <mergeCell ref="G96:H96"/>
    <mergeCell ref="G97:H97"/>
    <mergeCell ref="A102:H102"/>
    <mergeCell ref="A103:A104"/>
    <mergeCell ref="B103:B104"/>
    <mergeCell ref="E103:E104"/>
    <mergeCell ref="G103:H103"/>
    <mergeCell ref="G104:H104"/>
    <mergeCell ref="A109:H109"/>
    <mergeCell ref="A110:A111"/>
    <mergeCell ref="B110:B111"/>
    <mergeCell ref="E110:E111"/>
    <mergeCell ref="G110:H110"/>
    <mergeCell ref="G111:H111"/>
    <mergeCell ref="A116:H116"/>
    <mergeCell ref="A117:A118"/>
    <mergeCell ref="B117:B118"/>
    <mergeCell ref="E117:E118"/>
    <mergeCell ref="G117:H117"/>
    <mergeCell ref="G118:H118"/>
    <mergeCell ref="A123:H123"/>
    <mergeCell ref="A124:A125"/>
    <mergeCell ref="B124:B125"/>
    <mergeCell ref="E124:E125"/>
    <mergeCell ref="G124:H124"/>
    <mergeCell ref="G125:H125"/>
    <mergeCell ref="A130:H130"/>
    <mergeCell ref="A131:A132"/>
    <mergeCell ref="B131:B132"/>
    <mergeCell ref="E131:E132"/>
    <mergeCell ref="G131:H131"/>
    <mergeCell ref="G132:H132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E065-6782-4D86-B355-59AA10E38420}">
  <dimension ref="A1:R367"/>
  <sheetViews>
    <sheetView topLeftCell="A332" workbookViewId="0">
      <selection activeCell="O353" sqref="O353:R354"/>
    </sheetView>
  </sheetViews>
  <sheetFormatPr defaultRowHeight="16.5" x14ac:dyDescent="0.3"/>
  <cols>
    <col min="15" max="18" width="20.5" bestFit="1" customWidth="1"/>
  </cols>
  <sheetData>
    <row r="1" spans="1:13" x14ac:dyDescent="0.3">
      <c r="A1" s="1" t="s">
        <v>134</v>
      </c>
    </row>
    <row r="3" spans="1:13" x14ac:dyDescent="0.3">
      <c r="A3" s="1" t="s">
        <v>21</v>
      </c>
    </row>
    <row r="4" spans="1:13" ht="17.25" thickBot="1" x14ac:dyDescent="0.35"/>
    <row r="5" spans="1:13" ht="16.5" customHeight="1" x14ac:dyDescent="0.3">
      <c r="A5" s="16" t="s">
        <v>135</v>
      </c>
      <c r="B5" s="18"/>
    </row>
    <row r="6" spans="1:13" ht="26.25" thickBot="1" x14ac:dyDescent="0.35">
      <c r="A6" s="12" t="s">
        <v>136</v>
      </c>
      <c r="B6" s="2">
        <v>183</v>
      </c>
    </row>
    <row r="7" spans="1:13" ht="26.25" thickBot="1" x14ac:dyDescent="0.35">
      <c r="A7" s="12" t="s">
        <v>137</v>
      </c>
      <c r="B7" s="2">
        <v>2982</v>
      </c>
    </row>
    <row r="8" spans="1:13" ht="39" thickBot="1" x14ac:dyDescent="0.35">
      <c r="A8" s="12" t="s">
        <v>138</v>
      </c>
      <c r="B8" s="2">
        <v>68635</v>
      </c>
    </row>
    <row r="9" spans="1:13" ht="25.5" x14ac:dyDescent="0.3">
      <c r="A9" s="13" t="s">
        <v>139</v>
      </c>
      <c r="B9" s="2">
        <v>30251935.699999999</v>
      </c>
    </row>
    <row r="10" spans="1:13" ht="17.25" thickBot="1" x14ac:dyDescent="0.35"/>
    <row r="11" spans="1:13" ht="33" customHeight="1" x14ac:dyDescent="0.3">
      <c r="A11" s="16" t="s">
        <v>140</v>
      </c>
      <c r="B11" s="18"/>
    </row>
    <row r="12" spans="1:13" ht="33.75" thickBot="1" x14ac:dyDescent="0.35">
      <c r="A12" s="12" t="s">
        <v>141</v>
      </c>
      <c r="B12" s="2" t="s">
        <v>142</v>
      </c>
    </row>
    <row r="13" spans="1:13" ht="25.5" x14ac:dyDescent="0.3">
      <c r="A13" s="13" t="s">
        <v>143</v>
      </c>
      <c r="B13" s="2" t="s">
        <v>144</v>
      </c>
    </row>
    <row r="14" spans="1:13" ht="17.25" thickBot="1" x14ac:dyDescent="0.35"/>
    <row r="15" spans="1:13" ht="16.5" customHeight="1" x14ac:dyDescent="0.3">
      <c r="A15" s="16" t="s">
        <v>169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ht="33" customHeight="1" x14ac:dyDescent="0.3">
      <c r="A16" s="17" t="s">
        <v>25</v>
      </c>
      <c r="B16" s="19" t="s">
        <v>2</v>
      </c>
      <c r="C16" s="19" t="s">
        <v>146</v>
      </c>
      <c r="D16" s="3" t="s">
        <v>147</v>
      </c>
      <c r="E16" s="3" t="s">
        <v>148</v>
      </c>
      <c r="F16" s="19" t="s">
        <v>150</v>
      </c>
      <c r="G16" s="3" t="s">
        <v>148</v>
      </c>
      <c r="H16" s="19" t="s">
        <v>151</v>
      </c>
      <c r="I16" s="19"/>
      <c r="J16" s="3" t="s">
        <v>170</v>
      </c>
      <c r="K16" s="3" t="s">
        <v>148</v>
      </c>
      <c r="L16" s="19" t="s">
        <v>151</v>
      </c>
      <c r="M16" s="19"/>
    </row>
    <row r="17" spans="1:18" ht="33" x14ac:dyDescent="0.3">
      <c r="A17" s="17"/>
      <c r="B17" s="19"/>
      <c r="C17" s="19"/>
      <c r="D17" s="3" t="s">
        <v>146</v>
      </c>
      <c r="E17" s="3" t="s">
        <v>149</v>
      </c>
      <c r="F17" s="19"/>
      <c r="G17" s="3" t="s">
        <v>150</v>
      </c>
      <c r="H17" s="19" t="s">
        <v>152</v>
      </c>
      <c r="I17" s="19"/>
      <c r="J17" s="3" t="s">
        <v>150</v>
      </c>
      <c r="K17" s="3" t="s">
        <v>171</v>
      </c>
      <c r="L17" s="19" t="s">
        <v>172</v>
      </c>
      <c r="M17" s="19"/>
    </row>
    <row r="18" spans="1:18" ht="17.25" thickBot="1" x14ac:dyDescent="0.35">
      <c r="A18" s="6">
        <v>1</v>
      </c>
      <c r="B18" s="11">
        <v>1</v>
      </c>
      <c r="C18" s="2">
        <v>7988</v>
      </c>
      <c r="D18" s="2">
        <v>4283615</v>
      </c>
      <c r="E18" s="2">
        <v>66997</v>
      </c>
      <c r="F18" s="2">
        <v>14.159800000000001</v>
      </c>
      <c r="G18" s="2">
        <v>0.1817</v>
      </c>
      <c r="H18" s="2">
        <v>13.8034</v>
      </c>
      <c r="I18" s="2">
        <v>14.5162</v>
      </c>
      <c r="J18" s="2">
        <v>57.607500000000002</v>
      </c>
      <c r="K18" s="2">
        <v>0.47860000000000003</v>
      </c>
      <c r="L18" s="2">
        <v>56.6691</v>
      </c>
      <c r="M18" s="2">
        <v>58.545999999999999</v>
      </c>
      <c r="O18" t="str">
        <f>TEXT(J18,"0.00")&amp;" ("&amp;TEXT(L18,"0.00")&amp;" to "&amp;TEXT(M18,"0.00")&amp;")"</f>
        <v>57.61 (56.67 to 58.55)</v>
      </c>
      <c r="P18" t="str">
        <f>O22</f>
        <v>41.89 (40.86 to 42.92)</v>
      </c>
      <c r="Q18" t="str">
        <f>O26</f>
        <v>32.45 (31.46 to 33.44)</v>
      </c>
      <c r="R18" t="str">
        <f>O30</f>
        <v>25.57 (24.68 to 26.46)</v>
      </c>
    </row>
    <row r="19" spans="1:18" ht="17.25" thickBot="1" x14ac:dyDescent="0.35">
      <c r="A19" s="6"/>
      <c r="B19" s="11">
        <v>2</v>
      </c>
      <c r="C19" s="2">
        <v>6367</v>
      </c>
      <c r="D19" s="2">
        <v>2647727</v>
      </c>
      <c r="E19" s="2">
        <v>43645</v>
      </c>
      <c r="F19" s="2">
        <v>8.7523</v>
      </c>
      <c r="G19" s="2">
        <v>0.1273</v>
      </c>
      <c r="H19" s="2">
        <v>8.5027000000000008</v>
      </c>
      <c r="I19" s="2">
        <v>9.0017999999999994</v>
      </c>
      <c r="J19" s="2">
        <v>35.607599999999998</v>
      </c>
      <c r="K19" s="2">
        <v>0.44009999999999999</v>
      </c>
      <c r="L19" s="2">
        <v>34.744599999999998</v>
      </c>
      <c r="M19" s="2">
        <v>36.470500000000001</v>
      </c>
      <c r="O19" t="str">
        <f t="shared" ref="O19:O20" si="0">TEXT(J19,"0.00")&amp;" ("&amp;TEXT(L19,"0.00")&amp;" to "&amp;TEXT(M19,"0.00")&amp;")"</f>
        <v>35.61 (34.74 to 36.47)</v>
      </c>
      <c r="P19" t="str">
        <f t="shared" ref="P19:P20" si="1">O23</f>
        <v>45.61 (44.66 to 46.56)</v>
      </c>
      <c r="Q19" t="str">
        <f t="shared" ref="Q19:Q20" si="2">O27</f>
        <v>51.58 (50.63 to 52.53)</v>
      </c>
      <c r="R19" t="str">
        <f t="shared" ref="R19:R20" si="3">O31</f>
        <v>60.26 (59.35 to 61.16)</v>
      </c>
    </row>
    <row r="20" spans="1:18" ht="17.25" thickBot="1" x14ac:dyDescent="0.35">
      <c r="A20" s="6"/>
      <c r="B20" s="11">
        <v>3</v>
      </c>
      <c r="C20" s="2">
        <v>1926</v>
      </c>
      <c r="D20" s="2">
        <v>504515</v>
      </c>
      <c r="E20" s="2">
        <v>14548</v>
      </c>
      <c r="F20" s="2">
        <v>1.6677</v>
      </c>
      <c r="G20" s="2">
        <v>4.8399999999999999E-2</v>
      </c>
      <c r="H20" s="2">
        <v>1.5728</v>
      </c>
      <c r="I20" s="2">
        <v>1.7625999999999999</v>
      </c>
      <c r="J20" s="2">
        <v>6.7849000000000004</v>
      </c>
      <c r="K20" s="2">
        <v>0.19620000000000001</v>
      </c>
      <c r="L20" s="2">
        <v>6.4001999999999999</v>
      </c>
      <c r="M20" s="2">
        <v>7.1696</v>
      </c>
      <c r="O20" t="str">
        <f t="shared" si="0"/>
        <v>6.78 (6.40 to 7.17)</v>
      </c>
      <c r="P20" t="str">
        <f t="shared" si="1"/>
        <v>12.50 (11.93 to 13.07)</v>
      </c>
      <c r="Q20" t="str">
        <f t="shared" si="2"/>
        <v>15.97 (15.36 to 16.58)</v>
      </c>
      <c r="R20" t="str">
        <f t="shared" si="3"/>
        <v>14.17 (13.61 to 14.73)</v>
      </c>
    </row>
    <row r="21" spans="1:18" ht="17.25" thickBot="1" x14ac:dyDescent="0.35">
      <c r="A21" s="6"/>
      <c r="B21" s="11" t="s">
        <v>153</v>
      </c>
      <c r="C21" s="2">
        <v>16281</v>
      </c>
      <c r="D21" s="2">
        <v>7435856</v>
      </c>
      <c r="E21" s="2">
        <v>88984</v>
      </c>
      <c r="F21" s="2">
        <v>24.579799999999999</v>
      </c>
      <c r="G21" s="2">
        <v>0.21490000000000001</v>
      </c>
      <c r="H21" s="2">
        <v>24.158300000000001</v>
      </c>
      <c r="I21" s="2">
        <v>25.001200000000001</v>
      </c>
      <c r="J21" s="2">
        <v>100</v>
      </c>
      <c r="K21" s="2"/>
      <c r="L21" s="2"/>
      <c r="M21" s="2"/>
    </row>
    <row r="22" spans="1:18" ht="17.25" thickBot="1" x14ac:dyDescent="0.35">
      <c r="A22" s="6">
        <v>2</v>
      </c>
      <c r="B22" s="11">
        <v>1</v>
      </c>
      <c r="C22" s="2">
        <v>5469</v>
      </c>
      <c r="D22" s="2">
        <v>3082271</v>
      </c>
      <c r="E22" s="2">
        <v>56769</v>
      </c>
      <c r="F22" s="2">
        <v>10.188700000000001</v>
      </c>
      <c r="G22" s="2">
        <v>0.16189999999999999</v>
      </c>
      <c r="H22" s="2">
        <v>9.8712</v>
      </c>
      <c r="I22" s="2">
        <v>10.5062</v>
      </c>
      <c r="J22" s="2">
        <v>41.890300000000003</v>
      </c>
      <c r="K22" s="2">
        <v>0.52490000000000003</v>
      </c>
      <c r="L22" s="2">
        <v>40.8611</v>
      </c>
      <c r="M22" s="2">
        <v>42.919600000000003</v>
      </c>
      <c r="O22" t="str">
        <f t="shared" ref="O22:O24" si="4">TEXT(J22,"0.00")&amp;" ("&amp;TEXT(L22,"0.00")&amp;" to "&amp;TEXT(M22,"0.00")&amp;")"</f>
        <v>41.89 (40.86 to 42.92)</v>
      </c>
    </row>
    <row r="23" spans="1:18" ht="17.25" thickBot="1" x14ac:dyDescent="0.35">
      <c r="A23" s="6"/>
      <c r="B23" s="11">
        <v>2</v>
      </c>
      <c r="C23" s="2">
        <v>7888</v>
      </c>
      <c r="D23" s="2">
        <v>3355783</v>
      </c>
      <c r="E23" s="2">
        <v>50641</v>
      </c>
      <c r="F23" s="2">
        <v>11.0928</v>
      </c>
      <c r="G23" s="2">
        <v>0.14380000000000001</v>
      </c>
      <c r="H23" s="2">
        <v>10.8108</v>
      </c>
      <c r="I23" s="2">
        <v>11.374700000000001</v>
      </c>
      <c r="J23" s="2">
        <v>45.607599999999998</v>
      </c>
      <c r="K23" s="2">
        <v>0.48559999999999998</v>
      </c>
      <c r="L23" s="2">
        <v>44.6554</v>
      </c>
      <c r="M23" s="2">
        <v>46.559699999999999</v>
      </c>
      <c r="O23" t="str">
        <f t="shared" si="4"/>
        <v>45.61 (44.66 to 46.56)</v>
      </c>
    </row>
    <row r="24" spans="1:18" ht="17.25" thickBot="1" x14ac:dyDescent="0.35">
      <c r="A24" s="6"/>
      <c r="B24" s="11">
        <v>3</v>
      </c>
      <c r="C24" s="2">
        <v>3450</v>
      </c>
      <c r="D24" s="2">
        <v>919898</v>
      </c>
      <c r="E24" s="2">
        <v>20655</v>
      </c>
      <c r="F24" s="2">
        <v>3.0407999999999999</v>
      </c>
      <c r="G24" s="2">
        <v>6.9599999999999995E-2</v>
      </c>
      <c r="H24" s="2">
        <v>2.9043000000000001</v>
      </c>
      <c r="I24" s="2">
        <v>3.1772999999999998</v>
      </c>
      <c r="J24" s="2">
        <v>12.5021</v>
      </c>
      <c r="K24" s="2">
        <v>0.2893</v>
      </c>
      <c r="L24" s="2">
        <v>11.934900000000001</v>
      </c>
      <c r="M24" s="2">
        <v>13.0693</v>
      </c>
      <c r="O24" t="str">
        <f t="shared" si="4"/>
        <v>12.50 (11.93 to 13.07)</v>
      </c>
    </row>
    <row r="25" spans="1:18" ht="17.25" thickBot="1" x14ac:dyDescent="0.35">
      <c r="A25" s="6"/>
      <c r="B25" s="11" t="s">
        <v>153</v>
      </c>
      <c r="C25" s="2">
        <v>16807</v>
      </c>
      <c r="D25" s="2">
        <v>7357952</v>
      </c>
      <c r="E25" s="2">
        <v>82132</v>
      </c>
      <c r="F25" s="2">
        <v>24.322299999999998</v>
      </c>
      <c r="G25" s="2">
        <v>0.19400000000000001</v>
      </c>
      <c r="H25" s="2">
        <v>23.9419</v>
      </c>
      <c r="I25" s="2">
        <v>24.7026</v>
      </c>
      <c r="J25" s="2">
        <v>100</v>
      </c>
      <c r="K25" s="2"/>
      <c r="L25" s="2"/>
      <c r="M25" s="2"/>
    </row>
    <row r="26" spans="1:18" ht="17.25" thickBot="1" x14ac:dyDescent="0.35">
      <c r="A26" s="6">
        <v>3</v>
      </c>
      <c r="B26" s="11">
        <v>1</v>
      </c>
      <c r="C26" s="2">
        <v>4178</v>
      </c>
      <c r="D26" s="2">
        <v>2433984</v>
      </c>
      <c r="E26" s="2">
        <v>48963</v>
      </c>
      <c r="F26" s="2">
        <v>8.0457000000000001</v>
      </c>
      <c r="G26" s="2">
        <v>0.1457</v>
      </c>
      <c r="H26" s="2">
        <v>7.7599</v>
      </c>
      <c r="I26" s="2">
        <v>8.3315000000000001</v>
      </c>
      <c r="J26" s="2">
        <v>32.447299999999998</v>
      </c>
      <c r="K26" s="2">
        <v>0.50449999999999995</v>
      </c>
      <c r="L26" s="2">
        <v>31.457999999999998</v>
      </c>
      <c r="M26" s="2">
        <v>33.436500000000002</v>
      </c>
      <c r="O26" t="str">
        <f t="shared" ref="O26:O28" si="5">TEXT(J26,"0.00")&amp;" ("&amp;TEXT(L26,"0.00")&amp;" to "&amp;TEXT(M26,"0.00")&amp;")"</f>
        <v>32.45 (31.46 to 33.44)</v>
      </c>
    </row>
    <row r="27" spans="1:18" ht="17.25" thickBot="1" x14ac:dyDescent="0.35">
      <c r="A27" s="6"/>
      <c r="B27" s="11">
        <v>2</v>
      </c>
      <c r="C27" s="2">
        <v>8787</v>
      </c>
      <c r="D27" s="2">
        <v>3869206</v>
      </c>
      <c r="E27" s="2">
        <v>57362</v>
      </c>
      <c r="F27" s="2">
        <v>12.789899999999999</v>
      </c>
      <c r="G27" s="2">
        <v>0.15609999999999999</v>
      </c>
      <c r="H27" s="2">
        <v>12.4839</v>
      </c>
      <c r="I27" s="2">
        <v>13.096</v>
      </c>
      <c r="J27" s="2">
        <v>51.580100000000002</v>
      </c>
      <c r="K27" s="2">
        <v>0.48449999999999999</v>
      </c>
      <c r="L27" s="2">
        <v>50.630099999999999</v>
      </c>
      <c r="M27" s="2">
        <v>52.530099999999997</v>
      </c>
      <c r="O27" t="str">
        <f t="shared" si="5"/>
        <v>51.58 (50.63 to 52.53)</v>
      </c>
    </row>
    <row r="28" spans="1:18" ht="17.25" thickBot="1" x14ac:dyDescent="0.35">
      <c r="A28" s="6"/>
      <c r="B28" s="11">
        <v>3</v>
      </c>
      <c r="C28" s="2">
        <v>4457</v>
      </c>
      <c r="D28" s="2">
        <v>1198165</v>
      </c>
      <c r="E28" s="2">
        <v>23555</v>
      </c>
      <c r="F28" s="2">
        <v>3.9605999999999999</v>
      </c>
      <c r="G28" s="2">
        <v>8.0100000000000005E-2</v>
      </c>
      <c r="H28" s="2">
        <v>3.8035000000000001</v>
      </c>
      <c r="I28" s="2">
        <v>4.1177000000000001</v>
      </c>
      <c r="J28" s="2">
        <v>15.9726</v>
      </c>
      <c r="K28" s="2">
        <v>0.31159999999999999</v>
      </c>
      <c r="L28" s="2">
        <v>15.361700000000001</v>
      </c>
      <c r="M28" s="2">
        <v>16.583600000000001</v>
      </c>
      <c r="O28" t="str">
        <f t="shared" si="5"/>
        <v>15.97 (15.36 to 16.58)</v>
      </c>
    </row>
    <row r="29" spans="1:18" ht="17.25" thickBot="1" x14ac:dyDescent="0.35">
      <c r="A29" s="6"/>
      <c r="B29" s="11" t="s">
        <v>153</v>
      </c>
      <c r="C29" s="2">
        <v>17422</v>
      </c>
      <c r="D29" s="2">
        <v>7501354</v>
      </c>
      <c r="E29" s="2">
        <v>82741</v>
      </c>
      <c r="F29" s="2">
        <v>24.796299999999999</v>
      </c>
      <c r="G29" s="2">
        <v>0.19819999999999999</v>
      </c>
      <c r="H29" s="2">
        <v>24.407599999999999</v>
      </c>
      <c r="I29" s="2">
        <v>25.184899999999999</v>
      </c>
      <c r="J29" s="2">
        <v>100</v>
      </c>
      <c r="K29" s="2"/>
      <c r="L29" s="2"/>
      <c r="M29" s="2"/>
    </row>
    <row r="30" spans="1:18" ht="17.25" thickBot="1" x14ac:dyDescent="0.35">
      <c r="A30" s="6">
        <v>4</v>
      </c>
      <c r="B30" s="11">
        <v>1</v>
      </c>
      <c r="C30" s="2">
        <v>3444</v>
      </c>
      <c r="D30" s="2">
        <v>2034644</v>
      </c>
      <c r="E30" s="2">
        <v>43134</v>
      </c>
      <c r="F30" s="2">
        <v>6.7256999999999998</v>
      </c>
      <c r="G30" s="2">
        <v>0.1328</v>
      </c>
      <c r="H30" s="2">
        <v>6.4652000000000003</v>
      </c>
      <c r="I30" s="2">
        <v>6.9861000000000004</v>
      </c>
      <c r="J30" s="2">
        <v>25.571200000000001</v>
      </c>
      <c r="K30" s="2">
        <v>0.45369999999999999</v>
      </c>
      <c r="L30" s="2">
        <v>24.6816</v>
      </c>
      <c r="M30" s="2">
        <v>26.460799999999999</v>
      </c>
      <c r="O30" t="str">
        <f t="shared" ref="O30:O32" si="6">TEXT(J30,"0.00")&amp;" ("&amp;TEXT(L30,"0.00")&amp;" to "&amp;TEXT(M30,"0.00")&amp;")"</f>
        <v>25.57 (24.68 to 26.46)</v>
      </c>
    </row>
    <row r="31" spans="1:18" ht="17.25" thickBot="1" x14ac:dyDescent="0.35">
      <c r="A31" s="6"/>
      <c r="B31" s="11">
        <v>2</v>
      </c>
      <c r="C31" s="2">
        <v>10428</v>
      </c>
      <c r="D31" s="2">
        <v>4794674</v>
      </c>
      <c r="E31" s="2">
        <v>63299</v>
      </c>
      <c r="F31" s="2">
        <v>15.8491</v>
      </c>
      <c r="G31" s="2">
        <v>0.17469999999999999</v>
      </c>
      <c r="H31" s="2">
        <v>15.506600000000001</v>
      </c>
      <c r="I31" s="2">
        <v>16.191700000000001</v>
      </c>
      <c r="J31" s="2">
        <v>60.259</v>
      </c>
      <c r="K31" s="2">
        <v>0.46139999999999998</v>
      </c>
      <c r="L31" s="2">
        <v>59.354300000000002</v>
      </c>
      <c r="M31" s="2">
        <v>61.163699999999999</v>
      </c>
      <c r="O31" t="str">
        <f t="shared" si="6"/>
        <v>60.26 (59.35 to 61.16)</v>
      </c>
    </row>
    <row r="32" spans="1:18" ht="17.25" thickBot="1" x14ac:dyDescent="0.35">
      <c r="A32" s="6"/>
      <c r="B32" s="11">
        <v>3</v>
      </c>
      <c r="C32" s="2">
        <v>4253</v>
      </c>
      <c r="D32" s="2">
        <v>1127455</v>
      </c>
      <c r="E32" s="2">
        <v>23722</v>
      </c>
      <c r="F32" s="2">
        <v>3.7269000000000001</v>
      </c>
      <c r="G32" s="2">
        <v>8.0199999999999994E-2</v>
      </c>
      <c r="H32" s="2">
        <v>3.5697000000000001</v>
      </c>
      <c r="I32" s="2">
        <v>3.8841000000000001</v>
      </c>
      <c r="J32" s="2">
        <v>14.1698</v>
      </c>
      <c r="K32" s="2">
        <v>0.28510000000000002</v>
      </c>
      <c r="L32" s="2">
        <v>13.6107</v>
      </c>
      <c r="M32" s="2">
        <v>14.7288</v>
      </c>
      <c r="O32" t="str">
        <f t="shared" si="6"/>
        <v>14.17 (13.61 to 14.73)</v>
      </c>
    </row>
    <row r="33" spans="1:18" ht="17.25" thickBot="1" x14ac:dyDescent="0.35">
      <c r="A33" s="6"/>
      <c r="B33" s="11" t="s">
        <v>153</v>
      </c>
      <c r="C33" s="2">
        <v>18125</v>
      </c>
      <c r="D33" s="2">
        <v>7956773</v>
      </c>
      <c r="E33" s="2">
        <v>83258</v>
      </c>
      <c r="F33" s="2">
        <v>26.3017</v>
      </c>
      <c r="G33" s="2">
        <v>0.21260000000000001</v>
      </c>
      <c r="H33" s="2">
        <v>25.884799999999998</v>
      </c>
      <c r="I33" s="2">
        <v>26.718599999999999</v>
      </c>
      <c r="J33" s="2">
        <v>100</v>
      </c>
      <c r="K33" s="2"/>
      <c r="L33" s="2"/>
      <c r="M33" s="2"/>
    </row>
    <row r="34" spans="1:18" ht="17.25" thickBot="1" x14ac:dyDescent="0.35">
      <c r="A34" s="6" t="s">
        <v>153</v>
      </c>
      <c r="B34" s="11">
        <v>1</v>
      </c>
      <c r="C34" s="2">
        <v>21079</v>
      </c>
      <c r="D34" s="2">
        <v>11834513</v>
      </c>
      <c r="E34" s="2">
        <v>141523</v>
      </c>
      <c r="F34" s="2">
        <v>39.119900000000001</v>
      </c>
      <c r="G34" s="2">
        <v>0.31680000000000003</v>
      </c>
      <c r="H34" s="2">
        <v>38.498699999999999</v>
      </c>
      <c r="I34" s="2">
        <v>39.741</v>
      </c>
      <c r="J34" s="2"/>
      <c r="K34" s="2"/>
      <c r="L34" s="2"/>
      <c r="M34" s="2"/>
    </row>
    <row r="35" spans="1:18" ht="17.25" thickBot="1" x14ac:dyDescent="0.35">
      <c r="A35" s="6"/>
      <c r="B35" s="11">
        <v>2</v>
      </c>
      <c r="C35" s="2">
        <v>33470</v>
      </c>
      <c r="D35" s="2">
        <v>14667390</v>
      </c>
      <c r="E35" s="2">
        <v>140978</v>
      </c>
      <c r="F35" s="2">
        <v>48.484099999999998</v>
      </c>
      <c r="G35" s="2">
        <v>0.27379999999999999</v>
      </c>
      <c r="H35" s="2">
        <v>47.947200000000002</v>
      </c>
      <c r="I35" s="2">
        <v>49.021099999999997</v>
      </c>
      <c r="J35" s="2"/>
      <c r="K35" s="2"/>
      <c r="L35" s="2"/>
      <c r="M35" s="2"/>
    </row>
    <row r="36" spans="1:18" ht="17.25" thickBot="1" x14ac:dyDescent="0.35">
      <c r="A36" s="6"/>
      <c r="B36" s="11">
        <v>3</v>
      </c>
      <c r="C36" s="2">
        <v>14086</v>
      </c>
      <c r="D36" s="2">
        <v>3750032</v>
      </c>
      <c r="E36" s="2">
        <v>51705</v>
      </c>
      <c r="F36" s="2">
        <v>12.396000000000001</v>
      </c>
      <c r="G36" s="2">
        <v>0.17949999999999999</v>
      </c>
      <c r="H36" s="2">
        <v>12.044</v>
      </c>
      <c r="I36" s="2">
        <v>12.747999999999999</v>
      </c>
      <c r="J36" s="2"/>
      <c r="K36" s="2"/>
      <c r="L36" s="2"/>
      <c r="M36" s="2"/>
    </row>
    <row r="37" spans="1:18" x14ac:dyDescent="0.3">
      <c r="A37" s="6"/>
      <c r="B37" s="14" t="s">
        <v>153</v>
      </c>
      <c r="C37" s="2">
        <v>68635</v>
      </c>
      <c r="D37" s="2">
        <v>30251936</v>
      </c>
      <c r="E37" s="2">
        <v>228758</v>
      </c>
      <c r="F37" s="2">
        <v>100</v>
      </c>
      <c r="G37" s="2"/>
      <c r="H37" s="2"/>
      <c r="I37" s="2"/>
      <c r="J37" s="2"/>
      <c r="K37" s="2"/>
      <c r="L37" s="2"/>
      <c r="M37" s="2"/>
    </row>
    <row r="38" spans="1:18" ht="17.25" thickBot="1" x14ac:dyDescent="0.35"/>
    <row r="39" spans="1:18" ht="16.5" customHeight="1" x14ac:dyDescent="0.3">
      <c r="A39" s="16" t="s">
        <v>173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8" ht="33" customHeight="1" x14ac:dyDescent="0.3">
      <c r="A40" s="17" t="s">
        <v>25</v>
      </c>
      <c r="B40" s="19" t="s">
        <v>6</v>
      </c>
      <c r="C40" s="19" t="s">
        <v>146</v>
      </c>
      <c r="D40" s="3" t="s">
        <v>147</v>
      </c>
      <c r="E40" s="3" t="s">
        <v>148</v>
      </c>
      <c r="F40" s="19" t="s">
        <v>150</v>
      </c>
      <c r="G40" s="3" t="s">
        <v>148</v>
      </c>
      <c r="H40" s="19" t="s">
        <v>151</v>
      </c>
      <c r="I40" s="19"/>
      <c r="J40" s="3" t="s">
        <v>170</v>
      </c>
      <c r="K40" s="3" t="s">
        <v>148</v>
      </c>
      <c r="L40" s="19" t="s">
        <v>151</v>
      </c>
      <c r="M40" s="19"/>
    </row>
    <row r="41" spans="1:18" ht="33" x14ac:dyDescent="0.3">
      <c r="A41" s="17"/>
      <c r="B41" s="19"/>
      <c r="C41" s="19"/>
      <c r="D41" s="3" t="s">
        <v>146</v>
      </c>
      <c r="E41" s="3" t="s">
        <v>149</v>
      </c>
      <c r="F41" s="19"/>
      <c r="G41" s="3" t="s">
        <v>150</v>
      </c>
      <c r="H41" s="19" t="s">
        <v>152</v>
      </c>
      <c r="I41" s="19"/>
      <c r="J41" s="3" t="s">
        <v>150</v>
      </c>
      <c r="K41" s="3" t="s">
        <v>171</v>
      </c>
      <c r="L41" s="19" t="s">
        <v>172</v>
      </c>
      <c r="M41" s="19"/>
    </row>
    <row r="42" spans="1:18" ht="17.25" thickBot="1" x14ac:dyDescent="0.35">
      <c r="A42" s="6">
        <v>1</v>
      </c>
      <c r="B42" s="11">
        <v>1</v>
      </c>
      <c r="C42" s="2">
        <v>4995</v>
      </c>
      <c r="D42" s="2">
        <v>2641553</v>
      </c>
      <c r="E42" s="2">
        <v>49476</v>
      </c>
      <c r="F42" s="2">
        <v>8.7317999999999998</v>
      </c>
      <c r="G42" s="2">
        <v>0.1447</v>
      </c>
      <c r="H42" s="2">
        <v>8.4481999999999999</v>
      </c>
      <c r="I42" s="2">
        <v>9.0154999999999994</v>
      </c>
      <c r="J42" s="2">
        <v>35.524500000000003</v>
      </c>
      <c r="K42" s="2">
        <v>0.45660000000000001</v>
      </c>
      <c r="L42" s="2">
        <v>34.629300000000001</v>
      </c>
      <c r="M42" s="2">
        <v>36.419699999999999</v>
      </c>
      <c r="O42" t="str">
        <f t="shared" ref="O42:O43" si="7">TEXT(J42,"0.00")&amp;" ("&amp;TEXT(L42,"0.00")&amp;" to "&amp;TEXT(M42,"0.00")&amp;")"</f>
        <v>35.52 (34.63 to 36.42)</v>
      </c>
      <c r="P42" t="str">
        <f>O45</f>
        <v>49.09 (48.22 to 49.95)</v>
      </c>
      <c r="Q42" t="str">
        <f>O48</f>
        <v>59.77 (58.94 to 60.59)</v>
      </c>
      <c r="R42" t="str">
        <f>O51</f>
        <v>71.79 (71.09 to 72.49)</v>
      </c>
    </row>
    <row r="43" spans="1:18" ht="17.25" thickBot="1" x14ac:dyDescent="0.35">
      <c r="A43" s="6"/>
      <c r="B43" s="11">
        <v>2</v>
      </c>
      <c r="C43" s="2">
        <v>11286</v>
      </c>
      <c r="D43" s="2">
        <v>4794304</v>
      </c>
      <c r="E43" s="2">
        <v>62504</v>
      </c>
      <c r="F43" s="2">
        <v>15.847899999999999</v>
      </c>
      <c r="G43" s="2">
        <v>0.1651</v>
      </c>
      <c r="H43" s="2">
        <v>15.5243</v>
      </c>
      <c r="I43" s="2">
        <v>16.171600000000002</v>
      </c>
      <c r="J43" s="2">
        <v>64.475499999999997</v>
      </c>
      <c r="K43" s="2">
        <v>0.45660000000000001</v>
      </c>
      <c r="L43" s="2">
        <v>63.580300000000001</v>
      </c>
      <c r="M43" s="2">
        <v>65.370699999999999</v>
      </c>
      <c r="O43" t="str">
        <f t="shared" si="7"/>
        <v>64.48 (63.58 to 65.37)</v>
      </c>
      <c r="P43" t="str">
        <f>O46</f>
        <v>50.91 (50.05 to 51.78)</v>
      </c>
      <c r="Q43" t="str">
        <f>O49</f>
        <v>40.23 (39.41 to 41.06)</v>
      </c>
      <c r="R43" t="str">
        <f>O52</f>
        <v>28.21 (27.51 to 28.91)</v>
      </c>
    </row>
    <row r="44" spans="1:18" ht="17.25" thickBot="1" x14ac:dyDescent="0.35">
      <c r="A44" s="6"/>
      <c r="B44" s="11" t="s">
        <v>153</v>
      </c>
      <c r="C44" s="2">
        <v>16281</v>
      </c>
      <c r="D44" s="2">
        <v>7435856</v>
      </c>
      <c r="E44" s="2">
        <v>88984</v>
      </c>
      <c r="F44" s="2">
        <v>24.579799999999999</v>
      </c>
      <c r="G44" s="2">
        <v>0.21490000000000001</v>
      </c>
      <c r="H44" s="2">
        <v>24.158300000000001</v>
      </c>
      <c r="I44" s="2">
        <v>25.001200000000001</v>
      </c>
      <c r="J44" s="2">
        <v>100</v>
      </c>
      <c r="K44" s="2"/>
      <c r="L44" s="2"/>
      <c r="M44" s="2"/>
    </row>
    <row r="45" spans="1:18" ht="17.25" thickBot="1" x14ac:dyDescent="0.35">
      <c r="A45" s="6">
        <v>2</v>
      </c>
      <c r="B45" s="11">
        <v>1</v>
      </c>
      <c r="C45" s="2">
        <v>7309</v>
      </c>
      <c r="D45" s="2">
        <v>3611787</v>
      </c>
      <c r="E45" s="2">
        <v>53624</v>
      </c>
      <c r="F45" s="2">
        <v>11.939</v>
      </c>
      <c r="G45" s="2">
        <v>0.15129999999999999</v>
      </c>
      <c r="H45" s="2">
        <v>11.6424</v>
      </c>
      <c r="I45" s="2">
        <v>12.2357</v>
      </c>
      <c r="J45" s="2">
        <v>49.0869</v>
      </c>
      <c r="K45" s="2">
        <v>0.44040000000000001</v>
      </c>
      <c r="L45" s="2">
        <v>48.223199999999999</v>
      </c>
      <c r="M45" s="2">
        <v>49.950499999999998</v>
      </c>
      <c r="O45" t="str">
        <f t="shared" ref="O45:O46" si="8">TEXT(J45,"0.00")&amp;" ("&amp;TEXT(L45,"0.00")&amp;" to "&amp;TEXT(M45,"0.00")&amp;")"</f>
        <v>49.09 (48.22 to 49.95)</v>
      </c>
    </row>
    <row r="46" spans="1:18" ht="17.25" thickBot="1" x14ac:dyDescent="0.35">
      <c r="A46" s="6"/>
      <c r="B46" s="11">
        <v>2</v>
      </c>
      <c r="C46" s="2">
        <v>9498</v>
      </c>
      <c r="D46" s="2">
        <v>3746165</v>
      </c>
      <c r="E46" s="2">
        <v>50905</v>
      </c>
      <c r="F46" s="2">
        <v>12.3832</v>
      </c>
      <c r="G46" s="2">
        <v>0.1371</v>
      </c>
      <c r="H46" s="2">
        <v>12.1144</v>
      </c>
      <c r="I46" s="2">
        <v>12.651999999999999</v>
      </c>
      <c r="J46" s="2">
        <v>50.9131</v>
      </c>
      <c r="K46" s="2">
        <v>0.44040000000000001</v>
      </c>
      <c r="L46" s="2">
        <v>50.049500000000002</v>
      </c>
      <c r="M46" s="2">
        <v>51.776800000000001</v>
      </c>
      <c r="O46" t="str">
        <f t="shared" si="8"/>
        <v>50.91 (50.05 to 51.78)</v>
      </c>
    </row>
    <row r="47" spans="1:18" ht="17.25" thickBot="1" x14ac:dyDescent="0.35">
      <c r="A47" s="6"/>
      <c r="B47" s="11" t="s">
        <v>153</v>
      </c>
      <c r="C47" s="2">
        <v>16807</v>
      </c>
      <c r="D47" s="2">
        <v>7357952</v>
      </c>
      <c r="E47" s="2">
        <v>82132</v>
      </c>
      <c r="F47" s="2">
        <v>24.322299999999998</v>
      </c>
      <c r="G47" s="2">
        <v>0.19400000000000001</v>
      </c>
      <c r="H47" s="2">
        <v>23.9419</v>
      </c>
      <c r="I47" s="2">
        <v>24.7026</v>
      </c>
      <c r="J47" s="2">
        <v>100</v>
      </c>
      <c r="K47" s="2"/>
      <c r="L47" s="2"/>
      <c r="M47" s="2"/>
    </row>
    <row r="48" spans="1:18" ht="17.25" thickBot="1" x14ac:dyDescent="0.35">
      <c r="A48" s="6">
        <v>3</v>
      </c>
      <c r="B48" s="11">
        <v>1</v>
      </c>
      <c r="C48" s="2">
        <v>9169</v>
      </c>
      <c r="D48" s="2">
        <v>4483314</v>
      </c>
      <c r="E48" s="2">
        <v>62170</v>
      </c>
      <c r="F48" s="2">
        <v>14.819900000000001</v>
      </c>
      <c r="G48" s="2">
        <v>0.1666</v>
      </c>
      <c r="H48" s="2">
        <v>14.4933</v>
      </c>
      <c r="I48" s="2">
        <v>15.1465</v>
      </c>
      <c r="J48" s="2">
        <v>59.7667</v>
      </c>
      <c r="K48" s="2">
        <v>0.42049999999999998</v>
      </c>
      <c r="L48" s="2">
        <v>58.9422</v>
      </c>
      <c r="M48" s="2">
        <v>60.591200000000001</v>
      </c>
      <c r="O48" t="str">
        <f t="shared" ref="O48:O49" si="9">TEXT(J48,"0.00")&amp;" ("&amp;TEXT(L48,"0.00")&amp;" to "&amp;TEXT(M48,"0.00")&amp;")"</f>
        <v>59.77 (58.94 to 60.59)</v>
      </c>
    </row>
    <row r="49" spans="1:18" ht="17.25" thickBot="1" x14ac:dyDescent="0.35">
      <c r="A49" s="6"/>
      <c r="B49" s="11">
        <v>2</v>
      </c>
      <c r="C49" s="2">
        <v>8253</v>
      </c>
      <c r="D49" s="2">
        <v>3018041</v>
      </c>
      <c r="E49" s="2">
        <v>42628</v>
      </c>
      <c r="F49" s="2">
        <v>9.9763999999999999</v>
      </c>
      <c r="G49" s="2">
        <v>0.12379999999999999</v>
      </c>
      <c r="H49" s="2">
        <v>9.7335999999999991</v>
      </c>
      <c r="I49" s="2">
        <v>10.219099999999999</v>
      </c>
      <c r="J49" s="2">
        <v>40.2333</v>
      </c>
      <c r="K49" s="2">
        <v>0.42049999999999998</v>
      </c>
      <c r="L49" s="2">
        <v>39.408799999999999</v>
      </c>
      <c r="M49" s="2">
        <v>41.0578</v>
      </c>
      <c r="O49" t="str">
        <f t="shared" si="9"/>
        <v>40.23 (39.41 to 41.06)</v>
      </c>
    </row>
    <row r="50" spans="1:18" ht="17.25" thickBot="1" x14ac:dyDescent="0.35">
      <c r="A50" s="6"/>
      <c r="B50" s="11" t="s">
        <v>153</v>
      </c>
      <c r="C50" s="2">
        <v>17422</v>
      </c>
      <c r="D50" s="2">
        <v>7501354</v>
      </c>
      <c r="E50" s="2">
        <v>82741</v>
      </c>
      <c r="F50" s="2">
        <v>24.796299999999999</v>
      </c>
      <c r="G50" s="2">
        <v>0.19819999999999999</v>
      </c>
      <c r="H50" s="2">
        <v>24.407599999999999</v>
      </c>
      <c r="I50" s="2">
        <v>25.184899999999999</v>
      </c>
      <c r="J50" s="2">
        <v>100</v>
      </c>
      <c r="K50" s="2"/>
      <c r="L50" s="2"/>
      <c r="M50" s="2"/>
    </row>
    <row r="51" spans="1:18" ht="17.25" thickBot="1" x14ac:dyDescent="0.35">
      <c r="A51" s="6">
        <v>4</v>
      </c>
      <c r="B51" s="11">
        <v>1</v>
      </c>
      <c r="C51" s="2">
        <v>11727</v>
      </c>
      <c r="D51" s="2">
        <v>5712177</v>
      </c>
      <c r="E51" s="2">
        <v>67736</v>
      </c>
      <c r="F51" s="2">
        <v>18.882000000000001</v>
      </c>
      <c r="G51" s="2">
        <v>0.1794</v>
      </c>
      <c r="H51" s="2">
        <v>18.5303</v>
      </c>
      <c r="I51" s="2">
        <v>19.233699999999999</v>
      </c>
      <c r="J51" s="2">
        <v>71.790099999999995</v>
      </c>
      <c r="K51" s="2">
        <v>0.35639999999999999</v>
      </c>
      <c r="L51" s="2">
        <v>71.091200000000001</v>
      </c>
      <c r="M51" s="2">
        <v>72.489000000000004</v>
      </c>
      <c r="O51" t="str">
        <f t="shared" ref="O51:O52" si="10">TEXT(J51,"0.00")&amp;" ("&amp;TEXT(L51,"0.00")&amp;" to "&amp;TEXT(M51,"0.00")&amp;")"</f>
        <v>71.79 (71.09 to 72.49)</v>
      </c>
    </row>
    <row r="52" spans="1:18" ht="17.25" thickBot="1" x14ac:dyDescent="0.35">
      <c r="A52" s="6"/>
      <c r="B52" s="11">
        <v>2</v>
      </c>
      <c r="C52" s="2">
        <v>6398</v>
      </c>
      <c r="D52" s="2">
        <v>2244596</v>
      </c>
      <c r="E52" s="2">
        <v>35679</v>
      </c>
      <c r="F52" s="2">
        <v>7.4196999999999997</v>
      </c>
      <c r="G52" s="2">
        <v>0.1111</v>
      </c>
      <c r="H52" s="2">
        <v>7.2016999999999998</v>
      </c>
      <c r="I52" s="2">
        <v>7.6375999999999999</v>
      </c>
      <c r="J52" s="2">
        <v>28.209900000000001</v>
      </c>
      <c r="K52" s="2">
        <v>0.35639999999999999</v>
      </c>
      <c r="L52" s="2">
        <v>27.510999999999999</v>
      </c>
      <c r="M52" s="2">
        <v>28.908799999999999</v>
      </c>
      <c r="O52" t="str">
        <f t="shared" si="10"/>
        <v>28.21 (27.51 to 28.91)</v>
      </c>
    </row>
    <row r="53" spans="1:18" ht="17.25" thickBot="1" x14ac:dyDescent="0.35">
      <c r="A53" s="6"/>
      <c r="B53" s="11" t="s">
        <v>153</v>
      </c>
      <c r="C53" s="2">
        <v>18125</v>
      </c>
      <c r="D53" s="2">
        <v>7956773</v>
      </c>
      <c r="E53" s="2">
        <v>83258</v>
      </c>
      <c r="F53" s="2">
        <v>26.3017</v>
      </c>
      <c r="G53" s="2">
        <v>0.21260000000000001</v>
      </c>
      <c r="H53" s="2">
        <v>25.884799999999998</v>
      </c>
      <c r="I53" s="2">
        <v>26.718599999999999</v>
      </c>
      <c r="J53" s="2">
        <v>100</v>
      </c>
      <c r="K53" s="2"/>
      <c r="L53" s="2"/>
      <c r="M53" s="2"/>
    </row>
    <row r="54" spans="1:18" ht="17.25" thickBot="1" x14ac:dyDescent="0.35">
      <c r="A54" s="6" t="s">
        <v>153</v>
      </c>
      <c r="B54" s="11">
        <v>1</v>
      </c>
      <c r="C54" s="2">
        <v>33200</v>
      </c>
      <c r="D54" s="2">
        <v>16448830</v>
      </c>
      <c r="E54" s="2">
        <v>140406</v>
      </c>
      <c r="F54" s="2">
        <v>54.372799999999998</v>
      </c>
      <c r="G54" s="2">
        <v>0.18820000000000001</v>
      </c>
      <c r="H54" s="2">
        <v>54.003799999999998</v>
      </c>
      <c r="I54" s="2">
        <v>54.741900000000001</v>
      </c>
      <c r="J54" s="2"/>
      <c r="K54" s="2"/>
      <c r="L54" s="2"/>
      <c r="M54" s="2"/>
    </row>
    <row r="55" spans="1:18" ht="17.25" thickBot="1" x14ac:dyDescent="0.35">
      <c r="A55" s="6"/>
      <c r="B55" s="11">
        <v>2</v>
      </c>
      <c r="C55" s="2">
        <v>35435</v>
      </c>
      <c r="D55" s="2">
        <v>13803105</v>
      </c>
      <c r="E55" s="2">
        <v>115313</v>
      </c>
      <c r="F55" s="2">
        <v>45.627200000000002</v>
      </c>
      <c r="G55" s="2">
        <v>0.18820000000000001</v>
      </c>
      <c r="H55" s="2">
        <v>45.258099999999999</v>
      </c>
      <c r="I55" s="2">
        <v>45.996200000000002</v>
      </c>
      <c r="J55" s="2"/>
      <c r="K55" s="2"/>
      <c r="L55" s="2"/>
      <c r="M55" s="2"/>
    </row>
    <row r="56" spans="1:18" x14ac:dyDescent="0.3">
      <c r="A56" s="6"/>
      <c r="B56" s="14" t="s">
        <v>153</v>
      </c>
      <c r="C56" s="2">
        <v>68635</v>
      </c>
      <c r="D56" s="2">
        <v>30251936</v>
      </c>
      <c r="E56" s="2">
        <v>228758</v>
      </c>
      <c r="F56" s="2">
        <v>100</v>
      </c>
      <c r="G56" s="2"/>
      <c r="H56" s="2"/>
      <c r="I56" s="2"/>
      <c r="J56" s="2"/>
      <c r="K56" s="2"/>
      <c r="L56" s="2"/>
      <c r="M56" s="2"/>
    </row>
    <row r="57" spans="1:18" ht="17.25" thickBot="1" x14ac:dyDescent="0.35"/>
    <row r="58" spans="1:18" ht="16.5" customHeight="1" x14ac:dyDescent="0.3">
      <c r="A58" s="16" t="s">
        <v>174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1:18" ht="33" customHeight="1" x14ac:dyDescent="0.3">
      <c r="A59" s="17" t="s">
        <v>25</v>
      </c>
      <c r="B59" s="19" t="s">
        <v>7</v>
      </c>
      <c r="C59" s="19" t="s">
        <v>146</v>
      </c>
      <c r="D59" s="3" t="s">
        <v>147</v>
      </c>
      <c r="E59" s="3" t="s">
        <v>148</v>
      </c>
      <c r="F59" s="19" t="s">
        <v>150</v>
      </c>
      <c r="G59" s="3" t="s">
        <v>148</v>
      </c>
      <c r="H59" s="19" t="s">
        <v>151</v>
      </c>
      <c r="I59" s="19"/>
      <c r="J59" s="3" t="s">
        <v>170</v>
      </c>
      <c r="K59" s="3" t="s">
        <v>148</v>
      </c>
      <c r="L59" s="19" t="s">
        <v>151</v>
      </c>
      <c r="M59" s="19"/>
    </row>
    <row r="60" spans="1:18" ht="33" x14ac:dyDescent="0.3">
      <c r="A60" s="17"/>
      <c r="B60" s="19"/>
      <c r="C60" s="19"/>
      <c r="D60" s="3" t="s">
        <v>146</v>
      </c>
      <c r="E60" s="3" t="s">
        <v>149</v>
      </c>
      <c r="F60" s="19"/>
      <c r="G60" s="3" t="s">
        <v>150</v>
      </c>
      <c r="H60" s="19" t="s">
        <v>152</v>
      </c>
      <c r="I60" s="19"/>
      <c r="J60" s="3" t="s">
        <v>150</v>
      </c>
      <c r="K60" s="3" t="s">
        <v>171</v>
      </c>
      <c r="L60" s="19" t="s">
        <v>172</v>
      </c>
      <c r="M60" s="19"/>
    </row>
    <row r="61" spans="1:18" ht="17.25" thickBot="1" x14ac:dyDescent="0.35">
      <c r="A61" s="6">
        <v>1</v>
      </c>
      <c r="B61" s="11">
        <v>1</v>
      </c>
      <c r="C61" s="2">
        <v>13648</v>
      </c>
      <c r="D61" s="2">
        <v>6438546</v>
      </c>
      <c r="E61" s="2">
        <v>95750</v>
      </c>
      <c r="F61" s="2">
        <v>21.283100000000001</v>
      </c>
      <c r="G61" s="2">
        <v>0.25490000000000002</v>
      </c>
      <c r="H61" s="2">
        <v>20.783300000000001</v>
      </c>
      <c r="I61" s="2">
        <v>21.782800000000002</v>
      </c>
      <c r="J61" s="2">
        <v>86.587800000000001</v>
      </c>
      <c r="K61" s="2">
        <v>0.65049999999999997</v>
      </c>
      <c r="L61" s="2">
        <v>85.312299999999993</v>
      </c>
      <c r="M61" s="2">
        <v>87.863399999999999</v>
      </c>
      <c r="O61" t="str">
        <f t="shared" ref="O61:O62" si="11">TEXT(J61,"0.00")&amp;" ("&amp;TEXT(L61,"0.00")&amp;" to "&amp;TEXT(M61,"0.00")&amp;")"</f>
        <v>86.59 (85.31 to 87.86)</v>
      </c>
      <c r="P61" t="str">
        <f>O64</f>
        <v>84.74 (83.42 to 86.06)</v>
      </c>
      <c r="Q61" t="str">
        <f>O67</f>
        <v>82.93 (81.50 to 84.36)</v>
      </c>
      <c r="R61" t="str">
        <f>O70</f>
        <v>81.66 (80.18 to 83.13)</v>
      </c>
    </row>
    <row r="62" spans="1:18" ht="17.25" thickBot="1" x14ac:dyDescent="0.35">
      <c r="A62" s="6"/>
      <c r="B62" s="11">
        <v>2</v>
      </c>
      <c r="C62" s="2">
        <v>2633</v>
      </c>
      <c r="D62" s="2">
        <v>997310</v>
      </c>
      <c r="E62" s="2">
        <v>48416</v>
      </c>
      <c r="F62" s="2">
        <v>3.2967</v>
      </c>
      <c r="G62" s="2">
        <v>0.16020000000000001</v>
      </c>
      <c r="H62" s="2">
        <v>2.9826000000000001</v>
      </c>
      <c r="I62" s="2">
        <v>3.6107999999999998</v>
      </c>
      <c r="J62" s="2">
        <v>13.4122</v>
      </c>
      <c r="K62" s="2">
        <v>0.65049999999999997</v>
      </c>
      <c r="L62" s="2">
        <v>12.1366</v>
      </c>
      <c r="M62" s="2">
        <v>14.6877</v>
      </c>
      <c r="O62" t="str">
        <f t="shared" si="11"/>
        <v>13.41 (12.14 to 14.69)</v>
      </c>
      <c r="P62" t="str">
        <f>O65</f>
        <v>15.26 (13.94 to 16.58)</v>
      </c>
      <c r="Q62" t="str">
        <f>O68</f>
        <v>17.07 (15.64 to 18.50)</v>
      </c>
      <c r="R62" t="str">
        <f>O71</f>
        <v>18.34 (16.87 to 19.82)</v>
      </c>
    </row>
    <row r="63" spans="1:18" ht="17.25" thickBot="1" x14ac:dyDescent="0.35">
      <c r="A63" s="6"/>
      <c r="B63" s="11" t="s">
        <v>153</v>
      </c>
      <c r="C63" s="2">
        <v>16281</v>
      </c>
      <c r="D63" s="2">
        <v>7435856</v>
      </c>
      <c r="E63" s="2">
        <v>88984</v>
      </c>
      <c r="F63" s="2">
        <v>24.579799999999999</v>
      </c>
      <c r="G63" s="2">
        <v>0.21490000000000001</v>
      </c>
      <c r="H63" s="2">
        <v>24.158300000000001</v>
      </c>
      <c r="I63" s="2">
        <v>25.001200000000001</v>
      </c>
      <c r="J63" s="2">
        <v>100</v>
      </c>
      <c r="K63" s="2"/>
      <c r="L63" s="2"/>
      <c r="M63" s="2"/>
    </row>
    <row r="64" spans="1:18" ht="17.25" thickBot="1" x14ac:dyDescent="0.35">
      <c r="A64" s="6">
        <v>2</v>
      </c>
      <c r="B64" s="11">
        <v>1</v>
      </c>
      <c r="C64" s="2">
        <v>13623</v>
      </c>
      <c r="D64" s="2">
        <v>6235188</v>
      </c>
      <c r="E64" s="2">
        <v>90759</v>
      </c>
      <c r="F64" s="2">
        <v>20.610900000000001</v>
      </c>
      <c r="G64" s="2">
        <v>0.24079999999999999</v>
      </c>
      <c r="H64" s="2">
        <v>20.1388</v>
      </c>
      <c r="I64" s="2">
        <v>21.082899999999999</v>
      </c>
      <c r="J64" s="2">
        <v>84.740799999999993</v>
      </c>
      <c r="K64" s="2">
        <v>0.67369999999999997</v>
      </c>
      <c r="L64" s="2">
        <v>83.419700000000006</v>
      </c>
      <c r="M64" s="2">
        <v>86.061899999999994</v>
      </c>
      <c r="O64" t="str">
        <f t="shared" ref="O64:O65" si="12">TEXT(J64,"0.00")&amp;" ("&amp;TEXT(L64,"0.00")&amp;" to "&amp;TEXT(M64,"0.00")&amp;")"</f>
        <v>84.74 (83.42 to 86.06)</v>
      </c>
    </row>
    <row r="65" spans="1:18" ht="17.25" thickBot="1" x14ac:dyDescent="0.35">
      <c r="A65" s="6"/>
      <c r="B65" s="11">
        <v>2</v>
      </c>
      <c r="C65" s="2">
        <v>3184</v>
      </c>
      <c r="D65" s="2">
        <v>1122764</v>
      </c>
      <c r="E65" s="2">
        <v>49459</v>
      </c>
      <c r="F65" s="2">
        <v>3.7113999999999998</v>
      </c>
      <c r="G65" s="2">
        <v>0.1643</v>
      </c>
      <c r="H65" s="2">
        <v>3.3892000000000002</v>
      </c>
      <c r="I65" s="2">
        <v>4.0335000000000001</v>
      </c>
      <c r="J65" s="2">
        <v>15.2592</v>
      </c>
      <c r="K65" s="2">
        <v>0.67369999999999997</v>
      </c>
      <c r="L65" s="2">
        <v>13.9381</v>
      </c>
      <c r="M65" s="2">
        <v>16.580300000000001</v>
      </c>
      <c r="O65" t="str">
        <f t="shared" si="12"/>
        <v>15.26 (13.94 to 16.58)</v>
      </c>
    </row>
    <row r="66" spans="1:18" ht="17.25" thickBot="1" x14ac:dyDescent="0.35">
      <c r="A66" s="6"/>
      <c r="B66" s="11" t="s">
        <v>153</v>
      </c>
      <c r="C66" s="2">
        <v>16807</v>
      </c>
      <c r="D66" s="2">
        <v>7357952</v>
      </c>
      <c r="E66" s="2">
        <v>82132</v>
      </c>
      <c r="F66" s="2">
        <v>24.322299999999998</v>
      </c>
      <c r="G66" s="2">
        <v>0.19400000000000001</v>
      </c>
      <c r="H66" s="2">
        <v>23.9419</v>
      </c>
      <c r="I66" s="2">
        <v>24.7026</v>
      </c>
      <c r="J66" s="2">
        <v>100</v>
      </c>
      <c r="K66" s="2"/>
      <c r="L66" s="2"/>
      <c r="M66" s="2"/>
    </row>
    <row r="67" spans="1:18" ht="17.25" thickBot="1" x14ac:dyDescent="0.35">
      <c r="A67" s="6">
        <v>3</v>
      </c>
      <c r="B67" s="11">
        <v>1</v>
      </c>
      <c r="C67" s="2">
        <v>13823</v>
      </c>
      <c r="D67" s="2">
        <v>6221135</v>
      </c>
      <c r="E67" s="2">
        <v>90710</v>
      </c>
      <c r="F67" s="2">
        <v>20.564399999999999</v>
      </c>
      <c r="G67" s="2">
        <v>0.24229999999999999</v>
      </c>
      <c r="H67" s="2">
        <v>20.089300000000001</v>
      </c>
      <c r="I67" s="2">
        <v>21.0395</v>
      </c>
      <c r="J67" s="2">
        <v>82.933499999999995</v>
      </c>
      <c r="K67" s="2">
        <v>0.72889999999999999</v>
      </c>
      <c r="L67" s="2">
        <v>81.504199999999997</v>
      </c>
      <c r="M67" s="2">
        <v>84.362799999999993</v>
      </c>
      <c r="O67" t="str">
        <f t="shared" ref="O67:O68" si="13">TEXT(J67,"0.00")&amp;" ("&amp;TEXT(L67,"0.00")&amp;" to "&amp;TEXT(M67,"0.00")&amp;")"</f>
        <v>82.93 (81.50 to 84.36)</v>
      </c>
    </row>
    <row r="68" spans="1:18" ht="17.25" thickBot="1" x14ac:dyDescent="0.35">
      <c r="A68" s="6"/>
      <c r="B68" s="11">
        <v>2</v>
      </c>
      <c r="C68" s="2">
        <v>3599</v>
      </c>
      <c r="D68" s="2">
        <v>1280220</v>
      </c>
      <c r="E68" s="2">
        <v>55499</v>
      </c>
      <c r="F68" s="2">
        <v>4.2319000000000004</v>
      </c>
      <c r="G68" s="2">
        <v>0.18440000000000001</v>
      </c>
      <c r="H68" s="2">
        <v>3.8702000000000001</v>
      </c>
      <c r="I68" s="2">
        <v>4.5934999999999997</v>
      </c>
      <c r="J68" s="2">
        <v>17.066500000000001</v>
      </c>
      <c r="K68" s="2">
        <v>0.72889999999999999</v>
      </c>
      <c r="L68" s="2">
        <v>15.6372</v>
      </c>
      <c r="M68" s="2">
        <v>18.495799999999999</v>
      </c>
      <c r="O68" t="str">
        <f t="shared" si="13"/>
        <v>17.07 (15.64 to 18.50)</v>
      </c>
    </row>
    <row r="69" spans="1:18" ht="17.25" thickBot="1" x14ac:dyDescent="0.35">
      <c r="A69" s="6"/>
      <c r="B69" s="11" t="s">
        <v>153</v>
      </c>
      <c r="C69" s="2">
        <v>17422</v>
      </c>
      <c r="D69" s="2">
        <v>7501354</v>
      </c>
      <c r="E69" s="2">
        <v>82741</v>
      </c>
      <c r="F69" s="2">
        <v>24.796299999999999</v>
      </c>
      <c r="G69" s="2">
        <v>0.19819999999999999</v>
      </c>
      <c r="H69" s="2">
        <v>24.407599999999999</v>
      </c>
      <c r="I69" s="2">
        <v>25.184899999999999</v>
      </c>
      <c r="J69" s="2">
        <v>100</v>
      </c>
      <c r="K69" s="2"/>
      <c r="L69" s="2"/>
      <c r="M69" s="2"/>
    </row>
    <row r="70" spans="1:18" ht="17.25" thickBot="1" x14ac:dyDescent="0.35">
      <c r="A70" s="6">
        <v>4</v>
      </c>
      <c r="B70" s="11">
        <v>1</v>
      </c>
      <c r="C70" s="2">
        <v>14082</v>
      </c>
      <c r="D70" s="2">
        <v>6497209</v>
      </c>
      <c r="E70" s="2">
        <v>92917</v>
      </c>
      <c r="F70" s="2">
        <v>21.477</v>
      </c>
      <c r="G70" s="2">
        <v>0.2555</v>
      </c>
      <c r="H70" s="2">
        <v>20.975999999999999</v>
      </c>
      <c r="I70" s="2">
        <v>21.978000000000002</v>
      </c>
      <c r="J70" s="2">
        <v>81.656300000000002</v>
      </c>
      <c r="K70" s="2">
        <v>0.75219999999999998</v>
      </c>
      <c r="L70" s="2">
        <v>80.181399999999996</v>
      </c>
      <c r="M70" s="2">
        <v>83.131299999999996</v>
      </c>
      <c r="O70" t="str">
        <f t="shared" ref="O70:O71" si="14">TEXT(J70,"0.00")&amp;" ("&amp;TEXT(L70,"0.00")&amp;" to "&amp;TEXT(M70,"0.00")&amp;")"</f>
        <v>81.66 (80.18 to 83.13)</v>
      </c>
    </row>
    <row r="71" spans="1:18" ht="17.25" thickBot="1" x14ac:dyDescent="0.35">
      <c r="A71" s="6"/>
      <c r="B71" s="11">
        <v>2</v>
      </c>
      <c r="C71" s="2">
        <v>4043</v>
      </c>
      <c r="D71" s="2">
        <v>1459564</v>
      </c>
      <c r="E71" s="2">
        <v>60983</v>
      </c>
      <c r="F71" s="2">
        <v>4.8247</v>
      </c>
      <c r="G71" s="2">
        <v>0.2039</v>
      </c>
      <c r="H71" s="2">
        <v>4.4249000000000001</v>
      </c>
      <c r="I71" s="2">
        <v>5.2244000000000002</v>
      </c>
      <c r="J71" s="2">
        <v>18.343699999999998</v>
      </c>
      <c r="K71" s="2">
        <v>0.75219999999999998</v>
      </c>
      <c r="L71" s="2">
        <v>16.8687</v>
      </c>
      <c r="M71" s="2">
        <v>19.8186</v>
      </c>
      <c r="O71" t="str">
        <f t="shared" si="14"/>
        <v>18.34 (16.87 to 19.82)</v>
      </c>
    </row>
    <row r="72" spans="1:18" ht="17.25" thickBot="1" x14ac:dyDescent="0.35">
      <c r="A72" s="6"/>
      <c r="B72" s="11" t="s">
        <v>153</v>
      </c>
      <c r="C72" s="2">
        <v>18125</v>
      </c>
      <c r="D72" s="2">
        <v>7956773</v>
      </c>
      <c r="E72" s="2">
        <v>83258</v>
      </c>
      <c r="F72" s="2">
        <v>26.3017</v>
      </c>
      <c r="G72" s="2">
        <v>0.21260000000000001</v>
      </c>
      <c r="H72" s="2">
        <v>25.884799999999998</v>
      </c>
      <c r="I72" s="2">
        <v>26.718599999999999</v>
      </c>
      <c r="J72" s="2">
        <v>100</v>
      </c>
      <c r="K72" s="2"/>
      <c r="L72" s="2"/>
      <c r="M72" s="2"/>
    </row>
    <row r="73" spans="1:18" ht="17.25" thickBot="1" x14ac:dyDescent="0.35">
      <c r="A73" s="6" t="s">
        <v>153</v>
      </c>
      <c r="B73" s="11">
        <v>1</v>
      </c>
      <c r="C73" s="2">
        <v>55176</v>
      </c>
      <c r="D73" s="2">
        <v>25392078</v>
      </c>
      <c r="E73" s="2">
        <v>290318</v>
      </c>
      <c r="F73" s="2">
        <v>83.935400000000001</v>
      </c>
      <c r="G73" s="2">
        <v>0.64080000000000004</v>
      </c>
      <c r="H73" s="2">
        <v>82.678899999999999</v>
      </c>
      <c r="I73" s="2">
        <v>85.191800000000001</v>
      </c>
      <c r="J73" s="2"/>
      <c r="K73" s="2"/>
      <c r="L73" s="2"/>
      <c r="M73" s="2"/>
    </row>
    <row r="74" spans="1:18" ht="17.25" thickBot="1" x14ac:dyDescent="0.35">
      <c r="A74" s="6"/>
      <c r="B74" s="11">
        <v>2</v>
      </c>
      <c r="C74" s="2">
        <v>13459</v>
      </c>
      <c r="D74" s="2">
        <v>4859858</v>
      </c>
      <c r="E74" s="2">
        <v>192472</v>
      </c>
      <c r="F74" s="2">
        <v>16.064599999999999</v>
      </c>
      <c r="G74" s="2">
        <v>0.64080000000000004</v>
      </c>
      <c r="H74" s="2">
        <v>14.808199999999999</v>
      </c>
      <c r="I74" s="2">
        <v>17.321100000000001</v>
      </c>
      <c r="J74" s="2"/>
      <c r="K74" s="2"/>
      <c r="L74" s="2"/>
      <c r="M74" s="2"/>
    </row>
    <row r="75" spans="1:18" x14ac:dyDescent="0.3">
      <c r="A75" s="6"/>
      <c r="B75" s="14" t="s">
        <v>153</v>
      </c>
      <c r="C75" s="2">
        <v>68635</v>
      </c>
      <c r="D75" s="2">
        <v>30251936</v>
      </c>
      <c r="E75" s="2">
        <v>228758</v>
      </c>
      <c r="F75" s="2">
        <v>100</v>
      </c>
      <c r="G75" s="2"/>
      <c r="H75" s="2"/>
      <c r="I75" s="2"/>
      <c r="J75" s="2"/>
      <c r="K75" s="2"/>
      <c r="L75" s="2"/>
      <c r="M75" s="2"/>
    </row>
    <row r="76" spans="1:18" ht="17.25" thickBot="1" x14ac:dyDescent="0.35"/>
    <row r="77" spans="1:18" ht="16.5" customHeight="1" x14ac:dyDescent="0.3">
      <c r="A77" s="16" t="s">
        <v>175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spans="1:18" ht="33" customHeight="1" x14ac:dyDescent="0.3">
      <c r="A78" s="17" t="s">
        <v>25</v>
      </c>
      <c r="B78" s="19" t="s">
        <v>8</v>
      </c>
      <c r="C78" s="19" t="s">
        <v>146</v>
      </c>
      <c r="D78" s="3" t="s">
        <v>147</v>
      </c>
      <c r="E78" s="3" t="s">
        <v>148</v>
      </c>
      <c r="F78" s="19" t="s">
        <v>150</v>
      </c>
      <c r="G78" s="3" t="s">
        <v>148</v>
      </c>
      <c r="H78" s="19" t="s">
        <v>151</v>
      </c>
      <c r="I78" s="19"/>
      <c r="J78" s="3" t="s">
        <v>170</v>
      </c>
      <c r="K78" s="3" t="s">
        <v>148</v>
      </c>
      <c r="L78" s="19" t="s">
        <v>151</v>
      </c>
      <c r="M78" s="19"/>
    </row>
    <row r="79" spans="1:18" ht="33" x14ac:dyDescent="0.3">
      <c r="A79" s="17"/>
      <c r="B79" s="19"/>
      <c r="C79" s="19"/>
      <c r="D79" s="3" t="s">
        <v>146</v>
      </c>
      <c r="E79" s="3" t="s">
        <v>149</v>
      </c>
      <c r="F79" s="19"/>
      <c r="G79" s="3" t="s">
        <v>150</v>
      </c>
      <c r="H79" s="19" t="s">
        <v>152</v>
      </c>
      <c r="I79" s="19"/>
      <c r="J79" s="3" t="s">
        <v>150</v>
      </c>
      <c r="K79" s="3" t="s">
        <v>171</v>
      </c>
      <c r="L79" s="19" t="s">
        <v>172</v>
      </c>
      <c r="M79" s="19"/>
    </row>
    <row r="80" spans="1:18" ht="17.25" thickBot="1" x14ac:dyDescent="0.35">
      <c r="A80" s="6">
        <v>1</v>
      </c>
      <c r="B80" s="11">
        <v>1</v>
      </c>
      <c r="C80" s="2">
        <v>1223</v>
      </c>
      <c r="D80" s="2">
        <v>389676</v>
      </c>
      <c r="E80" s="2">
        <v>15097</v>
      </c>
      <c r="F80" s="2">
        <v>1.2881</v>
      </c>
      <c r="G80" s="2">
        <v>4.9700000000000001E-2</v>
      </c>
      <c r="H80" s="2">
        <v>1.1906000000000001</v>
      </c>
      <c r="I80" s="2">
        <v>1.3855999999999999</v>
      </c>
      <c r="J80" s="2">
        <v>5.2404999999999999</v>
      </c>
      <c r="K80" s="2">
        <v>0.20150000000000001</v>
      </c>
      <c r="L80" s="2">
        <v>4.8453999999999997</v>
      </c>
      <c r="M80" s="2">
        <v>5.6355000000000004</v>
      </c>
      <c r="O80" t="str">
        <f t="shared" ref="O80:O83" si="15">TEXT(J80,"0.00")&amp;" ("&amp;TEXT(L80,"0.00")&amp;" to "&amp;TEXT(M80,"0.00")&amp;")"</f>
        <v>5.24 (4.85 to 5.64)</v>
      </c>
      <c r="P80" t="str">
        <f>O85</f>
        <v>8.57 (8.11 to 9.04)</v>
      </c>
      <c r="Q80" t="str">
        <f>O90</f>
        <v>11.34 (10.78 to 11.89)</v>
      </c>
      <c r="R80" t="str">
        <f>O95</f>
        <v>11.41 (10.86 to 11.95)</v>
      </c>
    </row>
    <row r="81" spans="1:18" ht="17.25" thickBot="1" x14ac:dyDescent="0.35">
      <c r="A81" s="6"/>
      <c r="B81" s="11">
        <v>2</v>
      </c>
      <c r="C81" s="2">
        <v>1239</v>
      </c>
      <c r="D81" s="2">
        <v>411881</v>
      </c>
      <c r="E81" s="2">
        <v>14453</v>
      </c>
      <c r="F81" s="2">
        <v>1.3614999999999999</v>
      </c>
      <c r="G81" s="2">
        <v>4.7800000000000002E-2</v>
      </c>
      <c r="H81" s="2">
        <v>1.2678</v>
      </c>
      <c r="I81" s="2">
        <v>1.4552</v>
      </c>
      <c r="J81" s="2">
        <v>5.5391000000000004</v>
      </c>
      <c r="K81" s="2">
        <v>0.1925</v>
      </c>
      <c r="L81" s="2">
        <v>5.1618000000000004</v>
      </c>
      <c r="M81" s="2">
        <v>5.9165000000000001</v>
      </c>
      <c r="O81" t="str">
        <f t="shared" si="15"/>
        <v>5.54 (5.16 to 5.92)</v>
      </c>
      <c r="P81" t="str">
        <f t="shared" ref="P81:P83" si="16">O86</f>
        <v>7.99 (7.52 to 8.47)</v>
      </c>
      <c r="Q81" t="str">
        <f t="shared" ref="Q81:Q83" si="17">O91</f>
        <v>10.42 (9.89 to 10.94)</v>
      </c>
      <c r="R81" t="str">
        <f t="shared" ref="R81:R83" si="18">O96</f>
        <v>11.33 (10.79 to 11.87)</v>
      </c>
    </row>
    <row r="82" spans="1:18" ht="17.25" thickBot="1" x14ac:dyDescent="0.35">
      <c r="A82" s="6"/>
      <c r="B82" s="11">
        <v>3</v>
      </c>
      <c r="C82" s="2">
        <v>3618</v>
      </c>
      <c r="D82" s="2">
        <v>1627529</v>
      </c>
      <c r="E82" s="2">
        <v>35118</v>
      </c>
      <c r="F82" s="2">
        <v>5.3799000000000001</v>
      </c>
      <c r="G82" s="2">
        <v>0.109</v>
      </c>
      <c r="H82" s="2">
        <v>5.1661999999999999</v>
      </c>
      <c r="I82" s="2">
        <v>5.5936000000000003</v>
      </c>
      <c r="J82" s="2">
        <v>21.887599999999999</v>
      </c>
      <c r="K82" s="2">
        <v>0.41399999999999998</v>
      </c>
      <c r="L82" s="2">
        <v>21.075800000000001</v>
      </c>
      <c r="M82" s="2">
        <v>22.699300000000001</v>
      </c>
      <c r="O82" t="str">
        <f t="shared" si="15"/>
        <v>21.89 (21.08 to 22.70)</v>
      </c>
      <c r="P82" t="str">
        <f t="shared" si="16"/>
        <v>26.51 (25.65 to 27.38)</v>
      </c>
      <c r="Q82" t="str">
        <f t="shared" si="17"/>
        <v>27.21 (26.37 to 28.06)</v>
      </c>
      <c r="R82" t="str">
        <f t="shared" si="18"/>
        <v>29.76 (28.92 to 30.61)</v>
      </c>
    </row>
    <row r="83" spans="1:18" ht="17.25" thickBot="1" x14ac:dyDescent="0.35">
      <c r="A83" s="6"/>
      <c r="B83" s="11">
        <v>4</v>
      </c>
      <c r="C83" s="2">
        <v>10201</v>
      </c>
      <c r="D83" s="2">
        <v>5006770</v>
      </c>
      <c r="E83" s="2">
        <v>75210</v>
      </c>
      <c r="F83" s="2">
        <v>16.5502</v>
      </c>
      <c r="G83" s="2">
        <v>0.19939999999999999</v>
      </c>
      <c r="H83" s="2">
        <v>16.159300000000002</v>
      </c>
      <c r="I83" s="2">
        <v>16.941199999999998</v>
      </c>
      <c r="J83" s="2">
        <v>67.332800000000006</v>
      </c>
      <c r="K83" s="2">
        <v>0.48459999999999998</v>
      </c>
      <c r="L83" s="2">
        <v>66.3827</v>
      </c>
      <c r="M83" s="2">
        <v>68.282899999999998</v>
      </c>
      <c r="O83" t="str">
        <f t="shared" si="15"/>
        <v>67.33 (66.38 to 68.28)</v>
      </c>
      <c r="P83" t="str">
        <f t="shared" si="16"/>
        <v>56.92 (55.88 to 57.96)</v>
      </c>
      <c r="Q83" t="str">
        <f t="shared" si="17"/>
        <v>51.03 (49.96 to 52.11)</v>
      </c>
      <c r="R83" t="str">
        <f t="shared" si="18"/>
        <v>47.51 (46.47 to 48.55)</v>
      </c>
    </row>
    <row r="84" spans="1:18" ht="17.25" thickBot="1" x14ac:dyDescent="0.35">
      <c r="A84" s="6"/>
      <c r="B84" s="11" t="s">
        <v>153</v>
      </c>
      <c r="C84" s="2">
        <v>16281</v>
      </c>
      <c r="D84" s="2">
        <v>7435856</v>
      </c>
      <c r="E84" s="2">
        <v>88984</v>
      </c>
      <c r="F84" s="2">
        <v>24.579799999999999</v>
      </c>
      <c r="G84" s="2">
        <v>0.21490000000000001</v>
      </c>
      <c r="H84" s="2">
        <v>24.158300000000001</v>
      </c>
      <c r="I84" s="2">
        <v>25.001200000000001</v>
      </c>
      <c r="J84" s="2">
        <v>100</v>
      </c>
      <c r="K84" s="2"/>
      <c r="L84" s="2"/>
      <c r="M84" s="2"/>
    </row>
    <row r="85" spans="1:18" ht="17.25" thickBot="1" x14ac:dyDescent="0.35">
      <c r="A85" s="6">
        <v>2</v>
      </c>
      <c r="B85" s="11">
        <v>1</v>
      </c>
      <c r="C85" s="2">
        <v>2171</v>
      </c>
      <c r="D85" s="2">
        <v>630909</v>
      </c>
      <c r="E85" s="2">
        <v>17270</v>
      </c>
      <c r="F85" s="2">
        <v>2.0855000000000001</v>
      </c>
      <c r="G85" s="2">
        <v>5.8400000000000001E-2</v>
      </c>
      <c r="H85" s="2">
        <v>1.9710000000000001</v>
      </c>
      <c r="I85" s="2">
        <v>2.2000000000000002</v>
      </c>
      <c r="J85" s="2">
        <v>8.5745000000000005</v>
      </c>
      <c r="K85" s="2">
        <v>0.23949999999999999</v>
      </c>
      <c r="L85" s="2">
        <v>8.1050000000000004</v>
      </c>
      <c r="M85" s="2">
        <v>9.0441000000000003</v>
      </c>
      <c r="O85" t="str">
        <f t="shared" ref="O85:O88" si="19">TEXT(J85,"0.00")&amp;" ("&amp;TEXT(L85,"0.00")&amp;" to "&amp;TEXT(M85,"0.00")&amp;")"</f>
        <v>8.57 (8.11 to 9.04)</v>
      </c>
    </row>
    <row r="86" spans="1:18" ht="17.25" thickBot="1" x14ac:dyDescent="0.35">
      <c r="A86" s="6"/>
      <c r="B86" s="11">
        <v>2</v>
      </c>
      <c r="C86" s="2">
        <v>1795</v>
      </c>
      <c r="D86" s="2">
        <v>588203</v>
      </c>
      <c r="E86" s="2">
        <v>18194</v>
      </c>
      <c r="F86" s="2">
        <v>1.9442999999999999</v>
      </c>
      <c r="G86" s="2">
        <v>5.9799999999999999E-2</v>
      </c>
      <c r="H86" s="2">
        <v>1.8271999999999999</v>
      </c>
      <c r="I86" s="2">
        <v>2.0615000000000001</v>
      </c>
      <c r="J86" s="2">
        <v>7.9941000000000004</v>
      </c>
      <c r="K86" s="2">
        <v>0.2429</v>
      </c>
      <c r="L86" s="2">
        <v>7.5179</v>
      </c>
      <c r="M86" s="2">
        <v>8.4703999999999997</v>
      </c>
      <c r="O86" t="str">
        <f t="shared" si="19"/>
        <v>7.99 (7.52 to 8.47)</v>
      </c>
    </row>
    <row r="87" spans="1:18" ht="17.25" thickBot="1" x14ac:dyDescent="0.35">
      <c r="A87" s="6"/>
      <c r="B87" s="11">
        <v>3</v>
      </c>
      <c r="C87" s="2">
        <v>4403</v>
      </c>
      <c r="D87" s="2">
        <v>1950778</v>
      </c>
      <c r="E87" s="2">
        <v>38440</v>
      </c>
      <c r="F87" s="2">
        <v>6.4484000000000004</v>
      </c>
      <c r="G87" s="2">
        <v>0.1182</v>
      </c>
      <c r="H87" s="2">
        <v>6.2167000000000003</v>
      </c>
      <c r="I87" s="2">
        <v>6.6802000000000001</v>
      </c>
      <c r="J87" s="2">
        <v>26.512499999999999</v>
      </c>
      <c r="K87" s="2">
        <v>0.44090000000000001</v>
      </c>
      <c r="L87" s="2">
        <v>25.648099999999999</v>
      </c>
      <c r="M87" s="2">
        <v>27.376899999999999</v>
      </c>
      <c r="O87" t="str">
        <f t="shared" si="19"/>
        <v>26.51 (25.65 to 27.38)</v>
      </c>
    </row>
    <row r="88" spans="1:18" ht="17.25" thickBot="1" x14ac:dyDescent="0.35">
      <c r="A88" s="6"/>
      <c r="B88" s="11">
        <v>4</v>
      </c>
      <c r="C88" s="2">
        <v>8438</v>
      </c>
      <c r="D88" s="2">
        <v>4188062</v>
      </c>
      <c r="E88" s="2">
        <v>66699</v>
      </c>
      <c r="F88" s="2">
        <v>13.8439</v>
      </c>
      <c r="G88" s="2">
        <v>0.17899999999999999</v>
      </c>
      <c r="H88" s="2">
        <v>13.493</v>
      </c>
      <c r="I88" s="2">
        <v>14.194900000000001</v>
      </c>
      <c r="J88" s="2">
        <v>56.918900000000001</v>
      </c>
      <c r="K88" s="2">
        <v>0.53069999999999995</v>
      </c>
      <c r="L88" s="2">
        <v>55.878300000000003</v>
      </c>
      <c r="M88" s="2">
        <v>57.959400000000002</v>
      </c>
      <c r="O88" t="str">
        <f t="shared" si="19"/>
        <v>56.92 (55.88 to 57.96)</v>
      </c>
    </row>
    <row r="89" spans="1:18" ht="17.25" thickBot="1" x14ac:dyDescent="0.35">
      <c r="A89" s="6"/>
      <c r="B89" s="11" t="s">
        <v>153</v>
      </c>
      <c r="C89" s="2">
        <v>16807</v>
      </c>
      <c r="D89" s="2">
        <v>7357952</v>
      </c>
      <c r="E89" s="2">
        <v>82132</v>
      </c>
      <c r="F89" s="2">
        <v>24.322299999999998</v>
      </c>
      <c r="G89" s="2">
        <v>0.19400000000000001</v>
      </c>
      <c r="H89" s="2">
        <v>23.9419</v>
      </c>
      <c r="I89" s="2">
        <v>24.7026</v>
      </c>
      <c r="J89" s="2">
        <v>100</v>
      </c>
      <c r="K89" s="2"/>
      <c r="L89" s="2"/>
      <c r="M89" s="2"/>
    </row>
    <row r="90" spans="1:18" ht="17.25" thickBot="1" x14ac:dyDescent="0.35">
      <c r="A90" s="6">
        <v>3</v>
      </c>
      <c r="B90" s="11">
        <v>1</v>
      </c>
      <c r="C90" s="2">
        <v>2834</v>
      </c>
      <c r="D90" s="2">
        <v>850552</v>
      </c>
      <c r="E90" s="2">
        <v>21400</v>
      </c>
      <c r="F90" s="2">
        <v>2.8115999999999999</v>
      </c>
      <c r="G90" s="2">
        <v>7.2400000000000006E-2</v>
      </c>
      <c r="H90" s="2">
        <v>2.6697000000000002</v>
      </c>
      <c r="I90" s="2">
        <v>2.9533999999999998</v>
      </c>
      <c r="J90" s="2">
        <v>11.338699999999999</v>
      </c>
      <c r="K90" s="2">
        <v>0.28320000000000001</v>
      </c>
      <c r="L90" s="2">
        <v>10.783300000000001</v>
      </c>
      <c r="M90" s="2">
        <v>11.894</v>
      </c>
      <c r="O90" t="str">
        <f t="shared" ref="O90:O93" si="20">TEXT(J90,"0.00")&amp;" ("&amp;TEXT(L90,"0.00")&amp;" to "&amp;TEXT(M90,"0.00")&amp;")"</f>
        <v>11.34 (10.78 to 11.89)</v>
      </c>
    </row>
    <row r="91" spans="1:18" ht="17.25" thickBot="1" x14ac:dyDescent="0.35">
      <c r="A91" s="6"/>
      <c r="B91" s="11">
        <v>2</v>
      </c>
      <c r="C91" s="2">
        <v>2369</v>
      </c>
      <c r="D91" s="2">
        <v>781290</v>
      </c>
      <c r="E91" s="2">
        <v>20780</v>
      </c>
      <c r="F91" s="2">
        <v>2.5825999999999998</v>
      </c>
      <c r="G91" s="2">
        <v>6.88E-2</v>
      </c>
      <c r="H91" s="2">
        <v>2.4478</v>
      </c>
      <c r="I91" s="2">
        <v>2.7174</v>
      </c>
      <c r="J91" s="2">
        <v>10.4153</v>
      </c>
      <c r="K91" s="2">
        <v>0.26939999999999997</v>
      </c>
      <c r="L91" s="2">
        <v>9.8870000000000005</v>
      </c>
      <c r="M91" s="2">
        <v>10.9436</v>
      </c>
      <c r="O91" t="str">
        <f t="shared" si="20"/>
        <v>10.42 (9.89 to 10.94)</v>
      </c>
    </row>
    <row r="92" spans="1:18" ht="17.25" thickBot="1" x14ac:dyDescent="0.35">
      <c r="A92" s="6"/>
      <c r="B92" s="11">
        <v>3</v>
      </c>
      <c r="C92" s="2">
        <v>4589</v>
      </c>
      <c r="D92" s="2">
        <v>2041487</v>
      </c>
      <c r="E92" s="2">
        <v>39357</v>
      </c>
      <c r="F92" s="2">
        <v>6.7483000000000004</v>
      </c>
      <c r="G92" s="2">
        <v>0.12</v>
      </c>
      <c r="H92" s="2">
        <v>6.5130999999999997</v>
      </c>
      <c r="I92" s="2">
        <v>6.9835000000000003</v>
      </c>
      <c r="J92" s="2">
        <v>27.2149</v>
      </c>
      <c r="K92" s="2">
        <v>0.4289</v>
      </c>
      <c r="L92" s="2">
        <v>26.373799999999999</v>
      </c>
      <c r="M92" s="2">
        <v>28.056000000000001</v>
      </c>
      <c r="O92" t="str">
        <f t="shared" si="20"/>
        <v>27.21 (26.37 to 28.06)</v>
      </c>
    </row>
    <row r="93" spans="1:18" ht="17.25" thickBot="1" x14ac:dyDescent="0.35">
      <c r="A93" s="6"/>
      <c r="B93" s="11">
        <v>4</v>
      </c>
      <c r="C93" s="2">
        <v>7630</v>
      </c>
      <c r="D93" s="2">
        <v>3828025</v>
      </c>
      <c r="E93" s="2">
        <v>63863</v>
      </c>
      <c r="F93" s="2">
        <v>12.6538</v>
      </c>
      <c r="G93" s="2">
        <v>0.17349999999999999</v>
      </c>
      <c r="H93" s="2">
        <v>12.313599999999999</v>
      </c>
      <c r="I93" s="2">
        <v>12.9941</v>
      </c>
      <c r="J93" s="2">
        <v>51.031100000000002</v>
      </c>
      <c r="K93" s="2">
        <v>0.54830000000000001</v>
      </c>
      <c r="L93" s="2">
        <v>49.956000000000003</v>
      </c>
      <c r="M93" s="2">
        <v>52.106299999999997</v>
      </c>
      <c r="O93" t="str">
        <f t="shared" si="20"/>
        <v>51.03 (49.96 to 52.11)</v>
      </c>
    </row>
    <row r="94" spans="1:18" ht="17.25" thickBot="1" x14ac:dyDescent="0.35">
      <c r="A94" s="6"/>
      <c r="B94" s="11" t="s">
        <v>153</v>
      </c>
      <c r="C94" s="2">
        <v>17422</v>
      </c>
      <c r="D94" s="2">
        <v>7501354</v>
      </c>
      <c r="E94" s="2">
        <v>82741</v>
      </c>
      <c r="F94" s="2">
        <v>24.796299999999999</v>
      </c>
      <c r="G94" s="2">
        <v>0.19819999999999999</v>
      </c>
      <c r="H94" s="2">
        <v>24.407599999999999</v>
      </c>
      <c r="I94" s="2">
        <v>25.184899999999999</v>
      </c>
      <c r="J94" s="2">
        <v>100</v>
      </c>
      <c r="K94" s="2"/>
      <c r="L94" s="2"/>
      <c r="M94" s="2"/>
    </row>
    <row r="95" spans="1:18" ht="17.25" thickBot="1" x14ac:dyDescent="0.35">
      <c r="A95" s="6">
        <v>4</v>
      </c>
      <c r="B95" s="11">
        <v>1</v>
      </c>
      <c r="C95" s="2">
        <v>2971</v>
      </c>
      <c r="D95" s="2">
        <v>907571</v>
      </c>
      <c r="E95" s="2">
        <v>23043</v>
      </c>
      <c r="F95" s="2">
        <v>3</v>
      </c>
      <c r="G95" s="2">
        <v>7.7799999999999994E-2</v>
      </c>
      <c r="H95" s="2">
        <v>2.8475999999999999</v>
      </c>
      <c r="I95" s="2">
        <v>3.1524999999999999</v>
      </c>
      <c r="J95" s="2">
        <v>11.4063</v>
      </c>
      <c r="K95" s="2">
        <v>0.27789999999999998</v>
      </c>
      <c r="L95" s="2">
        <v>10.8614</v>
      </c>
      <c r="M95" s="2">
        <v>11.9511</v>
      </c>
      <c r="O95" t="str">
        <f t="shared" ref="O95:O98" si="21">TEXT(J95,"0.00")&amp;" ("&amp;TEXT(L95,"0.00")&amp;" to "&amp;TEXT(M95,"0.00")&amp;")"</f>
        <v>11.41 (10.86 to 11.95)</v>
      </c>
    </row>
    <row r="96" spans="1:18" ht="17.25" thickBot="1" x14ac:dyDescent="0.35">
      <c r="A96" s="6"/>
      <c r="B96" s="11">
        <v>2</v>
      </c>
      <c r="C96" s="2">
        <v>2534</v>
      </c>
      <c r="D96" s="2">
        <v>901130</v>
      </c>
      <c r="E96" s="2">
        <v>23008</v>
      </c>
      <c r="F96" s="2">
        <v>2.9788000000000001</v>
      </c>
      <c r="G96" s="2">
        <v>7.6300000000000007E-2</v>
      </c>
      <c r="H96" s="2">
        <v>2.8290999999999999</v>
      </c>
      <c r="I96" s="2">
        <v>3.1284000000000001</v>
      </c>
      <c r="J96" s="2">
        <v>11.3253</v>
      </c>
      <c r="K96" s="2">
        <v>0.27550000000000002</v>
      </c>
      <c r="L96" s="2">
        <v>10.7852</v>
      </c>
      <c r="M96" s="2">
        <v>11.865500000000001</v>
      </c>
      <c r="O96" t="str">
        <f t="shared" si="21"/>
        <v>11.33 (10.79 to 11.87)</v>
      </c>
    </row>
    <row r="97" spans="1:18" ht="17.25" thickBot="1" x14ac:dyDescent="0.35">
      <c r="A97" s="6"/>
      <c r="B97" s="11">
        <v>3</v>
      </c>
      <c r="C97" s="2">
        <v>5148</v>
      </c>
      <c r="D97" s="2">
        <v>2368002</v>
      </c>
      <c r="E97" s="2">
        <v>43089</v>
      </c>
      <c r="F97" s="2">
        <v>7.8276000000000003</v>
      </c>
      <c r="G97" s="2">
        <v>0.13469999999999999</v>
      </c>
      <c r="H97" s="2">
        <v>7.5635000000000003</v>
      </c>
      <c r="I97" s="2">
        <v>8.0916999999999994</v>
      </c>
      <c r="J97" s="2">
        <v>29.7608</v>
      </c>
      <c r="K97" s="2">
        <v>0.43080000000000002</v>
      </c>
      <c r="L97" s="2">
        <v>28.916</v>
      </c>
      <c r="M97" s="2">
        <v>30.605599999999999</v>
      </c>
      <c r="O97" t="str">
        <f t="shared" si="21"/>
        <v>29.76 (28.92 to 30.61)</v>
      </c>
    </row>
    <row r="98" spans="1:18" ht="17.25" thickBot="1" x14ac:dyDescent="0.35">
      <c r="A98" s="6"/>
      <c r="B98" s="11">
        <v>4</v>
      </c>
      <c r="C98" s="2">
        <v>7472</v>
      </c>
      <c r="D98" s="2">
        <v>3780070</v>
      </c>
      <c r="E98" s="2">
        <v>59970</v>
      </c>
      <c r="F98" s="2">
        <v>12.4953</v>
      </c>
      <c r="G98" s="2">
        <v>0.16439999999999999</v>
      </c>
      <c r="H98" s="2">
        <v>12.173</v>
      </c>
      <c r="I98" s="2">
        <v>12.817600000000001</v>
      </c>
      <c r="J98" s="2">
        <v>47.507599999999996</v>
      </c>
      <c r="K98" s="2">
        <v>0.52910000000000001</v>
      </c>
      <c r="L98" s="2">
        <v>46.470199999999998</v>
      </c>
      <c r="M98" s="2">
        <v>48.545000000000002</v>
      </c>
      <c r="O98" t="str">
        <f t="shared" si="21"/>
        <v>47.51 (46.47 to 48.55)</v>
      </c>
    </row>
    <row r="99" spans="1:18" ht="17.25" thickBot="1" x14ac:dyDescent="0.35">
      <c r="A99" s="6"/>
      <c r="B99" s="11" t="s">
        <v>153</v>
      </c>
      <c r="C99" s="2">
        <v>18125</v>
      </c>
      <c r="D99" s="2">
        <v>7956773</v>
      </c>
      <c r="E99" s="2">
        <v>83258</v>
      </c>
      <c r="F99" s="2">
        <v>26.3017</v>
      </c>
      <c r="G99" s="2">
        <v>0.21260000000000001</v>
      </c>
      <c r="H99" s="2">
        <v>25.884799999999998</v>
      </c>
      <c r="I99" s="2">
        <v>26.718599999999999</v>
      </c>
      <c r="J99" s="2">
        <v>100</v>
      </c>
      <c r="K99" s="2"/>
      <c r="L99" s="2"/>
      <c r="M99" s="2"/>
    </row>
    <row r="100" spans="1:18" ht="17.25" thickBot="1" x14ac:dyDescent="0.35">
      <c r="A100" s="6" t="s">
        <v>153</v>
      </c>
      <c r="B100" s="11">
        <v>1</v>
      </c>
      <c r="C100" s="2">
        <v>9199</v>
      </c>
      <c r="D100" s="2">
        <v>2778708</v>
      </c>
      <c r="E100" s="2">
        <v>48157</v>
      </c>
      <c r="F100" s="2">
        <v>9.1852</v>
      </c>
      <c r="G100" s="2">
        <v>0.16550000000000001</v>
      </c>
      <c r="H100" s="2">
        <v>8.8606999999999996</v>
      </c>
      <c r="I100" s="2">
        <v>9.5098000000000003</v>
      </c>
      <c r="J100" s="2"/>
      <c r="K100" s="2"/>
      <c r="L100" s="2"/>
      <c r="M100" s="2"/>
    </row>
    <row r="101" spans="1:18" ht="17.25" thickBot="1" x14ac:dyDescent="0.35">
      <c r="A101" s="6"/>
      <c r="B101" s="11">
        <v>2</v>
      </c>
      <c r="C101" s="2">
        <v>7937</v>
      </c>
      <c r="D101" s="2">
        <v>2682504</v>
      </c>
      <c r="E101" s="2">
        <v>43699</v>
      </c>
      <c r="F101" s="2">
        <v>8.8672000000000004</v>
      </c>
      <c r="G101" s="2">
        <v>0.14430000000000001</v>
      </c>
      <c r="H101" s="2">
        <v>8.5841999999999992</v>
      </c>
      <c r="I101" s="2">
        <v>9.1501999999999999</v>
      </c>
      <c r="J101" s="2"/>
      <c r="K101" s="2"/>
      <c r="L101" s="2"/>
      <c r="M101" s="2"/>
    </row>
    <row r="102" spans="1:18" ht="17.25" thickBot="1" x14ac:dyDescent="0.35">
      <c r="A102" s="6"/>
      <c r="B102" s="11">
        <v>3</v>
      </c>
      <c r="C102" s="2">
        <v>17758</v>
      </c>
      <c r="D102" s="2">
        <v>7987796</v>
      </c>
      <c r="E102" s="2">
        <v>95615</v>
      </c>
      <c r="F102" s="2">
        <v>26.404199999999999</v>
      </c>
      <c r="G102" s="2">
        <v>0.25690000000000002</v>
      </c>
      <c r="H102" s="2">
        <v>25.900500000000001</v>
      </c>
      <c r="I102" s="2">
        <v>26.908000000000001</v>
      </c>
      <c r="J102" s="2"/>
      <c r="K102" s="2"/>
      <c r="L102" s="2"/>
      <c r="M102" s="2"/>
    </row>
    <row r="103" spans="1:18" ht="17.25" thickBot="1" x14ac:dyDescent="0.35">
      <c r="A103" s="6"/>
      <c r="B103" s="11">
        <v>4</v>
      </c>
      <c r="C103" s="2">
        <v>33741</v>
      </c>
      <c r="D103" s="2">
        <v>16802927</v>
      </c>
      <c r="E103" s="2">
        <v>189742</v>
      </c>
      <c r="F103" s="2">
        <v>55.543300000000002</v>
      </c>
      <c r="G103" s="2">
        <v>0.36720000000000003</v>
      </c>
      <c r="H103" s="2">
        <v>54.8232</v>
      </c>
      <c r="I103" s="2">
        <v>56.263399999999997</v>
      </c>
      <c r="J103" s="2"/>
      <c r="K103" s="2"/>
      <c r="L103" s="2"/>
      <c r="M103" s="2"/>
    </row>
    <row r="104" spans="1:18" x14ac:dyDescent="0.3">
      <c r="A104" s="6"/>
      <c r="B104" s="14" t="s">
        <v>153</v>
      </c>
      <c r="C104" s="2">
        <v>68635</v>
      </c>
      <c r="D104" s="2">
        <v>30251936</v>
      </c>
      <c r="E104" s="2">
        <v>228758</v>
      </c>
      <c r="F104" s="2">
        <v>100</v>
      </c>
      <c r="G104" s="2"/>
      <c r="H104" s="2"/>
      <c r="I104" s="2"/>
      <c r="J104" s="2"/>
      <c r="K104" s="2"/>
      <c r="L104" s="2"/>
      <c r="M104" s="2"/>
    </row>
    <row r="105" spans="1:18" ht="17.25" thickBot="1" x14ac:dyDescent="0.35"/>
    <row r="106" spans="1:18" ht="16.5" customHeight="1" x14ac:dyDescent="0.3">
      <c r="A106" s="16" t="s">
        <v>176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spans="1:18" ht="33" customHeight="1" x14ac:dyDescent="0.3">
      <c r="A107" s="17" t="s">
        <v>25</v>
      </c>
      <c r="B107" s="19" t="s">
        <v>9</v>
      </c>
      <c r="C107" s="19" t="s">
        <v>146</v>
      </c>
      <c r="D107" s="3" t="s">
        <v>147</v>
      </c>
      <c r="E107" s="3" t="s">
        <v>148</v>
      </c>
      <c r="F107" s="19" t="s">
        <v>150</v>
      </c>
      <c r="G107" s="3" t="s">
        <v>148</v>
      </c>
      <c r="H107" s="19" t="s">
        <v>151</v>
      </c>
      <c r="I107" s="19"/>
      <c r="J107" s="3" t="s">
        <v>170</v>
      </c>
      <c r="K107" s="3" t="s">
        <v>148</v>
      </c>
      <c r="L107" s="19" t="s">
        <v>151</v>
      </c>
      <c r="M107" s="19"/>
    </row>
    <row r="108" spans="1:18" ht="33" x14ac:dyDescent="0.3">
      <c r="A108" s="17"/>
      <c r="B108" s="19"/>
      <c r="C108" s="19"/>
      <c r="D108" s="3" t="s">
        <v>146</v>
      </c>
      <c r="E108" s="3" t="s">
        <v>149</v>
      </c>
      <c r="F108" s="19"/>
      <c r="G108" s="3" t="s">
        <v>150</v>
      </c>
      <c r="H108" s="19" t="s">
        <v>152</v>
      </c>
      <c r="I108" s="19"/>
      <c r="J108" s="3" t="s">
        <v>150</v>
      </c>
      <c r="K108" s="3" t="s">
        <v>171</v>
      </c>
      <c r="L108" s="19" t="s">
        <v>172</v>
      </c>
      <c r="M108" s="19"/>
    </row>
    <row r="109" spans="1:18" ht="17.25" thickBot="1" x14ac:dyDescent="0.35">
      <c r="A109" s="6">
        <v>1</v>
      </c>
      <c r="B109" s="11">
        <v>1</v>
      </c>
      <c r="C109" s="2">
        <v>1913</v>
      </c>
      <c r="D109" s="2">
        <v>754526</v>
      </c>
      <c r="E109" s="2">
        <v>25611</v>
      </c>
      <c r="F109" s="2">
        <v>2.4941</v>
      </c>
      <c r="G109" s="2">
        <v>8.4699999999999998E-2</v>
      </c>
      <c r="H109" s="2">
        <v>2.3281000000000001</v>
      </c>
      <c r="I109" s="2">
        <v>2.6602000000000001</v>
      </c>
      <c r="J109" s="2">
        <v>10.1471</v>
      </c>
      <c r="K109" s="2">
        <v>0.33310000000000001</v>
      </c>
      <c r="L109" s="2">
        <v>9.4939999999999998</v>
      </c>
      <c r="M109" s="2">
        <v>10.8003</v>
      </c>
      <c r="O109" t="str">
        <f t="shared" ref="O109:O112" si="22">TEXT(J109,"0.00")&amp;" ("&amp;TEXT(L109,"0.00")&amp;" to "&amp;TEXT(M109,"0.00")&amp;")"</f>
        <v>10.15 (9.49 to 10.80)</v>
      </c>
      <c r="P109" t="str">
        <f>O114</f>
        <v>13.08 (12.40 to 13.76)</v>
      </c>
      <c r="Q109" t="str">
        <f>O119</f>
        <v>14.16 (13.49 to 14.83)</v>
      </c>
      <c r="R109" t="str">
        <f>O124</f>
        <v>14.54 (13.88 to 15.20)</v>
      </c>
    </row>
    <row r="110" spans="1:18" ht="17.25" thickBot="1" x14ac:dyDescent="0.35">
      <c r="A110" s="6"/>
      <c r="B110" s="11">
        <v>2</v>
      </c>
      <c r="C110" s="2">
        <v>3775</v>
      </c>
      <c r="D110" s="2">
        <v>1712541</v>
      </c>
      <c r="E110" s="2">
        <v>38293</v>
      </c>
      <c r="F110" s="2">
        <v>5.6608999999999998</v>
      </c>
      <c r="G110" s="2">
        <v>0.12089999999999999</v>
      </c>
      <c r="H110" s="2">
        <v>5.4238999999999997</v>
      </c>
      <c r="I110" s="2">
        <v>5.8978999999999999</v>
      </c>
      <c r="J110" s="2">
        <v>23.030799999999999</v>
      </c>
      <c r="K110" s="2">
        <v>0.4572</v>
      </c>
      <c r="L110" s="2">
        <v>22.1343</v>
      </c>
      <c r="M110" s="2">
        <v>23.927399999999999</v>
      </c>
      <c r="O110" t="str">
        <f t="shared" si="22"/>
        <v>23.03 (22.13 to 23.93)</v>
      </c>
      <c r="P110" t="str">
        <f t="shared" ref="P110:P112" si="23">O115</f>
        <v>24.01 (23.10 to 24.92)</v>
      </c>
      <c r="Q110" t="str">
        <f t="shared" ref="Q110:Q112" si="24">O120</f>
        <v>24.47 (23.60 to 25.35)</v>
      </c>
      <c r="R110" t="str">
        <f t="shared" ref="R110:R112" si="25">O125</f>
        <v>24.54 (23.69 to 25.39)</v>
      </c>
    </row>
    <row r="111" spans="1:18" ht="17.25" thickBot="1" x14ac:dyDescent="0.35">
      <c r="A111" s="6"/>
      <c r="B111" s="11">
        <v>3</v>
      </c>
      <c r="C111" s="2">
        <v>4945</v>
      </c>
      <c r="D111" s="2">
        <v>2313105</v>
      </c>
      <c r="E111" s="2">
        <v>46103</v>
      </c>
      <c r="F111" s="2">
        <v>7.6460999999999997</v>
      </c>
      <c r="G111" s="2">
        <v>0.13719999999999999</v>
      </c>
      <c r="H111" s="2">
        <v>7.3771000000000004</v>
      </c>
      <c r="I111" s="2">
        <v>7.9150999999999998</v>
      </c>
      <c r="J111" s="2">
        <v>31.107500000000002</v>
      </c>
      <c r="K111" s="2">
        <v>0.49430000000000002</v>
      </c>
      <c r="L111" s="2">
        <v>30.138300000000001</v>
      </c>
      <c r="M111" s="2">
        <v>32.076599999999999</v>
      </c>
      <c r="O111" t="str">
        <f t="shared" si="22"/>
        <v>31.11 (30.14 to 32.08)</v>
      </c>
      <c r="P111" t="str">
        <f t="shared" si="23"/>
        <v>30.75 (29.81 to 31.69)</v>
      </c>
      <c r="Q111" t="str">
        <f t="shared" si="24"/>
        <v>29.77 (28.83 to 30.70)</v>
      </c>
      <c r="R111" t="str">
        <f t="shared" si="25"/>
        <v>29.93 (29.02 to 30.84)</v>
      </c>
    </row>
    <row r="112" spans="1:18" ht="17.25" thickBot="1" x14ac:dyDescent="0.35">
      <c r="A112" s="6"/>
      <c r="B112" s="11">
        <v>4</v>
      </c>
      <c r="C112" s="2">
        <v>5648</v>
      </c>
      <c r="D112" s="2">
        <v>2655684</v>
      </c>
      <c r="E112" s="2">
        <v>57554</v>
      </c>
      <c r="F112" s="2">
        <v>8.7786000000000008</v>
      </c>
      <c r="G112" s="2">
        <v>0.17030000000000001</v>
      </c>
      <c r="H112" s="2">
        <v>8.4445999999999994</v>
      </c>
      <c r="I112" s="2">
        <v>9.1126000000000005</v>
      </c>
      <c r="J112" s="2">
        <v>35.714599999999997</v>
      </c>
      <c r="K112" s="2">
        <v>0.60209999999999997</v>
      </c>
      <c r="L112" s="2">
        <v>34.533900000000003</v>
      </c>
      <c r="M112" s="2">
        <v>36.895200000000003</v>
      </c>
      <c r="O112" t="str">
        <f t="shared" si="22"/>
        <v>35.71 (34.53 to 36.90)</v>
      </c>
      <c r="P112" t="str">
        <f t="shared" si="23"/>
        <v>32.17 (31.07 to 33.27)</v>
      </c>
      <c r="Q112" t="str">
        <f t="shared" si="24"/>
        <v>31.60 (30.50 to 32.70)</v>
      </c>
      <c r="R112" t="str">
        <f t="shared" si="25"/>
        <v>30.98 (29.94 to 32.03)</v>
      </c>
    </row>
    <row r="113" spans="1:15" ht="17.25" thickBot="1" x14ac:dyDescent="0.35">
      <c r="A113" s="6"/>
      <c r="B113" s="11" t="s">
        <v>153</v>
      </c>
      <c r="C113" s="2">
        <v>16281</v>
      </c>
      <c r="D113" s="2">
        <v>7435856</v>
      </c>
      <c r="E113" s="2">
        <v>88984</v>
      </c>
      <c r="F113" s="2">
        <v>24.579799999999999</v>
      </c>
      <c r="G113" s="2">
        <v>0.21490000000000001</v>
      </c>
      <c r="H113" s="2">
        <v>24.158300000000001</v>
      </c>
      <c r="I113" s="2">
        <v>25.001200000000001</v>
      </c>
      <c r="J113" s="2">
        <v>100</v>
      </c>
      <c r="K113" s="2"/>
      <c r="L113" s="2"/>
      <c r="M113" s="2"/>
    </row>
    <row r="114" spans="1:15" ht="17.25" thickBot="1" x14ac:dyDescent="0.35">
      <c r="A114" s="6">
        <v>2</v>
      </c>
      <c r="B114" s="11">
        <v>1</v>
      </c>
      <c r="C114" s="2">
        <v>2688</v>
      </c>
      <c r="D114" s="2">
        <v>962271</v>
      </c>
      <c r="E114" s="2">
        <v>26009</v>
      </c>
      <c r="F114" s="2">
        <v>3.1808999999999998</v>
      </c>
      <c r="G114" s="2">
        <v>8.6699999999999999E-2</v>
      </c>
      <c r="H114" s="2">
        <v>3.0108000000000001</v>
      </c>
      <c r="I114" s="2">
        <v>3.351</v>
      </c>
      <c r="J114" s="2">
        <v>13.077999999999999</v>
      </c>
      <c r="K114" s="2">
        <v>0.3463</v>
      </c>
      <c r="L114" s="2">
        <v>12.398899999999999</v>
      </c>
      <c r="M114" s="2">
        <v>13.757</v>
      </c>
      <c r="O114" t="str">
        <f t="shared" ref="O114:O117" si="26">TEXT(J114,"0.00")&amp;" ("&amp;TEXT(L114,"0.00")&amp;" to "&amp;TEXT(M114,"0.00")&amp;")"</f>
        <v>13.08 (12.40 to 13.76)</v>
      </c>
    </row>
    <row r="115" spans="1:15" ht="17.25" thickBot="1" x14ac:dyDescent="0.35">
      <c r="A115" s="6"/>
      <c r="B115" s="11">
        <v>2</v>
      </c>
      <c r="C115" s="2">
        <v>4107</v>
      </c>
      <c r="D115" s="2">
        <v>1766397</v>
      </c>
      <c r="E115" s="2">
        <v>38363</v>
      </c>
      <c r="F115" s="2">
        <v>5.8390000000000004</v>
      </c>
      <c r="G115" s="2">
        <v>0.1207</v>
      </c>
      <c r="H115" s="2">
        <v>5.6024000000000003</v>
      </c>
      <c r="I115" s="2">
        <v>6.0754999999999999</v>
      </c>
      <c r="J115" s="2">
        <v>24.006599999999999</v>
      </c>
      <c r="K115" s="2">
        <v>0.46429999999999999</v>
      </c>
      <c r="L115" s="2">
        <v>23.096299999999999</v>
      </c>
      <c r="M115" s="2">
        <v>24.917000000000002</v>
      </c>
      <c r="O115" t="str">
        <f t="shared" si="26"/>
        <v>24.01 (23.10 to 24.92)</v>
      </c>
    </row>
    <row r="116" spans="1:15" ht="17.25" thickBot="1" x14ac:dyDescent="0.35">
      <c r="A116" s="6"/>
      <c r="B116" s="11">
        <v>3</v>
      </c>
      <c r="C116" s="2">
        <v>4859</v>
      </c>
      <c r="D116" s="2">
        <v>2262265</v>
      </c>
      <c r="E116" s="2">
        <v>44152</v>
      </c>
      <c r="F116" s="2">
        <v>7.4781000000000004</v>
      </c>
      <c r="G116" s="2">
        <v>0.13159999999999999</v>
      </c>
      <c r="H116" s="2">
        <v>7.22</v>
      </c>
      <c r="I116" s="2">
        <v>7.7361000000000004</v>
      </c>
      <c r="J116" s="2">
        <v>30.745799999999999</v>
      </c>
      <c r="K116" s="2">
        <v>0.47970000000000002</v>
      </c>
      <c r="L116" s="2">
        <v>29.805299999999999</v>
      </c>
      <c r="M116" s="2">
        <v>31.686399999999999</v>
      </c>
      <c r="O116" t="str">
        <f t="shared" si="26"/>
        <v>30.75 (29.81 to 31.69)</v>
      </c>
    </row>
    <row r="117" spans="1:15" ht="17.25" thickBot="1" x14ac:dyDescent="0.35">
      <c r="A117" s="6"/>
      <c r="B117" s="11">
        <v>4</v>
      </c>
      <c r="C117" s="2">
        <v>5153</v>
      </c>
      <c r="D117" s="2">
        <v>2367020</v>
      </c>
      <c r="E117" s="2">
        <v>51558</v>
      </c>
      <c r="F117" s="2">
        <v>7.8243999999999998</v>
      </c>
      <c r="G117" s="2">
        <v>0.1527</v>
      </c>
      <c r="H117" s="2">
        <v>7.5248999999999997</v>
      </c>
      <c r="I117" s="2">
        <v>8.1237999999999992</v>
      </c>
      <c r="J117" s="2">
        <v>32.169499999999999</v>
      </c>
      <c r="K117" s="2">
        <v>0.56030000000000002</v>
      </c>
      <c r="L117" s="2">
        <v>31.070900000000002</v>
      </c>
      <c r="M117" s="2">
        <v>33.2682</v>
      </c>
      <c r="O117" t="str">
        <f t="shared" si="26"/>
        <v>32.17 (31.07 to 33.27)</v>
      </c>
    </row>
    <row r="118" spans="1:15" ht="17.25" thickBot="1" x14ac:dyDescent="0.35">
      <c r="A118" s="6"/>
      <c r="B118" s="11" t="s">
        <v>153</v>
      </c>
      <c r="C118" s="2">
        <v>16807</v>
      </c>
      <c r="D118" s="2">
        <v>7357952</v>
      </c>
      <c r="E118" s="2">
        <v>82132</v>
      </c>
      <c r="F118" s="2">
        <v>24.322299999999998</v>
      </c>
      <c r="G118" s="2">
        <v>0.19400000000000001</v>
      </c>
      <c r="H118" s="2">
        <v>23.9419</v>
      </c>
      <c r="I118" s="2">
        <v>24.7026</v>
      </c>
      <c r="J118" s="2">
        <v>100</v>
      </c>
      <c r="K118" s="2"/>
      <c r="L118" s="2"/>
      <c r="M118" s="2"/>
    </row>
    <row r="119" spans="1:15" ht="17.25" thickBot="1" x14ac:dyDescent="0.35">
      <c r="A119" s="6">
        <v>3</v>
      </c>
      <c r="B119" s="11">
        <v>1</v>
      </c>
      <c r="C119" s="2">
        <v>3213</v>
      </c>
      <c r="D119" s="2">
        <v>1062363</v>
      </c>
      <c r="E119" s="2">
        <v>26001</v>
      </c>
      <c r="F119" s="2">
        <v>3.5116999999999998</v>
      </c>
      <c r="G119" s="2">
        <v>8.7599999999999997E-2</v>
      </c>
      <c r="H119" s="2">
        <v>3.3399000000000001</v>
      </c>
      <c r="I119" s="2">
        <v>3.6835</v>
      </c>
      <c r="J119" s="2">
        <v>14.1623</v>
      </c>
      <c r="K119" s="2">
        <v>0.3422</v>
      </c>
      <c r="L119" s="2">
        <v>13.491300000000001</v>
      </c>
      <c r="M119" s="2">
        <v>14.8332</v>
      </c>
      <c r="O119" t="str">
        <f t="shared" ref="O119:O122" si="27">TEXT(J119,"0.00")&amp;" ("&amp;TEXT(L119,"0.00")&amp;" to "&amp;TEXT(M119,"0.00")&amp;")"</f>
        <v>14.16 (13.49 to 14.83)</v>
      </c>
    </row>
    <row r="120" spans="1:15" ht="17.25" thickBot="1" x14ac:dyDescent="0.35">
      <c r="A120" s="6"/>
      <c r="B120" s="11">
        <v>2</v>
      </c>
      <c r="C120" s="2">
        <v>4375</v>
      </c>
      <c r="D120" s="2">
        <v>1835855</v>
      </c>
      <c r="E120" s="2">
        <v>37311</v>
      </c>
      <c r="F120" s="2">
        <v>6.0686</v>
      </c>
      <c r="G120" s="2">
        <v>0.1198</v>
      </c>
      <c r="H120" s="2">
        <v>5.8335999999999997</v>
      </c>
      <c r="I120" s="2">
        <v>6.3036000000000003</v>
      </c>
      <c r="J120" s="2">
        <v>24.473700000000001</v>
      </c>
      <c r="K120" s="2">
        <v>0.44790000000000002</v>
      </c>
      <c r="L120" s="2">
        <v>23.595400000000001</v>
      </c>
      <c r="M120" s="2">
        <v>25.352</v>
      </c>
      <c r="O120" t="str">
        <f t="shared" si="27"/>
        <v>24.47 (23.60 to 25.35)</v>
      </c>
    </row>
    <row r="121" spans="1:15" ht="17.25" thickBot="1" x14ac:dyDescent="0.35">
      <c r="A121" s="6"/>
      <c r="B121" s="11">
        <v>3</v>
      </c>
      <c r="C121" s="2">
        <v>4799</v>
      </c>
      <c r="D121" s="2">
        <v>2233019</v>
      </c>
      <c r="E121" s="2">
        <v>45064</v>
      </c>
      <c r="F121" s="2">
        <v>7.3814000000000002</v>
      </c>
      <c r="G121" s="2">
        <v>0.1338</v>
      </c>
      <c r="H121" s="2">
        <v>7.1189999999999998</v>
      </c>
      <c r="I121" s="2">
        <v>7.6437999999999997</v>
      </c>
      <c r="J121" s="2">
        <v>29.7682</v>
      </c>
      <c r="K121" s="2">
        <v>0.47660000000000002</v>
      </c>
      <c r="L121" s="2">
        <v>28.8337</v>
      </c>
      <c r="M121" s="2">
        <v>30.7028</v>
      </c>
      <c r="O121" t="str">
        <f t="shared" si="27"/>
        <v>29.77 (28.83 to 30.70)</v>
      </c>
    </row>
    <row r="122" spans="1:15" ht="17.25" thickBot="1" x14ac:dyDescent="0.35">
      <c r="A122" s="6"/>
      <c r="B122" s="11">
        <v>4</v>
      </c>
      <c r="C122" s="2">
        <v>5035</v>
      </c>
      <c r="D122" s="2">
        <v>2370117</v>
      </c>
      <c r="E122" s="2">
        <v>52521</v>
      </c>
      <c r="F122" s="2">
        <v>7.8346</v>
      </c>
      <c r="G122" s="2">
        <v>0.15459999999999999</v>
      </c>
      <c r="H122" s="2">
        <v>7.5313999999999997</v>
      </c>
      <c r="I122" s="2">
        <v>8.1378000000000004</v>
      </c>
      <c r="J122" s="2">
        <v>31.5959</v>
      </c>
      <c r="K122" s="2">
        <v>0.56120000000000003</v>
      </c>
      <c r="L122" s="2">
        <v>30.4955</v>
      </c>
      <c r="M122" s="2">
        <v>32.696199999999997</v>
      </c>
      <c r="O122" t="str">
        <f t="shared" si="27"/>
        <v>31.60 (30.50 to 32.70)</v>
      </c>
    </row>
    <row r="123" spans="1:15" ht="17.25" thickBot="1" x14ac:dyDescent="0.35">
      <c r="A123" s="6"/>
      <c r="B123" s="11" t="s">
        <v>153</v>
      </c>
      <c r="C123" s="2">
        <v>17422</v>
      </c>
      <c r="D123" s="2">
        <v>7501354</v>
      </c>
      <c r="E123" s="2">
        <v>82741</v>
      </c>
      <c r="F123" s="2">
        <v>24.796299999999999</v>
      </c>
      <c r="G123" s="2">
        <v>0.19819999999999999</v>
      </c>
      <c r="H123" s="2">
        <v>24.407599999999999</v>
      </c>
      <c r="I123" s="2">
        <v>25.184899999999999</v>
      </c>
      <c r="J123" s="2">
        <v>100</v>
      </c>
      <c r="K123" s="2"/>
      <c r="L123" s="2"/>
      <c r="M123" s="2"/>
    </row>
    <row r="124" spans="1:15" ht="17.25" thickBot="1" x14ac:dyDescent="0.35">
      <c r="A124" s="6">
        <v>4</v>
      </c>
      <c r="B124" s="11">
        <v>1</v>
      </c>
      <c r="C124" s="2">
        <v>3451</v>
      </c>
      <c r="D124" s="2">
        <v>1156997</v>
      </c>
      <c r="E124" s="2">
        <v>27388</v>
      </c>
      <c r="F124" s="2">
        <v>3.8245</v>
      </c>
      <c r="G124" s="2">
        <v>9.4200000000000006E-2</v>
      </c>
      <c r="H124" s="2">
        <v>3.6398000000000001</v>
      </c>
      <c r="I124" s="2">
        <v>4.0092999999999996</v>
      </c>
      <c r="J124" s="2">
        <v>14.541</v>
      </c>
      <c r="K124" s="2">
        <v>0.33610000000000001</v>
      </c>
      <c r="L124" s="2">
        <v>13.882</v>
      </c>
      <c r="M124" s="2">
        <v>15.2</v>
      </c>
      <c r="O124" t="str">
        <f t="shared" ref="O124:O127" si="28">TEXT(J124,"0.00")&amp;" ("&amp;TEXT(L124,"0.00")&amp;" to "&amp;TEXT(M124,"0.00")&amp;")"</f>
        <v>14.54 (13.88 to 15.20)</v>
      </c>
    </row>
    <row r="125" spans="1:15" ht="17.25" thickBot="1" x14ac:dyDescent="0.35">
      <c r="A125" s="6"/>
      <c r="B125" s="11">
        <v>2</v>
      </c>
      <c r="C125" s="2">
        <v>4577</v>
      </c>
      <c r="D125" s="2">
        <v>1952732</v>
      </c>
      <c r="E125" s="2">
        <v>40100</v>
      </c>
      <c r="F125" s="2">
        <v>6.4549000000000003</v>
      </c>
      <c r="G125" s="2">
        <v>0.13009999999999999</v>
      </c>
      <c r="H125" s="2">
        <v>6.1997999999999998</v>
      </c>
      <c r="I125" s="2">
        <v>6.71</v>
      </c>
      <c r="J125" s="2">
        <v>24.541799999999999</v>
      </c>
      <c r="K125" s="2">
        <v>0.43440000000000001</v>
      </c>
      <c r="L125" s="2">
        <v>23.69</v>
      </c>
      <c r="M125" s="2">
        <v>25.3935</v>
      </c>
      <c r="O125" t="str">
        <f t="shared" si="28"/>
        <v>24.54 (23.69 to 25.39)</v>
      </c>
    </row>
    <row r="126" spans="1:15" ht="17.25" thickBot="1" x14ac:dyDescent="0.35">
      <c r="A126" s="6"/>
      <c r="B126" s="11">
        <v>3</v>
      </c>
      <c r="C126" s="2">
        <v>4983</v>
      </c>
      <c r="D126" s="2">
        <v>2381720</v>
      </c>
      <c r="E126" s="2">
        <v>46110</v>
      </c>
      <c r="F126" s="2">
        <v>7.8728999999999996</v>
      </c>
      <c r="G126" s="2">
        <v>0.13669999999999999</v>
      </c>
      <c r="H126" s="2">
        <v>7.6048999999999998</v>
      </c>
      <c r="I126" s="2">
        <v>8.141</v>
      </c>
      <c r="J126" s="2">
        <v>29.933199999999999</v>
      </c>
      <c r="K126" s="2">
        <v>0.46400000000000002</v>
      </c>
      <c r="L126" s="2">
        <v>29.023399999999999</v>
      </c>
      <c r="M126" s="2">
        <v>30.843</v>
      </c>
      <c r="O126" t="str">
        <f t="shared" si="28"/>
        <v>29.93 (29.02 to 30.84)</v>
      </c>
    </row>
    <row r="127" spans="1:15" ht="17.25" thickBot="1" x14ac:dyDescent="0.35">
      <c r="A127" s="6"/>
      <c r="B127" s="11">
        <v>4</v>
      </c>
      <c r="C127" s="2">
        <v>5114</v>
      </c>
      <c r="D127" s="2">
        <v>2465325</v>
      </c>
      <c r="E127" s="2">
        <v>50664</v>
      </c>
      <c r="F127" s="2">
        <v>8.1493000000000002</v>
      </c>
      <c r="G127" s="2">
        <v>0.15049999999999999</v>
      </c>
      <c r="H127" s="2">
        <v>7.8543000000000003</v>
      </c>
      <c r="I127" s="2">
        <v>8.4443999999999999</v>
      </c>
      <c r="J127" s="2">
        <v>30.984000000000002</v>
      </c>
      <c r="K127" s="2">
        <v>0.53400000000000003</v>
      </c>
      <c r="L127" s="2">
        <v>29.936900000000001</v>
      </c>
      <c r="M127" s="2">
        <v>32.031100000000002</v>
      </c>
      <c r="O127" t="str">
        <f t="shared" si="28"/>
        <v>30.98 (29.94 to 32.03)</v>
      </c>
    </row>
    <row r="128" spans="1:15" ht="17.25" thickBot="1" x14ac:dyDescent="0.35">
      <c r="A128" s="6"/>
      <c r="B128" s="11" t="s">
        <v>153</v>
      </c>
      <c r="C128" s="2">
        <v>18125</v>
      </c>
      <c r="D128" s="2">
        <v>7956773</v>
      </c>
      <c r="E128" s="2">
        <v>83258</v>
      </c>
      <c r="F128" s="2">
        <v>26.3017</v>
      </c>
      <c r="G128" s="2">
        <v>0.21260000000000001</v>
      </c>
      <c r="H128" s="2">
        <v>25.884799999999998</v>
      </c>
      <c r="I128" s="2">
        <v>26.718599999999999</v>
      </c>
      <c r="J128" s="2">
        <v>100</v>
      </c>
      <c r="K128" s="2"/>
      <c r="L128" s="2"/>
      <c r="M128" s="2"/>
    </row>
    <row r="129" spans="1:18" ht="17.25" thickBot="1" x14ac:dyDescent="0.35">
      <c r="A129" s="6" t="s">
        <v>153</v>
      </c>
      <c r="B129" s="11">
        <v>1</v>
      </c>
      <c r="C129" s="2">
        <v>11265</v>
      </c>
      <c r="D129" s="2">
        <v>3936155</v>
      </c>
      <c r="E129" s="2">
        <v>65921</v>
      </c>
      <c r="F129" s="2">
        <v>13.0113</v>
      </c>
      <c r="G129" s="2">
        <v>0.22689999999999999</v>
      </c>
      <c r="H129" s="2">
        <v>12.5664</v>
      </c>
      <c r="I129" s="2">
        <v>13.456099999999999</v>
      </c>
      <c r="J129" s="2"/>
      <c r="K129" s="2"/>
      <c r="L129" s="2"/>
      <c r="M129" s="2"/>
    </row>
    <row r="130" spans="1:18" ht="17.25" thickBot="1" x14ac:dyDescent="0.35">
      <c r="A130" s="6"/>
      <c r="B130" s="11">
        <v>2</v>
      </c>
      <c r="C130" s="2">
        <v>16834</v>
      </c>
      <c r="D130" s="2">
        <v>7267525</v>
      </c>
      <c r="E130" s="2">
        <v>98219</v>
      </c>
      <c r="F130" s="2">
        <v>24.023299999999999</v>
      </c>
      <c r="G130" s="2">
        <v>0.29559999999999997</v>
      </c>
      <c r="H130" s="2">
        <v>23.4437</v>
      </c>
      <c r="I130" s="2">
        <v>24.603000000000002</v>
      </c>
      <c r="J130" s="2"/>
      <c r="K130" s="2"/>
      <c r="L130" s="2"/>
      <c r="M130" s="2"/>
    </row>
    <row r="131" spans="1:18" ht="17.25" thickBot="1" x14ac:dyDescent="0.35">
      <c r="A131" s="6"/>
      <c r="B131" s="11">
        <v>3</v>
      </c>
      <c r="C131" s="2">
        <v>19586</v>
      </c>
      <c r="D131" s="2">
        <v>9190109</v>
      </c>
      <c r="E131" s="2">
        <v>122325</v>
      </c>
      <c r="F131" s="2">
        <v>30.378599999999999</v>
      </c>
      <c r="G131" s="2">
        <v>0.30769999999999997</v>
      </c>
      <c r="H131" s="2">
        <v>29.775200000000002</v>
      </c>
      <c r="I131" s="2">
        <v>30.9819</v>
      </c>
      <c r="J131" s="2"/>
      <c r="K131" s="2"/>
      <c r="L131" s="2"/>
      <c r="M131" s="2"/>
    </row>
    <row r="132" spans="1:18" ht="17.25" thickBot="1" x14ac:dyDescent="0.35">
      <c r="A132" s="6"/>
      <c r="B132" s="11">
        <v>4</v>
      </c>
      <c r="C132" s="2">
        <v>20950</v>
      </c>
      <c r="D132" s="2">
        <v>9858146</v>
      </c>
      <c r="E132" s="2">
        <v>157165</v>
      </c>
      <c r="F132" s="2">
        <v>32.586799999999997</v>
      </c>
      <c r="G132" s="2">
        <v>0.41460000000000002</v>
      </c>
      <c r="H132" s="2">
        <v>31.774000000000001</v>
      </c>
      <c r="I132" s="2">
        <v>33.399700000000003</v>
      </c>
      <c r="J132" s="2"/>
      <c r="K132" s="2"/>
      <c r="L132" s="2"/>
      <c r="M132" s="2"/>
    </row>
    <row r="133" spans="1:18" x14ac:dyDescent="0.3">
      <c r="A133" s="6"/>
      <c r="B133" s="14" t="s">
        <v>153</v>
      </c>
      <c r="C133" s="2">
        <v>68635</v>
      </c>
      <c r="D133" s="2">
        <v>30251936</v>
      </c>
      <c r="E133" s="2">
        <v>228758</v>
      </c>
      <c r="F133" s="2">
        <v>100</v>
      </c>
      <c r="G133" s="2"/>
      <c r="H133" s="2"/>
      <c r="I133" s="2"/>
      <c r="J133" s="2"/>
      <c r="K133" s="2"/>
      <c r="L133" s="2"/>
      <c r="M133" s="2"/>
    </row>
    <row r="134" spans="1:18" ht="17.25" thickBot="1" x14ac:dyDescent="0.35"/>
    <row r="135" spans="1:18" ht="16.5" customHeight="1" x14ac:dyDescent="0.3">
      <c r="A135" s="16" t="s">
        <v>177</v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</row>
    <row r="136" spans="1:18" ht="33" customHeight="1" x14ac:dyDescent="0.3">
      <c r="A136" s="17" t="s">
        <v>25</v>
      </c>
      <c r="B136" s="19" t="s">
        <v>10</v>
      </c>
      <c r="C136" s="19" t="s">
        <v>146</v>
      </c>
      <c r="D136" s="3" t="s">
        <v>147</v>
      </c>
      <c r="E136" s="3" t="s">
        <v>148</v>
      </c>
      <c r="F136" s="19" t="s">
        <v>150</v>
      </c>
      <c r="G136" s="3" t="s">
        <v>148</v>
      </c>
      <c r="H136" s="19" t="s">
        <v>151</v>
      </c>
      <c r="I136" s="19"/>
      <c r="J136" s="3" t="s">
        <v>170</v>
      </c>
      <c r="K136" s="3" t="s">
        <v>148</v>
      </c>
      <c r="L136" s="19" t="s">
        <v>151</v>
      </c>
      <c r="M136" s="19"/>
    </row>
    <row r="137" spans="1:18" ht="33" x14ac:dyDescent="0.3">
      <c r="A137" s="17"/>
      <c r="B137" s="19"/>
      <c r="C137" s="19"/>
      <c r="D137" s="3" t="s">
        <v>146</v>
      </c>
      <c r="E137" s="3" t="s">
        <v>149</v>
      </c>
      <c r="F137" s="19"/>
      <c r="G137" s="3" t="s">
        <v>150</v>
      </c>
      <c r="H137" s="19" t="s">
        <v>152</v>
      </c>
      <c r="I137" s="19"/>
      <c r="J137" s="3" t="s">
        <v>150</v>
      </c>
      <c r="K137" s="3" t="s">
        <v>171</v>
      </c>
      <c r="L137" s="19" t="s">
        <v>172</v>
      </c>
      <c r="M137" s="19"/>
    </row>
    <row r="138" spans="1:18" ht="17.25" thickBot="1" x14ac:dyDescent="0.35">
      <c r="A138" s="6">
        <v>1</v>
      </c>
      <c r="B138" s="11">
        <v>1</v>
      </c>
      <c r="C138" s="2">
        <v>1494</v>
      </c>
      <c r="D138" s="2">
        <v>719634</v>
      </c>
      <c r="E138" s="2">
        <v>22887</v>
      </c>
      <c r="F138" s="2">
        <v>2.3788</v>
      </c>
      <c r="G138" s="2">
        <v>7.2999999999999995E-2</v>
      </c>
      <c r="H138" s="2">
        <v>2.2357</v>
      </c>
      <c r="I138" s="2">
        <v>2.5219</v>
      </c>
      <c r="J138" s="2">
        <v>9.6778999999999993</v>
      </c>
      <c r="K138" s="2">
        <v>0.28310000000000002</v>
      </c>
      <c r="L138" s="2">
        <v>9.1227</v>
      </c>
      <c r="M138" s="2">
        <v>10.2331</v>
      </c>
      <c r="O138" t="str">
        <f t="shared" ref="O138:O141" si="29">TEXT(J138,"0.00")&amp;" ("&amp;TEXT(L138,"0.00")&amp;" to "&amp;TEXT(M138,"0.00")&amp;")"</f>
        <v>9.68 (9.12 to 10.23)</v>
      </c>
      <c r="P138" t="str">
        <f>O143</f>
        <v>4.98 (4.58 to 5.38)</v>
      </c>
      <c r="Q138" t="str">
        <f>O148</f>
        <v>2.10 (1.84 to 2.37)</v>
      </c>
      <c r="R138" t="str">
        <f>O153</f>
        <v>0.66 (0.52 to 0.80)</v>
      </c>
    </row>
    <row r="139" spans="1:18" ht="17.25" thickBot="1" x14ac:dyDescent="0.35">
      <c r="A139" s="6"/>
      <c r="B139" s="11">
        <v>2</v>
      </c>
      <c r="C139" s="2">
        <v>9355</v>
      </c>
      <c r="D139" s="2">
        <v>4273408</v>
      </c>
      <c r="E139" s="2">
        <v>61518</v>
      </c>
      <c r="F139" s="2">
        <v>14.126099999999999</v>
      </c>
      <c r="G139" s="2">
        <v>0.1656</v>
      </c>
      <c r="H139" s="2">
        <v>13.801299999999999</v>
      </c>
      <c r="I139" s="2">
        <v>14.450900000000001</v>
      </c>
      <c r="J139" s="2">
        <v>57.470300000000002</v>
      </c>
      <c r="K139" s="2">
        <v>0.45169999999999999</v>
      </c>
      <c r="L139" s="2">
        <v>56.584600000000002</v>
      </c>
      <c r="M139" s="2">
        <v>58.356000000000002</v>
      </c>
      <c r="O139" t="str">
        <f t="shared" si="29"/>
        <v>57.47 (56.58 to 58.36)</v>
      </c>
      <c r="P139" t="str">
        <f t="shared" ref="P139:P141" si="30">O144</f>
        <v>45.03 (44.12 to 45.94)</v>
      </c>
      <c r="Q139" t="str">
        <f t="shared" ref="Q139:Q141" si="31">O149</f>
        <v>31.99 (31.16 to 32.82)</v>
      </c>
      <c r="R139" t="str">
        <f t="shared" ref="R139:R141" si="32">O154</f>
        <v>20.10 (19.41 to 20.80)</v>
      </c>
    </row>
    <row r="140" spans="1:18" ht="17.25" thickBot="1" x14ac:dyDescent="0.35">
      <c r="A140" s="6"/>
      <c r="B140" s="11">
        <v>3</v>
      </c>
      <c r="C140" s="2">
        <v>3064</v>
      </c>
      <c r="D140" s="2">
        <v>1387130</v>
      </c>
      <c r="E140" s="2">
        <v>31402</v>
      </c>
      <c r="F140" s="2">
        <v>4.5853000000000002</v>
      </c>
      <c r="G140" s="2">
        <v>9.6500000000000002E-2</v>
      </c>
      <c r="H140" s="2">
        <v>4.3959999999999999</v>
      </c>
      <c r="I140" s="2">
        <v>4.7746000000000004</v>
      </c>
      <c r="J140" s="2">
        <v>18.654599999999999</v>
      </c>
      <c r="K140" s="2">
        <v>0.35570000000000002</v>
      </c>
      <c r="L140" s="2">
        <v>17.9572</v>
      </c>
      <c r="M140" s="2">
        <v>19.3521</v>
      </c>
      <c r="O140" t="str">
        <f t="shared" si="29"/>
        <v>18.65 (17.96 to 19.35)</v>
      </c>
      <c r="P140" t="str">
        <f t="shared" si="30"/>
        <v>23.58 (22.80 to 24.36)</v>
      </c>
      <c r="Q140" t="str">
        <f t="shared" si="31"/>
        <v>26.17 (25.41 to 26.93)</v>
      </c>
      <c r="R140" t="str">
        <f t="shared" si="32"/>
        <v>24.28 (23.53 to 25.02)</v>
      </c>
    </row>
    <row r="141" spans="1:18" ht="17.25" thickBot="1" x14ac:dyDescent="0.35">
      <c r="A141" s="6"/>
      <c r="B141" s="11">
        <v>4</v>
      </c>
      <c r="C141" s="2">
        <v>2368</v>
      </c>
      <c r="D141" s="2">
        <v>1055684</v>
      </c>
      <c r="E141" s="2">
        <v>27140</v>
      </c>
      <c r="F141" s="2">
        <v>3.4895999999999998</v>
      </c>
      <c r="G141" s="2">
        <v>8.6300000000000002E-2</v>
      </c>
      <c r="H141" s="2">
        <v>3.3203999999999998</v>
      </c>
      <c r="I141" s="2">
        <v>3.6587999999999998</v>
      </c>
      <c r="J141" s="2">
        <v>14.1972</v>
      </c>
      <c r="K141" s="2">
        <v>0.33069999999999999</v>
      </c>
      <c r="L141" s="2">
        <v>13.5487</v>
      </c>
      <c r="M141" s="2">
        <v>14.845700000000001</v>
      </c>
      <c r="O141" t="str">
        <f t="shared" si="29"/>
        <v>14.20 (13.55 to 14.85)</v>
      </c>
      <c r="P141" t="str">
        <f t="shared" si="30"/>
        <v>26.41 (25.57 to 27.25)</v>
      </c>
      <c r="Q141" t="str">
        <f t="shared" si="31"/>
        <v>39.74 (38.85 to 40.63)</v>
      </c>
      <c r="R141" t="str">
        <f t="shared" si="32"/>
        <v>54.96 (54.09 to 55.84)</v>
      </c>
    </row>
    <row r="142" spans="1:18" ht="17.25" thickBot="1" x14ac:dyDescent="0.35">
      <c r="A142" s="6"/>
      <c r="B142" s="11" t="s">
        <v>153</v>
      </c>
      <c r="C142" s="2">
        <v>16281</v>
      </c>
      <c r="D142" s="2">
        <v>7435856</v>
      </c>
      <c r="E142" s="2">
        <v>88984</v>
      </c>
      <c r="F142" s="2">
        <v>24.579799999999999</v>
      </c>
      <c r="G142" s="2">
        <v>0.21490000000000001</v>
      </c>
      <c r="H142" s="2">
        <v>24.158300000000001</v>
      </c>
      <c r="I142" s="2">
        <v>25.001200000000001</v>
      </c>
      <c r="J142" s="2">
        <v>100</v>
      </c>
      <c r="K142" s="2"/>
      <c r="L142" s="2"/>
      <c r="M142" s="2"/>
    </row>
    <row r="143" spans="1:18" ht="17.25" thickBot="1" x14ac:dyDescent="0.35">
      <c r="A143" s="6">
        <v>2</v>
      </c>
      <c r="B143" s="11">
        <v>1</v>
      </c>
      <c r="C143" s="2">
        <v>810</v>
      </c>
      <c r="D143" s="2">
        <v>366430</v>
      </c>
      <c r="E143" s="2">
        <v>15663</v>
      </c>
      <c r="F143" s="2">
        <v>1.2113</v>
      </c>
      <c r="G143" s="2">
        <v>5.0999999999999997E-2</v>
      </c>
      <c r="H143" s="2">
        <v>1.1113</v>
      </c>
      <c r="I143" s="2">
        <v>1.3111999999999999</v>
      </c>
      <c r="J143" s="2">
        <v>4.9800000000000004</v>
      </c>
      <c r="K143" s="2">
        <v>0.2036</v>
      </c>
      <c r="L143" s="2">
        <v>4.5808999999999997</v>
      </c>
      <c r="M143" s="2">
        <v>5.3792</v>
      </c>
      <c r="O143" t="str">
        <f t="shared" ref="O143:O146" si="33">TEXT(J143,"0.00")&amp;" ("&amp;TEXT(L143,"0.00")&amp;" to "&amp;TEXT(M143,"0.00")&amp;")"</f>
        <v>4.98 (4.58 to 5.38)</v>
      </c>
    </row>
    <row r="144" spans="1:18" ht="17.25" thickBot="1" x14ac:dyDescent="0.35">
      <c r="A144" s="6"/>
      <c r="B144" s="11">
        <v>2</v>
      </c>
      <c r="C144" s="2">
        <v>7494</v>
      </c>
      <c r="D144" s="2">
        <v>3313266</v>
      </c>
      <c r="E144" s="2">
        <v>50625</v>
      </c>
      <c r="F144" s="2">
        <v>10.952199999999999</v>
      </c>
      <c r="G144" s="2">
        <v>0.1404</v>
      </c>
      <c r="H144" s="2">
        <v>10.677</v>
      </c>
      <c r="I144" s="2">
        <v>11.227499999999999</v>
      </c>
      <c r="J144" s="2">
        <v>45.029699999999998</v>
      </c>
      <c r="K144" s="2">
        <v>0.46250000000000002</v>
      </c>
      <c r="L144" s="2">
        <v>44.122799999999998</v>
      </c>
      <c r="M144" s="2">
        <v>45.936599999999999</v>
      </c>
      <c r="O144" t="str">
        <f t="shared" si="33"/>
        <v>45.03 (44.12 to 45.94)</v>
      </c>
    </row>
    <row r="145" spans="1:15" ht="17.25" thickBot="1" x14ac:dyDescent="0.35">
      <c r="A145" s="6"/>
      <c r="B145" s="11">
        <v>3</v>
      </c>
      <c r="C145" s="2">
        <v>4033</v>
      </c>
      <c r="D145" s="2">
        <v>1734970</v>
      </c>
      <c r="E145" s="2">
        <v>34754</v>
      </c>
      <c r="F145" s="2">
        <v>5.7351000000000001</v>
      </c>
      <c r="G145" s="2">
        <v>0.1072</v>
      </c>
      <c r="H145" s="2">
        <v>5.5250000000000004</v>
      </c>
      <c r="I145" s="2">
        <v>5.9451999999999998</v>
      </c>
      <c r="J145" s="2">
        <v>23.579499999999999</v>
      </c>
      <c r="K145" s="2">
        <v>0.39689999999999998</v>
      </c>
      <c r="L145" s="2">
        <v>22.801200000000001</v>
      </c>
      <c r="M145" s="2">
        <v>24.357900000000001</v>
      </c>
      <c r="O145" t="str">
        <f t="shared" si="33"/>
        <v>23.58 (22.80 to 24.36)</v>
      </c>
    </row>
    <row r="146" spans="1:15" ht="17.25" thickBot="1" x14ac:dyDescent="0.35">
      <c r="A146" s="6"/>
      <c r="B146" s="11">
        <v>4</v>
      </c>
      <c r="C146" s="2">
        <v>4470</v>
      </c>
      <c r="D146" s="2">
        <v>1943286</v>
      </c>
      <c r="E146" s="2">
        <v>38035</v>
      </c>
      <c r="F146" s="2">
        <v>6.4237000000000002</v>
      </c>
      <c r="G146" s="2">
        <v>0.1162</v>
      </c>
      <c r="H146" s="2">
        <v>6.1959</v>
      </c>
      <c r="I146" s="2">
        <v>6.6513999999999998</v>
      </c>
      <c r="J146" s="2">
        <v>26.410699999999999</v>
      </c>
      <c r="K146" s="2">
        <v>0.42930000000000001</v>
      </c>
      <c r="L146" s="2">
        <v>25.568999999999999</v>
      </c>
      <c r="M146" s="2">
        <v>27.252400000000002</v>
      </c>
      <c r="O146" t="str">
        <f t="shared" si="33"/>
        <v>26.41 (25.57 to 27.25)</v>
      </c>
    </row>
    <row r="147" spans="1:15" ht="17.25" thickBot="1" x14ac:dyDescent="0.35">
      <c r="A147" s="6"/>
      <c r="B147" s="11" t="s">
        <v>153</v>
      </c>
      <c r="C147" s="2">
        <v>16807</v>
      </c>
      <c r="D147" s="2">
        <v>7357952</v>
      </c>
      <c r="E147" s="2">
        <v>82132</v>
      </c>
      <c r="F147" s="2">
        <v>24.322299999999998</v>
      </c>
      <c r="G147" s="2">
        <v>0.19400000000000001</v>
      </c>
      <c r="H147" s="2">
        <v>23.9419</v>
      </c>
      <c r="I147" s="2">
        <v>24.7026</v>
      </c>
      <c r="J147" s="2">
        <v>100</v>
      </c>
      <c r="K147" s="2"/>
      <c r="L147" s="2"/>
      <c r="M147" s="2"/>
    </row>
    <row r="148" spans="1:15" ht="17.25" thickBot="1" x14ac:dyDescent="0.35">
      <c r="A148" s="6">
        <v>3</v>
      </c>
      <c r="B148" s="11">
        <v>1</v>
      </c>
      <c r="C148" s="2">
        <v>346</v>
      </c>
      <c r="D148" s="2">
        <v>157690</v>
      </c>
      <c r="E148" s="2">
        <v>10354</v>
      </c>
      <c r="F148" s="2">
        <v>0.52129999999999999</v>
      </c>
      <c r="G148" s="2">
        <v>3.4000000000000002E-2</v>
      </c>
      <c r="H148" s="2">
        <v>0.45469999999999999</v>
      </c>
      <c r="I148" s="2">
        <v>0.58779999999999999</v>
      </c>
      <c r="J148" s="2">
        <v>2.1021999999999998</v>
      </c>
      <c r="K148" s="2">
        <v>0.13550000000000001</v>
      </c>
      <c r="L148" s="2">
        <v>1.8365</v>
      </c>
      <c r="M148" s="2">
        <v>2.3677999999999999</v>
      </c>
      <c r="O148" t="str">
        <f t="shared" ref="O148:O151" si="34">TEXT(J148,"0.00")&amp;" ("&amp;TEXT(L148,"0.00")&amp;" to "&amp;TEXT(M148,"0.00")&amp;")"</f>
        <v>2.10 (1.84 to 2.37)</v>
      </c>
    </row>
    <row r="149" spans="1:15" ht="17.25" thickBot="1" x14ac:dyDescent="0.35">
      <c r="A149" s="6"/>
      <c r="B149" s="11">
        <v>2</v>
      </c>
      <c r="C149" s="2">
        <v>5721</v>
      </c>
      <c r="D149" s="2">
        <v>2399567</v>
      </c>
      <c r="E149" s="2">
        <v>40973</v>
      </c>
      <c r="F149" s="2">
        <v>7.9318999999999997</v>
      </c>
      <c r="G149" s="2">
        <v>0.1208</v>
      </c>
      <c r="H149" s="2">
        <v>7.6951000000000001</v>
      </c>
      <c r="I149" s="2">
        <v>8.1687999999999992</v>
      </c>
      <c r="J149" s="2">
        <v>31.988499999999998</v>
      </c>
      <c r="K149" s="2">
        <v>0.42449999999999999</v>
      </c>
      <c r="L149" s="2">
        <v>31.156099999999999</v>
      </c>
      <c r="M149" s="2">
        <v>32.820799999999998</v>
      </c>
      <c r="O149" t="str">
        <f t="shared" si="34"/>
        <v>31.99 (31.16 to 32.82)</v>
      </c>
    </row>
    <row r="150" spans="1:15" ht="17.25" thickBot="1" x14ac:dyDescent="0.35">
      <c r="A150" s="6"/>
      <c r="B150" s="11">
        <v>3</v>
      </c>
      <c r="C150" s="2">
        <v>4645</v>
      </c>
      <c r="D150" s="2">
        <v>1963155</v>
      </c>
      <c r="E150" s="2">
        <v>35539</v>
      </c>
      <c r="F150" s="2">
        <v>6.4893999999999998</v>
      </c>
      <c r="G150" s="2">
        <v>0.1075</v>
      </c>
      <c r="H150" s="2">
        <v>6.2786</v>
      </c>
      <c r="I150" s="2">
        <v>6.7000999999999999</v>
      </c>
      <c r="J150" s="2">
        <v>26.1707</v>
      </c>
      <c r="K150" s="2">
        <v>0.3861</v>
      </c>
      <c r="L150" s="2">
        <v>25.413699999999999</v>
      </c>
      <c r="M150" s="2">
        <v>26.927700000000002</v>
      </c>
      <c r="O150" t="str">
        <f t="shared" si="34"/>
        <v>26.17 (25.41 to 26.93)</v>
      </c>
    </row>
    <row r="151" spans="1:15" ht="17.25" thickBot="1" x14ac:dyDescent="0.35">
      <c r="A151" s="6"/>
      <c r="B151" s="11">
        <v>4</v>
      </c>
      <c r="C151" s="2">
        <v>6710</v>
      </c>
      <c r="D151" s="2">
        <v>2980942</v>
      </c>
      <c r="E151" s="2">
        <v>48250</v>
      </c>
      <c r="F151" s="2">
        <v>9.8536999999999999</v>
      </c>
      <c r="G151" s="2">
        <v>0.14050000000000001</v>
      </c>
      <c r="H151" s="2">
        <v>9.5782000000000007</v>
      </c>
      <c r="I151" s="2">
        <v>10.129300000000001</v>
      </c>
      <c r="J151" s="2">
        <v>39.738700000000001</v>
      </c>
      <c r="K151" s="2">
        <v>0.45240000000000002</v>
      </c>
      <c r="L151" s="2">
        <v>38.851599999999998</v>
      </c>
      <c r="M151" s="2">
        <v>40.625799999999998</v>
      </c>
      <c r="O151" t="str">
        <f t="shared" si="34"/>
        <v>39.74 (38.85 to 40.63)</v>
      </c>
    </row>
    <row r="152" spans="1:15" ht="17.25" thickBot="1" x14ac:dyDescent="0.35">
      <c r="A152" s="6"/>
      <c r="B152" s="11" t="s">
        <v>153</v>
      </c>
      <c r="C152" s="2">
        <v>17422</v>
      </c>
      <c r="D152" s="2">
        <v>7501354</v>
      </c>
      <c r="E152" s="2">
        <v>82741</v>
      </c>
      <c r="F152" s="2">
        <v>24.796299999999999</v>
      </c>
      <c r="G152" s="2">
        <v>0.19819999999999999</v>
      </c>
      <c r="H152" s="2">
        <v>24.407599999999999</v>
      </c>
      <c r="I152" s="2">
        <v>25.184899999999999</v>
      </c>
      <c r="J152" s="2">
        <v>100</v>
      </c>
      <c r="K152" s="2"/>
      <c r="L152" s="2"/>
      <c r="M152" s="2"/>
    </row>
    <row r="153" spans="1:15" ht="17.25" thickBot="1" x14ac:dyDescent="0.35">
      <c r="A153" s="6">
        <v>4</v>
      </c>
      <c r="B153" s="11">
        <v>1</v>
      </c>
      <c r="C153" s="2">
        <v>127</v>
      </c>
      <c r="D153" s="2">
        <v>52439</v>
      </c>
      <c r="E153" s="2">
        <v>5668</v>
      </c>
      <c r="F153" s="2">
        <v>0.17330000000000001</v>
      </c>
      <c r="G153" s="2">
        <v>1.8700000000000001E-2</v>
      </c>
      <c r="H153" s="2">
        <v>0.13669999999999999</v>
      </c>
      <c r="I153" s="2">
        <v>0.21</v>
      </c>
      <c r="J153" s="2">
        <v>0.65900000000000003</v>
      </c>
      <c r="K153" s="2">
        <v>7.0800000000000002E-2</v>
      </c>
      <c r="L153" s="2">
        <v>0.52029999999999998</v>
      </c>
      <c r="M153" s="2">
        <v>0.79779999999999995</v>
      </c>
      <c r="O153" t="str">
        <f t="shared" ref="O153:O156" si="35">TEXT(J153,"0.00")&amp;" ("&amp;TEXT(L153,"0.00")&amp;" to "&amp;TEXT(M153,"0.00")&amp;")"</f>
        <v>0.66 (0.52 to 0.80)</v>
      </c>
    </row>
    <row r="154" spans="1:15" ht="17.25" thickBot="1" x14ac:dyDescent="0.35">
      <c r="A154" s="6"/>
      <c r="B154" s="11">
        <v>2</v>
      </c>
      <c r="C154" s="2">
        <v>3865</v>
      </c>
      <c r="D154" s="2">
        <v>1599405</v>
      </c>
      <c r="E154" s="2">
        <v>33000</v>
      </c>
      <c r="F154" s="2">
        <v>5.2869999999999999</v>
      </c>
      <c r="G154" s="2">
        <v>0.10390000000000001</v>
      </c>
      <c r="H154" s="2">
        <v>5.0831999999999997</v>
      </c>
      <c r="I154" s="2">
        <v>5.4908000000000001</v>
      </c>
      <c r="J154" s="2">
        <v>20.101199999999999</v>
      </c>
      <c r="K154" s="2">
        <v>0.35399999999999998</v>
      </c>
      <c r="L154" s="2">
        <v>19.407</v>
      </c>
      <c r="M154" s="2">
        <v>20.795400000000001</v>
      </c>
      <c r="O154" t="str">
        <f t="shared" si="35"/>
        <v>20.10 (19.41 to 20.80)</v>
      </c>
    </row>
    <row r="155" spans="1:15" ht="17.25" thickBot="1" x14ac:dyDescent="0.35">
      <c r="A155" s="6"/>
      <c r="B155" s="11">
        <v>3</v>
      </c>
      <c r="C155" s="2">
        <v>4523</v>
      </c>
      <c r="D155" s="2">
        <v>1931576</v>
      </c>
      <c r="E155" s="2">
        <v>35913</v>
      </c>
      <c r="F155" s="2">
        <v>6.3849999999999998</v>
      </c>
      <c r="G155" s="2">
        <v>0.1109</v>
      </c>
      <c r="H155" s="2">
        <v>6.1675000000000004</v>
      </c>
      <c r="I155" s="2">
        <v>6.6024000000000003</v>
      </c>
      <c r="J155" s="2">
        <v>24.2759</v>
      </c>
      <c r="K155" s="2">
        <v>0.38119999999999998</v>
      </c>
      <c r="L155" s="2">
        <v>23.528400000000001</v>
      </c>
      <c r="M155" s="2">
        <v>25.023299999999999</v>
      </c>
      <c r="O155" t="str">
        <f t="shared" si="35"/>
        <v>24.28 (23.53 to 25.02)</v>
      </c>
    </row>
    <row r="156" spans="1:15" ht="17.25" thickBot="1" x14ac:dyDescent="0.35">
      <c r="A156" s="6"/>
      <c r="B156" s="11">
        <v>4</v>
      </c>
      <c r="C156" s="2">
        <v>9610</v>
      </c>
      <c r="D156" s="2">
        <v>4373353</v>
      </c>
      <c r="E156" s="2">
        <v>58161</v>
      </c>
      <c r="F156" s="2">
        <v>14.4564</v>
      </c>
      <c r="G156" s="2">
        <v>0.16539999999999999</v>
      </c>
      <c r="H156" s="2">
        <v>14.132199999999999</v>
      </c>
      <c r="I156" s="2">
        <v>14.7807</v>
      </c>
      <c r="J156" s="2">
        <v>54.963900000000002</v>
      </c>
      <c r="K156" s="2">
        <v>0.44490000000000002</v>
      </c>
      <c r="L156" s="2">
        <v>54.0916</v>
      </c>
      <c r="M156" s="2">
        <v>55.836199999999998</v>
      </c>
      <c r="O156" t="str">
        <f t="shared" si="35"/>
        <v>54.96 (54.09 to 55.84)</v>
      </c>
    </row>
    <row r="157" spans="1:15" ht="17.25" thickBot="1" x14ac:dyDescent="0.35">
      <c r="A157" s="6"/>
      <c r="B157" s="11" t="s">
        <v>153</v>
      </c>
      <c r="C157" s="2">
        <v>18125</v>
      </c>
      <c r="D157" s="2">
        <v>7956773</v>
      </c>
      <c r="E157" s="2">
        <v>83258</v>
      </c>
      <c r="F157" s="2">
        <v>26.3017</v>
      </c>
      <c r="G157" s="2">
        <v>0.21260000000000001</v>
      </c>
      <c r="H157" s="2">
        <v>25.884799999999998</v>
      </c>
      <c r="I157" s="2">
        <v>26.718599999999999</v>
      </c>
      <c r="J157" s="2">
        <v>100</v>
      </c>
      <c r="K157" s="2"/>
      <c r="L157" s="2"/>
      <c r="M157" s="2"/>
    </row>
    <row r="158" spans="1:15" ht="17.25" thickBot="1" x14ac:dyDescent="0.35">
      <c r="A158" s="6" t="s">
        <v>153</v>
      </c>
      <c r="B158" s="11">
        <v>1</v>
      </c>
      <c r="C158" s="2">
        <v>2777</v>
      </c>
      <c r="D158" s="2">
        <v>1296193</v>
      </c>
      <c r="E158" s="2">
        <v>31560</v>
      </c>
      <c r="F158" s="2">
        <v>4.2847</v>
      </c>
      <c r="G158" s="2">
        <v>9.8500000000000004E-2</v>
      </c>
      <c r="H158" s="2">
        <v>4.0914999999999999</v>
      </c>
      <c r="I158" s="2">
        <v>4.4778000000000002</v>
      </c>
      <c r="J158" s="2"/>
      <c r="K158" s="2"/>
      <c r="L158" s="2"/>
      <c r="M158" s="2"/>
    </row>
    <row r="159" spans="1:15" ht="17.25" thickBot="1" x14ac:dyDescent="0.35">
      <c r="A159" s="6"/>
      <c r="B159" s="11">
        <v>2</v>
      </c>
      <c r="C159" s="2">
        <v>26435</v>
      </c>
      <c r="D159" s="2">
        <v>11585647</v>
      </c>
      <c r="E159" s="2">
        <v>115210</v>
      </c>
      <c r="F159" s="2">
        <v>38.297199999999997</v>
      </c>
      <c r="G159" s="2">
        <v>0.2286</v>
      </c>
      <c r="H159" s="2">
        <v>37.848999999999997</v>
      </c>
      <c r="I159" s="2">
        <v>38.745399999999997</v>
      </c>
      <c r="J159" s="2"/>
      <c r="K159" s="2"/>
      <c r="L159" s="2"/>
      <c r="M159" s="2"/>
    </row>
    <row r="160" spans="1:15" ht="17.25" thickBot="1" x14ac:dyDescent="0.35">
      <c r="A160" s="6"/>
      <c r="B160" s="11">
        <v>3</v>
      </c>
      <c r="C160" s="2">
        <v>16265</v>
      </c>
      <c r="D160" s="2">
        <v>7016830</v>
      </c>
      <c r="E160" s="2">
        <v>76881</v>
      </c>
      <c r="F160" s="2">
        <v>23.194600000000001</v>
      </c>
      <c r="G160" s="2">
        <v>0.189</v>
      </c>
      <c r="H160" s="2">
        <v>22.824000000000002</v>
      </c>
      <c r="I160" s="2">
        <v>23.565300000000001</v>
      </c>
      <c r="J160" s="2"/>
      <c r="K160" s="2"/>
      <c r="L160" s="2"/>
      <c r="M160" s="2"/>
    </row>
    <row r="161" spans="1:18" ht="17.25" thickBot="1" x14ac:dyDescent="0.35">
      <c r="A161" s="6"/>
      <c r="B161" s="11">
        <v>4</v>
      </c>
      <c r="C161" s="2">
        <v>23158</v>
      </c>
      <c r="D161" s="2">
        <v>10353266</v>
      </c>
      <c r="E161" s="2">
        <v>102556</v>
      </c>
      <c r="F161" s="2">
        <v>34.223500000000001</v>
      </c>
      <c r="G161" s="2">
        <v>0.23269999999999999</v>
      </c>
      <c r="H161" s="2">
        <v>33.767099999999999</v>
      </c>
      <c r="I161" s="2">
        <v>34.6798</v>
      </c>
      <c r="J161" s="2"/>
      <c r="K161" s="2"/>
      <c r="L161" s="2"/>
      <c r="M161" s="2"/>
    </row>
    <row r="162" spans="1:18" x14ac:dyDescent="0.3">
      <c r="A162" s="6"/>
      <c r="B162" s="14" t="s">
        <v>153</v>
      </c>
      <c r="C162" s="2">
        <v>68635</v>
      </c>
      <c r="D162" s="2">
        <v>30251936</v>
      </c>
      <c r="E162" s="2">
        <v>228758</v>
      </c>
      <c r="F162" s="2">
        <v>100</v>
      </c>
      <c r="G162" s="2"/>
      <c r="H162" s="2"/>
      <c r="I162" s="2"/>
      <c r="J162" s="2"/>
      <c r="K162" s="2"/>
      <c r="L162" s="2"/>
      <c r="M162" s="2"/>
    </row>
    <row r="163" spans="1:18" ht="17.25" thickBot="1" x14ac:dyDescent="0.35"/>
    <row r="164" spans="1:18" ht="16.5" customHeight="1" x14ac:dyDescent="0.3">
      <c r="A164" s="16" t="s">
        <v>178</v>
      </c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</row>
    <row r="165" spans="1:18" ht="33" customHeight="1" x14ac:dyDescent="0.3">
      <c r="A165" s="17" t="s">
        <v>25</v>
      </c>
      <c r="B165" s="19" t="s">
        <v>11</v>
      </c>
      <c r="C165" s="19" t="s">
        <v>146</v>
      </c>
      <c r="D165" s="3" t="s">
        <v>147</v>
      </c>
      <c r="E165" s="3" t="s">
        <v>148</v>
      </c>
      <c r="F165" s="19" t="s">
        <v>150</v>
      </c>
      <c r="G165" s="3" t="s">
        <v>148</v>
      </c>
      <c r="H165" s="19" t="s">
        <v>151</v>
      </c>
      <c r="I165" s="19"/>
      <c r="J165" s="3" t="s">
        <v>170</v>
      </c>
      <c r="K165" s="3" t="s">
        <v>148</v>
      </c>
      <c r="L165" s="19" t="s">
        <v>151</v>
      </c>
      <c r="M165" s="19"/>
    </row>
    <row r="166" spans="1:18" ht="33" x14ac:dyDescent="0.3">
      <c r="A166" s="17"/>
      <c r="B166" s="19"/>
      <c r="C166" s="19"/>
      <c r="D166" s="3" t="s">
        <v>146</v>
      </c>
      <c r="E166" s="3" t="s">
        <v>149</v>
      </c>
      <c r="F166" s="19"/>
      <c r="G166" s="3" t="s">
        <v>150</v>
      </c>
      <c r="H166" s="19" t="s">
        <v>152</v>
      </c>
      <c r="I166" s="19"/>
      <c r="J166" s="3" t="s">
        <v>150</v>
      </c>
      <c r="K166" s="3" t="s">
        <v>171</v>
      </c>
      <c r="L166" s="19" t="s">
        <v>172</v>
      </c>
      <c r="M166" s="19"/>
    </row>
    <row r="167" spans="1:18" ht="17.25" thickBot="1" x14ac:dyDescent="0.35">
      <c r="A167" s="6">
        <v>1</v>
      </c>
      <c r="B167" s="11">
        <v>1</v>
      </c>
      <c r="C167" s="2">
        <v>11702</v>
      </c>
      <c r="D167" s="2">
        <v>4681066</v>
      </c>
      <c r="E167" s="2">
        <v>61070</v>
      </c>
      <c r="F167" s="2">
        <v>15.473599999999999</v>
      </c>
      <c r="G167" s="2">
        <v>0.16750000000000001</v>
      </c>
      <c r="H167" s="2">
        <v>15.145200000000001</v>
      </c>
      <c r="I167" s="2">
        <v>15.802</v>
      </c>
      <c r="J167" s="2">
        <v>62.952599999999997</v>
      </c>
      <c r="K167" s="2">
        <v>0.53639999999999999</v>
      </c>
      <c r="L167" s="2">
        <v>61.9009</v>
      </c>
      <c r="M167" s="2">
        <v>64.004300000000001</v>
      </c>
      <c r="O167" t="str">
        <f t="shared" ref="O167:O168" si="36">TEXT(J167,"0.00")&amp;" ("&amp;TEXT(L167,"0.00")&amp;" to "&amp;TEXT(M167,"0.00")&amp;")"</f>
        <v>62.95 (61.90 to 64.00)</v>
      </c>
      <c r="P167" t="str">
        <f>O170</f>
        <v>74.05 (73.10 to 75.01)</v>
      </c>
      <c r="Q167" t="str">
        <f>O173</f>
        <v>80.21 (79.35 to 81.06)</v>
      </c>
      <c r="R167" t="str">
        <f>O176</f>
        <v>84.86 (84.13 to 85.60)</v>
      </c>
    </row>
    <row r="168" spans="1:18" ht="17.25" thickBot="1" x14ac:dyDescent="0.35">
      <c r="A168" s="6"/>
      <c r="B168" s="11">
        <v>2</v>
      </c>
      <c r="C168" s="2">
        <v>4579</v>
      </c>
      <c r="D168" s="2">
        <v>2754791</v>
      </c>
      <c r="E168" s="2">
        <v>57143</v>
      </c>
      <c r="F168" s="2">
        <v>9.1061999999999994</v>
      </c>
      <c r="G168" s="2">
        <v>0.16800000000000001</v>
      </c>
      <c r="H168" s="2">
        <v>8.7767999999999997</v>
      </c>
      <c r="I168" s="2">
        <v>9.4354999999999993</v>
      </c>
      <c r="J168" s="2">
        <v>37.047400000000003</v>
      </c>
      <c r="K168" s="2">
        <v>0.53639999999999999</v>
      </c>
      <c r="L168" s="2">
        <v>35.995699999999999</v>
      </c>
      <c r="M168" s="2">
        <v>38.0991</v>
      </c>
      <c r="O168" t="str">
        <f t="shared" si="36"/>
        <v>37.05 (36.00 to 38.10)</v>
      </c>
      <c r="P168" t="str">
        <f>O171</f>
        <v>25.95 (24.99 to 26.90)</v>
      </c>
      <c r="Q168" t="str">
        <f>O174</f>
        <v>19.79 (18.94 to 20.65)</v>
      </c>
      <c r="R168" t="str">
        <f>O177</f>
        <v>15.14 (14.40 to 15.87)</v>
      </c>
    </row>
    <row r="169" spans="1:18" ht="17.25" thickBot="1" x14ac:dyDescent="0.35">
      <c r="A169" s="6"/>
      <c r="B169" s="11" t="s">
        <v>153</v>
      </c>
      <c r="C169" s="2">
        <v>16281</v>
      </c>
      <c r="D169" s="2">
        <v>7435856</v>
      </c>
      <c r="E169" s="2">
        <v>88984</v>
      </c>
      <c r="F169" s="2">
        <v>24.579799999999999</v>
      </c>
      <c r="G169" s="2">
        <v>0.21490000000000001</v>
      </c>
      <c r="H169" s="2">
        <v>24.158300000000001</v>
      </c>
      <c r="I169" s="2">
        <v>25.001200000000001</v>
      </c>
      <c r="J169" s="2">
        <v>100</v>
      </c>
      <c r="K169" s="2"/>
      <c r="L169" s="2"/>
      <c r="M169" s="2"/>
    </row>
    <row r="170" spans="1:18" ht="17.25" thickBot="1" x14ac:dyDescent="0.35">
      <c r="A170" s="6">
        <v>2</v>
      </c>
      <c r="B170" s="11">
        <v>1</v>
      </c>
      <c r="C170" s="2">
        <v>13781</v>
      </c>
      <c r="D170" s="2">
        <v>5448775</v>
      </c>
      <c r="E170" s="2">
        <v>64847</v>
      </c>
      <c r="F170" s="2">
        <v>18.011299999999999</v>
      </c>
      <c r="G170" s="2">
        <v>0.1709</v>
      </c>
      <c r="H170" s="2">
        <v>17.676200000000001</v>
      </c>
      <c r="I170" s="2">
        <v>18.346399999999999</v>
      </c>
      <c r="J170" s="2">
        <v>74.052899999999994</v>
      </c>
      <c r="K170" s="2">
        <v>0.48720000000000002</v>
      </c>
      <c r="L170" s="2">
        <v>73.0976</v>
      </c>
      <c r="M170" s="2">
        <v>75.008099999999999</v>
      </c>
      <c r="O170" t="str">
        <f t="shared" ref="O170:O171" si="37">TEXT(J170,"0.00")&amp;" ("&amp;TEXT(L170,"0.00")&amp;" to "&amp;TEXT(M170,"0.00")&amp;")"</f>
        <v>74.05 (73.10 to 75.01)</v>
      </c>
    </row>
    <row r="171" spans="1:18" ht="17.25" thickBot="1" x14ac:dyDescent="0.35">
      <c r="A171" s="6"/>
      <c r="B171" s="11">
        <v>2</v>
      </c>
      <c r="C171" s="2">
        <v>3026</v>
      </c>
      <c r="D171" s="2">
        <v>1909177</v>
      </c>
      <c r="E171" s="2">
        <v>44857</v>
      </c>
      <c r="F171" s="2">
        <v>6.3109000000000002</v>
      </c>
      <c r="G171" s="2">
        <v>0.13600000000000001</v>
      </c>
      <c r="H171" s="2">
        <v>6.0442999999999998</v>
      </c>
      <c r="I171" s="2">
        <v>6.5774999999999997</v>
      </c>
      <c r="J171" s="2">
        <v>25.947099999999999</v>
      </c>
      <c r="K171" s="2">
        <v>0.48720000000000002</v>
      </c>
      <c r="L171" s="2">
        <v>24.991900000000001</v>
      </c>
      <c r="M171" s="2">
        <v>26.9024</v>
      </c>
      <c r="O171" t="str">
        <f t="shared" si="37"/>
        <v>25.95 (24.99 to 26.90)</v>
      </c>
    </row>
    <row r="172" spans="1:18" ht="17.25" thickBot="1" x14ac:dyDescent="0.35">
      <c r="A172" s="6"/>
      <c r="B172" s="11" t="s">
        <v>153</v>
      </c>
      <c r="C172" s="2">
        <v>16807</v>
      </c>
      <c r="D172" s="2">
        <v>7357952</v>
      </c>
      <c r="E172" s="2">
        <v>82132</v>
      </c>
      <c r="F172" s="2">
        <v>24.322299999999998</v>
      </c>
      <c r="G172" s="2">
        <v>0.19400000000000001</v>
      </c>
      <c r="H172" s="2">
        <v>23.9419</v>
      </c>
      <c r="I172" s="2">
        <v>24.7026</v>
      </c>
      <c r="J172" s="2">
        <v>100</v>
      </c>
      <c r="K172" s="2"/>
      <c r="L172" s="2"/>
      <c r="M172" s="2"/>
    </row>
    <row r="173" spans="1:18" ht="17.25" thickBot="1" x14ac:dyDescent="0.35">
      <c r="A173" s="6">
        <v>3</v>
      </c>
      <c r="B173" s="11">
        <v>1</v>
      </c>
      <c r="C173" s="2">
        <v>15101</v>
      </c>
      <c r="D173" s="2">
        <v>6016695</v>
      </c>
      <c r="E173" s="2">
        <v>69757</v>
      </c>
      <c r="F173" s="2">
        <v>19.8886</v>
      </c>
      <c r="G173" s="2">
        <v>0.18129999999999999</v>
      </c>
      <c r="H173" s="2">
        <v>19.533200000000001</v>
      </c>
      <c r="I173" s="2">
        <v>20.2441</v>
      </c>
      <c r="J173" s="2">
        <v>80.208100000000002</v>
      </c>
      <c r="K173" s="2">
        <v>0.43680000000000002</v>
      </c>
      <c r="L173" s="2">
        <v>79.351600000000005</v>
      </c>
      <c r="M173" s="2">
        <v>81.064599999999999</v>
      </c>
      <c r="O173" t="str">
        <f t="shared" ref="O173:O174" si="38">TEXT(J173,"0.00")&amp;" ("&amp;TEXT(L173,"0.00")&amp;" to "&amp;TEXT(M173,"0.00")&amp;")"</f>
        <v>80.21 (79.35 to 81.06)</v>
      </c>
    </row>
    <row r="174" spans="1:18" ht="17.25" thickBot="1" x14ac:dyDescent="0.35">
      <c r="A174" s="6"/>
      <c r="B174" s="11">
        <v>2</v>
      </c>
      <c r="C174" s="2">
        <v>2321</v>
      </c>
      <c r="D174" s="2">
        <v>1484659</v>
      </c>
      <c r="E174" s="2">
        <v>38638</v>
      </c>
      <c r="F174" s="2">
        <v>4.9077000000000002</v>
      </c>
      <c r="G174" s="2">
        <v>0.1196</v>
      </c>
      <c r="H174" s="2">
        <v>4.6731999999999996</v>
      </c>
      <c r="I174" s="2">
        <v>5.1421000000000001</v>
      </c>
      <c r="J174" s="2">
        <v>19.791899999999998</v>
      </c>
      <c r="K174" s="2">
        <v>0.43680000000000002</v>
      </c>
      <c r="L174" s="2">
        <v>18.935400000000001</v>
      </c>
      <c r="M174" s="2">
        <v>20.648399999999999</v>
      </c>
      <c r="O174" t="str">
        <f t="shared" si="38"/>
        <v>19.79 (18.94 to 20.65)</v>
      </c>
    </row>
    <row r="175" spans="1:18" ht="17.25" thickBot="1" x14ac:dyDescent="0.35">
      <c r="A175" s="6"/>
      <c r="B175" s="11" t="s">
        <v>153</v>
      </c>
      <c r="C175" s="2">
        <v>17422</v>
      </c>
      <c r="D175" s="2">
        <v>7501354</v>
      </c>
      <c r="E175" s="2">
        <v>82741</v>
      </c>
      <c r="F175" s="2">
        <v>24.796299999999999</v>
      </c>
      <c r="G175" s="2">
        <v>0.19819999999999999</v>
      </c>
      <c r="H175" s="2">
        <v>24.407599999999999</v>
      </c>
      <c r="I175" s="2">
        <v>25.184899999999999</v>
      </c>
      <c r="J175" s="2">
        <v>100</v>
      </c>
      <c r="K175" s="2"/>
      <c r="L175" s="2"/>
      <c r="M175" s="2"/>
    </row>
    <row r="176" spans="1:18" ht="17.25" thickBot="1" x14ac:dyDescent="0.35">
      <c r="A176" s="6">
        <v>4</v>
      </c>
      <c r="B176" s="11">
        <v>1</v>
      </c>
      <c r="C176" s="2">
        <v>16230</v>
      </c>
      <c r="D176" s="2">
        <v>6752231</v>
      </c>
      <c r="E176" s="2">
        <v>75318</v>
      </c>
      <c r="F176" s="2">
        <v>22.32</v>
      </c>
      <c r="G176" s="2">
        <v>0.19950000000000001</v>
      </c>
      <c r="H176" s="2">
        <v>21.928899999999999</v>
      </c>
      <c r="I176" s="2">
        <v>22.711099999999998</v>
      </c>
      <c r="J176" s="2">
        <v>84.861400000000003</v>
      </c>
      <c r="K176" s="2">
        <v>0.37469999999999998</v>
      </c>
      <c r="L176" s="2">
        <v>84.1267</v>
      </c>
      <c r="M176" s="2">
        <v>85.596100000000007</v>
      </c>
      <c r="O176" t="str">
        <f t="shared" ref="O176:O177" si="39">TEXT(J176,"0.00")&amp;" ("&amp;TEXT(L176,"0.00")&amp;" to "&amp;TEXT(M176,"0.00")&amp;")"</f>
        <v>84.86 (84.13 to 85.60)</v>
      </c>
    </row>
    <row r="177" spans="1:18" ht="17.25" thickBot="1" x14ac:dyDescent="0.35">
      <c r="A177" s="6"/>
      <c r="B177" s="11">
        <v>2</v>
      </c>
      <c r="C177" s="2">
        <v>1895</v>
      </c>
      <c r="D177" s="2">
        <v>1204543</v>
      </c>
      <c r="E177" s="2">
        <v>32937</v>
      </c>
      <c r="F177" s="2">
        <v>3.9817</v>
      </c>
      <c r="G177" s="2">
        <v>0.10580000000000001</v>
      </c>
      <c r="H177" s="2">
        <v>3.7743000000000002</v>
      </c>
      <c r="I177" s="2">
        <v>4.1890999999999998</v>
      </c>
      <c r="J177" s="2">
        <v>15.1386</v>
      </c>
      <c r="K177" s="2">
        <v>0.37469999999999998</v>
      </c>
      <c r="L177" s="2">
        <v>14.4039</v>
      </c>
      <c r="M177" s="2">
        <v>15.8733</v>
      </c>
      <c r="O177" t="str">
        <f t="shared" si="39"/>
        <v>15.14 (14.40 to 15.87)</v>
      </c>
    </row>
    <row r="178" spans="1:18" ht="17.25" thickBot="1" x14ac:dyDescent="0.35">
      <c r="A178" s="6"/>
      <c r="B178" s="11" t="s">
        <v>153</v>
      </c>
      <c r="C178" s="2">
        <v>18125</v>
      </c>
      <c r="D178" s="2">
        <v>7956773</v>
      </c>
      <c r="E178" s="2">
        <v>83258</v>
      </c>
      <c r="F178" s="2">
        <v>26.3017</v>
      </c>
      <c r="G178" s="2">
        <v>0.21260000000000001</v>
      </c>
      <c r="H178" s="2">
        <v>25.884799999999998</v>
      </c>
      <c r="I178" s="2">
        <v>26.718599999999999</v>
      </c>
      <c r="J178" s="2">
        <v>100</v>
      </c>
      <c r="K178" s="2"/>
      <c r="L178" s="2"/>
      <c r="M178" s="2"/>
    </row>
    <row r="179" spans="1:18" ht="17.25" thickBot="1" x14ac:dyDescent="0.35">
      <c r="A179" s="6" t="s">
        <v>153</v>
      </c>
      <c r="B179" s="11">
        <v>1</v>
      </c>
      <c r="C179" s="2">
        <v>56814</v>
      </c>
      <c r="D179" s="2">
        <v>22898766</v>
      </c>
      <c r="E179" s="2">
        <v>183193</v>
      </c>
      <c r="F179" s="2">
        <v>75.693600000000004</v>
      </c>
      <c r="G179" s="2">
        <v>0.28570000000000001</v>
      </c>
      <c r="H179" s="2">
        <v>75.133300000000006</v>
      </c>
      <c r="I179" s="2">
        <v>76.253799999999998</v>
      </c>
      <c r="J179" s="2"/>
      <c r="K179" s="2"/>
      <c r="L179" s="2"/>
      <c r="M179" s="2"/>
    </row>
    <row r="180" spans="1:18" ht="17.25" thickBot="1" x14ac:dyDescent="0.35">
      <c r="A180" s="6"/>
      <c r="B180" s="11">
        <v>2</v>
      </c>
      <c r="C180" s="2">
        <v>11821</v>
      </c>
      <c r="D180" s="2">
        <v>7353170</v>
      </c>
      <c r="E180" s="2">
        <v>108690</v>
      </c>
      <c r="F180" s="2">
        <v>24.3064</v>
      </c>
      <c r="G180" s="2">
        <v>0.28570000000000001</v>
      </c>
      <c r="H180" s="2">
        <v>23.746200000000002</v>
      </c>
      <c r="I180" s="2">
        <v>24.866700000000002</v>
      </c>
      <c r="J180" s="2"/>
      <c r="K180" s="2"/>
      <c r="L180" s="2"/>
      <c r="M180" s="2"/>
    </row>
    <row r="181" spans="1:18" x14ac:dyDescent="0.3">
      <c r="A181" s="6"/>
      <c r="B181" s="14" t="s">
        <v>153</v>
      </c>
      <c r="C181" s="2">
        <v>68635</v>
      </c>
      <c r="D181" s="2">
        <v>30251936</v>
      </c>
      <c r="E181" s="2">
        <v>228758</v>
      </c>
      <c r="F181" s="2">
        <v>100</v>
      </c>
      <c r="G181" s="2"/>
      <c r="H181" s="2"/>
      <c r="I181" s="2"/>
      <c r="J181" s="2"/>
      <c r="K181" s="2"/>
      <c r="L181" s="2"/>
      <c r="M181" s="2"/>
    </row>
    <row r="182" spans="1:18" ht="17.25" thickBot="1" x14ac:dyDescent="0.35"/>
    <row r="183" spans="1:18" ht="16.5" customHeight="1" x14ac:dyDescent="0.3">
      <c r="A183" s="16" t="s">
        <v>179</v>
      </c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</row>
    <row r="184" spans="1:18" ht="33" customHeight="1" x14ac:dyDescent="0.3">
      <c r="A184" s="17" t="s">
        <v>25</v>
      </c>
      <c r="B184" s="19" t="s">
        <v>12</v>
      </c>
      <c r="C184" s="19" t="s">
        <v>146</v>
      </c>
      <c r="D184" s="3" t="s">
        <v>147</v>
      </c>
      <c r="E184" s="3" t="s">
        <v>148</v>
      </c>
      <c r="F184" s="19" t="s">
        <v>150</v>
      </c>
      <c r="G184" s="3" t="s">
        <v>148</v>
      </c>
      <c r="H184" s="19" t="s">
        <v>151</v>
      </c>
      <c r="I184" s="19"/>
      <c r="J184" s="3" t="s">
        <v>170</v>
      </c>
      <c r="K184" s="3" t="s">
        <v>148</v>
      </c>
      <c r="L184" s="19" t="s">
        <v>151</v>
      </c>
      <c r="M184" s="19"/>
    </row>
    <row r="185" spans="1:18" ht="33" x14ac:dyDescent="0.3">
      <c r="A185" s="17"/>
      <c r="B185" s="19"/>
      <c r="C185" s="19"/>
      <c r="D185" s="3" t="s">
        <v>146</v>
      </c>
      <c r="E185" s="3" t="s">
        <v>149</v>
      </c>
      <c r="F185" s="19"/>
      <c r="G185" s="3" t="s">
        <v>150</v>
      </c>
      <c r="H185" s="19" t="s">
        <v>152</v>
      </c>
      <c r="I185" s="19"/>
      <c r="J185" s="3" t="s">
        <v>150</v>
      </c>
      <c r="K185" s="3" t="s">
        <v>171</v>
      </c>
      <c r="L185" s="19" t="s">
        <v>172</v>
      </c>
      <c r="M185" s="19"/>
    </row>
    <row r="186" spans="1:18" ht="17.25" thickBot="1" x14ac:dyDescent="0.35">
      <c r="A186" s="6">
        <v>1</v>
      </c>
      <c r="B186" s="11">
        <v>1</v>
      </c>
      <c r="C186" s="2">
        <v>6367</v>
      </c>
      <c r="D186" s="2">
        <v>3021941</v>
      </c>
      <c r="E186" s="2">
        <v>51784</v>
      </c>
      <c r="F186" s="2">
        <v>9.9892000000000003</v>
      </c>
      <c r="G186" s="2">
        <v>0.14849999999999999</v>
      </c>
      <c r="H186" s="2">
        <v>9.6980000000000004</v>
      </c>
      <c r="I186" s="2">
        <v>10.2805</v>
      </c>
      <c r="J186" s="2">
        <v>40.640099999999997</v>
      </c>
      <c r="K186" s="2">
        <v>0.45540000000000003</v>
      </c>
      <c r="L186" s="2">
        <v>39.747199999999999</v>
      </c>
      <c r="M186" s="2">
        <v>41.533000000000001</v>
      </c>
      <c r="O186" t="str">
        <f t="shared" ref="O186:O188" si="40">TEXT(J186,"0.00")&amp;" ("&amp;TEXT(L186,"0.00")&amp;" to "&amp;TEXT(M186,"0.00")&amp;")"</f>
        <v>40.64 (39.75 to 41.53)</v>
      </c>
      <c r="P186" t="str">
        <f>O190</f>
        <v>36.40 (35.49 to 37.32)</v>
      </c>
      <c r="Q186" t="str">
        <f>O194</f>
        <v>32.92 (32.06 to 33.79)</v>
      </c>
      <c r="R186" t="str">
        <f>O198</f>
        <v>28.31 (27.52 to 29.11)</v>
      </c>
    </row>
    <row r="187" spans="1:18" ht="17.25" thickBot="1" x14ac:dyDescent="0.35">
      <c r="A187" s="6"/>
      <c r="B187" s="11">
        <v>2</v>
      </c>
      <c r="C187" s="2">
        <v>7554</v>
      </c>
      <c r="D187" s="2">
        <v>3449421</v>
      </c>
      <c r="E187" s="2">
        <v>53828</v>
      </c>
      <c r="F187" s="2">
        <v>11.4023</v>
      </c>
      <c r="G187" s="2">
        <v>0.15049999999999999</v>
      </c>
      <c r="H187" s="2">
        <v>11.1073</v>
      </c>
      <c r="I187" s="2">
        <v>11.6974</v>
      </c>
      <c r="J187" s="2">
        <v>46.389000000000003</v>
      </c>
      <c r="K187" s="2">
        <v>0.48070000000000002</v>
      </c>
      <c r="L187" s="2">
        <v>45.4465</v>
      </c>
      <c r="M187" s="2">
        <v>47.331600000000002</v>
      </c>
      <c r="O187" t="str">
        <f t="shared" si="40"/>
        <v>46.39 (45.45 to 47.33)</v>
      </c>
      <c r="P187" t="str">
        <f t="shared" ref="P187:P188" si="41">O191</f>
        <v>48.16 (47.23 to 49.08)</v>
      </c>
      <c r="Q187" t="str">
        <f t="shared" ref="Q187:Q188" si="42">O195</f>
        <v>50.15 (49.22 to 51.07)</v>
      </c>
      <c r="R187" t="str">
        <f t="shared" ref="R187:R188" si="43">O199</f>
        <v>51.94 (51.07 to 52.82)</v>
      </c>
    </row>
    <row r="188" spans="1:18" ht="17.25" thickBot="1" x14ac:dyDescent="0.35">
      <c r="A188" s="6"/>
      <c r="B188" s="11">
        <v>3</v>
      </c>
      <c r="C188" s="2">
        <v>2360</v>
      </c>
      <c r="D188" s="2">
        <v>964494</v>
      </c>
      <c r="E188" s="2">
        <v>24557</v>
      </c>
      <c r="F188" s="2">
        <v>3.1882000000000001</v>
      </c>
      <c r="G188" s="2">
        <v>7.8700000000000006E-2</v>
      </c>
      <c r="H188" s="2">
        <v>3.0339</v>
      </c>
      <c r="I188" s="2">
        <v>3.3424999999999998</v>
      </c>
      <c r="J188" s="2">
        <v>12.9709</v>
      </c>
      <c r="K188" s="2">
        <v>0.30630000000000002</v>
      </c>
      <c r="L188" s="2">
        <v>12.370200000000001</v>
      </c>
      <c r="M188" s="2">
        <v>13.5715</v>
      </c>
      <c r="O188" t="str">
        <f t="shared" si="40"/>
        <v>12.97 (12.37 to 13.57)</v>
      </c>
      <c r="P188" t="str">
        <f t="shared" si="41"/>
        <v>15.44 (14.79 to 16.09)</v>
      </c>
      <c r="Q188" t="str">
        <f t="shared" si="42"/>
        <v>16.93 (16.26 to 17.60)</v>
      </c>
      <c r="R188" t="str">
        <f t="shared" si="43"/>
        <v>19.74 (19.07 to 20.42)</v>
      </c>
    </row>
    <row r="189" spans="1:18" ht="17.25" thickBot="1" x14ac:dyDescent="0.35">
      <c r="A189" s="6"/>
      <c r="B189" s="11" t="s">
        <v>153</v>
      </c>
      <c r="C189" s="2">
        <v>16281</v>
      </c>
      <c r="D189" s="2">
        <v>7435856</v>
      </c>
      <c r="E189" s="2">
        <v>88984</v>
      </c>
      <c r="F189" s="2">
        <v>24.579799999999999</v>
      </c>
      <c r="G189" s="2">
        <v>0.21490000000000001</v>
      </c>
      <c r="H189" s="2">
        <v>24.158300000000001</v>
      </c>
      <c r="I189" s="2">
        <v>25.001200000000001</v>
      </c>
      <c r="J189" s="2">
        <v>100</v>
      </c>
      <c r="K189" s="2"/>
      <c r="L189" s="2"/>
      <c r="M189" s="2"/>
    </row>
    <row r="190" spans="1:18" ht="17.25" thickBot="1" x14ac:dyDescent="0.35">
      <c r="A190" s="6">
        <v>2</v>
      </c>
      <c r="B190" s="11">
        <v>1</v>
      </c>
      <c r="C190" s="2">
        <v>5817</v>
      </c>
      <c r="D190" s="2">
        <v>2678399</v>
      </c>
      <c r="E190" s="2">
        <v>46926</v>
      </c>
      <c r="F190" s="2">
        <v>8.8536000000000001</v>
      </c>
      <c r="G190" s="2">
        <v>0.13519999999999999</v>
      </c>
      <c r="H190" s="2">
        <v>8.5885999999999996</v>
      </c>
      <c r="I190" s="2">
        <v>9.1187000000000005</v>
      </c>
      <c r="J190" s="2">
        <v>36.401400000000002</v>
      </c>
      <c r="K190" s="2">
        <v>0.46650000000000003</v>
      </c>
      <c r="L190" s="2">
        <v>35.486800000000002</v>
      </c>
      <c r="M190" s="2">
        <v>37.316099999999999</v>
      </c>
      <c r="O190" t="str">
        <f t="shared" ref="O190:O192" si="44">TEXT(J190,"0.00")&amp;" ("&amp;TEXT(L190,"0.00")&amp;" to "&amp;TEXT(M190,"0.00")&amp;")"</f>
        <v>36.40 (35.49 to 37.32)</v>
      </c>
    </row>
    <row r="191" spans="1:18" ht="17.25" thickBot="1" x14ac:dyDescent="0.35">
      <c r="A191" s="6"/>
      <c r="B191" s="11">
        <v>2</v>
      </c>
      <c r="C191" s="2">
        <v>8064</v>
      </c>
      <c r="D191" s="2">
        <v>3543395</v>
      </c>
      <c r="E191" s="2">
        <v>52181</v>
      </c>
      <c r="F191" s="2">
        <v>11.712999999999999</v>
      </c>
      <c r="G191" s="2">
        <v>0.14649999999999999</v>
      </c>
      <c r="H191" s="2">
        <v>11.425800000000001</v>
      </c>
      <c r="I191" s="2">
        <v>12.0002</v>
      </c>
      <c r="J191" s="2">
        <v>48.157400000000003</v>
      </c>
      <c r="K191" s="2">
        <v>0.47199999999999998</v>
      </c>
      <c r="L191" s="2">
        <v>47.231900000000003</v>
      </c>
      <c r="M191" s="2">
        <v>49.082799999999999</v>
      </c>
      <c r="O191" t="str">
        <f t="shared" si="44"/>
        <v>48.16 (47.23 to 49.08)</v>
      </c>
    </row>
    <row r="192" spans="1:18" ht="17.25" thickBot="1" x14ac:dyDescent="0.35">
      <c r="A192" s="6"/>
      <c r="B192" s="11">
        <v>3</v>
      </c>
      <c r="C192" s="2">
        <v>2926</v>
      </c>
      <c r="D192" s="2">
        <v>1136158</v>
      </c>
      <c r="E192" s="2">
        <v>26673</v>
      </c>
      <c r="F192" s="2">
        <v>3.7557</v>
      </c>
      <c r="G192" s="2">
        <v>8.5500000000000007E-2</v>
      </c>
      <c r="H192" s="2">
        <v>3.5878999999999999</v>
      </c>
      <c r="I192" s="2">
        <v>3.9234</v>
      </c>
      <c r="J192" s="2">
        <v>15.4412</v>
      </c>
      <c r="K192" s="2">
        <v>0.33029999999999998</v>
      </c>
      <c r="L192" s="2">
        <v>14.7936</v>
      </c>
      <c r="M192" s="2">
        <v>16.088899999999999</v>
      </c>
      <c r="O192" t="str">
        <f t="shared" si="44"/>
        <v>15.44 (14.79 to 16.09)</v>
      </c>
    </row>
    <row r="193" spans="1:15" ht="17.25" thickBot="1" x14ac:dyDescent="0.35">
      <c r="A193" s="6"/>
      <c r="B193" s="11" t="s">
        <v>153</v>
      </c>
      <c r="C193" s="2">
        <v>16807</v>
      </c>
      <c r="D193" s="2">
        <v>7357952</v>
      </c>
      <c r="E193" s="2">
        <v>82132</v>
      </c>
      <c r="F193" s="2">
        <v>24.322299999999998</v>
      </c>
      <c r="G193" s="2">
        <v>0.19400000000000001</v>
      </c>
      <c r="H193" s="2">
        <v>23.9419</v>
      </c>
      <c r="I193" s="2">
        <v>24.7026</v>
      </c>
      <c r="J193" s="2">
        <v>100</v>
      </c>
      <c r="K193" s="2"/>
      <c r="L193" s="2"/>
      <c r="M193" s="2"/>
    </row>
    <row r="194" spans="1:15" ht="17.25" thickBot="1" x14ac:dyDescent="0.35">
      <c r="A194" s="6">
        <v>3</v>
      </c>
      <c r="B194" s="11">
        <v>1</v>
      </c>
      <c r="C194" s="2">
        <v>5586</v>
      </c>
      <c r="D194" s="2">
        <v>2469781</v>
      </c>
      <c r="E194" s="2">
        <v>42998</v>
      </c>
      <c r="F194" s="2">
        <v>8.1639999999999997</v>
      </c>
      <c r="G194" s="2">
        <v>0.1255</v>
      </c>
      <c r="H194" s="2">
        <v>7.9179000000000004</v>
      </c>
      <c r="I194" s="2">
        <v>8.4101999999999997</v>
      </c>
      <c r="J194" s="2">
        <v>32.924500000000002</v>
      </c>
      <c r="K194" s="2">
        <v>0.43890000000000001</v>
      </c>
      <c r="L194" s="2">
        <v>32.063800000000001</v>
      </c>
      <c r="M194" s="2">
        <v>33.7851</v>
      </c>
      <c r="O194" t="str">
        <f t="shared" ref="O194:O196" si="45">TEXT(J194,"0.00")&amp;" ("&amp;TEXT(L194,"0.00")&amp;" to "&amp;TEXT(M194,"0.00")&amp;")"</f>
        <v>32.92 (32.06 to 33.79)</v>
      </c>
    </row>
    <row r="195" spans="1:15" ht="17.25" thickBot="1" x14ac:dyDescent="0.35">
      <c r="A195" s="6"/>
      <c r="B195" s="11">
        <v>2</v>
      </c>
      <c r="C195" s="2">
        <v>8530</v>
      </c>
      <c r="D195" s="2">
        <v>3761751</v>
      </c>
      <c r="E195" s="2">
        <v>56215</v>
      </c>
      <c r="F195" s="2">
        <v>12.434699999999999</v>
      </c>
      <c r="G195" s="2">
        <v>0.1575</v>
      </c>
      <c r="H195" s="2">
        <v>12.1259</v>
      </c>
      <c r="I195" s="2">
        <v>12.743600000000001</v>
      </c>
      <c r="J195" s="2">
        <v>50.147599999999997</v>
      </c>
      <c r="K195" s="2">
        <v>0.4728</v>
      </c>
      <c r="L195" s="2">
        <v>49.220599999999997</v>
      </c>
      <c r="M195" s="2">
        <v>51.0747</v>
      </c>
      <c r="O195" t="str">
        <f t="shared" si="45"/>
        <v>50.15 (49.22 to 51.07)</v>
      </c>
    </row>
    <row r="196" spans="1:15" ht="17.25" thickBot="1" x14ac:dyDescent="0.35">
      <c r="A196" s="6"/>
      <c r="B196" s="11">
        <v>3</v>
      </c>
      <c r="C196" s="2">
        <v>3306</v>
      </c>
      <c r="D196" s="2">
        <v>1269822</v>
      </c>
      <c r="E196" s="2">
        <v>27970</v>
      </c>
      <c r="F196" s="2">
        <v>4.1974999999999998</v>
      </c>
      <c r="G196" s="2">
        <v>0.09</v>
      </c>
      <c r="H196" s="2">
        <v>4.0209999999999999</v>
      </c>
      <c r="I196" s="2">
        <v>4.3739999999999997</v>
      </c>
      <c r="J196" s="2">
        <v>16.927900000000001</v>
      </c>
      <c r="K196" s="2">
        <v>0.3422</v>
      </c>
      <c r="L196" s="2">
        <v>16.257000000000001</v>
      </c>
      <c r="M196" s="2">
        <v>17.598800000000001</v>
      </c>
      <c r="O196" t="str">
        <f t="shared" si="45"/>
        <v>16.93 (16.26 to 17.60)</v>
      </c>
    </row>
    <row r="197" spans="1:15" ht="17.25" thickBot="1" x14ac:dyDescent="0.35">
      <c r="A197" s="6"/>
      <c r="B197" s="11" t="s">
        <v>153</v>
      </c>
      <c r="C197" s="2">
        <v>17422</v>
      </c>
      <c r="D197" s="2">
        <v>7501354</v>
      </c>
      <c r="E197" s="2">
        <v>82741</v>
      </c>
      <c r="F197" s="2">
        <v>24.796299999999999</v>
      </c>
      <c r="G197" s="2">
        <v>0.19819999999999999</v>
      </c>
      <c r="H197" s="2">
        <v>24.407599999999999</v>
      </c>
      <c r="I197" s="2">
        <v>25.184899999999999</v>
      </c>
      <c r="J197" s="2">
        <v>100</v>
      </c>
      <c r="K197" s="2"/>
      <c r="L197" s="2"/>
      <c r="M197" s="2"/>
    </row>
    <row r="198" spans="1:15" ht="17.25" thickBot="1" x14ac:dyDescent="0.35">
      <c r="A198" s="6">
        <v>4</v>
      </c>
      <c r="B198" s="11">
        <v>1</v>
      </c>
      <c r="C198" s="2">
        <v>5106</v>
      </c>
      <c r="D198" s="2">
        <v>2252902</v>
      </c>
      <c r="E198" s="2">
        <v>40106</v>
      </c>
      <c r="F198" s="2">
        <v>7.4470999999999998</v>
      </c>
      <c r="G198" s="2">
        <v>0.122</v>
      </c>
      <c r="H198" s="2">
        <v>7.2080000000000002</v>
      </c>
      <c r="I198" s="2">
        <v>7.6863000000000001</v>
      </c>
      <c r="J198" s="2">
        <v>28.314299999999999</v>
      </c>
      <c r="K198" s="2">
        <v>0.40749999999999997</v>
      </c>
      <c r="L198" s="2">
        <v>27.5151</v>
      </c>
      <c r="M198" s="2">
        <v>29.113399999999999</v>
      </c>
      <c r="O198" t="str">
        <f t="shared" ref="O198:O200" si="46">TEXT(J198,"0.00")&amp;" ("&amp;TEXT(L198,"0.00")&amp;" to "&amp;TEXT(M198,"0.00")&amp;")"</f>
        <v>28.31 (27.52 to 29.11)</v>
      </c>
    </row>
    <row r="199" spans="1:15" ht="17.25" thickBot="1" x14ac:dyDescent="0.35">
      <c r="A199" s="6"/>
      <c r="B199" s="11">
        <v>2</v>
      </c>
      <c r="C199" s="2">
        <v>9062</v>
      </c>
      <c r="D199" s="2">
        <v>4133008</v>
      </c>
      <c r="E199" s="2">
        <v>56621</v>
      </c>
      <c r="F199" s="2">
        <v>13.662000000000001</v>
      </c>
      <c r="G199" s="2">
        <v>0.1615</v>
      </c>
      <c r="H199" s="2">
        <v>13.3454</v>
      </c>
      <c r="I199" s="2">
        <v>13.9785</v>
      </c>
      <c r="J199" s="2">
        <v>51.943300000000001</v>
      </c>
      <c r="K199" s="2">
        <v>0.4466</v>
      </c>
      <c r="L199" s="2">
        <v>51.067599999999999</v>
      </c>
      <c r="M199" s="2">
        <v>52.819000000000003</v>
      </c>
      <c r="O199" t="str">
        <f t="shared" si="46"/>
        <v>51.94 (51.07 to 52.82)</v>
      </c>
    </row>
    <row r="200" spans="1:15" ht="17.25" thickBot="1" x14ac:dyDescent="0.35">
      <c r="A200" s="6"/>
      <c r="B200" s="11">
        <v>3</v>
      </c>
      <c r="C200" s="2">
        <v>3957</v>
      </c>
      <c r="D200" s="2">
        <v>1570863</v>
      </c>
      <c r="E200" s="2">
        <v>31548</v>
      </c>
      <c r="F200" s="2">
        <v>5.1925999999999997</v>
      </c>
      <c r="G200" s="2">
        <v>0.1007</v>
      </c>
      <c r="H200" s="2">
        <v>4.9951999999999996</v>
      </c>
      <c r="I200" s="2">
        <v>5.39</v>
      </c>
      <c r="J200" s="2">
        <v>19.7425</v>
      </c>
      <c r="K200" s="2">
        <v>0.34499999999999997</v>
      </c>
      <c r="L200" s="2">
        <v>19.065899999999999</v>
      </c>
      <c r="M200" s="2">
        <v>20.419</v>
      </c>
      <c r="O200" t="str">
        <f t="shared" si="46"/>
        <v>19.74 (19.07 to 20.42)</v>
      </c>
    </row>
    <row r="201" spans="1:15" ht="17.25" thickBot="1" x14ac:dyDescent="0.35">
      <c r="A201" s="6"/>
      <c r="B201" s="11" t="s">
        <v>153</v>
      </c>
      <c r="C201" s="2">
        <v>18125</v>
      </c>
      <c r="D201" s="2">
        <v>7956773</v>
      </c>
      <c r="E201" s="2">
        <v>83258</v>
      </c>
      <c r="F201" s="2">
        <v>26.3017</v>
      </c>
      <c r="G201" s="2">
        <v>0.21260000000000001</v>
      </c>
      <c r="H201" s="2">
        <v>25.884799999999998</v>
      </c>
      <c r="I201" s="2">
        <v>26.718599999999999</v>
      </c>
      <c r="J201" s="2">
        <v>100</v>
      </c>
      <c r="K201" s="2"/>
      <c r="L201" s="2"/>
      <c r="M201" s="2"/>
    </row>
    <row r="202" spans="1:15" ht="17.25" thickBot="1" x14ac:dyDescent="0.35">
      <c r="A202" s="6" t="s">
        <v>153</v>
      </c>
      <c r="B202" s="11">
        <v>1</v>
      </c>
      <c r="C202" s="2">
        <v>22876</v>
      </c>
      <c r="D202" s="2">
        <v>10423023</v>
      </c>
      <c r="E202" s="2">
        <v>111794</v>
      </c>
      <c r="F202" s="2">
        <v>34.454099999999997</v>
      </c>
      <c r="G202" s="2">
        <v>0.2404</v>
      </c>
      <c r="H202" s="2">
        <v>33.982599999999998</v>
      </c>
      <c r="I202" s="2">
        <v>34.9255</v>
      </c>
      <c r="J202" s="2"/>
      <c r="K202" s="2"/>
      <c r="L202" s="2"/>
      <c r="M202" s="2"/>
    </row>
    <row r="203" spans="1:15" ht="17.25" thickBot="1" x14ac:dyDescent="0.35">
      <c r="A203" s="6"/>
      <c r="B203" s="11">
        <v>2</v>
      </c>
      <c r="C203" s="2">
        <v>33210</v>
      </c>
      <c r="D203" s="2">
        <v>14887576</v>
      </c>
      <c r="E203" s="2">
        <v>139026</v>
      </c>
      <c r="F203" s="2">
        <v>49.212000000000003</v>
      </c>
      <c r="G203" s="2">
        <v>0.25819999999999999</v>
      </c>
      <c r="H203" s="2">
        <v>48.7057</v>
      </c>
      <c r="I203" s="2">
        <v>49.718200000000003</v>
      </c>
      <c r="J203" s="2"/>
      <c r="K203" s="2"/>
      <c r="L203" s="2"/>
      <c r="M203" s="2"/>
    </row>
    <row r="204" spans="1:15" ht="17.25" thickBot="1" x14ac:dyDescent="0.35">
      <c r="A204" s="6"/>
      <c r="B204" s="11">
        <v>3</v>
      </c>
      <c r="C204" s="2">
        <v>12549</v>
      </c>
      <c r="D204" s="2">
        <v>4941337</v>
      </c>
      <c r="E204" s="2">
        <v>60754</v>
      </c>
      <c r="F204" s="2">
        <v>16.334</v>
      </c>
      <c r="G204" s="2">
        <v>0.17949999999999999</v>
      </c>
      <c r="H204" s="2">
        <v>15.9819</v>
      </c>
      <c r="I204" s="2">
        <v>16.686</v>
      </c>
      <c r="J204" s="2"/>
      <c r="K204" s="2"/>
      <c r="L204" s="2"/>
      <c r="M204" s="2"/>
    </row>
    <row r="205" spans="1:15" x14ac:dyDescent="0.3">
      <c r="A205" s="6"/>
      <c r="B205" s="14" t="s">
        <v>153</v>
      </c>
      <c r="C205" s="2">
        <v>68635</v>
      </c>
      <c r="D205" s="2">
        <v>30251936</v>
      </c>
      <c r="E205" s="2">
        <v>228758</v>
      </c>
      <c r="F205" s="2">
        <v>100</v>
      </c>
      <c r="G205" s="2"/>
      <c r="H205" s="2"/>
      <c r="I205" s="2"/>
      <c r="J205" s="2"/>
      <c r="K205" s="2"/>
      <c r="L205" s="2"/>
      <c r="M205" s="2"/>
    </row>
    <row r="206" spans="1:15" ht="17.25" thickBot="1" x14ac:dyDescent="0.35"/>
    <row r="207" spans="1:15" ht="16.5" customHeight="1" x14ac:dyDescent="0.3">
      <c r="A207" s="16" t="s">
        <v>180</v>
      </c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</row>
    <row r="208" spans="1:15" ht="33" customHeight="1" x14ac:dyDescent="0.3">
      <c r="A208" s="17" t="s">
        <v>25</v>
      </c>
      <c r="B208" s="19" t="s">
        <v>13</v>
      </c>
      <c r="C208" s="19" t="s">
        <v>146</v>
      </c>
      <c r="D208" s="3" t="s">
        <v>147</v>
      </c>
      <c r="E208" s="3" t="s">
        <v>148</v>
      </c>
      <c r="F208" s="19" t="s">
        <v>150</v>
      </c>
      <c r="G208" s="3" t="s">
        <v>148</v>
      </c>
      <c r="H208" s="19" t="s">
        <v>151</v>
      </c>
      <c r="I208" s="19"/>
      <c r="J208" s="3" t="s">
        <v>170</v>
      </c>
      <c r="K208" s="3" t="s">
        <v>148</v>
      </c>
      <c r="L208" s="19" t="s">
        <v>151</v>
      </c>
      <c r="M208" s="19"/>
    </row>
    <row r="209" spans="1:18" ht="33" x14ac:dyDescent="0.3">
      <c r="A209" s="17"/>
      <c r="B209" s="19"/>
      <c r="C209" s="19"/>
      <c r="D209" s="3" t="s">
        <v>146</v>
      </c>
      <c r="E209" s="3" t="s">
        <v>149</v>
      </c>
      <c r="F209" s="19"/>
      <c r="G209" s="3" t="s">
        <v>150</v>
      </c>
      <c r="H209" s="19" t="s">
        <v>152</v>
      </c>
      <c r="I209" s="19"/>
      <c r="J209" s="3" t="s">
        <v>150</v>
      </c>
      <c r="K209" s="3" t="s">
        <v>171</v>
      </c>
      <c r="L209" s="19" t="s">
        <v>172</v>
      </c>
      <c r="M209" s="19"/>
    </row>
    <row r="210" spans="1:18" ht="17.25" thickBot="1" x14ac:dyDescent="0.35">
      <c r="A210" s="6">
        <v>1</v>
      </c>
      <c r="B210" s="11">
        <v>1</v>
      </c>
      <c r="C210" s="2">
        <v>4512</v>
      </c>
      <c r="D210" s="2">
        <v>2109381</v>
      </c>
      <c r="E210" s="2">
        <v>40537</v>
      </c>
      <c r="F210" s="2">
        <v>6.9726999999999997</v>
      </c>
      <c r="G210" s="2">
        <v>0.1235</v>
      </c>
      <c r="H210" s="2">
        <v>6.7305000000000001</v>
      </c>
      <c r="I210" s="2">
        <v>7.2149000000000001</v>
      </c>
      <c r="J210" s="2">
        <v>28.367699999999999</v>
      </c>
      <c r="K210" s="2">
        <v>0.43009999999999998</v>
      </c>
      <c r="L210" s="2">
        <v>27.5244</v>
      </c>
      <c r="M210" s="2">
        <v>29.210999999999999</v>
      </c>
      <c r="O210" t="str">
        <f t="shared" ref="O210:O212" si="47">TEXT(J210,"0.00")&amp;" ("&amp;TEXT(L210,"0.00")&amp;" to "&amp;TEXT(M210,"0.00")&amp;")"</f>
        <v>28.37 (27.52 to 29.21)</v>
      </c>
      <c r="P210" t="str">
        <f>O214</f>
        <v>27.22 (26.39 to 28.04)</v>
      </c>
      <c r="Q210" t="str">
        <f>O218</f>
        <v>27.18 (26.37 to 27.99)</v>
      </c>
      <c r="R210" t="str">
        <f>O222</f>
        <v>28.43 (27.65 to 29.21)</v>
      </c>
    </row>
    <row r="211" spans="1:18" ht="17.25" thickBot="1" x14ac:dyDescent="0.35">
      <c r="A211" s="6"/>
      <c r="B211" s="11">
        <v>2</v>
      </c>
      <c r="C211" s="2">
        <v>9616</v>
      </c>
      <c r="D211" s="2">
        <v>4422685</v>
      </c>
      <c r="E211" s="2">
        <v>63820</v>
      </c>
      <c r="F211" s="2">
        <v>14.6195</v>
      </c>
      <c r="G211" s="2">
        <v>0.17069999999999999</v>
      </c>
      <c r="H211" s="2">
        <v>14.284800000000001</v>
      </c>
      <c r="I211" s="2">
        <v>14.9542</v>
      </c>
      <c r="J211" s="2">
        <v>59.477800000000002</v>
      </c>
      <c r="K211" s="2">
        <v>0.4617</v>
      </c>
      <c r="L211" s="2">
        <v>58.572499999999998</v>
      </c>
      <c r="M211" s="2">
        <v>60.383200000000002</v>
      </c>
      <c r="O211" t="str">
        <f t="shared" si="47"/>
        <v>59.48 (58.57 to 60.38)</v>
      </c>
      <c r="P211" t="str">
        <f t="shared" ref="P211:P212" si="48">O215</f>
        <v>58.82 (57.91 to 59.72)</v>
      </c>
      <c r="Q211" t="str">
        <f t="shared" ref="Q211:Q212" si="49">O219</f>
        <v>58.00 (57.12 to 58.89)</v>
      </c>
      <c r="R211" t="str">
        <f t="shared" ref="R211:R212" si="50">O223</f>
        <v>56.81 (55.96 to 57.66)</v>
      </c>
    </row>
    <row r="212" spans="1:18" ht="17.25" thickBot="1" x14ac:dyDescent="0.35">
      <c r="A212" s="6"/>
      <c r="B212" s="11">
        <v>3</v>
      </c>
      <c r="C212" s="2">
        <v>2153</v>
      </c>
      <c r="D212" s="2">
        <v>903789</v>
      </c>
      <c r="E212" s="2">
        <v>25151</v>
      </c>
      <c r="F212" s="2">
        <v>2.9874999999999998</v>
      </c>
      <c r="G212" s="2">
        <v>7.9399999999999998E-2</v>
      </c>
      <c r="H212" s="2">
        <v>2.8319000000000001</v>
      </c>
      <c r="I212" s="2">
        <v>3.1432000000000002</v>
      </c>
      <c r="J212" s="2">
        <v>12.154500000000001</v>
      </c>
      <c r="K212" s="2">
        <v>0.30890000000000001</v>
      </c>
      <c r="L212" s="2">
        <v>11.5489</v>
      </c>
      <c r="M212" s="2">
        <v>12.7601</v>
      </c>
      <c r="O212" t="str">
        <f t="shared" si="47"/>
        <v>12.15 (11.55 to 12.76)</v>
      </c>
      <c r="P212" t="str">
        <f t="shared" si="48"/>
        <v>13.97 (13.34 to 14.59)</v>
      </c>
      <c r="Q212" t="str">
        <f t="shared" si="49"/>
        <v>14.81 (14.20 to 15.42)</v>
      </c>
      <c r="R212" t="str">
        <f t="shared" si="50"/>
        <v>14.76 (14.17 to 15.36)</v>
      </c>
    </row>
    <row r="213" spans="1:18" ht="17.25" thickBot="1" x14ac:dyDescent="0.35">
      <c r="A213" s="6"/>
      <c r="B213" s="11" t="s">
        <v>153</v>
      </c>
      <c r="C213" s="2">
        <v>16281</v>
      </c>
      <c r="D213" s="2">
        <v>7435856</v>
      </c>
      <c r="E213" s="2">
        <v>88984</v>
      </c>
      <c r="F213" s="2">
        <v>24.579799999999999</v>
      </c>
      <c r="G213" s="2">
        <v>0.21490000000000001</v>
      </c>
      <c r="H213" s="2">
        <v>24.158300000000001</v>
      </c>
      <c r="I213" s="2">
        <v>25.001200000000001</v>
      </c>
      <c r="J213" s="2">
        <v>100</v>
      </c>
      <c r="K213" s="2"/>
      <c r="L213" s="2"/>
      <c r="M213" s="2"/>
    </row>
    <row r="214" spans="1:18" ht="17.25" thickBot="1" x14ac:dyDescent="0.35">
      <c r="A214" s="6">
        <v>2</v>
      </c>
      <c r="B214" s="11">
        <v>1</v>
      </c>
      <c r="C214" s="2">
        <v>4384</v>
      </c>
      <c r="D214" s="2">
        <v>2002596</v>
      </c>
      <c r="E214" s="2">
        <v>38734</v>
      </c>
      <c r="F214" s="2">
        <v>6.6196999999999999</v>
      </c>
      <c r="G214" s="2">
        <v>0.1158</v>
      </c>
      <c r="H214" s="2">
        <v>6.3925999999999998</v>
      </c>
      <c r="I214" s="2">
        <v>6.8468</v>
      </c>
      <c r="J214" s="2">
        <v>27.216799999999999</v>
      </c>
      <c r="K214" s="2">
        <v>0.4199</v>
      </c>
      <c r="L214" s="2">
        <v>26.3934</v>
      </c>
      <c r="M214" s="2">
        <v>28.040099999999999</v>
      </c>
      <c r="O214" t="str">
        <f t="shared" ref="O214:O216" si="51">TEXT(J214,"0.00")&amp;" ("&amp;TEXT(L214,"0.00")&amp;" to "&amp;TEXT(M214,"0.00")&amp;")"</f>
        <v>27.22 (26.39 to 28.04)</v>
      </c>
    </row>
    <row r="215" spans="1:18" ht="17.25" thickBot="1" x14ac:dyDescent="0.35">
      <c r="A215" s="6"/>
      <c r="B215" s="11">
        <v>2</v>
      </c>
      <c r="C215" s="2">
        <v>9793</v>
      </c>
      <c r="D215" s="2">
        <v>4327592</v>
      </c>
      <c r="E215" s="2">
        <v>59331</v>
      </c>
      <c r="F215" s="2">
        <v>14.305199999999999</v>
      </c>
      <c r="G215" s="2">
        <v>0.16059999999999999</v>
      </c>
      <c r="H215" s="2">
        <v>13.9903</v>
      </c>
      <c r="I215" s="2">
        <v>14.62</v>
      </c>
      <c r="J215" s="2">
        <v>58.815199999999997</v>
      </c>
      <c r="K215" s="2">
        <v>0.4612</v>
      </c>
      <c r="L215" s="2">
        <v>57.910899999999998</v>
      </c>
      <c r="M215" s="2">
        <v>59.719499999999996</v>
      </c>
      <c r="O215" t="str">
        <f t="shared" si="51"/>
        <v>58.82 (57.91 to 59.72)</v>
      </c>
    </row>
    <row r="216" spans="1:18" ht="17.25" thickBot="1" x14ac:dyDescent="0.35">
      <c r="A216" s="6"/>
      <c r="B216" s="11">
        <v>3</v>
      </c>
      <c r="C216" s="2">
        <v>2630</v>
      </c>
      <c r="D216" s="2">
        <v>1027764</v>
      </c>
      <c r="E216" s="2">
        <v>25533</v>
      </c>
      <c r="F216" s="2">
        <v>3.3974000000000002</v>
      </c>
      <c r="G216" s="2">
        <v>8.14E-2</v>
      </c>
      <c r="H216" s="2">
        <v>3.2378</v>
      </c>
      <c r="I216" s="2">
        <v>3.5569000000000002</v>
      </c>
      <c r="J216" s="2">
        <v>13.9681</v>
      </c>
      <c r="K216" s="2">
        <v>0.31940000000000002</v>
      </c>
      <c r="L216" s="2">
        <v>13.341799999999999</v>
      </c>
      <c r="M216" s="2">
        <v>14.5944</v>
      </c>
      <c r="O216" t="str">
        <f t="shared" si="51"/>
        <v>13.97 (13.34 to 14.59)</v>
      </c>
    </row>
    <row r="217" spans="1:18" ht="17.25" thickBot="1" x14ac:dyDescent="0.35">
      <c r="A217" s="6"/>
      <c r="B217" s="11" t="s">
        <v>153</v>
      </c>
      <c r="C217" s="2">
        <v>16807</v>
      </c>
      <c r="D217" s="2">
        <v>7357952</v>
      </c>
      <c r="E217" s="2">
        <v>82132</v>
      </c>
      <c r="F217" s="2">
        <v>24.322299999999998</v>
      </c>
      <c r="G217" s="2">
        <v>0.19400000000000001</v>
      </c>
      <c r="H217" s="2">
        <v>23.9419</v>
      </c>
      <c r="I217" s="2">
        <v>24.7026</v>
      </c>
      <c r="J217" s="2">
        <v>100</v>
      </c>
      <c r="K217" s="2"/>
      <c r="L217" s="2"/>
      <c r="M217" s="2"/>
    </row>
    <row r="218" spans="1:18" ht="17.25" thickBot="1" x14ac:dyDescent="0.35">
      <c r="A218" s="6">
        <v>3</v>
      </c>
      <c r="B218" s="11">
        <v>1</v>
      </c>
      <c r="C218" s="2">
        <v>4509</v>
      </c>
      <c r="D218" s="2">
        <v>2039129</v>
      </c>
      <c r="E218" s="2">
        <v>38115</v>
      </c>
      <c r="F218" s="2">
        <v>6.7404999999999999</v>
      </c>
      <c r="G218" s="2">
        <v>0.1164</v>
      </c>
      <c r="H218" s="2">
        <v>6.5122</v>
      </c>
      <c r="I218" s="2">
        <v>6.9687999999999999</v>
      </c>
      <c r="J218" s="2">
        <v>27.183499999999999</v>
      </c>
      <c r="K218" s="2">
        <v>0.4133</v>
      </c>
      <c r="L218" s="2">
        <v>26.373000000000001</v>
      </c>
      <c r="M218" s="2">
        <v>27.9939</v>
      </c>
      <c r="O218" t="str">
        <f t="shared" ref="O218:O220" si="52">TEXT(J218,"0.00")&amp;" ("&amp;TEXT(L218,"0.00")&amp;" to "&amp;TEXT(M218,"0.00")&amp;")"</f>
        <v>27.18 (26.37 to 27.99)</v>
      </c>
    </row>
    <row r="219" spans="1:18" ht="17.25" thickBot="1" x14ac:dyDescent="0.35">
      <c r="A219" s="6"/>
      <c r="B219" s="11">
        <v>2</v>
      </c>
      <c r="C219" s="2">
        <v>9949</v>
      </c>
      <c r="D219" s="2">
        <v>4351148</v>
      </c>
      <c r="E219" s="2">
        <v>60035</v>
      </c>
      <c r="F219" s="2">
        <v>14.382999999999999</v>
      </c>
      <c r="G219" s="2">
        <v>0.16020000000000001</v>
      </c>
      <c r="H219" s="2">
        <v>14.0688</v>
      </c>
      <c r="I219" s="2">
        <v>14.6972</v>
      </c>
      <c r="J219" s="2">
        <v>58.004800000000003</v>
      </c>
      <c r="K219" s="2">
        <v>0.45</v>
      </c>
      <c r="L219" s="2">
        <v>57.122500000000002</v>
      </c>
      <c r="M219" s="2">
        <v>58.8872</v>
      </c>
      <c r="O219" t="str">
        <f t="shared" si="52"/>
        <v>58.00 (57.12 to 58.89)</v>
      </c>
    </row>
    <row r="220" spans="1:18" ht="17.25" thickBot="1" x14ac:dyDescent="0.35">
      <c r="A220" s="6"/>
      <c r="B220" s="11">
        <v>3</v>
      </c>
      <c r="C220" s="2">
        <v>2964</v>
      </c>
      <c r="D220" s="2">
        <v>1111077</v>
      </c>
      <c r="E220" s="2">
        <v>25809</v>
      </c>
      <c r="F220" s="2">
        <v>3.6726999999999999</v>
      </c>
      <c r="G220" s="2">
        <v>8.2299999999999998E-2</v>
      </c>
      <c r="H220" s="2">
        <v>3.5112999999999999</v>
      </c>
      <c r="I220" s="2">
        <v>3.8342000000000001</v>
      </c>
      <c r="J220" s="2">
        <v>14.8117</v>
      </c>
      <c r="K220" s="2">
        <v>0.31240000000000001</v>
      </c>
      <c r="L220" s="2">
        <v>14.1991</v>
      </c>
      <c r="M220" s="2">
        <v>15.424300000000001</v>
      </c>
      <c r="O220" t="str">
        <f t="shared" si="52"/>
        <v>14.81 (14.20 to 15.42)</v>
      </c>
    </row>
    <row r="221" spans="1:18" ht="17.25" thickBot="1" x14ac:dyDescent="0.35">
      <c r="A221" s="6"/>
      <c r="B221" s="11" t="s">
        <v>153</v>
      </c>
      <c r="C221" s="2">
        <v>17422</v>
      </c>
      <c r="D221" s="2">
        <v>7501354</v>
      </c>
      <c r="E221" s="2">
        <v>82741</v>
      </c>
      <c r="F221" s="2">
        <v>24.796299999999999</v>
      </c>
      <c r="G221" s="2">
        <v>0.19819999999999999</v>
      </c>
      <c r="H221" s="2">
        <v>24.407599999999999</v>
      </c>
      <c r="I221" s="2">
        <v>25.184899999999999</v>
      </c>
      <c r="J221" s="2">
        <v>100</v>
      </c>
      <c r="K221" s="2"/>
      <c r="L221" s="2"/>
      <c r="M221" s="2"/>
    </row>
    <row r="222" spans="1:18" ht="17.25" thickBot="1" x14ac:dyDescent="0.35">
      <c r="A222" s="6">
        <v>4</v>
      </c>
      <c r="B222" s="11">
        <v>1</v>
      </c>
      <c r="C222" s="2">
        <v>4852</v>
      </c>
      <c r="D222" s="2">
        <v>2261938</v>
      </c>
      <c r="E222" s="2">
        <v>40069</v>
      </c>
      <c r="F222" s="2">
        <v>7.4770000000000003</v>
      </c>
      <c r="G222" s="2">
        <v>0.1208</v>
      </c>
      <c r="H222" s="2">
        <v>7.2401999999999997</v>
      </c>
      <c r="I222" s="2">
        <v>7.7138</v>
      </c>
      <c r="J222" s="2">
        <v>28.427800000000001</v>
      </c>
      <c r="K222" s="2">
        <v>0.39850000000000002</v>
      </c>
      <c r="L222" s="2">
        <v>27.6465</v>
      </c>
      <c r="M222" s="2">
        <v>29.209199999999999</v>
      </c>
      <c r="O222" t="str">
        <f t="shared" ref="O222:O224" si="53">TEXT(J222,"0.00")&amp;" ("&amp;TEXT(L222,"0.00")&amp;" to "&amp;TEXT(M222,"0.00")&amp;")"</f>
        <v>28.43 (27.65 to 29.21)</v>
      </c>
    </row>
    <row r="223" spans="1:18" ht="17.25" thickBot="1" x14ac:dyDescent="0.35">
      <c r="A223" s="6"/>
      <c r="B223" s="11">
        <v>2</v>
      </c>
      <c r="C223" s="2">
        <v>10193</v>
      </c>
      <c r="D223" s="2">
        <v>4520043</v>
      </c>
      <c r="E223" s="2">
        <v>59618</v>
      </c>
      <c r="F223" s="2">
        <v>14.9413</v>
      </c>
      <c r="G223" s="2">
        <v>0.17</v>
      </c>
      <c r="H223" s="2">
        <v>14.6081</v>
      </c>
      <c r="I223" s="2">
        <v>15.2746</v>
      </c>
      <c r="J223" s="2">
        <v>56.807499999999997</v>
      </c>
      <c r="K223" s="2">
        <v>0.43459999999999999</v>
      </c>
      <c r="L223" s="2">
        <v>55.955300000000001</v>
      </c>
      <c r="M223" s="2">
        <v>57.659700000000001</v>
      </c>
      <c r="O223" t="str">
        <f t="shared" si="53"/>
        <v>56.81 (55.96 to 57.66)</v>
      </c>
    </row>
    <row r="224" spans="1:18" ht="17.25" thickBot="1" x14ac:dyDescent="0.35">
      <c r="A224" s="6"/>
      <c r="B224" s="11">
        <v>3</v>
      </c>
      <c r="C224" s="2">
        <v>3080</v>
      </c>
      <c r="D224" s="2">
        <v>1174791</v>
      </c>
      <c r="E224" s="2">
        <v>26210</v>
      </c>
      <c r="F224" s="2">
        <v>3.8834</v>
      </c>
      <c r="G224" s="2">
        <v>8.4400000000000003E-2</v>
      </c>
      <c r="H224" s="2">
        <v>3.7179000000000002</v>
      </c>
      <c r="I224" s="2">
        <v>4.0488</v>
      </c>
      <c r="J224" s="2">
        <v>14.764699999999999</v>
      </c>
      <c r="K224" s="2">
        <v>0.30480000000000002</v>
      </c>
      <c r="L224" s="2">
        <v>14.167</v>
      </c>
      <c r="M224" s="2">
        <v>15.362299999999999</v>
      </c>
      <c r="O224" t="str">
        <f t="shared" si="53"/>
        <v>14.76 (14.17 to 15.36)</v>
      </c>
    </row>
    <row r="225" spans="1:18" ht="17.25" thickBot="1" x14ac:dyDescent="0.35">
      <c r="A225" s="6"/>
      <c r="B225" s="11" t="s">
        <v>153</v>
      </c>
      <c r="C225" s="2">
        <v>18125</v>
      </c>
      <c r="D225" s="2">
        <v>7956773</v>
      </c>
      <c r="E225" s="2">
        <v>83258</v>
      </c>
      <c r="F225" s="2">
        <v>26.3017</v>
      </c>
      <c r="G225" s="2">
        <v>0.21260000000000001</v>
      </c>
      <c r="H225" s="2">
        <v>25.884799999999998</v>
      </c>
      <c r="I225" s="2">
        <v>26.718599999999999</v>
      </c>
      <c r="J225" s="2">
        <v>100</v>
      </c>
      <c r="K225" s="2"/>
      <c r="L225" s="2"/>
      <c r="M225" s="2"/>
    </row>
    <row r="226" spans="1:18" ht="17.25" thickBot="1" x14ac:dyDescent="0.35">
      <c r="A226" s="6" t="s">
        <v>153</v>
      </c>
      <c r="B226" s="11">
        <v>1</v>
      </c>
      <c r="C226" s="2">
        <v>18257</v>
      </c>
      <c r="D226" s="2">
        <v>8413045</v>
      </c>
      <c r="E226" s="2">
        <v>91908</v>
      </c>
      <c r="F226" s="2">
        <v>27.809899999999999</v>
      </c>
      <c r="G226" s="2">
        <v>0.22020000000000001</v>
      </c>
      <c r="H226" s="2">
        <v>27.378299999999999</v>
      </c>
      <c r="I226" s="2">
        <v>28.241599999999998</v>
      </c>
      <c r="J226" s="2"/>
      <c r="K226" s="2"/>
      <c r="L226" s="2"/>
      <c r="M226" s="2"/>
    </row>
    <row r="227" spans="1:18" ht="17.25" thickBot="1" x14ac:dyDescent="0.35">
      <c r="A227" s="6"/>
      <c r="B227" s="11">
        <v>2</v>
      </c>
      <c r="C227" s="2">
        <v>39551</v>
      </c>
      <c r="D227" s="2">
        <v>17621468</v>
      </c>
      <c r="E227" s="2">
        <v>153953</v>
      </c>
      <c r="F227" s="2">
        <v>58.249099999999999</v>
      </c>
      <c r="G227" s="2">
        <v>0.22770000000000001</v>
      </c>
      <c r="H227" s="2">
        <v>57.802599999999998</v>
      </c>
      <c r="I227" s="2">
        <v>58.695500000000003</v>
      </c>
      <c r="J227" s="2"/>
      <c r="K227" s="2"/>
      <c r="L227" s="2"/>
      <c r="M227" s="2"/>
    </row>
    <row r="228" spans="1:18" ht="17.25" thickBot="1" x14ac:dyDescent="0.35">
      <c r="A228" s="6"/>
      <c r="B228" s="11">
        <v>3</v>
      </c>
      <c r="C228" s="2">
        <v>10827</v>
      </c>
      <c r="D228" s="2">
        <v>4217422</v>
      </c>
      <c r="E228" s="2">
        <v>56411</v>
      </c>
      <c r="F228" s="2">
        <v>13.941000000000001</v>
      </c>
      <c r="G228" s="2">
        <v>0.16309999999999999</v>
      </c>
      <c r="H228" s="2">
        <v>13.6212</v>
      </c>
      <c r="I228" s="2">
        <v>14.2608</v>
      </c>
      <c r="J228" s="2"/>
      <c r="K228" s="2"/>
      <c r="L228" s="2"/>
      <c r="M228" s="2"/>
    </row>
    <row r="229" spans="1:18" x14ac:dyDescent="0.3">
      <c r="A229" s="6"/>
      <c r="B229" s="14" t="s">
        <v>153</v>
      </c>
      <c r="C229" s="2">
        <v>68635</v>
      </c>
      <c r="D229" s="2">
        <v>30251936</v>
      </c>
      <c r="E229" s="2">
        <v>228758</v>
      </c>
      <c r="F229" s="2">
        <v>100</v>
      </c>
      <c r="G229" s="2"/>
      <c r="H229" s="2"/>
      <c r="I229" s="2"/>
      <c r="J229" s="2"/>
      <c r="K229" s="2"/>
      <c r="L229" s="2"/>
      <c r="M229" s="2"/>
    </row>
    <row r="230" spans="1:18" ht="17.25" thickBot="1" x14ac:dyDescent="0.35"/>
    <row r="231" spans="1:18" ht="16.5" customHeight="1" x14ac:dyDescent="0.3">
      <c r="A231" s="16" t="s">
        <v>181</v>
      </c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</row>
    <row r="232" spans="1:18" ht="33" customHeight="1" x14ac:dyDescent="0.3">
      <c r="A232" s="17" t="s">
        <v>25</v>
      </c>
      <c r="B232" s="19" t="s">
        <v>14</v>
      </c>
      <c r="C232" s="19" t="s">
        <v>146</v>
      </c>
      <c r="D232" s="3" t="s">
        <v>147</v>
      </c>
      <c r="E232" s="3" t="s">
        <v>148</v>
      </c>
      <c r="F232" s="19" t="s">
        <v>150</v>
      </c>
      <c r="G232" s="3" t="s">
        <v>148</v>
      </c>
      <c r="H232" s="19" t="s">
        <v>151</v>
      </c>
      <c r="I232" s="19"/>
      <c r="J232" s="3" t="s">
        <v>170</v>
      </c>
      <c r="K232" s="3" t="s">
        <v>148</v>
      </c>
      <c r="L232" s="19" t="s">
        <v>151</v>
      </c>
      <c r="M232" s="19"/>
    </row>
    <row r="233" spans="1:18" ht="33" x14ac:dyDescent="0.3">
      <c r="A233" s="17"/>
      <c r="B233" s="19"/>
      <c r="C233" s="19"/>
      <c r="D233" s="3" t="s">
        <v>146</v>
      </c>
      <c r="E233" s="3" t="s">
        <v>149</v>
      </c>
      <c r="F233" s="19"/>
      <c r="G233" s="3" t="s">
        <v>150</v>
      </c>
      <c r="H233" s="19" t="s">
        <v>152</v>
      </c>
      <c r="I233" s="19"/>
      <c r="J233" s="3" t="s">
        <v>150</v>
      </c>
      <c r="K233" s="3" t="s">
        <v>171</v>
      </c>
      <c r="L233" s="19" t="s">
        <v>172</v>
      </c>
      <c r="M233" s="19"/>
    </row>
    <row r="234" spans="1:18" ht="17.25" thickBot="1" x14ac:dyDescent="0.35">
      <c r="A234" s="6">
        <v>1</v>
      </c>
      <c r="B234" s="11">
        <v>1</v>
      </c>
      <c r="C234" s="2">
        <v>6789</v>
      </c>
      <c r="D234" s="2">
        <v>2907088</v>
      </c>
      <c r="E234" s="2">
        <v>48621</v>
      </c>
      <c r="F234" s="2">
        <v>9.6096000000000004</v>
      </c>
      <c r="G234" s="2">
        <v>0.14319999999999999</v>
      </c>
      <c r="H234" s="2">
        <v>9.3286999999999995</v>
      </c>
      <c r="I234" s="2">
        <v>9.8904999999999994</v>
      </c>
      <c r="J234" s="2">
        <v>39.095500000000001</v>
      </c>
      <c r="K234" s="2">
        <v>0.48049999999999998</v>
      </c>
      <c r="L234" s="2">
        <v>38.153399999999998</v>
      </c>
      <c r="M234" s="2">
        <v>40.037599999999998</v>
      </c>
      <c r="O234" t="str">
        <f t="shared" ref="O234:O236" si="54">TEXT(J234,"0.00")&amp;" ("&amp;TEXT(L234,"0.00")&amp;" to "&amp;TEXT(M234,"0.00")&amp;")"</f>
        <v>39.10 (38.15 to 40.04)</v>
      </c>
      <c r="P234" t="str">
        <f>O238</f>
        <v>38.10 (37.23 to 38.98)</v>
      </c>
      <c r="Q234" t="str">
        <f>O242</f>
        <v>35.81 (34.95 to 36.67)</v>
      </c>
      <c r="R234" t="str">
        <f>O246</f>
        <v>29.44 (28.63 to 30.24)</v>
      </c>
    </row>
    <row r="235" spans="1:18" ht="17.25" thickBot="1" x14ac:dyDescent="0.35">
      <c r="A235" s="6"/>
      <c r="B235" s="11">
        <v>2</v>
      </c>
      <c r="C235" s="2">
        <v>6708</v>
      </c>
      <c r="D235" s="2">
        <v>3247284</v>
      </c>
      <c r="E235" s="2">
        <v>54530</v>
      </c>
      <c r="F235" s="2">
        <v>10.7341</v>
      </c>
      <c r="G235" s="2">
        <v>0.15240000000000001</v>
      </c>
      <c r="H235" s="2">
        <v>10.4353</v>
      </c>
      <c r="I235" s="2">
        <v>11.0329</v>
      </c>
      <c r="J235" s="2">
        <v>43.6706</v>
      </c>
      <c r="K235" s="2">
        <v>0.48659999999999998</v>
      </c>
      <c r="L235" s="2">
        <v>42.7164</v>
      </c>
      <c r="M235" s="2">
        <v>44.6248</v>
      </c>
      <c r="O235" t="str">
        <f t="shared" si="54"/>
        <v>43.67 (42.72 to 44.62)</v>
      </c>
      <c r="P235" t="str">
        <f t="shared" ref="P235:P236" si="55">O239</f>
        <v>40.18 (39.27 to 41.10)</v>
      </c>
      <c r="Q235" t="str">
        <f t="shared" ref="Q235:Q236" si="56">O243</f>
        <v>37.82 (36.95 to 38.69)</v>
      </c>
      <c r="R235" t="str">
        <f t="shared" ref="R235:R236" si="57">O247</f>
        <v>33.93 (33.09 to 34.78)</v>
      </c>
    </row>
    <row r="236" spans="1:18" ht="17.25" thickBot="1" x14ac:dyDescent="0.35">
      <c r="A236" s="6"/>
      <c r="B236" s="11">
        <v>3</v>
      </c>
      <c r="C236" s="2">
        <v>2784</v>
      </c>
      <c r="D236" s="2">
        <v>1281484</v>
      </c>
      <c r="E236" s="2">
        <v>30995</v>
      </c>
      <c r="F236" s="2">
        <v>4.2359999999999998</v>
      </c>
      <c r="G236" s="2">
        <v>9.7699999999999995E-2</v>
      </c>
      <c r="H236" s="2">
        <v>4.0445000000000002</v>
      </c>
      <c r="I236" s="2">
        <v>4.4276</v>
      </c>
      <c r="J236" s="2">
        <v>17.233899999999998</v>
      </c>
      <c r="K236" s="2">
        <v>0.3639</v>
      </c>
      <c r="L236" s="2">
        <v>16.520299999999999</v>
      </c>
      <c r="M236" s="2">
        <v>17.947399999999998</v>
      </c>
      <c r="O236" t="str">
        <f t="shared" si="54"/>
        <v>17.23 (16.52 to 17.95)</v>
      </c>
      <c r="P236" t="str">
        <f t="shared" si="55"/>
        <v>21.72 (20.94 to 22.50)</v>
      </c>
      <c r="Q236" t="str">
        <f t="shared" si="56"/>
        <v>26.37 (25.56 to 27.19)</v>
      </c>
      <c r="R236" t="str">
        <f t="shared" si="57"/>
        <v>36.63 (35.79 to 37.48)</v>
      </c>
    </row>
    <row r="237" spans="1:18" ht="17.25" thickBot="1" x14ac:dyDescent="0.35">
      <c r="A237" s="6"/>
      <c r="B237" s="11" t="s">
        <v>153</v>
      </c>
      <c r="C237" s="2">
        <v>16281</v>
      </c>
      <c r="D237" s="2">
        <v>7435856</v>
      </c>
      <c r="E237" s="2">
        <v>88984</v>
      </c>
      <c r="F237" s="2">
        <v>24.579799999999999</v>
      </c>
      <c r="G237" s="2">
        <v>0.21490000000000001</v>
      </c>
      <c r="H237" s="2">
        <v>24.158300000000001</v>
      </c>
      <c r="I237" s="2">
        <v>25.001200000000001</v>
      </c>
      <c r="J237" s="2">
        <v>100</v>
      </c>
      <c r="K237" s="2"/>
      <c r="L237" s="2"/>
      <c r="M237" s="2"/>
    </row>
    <row r="238" spans="1:18" ht="17.25" thickBot="1" x14ac:dyDescent="0.35">
      <c r="A238" s="6">
        <v>2</v>
      </c>
      <c r="B238" s="11">
        <v>1</v>
      </c>
      <c r="C238" s="2">
        <v>7003</v>
      </c>
      <c r="D238" s="2">
        <v>2803485</v>
      </c>
      <c r="E238" s="2">
        <v>43790</v>
      </c>
      <c r="F238" s="2">
        <v>9.2670999999999992</v>
      </c>
      <c r="G238" s="2">
        <v>0.12870000000000001</v>
      </c>
      <c r="H238" s="2">
        <v>9.0147999999999993</v>
      </c>
      <c r="I238" s="2">
        <v>9.5193999999999992</v>
      </c>
      <c r="J238" s="2">
        <v>38.101399999999998</v>
      </c>
      <c r="K238" s="2">
        <v>0.4461</v>
      </c>
      <c r="L238" s="2">
        <v>37.226799999999997</v>
      </c>
      <c r="M238" s="2">
        <v>38.976100000000002</v>
      </c>
      <c r="O238" t="str">
        <f t="shared" ref="O238:O240" si="58">TEXT(J238,"0.00")&amp;" ("&amp;TEXT(L238,"0.00")&amp;" to "&amp;TEXT(M238,"0.00")&amp;")"</f>
        <v>38.10 (37.23 to 38.98)</v>
      </c>
    </row>
    <row r="239" spans="1:18" ht="17.25" thickBot="1" x14ac:dyDescent="0.35">
      <c r="A239" s="6"/>
      <c r="B239" s="11">
        <v>2</v>
      </c>
      <c r="C239" s="2">
        <v>6311</v>
      </c>
      <c r="D239" s="2">
        <v>2956556</v>
      </c>
      <c r="E239" s="2">
        <v>49299</v>
      </c>
      <c r="F239" s="2">
        <v>9.7730999999999995</v>
      </c>
      <c r="G239" s="2">
        <v>0.13950000000000001</v>
      </c>
      <c r="H239" s="2">
        <v>9.4994999999999994</v>
      </c>
      <c r="I239" s="2">
        <v>10.0467</v>
      </c>
      <c r="J239" s="2">
        <v>40.181800000000003</v>
      </c>
      <c r="K239" s="2">
        <v>0.46679999999999999</v>
      </c>
      <c r="L239" s="2">
        <v>39.266399999999997</v>
      </c>
      <c r="M239" s="2">
        <v>41.097200000000001</v>
      </c>
      <c r="O239" t="str">
        <f t="shared" si="58"/>
        <v>40.18 (39.27 to 41.10)</v>
      </c>
    </row>
    <row r="240" spans="1:18" ht="17.25" thickBot="1" x14ac:dyDescent="0.35">
      <c r="A240" s="6"/>
      <c r="B240" s="11">
        <v>3</v>
      </c>
      <c r="C240" s="2">
        <v>3493</v>
      </c>
      <c r="D240" s="2">
        <v>1597911</v>
      </c>
      <c r="E240" s="2">
        <v>34199</v>
      </c>
      <c r="F240" s="2">
        <v>5.282</v>
      </c>
      <c r="G240" s="2">
        <v>0.1062</v>
      </c>
      <c r="H240" s="2">
        <v>5.0738000000000003</v>
      </c>
      <c r="I240" s="2">
        <v>5.4903000000000004</v>
      </c>
      <c r="J240" s="2">
        <v>21.716799999999999</v>
      </c>
      <c r="K240" s="2">
        <v>0.39839999999999998</v>
      </c>
      <c r="L240" s="2">
        <v>20.935500000000001</v>
      </c>
      <c r="M240" s="2">
        <v>22.498100000000001</v>
      </c>
      <c r="O240" t="str">
        <f t="shared" si="58"/>
        <v>21.72 (20.94 to 22.50)</v>
      </c>
    </row>
    <row r="241" spans="1:15" ht="17.25" thickBot="1" x14ac:dyDescent="0.35">
      <c r="A241" s="6"/>
      <c r="B241" s="11" t="s">
        <v>153</v>
      </c>
      <c r="C241" s="2">
        <v>16807</v>
      </c>
      <c r="D241" s="2">
        <v>7357952</v>
      </c>
      <c r="E241" s="2">
        <v>82132</v>
      </c>
      <c r="F241" s="2">
        <v>24.322299999999998</v>
      </c>
      <c r="G241" s="2">
        <v>0.19400000000000001</v>
      </c>
      <c r="H241" s="2">
        <v>23.9419</v>
      </c>
      <c r="I241" s="2">
        <v>24.7026</v>
      </c>
      <c r="J241" s="2">
        <v>100</v>
      </c>
      <c r="K241" s="2"/>
      <c r="L241" s="2"/>
      <c r="M241" s="2"/>
    </row>
    <row r="242" spans="1:15" ht="17.25" thickBot="1" x14ac:dyDescent="0.35">
      <c r="A242" s="6">
        <v>3</v>
      </c>
      <c r="B242" s="11">
        <v>1</v>
      </c>
      <c r="C242" s="2">
        <v>6988</v>
      </c>
      <c r="D242" s="2">
        <v>2686363</v>
      </c>
      <c r="E242" s="2">
        <v>41403</v>
      </c>
      <c r="F242" s="2">
        <v>8.8800000000000008</v>
      </c>
      <c r="G242" s="2">
        <v>0.1258</v>
      </c>
      <c r="H242" s="2">
        <v>8.6334</v>
      </c>
      <c r="I242" s="2">
        <v>9.1265999999999998</v>
      </c>
      <c r="J242" s="2">
        <v>35.811700000000002</v>
      </c>
      <c r="K242" s="2">
        <v>0.43719999999999998</v>
      </c>
      <c r="L242" s="2">
        <v>34.954500000000003</v>
      </c>
      <c r="M242" s="2">
        <v>36.668900000000001</v>
      </c>
      <c r="O242" t="str">
        <f t="shared" ref="O242:O244" si="59">TEXT(J242,"0.00")&amp;" ("&amp;TEXT(L242,"0.00")&amp;" to "&amp;TEXT(M242,"0.00")&amp;")"</f>
        <v>35.81 (34.95 to 36.67)</v>
      </c>
    </row>
    <row r="243" spans="1:15" ht="17.25" thickBot="1" x14ac:dyDescent="0.35">
      <c r="A243" s="6"/>
      <c r="B243" s="11">
        <v>2</v>
      </c>
      <c r="C243" s="2">
        <v>6141</v>
      </c>
      <c r="D243" s="2">
        <v>2836775</v>
      </c>
      <c r="E243" s="2">
        <v>47500</v>
      </c>
      <c r="F243" s="2">
        <v>9.3772000000000002</v>
      </c>
      <c r="G243" s="2">
        <v>0.13550000000000001</v>
      </c>
      <c r="H243" s="2">
        <v>9.1115999999999993</v>
      </c>
      <c r="I243" s="2">
        <v>9.6427999999999994</v>
      </c>
      <c r="J243" s="2">
        <v>37.816800000000001</v>
      </c>
      <c r="K243" s="2">
        <v>0.44330000000000003</v>
      </c>
      <c r="L243" s="2">
        <v>36.947499999999998</v>
      </c>
      <c r="M243" s="2">
        <v>38.686100000000003</v>
      </c>
      <c r="O243" t="str">
        <f t="shared" si="59"/>
        <v>37.82 (36.95 to 38.69)</v>
      </c>
    </row>
    <row r="244" spans="1:15" ht="17.25" thickBot="1" x14ac:dyDescent="0.35">
      <c r="A244" s="6"/>
      <c r="B244" s="11">
        <v>3</v>
      </c>
      <c r="C244" s="2">
        <v>4293</v>
      </c>
      <c r="D244" s="2">
        <v>1978216</v>
      </c>
      <c r="E244" s="2">
        <v>38802</v>
      </c>
      <c r="F244" s="2">
        <v>6.5391000000000004</v>
      </c>
      <c r="G244" s="2">
        <v>0.1167</v>
      </c>
      <c r="H244" s="2">
        <v>6.3102999999999998</v>
      </c>
      <c r="I244" s="2">
        <v>6.7679999999999998</v>
      </c>
      <c r="J244" s="2">
        <v>26.371500000000001</v>
      </c>
      <c r="K244" s="2">
        <v>0.4158</v>
      </c>
      <c r="L244" s="2">
        <v>25.5562</v>
      </c>
      <c r="M244" s="2">
        <v>27.186699999999998</v>
      </c>
      <c r="O244" t="str">
        <f t="shared" si="59"/>
        <v>26.37 (25.56 to 27.19)</v>
      </c>
    </row>
    <row r="245" spans="1:15" ht="17.25" thickBot="1" x14ac:dyDescent="0.35">
      <c r="A245" s="6"/>
      <c r="B245" s="11" t="s">
        <v>153</v>
      </c>
      <c r="C245" s="2">
        <v>17422</v>
      </c>
      <c r="D245" s="2">
        <v>7501354</v>
      </c>
      <c r="E245" s="2">
        <v>82741</v>
      </c>
      <c r="F245" s="2">
        <v>24.796299999999999</v>
      </c>
      <c r="G245" s="2">
        <v>0.19819999999999999</v>
      </c>
      <c r="H245" s="2">
        <v>24.407599999999999</v>
      </c>
      <c r="I245" s="2">
        <v>25.184899999999999</v>
      </c>
      <c r="J245" s="2">
        <v>100</v>
      </c>
      <c r="K245" s="2"/>
      <c r="L245" s="2"/>
      <c r="M245" s="2"/>
    </row>
    <row r="246" spans="1:15" ht="17.25" thickBot="1" x14ac:dyDescent="0.35">
      <c r="A246" s="6">
        <v>4</v>
      </c>
      <c r="B246" s="11">
        <v>1</v>
      </c>
      <c r="C246" s="2">
        <v>6128</v>
      </c>
      <c r="D246" s="2">
        <v>2342135</v>
      </c>
      <c r="E246" s="2">
        <v>39956</v>
      </c>
      <c r="F246" s="2">
        <v>7.7420999999999998</v>
      </c>
      <c r="G246" s="2">
        <v>0.1231</v>
      </c>
      <c r="H246" s="2">
        <v>7.5007000000000001</v>
      </c>
      <c r="I246" s="2">
        <v>7.9835000000000003</v>
      </c>
      <c r="J246" s="2">
        <v>29.435700000000001</v>
      </c>
      <c r="K246" s="2">
        <v>0.40860000000000002</v>
      </c>
      <c r="L246" s="2">
        <v>28.634499999999999</v>
      </c>
      <c r="M246" s="2">
        <v>30.236999999999998</v>
      </c>
      <c r="O246" t="str">
        <f t="shared" ref="O246:O248" si="60">TEXT(J246,"0.00")&amp;" ("&amp;TEXT(L246,"0.00")&amp;" to "&amp;TEXT(M246,"0.00")&amp;")"</f>
        <v>29.44 (28.63 to 30.24)</v>
      </c>
    </row>
    <row r="247" spans="1:15" ht="17.25" thickBot="1" x14ac:dyDescent="0.35">
      <c r="A247" s="6"/>
      <c r="B247" s="11">
        <v>2</v>
      </c>
      <c r="C247" s="2">
        <v>5839</v>
      </c>
      <c r="D247" s="2">
        <v>2699943</v>
      </c>
      <c r="E247" s="2">
        <v>44887</v>
      </c>
      <c r="F247" s="2">
        <v>8.9248999999999992</v>
      </c>
      <c r="G247" s="2">
        <v>0.1346</v>
      </c>
      <c r="H247" s="2">
        <v>8.6609999999999996</v>
      </c>
      <c r="I247" s="2">
        <v>9.1887000000000008</v>
      </c>
      <c r="J247" s="2">
        <v>33.932600000000001</v>
      </c>
      <c r="K247" s="2">
        <v>0.43020000000000003</v>
      </c>
      <c r="L247" s="2">
        <v>33.089100000000002</v>
      </c>
      <c r="M247" s="2">
        <v>34.776200000000003</v>
      </c>
      <c r="O247" t="str">
        <f t="shared" si="60"/>
        <v>33.93 (33.09 to 34.78)</v>
      </c>
    </row>
    <row r="248" spans="1:15" ht="17.25" thickBot="1" x14ac:dyDescent="0.35">
      <c r="A248" s="6"/>
      <c r="B248" s="11">
        <v>3</v>
      </c>
      <c r="C248" s="2">
        <v>6158</v>
      </c>
      <c r="D248" s="2">
        <v>2914696</v>
      </c>
      <c r="E248" s="2">
        <v>46152</v>
      </c>
      <c r="F248" s="2">
        <v>9.6347000000000005</v>
      </c>
      <c r="G248" s="2">
        <v>0.1384</v>
      </c>
      <c r="H248" s="2">
        <v>9.3633000000000006</v>
      </c>
      <c r="I248" s="2">
        <v>9.9062000000000001</v>
      </c>
      <c r="J248" s="2">
        <v>36.631599999999999</v>
      </c>
      <c r="K248" s="2">
        <v>0.43030000000000002</v>
      </c>
      <c r="L248" s="2">
        <v>35.7879</v>
      </c>
      <c r="M248" s="2">
        <v>37.475299999999997</v>
      </c>
      <c r="O248" t="str">
        <f t="shared" si="60"/>
        <v>36.63 (35.79 to 37.48)</v>
      </c>
    </row>
    <row r="249" spans="1:15" ht="17.25" thickBot="1" x14ac:dyDescent="0.35">
      <c r="A249" s="6"/>
      <c r="B249" s="11" t="s">
        <v>153</v>
      </c>
      <c r="C249" s="2">
        <v>18125</v>
      </c>
      <c r="D249" s="2">
        <v>7956773</v>
      </c>
      <c r="E249" s="2">
        <v>83258</v>
      </c>
      <c r="F249" s="2">
        <v>26.3017</v>
      </c>
      <c r="G249" s="2">
        <v>0.21260000000000001</v>
      </c>
      <c r="H249" s="2">
        <v>25.884799999999998</v>
      </c>
      <c r="I249" s="2">
        <v>26.718599999999999</v>
      </c>
      <c r="J249" s="2">
        <v>100</v>
      </c>
      <c r="K249" s="2"/>
      <c r="L249" s="2"/>
      <c r="M249" s="2"/>
    </row>
    <row r="250" spans="1:15" ht="17.25" thickBot="1" x14ac:dyDescent="0.35">
      <c r="A250" s="6" t="s">
        <v>153</v>
      </c>
      <c r="B250" s="11">
        <v>1</v>
      </c>
      <c r="C250" s="2">
        <v>26908</v>
      </c>
      <c r="D250" s="2">
        <v>10739070</v>
      </c>
      <c r="E250" s="2">
        <v>101823</v>
      </c>
      <c r="F250" s="2">
        <v>35.498800000000003</v>
      </c>
      <c r="G250" s="2">
        <v>0.23380000000000001</v>
      </c>
      <c r="H250" s="2">
        <v>35.040300000000002</v>
      </c>
      <c r="I250" s="2">
        <v>35.957299999999996</v>
      </c>
      <c r="J250" s="2"/>
      <c r="K250" s="2"/>
      <c r="L250" s="2"/>
      <c r="M250" s="2"/>
    </row>
    <row r="251" spans="1:15" ht="17.25" thickBot="1" x14ac:dyDescent="0.35">
      <c r="A251" s="6"/>
      <c r="B251" s="11">
        <v>2</v>
      </c>
      <c r="C251" s="2">
        <v>24999</v>
      </c>
      <c r="D251" s="2">
        <v>11740558</v>
      </c>
      <c r="E251" s="2">
        <v>121651</v>
      </c>
      <c r="F251" s="2">
        <v>38.8093</v>
      </c>
      <c r="G251" s="2">
        <v>0.23860000000000001</v>
      </c>
      <c r="H251" s="2">
        <v>38.3414</v>
      </c>
      <c r="I251" s="2">
        <v>39.277200000000001</v>
      </c>
      <c r="J251" s="2"/>
      <c r="K251" s="2"/>
      <c r="L251" s="2"/>
      <c r="M251" s="2"/>
    </row>
    <row r="252" spans="1:15" ht="17.25" thickBot="1" x14ac:dyDescent="0.35">
      <c r="A252" s="6"/>
      <c r="B252" s="11">
        <v>3</v>
      </c>
      <c r="C252" s="2">
        <v>16728</v>
      </c>
      <c r="D252" s="2">
        <v>7772308</v>
      </c>
      <c r="E252" s="2">
        <v>85013</v>
      </c>
      <c r="F252" s="2">
        <v>25.6919</v>
      </c>
      <c r="G252" s="2">
        <v>0.2094</v>
      </c>
      <c r="H252" s="2">
        <v>25.281400000000001</v>
      </c>
      <c r="I252" s="2">
        <v>26.102499999999999</v>
      </c>
      <c r="J252" s="2"/>
      <c r="K252" s="2"/>
      <c r="L252" s="2"/>
      <c r="M252" s="2"/>
    </row>
    <row r="253" spans="1:15" x14ac:dyDescent="0.3">
      <c r="A253" s="6"/>
      <c r="B253" s="14" t="s">
        <v>153</v>
      </c>
      <c r="C253" s="2">
        <v>68635</v>
      </c>
      <c r="D253" s="2">
        <v>30251936</v>
      </c>
      <c r="E253" s="2">
        <v>228758</v>
      </c>
      <c r="F253" s="2">
        <v>100</v>
      </c>
      <c r="G253" s="2"/>
      <c r="H253" s="2"/>
      <c r="I253" s="2"/>
      <c r="J253" s="2"/>
      <c r="K253" s="2"/>
      <c r="L253" s="2"/>
      <c r="M253" s="2"/>
    </row>
    <row r="254" spans="1:15" ht="17.25" thickBot="1" x14ac:dyDescent="0.35"/>
    <row r="255" spans="1:15" ht="16.5" customHeight="1" x14ac:dyDescent="0.3">
      <c r="A255" s="16" t="s">
        <v>182</v>
      </c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</row>
    <row r="256" spans="1:15" ht="33" customHeight="1" x14ac:dyDescent="0.3">
      <c r="A256" s="17" t="s">
        <v>25</v>
      </c>
      <c r="B256" s="19" t="s">
        <v>15</v>
      </c>
      <c r="C256" s="19" t="s">
        <v>146</v>
      </c>
      <c r="D256" s="3" t="s">
        <v>147</v>
      </c>
      <c r="E256" s="3" t="s">
        <v>148</v>
      </c>
      <c r="F256" s="19" t="s">
        <v>150</v>
      </c>
      <c r="G256" s="3" t="s">
        <v>148</v>
      </c>
      <c r="H256" s="19" t="s">
        <v>151</v>
      </c>
      <c r="I256" s="19"/>
      <c r="J256" s="3" t="s">
        <v>170</v>
      </c>
      <c r="K256" s="3" t="s">
        <v>148</v>
      </c>
      <c r="L256" s="19" t="s">
        <v>151</v>
      </c>
      <c r="M256" s="19"/>
    </row>
    <row r="257" spans="1:18" ht="33" x14ac:dyDescent="0.3">
      <c r="A257" s="17"/>
      <c r="B257" s="19"/>
      <c r="C257" s="19"/>
      <c r="D257" s="3" t="s">
        <v>146</v>
      </c>
      <c r="E257" s="3" t="s">
        <v>149</v>
      </c>
      <c r="F257" s="19"/>
      <c r="G257" s="3" t="s">
        <v>150</v>
      </c>
      <c r="H257" s="19" t="s">
        <v>152</v>
      </c>
      <c r="I257" s="19"/>
      <c r="J257" s="3" t="s">
        <v>150</v>
      </c>
      <c r="K257" s="3" t="s">
        <v>171</v>
      </c>
      <c r="L257" s="19" t="s">
        <v>172</v>
      </c>
      <c r="M257" s="19"/>
    </row>
    <row r="258" spans="1:18" ht="17.25" thickBot="1" x14ac:dyDescent="0.35">
      <c r="A258" s="6">
        <v>1</v>
      </c>
      <c r="B258" s="11">
        <v>0</v>
      </c>
      <c r="C258" s="2">
        <v>13870</v>
      </c>
      <c r="D258" s="2">
        <v>6193748</v>
      </c>
      <c r="E258" s="2">
        <v>78892</v>
      </c>
      <c r="F258" s="2">
        <v>20.4739</v>
      </c>
      <c r="G258" s="2">
        <v>0.1991</v>
      </c>
      <c r="H258" s="2">
        <v>20.083500000000001</v>
      </c>
      <c r="I258" s="2">
        <v>20.8642</v>
      </c>
      <c r="J258" s="2">
        <v>83.295699999999997</v>
      </c>
      <c r="K258" s="2">
        <v>0.37390000000000001</v>
      </c>
      <c r="L258" s="2">
        <v>82.562600000000003</v>
      </c>
      <c r="M258" s="2">
        <v>84.028800000000004</v>
      </c>
      <c r="O258" t="str">
        <f t="shared" ref="O258:O259" si="61">TEXT(J258,"0.00")&amp;" ("&amp;TEXT(L258,"0.00")&amp;" to "&amp;TEXT(M258,"0.00")&amp;")"</f>
        <v>83.30 (82.56 to 84.03)</v>
      </c>
      <c r="P258" t="str">
        <f>O261</f>
        <v>77.22 (76.39 to 78.05)</v>
      </c>
      <c r="Q258" t="str">
        <f>O264</f>
        <v>71.40 (70.53 to 72.26)</v>
      </c>
      <c r="R258" t="str">
        <f>O267</f>
        <v>60.79 (59.92 to 61.66)</v>
      </c>
    </row>
    <row r="259" spans="1:18" ht="17.25" thickBot="1" x14ac:dyDescent="0.35">
      <c r="A259" s="6"/>
      <c r="B259" s="11">
        <v>1</v>
      </c>
      <c r="C259" s="2">
        <v>2411</v>
      </c>
      <c r="D259" s="2">
        <v>1242109</v>
      </c>
      <c r="E259" s="2">
        <v>31661</v>
      </c>
      <c r="F259" s="2">
        <v>4.1059000000000001</v>
      </c>
      <c r="G259" s="2">
        <v>9.9500000000000005E-2</v>
      </c>
      <c r="H259" s="2">
        <v>3.9106999999999998</v>
      </c>
      <c r="I259" s="2">
        <v>4.3010999999999999</v>
      </c>
      <c r="J259" s="2">
        <v>16.7043</v>
      </c>
      <c r="K259" s="2">
        <v>0.37390000000000001</v>
      </c>
      <c r="L259" s="2">
        <v>15.9712</v>
      </c>
      <c r="M259" s="2">
        <v>17.4374</v>
      </c>
      <c r="O259" t="str">
        <f t="shared" si="61"/>
        <v>16.70 (15.97 to 17.44)</v>
      </c>
      <c r="P259" t="str">
        <f>O262</f>
        <v>22.78 (21.95 to 23.61)</v>
      </c>
      <c r="Q259" t="str">
        <f>O265</f>
        <v>28.60 (27.74 to 29.47)</v>
      </c>
      <c r="R259" t="str">
        <f>O268</f>
        <v>39.21 (38.34 to 40.08)</v>
      </c>
    </row>
    <row r="260" spans="1:18" ht="17.25" thickBot="1" x14ac:dyDescent="0.35">
      <c r="A260" s="6"/>
      <c r="B260" s="11" t="s">
        <v>153</v>
      </c>
      <c r="C260" s="2">
        <v>16281</v>
      </c>
      <c r="D260" s="2">
        <v>7435856</v>
      </c>
      <c r="E260" s="2">
        <v>88984</v>
      </c>
      <c r="F260" s="2">
        <v>24.579799999999999</v>
      </c>
      <c r="G260" s="2">
        <v>0.21490000000000001</v>
      </c>
      <c r="H260" s="2">
        <v>24.158300000000001</v>
      </c>
      <c r="I260" s="2">
        <v>25.001200000000001</v>
      </c>
      <c r="J260" s="2">
        <v>100</v>
      </c>
      <c r="K260" s="2"/>
      <c r="L260" s="2"/>
      <c r="M260" s="2"/>
    </row>
    <row r="261" spans="1:18" ht="17.25" thickBot="1" x14ac:dyDescent="0.35">
      <c r="A261" s="6">
        <v>2</v>
      </c>
      <c r="B261" s="11">
        <v>0</v>
      </c>
      <c r="C261" s="2">
        <v>13397</v>
      </c>
      <c r="D261" s="2">
        <v>5681885</v>
      </c>
      <c r="E261" s="2">
        <v>71604</v>
      </c>
      <c r="F261" s="2">
        <v>18.7819</v>
      </c>
      <c r="G261" s="2">
        <v>0.18049999999999999</v>
      </c>
      <c r="H261" s="2">
        <v>18.428000000000001</v>
      </c>
      <c r="I261" s="2">
        <v>19.1358</v>
      </c>
      <c r="J261" s="2">
        <v>77.221000000000004</v>
      </c>
      <c r="K261" s="2">
        <v>0.42270000000000002</v>
      </c>
      <c r="L261" s="2">
        <v>76.392200000000003</v>
      </c>
      <c r="M261" s="2">
        <v>78.049899999999994</v>
      </c>
      <c r="O261" t="str">
        <f t="shared" ref="O261:O262" si="62">TEXT(J261,"0.00")&amp;" ("&amp;TEXT(L261,"0.00")&amp;" to "&amp;TEXT(M261,"0.00")&amp;")"</f>
        <v>77.22 (76.39 to 78.05)</v>
      </c>
    </row>
    <row r="262" spans="1:18" ht="17.25" thickBot="1" x14ac:dyDescent="0.35">
      <c r="A262" s="6"/>
      <c r="B262" s="11">
        <v>1</v>
      </c>
      <c r="C262" s="2">
        <v>3410</v>
      </c>
      <c r="D262" s="2">
        <v>1676067</v>
      </c>
      <c r="E262" s="2">
        <v>35733</v>
      </c>
      <c r="F262" s="2">
        <v>5.5404</v>
      </c>
      <c r="G262" s="2">
        <v>0.1125</v>
      </c>
      <c r="H262" s="2">
        <v>5.3197999999999999</v>
      </c>
      <c r="I262" s="2">
        <v>5.7609000000000004</v>
      </c>
      <c r="J262" s="2">
        <v>22.779</v>
      </c>
      <c r="K262" s="2">
        <v>0.42270000000000002</v>
      </c>
      <c r="L262" s="2">
        <v>21.950099999999999</v>
      </c>
      <c r="M262" s="2">
        <v>23.607800000000001</v>
      </c>
      <c r="O262" t="str">
        <f t="shared" si="62"/>
        <v>22.78 (21.95 to 23.61)</v>
      </c>
    </row>
    <row r="263" spans="1:18" ht="17.25" thickBot="1" x14ac:dyDescent="0.35">
      <c r="A263" s="6"/>
      <c r="B263" s="11" t="s">
        <v>153</v>
      </c>
      <c r="C263" s="2">
        <v>16807</v>
      </c>
      <c r="D263" s="2">
        <v>7357952</v>
      </c>
      <c r="E263" s="2">
        <v>82132</v>
      </c>
      <c r="F263" s="2">
        <v>24.322299999999998</v>
      </c>
      <c r="G263" s="2">
        <v>0.19400000000000001</v>
      </c>
      <c r="H263" s="2">
        <v>23.9419</v>
      </c>
      <c r="I263" s="2">
        <v>24.7026</v>
      </c>
      <c r="J263" s="2">
        <v>100</v>
      </c>
      <c r="K263" s="2"/>
      <c r="L263" s="2"/>
      <c r="M263" s="2"/>
    </row>
    <row r="264" spans="1:18" ht="17.25" thickBot="1" x14ac:dyDescent="0.35">
      <c r="A264" s="6">
        <v>3</v>
      </c>
      <c r="B264" s="11">
        <v>0</v>
      </c>
      <c r="C264" s="2">
        <v>13046</v>
      </c>
      <c r="D264" s="2">
        <v>5355685</v>
      </c>
      <c r="E264" s="2">
        <v>66846</v>
      </c>
      <c r="F264" s="2">
        <v>17.703600000000002</v>
      </c>
      <c r="G264" s="2">
        <v>0.17780000000000001</v>
      </c>
      <c r="H264" s="2">
        <v>17.355</v>
      </c>
      <c r="I264" s="2">
        <v>18.052199999999999</v>
      </c>
      <c r="J264" s="2">
        <v>71.396199999999993</v>
      </c>
      <c r="K264" s="2">
        <v>0.43930000000000002</v>
      </c>
      <c r="L264" s="2">
        <v>70.534899999999993</v>
      </c>
      <c r="M264" s="2">
        <v>72.257599999999996</v>
      </c>
      <c r="O264" t="str">
        <f t="shared" ref="O264:O265" si="63">TEXT(J264,"0.00")&amp;" ("&amp;TEXT(L264,"0.00")&amp;" to "&amp;TEXT(M264,"0.00")&amp;")"</f>
        <v>71.40 (70.53 to 72.26)</v>
      </c>
    </row>
    <row r="265" spans="1:18" ht="17.25" thickBot="1" x14ac:dyDescent="0.35">
      <c r="A265" s="6"/>
      <c r="B265" s="11">
        <v>1</v>
      </c>
      <c r="C265" s="2">
        <v>4376</v>
      </c>
      <c r="D265" s="2">
        <v>2145670</v>
      </c>
      <c r="E265" s="2">
        <v>41096</v>
      </c>
      <c r="F265" s="2">
        <v>7.0926999999999998</v>
      </c>
      <c r="G265" s="2">
        <v>0.12330000000000001</v>
      </c>
      <c r="H265" s="2">
        <v>6.851</v>
      </c>
      <c r="I265" s="2">
        <v>7.3343999999999996</v>
      </c>
      <c r="J265" s="2">
        <v>28.6038</v>
      </c>
      <c r="K265" s="2">
        <v>0.43930000000000002</v>
      </c>
      <c r="L265" s="2">
        <v>27.7424</v>
      </c>
      <c r="M265" s="2">
        <v>29.4651</v>
      </c>
      <c r="O265" t="str">
        <f t="shared" si="63"/>
        <v>28.60 (27.74 to 29.47)</v>
      </c>
    </row>
    <row r="266" spans="1:18" ht="17.25" thickBot="1" x14ac:dyDescent="0.35">
      <c r="A266" s="6"/>
      <c r="B266" s="11" t="s">
        <v>153</v>
      </c>
      <c r="C266" s="2">
        <v>17422</v>
      </c>
      <c r="D266" s="2">
        <v>7501354</v>
      </c>
      <c r="E266" s="2">
        <v>82741</v>
      </c>
      <c r="F266" s="2">
        <v>24.796299999999999</v>
      </c>
      <c r="G266" s="2">
        <v>0.19819999999999999</v>
      </c>
      <c r="H266" s="2">
        <v>24.407599999999999</v>
      </c>
      <c r="I266" s="2">
        <v>25.184899999999999</v>
      </c>
      <c r="J266" s="2">
        <v>100</v>
      </c>
      <c r="K266" s="2"/>
      <c r="L266" s="2"/>
      <c r="M266" s="2"/>
    </row>
    <row r="267" spans="1:18" ht="17.25" thickBot="1" x14ac:dyDescent="0.35">
      <c r="A267" s="6">
        <v>4</v>
      </c>
      <c r="B267" s="11">
        <v>0</v>
      </c>
      <c r="C267" s="2">
        <v>11751</v>
      </c>
      <c r="D267" s="2">
        <v>4836845</v>
      </c>
      <c r="E267" s="2">
        <v>61693</v>
      </c>
      <c r="F267" s="2">
        <v>15.9885</v>
      </c>
      <c r="G267" s="2">
        <v>0.1724</v>
      </c>
      <c r="H267" s="2">
        <v>15.650499999999999</v>
      </c>
      <c r="I267" s="2">
        <v>16.326599999999999</v>
      </c>
      <c r="J267" s="2">
        <v>60.789000000000001</v>
      </c>
      <c r="K267" s="2">
        <v>0.44540000000000002</v>
      </c>
      <c r="L267" s="2">
        <v>59.915799999999997</v>
      </c>
      <c r="M267" s="2">
        <v>61.662300000000002</v>
      </c>
      <c r="O267" t="str">
        <f t="shared" ref="O267:O268" si="64">TEXT(J267,"0.00")&amp;" ("&amp;TEXT(L267,"0.00")&amp;" to "&amp;TEXT(M267,"0.00")&amp;")"</f>
        <v>60.79 (59.92 to 61.66)</v>
      </c>
    </row>
    <row r="268" spans="1:18" ht="17.25" thickBot="1" x14ac:dyDescent="0.35">
      <c r="A268" s="6"/>
      <c r="B268" s="11">
        <v>1</v>
      </c>
      <c r="C268" s="2">
        <v>6374</v>
      </c>
      <c r="D268" s="2">
        <v>3119928</v>
      </c>
      <c r="E268" s="2">
        <v>48258</v>
      </c>
      <c r="F268" s="2">
        <v>10.3132</v>
      </c>
      <c r="G268" s="2">
        <v>0.14530000000000001</v>
      </c>
      <c r="H268" s="2">
        <v>10.0282</v>
      </c>
      <c r="I268" s="2">
        <v>10.598100000000001</v>
      </c>
      <c r="J268" s="2">
        <v>39.210999999999999</v>
      </c>
      <c r="K268" s="2">
        <v>0.44540000000000002</v>
      </c>
      <c r="L268" s="2">
        <v>38.337699999999998</v>
      </c>
      <c r="M268" s="2">
        <v>40.084200000000003</v>
      </c>
      <c r="O268" t="str">
        <f t="shared" si="64"/>
        <v>39.21 (38.34 to 40.08)</v>
      </c>
    </row>
    <row r="269" spans="1:18" ht="17.25" thickBot="1" x14ac:dyDescent="0.35">
      <c r="A269" s="6"/>
      <c r="B269" s="11" t="s">
        <v>153</v>
      </c>
      <c r="C269" s="2">
        <v>18125</v>
      </c>
      <c r="D269" s="2">
        <v>7956773</v>
      </c>
      <c r="E269" s="2">
        <v>83258</v>
      </c>
      <c r="F269" s="2">
        <v>26.3017</v>
      </c>
      <c r="G269" s="2">
        <v>0.21260000000000001</v>
      </c>
      <c r="H269" s="2">
        <v>25.884799999999998</v>
      </c>
      <c r="I269" s="2">
        <v>26.718599999999999</v>
      </c>
      <c r="J269" s="2">
        <v>100</v>
      </c>
      <c r="K269" s="2"/>
      <c r="L269" s="2"/>
      <c r="M269" s="2"/>
    </row>
    <row r="270" spans="1:18" ht="17.25" thickBot="1" x14ac:dyDescent="0.35">
      <c r="A270" s="6" t="s">
        <v>153</v>
      </c>
      <c r="B270" s="11">
        <v>0</v>
      </c>
      <c r="C270" s="2">
        <v>52064</v>
      </c>
      <c r="D270" s="2">
        <v>22068163</v>
      </c>
      <c r="E270" s="2">
        <v>184428</v>
      </c>
      <c r="F270" s="2">
        <v>72.947900000000004</v>
      </c>
      <c r="G270" s="2">
        <v>0.23330000000000001</v>
      </c>
      <c r="H270" s="2">
        <v>72.490499999999997</v>
      </c>
      <c r="I270" s="2">
        <v>73.405299999999997</v>
      </c>
      <c r="J270" s="2"/>
      <c r="K270" s="2"/>
      <c r="L270" s="2"/>
      <c r="M270" s="2"/>
    </row>
    <row r="271" spans="1:18" ht="17.25" thickBot="1" x14ac:dyDescent="0.35">
      <c r="A271" s="6"/>
      <c r="B271" s="11">
        <v>1</v>
      </c>
      <c r="C271" s="2">
        <v>16571</v>
      </c>
      <c r="D271" s="2">
        <v>8183773</v>
      </c>
      <c r="E271" s="2">
        <v>91483</v>
      </c>
      <c r="F271" s="2">
        <v>27.052099999999999</v>
      </c>
      <c r="G271" s="2">
        <v>0.23330000000000001</v>
      </c>
      <c r="H271" s="2">
        <v>26.5947</v>
      </c>
      <c r="I271" s="2">
        <v>27.509499999999999</v>
      </c>
      <c r="J271" s="2"/>
      <c r="K271" s="2"/>
      <c r="L271" s="2"/>
      <c r="M271" s="2"/>
    </row>
    <row r="272" spans="1:18" x14ac:dyDescent="0.3">
      <c r="A272" s="6"/>
      <c r="B272" s="14" t="s">
        <v>153</v>
      </c>
      <c r="C272" s="2">
        <v>68635</v>
      </c>
      <c r="D272" s="2">
        <v>30251936</v>
      </c>
      <c r="E272" s="2">
        <v>228758</v>
      </c>
      <c r="F272" s="2">
        <v>100</v>
      </c>
      <c r="G272" s="2"/>
      <c r="H272" s="2"/>
      <c r="I272" s="2"/>
      <c r="J272" s="2"/>
      <c r="K272" s="2"/>
      <c r="L272" s="2"/>
      <c r="M272" s="2"/>
    </row>
    <row r="273" spans="1:18" ht="17.25" thickBot="1" x14ac:dyDescent="0.35"/>
    <row r="274" spans="1:18" ht="16.5" customHeight="1" x14ac:dyDescent="0.3">
      <c r="A274" s="16" t="s">
        <v>183</v>
      </c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</row>
    <row r="275" spans="1:18" ht="33" customHeight="1" x14ac:dyDescent="0.3">
      <c r="A275" s="17" t="s">
        <v>25</v>
      </c>
      <c r="B275" s="19" t="s">
        <v>16</v>
      </c>
      <c r="C275" s="19" t="s">
        <v>146</v>
      </c>
      <c r="D275" s="3" t="s">
        <v>147</v>
      </c>
      <c r="E275" s="3" t="s">
        <v>148</v>
      </c>
      <c r="F275" s="19" t="s">
        <v>150</v>
      </c>
      <c r="G275" s="3" t="s">
        <v>148</v>
      </c>
      <c r="H275" s="19" t="s">
        <v>151</v>
      </c>
      <c r="I275" s="19"/>
      <c r="J275" s="3" t="s">
        <v>170</v>
      </c>
      <c r="K275" s="3" t="s">
        <v>148</v>
      </c>
      <c r="L275" s="19" t="s">
        <v>151</v>
      </c>
      <c r="M275" s="19"/>
    </row>
    <row r="276" spans="1:18" ht="33" x14ac:dyDescent="0.3">
      <c r="A276" s="17"/>
      <c r="B276" s="19"/>
      <c r="C276" s="19"/>
      <c r="D276" s="3" t="s">
        <v>146</v>
      </c>
      <c r="E276" s="3" t="s">
        <v>149</v>
      </c>
      <c r="F276" s="19"/>
      <c r="G276" s="3" t="s">
        <v>150</v>
      </c>
      <c r="H276" s="19" t="s">
        <v>152</v>
      </c>
      <c r="I276" s="19"/>
      <c r="J276" s="3" t="s">
        <v>150</v>
      </c>
      <c r="K276" s="3" t="s">
        <v>171</v>
      </c>
      <c r="L276" s="19" t="s">
        <v>172</v>
      </c>
      <c r="M276" s="19"/>
    </row>
    <row r="277" spans="1:18" ht="17.25" thickBot="1" x14ac:dyDescent="0.35">
      <c r="A277" s="6">
        <v>1</v>
      </c>
      <c r="B277" s="11">
        <v>0</v>
      </c>
      <c r="C277" s="2">
        <v>14678</v>
      </c>
      <c r="D277" s="2">
        <v>6893479</v>
      </c>
      <c r="E277" s="2">
        <v>86040</v>
      </c>
      <c r="F277" s="2">
        <v>22.786899999999999</v>
      </c>
      <c r="G277" s="2">
        <v>0.21079999999999999</v>
      </c>
      <c r="H277" s="2">
        <v>22.3735</v>
      </c>
      <c r="I277" s="2">
        <v>23.200299999999999</v>
      </c>
      <c r="J277" s="2">
        <v>92.7059</v>
      </c>
      <c r="K277" s="2">
        <v>0.2263</v>
      </c>
      <c r="L277" s="2">
        <v>92.262100000000004</v>
      </c>
      <c r="M277" s="2">
        <v>93.149699999999996</v>
      </c>
      <c r="O277" t="str">
        <f t="shared" ref="O277:O278" si="65">TEXT(J277,"0.00")&amp;" ("&amp;TEXT(L277,"0.00")&amp;" to "&amp;TEXT(M277,"0.00")&amp;")"</f>
        <v>92.71 (92.26 to 93.15)</v>
      </c>
      <c r="P277" t="str">
        <f>O280</f>
        <v>86.32 (85.74 to 86.90)</v>
      </c>
      <c r="Q277" t="str">
        <f>O283</f>
        <v>79.89 (79.19 to 80.60)</v>
      </c>
      <c r="R277" t="str">
        <f>O286</f>
        <v>73.93 (73.17 to 74.70)</v>
      </c>
    </row>
    <row r="278" spans="1:18" ht="17.25" thickBot="1" x14ac:dyDescent="0.35">
      <c r="A278" s="6"/>
      <c r="B278" s="11">
        <v>1</v>
      </c>
      <c r="C278" s="2">
        <v>1603</v>
      </c>
      <c r="D278" s="2">
        <v>542378</v>
      </c>
      <c r="E278" s="2">
        <v>17338</v>
      </c>
      <c r="F278" s="2">
        <v>1.7928999999999999</v>
      </c>
      <c r="G278" s="2">
        <v>5.67E-2</v>
      </c>
      <c r="H278" s="2">
        <v>1.6818</v>
      </c>
      <c r="I278" s="2">
        <v>1.9039999999999999</v>
      </c>
      <c r="J278" s="2">
        <v>7.2941000000000003</v>
      </c>
      <c r="K278" s="2">
        <v>0.2263</v>
      </c>
      <c r="L278" s="2">
        <v>6.8502999999999998</v>
      </c>
      <c r="M278" s="2">
        <v>7.7378999999999998</v>
      </c>
      <c r="O278" t="str">
        <f t="shared" si="65"/>
        <v>7.29 (6.85 to 7.74)</v>
      </c>
      <c r="P278" t="str">
        <f>O281</f>
        <v>13.68 (13.10 to 14.26)</v>
      </c>
      <c r="Q278" t="str">
        <f>O284</f>
        <v>20.11 (19.40 to 20.81)</v>
      </c>
      <c r="R278" t="str">
        <f>O287</f>
        <v>26.07 (25.30 to 26.83)</v>
      </c>
    </row>
    <row r="279" spans="1:18" ht="17.25" thickBot="1" x14ac:dyDescent="0.35">
      <c r="A279" s="6"/>
      <c r="B279" s="11" t="s">
        <v>153</v>
      </c>
      <c r="C279" s="2">
        <v>16281</v>
      </c>
      <c r="D279" s="2">
        <v>7435856</v>
      </c>
      <c r="E279" s="2">
        <v>88984</v>
      </c>
      <c r="F279" s="2">
        <v>24.579799999999999</v>
      </c>
      <c r="G279" s="2">
        <v>0.21490000000000001</v>
      </c>
      <c r="H279" s="2">
        <v>24.158300000000001</v>
      </c>
      <c r="I279" s="2">
        <v>25.001200000000001</v>
      </c>
      <c r="J279" s="2">
        <v>100</v>
      </c>
      <c r="K279" s="2"/>
      <c r="L279" s="2"/>
      <c r="M279" s="2"/>
    </row>
    <row r="280" spans="1:18" ht="17.25" thickBot="1" x14ac:dyDescent="0.35">
      <c r="A280" s="6">
        <v>2</v>
      </c>
      <c r="B280" s="11">
        <v>0</v>
      </c>
      <c r="C280" s="2">
        <v>13811</v>
      </c>
      <c r="D280" s="2">
        <v>6351491</v>
      </c>
      <c r="E280" s="2">
        <v>77710</v>
      </c>
      <c r="F280" s="2">
        <v>20.9953</v>
      </c>
      <c r="G280" s="2">
        <v>0.189</v>
      </c>
      <c r="H280" s="2">
        <v>20.6248</v>
      </c>
      <c r="I280" s="2">
        <v>21.3659</v>
      </c>
      <c r="J280" s="2">
        <v>86.3215</v>
      </c>
      <c r="K280" s="2">
        <v>0.29580000000000001</v>
      </c>
      <c r="L280" s="2">
        <v>85.741500000000002</v>
      </c>
      <c r="M280" s="2">
        <v>86.901399999999995</v>
      </c>
      <c r="O280" t="str">
        <f t="shared" ref="O280:O281" si="66">TEXT(J280,"0.00")&amp;" ("&amp;TEXT(L280,"0.00")&amp;" to "&amp;TEXT(M280,"0.00")&amp;")"</f>
        <v>86.32 (85.74 to 86.90)</v>
      </c>
    </row>
    <row r="281" spans="1:18" ht="17.25" thickBot="1" x14ac:dyDescent="0.35">
      <c r="A281" s="6"/>
      <c r="B281" s="11">
        <v>1</v>
      </c>
      <c r="C281" s="2">
        <v>2996</v>
      </c>
      <c r="D281" s="2">
        <v>1006461</v>
      </c>
      <c r="E281" s="2">
        <v>22681</v>
      </c>
      <c r="F281" s="2">
        <v>3.3269000000000002</v>
      </c>
      <c r="G281" s="2">
        <v>7.3999999999999996E-2</v>
      </c>
      <c r="H281" s="2">
        <v>3.1817000000000002</v>
      </c>
      <c r="I281" s="2">
        <v>3.4721000000000002</v>
      </c>
      <c r="J281" s="2">
        <v>13.6785</v>
      </c>
      <c r="K281" s="2">
        <v>0.29580000000000001</v>
      </c>
      <c r="L281" s="2">
        <v>13.098599999999999</v>
      </c>
      <c r="M281" s="2">
        <v>14.2585</v>
      </c>
      <c r="O281" t="str">
        <f t="shared" si="66"/>
        <v>13.68 (13.10 to 14.26)</v>
      </c>
    </row>
    <row r="282" spans="1:18" ht="17.25" thickBot="1" x14ac:dyDescent="0.35">
      <c r="A282" s="6"/>
      <c r="B282" s="11" t="s">
        <v>153</v>
      </c>
      <c r="C282" s="2">
        <v>16807</v>
      </c>
      <c r="D282" s="2">
        <v>7357952</v>
      </c>
      <c r="E282" s="2">
        <v>82132</v>
      </c>
      <c r="F282" s="2">
        <v>24.322299999999998</v>
      </c>
      <c r="G282" s="2">
        <v>0.19400000000000001</v>
      </c>
      <c r="H282" s="2">
        <v>23.9419</v>
      </c>
      <c r="I282" s="2">
        <v>24.7026</v>
      </c>
      <c r="J282" s="2">
        <v>100</v>
      </c>
      <c r="K282" s="2"/>
      <c r="L282" s="2"/>
      <c r="M282" s="2"/>
    </row>
    <row r="283" spans="1:18" ht="17.25" thickBot="1" x14ac:dyDescent="0.35">
      <c r="A283" s="6">
        <v>3</v>
      </c>
      <c r="B283" s="11">
        <v>0</v>
      </c>
      <c r="C283" s="2">
        <v>12984</v>
      </c>
      <c r="D283" s="2">
        <v>5993033</v>
      </c>
      <c r="E283" s="2">
        <v>74478</v>
      </c>
      <c r="F283" s="2">
        <v>19.810400000000001</v>
      </c>
      <c r="G283" s="2">
        <v>0.1855</v>
      </c>
      <c r="H283" s="2">
        <v>19.4466</v>
      </c>
      <c r="I283" s="2">
        <v>20.174199999999999</v>
      </c>
      <c r="J283" s="2">
        <v>79.892700000000005</v>
      </c>
      <c r="K283" s="2">
        <v>0.35820000000000002</v>
      </c>
      <c r="L283" s="2">
        <v>79.190299999999993</v>
      </c>
      <c r="M283" s="2">
        <v>80.595100000000002</v>
      </c>
      <c r="O283" t="str">
        <f t="shared" ref="O283:O284" si="67">TEXT(J283,"0.00")&amp;" ("&amp;TEXT(L283,"0.00")&amp;" to "&amp;TEXT(M283,"0.00")&amp;")"</f>
        <v>79.89 (79.19 to 80.60)</v>
      </c>
    </row>
    <row r="284" spans="1:18" ht="17.25" thickBot="1" x14ac:dyDescent="0.35">
      <c r="A284" s="6"/>
      <c r="B284" s="11">
        <v>1</v>
      </c>
      <c r="C284" s="2">
        <v>4438</v>
      </c>
      <c r="D284" s="2">
        <v>1508321</v>
      </c>
      <c r="E284" s="2">
        <v>29737</v>
      </c>
      <c r="F284" s="2">
        <v>4.9859</v>
      </c>
      <c r="G284" s="2">
        <v>9.5500000000000002E-2</v>
      </c>
      <c r="H284" s="2">
        <v>4.7987000000000002</v>
      </c>
      <c r="I284" s="2">
        <v>5.173</v>
      </c>
      <c r="J284" s="2">
        <v>20.107299999999999</v>
      </c>
      <c r="K284" s="2">
        <v>0.35820000000000002</v>
      </c>
      <c r="L284" s="2">
        <v>19.404900000000001</v>
      </c>
      <c r="M284" s="2">
        <v>20.809699999999999</v>
      </c>
      <c r="O284" t="str">
        <f t="shared" si="67"/>
        <v>20.11 (19.40 to 20.81)</v>
      </c>
    </row>
    <row r="285" spans="1:18" ht="17.25" thickBot="1" x14ac:dyDescent="0.35">
      <c r="A285" s="6"/>
      <c r="B285" s="11" t="s">
        <v>153</v>
      </c>
      <c r="C285" s="2">
        <v>17422</v>
      </c>
      <c r="D285" s="2">
        <v>7501354</v>
      </c>
      <c r="E285" s="2">
        <v>82741</v>
      </c>
      <c r="F285" s="2">
        <v>24.796299999999999</v>
      </c>
      <c r="G285" s="2">
        <v>0.19819999999999999</v>
      </c>
      <c r="H285" s="2">
        <v>24.407599999999999</v>
      </c>
      <c r="I285" s="2">
        <v>25.184899999999999</v>
      </c>
      <c r="J285" s="2">
        <v>100</v>
      </c>
      <c r="K285" s="2"/>
      <c r="L285" s="2"/>
      <c r="M285" s="2"/>
    </row>
    <row r="286" spans="1:18" ht="17.25" thickBot="1" x14ac:dyDescent="0.35">
      <c r="A286" s="6">
        <v>4</v>
      </c>
      <c r="B286" s="11">
        <v>0</v>
      </c>
      <c r="C286" s="2">
        <v>12437</v>
      </c>
      <c r="D286" s="2">
        <v>5882745</v>
      </c>
      <c r="E286" s="2">
        <v>70735</v>
      </c>
      <c r="F286" s="2">
        <v>19.445799999999998</v>
      </c>
      <c r="G286" s="2">
        <v>0.18720000000000001</v>
      </c>
      <c r="H286" s="2">
        <v>19.078800000000001</v>
      </c>
      <c r="I286" s="2">
        <v>19.812899999999999</v>
      </c>
      <c r="J286" s="2">
        <v>73.933800000000005</v>
      </c>
      <c r="K286" s="2">
        <v>0.38900000000000001</v>
      </c>
      <c r="L286" s="2">
        <v>73.171000000000006</v>
      </c>
      <c r="M286" s="2">
        <v>74.696600000000004</v>
      </c>
      <c r="O286" t="str">
        <f t="shared" ref="O286:O287" si="68">TEXT(J286,"0.00")&amp;" ("&amp;TEXT(L286,"0.00")&amp;" to "&amp;TEXT(M286,"0.00")&amp;")"</f>
        <v>73.93 (73.17 to 74.70)</v>
      </c>
    </row>
    <row r="287" spans="1:18" ht="17.25" thickBot="1" x14ac:dyDescent="0.35">
      <c r="A287" s="6"/>
      <c r="B287" s="11">
        <v>1</v>
      </c>
      <c r="C287" s="2">
        <v>5688</v>
      </c>
      <c r="D287" s="2">
        <v>2074028</v>
      </c>
      <c r="E287" s="2">
        <v>36589</v>
      </c>
      <c r="F287" s="2">
        <v>6.8559000000000001</v>
      </c>
      <c r="G287" s="2">
        <v>0.1166</v>
      </c>
      <c r="H287" s="2">
        <v>6.6273</v>
      </c>
      <c r="I287" s="2">
        <v>7.0843999999999996</v>
      </c>
      <c r="J287" s="2">
        <v>26.066199999999998</v>
      </c>
      <c r="K287" s="2">
        <v>0.38900000000000001</v>
      </c>
      <c r="L287" s="2">
        <v>25.3034</v>
      </c>
      <c r="M287" s="2">
        <v>26.829000000000001</v>
      </c>
      <c r="O287" t="str">
        <f t="shared" si="68"/>
        <v>26.07 (25.30 to 26.83)</v>
      </c>
    </row>
    <row r="288" spans="1:18" ht="17.25" thickBot="1" x14ac:dyDescent="0.35">
      <c r="A288" s="6"/>
      <c r="B288" s="11" t="s">
        <v>153</v>
      </c>
      <c r="C288" s="2">
        <v>18125</v>
      </c>
      <c r="D288" s="2">
        <v>7956773</v>
      </c>
      <c r="E288" s="2">
        <v>83258</v>
      </c>
      <c r="F288" s="2">
        <v>26.3017</v>
      </c>
      <c r="G288" s="2">
        <v>0.21260000000000001</v>
      </c>
      <c r="H288" s="2">
        <v>25.884799999999998</v>
      </c>
      <c r="I288" s="2">
        <v>26.718599999999999</v>
      </c>
      <c r="J288" s="2">
        <v>100</v>
      </c>
      <c r="K288" s="2"/>
      <c r="L288" s="2"/>
      <c r="M288" s="2"/>
    </row>
    <row r="289" spans="1:18" ht="17.25" thickBot="1" x14ac:dyDescent="0.35">
      <c r="A289" s="6" t="s">
        <v>153</v>
      </c>
      <c r="B289" s="11">
        <v>0</v>
      </c>
      <c r="C289" s="2">
        <v>53910</v>
      </c>
      <c r="D289" s="2">
        <v>25120748</v>
      </c>
      <c r="E289" s="2">
        <v>210229</v>
      </c>
      <c r="F289" s="2">
        <v>83.038499999999999</v>
      </c>
      <c r="G289" s="2">
        <v>0.19189999999999999</v>
      </c>
      <c r="H289" s="2">
        <v>82.662300000000002</v>
      </c>
      <c r="I289" s="2">
        <v>83.414699999999996</v>
      </c>
      <c r="J289" s="2"/>
      <c r="K289" s="2"/>
      <c r="L289" s="2"/>
      <c r="M289" s="2"/>
    </row>
    <row r="290" spans="1:18" ht="17.25" thickBot="1" x14ac:dyDescent="0.35">
      <c r="A290" s="6"/>
      <c r="B290" s="11">
        <v>1</v>
      </c>
      <c r="C290" s="2">
        <v>14725</v>
      </c>
      <c r="D290" s="2">
        <v>5131188</v>
      </c>
      <c r="E290" s="2">
        <v>62498</v>
      </c>
      <c r="F290" s="2">
        <v>16.961500000000001</v>
      </c>
      <c r="G290" s="2">
        <v>0.19189999999999999</v>
      </c>
      <c r="H290" s="2">
        <v>16.5853</v>
      </c>
      <c r="I290" s="2">
        <v>17.337700000000002</v>
      </c>
      <c r="J290" s="2"/>
      <c r="K290" s="2"/>
      <c r="L290" s="2"/>
      <c r="M290" s="2"/>
    </row>
    <row r="291" spans="1:18" x14ac:dyDescent="0.3">
      <c r="A291" s="6"/>
      <c r="B291" s="14" t="s">
        <v>153</v>
      </c>
      <c r="C291" s="2">
        <v>68635</v>
      </c>
      <c r="D291" s="2">
        <v>30251936</v>
      </c>
      <c r="E291" s="2">
        <v>228758</v>
      </c>
      <c r="F291" s="2">
        <v>100</v>
      </c>
      <c r="G291" s="2"/>
      <c r="H291" s="2"/>
      <c r="I291" s="2"/>
      <c r="J291" s="2"/>
      <c r="K291" s="2"/>
      <c r="L291" s="2"/>
      <c r="M291" s="2"/>
    </row>
    <row r="292" spans="1:18" ht="17.25" thickBot="1" x14ac:dyDescent="0.35"/>
    <row r="293" spans="1:18" ht="16.5" customHeight="1" x14ac:dyDescent="0.3">
      <c r="A293" s="16" t="s">
        <v>184</v>
      </c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</row>
    <row r="294" spans="1:18" ht="33" customHeight="1" x14ac:dyDescent="0.3">
      <c r="A294" s="17" t="s">
        <v>25</v>
      </c>
      <c r="B294" s="19" t="s">
        <v>17</v>
      </c>
      <c r="C294" s="19" t="s">
        <v>146</v>
      </c>
      <c r="D294" s="3" t="s">
        <v>147</v>
      </c>
      <c r="E294" s="3" t="s">
        <v>148</v>
      </c>
      <c r="F294" s="19" t="s">
        <v>150</v>
      </c>
      <c r="G294" s="3" t="s">
        <v>148</v>
      </c>
      <c r="H294" s="19" t="s">
        <v>151</v>
      </c>
      <c r="I294" s="19"/>
      <c r="J294" s="3" t="s">
        <v>170</v>
      </c>
      <c r="K294" s="3" t="s">
        <v>148</v>
      </c>
      <c r="L294" s="19" t="s">
        <v>151</v>
      </c>
      <c r="M294" s="19"/>
    </row>
    <row r="295" spans="1:18" ht="33" x14ac:dyDescent="0.3">
      <c r="A295" s="17"/>
      <c r="B295" s="19"/>
      <c r="C295" s="19"/>
      <c r="D295" s="3" t="s">
        <v>146</v>
      </c>
      <c r="E295" s="3" t="s">
        <v>149</v>
      </c>
      <c r="F295" s="19"/>
      <c r="G295" s="3" t="s">
        <v>150</v>
      </c>
      <c r="H295" s="19" t="s">
        <v>152</v>
      </c>
      <c r="I295" s="19"/>
      <c r="J295" s="3" t="s">
        <v>150</v>
      </c>
      <c r="K295" s="3" t="s">
        <v>171</v>
      </c>
      <c r="L295" s="19" t="s">
        <v>172</v>
      </c>
      <c r="M295" s="19"/>
    </row>
    <row r="296" spans="1:18" ht="17.25" thickBot="1" x14ac:dyDescent="0.35">
      <c r="A296" s="6">
        <v>1</v>
      </c>
      <c r="B296" s="11">
        <v>0</v>
      </c>
      <c r="C296" s="2">
        <v>15258</v>
      </c>
      <c r="D296" s="2">
        <v>7069081</v>
      </c>
      <c r="E296" s="2">
        <v>86866</v>
      </c>
      <c r="F296" s="2">
        <v>23.3674</v>
      </c>
      <c r="G296" s="2">
        <v>0.21210000000000001</v>
      </c>
      <c r="H296" s="2">
        <v>22.951599999999999</v>
      </c>
      <c r="I296" s="2">
        <v>23.783200000000001</v>
      </c>
      <c r="J296" s="2">
        <v>95.067499999999995</v>
      </c>
      <c r="K296" s="2">
        <v>0.18010000000000001</v>
      </c>
      <c r="L296" s="2">
        <v>94.714200000000005</v>
      </c>
      <c r="M296" s="2">
        <v>95.420699999999997</v>
      </c>
      <c r="O296" t="str">
        <f t="shared" ref="O296:O297" si="69">TEXT(J296,"0.00")&amp;" ("&amp;TEXT(L296,"0.00")&amp;" to "&amp;TEXT(M296,"0.00")&amp;")"</f>
        <v>95.07 (94.71 to 95.42)</v>
      </c>
      <c r="P296" t="str">
        <f>O299</f>
        <v>89.96 (89.45 to 90.47)</v>
      </c>
      <c r="Q296" t="str">
        <f>O302</f>
        <v>85.00 (84.40 to 85.60)</v>
      </c>
      <c r="R296" t="str">
        <f>O305</f>
        <v>80.34 (79.66 to 81.03)</v>
      </c>
    </row>
    <row r="297" spans="1:18" ht="17.25" thickBot="1" x14ac:dyDescent="0.35">
      <c r="A297" s="6"/>
      <c r="B297" s="11">
        <v>1</v>
      </c>
      <c r="C297" s="2">
        <v>1023</v>
      </c>
      <c r="D297" s="2">
        <v>366775</v>
      </c>
      <c r="E297" s="2">
        <v>13705</v>
      </c>
      <c r="F297" s="2">
        <v>1.2123999999999999</v>
      </c>
      <c r="G297" s="2">
        <v>4.48E-2</v>
      </c>
      <c r="H297" s="2">
        <v>1.1245000000000001</v>
      </c>
      <c r="I297" s="2">
        <v>1.3003</v>
      </c>
      <c r="J297" s="2">
        <v>4.9325000000000001</v>
      </c>
      <c r="K297" s="2">
        <v>0.18010000000000001</v>
      </c>
      <c r="L297" s="2">
        <v>4.5792999999999999</v>
      </c>
      <c r="M297" s="2">
        <v>5.2858000000000001</v>
      </c>
      <c r="O297" t="str">
        <f t="shared" si="69"/>
        <v>4.93 (4.58 to 5.29)</v>
      </c>
      <c r="P297" t="str">
        <f>O300</f>
        <v>10.04 (9.53 to 10.55)</v>
      </c>
      <c r="Q297" t="str">
        <f>O303</f>
        <v>15.00 (14.40 to 15.60)</v>
      </c>
      <c r="R297" t="str">
        <f>O306</f>
        <v>19.66 (18.97 to 20.34)</v>
      </c>
    </row>
    <row r="298" spans="1:18" ht="17.25" thickBot="1" x14ac:dyDescent="0.35">
      <c r="A298" s="6"/>
      <c r="B298" s="11" t="s">
        <v>153</v>
      </c>
      <c r="C298" s="2">
        <v>16281</v>
      </c>
      <c r="D298" s="2">
        <v>7435856</v>
      </c>
      <c r="E298" s="2">
        <v>88984</v>
      </c>
      <c r="F298" s="2">
        <v>24.579799999999999</v>
      </c>
      <c r="G298" s="2">
        <v>0.21490000000000001</v>
      </c>
      <c r="H298" s="2">
        <v>24.158300000000001</v>
      </c>
      <c r="I298" s="2">
        <v>25.001200000000001</v>
      </c>
      <c r="J298" s="2">
        <v>100</v>
      </c>
      <c r="K298" s="2"/>
      <c r="L298" s="2"/>
      <c r="M298" s="2"/>
    </row>
    <row r="299" spans="1:18" ht="17.25" thickBot="1" x14ac:dyDescent="0.35">
      <c r="A299" s="6">
        <v>2</v>
      </c>
      <c r="B299" s="11">
        <v>0</v>
      </c>
      <c r="C299" s="2">
        <v>14719</v>
      </c>
      <c r="D299" s="2">
        <v>6619127</v>
      </c>
      <c r="E299" s="2">
        <v>78552</v>
      </c>
      <c r="F299" s="2">
        <v>21.88</v>
      </c>
      <c r="G299" s="2">
        <v>0.19040000000000001</v>
      </c>
      <c r="H299" s="2">
        <v>21.506699999999999</v>
      </c>
      <c r="I299" s="2">
        <v>22.253299999999999</v>
      </c>
      <c r="J299" s="2">
        <v>89.958799999999997</v>
      </c>
      <c r="K299" s="2">
        <v>0.25950000000000001</v>
      </c>
      <c r="L299" s="2">
        <v>89.450100000000006</v>
      </c>
      <c r="M299" s="2">
        <v>90.467600000000004</v>
      </c>
      <c r="O299" t="str">
        <f t="shared" ref="O299:O300" si="70">TEXT(J299,"0.00")&amp;" ("&amp;TEXT(L299,"0.00")&amp;" to "&amp;TEXT(M299,"0.00")&amp;")"</f>
        <v>89.96 (89.45 to 90.47)</v>
      </c>
    </row>
    <row r="300" spans="1:18" ht="17.25" thickBot="1" x14ac:dyDescent="0.35">
      <c r="A300" s="6"/>
      <c r="B300" s="11">
        <v>1</v>
      </c>
      <c r="C300" s="2">
        <v>2088</v>
      </c>
      <c r="D300" s="2">
        <v>738825</v>
      </c>
      <c r="E300" s="2">
        <v>19843</v>
      </c>
      <c r="F300" s="2">
        <v>2.4422000000000001</v>
      </c>
      <c r="G300" s="2">
        <v>6.4500000000000002E-2</v>
      </c>
      <c r="H300" s="2">
        <v>2.3157999999999999</v>
      </c>
      <c r="I300" s="2">
        <v>2.5687000000000002</v>
      </c>
      <c r="J300" s="2">
        <v>10.0412</v>
      </c>
      <c r="K300" s="2">
        <v>0.25950000000000001</v>
      </c>
      <c r="L300" s="2">
        <v>9.5324000000000009</v>
      </c>
      <c r="M300" s="2">
        <v>10.549899999999999</v>
      </c>
      <c r="O300" t="str">
        <f t="shared" si="70"/>
        <v>10.04 (9.53 to 10.55)</v>
      </c>
    </row>
    <row r="301" spans="1:18" ht="17.25" thickBot="1" x14ac:dyDescent="0.35">
      <c r="A301" s="6"/>
      <c r="B301" s="11" t="s">
        <v>153</v>
      </c>
      <c r="C301" s="2">
        <v>16807</v>
      </c>
      <c r="D301" s="2">
        <v>7357952</v>
      </c>
      <c r="E301" s="2">
        <v>82132</v>
      </c>
      <c r="F301" s="2">
        <v>24.322299999999998</v>
      </c>
      <c r="G301" s="2">
        <v>0.19400000000000001</v>
      </c>
      <c r="H301" s="2">
        <v>23.9419</v>
      </c>
      <c r="I301" s="2">
        <v>24.7026</v>
      </c>
      <c r="J301" s="2">
        <v>100</v>
      </c>
      <c r="K301" s="2"/>
      <c r="L301" s="2"/>
      <c r="M301" s="2"/>
    </row>
    <row r="302" spans="1:18" ht="17.25" thickBot="1" x14ac:dyDescent="0.35">
      <c r="A302" s="6">
        <v>3</v>
      </c>
      <c r="B302" s="11">
        <v>0</v>
      </c>
      <c r="C302" s="2">
        <v>14331</v>
      </c>
      <c r="D302" s="2">
        <v>6376187</v>
      </c>
      <c r="E302" s="2">
        <v>74854</v>
      </c>
      <c r="F302" s="2">
        <v>21.077000000000002</v>
      </c>
      <c r="G302" s="2">
        <v>0.1852</v>
      </c>
      <c r="H302" s="2">
        <v>20.713799999999999</v>
      </c>
      <c r="I302" s="2">
        <v>21.440100000000001</v>
      </c>
      <c r="J302" s="2">
        <v>85.000500000000002</v>
      </c>
      <c r="K302" s="2">
        <v>0.3039</v>
      </c>
      <c r="L302" s="2">
        <v>84.404600000000002</v>
      </c>
      <c r="M302" s="2">
        <v>85.596400000000003</v>
      </c>
      <c r="O302" t="str">
        <f t="shared" ref="O302:O303" si="71">TEXT(J302,"0.00")&amp;" ("&amp;TEXT(L302,"0.00")&amp;" to "&amp;TEXT(M302,"0.00")&amp;")"</f>
        <v>85.00 (84.40 to 85.60)</v>
      </c>
    </row>
    <row r="303" spans="1:18" ht="17.25" thickBot="1" x14ac:dyDescent="0.35">
      <c r="A303" s="6"/>
      <c r="B303" s="11">
        <v>1</v>
      </c>
      <c r="C303" s="2">
        <v>3091</v>
      </c>
      <c r="D303" s="2">
        <v>1125167</v>
      </c>
      <c r="E303" s="2">
        <v>25486</v>
      </c>
      <c r="F303" s="2">
        <v>3.7193000000000001</v>
      </c>
      <c r="G303" s="2">
        <v>8.0699999999999994E-2</v>
      </c>
      <c r="H303" s="2">
        <v>3.5609999999999999</v>
      </c>
      <c r="I303" s="2">
        <v>3.8776000000000002</v>
      </c>
      <c r="J303" s="2">
        <v>14.999499999999999</v>
      </c>
      <c r="K303" s="2">
        <v>0.3039</v>
      </c>
      <c r="L303" s="2">
        <v>14.403600000000001</v>
      </c>
      <c r="M303" s="2">
        <v>15.5954</v>
      </c>
      <c r="O303" t="str">
        <f t="shared" si="71"/>
        <v>15.00 (14.40 to 15.60)</v>
      </c>
    </row>
    <row r="304" spans="1:18" ht="17.25" thickBot="1" x14ac:dyDescent="0.35">
      <c r="A304" s="6"/>
      <c r="B304" s="11" t="s">
        <v>153</v>
      </c>
      <c r="C304" s="2">
        <v>17422</v>
      </c>
      <c r="D304" s="2">
        <v>7501354</v>
      </c>
      <c r="E304" s="2">
        <v>82741</v>
      </c>
      <c r="F304" s="2">
        <v>24.796299999999999</v>
      </c>
      <c r="G304" s="2">
        <v>0.19819999999999999</v>
      </c>
      <c r="H304" s="2">
        <v>24.407599999999999</v>
      </c>
      <c r="I304" s="2">
        <v>25.184899999999999</v>
      </c>
      <c r="J304" s="2">
        <v>100</v>
      </c>
      <c r="K304" s="2"/>
      <c r="L304" s="2"/>
      <c r="M304" s="2"/>
    </row>
    <row r="305" spans="1:18" ht="17.25" thickBot="1" x14ac:dyDescent="0.35">
      <c r="A305" s="6">
        <v>4</v>
      </c>
      <c r="B305" s="11">
        <v>0</v>
      </c>
      <c r="C305" s="2">
        <v>14159</v>
      </c>
      <c r="D305" s="2">
        <v>6392811</v>
      </c>
      <c r="E305" s="2">
        <v>73531</v>
      </c>
      <c r="F305" s="2">
        <v>21.131900000000002</v>
      </c>
      <c r="G305" s="2">
        <v>0.19489999999999999</v>
      </c>
      <c r="H305" s="2">
        <v>20.749700000000001</v>
      </c>
      <c r="I305" s="2">
        <v>21.514099999999999</v>
      </c>
      <c r="J305" s="2">
        <v>80.344300000000004</v>
      </c>
      <c r="K305" s="2">
        <v>0.34939999999999999</v>
      </c>
      <c r="L305" s="2">
        <v>79.659199999999998</v>
      </c>
      <c r="M305" s="2">
        <v>81.029399999999995</v>
      </c>
      <c r="O305" t="str">
        <f t="shared" ref="O305:O306" si="72">TEXT(J305,"0.00")&amp;" ("&amp;TEXT(L305,"0.00")&amp;" to "&amp;TEXT(M305,"0.00")&amp;")"</f>
        <v>80.34 (79.66 to 81.03)</v>
      </c>
    </row>
    <row r="306" spans="1:18" ht="17.25" thickBot="1" x14ac:dyDescent="0.35">
      <c r="A306" s="6"/>
      <c r="B306" s="11">
        <v>1</v>
      </c>
      <c r="C306" s="2">
        <v>3966</v>
      </c>
      <c r="D306" s="2">
        <v>1563962</v>
      </c>
      <c r="E306" s="2">
        <v>31651</v>
      </c>
      <c r="F306" s="2">
        <v>5.1698000000000004</v>
      </c>
      <c r="G306" s="2">
        <v>0.10050000000000001</v>
      </c>
      <c r="H306" s="2">
        <v>4.9726999999999997</v>
      </c>
      <c r="I306" s="2">
        <v>5.3669000000000002</v>
      </c>
      <c r="J306" s="2">
        <v>19.6557</v>
      </c>
      <c r="K306" s="2">
        <v>0.34939999999999999</v>
      </c>
      <c r="L306" s="2">
        <v>18.970600000000001</v>
      </c>
      <c r="M306" s="2">
        <v>20.340800000000002</v>
      </c>
      <c r="O306" t="str">
        <f t="shared" si="72"/>
        <v>19.66 (18.97 to 20.34)</v>
      </c>
    </row>
    <row r="307" spans="1:18" ht="17.25" thickBot="1" x14ac:dyDescent="0.35">
      <c r="A307" s="6"/>
      <c r="B307" s="11" t="s">
        <v>153</v>
      </c>
      <c r="C307" s="2">
        <v>18125</v>
      </c>
      <c r="D307" s="2">
        <v>7956773</v>
      </c>
      <c r="E307" s="2">
        <v>83258</v>
      </c>
      <c r="F307" s="2">
        <v>26.3017</v>
      </c>
      <c r="G307" s="2">
        <v>0.21260000000000001</v>
      </c>
      <c r="H307" s="2">
        <v>25.884799999999998</v>
      </c>
      <c r="I307" s="2">
        <v>26.718599999999999</v>
      </c>
      <c r="J307" s="2">
        <v>100</v>
      </c>
      <c r="K307" s="2"/>
      <c r="L307" s="2"/>
      <c r="M307" s="2"/>
    </row>
    <row r="308" spans="1:18" ht="17.25" thickBot="1" x14ac:dyDescent="0.35">
      <c r="A308" s="6" t="s">
        <v>153</v>
      </c>
      <c r="B308" s="11">
        <v>0</v>
      </c>
      <c r="C308" s="2">
        <v>58467</v>
      </c>
      <c r="D308" s="2">
        <v>26457207</v>
      </c>
      <c r="E308" s="2">
        <v>211261</v>
      </c>
      <c r="F308" s="2">
        <v>87.456199999999995</v>
      </c>
      <c r="G308" s="2">
        <v>0.1542</v>
      </c>
      <c r="H308" s="2">
        <v>87.153800000000004</v>
      </c>
      <c r="I308" s="2">
        <v>87.758700000000005</v>
      </c>
      <c r="J308" s="2"/>
      <c r="K308" s="2"/>
      <c r="L308" s="2"/>
      <c r="M308" s="2"/>
    </row>
    <row r="309" spans="1:18" ht="17.25" thickBot="1" x14ac:dyDescent="0.35">
      <c r="A309" s="6"/>
      <c r="B309" s="11">
        <v>1</v>
      </c>
      <c r="C309" s="2">
        <v>10168</v>
      </c>
      <c r="D309" s="2">
        <v>3794729</v>
      </c>
      <c r="E309" s="2">
        <v>51502</v>
      </c>
      <c r="F309" s="2">
        <v>12.543799999999999</v>
      </c>
      <c r="G309" s="2">
        <v>0.1542</v>
      </c>
      <c r="H309" s="2">
        <v>12.241300000000001</v>
      </c>
      <c r="I309" s="2">
        <v>12.8462</v>
      </c>
      <c r="J309" s="2"/>
      <c r="K309" s="2"/>
      <c r="L309" s="2"/>
      <c r="M309" s="2"/>
    </row>
    <row r="310" spans="1:18" x14ac:dyDescent="0.3">
      <c r="A310" s="6"/>
      <c r="B310" s="14" t="s">
        <v>153</v>
      </c>
      <c r="C310" s="2">
        <v>68635</v>
      </c>
      <c r="D310" s="2">
        <v>30251936</v>
      </c>
      <c r="E310" s="2">
        <v>228758</v>
      </c>
      <c r="F310" s="2">
        <v>100</v>
      </c>
      <c r="G310" s="2"/>
      <c r="H310" s="2"/>
      <c r="I310" s="2"/>
      <c r="J310" s="2"/>
      <c r="K310" s="2"/>
      <c r="L310" s="2"/>
      <c r="M310" s="2"/>
    </row>
    <row r="311" spans="1:18" ht="17.25" thickBot="1" x14ac:dyDescent="0.35"/>
    <row r="312" spans="1:18" ht="16.5" customHeight="1" x14ac:dyDescent="0.3">
      <c r="A312" s="16" t="s">
        <v>185</v>
      </c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</row>
    <row r="313" spans="1:18" ht="33" customHeight="1" x14ac:dyDescent="0.3">
      <c r="A313" s="17" t="s">
        <v>25</v>
      </c>
      <c r="B313" s="19" t="s">
        <v>18</v>
      </c>
      <c r="C313" s="19" t="s">
        <v>146</v>
      </c>
      <c r="D313" s="3" t="s">
        <v>147</v>
      </c>
      <c r="E313" s="3" t="s">
        <v>148</v>
      </c>
      <c r="F313" s="19" t="s">
        <v>150</v>
      </c>
      <c r="G313" s="3" t="s">
        <v>148</v>
      </c>
      <c r="H313" s="19" t="s">
        <v>151</v>
      </c>
      <c r="I313" s="19"/>
      <c r="J313" s="3" t="s">
        <v>170</v>
      </c>
      <c r="K313" s="3" t="s">
        <v>148</v>
      </c>
      <c r="L313" s="19" t="s">
        <v>151</v>
      </c>
      <c r="M313" s="19"/>
    </row>
    <row r="314" spans="1:18" ht="33" x14ac:dyDescent="0.3">
      <c r="A314" s="17"/>
      <c r="B314" s="19"/>
      <c r="C314" s="19"/>
      <c r="D314" s="3" t="s">
        <v>146</v>
      </c>
      <c r="E314" s="3" t="s">
        <v>149</v>
      </c>
      <c r="F314" s="19"/>
      <c r="G314" s="3" t="s">
        <v>150</v>
      </c>
      <c r="H314" s="19" t="s">
        <v>152</v>
      </c>
      <c r="I314" s="19"/>
      <c r="J314" s="3" t="s">
        <v>150</v>
      </c>
      <c r="K314" s="3" t="s">
        <v>171</v>
      </c>
      <c r="L314" s="19" t="s">
        <v>172</v>
      </c>
      <c r="M314" s="19"/>
    </row>
    <row r="315" spans="1:18" ht="17.25" thickBot="1" x14ac:dyDescent="0.35">
      <c r="A315" s="6">
        <v>1</v>
      </c>
      <c r="B315" s="11">
        <v>0</v>
      </c>
      <c r="C315" s="2">
        <v>16134</v>
      </c>
      <c r="D315" s="2">
        <v>7387181</v>
      </c>
      <c r="E315" s="2">
        <v>88914</v>
      </c>
      <c r="F315" s="2">
        <v>24.418900000000001</v>
      </c>
      <c r="G315" s="2">
        <v>0.21510000000000001</v>
      </c>
      <c r="H315" s="2">
        <v>23.997199999999999</v>
      </c>
      <c r="I315" s="2">
        <v>24.840599999999998</v>
      </c>
      <c r="J315" s="2">
        <v>99.345399999999998</v>
      </c>
      <c r="K315" s="2">
        <v>6.6500000000000004E-2</v>
      </c>
      <c r="L315" s="2">
        <v>99.215000000000003</v>
      </c>
      <c r="M315" s="2">
        <v>99.475800000000007</v>
      </c>
      <c r="O315" t="str">
        <f t="shared" ref="O315:O316" si="73">TEXT(J315,"0.00")&amp;" ("&amp;TEXT(L315,"0.00")&amp;" to "&amp;TEXT(M315,"0.00")&amp;")"</f>
        <v>99.35 (99.22 to 99.48)</v>
      </c>
      <c r="P315" t="str">
        <f>O318</f>
        <v>98.75 (98.58 to 98.93)</v>
      </c>
      <c r="Q315" t="str">
        <f>O321</f>
        <v>98.33 (98.13 to 98.53)</v>
      </c>
      <c r="R315" t="str">
        <f>O324</f>
        <v>98.15 (97.95 to 98.36)</v>
      </c>
    </row>
    <row r="316" spans="1:18" ht="17.25" thickBot="1" x14ac:dyDescent="0.35">
      <c r="A316" s="6"/>
      <c r="B316" s="11">
        <v>1</v>
      </c>
      <c r="C316" s="2">
        <v>147</v>
      </c>
      <c r="D316" s="2">
        <v>48675</v>
      </c>
      <c r="E316" s="2">
        <v>4936</v>
      </c>
      <c r="F316" s="2">
        <v>0.16089999999999999</v>
      </c>
      <c r="G316" s="2">
        <v>1.6299999999999999E-2</v>
      </c>
      <c r="H316" s="2">
        <v>0.12889999999999999</v>
      </c>
      <c r="I316" s="2">
        <v>0.19289999999999999</v>
      </c>
      <c r="J316" s="2">
        <v>0.65459999999999996</v>
      </c>
      <c r="K316" s="2">
        <v>6.6500000000000004E-2</v>
      </c>
      <c r="L316" s="2">
        <v>0.5242</v>
      </c>
      <c r="M316" s="2">
        <v>0.78500000000000003</v>
      </c>
      <c r="O316" t="str">
        <f t="shared" si="73"/>
        <v>0.65 (0.52 to 0.79)</v>
      </c>
      <c r="P316" t="str">
        <f>O319</f>
        <v>1.25 (1.07 to 1.42)</v>
      </c>
      <c r="Q316" t="str">
        <f>O322</f>
        <v>1.67 (1.47 to 1.87)</v>
      </c>
      <c r="R316" t="str">
        <f>O325</f>
        <v>1.85 (1.64 to 2.05)</v>
      </c>
    </row>
    <row r="317" spans="1:18" ht="17.25" thickBot="1" x14ac:dyDescent="0.35">
      <c r="A317" s="6"/>
      <c r="B317" s="11" t="s">
        <v>153</v>
      </c>
      <c r="C317" s="2">
        <v>16281</v>
      </c>
      <c r="D317" s="2">
        <v>7435856</v>
      </c>
      <c r="E317" s="2">
        <v>88984</v>
      </c>
      <c r="F317" s="2">
        <v>24.579799999999999</v>
      </c>
      <c r="G317" s="2">
        <v>0.21490000000000001</v>
      </c>
      <c r="H317" s="2">
        <v>24.158300000000001</v>
      </c>
      <c r="I317" s="2">
        <v>25.001200000000001</v>
      </c>
      <c r="J317" s="2">
        <v>100</v>
      </c>
      <c r="K317" s="2"/>
      <c r="L317" s="2"/>
      <c r="M317" s="2"/>
    </row>
    <row r="318" spans="1:18" ht="17.25" thickBot="1" x14ac:dyDescent="0.35">
      <c r="A318" s="6">
        <v>2</v>
      </c>
      <c r="B318" s="11">
        <v>0</v>
      </c>
      <c r="C318" s="2">
        <v>16521</v>
      </c>
      <c r="D318" s="2">
        <v>7266092</v>
      </c>
      <c r="E318" s="2">
        <v>81840</v>
      </c>
      <c r="F318" s="2">
        <v>24.018599999999999</v>
      </c>
      <c r="G318" s="2">
        <v>0.1933</v>
      </c>
      <c r="H318" s="2">
        <v>23.639500000000002</v>
      </c>
      <c r="I318" s="2">
        <v>24.3977</v>
      </c>
      <c r="J318" s="2">
        <v>98.751599999999996</v>
      </c>
      <c r="K318" s="2">
        <v>8.9200000000000002E-2</v>
      </c>
      <c r="L318" s="2">
        <v>98.576700000000002</v>
      </c>
      <c r="M318" s="2">
        <v>98.926400000000001</v>
      </c>
      <c r="O318" t="str">
        <f t="shared" ref="O318:O319" si="74">TEXT(J318,"0.00")&amp;" ("&amp;TEXT(L318,"0.00")&amp;" to "&amp;TEXT(M318,"0.00")&amp;")"</f>
        <v>98.75 (98.58 to 98.93)</v>
      </c>
    </row>
    <row r="319" spans="1:18" ht="17.25" thickBot="1" x14ac:dyDescent="0.35">
      <c r="A319" s="6"/>
      <c r="B319" s="11">
        <v>1</v>
      </c>
      <c r="C319" s="2">
        <v>286</v>
      </c>
      <c r="D319" s="2">
        <v>91860</v>
      </c>
      <c r="E319" s="2">
        <v>6567</v>
      </c>
      <c r="F319" s="2">
        <v>0.30359999999999998</v>
      </c>
      <c r="G319" s="2">
        <v>2.18E-2</v>
      </c>
      <c r="H319" s="2">
        <v>0.26100000000000001</v>
      </c>
      <c r="I319" s="2">
        <v>0.3463</v>
      </c>
      <c r="J319" s="2">
        <v>1.2484</v>
      </c>
      <c r="K319" s="2">
        <v>8.9200000000000002E-2</v>
      </c>
      <c r="L319" s="2">
        <v>1.0736000000000001</v>
      </c>
      <c r="M319" s="2">
        <v>1.4233</v>
      </c>
      <c r="O319" t="str">
        <f t="shared" si="74"/>
        <v>1.25 (1.07 to 1.42)</v>
      </c>
    </row>
    <row r="320" spans="1:18" ht="17.25" thickBot="1" x14ac:dyDescent="0.35">
      <c r="A320" s="6"/>
      <c r="B320" s="11" t="s">
        <v>153</v>
      </c>
      <c r="C320" s="2">
        <v>16807</v>
      </c>
      <c r="D320" s="2">
        <v>7357952</v>
      </c>
      <c r="E320" s="2">
        <v>82132</v>
      </c>
      <c r="F320" s="2">
        <v>24.322299999999998</v>
      </c>
      <c r="G320" s="2">
        <v>0.19400000000000001</v>
      </c>
      <c r="H320" s="2">
        <v>23.9419</v>
      </c>
      <c r="I320" s="2">
        <v>24.7026</v>
      </c>
      <c r="J320" s="2">
        <v>100</v>
      </c>
      <c r="K320" s="2"/>
      <c r="L320" s="2"/>
      <c r="M320" s="2"/>
    </row>
    <row r="321" spans="1:18" ht="17.25" thickBot="1" x14ac:dyDescent="0.35">
      <c r="A321" s="6">
        <v>3</v>
      </c>
      <c r="B321" s="11">
        <v>0</v>
      </c>
      <c r="C321" s="2">
        <v>17026</v>
      </c>
      <c r="D321" s="2">
        <v>7376235</v>
      </c>
      <c r="E321" s="2">
        <v>82319</v>
      </c>
      <c r="F321" s="2">
        <v>24.3827</v>
      </c>
      <c r="G321" s="2">
        <v>0.19839999999999999</v>
      </c>
      <c r="H321" s="2">
        <v>23.9937</v>
      </c>
      <c r="I321" s="2">
        <v>24.771699999999999</v>
      </c>
      <c r="J321" s="2">
        <v>98.331999999999994</v>
      </c>
      <c r="K321" s="2">
        <v>0.10150000000000001</v>
      </c>
      <c r="L321" s="2">
        <v>98.132900000000006</v>
      </c>
      <c r="M321" s="2">
        <v>98.531099999999995</v>
      </c>
      <c r="O321" t="str">
        <f t="shared" ref="O321:O322" si="75">TEXT(J321,"0.00")&amp;" ("&amp;TEXT(L321,"0.00")&amp;" to "&amp;TEXT(M321,"0.00")&amp;")"</f>
        <v>98.33 (98.13 to 98.53)</v>
      </c>
    </row>
    <row r="322" spans="1:18" ht="17.25" thickBot="1" x14ac:dyDescent="0.35">
      <c r="A322" s="6"/>
      <c r="B322" s="11">
        <v>1</v>
      </c>
      <c r="C322" s="2">
        <v>396</v>
      </c>
      <c r="D322" s="2">
        <v>125119</v>
      </c>
      <c r="E322" s="2">
        <v>7632</v>
      </c>
      <c r="F322" s="2">
        <v>0.41360000000000002</v>
      </c>
      <c r="G322" s="2">
        <v>2.5100000000000001E-2</v>
      </c>
      <c r="H322" s="2">
        <v>0.36430000000000001</v>
      </c>
      <c r="I322" s="2">
        <v>0.46289999999999998</v>
      </c>
      <c r="J322" s="2">
        <v>1.6679999999999999</v>
      </c>
      <c r="K322" s="2">
        <v>0.10150000000000001</v>
      </c>
      <c r="L322" s="2">
        <v>1.4689000000000001</v>
      </c>
      <c r="M322" s="2">
        <v>1.8671</v>
      </c>
      <c r="O322" t="str">
        <f t="shared" si="75"/>
        <v>1.67 (1.47 to 1.87)</v>
      </c>
    </row>
    <row r="323" spans="1:18" ht="17.25" thickBot="1" x14ac:dyDescent="0.35">
      <c r="A323" s="6"/>
      <c r="B323" s="11" t="s">
        <v>153</v>
      </c>
      <c r="C323" s="2">
        <v>17422</v>
      </c>
      <c r="D323" s="2">
        <v>7501354</v>
      </c>
      <c r="E323" s="2">
        <v>82741</v>
      </c>
      <c r="F323" s="2">
        <v>24.796299999999999</v>
      </c>
      <c r="G323" s="2">
        <v>0.19819999999999999</v>
      </c>
      <c r="H323" s="2">
        <v>24.407599999999999</v>
      </c>
      <c r="I323" s="2">
        <v>25.184899999999999</v>
      </c>
      <c r="J323" s="2">
        <v>100</v>
      </c>
      <c r="K323" s="2"/>
      <c r="L323" s="2"/>
      <c r="M323" s="2"/>
    </row>
    <row r="324" spans="1:18" ht="17.25" thickBot="1" x14ac:dyDescent="0.35">
      <c r="A324" s="6">
        <v>4</v>
      </c>
      <c r="B324" s="11">
        <v>0</v>
      </c>
      <c r="C324" s="2">
        <v>17663</v>
      </c>
      <c r="D324" s="2">
        <v>7809815</v>
      </c>
      <c r="E324" s="2">
        <v>82629</v>
      </c>
      <c r="F324" s="2">
        <v>25.815899999999999</v>
      </c>
      <c r="G324" s="2">
        <v>0.21049999999999999</v>
      </c>
      <c r="H324" s="2">
        <v>25.403199999999998</v>
      </c>
      <c r="I324" s="2">
        <v>26.2287</v>
      </c>
      <c r="J324" s="2">
        <v>98.153000000000006</v>
      </c>
      <c r="K324" s="2">
        <v>0.10589999999999999</v>
      </c>
      <c r="L324" s="2">
        <v>97.945499999999996</v>
      </c>
      <c r="M324" s="2">
        <v>98.360600000000005</v>
      </c>
      <c r="O324" t="str">
        <f t="shared" ref="O324:O325" si="76">TEXT(J324,"0.00")&amp;" ("&amp;TEXT(L324,"0.00")&amp;" to "&amp;TEXT(M324,"0.00")&amp;")"</f>
        <v>98.15 (97.95 to 98.36)</v>
      </c>
    </row>
    <row r="325" spans="1:18" ht="17.25" thickBot="1" x14ac:dyDescent="0.35">
      <c r="A325" s="6"/>
      <c r="B325" s="11">
        <v>1</v>
      </c>
      <c r="C325" s="2">
        <v>462</v>
      </c>
      <c r="D325" s="2">
        <v>146958</v>
      </c>
      <c r="E325" s="2">
        <v>8475</v>
      </c>
      <c r="F325" s="2">
        <v>0.48580000000000001</v>
      </c>
      <c r="G325" s="2">
        <v>2.81E-2</v>
      </c>
      <c r="H325" s="2">
        <v>0.43059999999999998</v>
      </c>
      <c r="I325" s="2">
        <v>0.54090000000000005</v>
      </c>
      <c r="J325" s="2">
        <v>1.847</v>
      </c>
      <c r="K325" s="2">
        <v>0.10589999999999999</v>
      </c>
      <c r="L325" s="2">
        <v>1.6394</v>
      </c>
      <c r="M325" s="2">
        <v>2.0545</v>
      </c>
      <c r="O325" t="str">
        <f t="shared" si="76"/>
        <v>1.85 (1.64 to 2.05)</v>
      </c>
    </row>
    <row r="326" spans="1:18" ht="17.25" thickBot="1" x14ac:dyDescent="0.35">
      <c r="A326" s="6"/>
      <c r="B326" s="11" t="s">
        <v>153</v>
      </c>
      <c r="C326" s="2">
        <v>18125</v>
      </c>
      <c r="D326" s="2">
        <v>7956773</v>
      </c>
      <c r="E326" s="2">
        <v>83258</v>
      </c>
      <c r="F326" s="2">
        <v>26.3017</v>
      </c>
      <c r="G326" s="2">
        <v>0.21260000000000001</v>
      </c>
      <c r="H326" s="2">
        <v>25.884799999999998</v>
      </c>
      <c r="I326" s="2">
        <v>26.718599999999999</v>
      </c>
      <c r="J326" s="2">
        <v>100</v>
      </c>
      <c r="K326" s="2"/>
      <c r="L326" s="2"/>
      <c r="M326" s="2"/>
    </row>
    <row r="327" spans="1:18" ht="17.25" thickBot="1" x14ac:dyDescent="0.35">
      <c r="A327" s="6" t="s">
        <v>153</v>
      </c>
      <c r="B327" s="11">
        <v>0</v>
      </c>
      <c r="C327" s="2">
        <v>67344</v>
      </c>
      <c r="D327" s="2">
        <v>29839323</v>
      </c>
      <c r="E327" s="2">
        <v>227888</v>
      </c>
      <c r="F327" s="2">
        <v>98.636099999999999</v>
      </c>
      <c r="G327" s="2">
        <v>4.7500000000000001E-2</v>
      </c>
      <c r="H327" s="2">
        <v>98.543000000000006</v>
      </c>
      <c r="I327" s="2">
        <v>98.729200000000006</v>
      </c>
      <c r="J327" s="2"/>
      <c r="K327" s="2"/>
      <c r="L327" s="2"/>
      <c r="M327" s="2"/>
    </row>
    <row r="328" spans="1:18" ht="17.25" thickBot="1" x14ac:dyDescent="0.35">
      <c r="A328" s="6"/>
      <c r="B328" s="11">
        <v>1</v>
      </c>
      <c r="C328" s="2">
        <v>1291</v>
      </c>
      <c r="D328" s="2">
        <v>412612</v>
      </c>
      <c r="E328" s="2">
        <v>14314</v>
      </c>
      <c r="F328" s="2">
        <v>1.3638999999999999</v>
      </c>
      <c r="G328" s="2">
        <v>4.7500000000000001E-2</v>
      </c>
      <c r="H328" s="2">
        <v>1.2707999999999999</v>
      </c>
      <c r="I328" s="2">
        <v>1.4570000000000001</v>
      </c>
      <c r="J328" s="2"/>
      <c r="K328" s="2"/>
      <c r="L328" s="2"/>
      <c r="M328" s="2"/>
    </row>
    <row r="329" spans="1:18" x14ac:dyDescent="0.3">
      <c r="A329" s="6"/>
      <c r="B329" s="14" t="s">
        <v>153</v>
      </c>
      <c r="C329" s="2">
        <v>68635</v>
      </c>
      <c r="D329" s="2">
        <v>30251936</v>
      </c>
      <c r="E329" s="2">
        <v>228758</v>
      </c>
      <c r="F329" s="2">
        <v>100</v>
      </c>
      <c r="G329" s="2"/>
      <c r="H329" s="2"/>
      <c r="I329" s="2"/>
      <c r="J329" s="2"/>
      <c r="K329" s="2"/>
      <c r="L329" s="2"/>
      <c r="M329" s="2"/>
    </row>
    <row r="330" spans="1:18" ht="17.25" thickBot="1" x14ac:dyDescent="0.35"/>
    <row r="331" spans="1:18" ht="16.5" customHeight="1" x14ac:dyDescent="0.3">
      <c r="A331" s="16" t="s">
        <v>186</v>
      </c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</row>
    <row r="332" spans="1:18" ht="33" customHeight="1" x14ac:dyDescent="0.3">
      <c r="A332" s="17" t="s">
        <v>25</v>
      </c>
      <c r="B332" s="19" t="s">
        <v>19</v>
      </c>
      <c r="C332" s="19" t="s">
        <v>146</v>
      </c>
      <c r="D332" s="3" t="s">
        <v>147</v>
      </c>
      <c r="E332" s="3" t="s">
        <v>148</v>
      </c>
      <c r="F332" s="19" t="s">
        <v>150</v>
      </c>
      <c r="G332" s="3" t="s">
        <v>148</v>
      </c>
      <c r="H332" s="19" t="s">
        <v>151</v>
      </c>
      <c r="I332" s="19"/>
      <c r="J332" s="3" t="s">
        <v>170</v>
      </c>
      <c r="K332" s="3" t="s">
        <v>148</v>
      </c>
      <c r="L332" s="19" t="s">
        <v>151</v>
      </c>
      <c r="M332" s="19"/>
    </row>
    <row r="333" spans="1:18" ht="33" x14ac:dyDescent="0.3">
      <c r="A333" s="17"/>
      <c r="B333" s="19"/>
      <c r="C333" s="19"/>
      <c r="D333" s="3" t="s">
        <v>146</v>
      </c>
      <c r="E333" s="3" t="s">
        <v>149</v>
      </c>
      <c r="F333" s="19"/>
      <c r="G333" s="3" t="s">
        <v>150</v>
      </c>
      <c r="H333" s="19" t="s">
        <v>152</v>
      </c>
      <c r="I333" s="19"/>
      <c r="J333" s="3" t="s">
        <v>150</v>
      </c>
      <c r="K333" s="3" t="s">
        <v>171</v>
      </c>
      <c r="L333" s="19" t="s">
        <v>172</v>
      </c>
      <c r="M333" s="19"/>
    </row>
    <row r="334" spans="1:18" ht="17.25" thickBot="1" x14ac:dyDescent="0.35">
      <c r="A334" s="6">
        <v>1</v>
      </c>
      <c r="B334" s="11">
        <v>0</v>
      </c>
      <c r="C334" s="2">
        <v>16197</v>
      </c>
      <c r="D334" s="2">
        <v>7410794</v>
      </c>
      <c r="E334" s="2">
        <v>88913</v>
      </c>
      <c r="F334" s="2">
        <v>24.4969</v>
      </c>
      <c r="G334" s="2">
        <v>0.215</v>
      </c>
      <c r="H334" s="2">
        <v>24.075299999999999</v>
      </c>
      <c r="I334" s="2">
        <v>24.918500000000002</v>
      </c>
      <c r="J334" s="2">
        <v>99.662899999999993</v>
      </c>
      <c r="K334" s="2">
        <v>4.4299999999999999E-2</v>
      </c>
      <c r="L334" s="2">
        <v>99.576099999999997</v>
      </c>
      <c r="M334" s="2">
        <v>99.749799999999993</v>
      </c>
      <c r="O334" t="str">
        <f t="shared" ref="O334:O335" si="77">TEXT(J334,"0.00")&amp;" ("&amp;TEXT(L334,"0.00")&amp;" to "&amp;TEXT(M334,"0.00")&amp;")"</f>
        <v>99.66 (99.58 to 99.75)</v>
      </c>
      <c r="P334" t="str">
        <f>O337</f>
        <v>99.40 (99.29 to 99.51)</v>
      </c>
      <c r="Q334" t="str">
        <f>O340</f>
        <v>99.24 (99.11 to 99.37)</v>
      </c>
      <c r="R334" t="str">
        <f>O343</f>
        <v>99.02 (98.87 to 99.18)</v>
      </c>
    </row>
    <row r="335" spans="1:18" ht="17.25" thickBot="1" x14ac:dyDescent="0.35">
      <c r="A335" s="6"/>
      <c r="B335" s="11">
        <v>1</v>
      </c>
      <c r="C335" s="2">
        <v>84</v>
      </c>
      <c r="D335" s="2">
        <v>25063</v>
      </c>
      <c r="E335" s="2">
        <v>3290</v>
      </c>
      <c r="F335" s="2">
        <v>8.2799999999999999E-2</v>
      </c>
      <c r="G335" s="2">
        <v>1.09E-2</v>
      </c>
      <c r="H335" s="2">
        <v>6.1499999999999999E-2</v>
      </c>
      <c r="I335" s="2">
        <v>0.1042</v>
      </c>
      <c r="J335" s="2">
        <v>0.33710000000000001</v>
      </c>
      <c r="K335" s="2">
        <v>4.4299999999999999E-2</v>
      </c>
      <c r="L335" s="2">
        <v>0.25019999999999998</v>
      </c>
      <c r="M335" s="2">
        <v>0.4239</v>
      </c>
      <c r="O335" t="str">
        <f t="shared" si="77"/>
        <v>0.34 (0.25 to 0.42)</v>
      </c>
      <c r="P335" t="str">
        <f>O338</f>
        <v>0.60 (0.49 to 0.71)</v>
      </c>
      <c r="Q335" t="str">
        <f>O341</f>
        <v>0.76 (0.63 to 0.89)</v>
      </c>
      <c r="R335" t="str">
        <f>O344</f>
        <v>0.98 (0.82 to 1.13)</v>
      </c>
    </row>
    <row r="336" spans="1:18" ht="17.25" thickBot="1" x14ac:dyDescent="0.35">
      <c r="A336" s="6"/>
      <c r="B336" s="11" t="s">
        <v>153</v>
      </c>
      <c r="C336" s="2">
        <v>16281</v>
      </c>
      <c r="D336" s="2">
        <v>7435856</v>
      </c>
      <c r="E336" s="2">
        <v>88984</v>
      </c>
      <c r="F336" s="2">
        <v>24.579799999999999</v>
      </c>
      <c r="G336" s="2">
        <v>0.21490000000000001</v>
      </c>
      <c r="H336" s="2">
        <v>24.158300000000001</v>
      </c>
      <c r="I336" s="2">
        <v>25.001200000000001</v>
      </c>
      <c r="J336" s="2">
        <v>100</v>
      </c>
      <c r="K336" s="2"/>
      <c r="L336" s="2"/>
      <c r="M336" s="2"/>
    </row>
    <row r="337" spans="1:15" ht="17.25" thickBot="1" x14ac:dyDescent="0.35">
      <c r="A337" s="6">
        <v>2</v>
      </c>
      <c r="B337" s="11">
        <v>0</v>
      </c>
      <c r="C337" s="2">
        <v>16657</v>
      </c>
      <c r="D337" s="2">
        <v>7313523</v>
      </c>
      <c r="E337" s="2">
        <v>81949</v>
      </c>
      <c r="F337" s="2">
        <v>24.1754</v>
      </c>
      <c r="G337" s="2">
        <v>0.19370000000000001</v>
      </c>
      <c r="H337" s="2">
        <v>23.7956</v>
      </c>
      <c r="I337" s="2">
        <v>24.555199999999999</v>
      </c>
      <c r="J337" s="2">
        <v>99.396199999999993</v>
      </c>
      <c r="K337" s="2">
        <v>5.62E-2</v>
      </c>
      <c r="L337" s="2">
        <v>99.285899999999998</v>
      </c>
      <c r="M337" s="2">
        <v>99.506399999999999</v>
      </c>
      <c r="O337" t="str">
        <f t="shared" ref="O337:O338" si="78">TEXT(J337,"0.00")&amp;" ("&amp;TEXT(L337,"0.00")&amp;" to "&amp;TEXT(M337,"0.00")&amp;")"</f>
        <v>99.40 (99.29 to 99.51)</v>
      </c>
    </row>
    <row r="338" spans="1:15" ht="17.25" thickBot="1" x14ac:dyDescent="0.35">
      <c r="A338" s="6"/>
      <c r="B338" s="11">
        <v>1</v>
      </c>
      <c r="C338" s="2">
        <v>150</v>
      </c>
      <c r="D338" s="2">
        <v>44429</v>
      </c>
      <c r="E338" s="2">
        <v>4142</v>
      </c>
      <c r="F338" s="2">
        <v>0.1469</v>
      </c>
      <c r="G338" s="2">
        <v>1.37E-2</v>
      </c>
      <c r="H338" s="2">
        <v>0.12</v>
      </c>
      <c r="I338" s="2">
        <v>0.17369999999999999</v>
      </c>
      <c r="J338" s="2">
        <v>0.6038</v>
      </c>
      <c r="K338" s="2">
        <v>5.62E-2</v>
      </c>
      <c r="L338" s="2">
        <v>0.49359999999999998</v>
      </c>
      <c r="M338" s="2">
        <v>0.71409999999999996</v>
      </c>
      <c r="O338" t="str">
        <f t="shared" si="78"/>
        <v>0.60 (0.49 to 0.71)</v>
      </c>
    </row>
    <row r="339" spans="1:15" ht="17.25" thickBot="1" x14ac:dyDescent="0.35">
      <c r="A339" s="6"/>
      <c r="B339" s="11" t="s">
        <v>153</v>
      </c>
      <c r="C339" s="2">
        <v>16807</v>
      </c>
      <c r="D339" s="2">
        <v>7357952</v>
      </c>
      <c r="E339" s="2">
        <v>82132</v>
      </c>
      <c r="F339" s="2">
        <v>24.322299999999998</v>
      </c>
      <c r="G339" s="2">
        <v>0.19400000000000001</v>
      </c>
      <c r="H339" s="2">
        <v>23.9419</v>
      </c>
      <c r="I339" s="2">
        <v>24.7026</v>
      </c>
      <c r="J339" s="2">
        <v>100</v>
      </c>
      <c r="K339" s="2"/>
      <c r="L339" s="2"/>
      <c r="M339" s="2"/>
    </row>
    <row r="340" spans="1:15" ht="17.25" thickBot="1" x14ac:dyDescent="0.35">
      <c r="A340" s="6">
        <v>3</v>
      </c>
      <c r="B340" s="11">
        <v>0</v>
      </c>
      <c r="C340" s="2">
        <v>17238</v>
      </c>
      <c r="D340" s="2">
        <v>7444373</v>
      </c>
      <c r="E340" s="2">
        <v>82391</v>
      </c>
      <c r="F340" s="2">
        <v>24.607900000000001</v>
      </c>
      <c r="G340" s="2">
        <v>0.19750000000000001</v>
      </c>
      <c r="H340" s="2">
        <v>24.220700000000001</v>
      </c>
      <c r="I340" s="2">
        <v>24.995200000000001</v>
      </c>
      <c r="J340" s="2">
        <v>99.240399999999994</v>
      </c>
      <c r="K340" s="2">
        <v>6.6299999999999998E-2</v>
      </c>
      <c r="L340" s="2">
        <v>99.110500000000002</v>
      </c>
      <c r="M340" s="2">
        <v>99.3703</v>
      </c>
      <c r="O340" t="str">
        <f t="shared" ref="O340:O341" si="79">TEXT(J340,"0.00")&amp;" ("&amp;TEXT(L340,"0.00")&amp;" to "&amp;TEXT(M340,"0.00")&amp;")"</f>
        <v>99.24 (99.11 to 99.37)</v>
      </c>
    </row>
    <row r="341" spans="1:15" ht="17.25" thickBot="1" x14ac:dyDescent="0.35">
      <c r="A341" s="6"/>
      <c r="B341" s="11">
        <v>1</v>
      </c>
      <c r="C341" s="2">
        <v>184</v>
      </c>
      <c r="D341" s="2">
        <v>56981</v>
      </c>
      <c r="E341" s="2">
        <v>4993</v>
      </c>
      <c r="F341" s="2">
        <v>0.18840000000000001</v>
      </c>
      <c r="G341" s="2">
        <v>1.6500000000000001E-2</v>
      </c>
      <c r="H341" s="2">
        <v>0.156</v>
      </c>
      <c r="I341" s="2">
        <v>0.22070000000000001</v>
      </c>
      <c r="J341" s="2">
        <v>0.75960000000000005</v>
      </c>
      <c r="K341" s="2">
        <v>6.6299999999999998E-2</v>
      </c>
      <c r="L341" s="2">
        <v>0.62970000000000004</v>
      </c>
      <c r="M341" s="2">
        <v>0.88949999999999996</v>
      </c>
      <c r="O341" t="str">
        <f t="shared" si="79"/>
        <v>0.76 (0.63 to 0.89)</v>
      </c>
    </row>
    <row r="342" spans="1:15" ht="17.25" thickBot="1" x14ac:dyDescent="0.35">
      <c r="A342" s="6"/>
      <c r="B342" s="11" t="s">
        <v>153</v>
      </c>
      <c r="C342" s="2">
        <v>17422</v>
      </c>
      <c r="D342" s="2">
        <v>7501354</v>
      </c>
      <c r="E342" s="2">
        <v>82741</v>
      </c>
      <c r="F342" s="2">
        <v>24.796299999999999</v>
      </c>
      <c r="G342" s="2">
        <v>0.19819999999999999</v>
      </c>
      <c r="H342" s="2">
        <v>24.407599999999999</v>
      </c>
      <c r="I342" s="2">
        <v>25.184899999999999</v>
      </c>
      <c r="J342" s="2">
        <v>100</v>
      </c>
      <c r="K342" s="2"/>
      <c r="L342" s="2"/>
      <c r="M342" s="2"/>
    </row>
    <row r="343" spans="1:15" ht="17.25" thickBot="1" x14ac:dyDescent="0.35">
      <c r="A343" s="6">
        <v>4</v>
      </c>
      <c r="B343" s="11">
        <v>0</v>
      </c>
      <c r="C343" s="2">
        <v>17906</v>
      </c>
      <c r="D343" s="2">
        <v>7879099</v>
      </c>
      <c r="E343" s="2">
        <v>82853</v>
      </c>
      <c r="F343" s="2">
        <v>26.044899999999998</v>
      </c>
      <c r="G343" s="2">
        <v>0.21249999999999999</v>
      </c>
      <c r="H343" s="2">
        <v>25.628299999999999</v>
      </c>
      <c r="I343" s="2">
        <v>26.461600000000001</v>
      </c>
      <c r="J343" s="2">
        <v>99.023799999999994</v>
      </c>
      <c r="K343" s="2">
        <v>7.8100000000000003E-2</v>
      </c>
      <c r="L343" s="2">
        <v>98.870599999999996</v>
      </c>
      <c r="M343" s="2">
        <v>99.177000000000007</v>
      </c>
      <c r="O343" t="str">
        <f t="shared" ref="O343:O344" si="80">TEXT(J343,"0.00")&amp;" ("&amp;TEXT(L343,"0.00")&amp;" to "&amp;TEXT(M343,"0.00")&amp;")"</f>
        <v>99.02 (98.87 to 99.18)</v>
      </c>
    </row>
    <row r="344" spans="1:15" ht="17.25" thickBot="1" x14ac:dyDescent="0.35">
      <c r="A344" s="6"/>
      <c r="B344" s="11">
        <v>1</v>
      </c>
      <c r="C344" s="2">
        <v>219</v>
      </c>
      <c r="D344" s="2">
        <v>77674</v>
      </c>
      <c r="E344" s="2">
        <v>6246</v>
      </c>
      <c r="F344" s="2">
        <v>0.25679999999999997</v>
      </c>
      <c r="G344" s="2">
        <v>2.06E-2</v>
      </c>
      <c r="H344" s="2">
        <v>0.2165</v>
      </c>
      <c r="I344" s="2">
        <v>0.29709999999999998</v>
      </c>
      <c r="J344" s="2">
        <v>0.97619999999999996</v>
      </c>
      <c r="K344" s="2">
        <v>7.8100000000000003E-2</v>
      </c>
      <c r="L344" s="2">
        <v>0.82299999999999995</v>
      </c>
      <c r="M344" s="2">
        <v>1.1294</v>
      </c>
      <c r="O344" t="str">
        <f t="shared" si="80"/>
        <v>0.98 (0.82 to 1.13)</v>
      </c>
    </row>
    <row r="345" spans="1:15" ht="17.25" thickBot="1" x14ac:dyDescent="0.35">
      <c r="A345" s="6"/>
      <c r="B345" s="11" t="s">
        <v>153</v>
      </c>
      <c r="C345" s="2">
        <v>18125</v>
      </c>
      <c r="D345" s="2">
        <v>7956773</v>
      </c>
      <c r="E345" s="2">
        <v>83258</v>
      </c>
      <c r="F345" s="2">
        <v>26.3017</v>
      </c>
      <c r="G345" s="2">
        <v>0.21260000000000001</v>
      </c>
      <c r="H345" s="2">
        <v>25.884799999999998</v>
      </c>
      <c r="I345" s="2">
        <v>26.718599999999999</v>
      </c>
      <c r="J345" s="2">
        <v>100</v>
      </c>
      <c r="K345" s="2"/>
      <c r="L345" s="2"/>
      <c r="M345" s="2"/>
    </row>
    <row r="346" spans="1:15" ht="17.25" thickBot="1" x14ac:dyDescent="0.35">
      <c r="A346" s="6" t="s">
        <v>153</v>
      </c>
      <c r="B346" s="11">
        <v>0</v>
      </c>
      <c r="C346" s="2">
        <v>67998</v>
      </c>
      <c r="D346" s="2">
        <v>30047789</v>
      </c>
      <c r="E346" s="2">
        <v>227796</v>
      </c>
      <c r="F346" s="2">
        <v>99.325199999999995</v>
      </c>
      <c r="G346" s="2">
        <v>3.1699999999999999E-2</v>
      </c>
      <c r="H346" s="2">
        <v>99.263000000000005</v>
      </c>
      <c r="I346" s="2">
        <v>99.387299999999996</v>
      </c>
      <c r="J346" s="2"/>
      <c r="K346" s="2"/>
      <c r="L346" s="2"/>
      <c r="M346" s="2"/>
    </row>
    <row r="347" spans="1:15" ht="17.25" thickBot="1" x14ac:dyDescent="0.35">
      <c r="A347" s="6"/>
      <c r="B347" s="11">
        <v>1</v>
      </c>
      <c r="C347" s="2">
        <v>637</v>
      </c>
      <c r="D347" s="2">
        <v>204146</v>
      </c>
      <c r="E347" s="2">
        <v>9654</v>
      </c>
      <c r="F347" s="2">
        <v>0.67479999999999996</v>
      </c>
      <c r="G347" s="2">
        <v>3.1699999999999999E-2</v>
      </c>
      <c r="H347" s="2">
        <v>0.61270000000000002</v>
      </c>
      <c r="I347" s="2">
        <v>0.73699999999999999</v>
      </c>
      <c r="J347" s="2"/>
      <c r="K347" s="2"/>
      <c r="L347" s="2"/>
      <c r="M347" s="2"/>
    </row>
    <row r="348" spans="1:15" x14ac:dyDescent="0.3">
      <c r="A348" s="6"/>
      <c r="B348" s="14" t="s">
        <v>153</v>
      </c>
      <c r="C348" s="2">
        <v>68635</v>
      </c>
      <c r="D348" s="2">
        <v>30251936</v>
      </c>
      <c r="E348" s="2">
        <v>228758</v>
      </c>
      <c r="F348" s="2">
        <v>100</v>
      </c>
      <c r="G348" s="2"/>
      <c r="H348" s="2"/>
      <c r="I348" s="2"/>
      <c r="J348" s="2"/>
      <c r="K348" s="2"/>
      <c r="L348" s="2"/>
      <c r="M348" s="2"/>
    </row>
    <row r="349" spans="1:15" ht="17.25" thickBot="1" x14ac:dyDescent="0.35"/>
    <row r="350" spans="1:15" ht="16.5" customHeight="1" x14ac:dyDescent="0.3">
      <c r="A350" s="16" t="s">
        <v>187</v>
      </c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</row>
    <row r="351" spans="1:15" ht="33" customHeight="1" x14ac:dyDescent="0.3">
      <c r="A351" s="17" t="s">
        <v>25</v>
      </c>
      <c r="B351" s="19" t="s">
        <v>20</v>
      </c>
      <c r="C351" s="19" t="s">
        <v>146</v>
      </c>
      <c r="D351" s="3" t="s">
        <v>147</v>
      </c>
      <c r="E351" s="3" t="s">
        <v>148</v>
      </c>
      <c r="F351" s="19" t="s">
        <v>150</v>
      </c>
      <c r="G351" s="3" t="s">
        <v>148</v>
      </c>
      <c r="H351" s="19" t="s">
        <v>151</v>
      </c>
      <c r="I351" s="19"/>
      <c r="J351" s="3" t="s">
        <v>170</v>
      </c>
      <c r="K351" s="3" t="s">
        <v>148</v>
      </c>
      <c r="L351" s="19" t="s">
        <v>151</v>
      </c>
      <c r="M351" s="19"/>
    </row>
    <row r="352" spans="1:15" ht="33" x14ac:dyDescent="0.3">
      <c r="A352" s="17"/>
      <c r="B352" s="19"/>
      <c r="C352" s="19"/>
      <c r="D352" s="3" t="s">
        <v>146</v>
      </c>
      <c r="E352" s="3" t="s">
        <v>149</v>
      </c>
      <c r="F352" s="19"/>
      <c r="G352" s="3" t="s">
        <v>150</v>
      </c>
      <c r="H352" s="19" t="s">
        <v>152</v>
      </c>
      <c r="I352" s="19"/>
      <c r="J352" s="3" t="s">
        <v>150</v>
      </c>
      <c r="K352" s="3" t="s">
        <v>171</v>
      </c>
      <c r="L352" s="19" t="s">
        <v>172</v>
      </c>
      <c r="M352" s="19"/>
    </row>
    <row r="353" spans="1:18" ht="17.25" thickBot="1" x14ac:dyDescent="0.35">
      <c r="A353" s="6">
        <v>1</v>
      </c>
      <c r="B353" s="11">
        <v>0</v>
      </c>
      <c r="C353" s="2">
        <v>16110</v>
      </c>
      <c r="D353" s="2">
        <v>7382525</v>
      </c>
      <c r="E353" s="2">
        <v>88883</v>
      </c>
      <c r="F353" s="2">
        <v>24.403500000000001</v>
      </c>
      <c r="G353" s="2">
        <v>0.21479999999999999</v>
      </c>
      <c r="H353" s="2">
        <v>23.982199999999999</v>
      </c>
      <c r="I353" s="2">
        <v>24.8247</v>
      </c>
      <c r="J353" s="2">
        <v>99.282799999999995</v>
      </c>
      <c r="K353" s="2">
        <v>6.7900000000000002E-2</v>
      </c>
      <c r="L353" s="2">
        <v>99.149600000000007</v>
      </c>
      <c r="M353" s="2">
        <v>99.415999999999997</v>
      </c>
      <c r="O353" t="str">
        <f t="shared" ref="O353:O354" si="81">TEXT(J353,"0.00")&amp;" ("&amp;TEXT(L353,"0.00")&amp;" to "&amp;TEXT(M353,"0.00")&amp;")"</f>
        <v>99.28 (99.15 to 99.42)</v>
      </c>
      <c r="P353" t="str">
        <f>O356</f>
        <v>98.86 (98.71 to 99.01)</v>
      </c>
      <c r="Q353" t="str">
        <f>O359</f>
        <v>98.47 (98.28 to 98.66)</v>
      </c>
      <c r="R353" t="str">
        <f>O362</f>
        <v>98.42 (98.23 to 98.61)</v>
      </c>
    </row>
    <row r="354" spans="1:18" ht="17.25" thickBot="1" x14ac:dyDescent="0.35">
      <c r="A354" s="6"/>
      <c r="B354" s="11">
        <v>1</v>
      </c>
      <c r="C354" s="2">
        <v>171</v>
      </c>
      <c r="D354" s="2">
        <v>53331</v>
      </c>
      <c r="E354" s="2">
        <v>5043</v>
      </c>
      <c r="F354" s="2">
        <v>0.17630000000000001</v>
      </c>
      <c r="G354" s="2">
        <v>1.67E-2</v>
      </c>
      <c r="H354" s="2">
        <v>0.14360000000000001</v>
      </c>
      <c r="I354" s="2">
        <v>0.20899999999999999</v>
      </c>
      <c r="J354" s="2">
        <v>0.71719999999999995</v>
      </c>
      <c r="K354" s="2">
        <v>6.7900000000000002E-2</v>
      </c>
      <c r="L354" s="2">
        <v>0.58399999999999996</v>
      </c>
      <c r="M354" s="2">
        <v>0.85040000000000004</v>
      </c>
      <c r="O354" t="str">
        <f t="shared" si="81"/>
        <v>0.72 (0.58 to 0.85)</v>
      </c>
      <c r="P354" t="str">
        <f>O357</f>
        <v>1.14 (0.99 to 1.29)</v>
      </c>
      <c r="Q354" t="str">
        <f>O360</f>
        <v>1.53 (1.34 to 1.72)</v>
      </c>
      <c r="R354" t="str">
        <f>O363</f>
        <v>1.58 (1.39 to 1.77)</v>
      </c>
    </row>
    <row r="355" spans="1:18" ht="17.25" thickBot="1" x14ac:dyDescent="0.35">
      <c r="A355" s="6"/>
      <c r="B355" s="11" t="s">
        <v>153</v>
      </c>
      <c r="C355" s="2">
        <v>16281</v>
      </c>
      <c r="D355" s="2">
        <v>7435856</v>
      </c>
      <c r="E355" s="2">
        <v>88984</v>
      </c>
      <c r="F355" s="2">
        <v>24.579799999999999</v>
      </c>
      <c r="G355" s="2">
        <v>0.21490000000000001</v>
      </c>
      <c r="H355" s="2">
        <v>24.158300000000001</v>
      </c>
      <c r="I355" s="2">
        <v>25.001200000000001</v>
      </c>
      <c r="J355" s="2">
        <v>100</v>
      </c>
      <c r="K355" s="2"/>
      <c r="L355" s="2"/>
      <c r="M355" s="2"/>
    </row>
    <row r="356" spans="1:18" ht="17.25" thickBot="1" x14ac:dyDescent="0.35">
      <c r="A356" s="6">
        <v>2</v>
      </c>
      <c r="B356" s="11">
        <v>0</v>
      </c>
      <c r="C356" s="2">
        <v>16520</v>
      </c>
      <c r="D356" s="2">
        <v>7274092</v>
      </c>
      <c r="E356" s="2">
        <v>81761</v>
      </c>
      <c r="F356" s="2">
        <v>24.045000000000002</v>
      </c>
      <c r="G356" s="2">
        <v>0.19370000000000001</v>
      </c>
      <c r="H356" s="2">
        <v>23.665299999999998</v>
      </c>
      <c r="I356" s="2">
        <v>24.424800000000001</v>
      </c>
      <c r="J356" s="2">
        <v>98.860299999999995</v>
      </c>
      <c r="K356" s="2">
        <v>7.85E-2</v>
      </c>
      <c r="L356" s="2">
        <v>98.706299999999999</v>
      </c>
      <c r="M356" s="2">
        <v>99.014300000000006</v>
      </c>
      <c r="O356" t="str">
        <f t="shared" ref="O356:O357" si="82">TEXT(J356,"0.00")&amp;" ("&amp;TEXT(L356,"0.00")&amp;" to "&amp;TEXT(M356,"0.00")&amp;")"</f>
        <v>98.86 (98.71 to 99.01)</v>
      </c>
    </row>
    <row r="357" spans="1:18" ht="17.25" thickBot="1" x14ac:dyDescent="0.35">
      <c r="A357" s="6"/>
      <c r="B357" s="11">
        <v>1</v>
      </c>
      <c r="C357" s="2">
        <v>287</v>
      </c>
      <c r="D357" s="2">
        <v>83860</v>
      </c>
      <c r="E357" s="2">
        <v>5795</v>
      </c>
      <c r="F357" s="2">
        <v>0.2772</v>
      </c>
      <c r="G357" s="2">
        <v>1.9099999999999999E-2</v>
      </c>
      <c r="H357" s="2">
        <v>0.2397</v>
      </c>
      <c r="I357" s="2">
        <v>0.31469999999999998</v>
      </c>
      <c r="J357" s="2">
        <v>1.1396999999999999</v>
      </c>
      <c r="K357" s="2">
        <v>7.85E-2</v>
      </c>
      <c r="L357" s="2">
        <v>0.98570000000000002</v>
      </c>
      <c r="M357" s="2">
        <v>1.2937000000000001</v>
      </c>
      <c r="O357" t="str">
        <f t="shared" si="82"/>
        <v>1.14 (0.99 to 1.29)</v>
      </c>
    </row>
    <row r="358" spans="1:18" ht="17.25" thickBot="1" x14ac:dyDescent="0.35">
      <c r="A358" s="6"/>
      <c r="B358" s="11" t="s">
        <v>153</v>
      </c>
      <c r="C358" s="2">
        <v>16807</v>
      </c>
      <c r="D358" s="2">
        <v>7357952</v>
      </c>
      <c r="E358" s="2">
        <v>82132</v>
      </c>
      <c r="F358" s="2">
        <v>24.322299999999998</v>
      </c>
      <c r="G358" s="2">
        <v>0.19400000000000001</v>
      </c>
      <c r="H358" s="2">
        <v>23.9419</v>
      </c>
      <c r="I358" s="2">
        <v>24.7026</v>
      </c>
      <c r="J358" s="2">
        <v>100</v>
      </c>
      <c r="K358" s="2"/>
      <c r="L358" s="2"/>
      <c r="M358" s="2"/>
    </row>
    <row r="359" spans="1:18" ht="17.25" thickBot="1" x14ac:dyDescent="0.35">
      <c r="A359" s="6">
        <v>3</v>
      </c>
      <c r="B359" s="11">
        <v>0</v>
      </c>
      <c r="C359" s="2">
        <v>17061</v>
      </c>
      <c r="D359" s="2">
        <v>7386679</v>
      </c>
      <c r="E359" s="2">
        <v>82274</v>
      </c>
      <c r="F359" s="2">
        <v>24.417200000000001</v>
      </c>
      <c r="G359" s="2">
        <v>0.19769999999999999</v>
      </c>
      <c r="H359" s="2">
        <v>24.029499999999999</v>
      </c>
      <c r="I359" s="2">
        <v>24.8049</v>
      </c>
      <c r="J359" s="2">
        <v>98.471299999999999</v>
      </c>
      <c r="K359" s="2">
        <v>9.5299999999999996E-2</v>
      </c>
      <c r="L359" s="2">
        <v>98.284400000000005</v>
      </c>
      <c r="M359" s="2">
        <v>98.658199999999994</v>
      </c>
      <c r="O359" t="str">
        <f t="shared" ref="O359:O360" si="83">TEXT(J359,"0.00")&amp;" ("&amp;TEXT(L359,"0.00")&amp;" to "&amp;TEXT(M359,"0.00")&amp;")"</f>
        <v>98.47 (98.28 to 98.66)</v>
      </c>
    </row>
    <row r="360" spans="1:18" ht="17.25" thickBot="1" x14ac:dyDescent="0.35">
      <c r="A360" s="6"/>
      <c r="B360" s="11">
        <v>1</v>
      </c>
      <c r="C360" s="2">
        <v>361</v>
      </c>
      <c r="D360" s="2">
        <v>114675</v>
      </c>
      <c r="E360" s="2">
        <v>7175</v>
      </c>
      <c r="F360" s="2">
        <v>0.37909999999999999</v>
      </c>
      <c r="G360" s="2">
        <v>2.3699999999999999E-2</v>
      </c>
      <c r="H360" s="2">
        <v>0.33260000000000001</v>
      </c>
      <c r="I360" s="2">
        <v>0.42549999999999999</v>
      </c>
      <c r="J360" s="2">
        <v>1.5286999999999999</v>
      </c>
      <c r="K360" s="2">
        <v>9.5299999999999996E-2</v>
      </c>
      <c r="L360" s="2">
        <v>1.3418000000000001</v>
      </c>
      <c r="M360" s="2">
        <v>1.7156</v>
      </c>
      <c r="O360" t="str">
        <f t="shared" si="83"/>
        <v>1.53 (1.34 to 1.72)</v>
      </c>
    </row>
    <row r="361" spans="1:18" ht="17.25" thickBot="1" x14ac:dyDescent="0.35">
      <c r="A361" s="6"/>
      <c r="B361" s="11" t="s">
        <v>153</v>
      </c>
      <c r="C361" s="2">
        <v>17422</v>
      </c>
      <c r="D361" s="2">
        <v>7501354</v>
      </c>
      <c r="E361" s="2">
        <v>82741</v>
      </c>
      <c r="F361" s="2">
        <v>24.796299999999999</v>
      </c>
      <c r="G361" s="2">
        <v>0.19819999999999999</v>
      </c>
      <c r="H361" s="2">
        <v>24.407599999999999</v>
      </c>
      <c r="I361" s="2">
        <v>25.184899999999999</v>
      </c>
      <c r="J361" s="2">
        <v>100</v>
      </c>
      <c r="K361" s="2"/>
      <c r="L361" s="2"/>
      <c r="M361" s="2"/>
    </row>
    <row r="362" spans="1:18" ht="17.25" thickBot="1" x14ac:dyDescent="0.35">
      <c r="A362" s="6">
        <v>4</v>
      </c>
      <c r="B362" s="11">
        <v>0</v>
      </c>
      <c r="C362" s="2">
        <v>17743</v>
      </c>
      <c r="D362" s="2">
        <v>7830895</v>
      </c>
      <c r="E362" s="2">
        <v>82606</v>
      </c>
      <c r="F362" s="2">
        <v>25.8856</v>
      </c>
      <c r="G362" s="2">
        <v>0.21210000000000001</v>
      </c>
      <c r="H362" s="2">
        <v>25.4696</v>
      </c>
      <c r="I362" s="2">
        <v>26.301600000000001</v>
      </c>
      <c r="J362" s="2">
        <v>98.418000000000006</v>
      </c>
      <c r="K362" s="2">
        <v>9.6799999999999997E-2</v>
      </c>
      <c r="L362" s="2">
        <v>98.228200000000001</v>
      </c>
      <c r="M362" s="2">
        <v>98.607699999999994</v>
      </c>
      <c r="O362" t="str">
        <f t="shared" ref="O362:O363" si="84">TEXT(J362,"0.00")&amp;" ("&amp;TEXT(L362,"0.00")&amp;" to "&amp;TEXT(M362,"0.00")&amp;")"</f>
        <v>98.42 (98.23 to 98.61)</v>
      </c>
    </row>
    <row r="363" spans="1:18" ht="17.25" thickBot="1" x14ac:dyDescent="0.35">
      <c r="A363" s="6"/>
      <c r="B363" s="11">
        <v>1</v>
      </c>
      <c r="C363" s="2">
        <v>382</v>
      </c>
      <c r="D363" s="2">
        <v>125879</v>
      </c>
      <c r="E363" s="2">
        <v>7761</v>
      </c>
      <c r="F363" s="2">
        <v>0.41610000000000003</v>
      </c>
      <c r="G363" s="2">
        <v>2.5499999999999998E-2</v>
      </c>
      <c r="H363" s="2">
        <v>0.36609999999999998</v>
      </c>
      <c r="I363" s="2">
        <v>0.46610000000000001</v>
      </c>
      <c r="J363" s="2">
        <v>1.5820000000000001</v>
      </c>
      <c r="K363" s="2">
        <v>9.6799999999999997E-2</v>
      </c>
      <c r="L363" s="2">
        <v>1.3923000000000001</v>
      </c>
      <c r="M363" s="2">
        <v>1.7718</v>
      </c>
      <c r="O363" t="str">
        <f t="shared" si="84"/>
        <v>1.58 (1.39 to 1.77)</v>
      </c>
    </row>
    <row r="364" spans="1:18" ht="17.25" thickBot="1" x14ac:dyDescent="0.35">
      <c r="A364" s="6"/>
      <c r="B364" s="11" t="s">
        <v>153</v>
      </c>
      <c r="C364" s="2">
        <v>18125</v>
      </c>
      <c r="D364" s="2">
        <v>7956773</v>
      </c>
      <c r="E364" s="2">
        <v>83258</v>
      </c>
      <c r="F364" s="2">
        <v>26.3017</v>
      </c>
      <c r="G364" s="2">
        <v>0.21260000000000001</v>
      </c>
      <c r="H364" s="2">
        <v>25.884799999999998</v>
      </c>
      <c r="I364" s="2">
        <v>26.718599999999999</v>
      </c>
      <c r="J364" s="2">
        <v>100</v>
      </c>
      <c r="K364" s="2"/>
      <c r="L364" s="2"/>
      <c r="M364" s="2"/>
    </row>
    <row r="365" spans="1:18" ht="17.25" thickBot="1" x14ac:dyDescent="0.35">
      <c r="A365" s="6" t="s">
        <v>153</v>
      </c>
      <c r="B365" s="11">
        <v>0</v>
      </c>
      <c r="C365" s="2">
        <v>67434</v>
      </c>
      <c r="D365" s="2">
        <v>29874191</v>
      </c>
      <c r="E365" s="2">
        <v>227215</v>
      </c>
      <c r="F365" s="2">
        <v>98.751300000000001</v>
      </c>
      <c r="G365" s="2">
        <v>4.3299999999999998E-2</v>
      </c>
      <c r="H365" s="2">
        <v>98.666499999999999</v>
      </c>
      <c r="I365" s="2">
        <v>98.836200000000005</v>
      </c>
      <c r="J365" s="2"/>
      <c r="K365" s="2"/>
      <c r="L365" s="2"/>
      <c r="M365" s="2"/>
    </row>
    <row r="366" spans="1:18" ht="17.25" thickBot="1" x14ac:dyDescent="0.35">
      <c r="A366" s="6"/>
      <c r="B366" s="11">
        <v>1</v>
      </c>
      <c r="C366" s="2">
        <v>1201</v>
      </c>
      <c r="D366" s="2">
        <v>377745</v>
      </c>
      <c r="E366" s="2">
        <v>13202</v>
      </c>
      <c r="F366" s="2">
        <v>1.2486999999999999</v>
      </c>
      <c r="G366" s="2">
        <v>4.3299999999999998E-2</v>
      </c>
      <c r="H366" s="2">
        <v>1.1637999999999999</v>
      </c>
      <c r="I366" s="2">
        <v>1.3334999999999999</v>
      </c>
      <c r="J366" s="2"/>
      <c r="K366" s="2"/>
      <c r="L366" s="2"/>
      <c r="M366" s="2"/>
    </row>
    <row r="367" spans="1:18" x14ac:dyDescent="0.3">
      <c r="A367" s="6"/>
      <c r="B367" s="14" t="s">
        <v>153</v>
      </c>
      <c r="C367" s="2">
        <v>68635</v>
      </c>
      <c r="D367" s="2">
        <v>30251936</v>
      </c>
      <c r="E367" s="2">
        <v>228758</v>
      </c>
      <c r="F367" s="2">
        <v>100</v>
      </c>
      <c r="G367" s="2"/>
      <c r="H367" s="2"/>
      <c r="I367" s="2"/>
      <c r="J367" s="2"/>
    </row>
  </sheetData>
  <autoFilter ref="B1:B367" xr:uid="{8CF1E065-6782-4D86-B355-59AA10E38420}"/>
  <mergeCells count="146">
    <mergeCell ref="A5:B5"/>
    <mergeCell ref="A11:B11"/>
    <mergeCell ref="A15:M15"/>
    <mergeCell ref="A16:A17"/>
    <mergeCell ref="B16:B17"/>
    <mergeCell ref="C16:C17"/>
    <mergeCell ref="F16:F17"/>
    <mergeCell ref="H16:I16"/>
    <mergeCell ref="H17:I17"/>
    <mergeCell ref="L16:M16"/>
    <mergeCell ref="L17:M17"/>
    <mergeCell ref="A39:M39"/>
    <mergeCell ref="A40:A41"/>
    <mergeCell ref="B40:B41"/>
    <mergeCell ref="C40:C41"/>
    <mergeCell ref="F40:F41"/>
    <mergeCell ref="H40:I40"/>
    <mergeCell ref="H41:I41"/>
    <mergeCell ref="L40:M40"/>
    <mergeCell ref="L41:M41"/>
    <mergeCell ref="A58:M58"/>
    <mergeCell ref="A59:A60"/>
    <mergeCell ref="B59:B60"/>
    <mergeCell ref="C59:C60"/>
    <mergeCell ref="F59:F60"/>
    <mergeCell ref="H59:I59"/>
    <mergeCell ref="H60:I60"/>
    <mergeCell ref="L59:M59"/>
    <mergeCell ref="L60:M60"/>
    <mergeCell ref="A77:M77"/>
    <mergeCell ref="A78:A79"/>
    <mergeCell ref="B78:B79"/>
    <mergeCell ref="C78:C79"/>
    <mergeCell ref="F78:F79"/>
    <mergeCell ref="H78:I78"/>
    <mergeCell ref="H79:I79"/>
    <mergeCell ref="L78:M78"/>
    <mergeCell ref="L79:M79"/>
    <mergeCell ref="A106:M106"/>
    <mergeCell ref="A107:A108"/>
    <mergeCell ref="B107:B108"/>
    <mergeCell ref="C107:C108"/>
    <mergeCell ref="F107:F108"/>
    <mergeCell ref="H107:I107"/>
    <mergeCell ref="H108:I108"/>
    <mergeCell ref="L107:M107"/>
    <mergeCell ref="L108:M108"/>
    <mergeCell ref="A135:M135"/>
    <mergeCell ref="A136:A137"/>
    <mergeCell ref="B136:B137"/>
    <mergeCell ref="C136:C137"/>
    <mergeCell ref="F136:F137"/>
    <mergeCell ref="H136:I136"/>
    <mergeCell ref="H137:I137"/>
    <mergeCell ref="L136:M136"/>
    <mergeCell ref="L137:M137"/>
    <mergeCell ref="A164:M164"/>
    <mergeCell ref="A165:A166"/>
    <mergeCell ref="B165:B166"/>
    <mergeCell ref="C165:C166"/>
    <mergeCell ref="F165:F166"/>
    <mergeCell ref="H165:I165"/>
    <mergeCell ref="H166:I166"/>
    <mergeCell ref="L165:M165"/>
    <mergeCell ref="L166:M166"/>
    <mergeCell ref="A183:M183"/>
    <mergeCell ref="A184:A185"/>
    <mergeCell ref="B184:B185"/>
    <mergeCell ref="C184:C185"/>
    <mergeCell ref="F184:F185"/>
    <mergeCell ref="H184:I184"/>
    <mergeCell ref="H185:I185"/>
    <mergeCell ref="L184:M184"/>
    <mergeCell ref="L185:M185"/>
    <mergeCell ref="A207:M207"/>
    <mergeCell ref="A208:A209"/>
    <mergeCell ref="B208:B209"/>
    <mergeCell ref="C208:C209"/>
    <mergeCell ref="F208:F209"/>
    <mergeCell ref="H208:I208"/>
    <mergeCell ref="H209:I209"/>
    <mergeCell ref="L208:M208"/>
    <mergeCell ref="L209:M209"/>
    <mergeCell ref="A231:M231"/>
    <mergeCell ref="A232:A233"/>
    <mergeCell ref="B232:B233"/>
    <mergeCell ref="C232:C233"/>
    <mergeCell ref="F232:F233"/>
    <mergeCell ref="H232:I232"/>
    <mergeCell ref="H233:I233"/>
    <mergeCell ref="L232:M232"/>
    <mergeCell ref="L233:M233"/>
    <mergeCell ref="A255:M255"/>
    <mergeCell ref="A256:A257"/>
    <mergeCell ref="B256:B257"/>
    <mergeCell ref="C256:C257"/>
    <mergeCell ref="F256:F257"/>
    <mergeCell ref="H256:I256"/>
    <mergeCell ref="H257:I257"/>
    <mergeCell ref="L256:M256"/>
    <mergeCell ref="L257:M257"/>
    <mergeCell ref="A274:M274"/>
    <mergeCell ref="A275:A276"/>
    <mergeCell ref="B275:B276"/>
    <mergeCell ref="C275:C276"/>
    <mergeCell ref="F275:F276"/>
    <mergeCell ref="H275:I275"/>
    <mergeCell ref="H276:I276"/>
    <mergeCell ref="L275:M275"/>
    <mergeCell ref="L276:M276"/>
    <mergeCell ref="A293:M293"/>
    <mergeCell ref="A294:A295"/>
    <mergeCell ref="B294:B295"/>
    <mergeCell ref="C294:C295"/>
    <mergeCell ref="F294:F295"/>
    <mergeCell ref="H294:I294"/>
    <mergeCell ref="H295:I295"/>
    <mergeCell ref="L294:M294"/>
    <mergeCell ref="L295:M295"/>
    <mergeCell ref="A312:M312"/>
    <mergeCell ref="A313:A314"/>
    <mergeCell ref="B313:B314"/>
    <mergeCell ref="C313:C314"/>
    <mergeCell ref="F313:F314"/>
    <mergeCell ref="H313:I313"/>
    <mergeCell ref="H314:I314"/>
    <mergeCell ref="L313:M313"/>
    <mergeCell ref="L314:M314"/>
    <mergeCell ref="A331:M331"/>
    <mergeCell ref="A332:A333"/>
    <mergeCell ref="B332:B333"/>
    <mergeCell ref="C332:C333"/>
    <mergeCell ref="F332:F333"/>
    <mergeCell ref="H332:I332"/>
    <mergeCell ref="H333:I333"/>
    <mergeCell ref="L332:M332"/>
    <mergeCell ref="L333:M333"/>
    <mergeCell ref="A350:M350"/>
    <mergeCell ref="A351:A352"/>
    <mergeCell ref="B351:B352"/>
    <mergeCell ref="C351:C352"/>
    <mergeCell ref="F351:F352"/>
    <mergeCell ref="H351:I351"/>
    <mergeCell ref="H352:I352"/>
    <mergeCell ref="L351:M351"/>
    <mergeCell ref="L352:M352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D0A06-1275-4B09-9C2E-3B1715EDF5A5}">
  <dimension ref="A1:R367"/>
  <sheetViews>
    <sheetView topLeftCell="A337" workbookViewId="0">
      <selection activeCell="O353" sqref="O353:R354"/>
    </sheetView>
  </sheetViews>
  <sheetFormatPr defaultRowHeight="16.5" x14ac:dyDescent="0.3"/>
  <cols>
    <col min="15" max="18" width="20.5" bestFit="1" customWidth="1"/>
  </cols>
  <sheetData>
    <row r="1" spans="1:13" x14ac:dyDescent="0.3">
      <c r="A1" s="1" t="s">
        <v>134</v>
      </c>
    </row>
    <row r="3" spans="1:13" x14ac:dyDescent="0.3">
      <c r="A3" s="1" t="s">
        <v>21</v>
      </c>
    </row>
    <row r="4" spans="1:13" ht="17.25" thickBot="1" x14ac:dyDescent="0.35"/>
    <row r="5" spans="1:13" ht="16.5" customHeight="1" x14ac:dyDescent="0.3">
      <c r="A5" s="16" t="s">
        <v>135</v>
      </c>
      <c r="B5" s="18"/>
    </row>
    <row r="6" spans="1:13" ht="26.25" thickBot="1" x14ac:dyDescent="0.35">
      <c r="A6" s="12" t="s">
        <v>136</v>
      </c>
      <c r="B6" s="2">
        <v>183</v>
      </c>
    </row>
    <row r="7" spans="1:13" ht="26.25" thickBot="1" x14ac:dyDescent="0.35">
      <c r="A7" s="12" t="s">
        <v>137</v>
      </c>
      <c r="B7" s="2">
        <v>2982</v>
      </c>
    </row>
    <row r="8" spans="1:13" ht="39" thickBot="1" x14ac:dyDescent="0.35">
      <c r="A8" s="12" t="s">
        <v>138</v>
      </c>
      <c r="B8" s="2">
        <v>68635</v>
      </c>
    </row>
    <row r="9" spans="1:13" ht="25.5" x14ac:dyDescent="0.3">
      <c r="A9" s="13" t="s">
        <v>139</v>
      </c>
      <c r="B9" s="2">
        <v>30251935.699999999</v>
      </c>
    </row>
    <row r="10" spans="1:13" ht="17.25" thickBot="1" x14ac:dyDescent="0.35"/>
    <row r="11" spans="1:13" ht="33" customHeight="1" x14ac:dyDescent="0.3">
      <c r="A11" s="16" t="s">
        <v>140</v>
      </c>
      <c r="B11" s="18"/>
    </row>
    <row r="12" spans="1:13" ht="33.75" thickBot="1" x14ac:dyDescent="0.35">
      <c r="A12" s="12" t="s">
        <v>141</v>
      </c>
      <c r="B12" s="2" t="s">
        <v>142</v>
      </c>
    </row>
    <row r="13" spans="1:13" ht="25.5" x14ac:dyDescent="0.3">
      <c r="A13" s="13" t="s">
        <v>143</v>
      </c>
      <c r="B13" s="2" t="s">
        <v>144</v>
      </c>
    </row>
    <row r="14" spans="1:13" ht="17.25" thickBot="1" x14ac:dyDescent="0.35"/>
    <row r="15" spans="1:13" ht="16.5" customHeight="1" x14ac:dyDescent="0.3">
      <c r="A15" s="16" t="s">
        <v>188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ht="33" customHeight="1" x14ac:dyDescent="0.3">
      <c r="A16" s="17" t="s">
        <v>43</v>
      </c>
      <c r="B16" s="19" t="s">
        <v>2</v>
      </c>
      <c r="C16" s="19" t="s">
        <v>146</v>
      </c>
      <c r="D16" s="3" t="s">
        <v>147</v>
      </c>
      <c r="E16" s="3" t="s">
        <v>148</v>
      </c>
      <c r="F16" s="19" t="s">
        <v>150</v>
      </c>
      <c r="G16" s="3" t="s">
        <v>148</v>
      </c>
      <c r="H16" s="19" t="s">
        <v>151</v>
      </c>
      <c r="I16" s="19"/>
      <c r="J16" s="3" t="s">
        <v>170</v>
      </c>
      <c r="K16" s="3" t="s">
        <v>148</v>
      </c>
      <c r="L16" s="19" t="s">
        <v>151</v>
      </c>
      <c r="M16" s="19"/>
    </row>
    <row r="17" spans="1:18" ht="33" x14ac:dyDescent="0.3">
      <c r="A17" s="17"/>
      <c r="B17" s="19"/>
      <c r="C17" s="19"/>
      <c r="D17" s="3" t="s">
        <v>146</v>
      </c>
      <c r="E17" s="3" t="s">
        <v>149</v>
      </c>
      <c r="F17" s="19"/>
      <c r="G17" s="3" t="s">
        <v>150</v>
      </c>
      <c r="H17" s="19" t="s">
        <v>152</v>
      </c>
      <c r="I17" s="19"/>
      <c r="J17" s="3" t="s">
        <v>150</v>
      </c>
      <c r="K17" s="3" t="s">
        <v>171</v>
      </c>
      <c r="L17" s="19" t="s">
        <v>172</v>
      </c>
      <c r="M17" s="19"/>
    </row>
    <row r="18" spans="1:18" ht="17.25" thickBot="1" x14ac:dyDescent="0.35">
      <c r="A18" s="6">
        <v>1</v>
      </c>
      <c r="B18" s="11">
        <v>1</v>
      </c>
      <c r="C18" s="2">
        <v>9030</v>
      </c>
      <c r="D18" s="2">
        <v>4891882</v>
      </c>
      <c r="E18" s="2">
        <v>76390</v>
      </c>
      <c r="F18" s="2">
        <v>16.170500000000001</v>
      </c>
      <c r="G18" s="2">
        <v>0.20569999999999999</v>
      </c>
      <c r="H18" s="2">
        <v>15.767099999999999</v>
      </c>
      <c r="I18" s="2">
        <v>16.573899999999998</v>
      </c>
      <c r="J18" s="2">
        <v>65.355099999999993</v>
      </c>
      <c r="K18" s="2">
        <v>0.46339999999999998</v>
      </c>
      <c r="L18" s="2">
        <v>64.4465</v>
      </c>
      <c r="M18" s="2">
        <v>66.263800000000003</v>
      </c>
      <c r="O18" t="str">
        <f>TEXT(J18,"0.00")&amp;" ("&amp;TEXT(L18,"0.00")&amp;" to "&amp;TEXT(M18,"0.00")&amp;")"</f>
        <v>65.36 (64.45 to 66.26)</v>
      </c>
      <c r="P18" t="str">
        <f>O22</f>
        <v>44.51 (43.49 to 45.53)</v>
      </c>
      <c r="Q18" t="str">
        <f>O26</f>
        <v>29.12 (28.16 to 30.08)</v>
      </c>
      <c r="R18" t="str">
        <f>O30</f>
        <v>16.18 (15.38 to 16.99)</v>
      </c>
    </row>
    <row r="19" spans="1:18" ht="17.25" thickBot="1" x14ac:dyDescent="0.35">
      <c r="A19" s="6"/>
      <c r="B19" s="11">
        <v>2</v>
      </c>
      <c r="C19" s="2">
        <v>5755</v>
      </c>
      <c r="D19" s="2">
        <v>2407773</v>
      </c>
      <c r="E19" s="2">
        <v>42911</v>
      </c>
      <c r="F19" s="2">
        <v>7.9591000000000003</v>
      </c>
      <c r="G19" s="2">
        <v>0.1273</v>
      </c>
      <c r="H19" s="2">
        <v>7.7095000000000002</v>
      </c>
      <c r="I19" s="2">
        <v>8.2086000000000006</v>
      </c>
      <c r="J19" s="2">
        <v>32.167700000000004</v>
      </c>
      <c r="K19" s="2">
        <v>0.44590000000000002</v>
      </c>
      <c r="L19" s="2">
        <v>31.293299999999999</v>
      </c>
      <c r="M19" s="2">
        <v>33.042000000000002</v>
      </c>
      <c r="O19" t="str">
        <f t="shared" ref="O19:O20" si="0">TEXT(J19,"0.00")&amp;" ("&amp;TEXT(L19,"0.00")&amp;" to "&amp;TEXT(M19,"0.00")&amp;")"</f>
        <v>32.17 (31.29 to 33.04)</v>
      </c>
      <c r="P19" t="str">
        <f t="shared" ref="P19:P20" si="1">O23</f>
        <v>47.54 (46.57 to 48.50)</v>
      </c>
      <c r="Q19" t="str">
        <f t="shared" ref="Q19:Q20" si="2">O27</f>
        <v>55.33 (54.40 to 56.25)</v>
      </c>
      <c r="R19" t="str">
        <f t="shared" ref="R19:R20" si="3">O31</f>
        <v>59.36 (58.43 to 60.28)</v>
      </c>
    </row>
    <row r="20" spans="1:18" ht="17.25" thickBot="1" x14ac:dyDescent="0.35">
      <c r="A20" s="6"/>
      <c r="B20" s="11">
        <v>3</v>
      </c>
      <c r="C20" s="2">
        <v>729</v>
      </c>
      <c r="D20" s="2">
        <v>185421</v>
      </c>
      <c r="E20" s="2">
        <v>8730</v>
      </c>
      <c r="F20" s="2">
        <v>0.6129</v>
      </c>
      <c r="G20" s="2">
        <v>2.9000000000000001E-2</v>
      </c>
      <c r="H20" s="2">
        <v>0.55600000000000005</v>
      </c>
      <c r="I20" s="2">
        <v>0.66979999999999995</v>
      </c>
      <c r="J20" s="2">
        <v>2.4771999999999998</v>
      </c>
      <c r="K20" s="2">
        <v>0.1173</v>
      </c>
      <c r="L20" s="2">
        <v>2.2471999999999999</v>
      </c>
      <c r="M20" s="2">
        <v>2.7071999999999998</v>
      </c>
      <c r="O20" t="str">
        <f t="shared" si="0"/>
        <v>2.48 (2.25 to 2.71)</v>
      </c>
      <c r="P20" t="str">
        <f t="shared" si="1"/>
        <v>7.95 (7.54 to 8.36)</v>
      </c>
      <c r="Q20" t="str">
        <f t="shared" si="2"/>
        <v>15.55 (14.94 to 16.16)</v>
      </c>
      <c r="R20" t="str">
        <f t="shared" si="3"/>
        <v>24.46 (23.71 to 25.22)</v>
      </c>
    </row>
    <row r="21" spans="1:18" ht="17.25" thickBot="1" x14ac:dyDescent="0.35">
      <c r="A21" s="6"/>
      <c r="B21" s="11" t="s">
        <v>153</v>
      </c>
      <c r="C21" s="2">
        <v>15514</v>
      </c>
      <c r="D21" s="2">
        <v>7485076</v>
      </c>
      <c r="E21" s="2">
        <v>96512</v>
      </c>
      <c r="F21" s="2">
        <v>24.7425</v>
      </c>
      <c r="G21" s="2">
        <v>0.23899999999999999</v>
      </c>
      <c r="H21" s="2">
        <v>24.273700000000002</v>
      </c>
      <c r="I21" s="2">
        <v>25.211200000000002</v>
      </c>
      <c r="J21" s="2">
        <v>100</v>
      </c>
      <c r="K21" s="2"/>
      <c r="L21" s="2"/>
      <c r="M21" s="2"/>
    </row>
    <row r="22" spans="1:18" ht="17.25" thickBot="1" x14ac:dyDescent="0.35">
      <c r="A22" s="6">
        <v>2</v>
      </c>
      <c r="B22" s="11">
        <v>1</v>
      </c>
      <c r="C22" s="2">
        <v>6220</v>
      </c>
      <c r="D22" s="2">
        <v>3552284</v>
      </c>
      <c r="E22" s="2">
        <v>61784</v>
      </c>
      <c r="F22" s="2">
        <v>11.7423</v>
      </c>
      <c r="G22" s="2">
        <v>0.17499999999999999</v>
      </c>
      <c r="H22" s="2">
        <v>11.399100000000001</v>
      </c>
      <c r="I22" s="2">
        <v>12.085599999999999</v>
      </c>
      <c r="J22" s="2">
        <v>44.511899999999997</v>
      </c>
      <c r="K22" s="2">
        <v>0.51949999999999996</v>
      </c>
      <c r="L22" s="2">
        <v>43.493299999999998</v>
      </c>
      <c r="M22" s="2">
        <v>45.5304</v>
      </c>
      <c r="O22" t="str">
        <f t="shared" ref="O22:O24" si="4">TEXT(J22,"0.00")&amp;" ("&amp;TEXT(L22,"0.00")&amp;" to "&amp;TEXT(M22,"0.00")&amp;")"</f>
        <v>44.51 (43.49 to 45.53)</v>
      </c>
    </row>
    <row r="23" spans="1:18" ht="17.25" thickBot="1" x14ac:dyDescent="0.35">
      <c r="A23" s="6"/>
      <c r="B23" s="11">
        <v>2</v>
      </c>
      <c r="C23" s="2">
        <v>8824</v>
      </c>
      <c r="D23" s="2">
        <v>3793614</v>
      </c>
      <c r="E23" s="2">
        <v>56439</v>
      </c>
      <c r="F23" s="2">
        <v>12.540100000000001</v>
      </c>
      <c r="G23" s="2">
        <v>0.15790000000000001</v>
      </c>
      <c r="H23" s="2">
        <v>12.230499999999999</v>
      </c>
      <c r="I23" s="2">
        <v>12.849600000000001</v>
      </c>
      <c r="J23" s="2">
        <v>47.535899999999998</v>
      </c>
      <c r="K23" s="2">
        <v>0.49209999999999998</v>
      </c>
      <c r="L23" s="2">
        <v>46.570900000000002</v>
      </c>
      <c r="M23" s="2">
        <v>48.500799999999998</v>
      </c>
      <c r="O23" t="str">
        <f t="shared" si="4"/>
        <v>47.54 (46.57 to 48.50)</v>
      </c>
    </row>
    <row r="24" spans="1:18" ht="17.25" thickBot="1" x14ac:dyDescent="0.35">
      <c r="A24" s="6"/>
      <c r="B24" s="11">
        <v>3</v>
      </c>
      <c r="C24" s="2">
        <v>2427</v>
      </c>
      <c r="D24" s="2">
        <v>634633</v>
      </c>
      <c r="E24" s="2">
        <v>16362</v>
      </c>
      <c r="F24" s="2">
        <v>2.0977999999999999</v>
      </c>
      <c r="G24" s="2">
        <v>5.4300000000000001E-2</v>
      </c>
      <c r="H24" s="2">
        <v>1.9914000000000001</v>
      </c>
      <c r="I24" s="2">
        <v>2.2042999999999999</v>
      </c>
      <c r="J24" s="2">
        <v>7.9523000000000001</v>
      </c>
      <c r="K24" s="2">
        <v>0.20899999999999999</v>
      </c>
      <c r="L24" s="2">
        <v>7.5423999999999998</v>
      </c>
      <c r="M24" s="2">
        <v>8.3620999999999999</v>
      </c>
      <c r="O24" t="str">
        <f t="shared" si="4"/>
        <v>7.95 (7.54 to 8.36)</v>
      </c>
    </row>
    <row r="25" spans="1:18" ht="17.25" thickBot="1" x14ac:dyDescent="0.35">
      <c r="A25" s="6"/>
      <c r="B25" s="11" t="s">
        <v>153</v>
      </c>
      <c r="C25" s="2">
        <v>17471</v>
      </c>
      <c r="D25" s="2">
        <v>7980531</v>
      </c>
      <c r="E25" s="2">
        <v>89661</v>
      </c>
      <c r="F25" s="2">
        <v>26.380199999999999</v>
      </c>
      <c r="G25" s="2">
        <v>0.20599999999999999</v>
      </c>
      <c r="H25" s="2">
        <v>25.976199999999999</v>
      </c>
      <c r="I25" s="2">
        <v>26.784199999999998</v>
      </c>
      <c r="J25" s="2">
        <v>100</v>
      </c>
      <c r="K25" s="2"/>
      <c r="L25" s="2"/>
      <c r="M25" s="2"/>
    </row>
    <row r="26" spans="1:18" ht="17.25" thickBot="1" x14ac:dyDescent="0.35">
      <c r="A26" s="6">
        <v>3</v>
      </c>
      <c r="B26" s="11">
        <v>1</v>
      </c>
      <c r="C26" s="2">
        <v>3862</v>
      </c>
      <c r="D26" s="2">
        <v>2245446</v>
      </c>
      <c r="E26" s="2">
        <v>47617</v>
      </c>
      <c r="F26" s="2">
        <v>7.4225000000000003</v>
      </c>
      <c r="G26" s="2">
        <v>0.14360000000000001</v>
      </c>
      <c r="H26" s="2">
        <v>7.141</v>
      </c>
      <c r="I26" s="2">
        <v>7.7039999999999997</v>
      </c>
      <c r="J26" s="2">
        <v>29.119199999999999</v>
      </c>
      <c r="K26" s="2">
        <v>0.48830000000000001</v>
      </c>
      <c r="L26" s="2">
        <v>28.1616</v>
      </c>
      <c r="M26" s="2">
        <v>30.076699999999999</v>
      </c>
      <c r="O26" t="str">
        <f t="shared" ref="O26:O28" si="5">TEXT(J26,"0.00")&amp;" ("&amp;TEXT(L26,"0.00")&amp;" to "&amp;TEXT(M26,"0.00")&amp;")"</f>
        <v>29.12 (28.16 to 30.08)</v>
      </c>
    </row>
    <row r="27" spans="1:18" ht="17.25" thickBot="1" x14ac:dyDescent="0.35">
      <c r="A27" s="6"/>
      <c r="B27" s="11">
        <v>2</v>
      </c>
      <c r="C27" s="2">
        <v>9605</v>
      </c>
      <c r="D27" s="2">
        <v>4266557</v>
      </c>
      <c r="E27" s="2">
        <v>59968</v>
      </c>
      <c r="F27" s="2">
        <v>14.103400000000001</v>
      </c>
      <c r="G27" s="2">
        <v>0.16289999999999999</v>
      </c>
      <c r="H27" s="2">
        <v>13.784000000000001</v>
      </c>
      <c r="I27" s="2">
        <v>14.422800000000001</v>
      </c>
      <c r="J27" s="2">
        <v>55.329099999999997</v>
      </c>
      <c r="K27" s="2">
        <v>0.47149999999999997</v>
      </c>
      <c r="L27" s="2">
        <v>54.404699999999998</v>
      </c>
      <c r="M27" s="2">
        <v>56.253500000000003</v>
      </c>
      <c r="O27" t="str">
        <f t="shared" si="5"/>
        <v>55.33 (54.40 to 56.25)</v>
      </c>
    </row>
    <row r="28" spans="1:18" ht="17.25" thickBot="1" x14ac:dyDescent="0.35">
      <c r="A28" s="6"/>
      <c r="B28" s="11">
        <v>3</v>
      </c>
      <c r="C28" s="2">
        <v>4521</v>
      </c>
      <c r="D28" s="2">
        <v>1199232</v>
      </c>
      <c r="E28" s="2">
        <v>24248</v>
      </c>
      <c r="F28" s="2">
        <v>3.9641000000000002</v>
      </c>
      <c r="G28" s="2">
        <v>8.2100000000000006E-2</v>
      </c>
      <c r="H28" s="2">
        <v>3.8031999999999999</v>
      </c>
      <c r="I28" s="2">
        <v>4.1250999999999998</v>
      </c>
      <c r="J28" s="2">
        <v>15.5517</v>
      </c>
      <c r="K28" s="2">
        <v>0.31019999999999998</v>
      </c>
      <c r="L28" s="2">
        <v>14.9435</v>
      </c>
      <c r="M28" s="2">
        <v>16.16</v>
      </c>
      <c r="O28" t="str">
        <f t="shared" si="5"/>
        <v>15.55 (14.94 to 16.16)</v>
      </c>
    </row>
    <row r="29" spans="1:18" ht="17.25" thickBot="1" x14ac:dyDescent="0.35">
      <c r="A29" s="6"/>
      <c r="B29" s="11" t="s">
        <v>153</v>
      </c>
      <c r="C29" s="2">
        <v>17988</v>
      </c>
      <c r="D29" s="2">
        <v>7711235</v>
      </c>
      <c r="E29" s="2">
        <v>84434</v>
      </c>
      <c r="F29" s="2">
        <v>25.490100000000002</v>
      </c>
      <c r="G29" s="2">
        <v>0.20630000000000001</v>
      </c>
      <c r="H29" s="2">
        <v>25.0855</v>
      </c>
      <c r="I29" s="2">
        <v>25.894600000000001</v>
      </c>
      <c r="J29" s="2">
        <v>100</v>
      </c>
      <c r="K29" s="2"/>
      <c r="L29" s="2"/>
      <c r="M29" s="2"/>
    </row>
    <row r="30" spans="1:18" ht="17.25" thickBot="1" x14ac:dyDescent="0.35">
      <c r="A30" s="6">
        <v>4</v>
      </c>
      <c r="B30" s="11">
        <v>1</v>
      </c>
      <c r="C30" s="2">
        <v>1967</v>
      </c>
      <c r="D30" s="2">
        <v>1144901</v>
      </c>
      <c r="E30" s="2">
        <v>32063</v>
      </c>
      <c r="F30" s="2">
        <v>3.7846000000000002</v>
      </c>
      <c r="G30" s="2">
        <v>0.1024</v>
      </c>
      <c r="H30" s="2">
        <v>3.5838000000000001</v>
      </c>
      <c r="I30" s="2">
        <v>3.9853000000000001</v>
      </c>
      <c r="J30" s="2">
        <v>16.182099999999998</v>
      </c>
      <c r="K30" s="2">
        <v>0.41039999999999999</v>
      </c>
      <c r="L30" s="2">
        <v>15.3775</v>
      </c>
      <c r="M30" s="2">
        <v>16.986799999999999</v>
      </c>
      <c r="O30" t="str">
        <f t="shared" ref="O30:O32" si="6">TEXT(J30,"0.00")&amp;" ("&amp;TEXT(L30,"0.00")&amp;" to "&amp;TEXT(M30,"0.00")&amp;")"</f>
        <v>16.18 (15.38 to 16.99)</v>
      </c>
    </row>
    <row r="31" spans="1:18" ht="17.25" thickBot="1" x14ac:dyDescent="0.35">
      <c r="A31" s="6"/>
      <c r="B31" s="11">
        <v>2</v>
      </c>
      <c r="C31" s="2">
        <v>9286</v>
      </c>
      <c r="D31" s="2">
        <v>4199446</v>
      </c>
      <c r="E31" s="2">
        <v>59693</v>
      </c>
      <c r="F31" s="2">
        <v>13.881600000000001</v>
      </c>
      <c r="G31" s="2">
        <v>0.16900000000000001</v>
      </c>
      <c r="H31" s="2">
        <v>13.5502</v>
      </c>
      <c r="I31" s="2">
        <v>14.212999999999999</v>
      </c>
      <c r="J31" s="2">
        <v>59.3553</v>
      </c>
      <c r="K31" s="2">
        <v>0.4738</v>
      </c>
      <c r="L31" s="2">
        <v>58.426299999999998</v>
      </c>
      <c r="M31" s="2">
        <v>60.284399999999998</v>
      </c>
      <c r="O31" t="str">
        <f t="shared" si="6"/>
        <v>59.36 (58.43 to 60.28)</v>
      </c>
    </row>
    <row r="32" spans="1:18" ht="17.25" thickBot="1" x14ac:dyDescent="0.35">
      <c r="A32" s="6"/>
      <c r="B32" s="11">
        <v>3</v>
      </c>
      <c r="C32" s="2">
        <v>6409</v>
      </c>
      <c r="D32" s="2">
        <v>1730747</v>
      </c>
      <c r="E32" s="2">
        <v>31228</v>
      </c>
      <c r="F32" s="2">
        <v>5.7210999999999999</v>
      </c>
      <c r="G32" s="2">
        <v>0.107</v>
      </c>
      <c r="H32" s="2">
        <v>5.5113000000000003</v>
      </c>
      <c r="I32" s="2">
        <v>5.9309000000000003</v>
      </c>
      <c r="J32" s="2">
        <v>24.462499999999999</v>
      </c>
      <c r="K32" s="2">
        <v>0.38569999999999999</v>
      </c>
      <c r="L32" s="2">
        <v>23.706299999999999</v>
      </c>
      <c r="M32" s="2">
        <v>25.218800000000002</v>
      </c>
      <c r="O32" t="str">
        <f t="shared" si="6"/>
        <v>24.46 (23.71 to 25.22)</v>
      </c>
    </row>
    <row r="33" spans="1:18" ht="17.25" thickBot="1" x14ac:dyDescent="0.35">
      <c r="A33" s="6"/>
      <c r="B33" s="11" t="s">
        <v>153</v>
      </c>
      <c r="C33" s="2">
        <v>17662</v>
      </c>
      <c r="D33" s="2">
        <v>7075094</v>
      </c>
      <c r="E33" s="2">
        <v>78713</v>
      </c>
      <c r="F33" s="2">
        <v>23.3872</v>
      </c>
      <c r="G33" s="2">
        <v>0.221</v>
      </c>
      <c r="H33" s="2">
        <v>22.954000000000001</v>
      </c>
      <c r="I33" s="2">
        <v>23.820499999999999</v>
      </c>
      <c r="J33" s="2">
        <v>100</v>
      </c>
      <c r="K33" s="2"/>
      <c r="L33" s="2"/>
      <c r="M33" s="2"/>
    </row>
    <row r="34" spans="1:18" ht="17.25" thickBot="1" x14ac:dyDescent="0.35">
      <c r="A34" s="6" t="s">
        <v>153</v>
      </c>
      <c r="B34" s="11">
        <v>1</v>
      </c>
      <c r="C34" s="2">
        <v>21079</v>
      </c>
      <c r="D34" s="2">
        <v>11834513</v>
      </c>
      <c r="E34" s="2">
        <v>141523</v>
      </c>
      <c r="F34" s="2">
        <v>39.119900000000001</v>
      </c>
      <c r="G34" s="2">
        <v>0.31680000000000003</v>
      </c>
      <c r="H34" s="2">
        <v>38.498699999999999</v>
      </c>
      <c r="I34" s="2">
        <v>39.741</v>
      </c>
      <c r="J34" s="2"/>
      <c r="K34" s="2"/>
      <c r="L34" s="2"/>
      <c r="M34" s="2"/>
    </row>
    <row r="35" spans="1:18" ht="17.25" thickBot="1" x14ac:dyDescent="0.35">
      <c r="A35" s="6"/>
      <c r="B35" s="11">
        <v>2</v>
      </c>
      <c r="C35" s="2">
        <v>33470</v>
      </c>
      <c r="D35" s="2">
        <v>14667390</v>
      </c>
      <c r="E35" s="2">
        <v>140978</v>
      </c>
      <c r="F35" s="2">
        <v>48.484099999999998</v>
      </c>
      <c r="G35" s="2">
        <v>0.27379999999999999</v>
      </c>
      <c r="H35" s="2">
        <v>47.947200000000002</v>
      </c>
      <c r="I35" s="2">
        <v>49.021099999999997</v>
      </c>
      <c r="J35" s="2"/>
      <c r="K35" s="2"/>
      <c r="L35" s="2"/>
      <c r="M35" s="2"/>
    </row>
    <row r="36" spans="1:18" ht="17.25" thickBot="1" x14ac:dyDescent="0.35">
      <c r="A36" s="6"/>
      <c r="B36" s="11">
        <v>3</v>
      </c>
      <c r="C36" s="2">
        <v>14086</v>
      </c>
      <c r="D36" s="2">
        <v>3750032</v>
      </c>
      <c r="E36" s="2">
        <v>51705</v>
      </c>
      <c r="F36" s="2">
        <v>12.396000000000001</v>
      </c>
      <c r="G36" s="2">
        <v>0.17949999999999999</v>
      </c>
      <c r="H36" s="2">
        <v>12.044</v>
      </c>
      <c r="I36" s="2">
        <v>12.747999999999999</v>
      </c>
      <c r="J36" s="2"/>
      <c r="K36" s="2"/>
      <c r="L36" s="2"/>
      <c r="M36" s="2"/>
    </row>
    <row r="37" spans="1:18" x14ac:dyDescent="0.3">
      <c r="A37" s="6"/>
      <c r="B37" s="14" t="s">
        <v>153</v>
      </c>
      <c r="C37" s="2">
        <v>68635</v>
      </c>
      <c r="D37" s="2">
        <v>30251936</v>
      </c>
      <c r="E37" s="2">
        <v>228758</v>
      </c>
      <c r="F37" s="2">
        <v>100</v>
      </c>
      <c r="G37" s="2"/>
      <c r="H37" s="2"/>
      <c r="I37" s="2"/>
      <c r="J37" s="2"/>
      <c r="K37" s="2"/>
      <c r="L37" s="2"/>
      <c r="M37" s="2"/>
    </row>
    <row r="38" spans="1:18" ht="17.25" thickBot="1" x14ac:dyDescent="0.35"/>
    <row r="39" spans="1:18" ht="16.5" customHeight="1" x14ac:dyDescent="0.3">
      <c r="A39" s="16" t="s">
        <v>189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8" ht="33" customHeight="1" x14ac:dyDescent="0.3">
      <c r="A40" s="17" t="s">
        <v>43</v>
      </c>
      <c r="B40" s="19" t="s">
        <v>6</v>
      </c>
      <c r="C40" s="19" t="s">
        <v>146</v>
      </c>
      <c r="D40" s="3" t="s">
        <v>147</v>
      </c>
      <c r="E40" s="3" t="s">
        <v>148</v>
      </c>
      <c r="F40" s="19" t="s">
        <v>150</v>
      </c>
      <c r="G40" s="3" t="s">
        <v>148</v>
      </c>
      <c r="H40" s="19" t="s">
        <v>151</v>
      </c>
      <c r="I40" s="19"/>
      <c r="J40" s="3" t="s">
        <v>170</v>
      </c>
      <c r="K40" s="3" t="s">
        <v>148</v>
      </c>
      <c r="L40" s="19" t="s">
        <v>151</v>
      </c>
      <c r="M40" s="19"/>
    </row>
    <row r="41" spans="1:18" ht="33" x14ac:dyDescent="0.3">
      <c r="A41" s="17"/>
      <c r="B41" s="19"/>
      <c r="C41" s="19"/>
      <c r="D41" s="3" t="s">
        <v>146</v>
      </c>
      <c r="E41" s="3" t="s">
        <v>149</v>
      </c>
      <c r="F41" s="19"/>
      <c r="G41" s="3" t="s">
        <v>150</v>
      </c>
      <c r="H41" s="19" t="s">
        <v>152</v>
      </c>
      <c r="I41" s="19"/>
      <c r="J41" s="3" t="s">
        <v>150</v>
      </c>
      <c r="K41" s="3" t="s">
        <v>171</v>
      </c>
      <c r="L41" s="19" t="s">
        <v>172</v>
      </c>
      <c r="M41" s="19"/>
    </row>
    <row r="42" spans="1:18" ht="17.25" thickBot="1" x14ac:dyDescent="0.35">
      <c r="A42" s="6">
        <v>1</v>
      </c>
      <c r="B42" s="11">
        <v>1</v>
      </c>
      <c r="C42" s="2">
        <v>4194</v>
      </c>
      <c r="D42" s="2">
        <v>2486113</v>
      </c>
      <c r="E42" s="2">
        <v>50688</v>
      </c>
      <c r="F42" s="2">
        <v>8.218</v>
      </c>
      <c r="G42" s="2">
        <v>0.15029999999999999</v>
      </c>
      <c r="H42" s="2">
        <v>7.9233000000000002</v>
      </c>
      <c r="I42" s="2">
        <v>8.5127000000000006</v>
      </c>
      <c r="J42" s="2">
        <v>33.214300000000001</v>
      </c>
      <c r="K42" s="2">
        <v>0.4662</v>
      </c>
      <c r="L42" s="2">
        <v>32.3001</v>
      </c>
      <c r="M42" s="2">
        <v>34.128399999999999</v>
      </c>
      <c r="O42" t="str">
        <f t="shared" ref="O42:O43" si="7">TEXT(J42,"0.00")&amp;" ("&amp;TEXT(L42,"0.00")&amp;" to "&amp;TEXT(M42,"0.00")&amp;")"</f>
        <v>33.21 (32.30 to 34.13)</v>
      </c>
      <c r="P42" t="str">
        <f>O45</f>
        <v>51.25 (50.40 to 52.10)</v>
      </c>
      <c r="Q42" t="str">
        <f>O48</f>
        <v>63.10 (62.31 to 63.90)</v>
      </c>
      <c r="R42" t="str">
        <f>O51</f>
        <v>70.77 (70.03 to 71.51)</v>
      </c>
    </row>
    <row r="43" spans="1:18" ht="17.25" thickBot="1" x14ac:dyDescent="0.35">
      <c r="A43" s="6"/>
      <c r="B43" s="11">
        <v>2</v>
      </c>
      <c r="C43" s="2">
        <v>11320</v>
      </c>
      <c r="D43" s="2">
        <v>4998963</v>
      </c>
      <c r="E43" s="2">
        <v>68710</v>
      </c>
      <c r="F43" s="2">
        <v>16.5244</v>
      </c>
      <c r="G43" s="2">
        <v>0.18110000000000001</v>
      </c>
      <c r="H43" s="2">
        <v>16.1693</v>
      </c>
      <c r="I43" s="2">
        <v>16.8796</v>
      </c>
      <c r="J43" s="2">
        <v>66.785700000000006</v>
      </c>
      <c r="K43" s="2">
        <v>0.4662</v>
      </c>
      <c r="L43" s="2">
        <v>65.871600000000001</v>
      </c>
      <c r="M43" s="2">
        <v>67.6999</v>
      </c>
      <c r="O43" t="str">
        <f t="shared" si="7"/>
        <v>66.79 (65.87 to 67.70)</v>
      </c>
      <c r="P43" t="str">
        <f>O46</f>
        <v>48.75 (47.90 to 49.60)</v>
      </c>
      <c r="Q43" t="str">
        <f>O49</f>
        <v>36.90 (36.10 to 37.69)</v>
      </c>
      <c r="R43" t="str">
        <f>O52</f>
        <v>29.23 (28.49 to 29.97)</v>
      </c>
    </row>
    <row r="44" spans="1:18" ht="17.25" thickBot="1" x14ac:dyDescent="0.35">
      <c r="A44" s="6"/>
      <c r="B44" s="11" t="s">
        <v>153</v>
      </c>
      <c r="C44" s="2">
        <v>15514</v>
      </c>
      <c r="D44" s="2">
        <v>7485076</v>
      </c>
      <c r="E44" s="2">
        <v>96512</v>
      </c>
      <c r="F44" s="2">
        <v>24.7425</v>
      </c>
      <c r="G44" s="2">
        <v>0.23899999999999999</v>
      </c>
      <c r="H44" s="2">
        <v>24.273700000000002</v>
      </c>
      <c r="I44" s="2">
        <v>25.211200000000002</v>
      </c>
      <c r="J44" s="2">
        <v>100</v>
      </c>
      <c r="K44" s="2"/>
      <c r="L44" s="2"/>
      <c r="M44" s="2"/>
    </row>
    <row r="45" spans="1:18" ht="17.25" thickBot="1" x14ac:dyDescent="0.35">
      <c r="A45" s="6">
        <v>2</v>
      </c>
      <c r="B45" s="11">
        <v>1</v>
      </c>
      <c r="C45" s="2">
        <v>7687</v>
      </c>
      <c r="D45" s="2">
        <v>4089746</v>
      </c>
      <c r="E45" s="2">
        <v>60644</v>
      </c>
      <c r="F45" s="2">
        <v>13.519</v>
      </c>
      <c r="G45" s="2">
        <v>0.1671</v>
      </c>
      <c r="H45" s="2">
        <v>13.1913</v>
      </c>
      <c r="I45" s="2">
        <v>13.8466</v>
      </c>
      <c r="J45" s="2">
        <v>51.246499999999997</v>
      </c>
      <c r="K45" s="2">
        <v>0.43309999999999998</v>
      </c>
      <c r="L45" s="2">
        <v>50.397199999999998</v>
      </c>
      <c r="M45" s="2">
        <v>52.0959</v>
      </c>
      <c r="O45" t="str">
        <f t="shared" ref="O45:O46" si="8">TEXT(J45,"0.00")&amp;" ("&amp;TEXT(L45,"0.00")&amp;" to "&amp;TEXT(M45,"0.00")&amp;")"</f>
        <v>51.25 (50.40 to 52.10)</v>
      </c>
    </row>
    <row r="46" spans="1:18" ht="17.25" thickBot="1" x14ac:dyDescent="0.35">
      <c r="A46" s="6"/>
      <c r="B46" s="11">
        <v>2</v>
      </c>
      <c r="C46" s="2">
        <v>9784</v>
      </c>
      <c r="D46" s="2">
        <v>3890784</v>
      </c>
      <c r="E46" s="2">
        <v>52461</v>
      </c>
      <c r="F46" s="2">
        <v>12.8613</v>
      </c>
      <c r="G46" s="2">
        <v>0.14000000000000001</v>
      </c>
      <c r="H46" s="2">
        <v>12.5867</v>
      </c>
      <c r="I46" s="2">
        <v>13.135899999999999</v>
      </c>
      <c r="J46" s="2">
        <v>48.753500000000003</v>
      </c>
      <c r="K46" s="2">
        <v>0.43309999999999998</v>
      </c>
      <c r="L46" s="2">
        <v>47.9041</v>
      </c>
      <c r="M46" s="2">
        <v>49.602800000000002</v>
      </c>
      <c r="O46" t="str">
        <f t="shared" si="8"/>
        <v>48.75 (47.90 to 49.60)</v>
      </c>
    </row>
    <row r="47" spans="1:18" ht="17.25" thickBot="1" x14ac:dyDescent="0.35">
      <c r="A47" s="6"/>
      <c r="B47" s="11" t="s">
        <v>153</v>
      </c>
      <c r="C47" s="2">
        <v>17471</v>
      </c>
      <c r="D47" s="2">
        <v>7980531</v>
      </c>
      <c r="E47" s="2">
        <v>89661</v>
      </c>
      <c r="F47" s="2">
        <v>26.380199999999999</v>
      </c>
      <c r="G47" s="2">
        <v>0.20599999999999999</v>
      </c>
      <c r="H47" s="2">
        <v>25.976199999999999</v>
      </c>
      <c r="I47" s="2">
        <v>26.784199999999998</v>
      </c>
      <c r="J47" s="2">
        <v>100</v>
      </c>
      <c r="K47" s="2"/>
      <c r="L47" s="2"/>
      <c r="M47" s="2"/>
    </row>
    <row r="48" spans="1:18" ht="17.25" thickBot="1" x14ac:dyDescent="0.35">
      <c r="A48" s="6">
        <v>3</v>
      </c>
      <c r="B48" s="11">
        <v>1</v>
      </c>
      <c r="C48" s="2">
        <v>10028</v>
      </c>
      <c r="D48" s="2">
        <v>4865940</v>
      </c>
      <c r="E48" s="2">
        <v>64202</v>
      </c>
      <c r="F48" s="2">
        <v>16.084700000000002</v>
      </c>
      <c r="G48" s="2">
        <v>0.1704</v>
      </c>
      <c r="H48" s="2">
        <v>15.7507</v>
      </c>
      <c r="I48" s="2">
        <v>16.418800000000001</v>
      </c>
      <c r="J48" s="2">
        <v>63.101999999999997</v>
      </c>
      <c r="K48" s="2">
        <v>0.4047</v>
      </c>
      <c r="L48" s="2">
        <v>62.308500000000002</v>
      </c>
      <c r="M48" s="2">
        <v>63.895400000000002</v>
      </c>
      <c r="O48" t="str">
        <f t="shared" ref="O48:O49" si="9">TEXT(J48,"0.00")&amp;" ("&amp;TEXT(L48,"0.00")&amp;" to "&amp;TEXT(M48,"0.00")&amp;")"</f>
        <v>63.10 (62.31 to 63.90)</v>
      </c>
    </row>
    <row r="49" spans="1:18" ht="17.25" thickBot="1" x14ac:dyDescent="0.35">
      <c r="A49" s="6"/>
      <c r="B49" s="11">
        <v>2</v>
      </c>
      <c r="C49" s="2">
        <v>7960</v>
      </c>
      <c r="D49" s="2">
        <v>2845295</v>
      </c>
      <c r="E49" s="2">
        <v>41993</v>
      </c>
      <c r="F49" s="2">
        <v>9.4053000000000004</v>
      </c>
      <c r="G49" s="2">
        <v>0.1249</v>
      </c>
      <c r="H49" s="2">
        <v>9.1605000000000008</v>
      </c>
      <c r="I49" s="2">
        <v>9.6501999999999999</v>
      </c>
      <c r="J49" s="2">
        <v>36.898000000000003</v>
      </c>
      <c r="K49" s="2">
        <v>0.4047</v>
      </c>
      <c r="L49" s="2">
        <v>36.104599999999998</v>
      </c>
      <c r="M49" s="2">
        <v>37.691499999999998</v>
      </c>
      <c r="O49" t="str">
        <f t="shared" si="9"/>
        <v>36.90 (36.10 to 37.69)</v>
      </c>
    </row>
    <row r="50" spans="1:18" ht="17.25" thickBot="1" x14ac:dyDescent="0.35">
      <c r="A50" s="6"/>
      <c r="B50" s="11" t="s">
        <v>153</v>
      </c>
      <c r="C50" s="2">
        <v>17988</v>
      </c>
      <c r="D50" s="2">
        <v>7711235</v>
      </c>
      <c r="E50" s="2">
        <v>84434</v>
      </c>
      <c r="F50" s="2">
        <v>25.490100000000002</v>
      </c>
      <c r="G50" s="2">
        <v>0.20630000000000001</v>
      </c>
      <c r="H50" s="2">
        <v>25.0855</v>
      </c>
      <c r="I50" s="2">
        <v>25.894600000000001</v>
      </c>
      <c r="J50" s="2">
        <v>100</v>
      </c>
      <c r="K50" s="2"/>
      <c r="L50" s="2"/>
      <c r="M50" s="2"/>
    </row>
    <row r="51" spans="1:18" ht="17.25" thickBot="1" x14ac:dyDescent="0.35">
      <c r="A51" s="6">
        <v>4</v>
      </c>
      <c r="B51" s="11">
        <v>1</v>
      </c>
      <c r="C51" s="2">
        <v>11291</v>
      </c>
      <c r="D51" s="2">
        <v>5007031</v>
      </c>
      <c r="E51" s="2">
        <v>61928</v>
      </c>
      <c r="F51" s="2">
        <v>16.551100000000002</v>
      </c>
      <c r="G51" s="2">
        <v>0.17219999999999999</v>
      </c>
      <c r="H51" s="2">
        <v>16.2134</v>
      </c>
      <c r="I51" s="2">
        <v>16.8888</v>
      </c>
      <c r="J51" s="2">
        <v>70.769800000000004</v>
      </c>
      <c r="K51" s="2">
        <v>0.37790000000000001</v>
      </c>
      <c r="L51" s="2">
        <v>70.028700000000001</v>
      </c>
      <c r="M51" s="2">
        <v>71.510900000000007</v>
      </c>
      <c r="O51" t="str">
        <f t="shared" ref="O51:O52" si="10">TEXT(J51,"0.00")&amp;" ("&amp;TEXT(L51,"0.00")&amp;" to "&amp;TEXT(M51,"0.00")&amp;")"</f>
        <v>70.77 (70.03 to 71.51)</v>
      </c>
    </row>
    <row r="52" spans="1:18" ht="17.25" thickBot="1" x14ac:dyDescent="0.35">
      <c r="A52" s="6"/>
      <c r="B52" s="11">
        <v>2</v>
      </c>
      <c r="C52" s="2">
        <v>6371</v>
      </c>
      <c r="D52" s="2">
        <v>2068064</v>
      </c>
      <c r="E52" s="2">
        <v>35176</v>
      </c>
      <c r="F52" s="2">
        <v>6.8361000000000001</v>
      </c>
      <c r="G52" s="2">
        <v>0.1143</v>
      </c>
      <c r="H52" s="2">
        <v>6.6120999999999999</v>
      </c>
      <c r="I52" s="2">
        <v>7.0602</v>
      </c>
      <c r="J52" s="2">
        <v>29.2302</v>
      </c>
      <c r="K52" s="2">
        <v>0.37790000000000001</v>
      </c>
      <c r="L52" s="2">
        <v>28.489100000000001</v>
      </c>
      <c r="M52" s="2">
        <v>29.971299999999999</v>
      </c>
      <c r="O52" t="str">
        <f t="shared" si="10"/>
        <v>29.23 (28.49 to 29.97)</v>
      </c>
    </row>
    <row r="53" spans="1:18" ht="17.25" thickBot="1" x14ac:dyDescent="0.35">
      <c r="A53" s="6"/>
      <c r="B53" s="11" t="s">
        <v>153</v>
      </c>
      <c r="C53" s="2">
        <v>17662</v>
      </c>
      <c r="D53" s="2">
        <v>7075094</v>
      </c>
      <c r="E53" s="2">
        <v>78713</v>
      </c>
      <c r="F53" s="2">
        <v>23.3872</v>
      </c>
      <c r="G53" s="2">
        <v>0.221</v>
      </c>
      <c r="H53" s="2">
        <v>22.954000000000001</v>
      </c>
      <c r="I53" s="2">
        <v>23.820499999999999</v>
      </c>
      <c r="J53" s="2">
        <v>100</v>
      </c>
      <c r="K53" s="2"/>
      <c r="L53" s="2"/>
      <c r="M53" s="2"/>
    </row>
    <row r="54" spans="1:18" ht="17.25" thickBot="1" x14ac:dyDescent="0.35">
      <c r="A54" s="6" t="s">
        <v>153</v>
      </c>
      <c r="B54" s="11">
        <v>1</v>
      </c>
      <c r="C54" s="2">
        <v>33200</v>
      </c>
      <c r="D54" s="2">
        <v>16448830</v>
      </c>
      <c r="E54" s="2">
        <v>140406</v>
      </c>
      <c r="F54" s="2">
        <v>54.372799999999998</v>
      </c>
      <c r="G54" s="2">
        <v>0.18820000000000001</v>
      </c>
      <c r="H54" s="2">
        <v>54.003799999999998</v>
      </c>
      <c r="I54" s="2">
        <v>54.741900000000001</v>
      </c>
      <c r="J54" s="2"/>
      <c r="K54" s="2"/>
      <c r="L54" s="2"/>
      <c r="M54" s="2"/>
    </row>
    <row r="55" spans="1:18" ht="17.25" thickBot="1" x14ac:dyDescent="0.35">
      <c r="A55" s="6"/>
      <c r="B55" s="11">
        <v>2</v>
      </c>
      <c r="C55" s="2">
        <v>35435</v>
      </c>
      <c r="D55" s="2">
        <v>13803105</v>
      </c>
      <c r="E55" s="2">
        <v>115313</v>
      </c>
      <c r="F55" s="2">
        <v>45.627200000000002</v>
      </c>
      <c r="G55" s="2">
        <v>0.18820000000000001</v>
      </c>
      <c r="H55" s="2">
        <v>45.258099999999999</v>
      </c>
      <c r="I55" s="2">
        <v>45.996200000000002</v>
      </c>
      <c r="J55" s="2"/>
      <c r="K55" s="2"/>
      <c r="L55" s="2"/>
      <c r="M55" s="2"/>
    </row>
    <row r="56" spans="1:18" x14ac:dyDescent="0.3">
      <c r="A56" s="6"/>
      <c r="B56" s="14" t="s">
        <v>153</v>
      </c>
      <c r="C56" s="2">
        <v>68635</v>
      </c>
      <c r="D56" s="2">
        <v>30251936</v>
      </c>
      <c r="E56" s="2">
        <v>228758</v>
      </c>
      <c r="F56" s="2">
        <v>100</v>
      </c>
      <c r="G56" s="2"/>
      <c r="H56" s="2"/>
      <c r="I56" s="2"/>
      <c r="J56" s="2"/>
      <c r="K56" s="2"/>
      <c r="L56" s="2"/>
      <c r="M56" s="2"/>
    </row>
    <row r="57" spans="1:18" ht="17.25" thickBot="1" x14ac:dyDescent="0.35"/>
    <row r="58" spans="1:18" ht="16.5" customHeight="1" x14ac:dyDescent="0.3">
      <c r="A58" s="16" t="s">
        <v>190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1:18" ht="33" customHeight="1" x14ac:dyDescent="0.3">
      <c r="A59" s="17" t="s">
        <v>43</v>
      </c>
      <c r="B59" s="19" t="s">
        <v>7</v>
      </c>
      <c r="C59" s="19" t="s">
        <v>146</v>
      </c>
      <c r="D59" s="3" t="s">
        <v>147</v>
      </c>
      <c r="E59" s="3" t="s">
        <v>148</v>
      </c>
      <c r="F59" s="19" t="s">
        <v>150</v>
      </c>
      <c r="G59" s="3" t="s">
        <v>148</v>
      </c>
      <c r="H59" s="19" t="s">
        <v>151</v>
      </c>
      <c r="I59" s="19"/>
      <c r="J59" s="3" t="s">
        <v>170</v>
      </c>
      <c r="K59" s="3" t="s">
        <v>148</v>
      </c>
      <c r="L59" s="19" t="s">
        <v>151</v>
      </c>
      <c r="M59" s="19"/>
    </row>
    <row r="60" spans="1:18" ht="33" x14ac:dyDescent="0.3">
      <c r="A60" s="17"/>
      <c r="B60" s="19"/>
      <c r="C60" s="19"/>
      <c r="D60" s="3" t="s">
        <v>146</v>
      </c>
      <c r="E60" s="3" t="s">
        <v>149</v>
      </c>
      <c r="F60" s="19"/>
      <c r="G60" s="3" t="s">
        <v>150</v>
      </c>
      <c r="H60" s="19" t="s">
        <v>152</v>
      </c>
      <c r="I60" s="19"/>
      <c r="J60" s="3" t="s">
        <v>150</v>
      </c>
      <c r="K60" s="3" t="s">
        <v>171</v>
      </c>
      <c r="L60" s="19" t="s">
        <v>172</v>
      </c>
      <c r="M60" s="19"/>
    </row>
    <row r="61" spans="1:18" ht="17.25" thickBot="1" x14ac:dyDescent="0.35">
      <c r="A61" s="6">
        <v>1</v>
      </c>
      <c r="B61" s="11">
        <v>1</v>
      </c>
      <c r="C61" s="2">
        <v>13432</v>
      </c>
      <c r="D61" s="2">
        <v>6592908</v>
      </c>
      <c r="E61" s="2">
        <v>102604</v>
      </c>
      <c r="F61" s="2">
        <v>21.793299999999999</v>
      </c>
      <c r="G61" s="2">
        <v>0.27589999999999998</v>
      </c>
      <c r="H61" s="2">
        <v>21.252300000000002</v>
      </c>
      <c r="I61" s="2">
        <v>22.334399999999999</v>
      </c>
      <c r="J61" s="2">
        <v>88.080699999999993</v>
      </c>
      <c r="K61" s="2">
        <v>0.63929999999999998</v>
      </c>
      <c r="L61" s="2">
        <v>86.827200000000005</v>
      </c>
      <c r="M61" s="2">
        <v>89.334199999999996</v>
      </c>
      <c r="O61" t="str">
        <f t="shared" ref="O61:O62" si="11">TEXT(J61,"0.00")&amp;" ("&amp;TEXT(L61,"0.00")&amp;" to "&amp;TEXT(M61,"0.00")&amp;")"</f>
        <v>88.08 (86.83 to 89.33)</v>
      </c>
      <c r="P61" t="str">
        <f>O64</f>
        <v>85.31 (84.01 to 86.62)</v>
      </c>
      <c r="Q61" t="str">
        <f>O67</f>
        <v>82.44 (80.98 to 83.91)</v>
      </c>
      <c r="R61" t="str">
        <f>O70</f>
        <v>79.62 (78.03 to 81.21)</v>
      </c>
    </row>
    <row r="62" spans="1:18" ht="17.25" thickBot="1" x14ac:dyDescent="0.35">
      <c r="A62" s="6"/>
      <c r="B62" s="11">
        <v>2</v>
      </c>
      <c r="C62" s="2">
        <v>2082</v>
      </c>
      <c r="D62" s="2">
        <v>892168</v>
      </c>
      <c r="E62" s="2">
        <v>47803</v>
      </c>
      <c r="F62" s="2">
        <v>2.9491000000000001</v>
      </c>
      <c r="G62" s="2">
        <v>0.1578</v>
      </c>
      <c r="H62" s="2">
        <v>2.6396000000000002</v>
      </c>
      <c r="I62" s="2">
        <v>3.2585999999999999</v>
      </c>
      <c r="J62" s="2">
        <v>11.9193</v>
      </c>
      <c r="K62" s="2">
        <v>0.63929999999999998</v>
      </c>
      <c r="L62" s="2">
        <v>10.665800000000001</v>
      </c>
      <c r="M62" s="2">
        <v>13.172800000000001</v>
      </c>
      <c r="O62" t="str">
        <f t="shared" si="11"/>
        <v>11.92 (10.67 to 13.17)</v>
      </c>
      <c r="P62" t="str">
        <f>O65</f>
        <v>14.69 (13.38 to 15.99)</v>
      </c>
      <c r="Q62" t="str">
        <f>O68</f>
        <v>17.56 (16.09 to 19.02)</v>
      </c>
      <c r="R62" t="str">
        <f>O71</f>
        <v>20.38 (18.79 to 21.97)</v>
      </c>
    </row>
    <row r="63" spans="1:18" ht="17.25" thickBot="1" x14ac:dyDescent="0.35">
      <c r="A63" s="6"/>
      <c r="B63" s="11" t="s">
        <v>153</v>
      </c>
      <c r="C63" s="2">
        <v>15514</v>
      </c>
      <c r="D63" s="2">
        <v>7485076</v>
      </c>
      <c r="E63" s="2">
        <v>96512</v>
      </c>
      <c r="F63" s="2">
        <v>24.7425</v>
      </c>
      <c r="G63" s="2">
        <v>0.23899999999999999</v>
      </c>
      <c r="H63" s="2">
        <v>24.273700000000002</v>
      </c>
      <c r="I63" s="2">
        <v>25.211200000000002</v>
      </c>
      <c r="J63" s="2">
        <v>100</v>
      </c>
      <c r="K63" s="2"/>
      <c r="L63" s="2"/>
      <c r="M63" s="2"/>
    </row>
    <row r="64" spans="1:18" ht="17.25" thickBot="1" x14ac:dyDescent="0.35">
      <c r="A64" s="6">
        <v>2</v>
      </c>
      <c r="B64" s="11">
        <v>1</v>
      </c>
      <c r="C64" s="2">
        <v>14346</v>
      </c>
      <c r="D64" s="2">
        <v>6808249</v>
      </c>
      <c r="E64" s="2">
        <v>98968</v>
      </c>
      <c r="F64" s="2">
        <v>22.505199999999999</v>
      </c>
      <c r="G64" s="2">
        <v>0.25779999999999997</v>
      </c>
      <c r="H64" s="2">
        <v>21.999600000000001</v>
      </c>
      <c r="I64" s="2">
        <v>23.0107</v>
      </c>
      <c r="J64" s="2">
        <v>85.310699999999997</v>
      </c>
      <c r="K64" s="2">
        <v>0.66569999999999996</v>
      </c>
      <c r="L64" s="2">
        <v>84.005499999999998</v>
      </c>
      <c r="M64" s="2">
        <v>86.616</v>
      </c>
      <c r="O64" t="str">
        <f t="shared" ref="O64:O65" si="12">TEXT(J64,"0.00")&amp;" ("&amp;TEXT(L64,"0.00")&amp;" to "&amp;TEXT(M64,"0.00")&amp;")"</f>
        <v>85.31 (84.01 to 86.62)</v>
      </c>
    </row>
    <row r="65" spans="1:18" ht="17.25" thickBot="1" x14ac:dyDescent="0.35">
      <c r="A65" s="6"/>
      <c r="B65" s="11">
        <v>2</v>
      </c>
      <c r="C65" s="2">
        <v>3125</v>
      </c>
      <c r="D65" s="2">
        <v>1172281</v>
      </c>
      <c r="E65" s="2">
        <v>52939</v>
      </c>
      <c r="F65" s="2">
        <v>3.8751000000000002</v>
      </c>
      <c r="G65" s="2">
        <v>0.1759</v>
      </c>
      <c r="H65" s="2">
        <v>3.5301999999999998</v>
      </c>
      <c r="I65" s="2">
        <v>4.2199</v>
      </c>
      <c r="J65" s="2">
        <v>14.689299999999999</v>
      </c>
      <c r="K65" s="2">
        <v>0.66569999999999996</v>
      </c>
      <c r="L65" s="2">
        <v>13.384</v>
      </c>
      <c r="M65" s="2">
        <v>15.9945</v>
      </c>
      <c r="O65" t="str">
        <f t="shared" si="12"/>
        <v>14.69 (13.38 to 15.99)</v>
      </c>
    </row>
    <row r="66" spans="1:18" ht="17.25" thickBot="1" x14ac:dyDescent="0.35">
      <c r="A66" s="6"/>
      <c r="B66" s="11" t="s">
        <v>153</v>
      </c>
      <c r="C66" s="2">
        <v>17471</v>
      </c>
      <c r="D66" s="2">
        <v>7980531</v>
      </c>
      <c r="E66" s="2">
        <v>89661</v>
      </c>
      <c r="F66" s="2">
        <v>26.380199999999999</v>
      </c>
      <c r="G66" s="2">
        <v>0.20599999999999999</v>
      </c>
      <c r="H66" s="2">
        <v>25.976199999999999</v>
      </c>
      <c r="I66" s="2">
        <v>26.784199999999998</v>
      </c>
      <c r="J66" s="2">
        <v>100</v>
      </c>
      <c r="K66" s="2"/>
      <c r="L66" s="2"/>
      <c r="M66" s="2"/>
    </row>
    <row r="67" spans="1:18" ht="17.25" thickBot="1" x14ac:dyDescent="0.35">
      <c r="A67" s="6">
        <v>3</v>
      </c>
      <c r="B67" s="11">
        <v>1</v>
      </c>
      <c r="C67" s="2">
        <v>14156</v>
      </c>
      <c r="D67" s="2">
        <v>6357484</v>
      </c>
      <c r="E67" s="2">
        <v>93188</v>
      </c>
      <c r="F67" s="2">
        <v>21.0151</v>
      </c>
      <c r="G67" s="2">
        <v>0.25219999999999998</v>
      </c>
      <c r="H67" s="2">
        <v>20.520700000000001</v>
      </c>
      <c r="I67" s="2">
        <v>21.509599999999999</v>
      </c>
      <c r="J67" s="2">
        <v>82.444400000000002</v>
      </c>
      <c r="K67" s="2">
        <v>0.746</v>
      </c>
      <c r="L67" s="2">
        <v>80.981700000000004</v>
      </c>
      <c r="M67" s="2">
        <v>83.907200000000003</v>
      </c>
      <c r="O67" t="str">
        <f t="shared" ref="O67:O68" si="13">TEXT(J67,"0.00")&amp;" ("&amp;TEXT(L67,"0.00")&amp;" to "&amp;TEXT(M67,"0.00")&amp;")"</f>
        <v>82.44 (80.98 to 83.91)</v>
      </c>
    </row>
    <row r="68" spans="1:18" ht="17.25" thickBot="1" x14ac:dyDescent="0.35">
      <c r="A68" s="6"/>
      <c r="B68" s="11">
        <v>2</v>
      </c>
      <c r="C68" s="2">
        <v>3832</v>
      </c>
      <c r="D68" s="2">
        <v>1353751</v>
      </c>
      <c r="E68" s="2">
        <v>58447</v>
      </c>
      <c r="F68" s="2">
        <v>4.4748999999999999</v>
      </c>
      <c r="G68" s="2">
        <v>0.19439999999999999</v>
      </c>
      <c r="H68" s="2">
        <v>4.0937000000000001</v>
      </c>
      <c r="I68" s="2">
        <v>4.8560999999999996</v>
      </c>
      <c r="J68" s="2">
        <v>17.555599999999998</v>
      </c>
      <c r="K68" s="2">
        <v>0.746</v>
      </c>
      <c r="L68" s="2">
        <v>16.0928</v>
      </c>
      <c r="M68" s="2">
        <v>19.0183</v>
      </c>
      <c r="O68" t="str">
        <f t="shared" si="13"/>
        <v>17.56 (16.09 to 19.02)</v>
      </c>
    </row>
    <row r="69" spans="1:18" ht="17.25" thickBot="1" x14ac:dyDescent="0.35">
      <c r="A69" s="6"/>
      <c r="B69" s="11" t="s">
        <v>153</v>
      </c>
      <c r="C69" s="2">
        <v>17988</v>
      </c>
      <c r="D69" s="2">
        <v>7711235</v>
      </c>
      <c r="E69" s="2">
        <v>84434</v>
      </c>
      <c r="F69" s="2">
        <v>25.490100000000002</v>
      </c>
      <c r="G69" s="2">
        <v>0.20630000000000001</v>
      </c>
      <c r="H69" s="2">
        <v>25.0855</v>
      </c>
      <c r="I69" s="2">
        <v>25.894600000000001</v>
      </c>
      <c r="J69" s="2">
        <v>100</v>
      </c>
      <c r="K69" s="2"/>
      <c r="L69" s="2"/>
      <c r="M69" s="2"/>
    </row>
    <row r="70" spans="1:18" ht="17.25" thickBot="1" x14ac:dyDescent="0.35">
      <c r="A70" s="6">
        <v>4</v>
      </c>
      <c r="B70" s="11">
        <v>1</v>
      </c>
      <c r="C70" s="2">
        <v>13242</v>
      </c>
      <c r="D70" s="2">
        <v>5633437</v>
      </c>
      <c r="E70" s="2">
        <v>84662</v>
      </c>
      <c r="F70" s="2">
        <v>18.621700000000001</v>
      </c>
      <c r="G70" s="2">
        <v>0.2442</v>
      </c>
      <c r="H70" s="2">
        <v>18.143000000000001</v>
      </c>
      <c r="I70" s="2">
        <v>19.1005</v>
      </c>
      <c r="J70" s="2">
        <v>79.623500000000007</v>
      </c>
      <c r="K70" s="2">
        <v>0.81159999999999999</v>
      </c>
      <c r="L70" s="2">
        <v>78.0321</v>
      </c>
      <c r="M70" s="2">
        <v>81.2149</v>
      </c>
      <c r="O70" t="str">
        <f t="shared" ref="O70:O71" si="14">TEXT(J70,"0.00")&amp;" ("&amp;TEXT(L70,"0.00")&amp;" to "&amp;TEXT(M70,"0.00")&amp;")"</f>
        <v>79.62 (78.03 to 81.21)</v>
      </c>
    </row>
    <row r="71" spans="1:18" ht="17.25" thickBot="1" x14ac:dyDescent="0.35">
      <c r="A71" s="6"/>
      <c r="B71" s="11">
        <v>2</v>
      </c>
      <c r="C71" s="2">
        <v>4420</v>
      </c>
      <c r="D71" s="2">
        <v>1441658</v>
      </c>
      <c r="E71" s="2">
        <v>59743</v>
      </c>
      <c r="F71" s="2">
        <v>4.7655000000000003</v>
      </c>
      <c r="G71" s="2">
        <v>0.19980000000000001</v>
      </c>
      <c r="H71" s="2">
        <v>4.3735999999999997</v>
      </c>
      <c r="I71" s="2">
        <v>5.1574</v>
      </c>
      <c r="J71" s="2">
        <v>20.3765</v>
      </c>
      <c r="K71" s="2">
        <v>0.81159999999999999</v>
      </c>
      <c r="L71" s="2">
        <v>18.7851</v>
      </c>
      <c r="M71" s="2">
        <v>21.9679</v>
      </c>
      <c r="O71" t="str">
        <f t="shared" si="14"/>
        <v>20.38 (18.79 to 21.97)</v>
      </c>
    </row>
    <row r="72" spans="1:18" ht="17.25" thickBot="1" x14ac:dyDescent="0.35">
      <c r="A72" s="6"/>
      <c r="B72" s="11" t="s">
        <v>153</v>
      </c>
      <c r="C72" s="2">
        <v>17662</v>
      </c>
      <c r="D72" s="2">
        <v>7075094</v>
      </c>
      <c r="E72" s="2">
        <v>78713</v>
      </c>
      <c r="F72" s="2">
        <v>23.3872</v>
      </c>
      <c r="G72" s="2">
        <v>0.221</v>
      </c>
      <c r="H72" s="2">
        <v>22.954000000000001</v>
      </c>
      <c r="I72" s="2">
        <v>23.820499999999999</v>
      </c>
      <c r="J72" s="2">
        <v>100</v>
      </c>
      <c r="K72" s="2"/>
      <c r="L72" s="2"/>
      <c r="M72" s="2"/>
    </row>
    <row r="73" spans="1:18" ht="17.25" thickBot="1" x14ac:dyDescent="0.35">
      <c r="A73" s="6" t="s">
        <v>153</v>
      </c>
      <c r="B73" s="11">
        <v>1</v>
      </c>
      <c r="C73" s="2">
        <v>55176</v>
      </c>
      <c r="D73" s="2">
        <v>25392078</v>
      </c>
      <c r="E73" s="2">
        <v>290318</v>
      </c>
      <c r="F73" s="2">
        <v>83.935400000000001</v>
      </c>
      <c r="G73" s="2">
        <v>0.64080000000000004</v>
      </c>
      <c r="H73" s="2">
        <v>82.678899999999999</v>
      </c>
      <c r="I73" s="2">
        <v>85.191800000000001</v>
      </c>
      <c r="J73" s="2"/>
      <c r="K73" s="2"/>
      <c r="L73" s="2"/>
      <c r="M73" s="2"/>
    </row>
    <row r="74" spans="1:18" ht="17.25" thickBot="1" x14ac:dyDescent="0.35">
      <c r="A74" s="6"/>
      <c r="B74" s="11">
        <v>2</v>
      </c>
      <c r="C74" s="2">
        <v>13459</v>
      </c>
      <c r="D74" s="2">
        <v>4859858</v>
      </c>
      <c r="E74" s="2">
        <v>192472</v>
      </c>
      <c r="F74" s="2">
        <v>16.064599999999999</v>
      </c>
      <c r="G74" s="2">
        <v>0.64080000000000004</v>
      </c>
      <c r="H74" s="2">
        <v>14.808199999999999</v>
      </c>
      <c r="I74" s="2">
        <v>17.321100000000001</v>
      </c>
      <c r="J74" s="2"/>
      <c r="K74" s="2"/>
      <c r="L74" s="2"/>
      <c r="M74" s="2"/>
    </row>
    <row r="75" spans="1:18" x14ac:dyDescent="0.3">
      <c r="A75" s="6"/>
      <c r="B75" s="14" t="s">
        <v>153</v>
      </c>
      <c r="C75" s="2">
        <v>68635</v>
      </c>
      <c r="D75" s="2">
        <v>30251936</v>
      </c>
      <c r="E75" s="2">
        <v>228758</v>
      </c>
      <c r="F75" s="2">
        <v>100</v>
      </c>
      <c r="G75" s="2"/>
      <c r="H75" s="2"/>
      <c r="I75" s="2"/>
      <c r="J75" s="2"/>
      <c r="K75" s="2"/>
      <c r="L75" s="2"/>
      <c r="M75" s="2"/>
    </row>
    <row r="76" spans="1:18" ht="17.25" thickBot="1" x14ac:dyDescent="0.35"/>
    <row r="77" spans="1:18" ht="16.5" customHeight="1" x14ac:dyDescent="0.3">
      <c r="A77" s="16" t="s">
        <v>191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spans="1:18" ht="33" customHeight="1" x14ac:dyDescent="0.3">
      <c r="A78" s="17" t="s">
        <v>43</v>
      </c>
      <c r="B78" s="19" t="s">
        <v>8</v>
      </c>
      <c r="C78" s="19" t="s">
        <v>146</v>
      </c>
      <c r="D78" s="3" t="s">
        <v>147</v>
      </c>
      <c r="E78" s="3" t="s">
        <v>148</v>
      </c>
      <c r="F78" s="19" t="s">
        <v>150</v>
      </c>
      <c r="G78" s="3" t="s">
        <v>148</v>
      </c>
      <c r="H78" s="19" t="s">
        <v>151</v>
      </c>
      <c r="I78" s="19"/>
      <c r="J78" s="3" t="s">
        <v>170</v>
      </c>
      <c r="K78" s="3" t="s">
        <v>148</v>
      </c>
      <c r="L78" s="19" t="s">
        <v>151</v>
      </c>
      <c r="M78" s="19"/>
    </row>
    <row r="79" spans="1:18" ht="33" x14ac:dyDescent="0.3">
      <c r="A79" s="17"/>
      <c r="B79" s="19"/>
      <c r="C79" s="19"/>
      <c r="D79" s="3" t="s">
        <v>146</v>
      </c>
      <c r="E79" s="3" t="s">
        <v>149</v>
      </c>
      <c r="F79" s="19"/>
      <c r="G79" s="3" t="s">
        <v>150</v>
      </c>
      <c r="H79" s="19" t="s">
        <v>152</v>
      </c>
      <c r="I79" s="19"/>
      <c r="J79" s="3" t="s">
        <v>150</v>
      </c>
      <c r="K79" s="3" t="s">
        <v>171</v>
      </c>
      <c r="L79" s="19" t="s">
        <v>172</v>
      </c>
      <c r="M79" s="19"/>
    </row>
    <row r="80" spans="1:18" ht="17.25" thickBot="1" x14ac:dyDescent="0.35">
      <c r="A80" s="6">
        <v>1</v>
      </c>
      <c r="B80" s="11">
        <v>1</v>
      </c>
      <c r="C80" s="2">
        <v>558</v>
      </c>
      <c r="D80" s="2">
        <v>187333</v>
      </c>
      <c r="E80" s="2">
        <v>9989</v>
      </c>
      <c r="F80" s="2">
        <v>0.61919999999999997</v>
      </c>
      <c r="G80" s="2">
        <v>3.3000000000000002E-2</v>
      </c>
      <c r="H80" s="2">
        <v>0.55449999999999999</v>
      </c>
      <c r="I80" s="2">
        <v>0.68400000000000005</v>
      </c>
      <c r="J80" s="2">
        <v>2.5028000000000001</v>
      </c>
      <c r="K80" s="2">
        <v>0.13250000000000001</v>
      </c>
      <c r="L80" s="2">
        <v>2.2429999999999999</v>
      </c>
      <c r="M80" s="2">
        <v>2.7625000000000002</v>
      </c>
      <c r="O80" t="str">
        <f t="shared" ref="O80:O83" si="15">TEXT(J80,"0.00")&amp;" ("&amp;TEXT(L80,"0.00")&amp;" to "&amp;TEXT(M80,"0.00")&amp;")"</f>
        <v>2.50 (2.24 to 2.76)</v>
      </c>
      <c r="P80" t="str">
        <f>O85</f>
        <v>6.50 (6.08 to 6.92)</v>
      </c>
      <c r="Q80" t="str">
        <f>O90</f>
        <v>11.10 (10.57 to 11.63)</v>
      </c>
      <c r="R80" t="str">
        <f>O95</f>
        <v>17.20 (16.50 to 17.91)</v>
      </c>
    </row>
    <row r="81" spans="1:18" ht="17.25" thickBot="1" x14ac:dyDescent="0.35">
      <c r="A81" s="6"/>
      <c r="B81" s="11">
        <v>2</v>
      </c>
      <c r="C81" s="2">
        <v>754</v>
      </c>
      <c r="D81" s="2">
        <v>268525</v>
      </c>
      <c r="E81" s="2">
        <v>12019</v>
      </c>
      <c r="F81" s="2">
        <v>0.88759999999999994</v>
      </c>
      <c r="G81" s="2">
        <v>3.9800000000000002E-2</v>
      </c>
      <c r="H81" s="2">
        <v>0.80969999999999998</v>
      </c>
      <c r="I81" s="2">
        <v>0.96560000000000001</v>
      </c>
      <c r="J81" s="2">
        <v>3.5874999999999999</v>
      </c>
      <c r="K81" s="2">
        <v>0.15959999999999999</v>
      </c>
      <c r="L81" s="2">
        <v>3.2745000000000002</v>
      </c>
      <c r="M81" s="2">
        <v>3.9003999999999999</v>
      </c>
      <c r="O81" t="str">
        <f t="shared" si="15"/>
        <v>3.59 (3.27 to 3.90)</v>
      </c>
      <c r="P81" t="str">
        <f t="shared" ref="P81:P83" si="16">O86</f>
        <v>7.32 (6.89 to 7.76)</v>
      </c>
      <c r="Q81" t="str">
        <f t="shared" ref="Q81:Q83" si="17">O91</f>
        <v>10.61 (10.08 to 11.14)</v>
      </c>
      <c r="R81" t="str">
        <f t="shared" ref="R81:R83" si="18">O96</f>
        <v>14.30 (13.68 to 14.92)</v>
      </c>
    </row>
    <row r="82" spans="1:18" ht="17.25" thickBot="1" x14ac:dyDescent="0.35">
      <c r="A82" s="6"/>
      <c r="B82" s="11">
        <v>3</v>
      </c>
      <c r="C82" s="2">
        <v>3413</v>
      </c>
      <c r="D82" s="2">
        <v>1611909</v>
      </c>
      <c r="E82" s="2">
        <v>35720</v>
      </c>
      <c r="F82" s="2">
        <v>5.3282999999999996</v>
      </c>
      <c r="G82" s="2">
        <v>0.1109</v>
      </c>
      <c r="H82" s="2">
        <v>5.1108000000000002</v>
      </c>
      <c r="I82" s="2">
        <v>5.5457000000000001</v>
      </c>
      <c r="J82" s="2">
        <v>21.535</v>
      </c>
      <c r="K82" s="2">
        <v>0.41970000000000002</v>
      </c>
      <c r="L82" s="2">
        <v>20.712</v>
      </c>
      <c r="M82" s="2">
        <v>22.357900000000001</v>
      </c>
      <c r="O82" t="str">
        <f t="shared" si="15"/>
        <v>21.54 (20.71 to 22.36)</v>
      </c>
      <c r="P82" t="str">
        <f t="shared" si="16"/>
        <v>26.57 (25.74 to 27.40)</v>
      </c>
      <c r="Q82" t="str">
        <f t="shared" si="17"/>
        <v>28.42 (27.56 to 29.28)</v>
      </c>
      <c r="R82" t="str">
        <f t="shared" si="18"/>
        <v>29.17 (28.31 to 30.04)</v>
      </c>
    </row>
    <row r="83" spans="1:18" ht="17.25" thickBot="1" x14ac:dyDescent="0.35">
      <c r="A83" s="6"/>
      <c r="B83" s="11">
        <v>4</v>
      </c>
      <c r="C83" s="2">
        <v>10789</v>
      </c>
      <c r="D83" s="2">
        <v>5417309</v>
      </c>
      <c r="E83" s="2">
        <v>82999</v>
      </c>
      <c r="F83" s="2">
        <v>17.907299999999999</v>
      </c>
      <c r="G83" s="2">
        <v>0.22</v>
      </c>
      <c r="H83" s="2">
        <v>17.4758</v>
      </c>
      <c r="I83" s="2">
        <v>18.338799999999999</v>
      </c>
      <c r="J83" s="2">
        <v>72.374799999999993</v>
      </c>
      <c r="K83" s="2">
        <v>0.4622</v>
      </c>
      <c r="L83" s="2">
        <v>71.468599999999995</v>
      </c>
      <c r="M83" s="2">
        <v>73.281000000000006</v>
      </c>
      <c r="O83" t="str">
        <f t="shared" si="15"/>
        <v>72.37 (71.47 to 73.28)</v>
      </c>
      <c r="P83" t="str">
        <f t="shared" si="16"/>
        <v>59.61 (58.61 to 60.61)</v>
      </c>
      <c r="Q83" t="str">
        <f t="shared" si="17"/>
        <v>49.88 (48.84 to 50.92)</v>
      </c>
      <c r="R83" t="str">
        <f t="shared" si="18"/>
        <v>39.33 (38.22 to 40.43)</v>
      </c>
    </row>
    <row r="84" spans="1:18" ht="17.25" thickBot="1" x14ac:dyDescent="0.35">
      <c r="A84" s="6"/>
      <c r="B84" s="11" t="s">
        <v>153</v>
      </c>
      <c r="C84" s="2">
        <v>15514</v>
      </c>
      <c r="D84" s="2">
        <v>7485076</v>
      </c>
      <c r="E84" s="2">
        <v>96512</v>
      </c>
      <c r="F84" s="2">
        <v>24.7425</v>
      </c>
      <c r="G84" s="2">
        <v>0.23899999999999999</v>
      </c>
      <c r="H84" s="2">
        <v>24.273700000000002</v>
      </c>
      <c r="I84" s="2">
        <v>25.211200000000002</v>
      </c>
      <c r="J84" s="2">
        <v>100</v>
      </c>
      <c r="K84" s="2"/>
      <c r="L84" s="2"/>
      <c r="M84" s="2"/>
    </row>
    <row r="85" spans="1:18" ht="17.25" thickBot="1" x14ac:dyDescent="0.35">
      <c r="A85" s="6">
        <v>2</v>
      </c>
      <c r="B85" s="11">
        <v>1</v>
      </c>
      <c r="C85" s="2">
        <v>1668</v>
      </c>
      <c r="D85" s="2">
        <v>518559</v>
      </c>
      <c r="E85" s="2">
        <v>17226</v>
      </c>
      <c r="F85" s="2">
        <v>1.7141</v>
      </c>
      <c r="G85" s="2">
        <v>5.6899999999999999E-2</v>
      </c>
      <c r="H85" s="2">
        <v>1.6025</v>
      </c>
      <c r="I85" s="2">
        <v>1.8258000000000001</v>
      </c>
      <c r="J85" s="2">
        <v>6.4977999999999998</v>
      </c>
      <c r="K85" s="2">
        <v>0.21540000000000001</v>
      </c>
      <c r="L85" s="2">
        <v>6.0754000000000001</v>
      </c>
      <c r="M85" s="2">
        <v>6.9202000000000004</v>
      </c>
      <c r="O85" t="str">
        <f t="shared" ref="O85:O88" si="19">TEXT(J85,"0.00")&amp;" ("&amp;TEXT(L85,"0.00")&amp;" to "&amp;TEXT(M85,"0.00")&amp;")"</f>
        <v>6.50 (6.08 to 6.92)</v>
      </c>
    </row>
    <row r="86" spans="1:18" ht="17.25" thickBot="1" x14ac:dyDescent="0.35">
      <c r="A86" s="6"/>
      <c r="B86" s="11">
        <v>2</v>
      </c>
      <c r="C86" s="2">
        <v>1706</v>
      </c>
      <c r="D86" s="2">
        <v>584424</v>
      </c>
      <c r="E86" s="2">
        <v>18044</v>
      </c>
      <c r="F86" s="2">
        <v>1.9319</v>
      </c>
      <c r="G86" s="2">
        <v>5.9299999999999999E-2</v>
      </c>
      <c r="H86" s="2">
        <v>1.8157000000000001</v>
      </c>
      <c r="I86" s="2">
        <v>2.0480999999999998</v>
      </c>
      <c r="J86" s="2">
        <v>7.3231000000000002</v>
      </c>
      <c r="K86" s="2">
        <v>0.22309999999999999</v>
      </c>
      <c r="L86" s="2">
        <v>6.8856999999999999</v>
      </c>
      <c r="M86" s="2">
        <v>7.7605000000000004</v>
      </c>
      <c r="O86" t="str">
        <f t="shared" si="19"/>
        <v>7.32 (6.89 to 7.76)</v>
      </c>
    </row>
    <row r="87" spans="1:18" ht="17.25" thickBot="1" x14ac:dyDescent="0.35">
      <c r="A87" s="6"/>
      <c r="B87" s="11">
        <v>3</v>
      </c>
      <c r="C87" s="2">
        <v>4650</v>
      </c>
      <c r="D87" s="2">
        <v>2120424</v>
      </c>
      <c r="E87" s="2">
        <v>40229</v>
      </c>
      <c r="F87" s="2">
        <v>7.0091999999999999</v>
      </c>
      <c r="G87" s="2">
        <v>0.1226</v>
      </c>
      <c r="H87" s="2">
        <v>6.7687999999999997</v>
      </c>
      <c r="I87" s="2">
        <v>7.2496</v>
      </c>
      <c r="J87" s="2">
        <v>26.57</v>
      </c>
      <c r="K87" s="2">
        <v>0.42080000000000001</v>
      </c>
      <c r="L87" s="2">
        <v>25.744900000000001</v>
      </c>
      <c r="M87" s="2">
        <v>27.395</v>
      </c>
      <c r="O87" t="str">
        <f t="shared" si="19"/>
        <v>26.57 (25.74 to 27.40)</v>
      </c>
    </row>
    <row r="88" spans="1:18" ht="17.25" thickBot="1" x14ac:dyDescent="0.35">
      <c r="A88" s="6"/>
      <c r="B88" s="11">
        <v>4</v>
      </c>
      <c r="C88" s="2">
        <v>9447</v>
      </c>
      <c r="D88" s="2">
        <v>4757124</v>
      </c>
      <c r="E88" s="2">
        <v>72488</v>
      </c>
      <c r="F88" s="2">
        <v>15.725</v>
      </c>
      <c r="G88" s="2">
        <v>0.19159999999999999</v>
      </c>
      <c r="H88" s="2">
        <v>15.349399999999999</v>
      </c>
      <c r="I88" s="2">
        <v>16.1007</v>
      </c>
      <c r="J88" s="2">
        <v>59.609099999999998</v>
      </c>
      <c r="K88" s="2">
        <v>0.50829999999999997</v>
      </c>
      <c r="L88" s="2">
        <v>58.612499999999997</v>
      </c>
      <c r="M88" s="2">
        <v>60.605699999999999</v>
      </c>
      <c r="O88" t="str">
        <f t="shared" si="19"/>
        <v>59.61 (58.61 to 60.61)</v>
      </c>
    </row>
    <row r="89" spans="1:18" ht="17.25" thickBot="1" x14ac:dyDescent="0.35">
      <c r="A89" s="6"/>
      <c r="B89" s="11" t="s">
        <v>153</v>
      </c>
      <c r="C89" s="2">
        <v>17471</v>
      </c>
      <c r="D89" s="2">
        <v>7980531</v>
      </c>
      <c r="E89" s="2">
        <v>89661</v>
      </c>
      <c r="F89" s="2">
        <v>26.380199999999999</v>
      </c>
      <c r="G89" s="2">
        <v>0.20599999999999999</v>
      </c>
      <c r="H89" s="2">
        <v>25.976199999999999</v>
      </c>
      <c r="I89" s="2">
        <v>26.784199999999998</v>
      </c>
      <c r="J89" s="2">
        <v>100</v>
      </c>
      <c r="K89" s="2"/>
      <c r="L89" s="2"/>
      <c r="M89" s="2"/>
    </row>
    <row r="90" spans="1:18" ht="17.25" thickBot="1" x14ac:dyDescent="0.35">
      <c r="A90" s="6">
        <v>3</v>
      </c>
      <c r="B90" s="11">
        <v>1</v>
      </c>
      <c r="C90" s="2">
        <v>2915</v>
      </c>
      <c r="D90" s="2">
        <v>855723</v>
      </c>
      <c r="E90" s="2">
        <v>20711</v>
      </c>
      <c r="F90" s="2">
        <v>2.8287</v>
      </c>
      <c r="G90" s="2">
        <v>7.0599999999999996E-2</v>
      </c>
      <c r="H90" s="2">
        <v>2.6903000000000001</v>
      </c>
      <c r="I90" s="2">
        <v>2.9670000000000001</v>
      </c>
      <c r="J90" s="2">
        <v>11.097099999999999</v>
      </c>
      <c r="K90" s="2">
        <v>0.2707</v>
      </c>
      <c r="L90" s="2">
        <v>10.5663</v>
      </c>
      <c r="M90" s="2">
        <v>11.627800000000001</v>
      </c>
      <c r="O90" t="str">
        <f t="shared" ref="O90:O93" si="20">TEXT(J90,"0.00")&amp;" ("&amp;TEXT(L90,"0.00")&amp;" to "&amp;TEXT(M90,"0.00")&amp;")"</f>
        <v>11.10 (10.57 to 11.63)</v>
      </c>
    </row>
    <row r="91" spans="1:18" ht="17.25" thickBot="1" x14ac:dyDescent="0.35">
      <c r="A91" s="6"/>
      <c r="B91" s="11">
        <v>2</v>
      </c>
      <c r="C91" s="2">
        <v>2445</v>
      </c>
      <c r="D91" s="2">
        <v>817982</v>
      </c>
      <c r="E91" s="2">
        <v>21568</v>
      </c>
      <c r="F91" s="2">
        <v>2.7039</v>
      </c>
      <c r="G91" s="2">
        <v>7.1499999999999994E-2</v>
      </c>
      <c r="H91" s="2">
        <v>2.5636999999999999</v>
      </c>
      <c r="I91" s="2">
        <v>2.8441000000000001</v>
      </c>
      <c r="J91" s="2">
        <v>10.607699999999999</v>
      </c>
      <c r="K91" s="2">
        <v>0.26910000000000001</v>
      </c>
      <c r="L91" s="2">
        <v>10.0801</v>
      </c>
      <c r="M91" s="2">
        <v>11.135300000000001</v>
      </c>
      <c r="O91" t="str">
        <f t="shared" si="20"/>
        <v>10.61 (10.08 to 11.14)</v>
      </c>
    </row>
    <row r="92" spans="1:18" ht="17.25" thickBot="1" x14ac:dyDescent="0.35">
      <c r="A92" s="6"/>
      <c r="B92" s="11">
        <v>3</v>
      </c>
      <c r="C92" s="2">
        <v>4917</v>
      </c>
      <c r="D92" s="2">
        <v>2191378</v>
      </c>
      <c r="E92" s="2">
        <v>41917</v>
      </c>
      <c r="F92" s="2">
        <v>7.2438000000000002</v>
      </c>
      <c r="G92" s="2">
        <v>0.12740000000000001</v>
      </c>
      <c r="H92" s="2">
        <v>6.9939</v>
      </c>
      <c r="I92" s="2">
        <v>7.4935999999999998</v>
      </c>
      <c r="J92" s="2">
        <v>28.417999999999999</v>
      </c>
      <c r="K92" s="2">
        <v>0.43859999999999999</v>
      </c>
      <c r="L92" s="2">
        <v>27.5579</v>
      </c>
      <c r="M92" s="2">
        <v>29.277999999999999</v>
      </c>
      <c r="O92" t="str">
        <f t="shared" si="20"/>
        <v>28.42 (27.56 to 29.28)</v>
      </c>
    </row>
    <row r="93" spans="1:18" ht="17.25" thickBot="1" x14ac:dyDescent="0.35">
      <c r="A93" s="6"/>
      <c r="B93" s="11">
        <v>4</v>
      </c>
      <c r="C93" s="2">
        <v>7711</v>
      </c>
      <c r="D93" s="2">
        <v>3846152</v>
      </c>
      <c r="E93" s="2">
        <v>63457</v>
      </c>
      <c r="F93" s="2">
        <v>12.713699999999999</v>
      </c>
      <c r="G93" s="2">
        <v>0.1736</v>
      </c>
      <c r="H93" s="2">
        <v>12.3733</v>
      </c>
      <c r="I93" s="2">
        <v>13.0542</v>
      </c>
      <c r="J93" s="2">
        <v>49.877299999999998</v>
      </c>
      <c r="K93" s="2">
        <v>0.53149999999999997</v>
      </c>
      <c r="L93" s="2">
        <v>48.835099999999997</v>
      </c>
      <c r="M93" s="2">
        <v>50.919400000000003</v>
      </c>
      <c r="O93" t="str">
        <f t="shared" si="20"/>
        <v>49.88 (48.84 to 50.92)</v>
      </c>
    </row>
    <row r="94" spans="1:18" ht="17.25" thickBot="1" x14ac:dyDescent="0.35">
      <c r="A94" s="6"/>
      <c r="B94" s="11" t="s">
        <v>153</v>
      </c>
      <c r="C94" s="2">
        <v>17988</v>
      </c>
      <c r="D94" s="2">
        <v>7711235</v>
      </c>
      <c r="E94" s="2">
        <v>84434</v>
      </c>
      <c r="F94" s="2">
        <v>25.490100000000002</v>
      </c>
      <c r="G94" s="2">
        <v>0.20630000000000001</v>
      </c>
      <c r="H94" s="2">
        <v>25.0855</v>
      </c>
      <c r="I94" s="2">
        <v>25.894600000000001</v>
      </c>
      <c r="J94" s="2">
        <v>100</v>
      </c>
      <c r="K94" s="2"/>
      <c r="L94" s="2"/>
      <c r="M94" s="2"/>
    </row>
    <row r="95" spans="1:18" ht="17.25" thickBot="1" x14ac:dyDescent="0.35">
      <c r="A95" s="6">
        <v>4</v>
      </c>
      <c r="B95" s="11">
        <v>1</v>
      </c>
      <c r="C95" s="2">
        <v>4058</v>
      </c>
      <c r="D95" s="2">
        <v>1217093</v>
      </c>
      <c r="E95" s="2">
        <v>28445</v>
      </c>
      <c r="F95" s="2">
        <v>4.0232000000000001</v>
      </c>
      <c r="G95" s="2">
        <v>9.6600000000000005E-2</v>
      </c>
      <c r="H95" s="2">
        <v>3.8338000000000001</v>
      </c>
      <c r="I95" s="2">
        <v>4.2125000000000004</v>
      </c>
      <c r="J95" s="2">
        <v>17.202500000000001</v>
      </c>
      <c r="K95" s="2">
        <v>0.36</v>
      </c>
      <c r="L95" s="2">
        <v>16.496600000000001</v>
      </c>
      <c r="M95" s="2">
        <v>17.9084</v>
      </c>
      <c r="O95" t="str">
        <f t="shared" ref="O95:O98" si="21">TEXT(J95,"0.00")&amp;" ("&amp;TEXT(L95,"0.00")&amp;" to "&amp;TEXT(M95,"0.00")&amp;")"</f>
        <v>17.20 (16.50 to 17.91)</v>
      </c>
    </row>
    <row r="96" spans="1:18" ht="17.25" thickBot="1" x14ac:dyDescent="0.35">
      <c r="A96" s="6"/>
      <c r="B96" s="11">
        <v>2</v>
      </c>
      <c r="C96" s="2">
        <v>3032</v>
      </c>
      <c r="D96" s="2">
        <v>1011574</v>
      </c>
      <c r="E96" s="2">
        <v>24693</v>
      </c>
      <c r="F96" s="2">
        <v>3.3437999999999999</v>
      </c>
      <c r="G96" s="2">
        <v>8.1799999999999998E-2</v>
      </c>
      <c r="H96" s="2">
        <v>3.1835</v>
      </c>
      <c r="I96" s="2">
        <v>3.5042</v>
      </c>
      <c r="J96" s="2">
        <v>14.297700000000001</v>
      </c>
      <c r="K96" s="2">
        <v>0.317</v>
      </c>
      <c r="L96" s="2">
        <v>13.6761</v>
      </c>
      <c r="M96" s="2">
        <v>14.9193</v>
      </c>
      <c r="O96" t="str">
        <f t="shared" si="21"/>
        <v>14.30 (13.68 to 14.92)</v>
      </c>
    </row>
    <row r="97" spans="1:18" ht="17.25" thickBot="1" x14ac:dyDescent="0.35">
      <c r="A97" s="6"/>
      <c r="B97" s="11">
        <v>3</v>
      </c>
      <c r="C97" s="2">
        <v>4778</v>
      </c>
      <c r="D97" s="2">
        <v>2064086</v>
      </c>
      <c r="E97" s="2">
        <v>39095</v>
      </c>
      <c r="F97" s="2">
        <v>6.8230000000000004</v>
      </c>
      <c r="G97" s="2">
        <v>0.1242</v>
      </c>
      <c r="H97" s="2">
        <v>6.5793999999999997</v>
      </c>
      <c r="I97" s="2">
        <v>7.0664999999999996</v>
      </c>
      <c r="J97" s="2">
        <v>29.173999999999999</v>
      </c>
      <c r="K97" s="2">
        <v>0.44240000000000002</v>
      </c>
      <c r="L97" s="2">
        <v>28.3064</v>
      </c>
      <c r="M97" s="2">
        <v>30.041499999999999</v>
      </c>
      <c r="O97" t="str">
        <f t="shared" si="21"/>
        <v>29.17 (28.31 to 30.04)</v>
      </c>
    </row>
    <row r="98" spans="1:18" ht="17.25" thickBot="1" x14ac:dyDescent="0.35">
      <c r="A98" s="6"/>
      <c r="B98" s="11">
        <v>4</v>
      </c>
      <c r="C98" s="2">
        <v>5794</v>
      </c>
      <c r="D98" s="2">
        <v>2782341</v>
      </c>
      <c r="E98" s="2">
        <v>51309</v>
      </c>
      <c r="F98" s="2">
        <v>9.1972000000000005</v>
      </c>
      <c r="G98" s="2">
        <v>0.1479</v>
      </c>
      <c r="H98" s="2">
        <v>8.9071999999999996</v>
      </c>
      <c r="I98" s="2">
        <v>9.4872999999999994</v>
      </c>
      <c r="J98" s="2">
        <v>39.325899999999997</v>
      </c>
      <c r="K98" s="2">
        <v>0.56459999999999999</v>
      </c>
      <c r="L98" s="2">
        <v>38.218699999999998</v>
      </c>
      <c r="M98" s="2">
        <v>40.433</v>
      </c>
      <c r="O98" t="str">
        <f t="shared" si="21"/>
        <v>39.33 (38.22 to 40.43)</v>
      </c>
    </row>
    <row r="99" spans="1:18" ht="17.25" thickBot="1" x14ac:dyDescent="0.35">
      <c r="A99" s="6"/>
      <c r="B99" s="11" t="s">
        <v>153</v>
      </c>
      <c r="C99" s="2">
        <v>17662</v>
      </c>
      <c r="D99" s="2">
        <v>7075094</v>
      </c>
      <c r="E99" s="2">
        <v>78713</v>
      </c>
      <c r="F99" s="2">
        <v>23.3872</v>
      </c>
      <c r="G99" s="2">
        <v>0.221</v>
      </c>
      <c r="H99" s="2">
        <v>22.954000000000001</v>
      </c>
      <c r="I99" s="2">
        <v>23.820499999999999</v>
      </c>
      <c r="J99" s="2">
        <v>100</v>
      </c>
      <c r="K99" s="2"/>
      <c r="L99" s="2"/>
      <c r="M99" s="2"/>
    </row>
    <row r="100" spans="1:18" ht="17.25" thickBot="1" x14ac:dyDescent="0.35">
      <c r="A100" s="6" t="s">
        <v>153</v>
      </c>
      <c r="B100" s="11">
        <v>1</v>
      </c>
      <c r="C100" s="2">
        <v>9199</v>
      </c>
      <c r="D100" s="2">
        <v>2778708</v>
      </c>
      <c r="E100" s="2">
        <v>48157</v>
      </c>
      <c r="F100" s="2">
        <v>9.1852</v>
      </c>
      <c r="G100" s="2">
        <v>0.16550000000000001</v>
      </c>
      <c r="H100" s="2">
        <v>8.8606999999999996</v>
      </c>
      <c r="I100" s="2">
        <v>9.5098000000000003</v>
      </c>
      <c r="J100" s="2"/>
      <c r="K100" s="2"/>
      <c r="L100" s="2"/>
      <c r="M100" s="2"/>
    </row>
    <row r="101" spans="1:18" ht="17.25" thickBot="1" x14ac:dyDescent="0.35">
      <c r="A101" s="6"/>
      <c r="B101" s="11">
        <v>2</v>
      </c>
      <c r="C101" s="2">
        <v>7937</v>
      </c>
      <c r="D101" s="2">
        <v>2682504</v>
      </c>
      <c r="E101" s="2">
        <v>43699</v>
      </c>
      <c r="F101" s="2">
        <v>8.8672000000000004</v>
      </c>
      <c r="G101" s="2">
        <v>0.14430000000000001</v>
      </c>
      <c r="H101" s="2">
        <v>8.5841999999999992</v>
      </c>
      <c r="I101" s="2">
        <v>9.1501999999999999</v>
      </c>
      <c r="J101" s="2"/>
      <c r="K101" s="2"/>
      <c r="L101" s="2"/>
      <c r="M101" s="2"/>
    </row>
    <row r="102" spans="1:18" ht="17.25" thickBot="1" x14ac:dyDescent="0.35">
      <c r="A102" s="6"/>
      <c r="B102" s="11">
        <v>3</v>
      </c>
      <c r="C102" s="2">
        <v>17758</v>
      </c>
      <c r="D102" s="2">
        <v>7987796</v>
      </c>
      <c r="E102" s="2">
        <v>95615</v>
      </c>
      <c r="F102" s="2">
        <v>26.404199999999999</v>
      </c>
      <c r="G102" s="2">
        <v>0.25690000000000002</v>
      </c>
      <c r="H102" s="2">
        <v>25.900500000000001</v>
      </c>
      <c r="I102" s="2">
        <v>26.908000000000001</v>
      </c>
      <c r="J102" s="2"/>
      <c r="K102" s="2"/>
      <c r="L102" s="2"/>
      <c r="M102" s="2"/>
    </row>
    <row r="103" spans="1:18" ht="17.25" thickBot="1" x14ac:dyDescent="0.35">
      <c r="A103" s="6"/>
      <c r="B103" s="11">
        <v>4</v>
      </c>
      <c r="C103" s="2">
        <v>33741</v>
      </c>
      <c r="D103" s="2">
        <v>16802927</v>
      </c>
      <c r="E103" s="2">
        <v>189742</v>
      </c>
      <c r="F103" s="2">
        <v>55.543300000000002</v>
      </c>
      <c r="G103" s="2">
        <v>0.36720000000000003</v>
      </c>
      <c r="H103" s="2">
        <v>54.8232</v>
      </c>
      <c r="I103" s="2">
        <v>56.263399999999997</v>
      </c>
      <c r="J103" s="2"/>
      <c r="K103" s="2"/>
      <c r="L103" s="2"/>
      <c r="M103" s="2"/>
    </row>
    <row r="104" spans="1:18" x14ac:dyDescent="0.3">
      <c r="A104" s="6"/>
      <c r="B104" s="14" t="s">
        <v>153</v>
      </c>
      <c r="C104" s="2">
        <v>68635</v>
      </c>
      <c r="D104" s="2">
        <v>30251936</v>
      </c>
      <c r="E104" s="2">
        <v>228758</v>
      </c>
      <c r="F104" s="2">
        <v>100</v>
      </c>
      <c r="G104" s="2"/>
      <c r="H104" s="2"/>
      <c r="I104" s="2"/>
      <c r="J104" s="2"/>
      <c r="K104" s="2"/>
      <c r="L104" s="2"/>
      <c r="M104" s="2"/>
    </row>
    <row r="105" spans="1:18" ht="17.25" thickBot="1" x14ac:dyDescent="0.35"/>
    <row r="106" spans="1:18" ht="16.5" customHeight="1" x14ac:dyDescent="0.3">
      <c r="A106" s="16" t="s">
        <v>192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spans="1:18" ht="33" customHeight="1" x14ac:dyDescent="0.3">
      <c r="A107" s="17" t="s">
        <v>43</v>
      </c>
      <c r="B107" s="19" t="s">
        <v>9</v>
      </c>
      <c r="C107" s="19" t="s">
        <v>146</v>
      </c>
      <c r="D107" s="3" t="s">
        <v>147</v>
      </c>
      <c r="E107" s="3" t="s">
        <v>148</v>
      </c>
      <c r="F107" s="19" t="s">
        <v>150</v>
      </c>
      <c r="G107" s="3" t="s">
        <v>148</v>
      </c>
      <c r="H107" s="19" t="s">
        <v>151</v>
      </c>
      <c r="I107" s="19"/>
      <c r="J107" s="3" t="s">
        <v>170</v>
      </c>
      <c r="K107" s="3" t="s">
        <v>148</v>
      </c>
      <c r="L107" s="19" t="s">
        <v>151</v>
      </c>
      <c r="M107" s="19"/>
    </row>
    <row r="108" spans="1:18" ht="33" x14ac:dyDescent="0.3">
      <c r="A108" s="17"/>
      <c r="B108" s="19"/>
      <c r="C108" s="19"/>
      <c r="D108" s="3" t="s">
        <v>146</v>
      </c>
      <c r="E108" s="3" t="s">
        <v>149</v>
      </c>
      <c r="F108" s="19"/>
      <c r="G108" s="3" t="s">
        <v>150</v>
      </c>
      <c r="H108" s="19" t="s">
        <v>152</v>
      </c>
      <c r="I108" s="19"/>
      <c r="J108" s="3" t="s">
        <v>150</v>
      </c>
      <c r="K108" s="3" t="s">
        <v>171</v>
      </c>
      <c r="L108" s="19" t="s">
        <v>172</v>
      </c>
      <c r="M108" s="19"/>
    </row>
    <row r="109" spans="1:18" ht="17.25" thickBot="1" x14ac:dyDescent="0.35">
      <c r="A109" s="6">
        <v>1</v>
      </c>
      <c r="B109" s="11">
        <v>1</v>
      </c>
      <c r="C109" s="2">
        <v>1355</v>
      </c>
      <c r="D109" s="2">
        <v>640779</v>
      </c>
      <c r="E109" s="2">
        <v>26691</v>
      </c>
      <c r="F109" s="2">
        <v>2.1181000000000001</v>
      </c>
      <c r="G109" s="2">
        <v>8.7599999999999997E-2</v>
      </c>
      <c r="H109" s="2">
        <v>1.9462999999999999</v>
      </c>
      <c r="I109" s="2">
        <v>2.29</v>
      </c>
      <c r="J109" s="2">
        <v>8.5608000000000004</v>
      </c>
      <c r="K109" s="2">
        <v>0.33929999999999999</v>
      </c>
      <c r="L109" s="2">
        <v>7.8955000000000002</v>
      </c>
      <c r="M109" s="2">
        <v>9.2260000000000009</v>
      </c>
      <c r="O109" t="str">
        <f t="shared" ref="O109:O112" si="22">TEXT(J109,"0.00")&amp;" ("&amp;TEXT(L109,"0.00")&amp;" to "&amp;TEXT(M109,"0.00")&amp;")"</f>
        <v>8.56 (7.90 to 9.23)</v>
      </c>
      <c r="P109" t="str">
        <f>O114</f>
        <v>11.02 (10.38 to 11.66)</v>
      </c>
      <c r="Q109" t="str">
        <f>O119</f>
        <v>13.56 (12.91 to 14.21)</v>
      </c>
      <c r="R109" t="str">
        <f>O124</f>
        <v>19.37 (18.58 to 20.15)</v>
      </c>
    </row>
    <row r="110" spans="1:18" ht="17.25" thickBot="1" x14ac:dyDescent="0.35">
      <c r="A110" s="6"/>
      <c r="B110" s="11">
        <v>2</v>
      </c>
      <c r="C110" s="2">
        <v>3511</v>
      </c>
      <c r="D110" s="2">
        <v>1717404</v>
      </c>
      <c r="E110" s="2">
        <v>41151</v>
      </c>
      <c r="F110" s="2">
        <v>5.6769999999999996</v>
      </c>
      <c r="G110" s="2">
        <v>0.13</v>
      </c>
      <c r="H110" s="2">
        <v>5.4222000000000001</v>
      </c>
      <c r="I110" s="2">
        <v>5.9318</v>
      </c>
      <c r="J110" s="2">
        <v>22.944400000000002</v>
      </c>
      <c r="K110" s="2">
        <v>0.4834</v>
      </c>
      <c r="L110" s="2">
        <v>21.996600000000001</v>
      </c>
      <c r="M110" s="2">
        <v>23.892099999999999</v>
      </c>
      <c r="O110" t="str">
        <f t="shared" si="22"/>
        <v>22.94 (22.00 to 23.89)</v>
      </c>
      <c r="P110" t="str">
        <f t="shared" ref="P110:P112" si="23">O115</f>
        <v>23.59 (22.70 to 24.48)</v>
      </c>
      <c r="Q110" t="str">
        <f t="shared" ref="Q110:Q112" si="24">O120</f>
        <v>23.86 (23.00 to 24.72)</v>
      </c>
      <c r="R110" t="str">
        <f t="shared" ref="R110:R112" si="25">O125</f>
        <v>25.83 (24.96 to 26.71)</v>
      </c>
    </row>
    <row r="111" spans="1:18" ht="17.25" thickBot="1" x14ac:dyDescent="0.35">
      <c r="A111" s="6"/>
      <c r="B111" s="11">
        <v>3</v>
      </c>
      <c r="C111" s="2">
        <v>4856</v>
      </c>
      <c r="D111" s="2">
        <v>2346691</v>
      </c>
      <c r="E111" s="2">
        <v>48825</v>
      </c>
      <c r="F111" s="2">
        <v>7.7572000000000001</v>
      </c>
      <c r="G111" s="2">
        <v>0.1454</v>
      </c>
      <c r="H111" s="2">
        <v>7.4721000000000002</v>
      </c>
      <c r="I111" s="2">
        <v>8.0421999999999993</v>
      </c>
      <c r="J111" s="2">
        <v>31.351600000000001</v>
      </c>
      <c r="K111" s="2">
        <v>0.51839999999999997</v>
      </c>
      <c r="L111" s="2">
        <v>30.335100000000001</v>
      </c>
      <c r="M111" s="2">
        <v>32.368099999999998</v>
      </c>
      <c r="O111" t="str">
        <f t="shared" si="22"/>
        <v>31.35 (30.34 to 32.37)</v>
      </c>
      <c r="P111" t="str">
        <f t="shared" si="23"/>
        <v>31.82 (30.86 to 32.79)</v>
      </c>
      <c r="Q111" t="str">
        <f t="shared" si="24"/>
        <v>30.94 (30.03 to 31.85)</v>
      </c>
      <c r="R111" t="str">
        <f t="shared" si="25"/>
        <v>27.11 (26.21 to 28.00)</v>
      </c>
    </row>
    <row r="112" spans="1:18" ht="17.25" thickBot="1" x14ac:dyDescent="0.35">
      <c r="A112" s="6"/>
      <c r="B112" s="11">
        <v>4</v>
      </c>
      <c r="C112" s="2">
        <v>5792</v>
      </c>
      <c r="D112" s="2">
        <v>2780202</v>
      </c>
      <c r="E112" s="2">
        <v>60406</v>
      </c>
      <c r="F112" s="2">
        <v>9.1902000000000008</v>
      </c>
      <c r="G112" s="2">
        <v>0.1794</v>
      </c>
      <c r="H112" s="2">
        <v>8.8384</v>
      </c>
      <c r="I112" s="2">
        <v>9.5419</v>
      </c>
      <c r="J112" s="2">
        <v>37.143300000000004</v>
      </c>
      <c r="K112" s="2">
        <v>0.61870000000000003</v>
      </c>
      <c r="L112" s="2">
        <v>35.93</v>
      </c>
      <c r="M112" s="2">
        <v>38.356499999999997</v>
      </c>
      <c r="O112" t="str">
        <f t="shared" si="22"/>
        <v>37.14 (35.93 to 38.36)</v>
      </c>
      <c r="P112" t="str">
        <f t="shared" si="23"/>
        <v>33.57 (32.45 to 34.68)</v>
      </c>
      <c r="Q112" t="str">
        <f t="shared" si="24"/>
        <v>31.64 (30.56 to 32.72)</v>
      </c>
      <c r="R112" t="str">
        <f t="shared" si="25"/>
        <v>27.69 (26.68 to 28.71)</v>
      </c>
    </row>
    <row r="113" spans="1:15" ht="17.25" thickBot="1" x14ac:dyDescent="0.35">
      <c r="A113" s="6"/>
      <c r="B113" s="11" t="s">
        <v>153</v>
      </c>
      <c r="C113" s="2">
        <v>15514</v>
      </c>
      <c r="D113" s="2">
        <v>7485076</v>
      </c>
      <c r="E113" s="2">
        <v>96512</v>
      </c>
      <c r="F113" s="2">
        <v>24.7425</v>
      </c>
      <c r="G113" s="2">
        <v>0.23899999999999999</v>
      </c>
      <c r="H113" s="2">
        <v>24.273700000000002</v>
      </c>
      <c r="I113" s="2">
        <v>25.211200000000002</v>
      </c>
      <c r="J113" s="2">
        <v>100</v>
      </c>
      <c r="K113" s="2"/>
      <c r="L113" s="2"/>
      <c r="M113" s="2"/>
    </row>
    <row r="114" spans="1:15" ht="17.25" thickBot="1" x14ac:dyDescent="0.35">
      <c r="A114" s="6">
        <v>2</v>
      </c>
      <c r="B114" s="11">
        <v>1</v>
      </c>
      <c r="C114" s="2">
        <v>2292</v>
      </c>
      <c r="D114" s="2">
        <v>879363</v>
      </c>
      <c r="E114" s="2">
        <v>26678</v>
      </c>
      <c r="F114" s="2">
        <v>2.9068000000000001</v>
      </c>
      <c r="G114" s="2">
        <v>8.8499999999999995E-2</v>
      </c>
      <c r="H114" s="2">
        <v>2.7332999999999998</v>
      </c>
      <c r="I114" s="2">
        <v>3.0802999999999998</v>
      </c>
      <c r="J114" s="2">
        <v>11.0189</v>
      </c>
      <c r="K114" s="2">
        <v>0.3261</v>
      </c>
      <c r="L114" s="2">
        <v>10.379300000000001</v>
      </c>
      <c r="M114" s="2">
        <v>11.6584</v>
      </c>
      <c r="O114" t="str">
        <f t="shared" ref="O114:O117" si="26">TEXT(J114,"0.00")&amp;" ("&amp;TEXT(L114,"0.00")&amp;" to "&amp;TEXT(M114,"0.00")&amp;")"</f>
        <v>11.02 (10.38 to 11.66)</v>
      </c>
    </row>
    <row r="115" spans="1:15" ht="17.25" thickBot="1" x14ac:dyDescent="0.35">
      <c r="A115" s="6"/>
      <c r="B115" s="11">
        <v>2</v>
      </c>
      <c r="C115" s="2">
        <v>4182</v>
      </c>
      <c r="D115" s="2">
        <v>1882627</v>
      </c>
      <c r="E115" s="2">
        <v>40058</v>
      </c>
      <c r="F115" s="2">
        <v>6.2232000000000003</v>
      </c>
      <c r="G115" s="2">
        <v>0.12570000000000001</v>
      </c>
      <c r="H115" s="2">
        <v>5.9767000000000001</v>
      </c>
      <c r="I115" s="2">
        <v>6.4695999999999998</v>
      </c>
      <c r="J115" s="2">
        <v>23.590199999999999</v>
      </c>
      <c r="K115" s="2">
        <v>0.45329999999999998</v>
      </c>
      <c r="L115" s="2">
        <v>22.701499999999999</v>
      </c>
      <c r="M115" s="2">
        <v>24.478999999999999</v>
      </c>
      <c r="O115" t="str">
        <f t="shared" si="26"/>
        <v>23.59 (22.70 to 24.48)</v>
      </c>
    </row>
    <row r="116" spans="1:15" ht="17.25" thickBot="1" x14ac:dyDescent="0.35">
      <c r="A116" s="6"/>
      <c r="B116" s="11">
        <v>3</v>
      </c>
      <c r="C116" s="2">
        <v>5319</v>
      </c>
      <c r="D116" s="2">
        <v>2539616</v>
      </c>
      <c r="E116" s="2">
        <v>49288</v>
      </c>
      <c r="F116" s="2">
        <v>8.3948999999999998</v>
      </c>
      <c r="G116" s="2">
        <v>0.1472</v>
      </c>
      <c r="H116" s="2">
        <v>8.1062999999999992</v>
      </c>
      <c r="I116" s="2">
        <v>8.6834000000000007</v>
      </c>
      <c r="J116" s="2">
        <v>31.822600000000001</v>
      </c>
      <c r="K116" s="2">
        <v>0.49130000000000001</v>
      </c>
      <c r="L116" s="2">
        <v>30.859400000000001</v>
      </c>
      <c r="M116" s="2">
        <v>32.785899999999998</v>
      </c>
      <c r="O116" t="str">
        <f t="shared" si="26"/>
        <v>31.82 (30.86 to 32.79)</v>
      </c>
    </row>
    <row r="117" spans="1:15" ht="17.25" thickBot="1" x14ac:dyDescent="0.35">
      <c r="A117" s="6"/>
      <c r="B117" s="11">
        <v>4</v>
      </c>
      <c r="C117" s="2">
        <v>5678</v>
      </c>
      <c r="D117" s="2">
        <v>2678926</v>
      </c>
      <c r="E117" s="2">
        <v>57332</v>
      </c>
      <c r="F117" s="2">
        <v>8.8553999999999995</v>
      </c>
      <c r="G117" s="2">
        <v>0.1678</v>
      </c>
      <c r="H117" s="2">
        <v>8.5264000000000006</v>
      </c>
      <c r="I117" s="2">
        <v>9.1843000000000004</v>
      </c>
      <c r="J117" s="2">
        <v>33.568300000000001</v>
      </c>
      <c r="K117" s="2">
        <v>0.56810000000000005</v>
      </c>
      <c r="L117" s="2">
        <v>32.454300000000003</v>
      </c>
      <c r="M117" s="2">
        <v>34.682200000000002</v>
      </c>
      <c r="O117" t="str">
        <f t="shared" si="26"/>
        <v>33.57 (32.45 to 34.68)</v>
      </c>
    </row>
    <row r="118" spans="1:15" ht="17.25" thickBot="1" x14ac:dyDescent="0.35">
      <c r="A118" s="6"/>
      <c r="B118" s="11" t="s">
        <v>153</v>
      </c>
      <c r="C118" s="2">
        <v>17471</v>
      </c>
      <c r="D118" s="2">
        <v>7980531</v>
      </c>
      <c r="E118" s="2">
        <v>89661</v>
      </c>
      <c r="F118" s="2">
        <v>26.380199999999999</v>
      </c>
      <c r="G118" s="2">
        <v>0.20599999999999999</v>
      </c>
      <c r="H118" s="2">
        <v>25.976199999999999</v>
      </c>
      <c r="I118" s="2">
        <v>26.784199999999998</v>
      </c>
      <c r="J118" s="2">
        <v>100</v>
      </c>
      <c r="K118" s="2"/>
      <c r="L118" s="2"/>
      <c r="M118" s="2"/>
    </row>
    <row r="119" spans="1:15" ht="17.25" thickBot="1" x14ac:dyDescent="0.35">
      <c r="A119" s="6">
        <v>3</v>
      </c>
      <c r="B119" s="11">
        <v>1</v>
      </c>
      <c r="C119" s="2">
        <v>3196</v>
      </c>
      <c r="D119" s="2">
        <v>1045906</v>
      </c>
      <c r="E119" s="2">
        <v>26066</v>
      </c>
      <c r="F119" s="2">
        <v>3.4573</v>
      </c>
      <c r="G119" s="2">
        <v>8.7900000000000006E-2</v>
      </c>
      <c r="H119" s="2">
        <v>3.2850000000000001</v>
      </c>
      <c r="I119" s="2">
        <v>3.6297000000000001</v>
      </c>
      <c r="J119" s="2">
        <v>13.5634</v>
      </c>
      <c r="K119" s="2">
        <v>0.33129999999999998</v>
      </c>
      <c r="L119" s="2">
        <v>12.9138</v>
      </c>
      <c r="M119" s="2">
        <v>14.212999999999999</v>
      </c>
      <c r="O119" t="str">
        <f t="shared" ref="O119:O122" si="27">TEXT(J119,"0.00")&amp;" ("&amp;TEXT(L119,"0.00")&amp;" to "&amp;TEXT(M119,"0.00")&amp;")"</f>
        <v>13.56 (12.91 to 14.21)</v>
      </c>
    </row>
    <row r="120" spans="1:15" ht="17.25" thickBot="1" x14ac:dyDescent="0.35">
      <c r="A120" s="6"/>
      <c r="B120" s="11">
        <v>2</v>
      </c>
      <c r="C120" s="2">
        <v>4465</v>
      </c>
      <c r="D120" s="2">
        <v>1839720</v>
      </c>
      <c r="E120" s="2">
        <v>37338</v>
      </c>
      <c r="F120" s="2">
        <v>6.0812999999999997</v>
      </c>
      <c r="G120" s="2">
        <v>0.12089999999999999</v>
      </c>
      <c r="H120" s="2">
        <v>5.8441999999999998</v>
      </c>
      <c r="I120" s="2">
        <v>6.3183999999999996</v>
      </c>
      <c r="J120" s="2">
        <v>23.857700000000001</v>
      </c>
      <c r="K120" s="2">
        <v>0.438</v>
      </c>
      <c r="L120" s="2">
        <v>22.998799999999999</v>
      </c>
      <c r="M120" s="2">
        <v>24.7166</v>
      </c>
      <c r="O120" t="str">
        <f t="shared" si="27"/>
        <v>23.86 (23.00 to 24.72)</v>
      </c>
    </row>
    <row r="121" spans="1:15" ht="17.25" thickBot="1" x14ac:dyDescent="0.35">
      <c r="A121" s="6"/>
      <c r="B121" s="11">
        <v>3</v>
      </c>
      <c r="C121" s="2">
        <v>5106</v>
      </c>
      <c r="D121" s="2">
        <v>2385883</v>
      </c>
      <c r="E121" s="2">
        <v>46565</v>
      </c>
      <c r="F121" s="2">
        <v>7.8867000000000003</v>
      </c>
      <c r="G121" s="2">
        <v>0.13769999999999999</v>
      </c>
      <c r="H121" s="2">
        <v>7.6166999999999998</v>
      </c>
      <c r="I121" s="2">
        <v>8.1567000000000007</v>
      </c>
      <c r="J121" s="2">
        <v>30.9404</v>
      </c>
      <c r="K121" s="2">
        <v>0.46329999999999999</v>
      </c>
      <c r="L121" s="2">
        <v>30.0318</v>
      </c>
      <c r="M121" s="2">
        <v>31.8489</v>
      </c>
      <c r="O121" t="str">
        <f t="shared" si="27"/>
        <v>30.94 (30.03 to 31.85)</v>
      </c>
    </row>
    <row r="122" spans="1:15" ht="17.25" thickBot="1" x14ac:dyDescent="0.35">
      <c r="A122" s="6"/>
      <c r="B122" s="11">
        <v>4</v>
      </c>
      <c r="C122" s="2">
        <v>5221</v>
      </c>
      <c r="D122" s="2">
        <v>2439726</v>
      </c>
      <c r="E122" s="2">
        <v>52402</v>
      </c>
      <c r="F122" s="2">
        <v>8.0647000000000002</v>
      </c>
      <c r="G122" s="2">
        <v>0.1542</v>
      </c>
      <c r="H122" s="2">
        <v>7.7622999999999998</v>
      </c>
      <c r="I122" s="2">
        <v>8.3671000000000006</v>
      </c>
      <c r="J122" s="2">
        <v>31.6386</v>
      </c>
      <c r="K122" s="2">
        <v>0.55030000000000001</v>
      </c>
      <c r="L122" s="2">
        <v>30.5596</v>
      </c>
      <c r="M122" s="2">
        <v>32.717599999999997</v>
      </c>
      <c r="O122" t="str">
        <f t="shared" si="27"/>
        <v>31.64 (30.56 to 32.72)</v>
      </c>
    </row>
    <row r="123" spans="1:15" ht="17.25" thickBot="1" x14ac:dyDescent="0.35">
      <c r="A123" s="6"/>
      <c r="B123" s="11" t="s">
        <v>153</v>
      </c>
      <c r="C123" s="2">
        <v>17988</v>
      </c>
      <c r="D123" s="2">
        <v>7711235</v>
      </c>
      <c r="E123" s="2">
        <v>84434</v>
      </c>
      <c r="F123" s="2">
        <v>25.490100000000002</v>
      </c>
      <c r="G123" s="2">
        <v>0.20630000000000001</v>
      </c>
      <c r="H123" s="2">
        <v>25.0855</v>
      </c>
      <c r="I123" s="2">
        <v>25.894600000000001</v>
      </c>
      <c r="J123" s="2">
        <v>100</v>
      </c>
      <c r="K123" s="2"/>
      <c r="L123" s="2"/>
      <c r="M123" s="2"/>
    </row>
    <row r="124" spans="1:15" ht="17.25" thickBot="1" x14ac:dyDescent="0.35">
      <c r="A124" s="6">
        <v>4</v>
      </c>
      <c r="B124" s="11">
        <v>1</v>
      </c>
      <c r="C124" s="2">
        <v>4422</v>
      </c>
      <c r="D124" s="2">
        <v>1370108</v>
      </c>
      <c r="E124" s="2">
        <v>30773</v>
      </c>
      <c r="F124" s="2">
        <v>4.5289999999999999</v>
      </c>
      <c r="G124" s="2">
        <v>0.1071</v>
      </c>
      <c r="H124" s="2">
        <v>4.3189000000000002</v>
      </c>
      <c r="I124" s="2">
        <v>4.7390999999999996</v>
      </c>
      <c r="J124" s="2">
        <v>19.365200000000002</v>
      </c>
      <c r="K124" s="2">
        <v>0.39989999999999998</v>
      </c>
      <c r="L124" s="2">
        <v>18.581099999999999</v>
      </c>
      <c r="M124" s="2">
        <v>20.1494</v>
      </c>
      <c r="O124" t="str">
        <f t="shared" ref="O124:O127" si="28">TEXT(J124,"0.00")&amp;" ("&amp;TEXT(L124,"0.00")&amp;" to "&amp;TEXT(M124,"0.00")&amp;")"</f>
        <v>19.37 (18.58 to 20.15)</v>
      </c>
    </row>
    <row r="125" spans="1:15" ht="17.25" thickBot="1" x14ac:dyDescent="0.35">
      <c r="A125" s="6"/>
      <c r="B125" s="11">
        <v>2</v>
      </c>
      <c r="C125" s="2">
        <v>4676</v>
      </c>
      <c r="D125" s="2">
        <v>1827775</v>
      </c>
      <c r="E125" s="2">
        <v>38069</v>
      </c>
      <c r="F125" s="2">
        <v>6.0418000000000003</v>
      </c>
      <c r="G125" s="2">
        <v>0.12379999999999999</v>
      </c>
      <c r="H125" s="2">
        <v>5.7991999999999999</v>
      </c>
      <c r="I125" s="2">
        <v>6.2845000000000004</v>
      </c>
      <c r="J125" s="2">
        <v>25.8339</v>
      </c>
      <c r="K125" s="2">
        <v>0.4471</v>
      </c>
      <c r="L125" s="2">
        <v>24.9573</v>
      </c>
      <c r="M125" s="2">
        <v>26.710599999999999</v>
      </c>
      <c r="O125" t="str">
        <f t="shared" si="28"/>
        <v>25.83 (24.96 to 26.71)</v>
      </c>
    </row>
    <row r="126" spans="1:15" ht="17.25" thickBot="1" x14ac:dyDescent="0.35">
      <c r="A126" s="6"/>
      <c r="B126" s="11">
        <v>3</v>
      </c>
      <c r="C126" s="2">
        <v>4305</v>
      </c>
      <c r="D126" s="2">
        <v>1917919</v>
      </c>
      <c r="E126" s="2">
        <v>39842</v>
      </c>
      <c r="F126" s="2">
        <v>6.3398000000000003</v>
      </c>
      <c r="G126" s="2">
        <v>0.12039999999999999</v>
      </c>
      <c r="H126" s="2">
        <v>6.1036999999999999</v>
      </c>
      <c r="I126" s="2">
        <v>6.5759999999999996</v>
      </c>
      <c r="J126" s="2">
        <v>27.108000000000001</v>
      </c>
      <c r="K126" s="2">
        <v>0.45639999999999997</v>
      </c>
      <c r="L126" s="2">
        <v>26.213100000000001</v>
      </c>
      <c r="M126" s="2">
        <v>28.003</v>
      </c>
      <c r="O126" t="str">
        <f t="shared" si="28"/>
        <v>27.11 (26.21 to 28.00)</v>
      </c>
    </row>
    <row r="127" spans="1:15" ht="17.25" thickBot="1" x14ac:dyDescent="0.35">
      <c r="A127" s="6"/>
      <c r="B127" s="11">
        <v>4</v>
      </c>
      <c r="C127" s="2">
        <v>4259</v>
      </c>
      <c r="D127" s="2">
        <v>1959293</v>
      </c>
      <c r="E127" s="2">
        <v>42604</v>
      </c>
      <c r="F127" s="2">
        <v>6.4766000000000004</v>
      </c>
      <c r="G127" s="2">
        <v>0.12820000000000001</v>
      </c>
      <c r="H127" s="2">
        <v>6.2251000000000003</v>
      </c>
      <c r="I127" s="2">
        <v>6.7281000000000004</v>
      </c>
      <c r="J127" s="2">
        <v>27.692799999999998</v>
      </c>
      <c r="K127" s="2">
        <v>0.51859999999999995</v>
      </c>
      <c r="L127" s="2">
        <v>26.675999999999998</v>
      </c>
      <c r="M127" s="2">
        <v>28.709599999999998</v>
      </c>
      <c r="O127" t="str">
        <f t="shared" si="28"/>
        <v>27.69 (26.68 to 28.71)</v>
      </c>
    </row>
    <row r="128" spans="1:15" ht="17.25" thickBot="1" x14ac:dyDescent="0.35">
      <c r="A128" s="6"/>
      <c r="B128" s="11" t="s">
        <v>153</v>
      </c>
      <c r="C128" s="2">
        <v>17662</v>
      </c>
      <c r="D128" s="2">
        <v>7075094</v>
      </c>
      <c r="E128" s="2">
        <v>78713</v>
      </c>
      <c r="F128" s="2">
        <v>23.3872</v>
      </c>
      <c r="G128" s="2">
        <v>0.221</v>
      </c>
      <c r="H128" s="2">
        <v>22.954000000000001</v>
      </c>
      <c r="I128" s="2">
        <v>23.820499999999999</v>
      </c>
      <c r="J128" s="2">
        <v>100</v>
      </c>
      <c r="K128" s="2"/>
      <c r="L128" s="2"/>
      <c r="M128" s="2"/>
    </row>
    <row r="129" spans="1:18" ht="17.25" thickBot="1" x14ac:dyDescent="0.35">
      <c r="A129" s="6" t="s">
        <v>153</v>
      </c>
      <c r="B129" s="11">
        <v>1</v>
      </c>
      <c r="C129" s="2">
        <v>11265</v>
      </c>
      <c r="D129" s="2">
        <v>3936155</v>
      </c>
      <c r="E129" s="2">
        <v>65921</v>
      </c>
      <c r="F129" s="2">
        <v>13.0113</v>
      </c>
      <c r="G129" s="2">
        <v>0.22689999999999999</v>
      </c>
      <c r="H129" s="2">
        <v>12.5664</v>
      </c>
      <c r="I129" s="2">
        <v>13.456099999999999</v>
      </c>
      <c r="J129" s="2"/>
      <c r="K129" s="2"/>
      <c r="L129" s="2"/>
      <c r="M129" s="2"/>
    </row>
    <row r="130" spans="1:18" ht="17.25" thickBot="1" x14ac:dyDescent="0.35">
      <c r="A130" s="6"/>
      <c r="B130" s="11">
        <v>2</v>
      </c>
      <c r="C130" s="2">
        <v>16834</v>
      </c>
      <c r="D130" s="2">
        <v>7267525</v>
      </c>
      <c r="E130" s="2">
        <v>98219</v>
      </c>
      <c r="F130" s="2">
        <v>24.023299999999999</v>
      </c>
      <c r="G130" s="2">
        <v>0.29559999999999997</v>
      </c>
      <c r="H130" s="2">
        <v>23.4437</v>
      </c>
      <c r="I130" s="2">
        <v>24.603000000000002</v>
      </c>
      <c r="J130" s="2"/>
      <c r="K130" s="2"/>
      <c r="L130" s="2"/>
      <c r="M130" s="2"/>
    </row>
    <row r="131" spans="1:18" ht="17.25" thickBot="1" x14ac:dyDescent="0.35">
      <c r="A131" s="6"/>
      <c r="B131" s="11">
        <v>3</v>
      </c>
      <c r="C131" s="2">
        <v>19586</v>
      </c>
      <c r="D131" s="2">
        <v>9190109</v>
      </c>
      <c r="E131" s="2">
        <v>122325</v>
      </c>
      <c r="F131" s="2">
        <v>30.378599999999999</v>
      </c>
      <c r="G131" s="2">
        <v>0.30769999999999997</v>
      </c>
      <c r="H131" s="2">
        <v>29.775200000000002</v>
      </c>
      <c r="I131" s="2">
        <v>30.9819</v>
      </c>
      <c r="J131" s="2"/>
      <c r="K131" s="2"/>
      <c r="L131" s="2"/>
      <c r="M131" s="2"/>
    </row>
    <row r="132" spans="1:18" ht="17.25" thickBot="1" x14ac:dyDescent="0.35">
      <c r="A132" s="6"/>
      <c r="B132" s="11">
        <v>4</v>
      </c>
      <c r="C132" s="2">
        <v>20950</v>
      </c>
      <c r="D132" s="2">
        <v>9858146</v>
      </c>
      <c r="E132" s="2">
        <v>157165</v>
      </c>
      <c r="F132" s="2">
        <v>32.586799999999997</v>
      </c>
      <c r="G132" s="2">
        <v>0.41460000000000002</v>
      </c>
      <c r="H132" s="2">
        <v>31.774000000000001</v>
      </c>
      <c r="I132" s="2">
        <v>33.399700000000003</v>
      </c>
      <c r="J132" s="2"/>
      <c r="K132" s="2"/>
      <c r="L132" s="2"/>
      <c r="M132" s="2"/>
    </row>
    <row r="133" spans="1:18" x14ac:dyDescent="0.3">
      <c r="A133" s="6"/>
      <c r="B133" s="14" t="s">
        <v>153</v>
      </c>
      <c r="C133" s="2">
        <v>68635</v>
      </c>
      <c r="D133" s="2">
        <v>30251936</v>
      </c>
      <c r="E133" s="2">
        <v>228758</v>
      </c>
      <c r="F133" s="2">
        <v>100</v>
      </c>
      <c r="G133" s="2"/>
      <c r="H133" s="2"/>
      <c r="I133" s="2"/>
      <c r="J133" s="2"/>
      <c r="K133" s="2"/>
      <c r="L133" s="2"/>
      <c r="M133" s="2"/>
    </row>
    <row r="134" spans="1:18" ht="17.25" thickBot="1" x14ac:dyDescent="0.35"/>
    <row r="135" spans="1:18" ht="16.5" customHeight="1" x14ac:dyDescent="0.3">
      <c r="A135" s="16" t="s">
        <v>193</v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</row>
    <row r="136" spans="1:18" ht="33" customHeight="1" x14ac:dyDescent="0.3">
      <c r="A136" s="17" t="s">
        <v>43</v>
      </c>
      <c r="B136" s="19" t="s">
        <v>10</v>
      </c>
      <c r="C136" s="19" t="s">
        <v>146</v>
      </c>
      <c r="D136" s="3" t="s">
        <v>147</v>
      </c>
      <c r="E136" s="3" t="s">
        <v>148</v>
      </c>
      <c r="F136" s="19" t="s">
        <v>150</v>
      </c>
      <c r="G136" s="3" t="s">
        <v>148</v>
      </c>
      <c r="H136" s="19" t="s">
        <v>151</v>
      </c>
      <c r="I136" s="19"/>
      <c r="J136" s="3" t="s">
        <v>170</v>
      </c>
      <c r="K136" s="3" t="s">
        <v>148</v>
      </c>
      <c r="L136" s="19" t="s">
        <v>151</v>
      </c>
      <c r="M136" s="19"/>
    </row>
    <row r="137" spans="1:18" ht="33" x14ac:dyDescent="0.3">
      <c r="A137" s="17"/>
      <c r="B137" s="19"/>
      <c r="C137" s="19"/>
      <c r="D137" s="3" t="s">
        <v>146</v>
      </c>
      <c r="E137" s="3" t="s">
        <v>149</v>
      </c>
      <c r="F137" s="19"/>
      <c r="G137" s="3" t="s">
        <v>150</v>
      </c>
      <c r="H137" s="19" t="s">
        <v>152</v>
      </c>
      <c r="I137" s="19"/>
      <c r="J137" s="3" t="s">
        <v>150</v>
      </c>
      <c r="K137" s="3" t="s">
        <v>171</v>
      </c>
      <c r="L137" s="19" t="s">
        <v>172</v>
      </c>
      <c r="M137" s="19"/>
    </row>
    <row r="138" spans="1:18" ht="17.25" thickBot="1" x14ac:dyDescent="0.35">
      <c r="A138" s="6">
        <v>1</v>
      </c>
      <c r="B138" s="11">
        <v>1</v>
      </c>
      <c r="C138" s="2">
        <v>1417</v>
      </c>
      <c r="D138" s="2">
        <v>704527</v>
      </c>
      <c r="E138" s="2">
        <v>22914</v>
      </c>
      <c r="F138" s="2">
        <v>2.3289</v>
      </c>
      <c r="G138" s="2">
        <v>7.3300000000000004E-2</v>
      </c>
      <c r="H138" s="2">
        <v>2.1850999999999998</v>
      </c>
      <c r="I138" s="2">
        <v>2.4725999999999999</v>
      </c>
      <c r="J138" s="2">
        <v>9.4123999999999999</v>
      </c>
      <c r="K138" s="2">
        <v>0.28139999999999998</v>
      </c>
      <c r="L138" s="2">
        <v>8.8605999999999998</v>
      </c>
      <c r="M138" s="2">
        <v>9.9641999999999999</v>
      </c>
      <c r="O138" t="str">
        <f t="shared" ref="O138:O141" si="29">TEXT(J138,"0.00")&amp;" ("&amp;TEXT(L138,"0.00")&amp;" to "&amp;TEXT(M138,"0.00")&amp;")"</f>
        <v>9.41 (8.86 to 9.96)</v>
      </c>
      <c r="P138" t="str">
        <f>O143</f>
        <v>4.95 (4.55 to 5.36)</v>
      </c>
      <c r="Q138" t="str">
        <f>O148</f>
        <v>1.91 (1.67 to 2.15)</v>
      </c>
      <c r="R138" t="str">
        <f>O153</f>
        <v>0.69 (0.55 to 0.83)</v>
      </c>
    </row>
    <row r="139" spans="1:18" ht="17.25" thickBot="1" x14ac:dyDescent="0.35">
      <c r="A139" s="6"/>
      <c r="B139" s="11">
        <v>2</v>
      </c>
      <c r="C139" s="2">
        <v>9129</v>
      </c>
      <c r="D139" s="2">
        <v>4359573</v>
      </c>
      <c r="E139" s="2">
        <v>66574</v>
      </c>
      <c r="F139" s="2">
        <v>14.4109</v>
      </c>
      <c r="G139" s="2">
        <v>0.18029999999999999</v>
      </c>
      <c r="H139" s="2">
        <v>14.057399999999999</v>
      </c>
      <c r="I139" s="2">
        <v>14.7644</v>
      </c>
      <c r="J139" s="2">
        <v>58.243499999999997</v>
      </c>
      <c r="K139" s="2">
        <v>0.4652</v>
      </c>
      <c r="L139" s="2">
        <v>57.331400000000002</v>
      </c>
      <c r="M139" s="2">
        <v>59.155700000000003</v>
      </c>
      <c r="O139" t="str">
        <f t="shared" si="29"/>
        <v>58.24 (57.33 to 59.16)</v>
      </c>
      <c r="P139" t="str">
        <f t="shared" ref="P139:P141" si="30">O144</f>
        <v>42.55 (41.67 to 43.42)</v>
      </c>
      <c r="Q139" t="str">
        <f t="shared" ref="Q139:Q141" si="31">O149</f>
        <v>29.33 (28.53 to 30.13)</v>
      </c>
      <c r="R139" t="str">
        <f t="shared" ref="R139:R141" si="32">O154</f>
        <v>22.17 (21.43 to 22.91)</v>
      </c>
    </row>
    <row r="140" spans="1:18" ht="17.25" thickBot="1" x14ac:dyDescent="0.35">
      <c r="A140" s="6"/>
      <c r="B140" s="11">
        <v>3</v>
      </c>
      <c r="C140" s="2">
        <v>2804</v>
      </c>
      <c r="D140" s="2">
        <v>1367536</v>
      </c>
      <c r="E140" s="2">
        <v>32945</v>
      </c>
      <c r="F140" s="2">
        <v>4.5205000000000002</v>
      </c>
      <c r="G140" s="2">
        <v>0.1016</v>
      </c>
      <c r="H140" s="2">
        <v>4.3212999999999999</v>
      </c>
      <c r="I140" s="2">
        <v>4.7196999999999996</v>
      </c>
      <c r="J140" s="2">
        <v>18.270199999999999</v>
      </c>
      <c r="K140" s="2">
        <v>0.36559999999999998</v>
      </c>
      <c r="L140" s="2">
        <v>17.5534</v>
      </c>
      <c r="M140" s="2">
        <v>18.986999999999998</v>
      </c>
      <c r="O140" t="str">
        <f t="shared" si="29"/>
        <v>18.27 (17.55 to 18.99)</v>
      </c>
      <c r="P140" t="str">
        <f t="shared" si="30"/>
        <v>23.66 (22.92 to 24.40)</v>
      </c>
      <c r="Q140" t="str">
        <f t="shared" si="31"/>
        <v>25.33 (24.58 to 26.08)</v>
      </c>
      <c r="R140" t="str">
        <f t="shared" si="32"/>
        <v>25.56 (24.79 to 26.33)</v>
      </c>
    </row>
    <row r="141" spans="1:18" ht="17.25" thickBot="1" x14ac:dyDescent="0.35">
      <c r="A141" s="6"/>
      <c r="B141" s="11">
        <v>4</v>
      </c>
      <c r="C141" s="2">
        <v>2164</v>
      </c>
      <c r="D141" s="2">
        <v>1053440</v>
      </c>
      <c r="E141" s="2">
        <v>28434</v>
      </c>
      <c r="F141" s="2">
        <v>3.4822000000000002</v>
      </c>
      <c r="G141" s="2">
        <v>9.01E-2</v>
      </c>
      <c r="H141" s="2">
        <v>3.3054999999999999</v>
      </c>
      <c r="I141" s="2">
        <v>3.6589999999999998</v>
      </c>
      <c r="J141" s="2">
        <v>14.0739</v>
      </c>
      <c r="K141" s="2">
        <v>0.34229999999999999</v>
      </c>
      <c r="L141" s="2">
        <v>13.4026</v>
      </c>
      <c r="M141" s="2">
        <v>14.745100000000001</v>
      </c>
      <c r="O141" t="str">
        <f t="shared" si="29"/>
        <v>14.07 (13.40 to 14.75)</v>
      </c>
      <c r="P141" t="str">
        <f t="shared" si="30"/>
        <v>28.84 (28.02 to 29.66)</v>
      </c>
      <c r="Q141" t="str">
        <f t="shared" si="31"/>
        <v>43.43 (42.55 to 44.31)</v>
      </c>
      <c r="R141" t="str">
        <f t="shared" si="32"/>
        <v>51.58 (50.66 to 52.49)</v>
      </c>
    </row>
    <row r="142" spans="1:18" ht="17.25" thickBot="1" x14ac:dyDescent="0.35">
      <c r="A142" s="6"/>
      <c r="B142" s="11" t="s">
        <v>153</v>
      </c>
      <c r="C142" s="2">
        <v>15514</v>
      </c>
      <c r="D142" s="2">
        <v>7485076</v>
      </c>
      <c r="E142" s="2">
        <v>96512</v>
      </c>
      <c r="F142" s="2">
        <v>24.7425</v>
      </c>
      <c r="G142" s="2">
        <v>0.23899999999999999</v>
      </c>
      <c r="H142" s="2">
        <v>24.273700000000002</v>
      </c>
      <c r="I142" s="2">
        <v>25.211200000000002</v>
      </c>
      <c r="J142" s="2">
        <v>100</v>
      </c>
      <c r="K142" s="2"/>
      <c r="L142" s="2"/>
      <c r="M142" s="2"/>
    </row>
    <row r="143" spans="1:18" ht="17.25" thickBot="1" x14ac:dyDescent="0.35">
      <c r="A143" s="6">
        <v>2</v>
      </c>
      <c r="B143" s="11">
        <v>1</v>
      </c>
      <c r="C143" s="2">
        <v>863</v>
      </c>
      <c r="D143" s="2">
        <v>395338</v>
      </c>
      <c r="E143" s="2">
        <v>17181</v>
      </c>
      <c r="F143" s="2">
        <v>1.3068</v>
      </c>
      <c r="G143" s="2">
        <v>5.5599999999999997E-2</v>
      </c>
      <c r="H143" s="2">
        <v>1.1978</v>
      </c>
      <c r="I143" s="2">
        <v>1.4158999999999999</v>
      </c>
      <c r="J143" s="2">
        <v>4.9538000000000002</v>
      </c>
      <c r="K143" s="2">
        <v>0.20619999999999999</v>
      </c>
      <c r="L143" s="2">
        <v>4.5495000000000001</v>
      </c>
      <c r="M143" s="2">
        <v>5.3581000000000003</v>
      </c>
      <c r="O143" t="str">
        <f t="shared" ref="O143:O146" si="33">TEXT(J143,"0.00")&amp;" ("&amp;TEXT(L143,"0.00")&amp;" to "&amp;TEXT(M143,"0.00")&amp;")"</f>
        <v>4.95 (4.55 to 5.36)</v>
      </c>
    </row>
    <row r="144" spans="1:18" ht="17.25" thickBot="1" x14ac:dyDescent="0.35">
      <c r="A144" s="6"/>
      <c r="B144" s="11">
        <v>2</v>
      </c>
      <c r="C144" s="2">
        <v>7543</v>
      </c>
      <c r="D144" s="2">
        <v>3395500</v>
      </c>
      <c r="E144" s="2">
        <v>52127</v>
      </c>
      <c r="F144" s="2">
        <v>11.2241</v>
      </c>
      <c r="G144" s="2">
        <v>0.1449</v>
      </c>
      <c r="H144" s="2">
        <v>10.9399</v>
      </c>
      <c r="I144" s="2">
        <v>11.5083</v>
      </c>
      <c r="J144" s="2">
        <v>42.5473</v>
      </c>
      <c r="K144" s="2">
        <v>0.44600000000000001</v>
      </c>
      <c r="L144" s="2">
        <v>41.672800000000002</v>
      </c>
      <c r="M144" s="2">
        <v>43.421799999999998</v>
      </c>
      <c r="O144" t="str">
        <f t="shared" si="33"/>
        <v>42.55 (41.67 to 43.42)</v>
      </c>
    </row>
    <row r="145" spans="1:15" ht="17.25" thickBot="1" x14ac:dyDescent="0.35">
      <c r="A145" s="6"/>
      <c r="B145" s="11">
        <v>3</v>
      </c>
      <c r="C145" s="2">
        <v>4177</v>
      </c>
      <c r="D145" s="2">
        <v>1887926</v>
      </c>
      <c r="E145" s="2">
        <v>36490</v>
      </c>
      <c r="F145" s="2">
        <v>6.2407000000000004</v>
      </c>
      <c r="G145" s="2">
        <v>0.1101</v>
      </c>
      <c r="H145" s="2">
        <v>6.0247999999999999</v>
      </c>
      <c r="I145" s="2">
        <v>6.4565999999999999</v>
      </c>
      <c r="J145" s="2">
        <v>23.656600000000001</v>
      </c>
      <c r="K145" s="2">
        <v>0.37769999999999998</v>
      </c>
      <c r="L145" s="2">
        <v>22.9161</v>
      </c>
      <c r="M145" s="2">
        <v>24.397200000000002</v>
      </c>
      <c r="O145" t="str">
        <f t="shared" si="33"/>
        <v>23.66 (22.92 to 24.40)</v>
      </c>
    </row>
    <row r="146" spans="1:15" ht="17.25" thickBot="1" x14ac:dyDescent="0.35">
      <c r="A146" s="6"/>
      <c r="B146" s="11">
        <v>4</v>
      </c>
      <c r="C146" s="2">
        <v>4888</v>
      </c>
      <c r="D146" s="2">
        <v>2301768</v>
      </c>
      <c r="E146" s="2">
        <v>42358</v>
      </c>
      <c r="F146" s="2">
        <v>7.6086999999999998</v>
      </c>
      <c r="G146" s="2">
        <v>0.127</v>
      </c>
      <c r="H146" s="2">
        <v>7.3596000000000004</v>
      </c>
      <c r="I146" s="2">
        <v>7.8577000000000004</v>
      </c>
      <c r="J146" s="2">
        <v>28.842300000000002</v>
      </c>
      <c r="K146" s="2">
        <v>0.41880000000000001</v>
      </c>
      <c r="L146" s="2">
        <v>28.0212</v>
      </c>
      <c r="M146" s="2">
        <v>29.663399999999999</v>
      </c>
      <c r="O146" t="str">
        <f t="shared" si="33"/>
        <v>28.84 (28.02 to 29.66)</v>
      </c>
    </row>
    <row r="147" spans="1:15" ht="17.25" thickBot="1" x14ac:dyDescent="0.35">
      <c r="A147" s="6"/>
      <c r="B147" s="11" t="s">
        <v>153</v>
      </c>
      <c r="C147" s="2">
        <v>17471</v>
      </c>
      <c r="D147" s="2">
        <v>7980531</v>
      </c>
      <c r="E147" s="2">
        <v>89661</v>
      </c>
      <c r="F147" s="2">
        <v>26.380199999999999</v>
      </c>
      <c r="G147" s="2">
        <v>0.20599999999999999</v>
      </c>
      <c r="H147" s="2">
        <v>25.976199999999999</v>
      </c>
      <c r="I147" s="2">
        <v>26.784199999999998</v>
      </c>
      <c r="J147" s="2">
        <v>100</v>
      </c>
      <c r="K147" s="2"/>
      <c r="L147" s="2"/>
      <c r="M147" s="2"/>
    </row>
    <row r="148" spans="1:15" ht="17.25" thickBot="1" x14ac:dyDescent="0.35">
      <c r="A148" s="6">
        <v>3</v>
      </c>
      <c r="B148" s="11">
        <v>1</v>
      </c>
      <c r="C148" s="2">
        <v>355</v>
      </c>
      <c r="D148" s="2">
        <v>147390</v>
      </c>
      <c r="E148" s="2">
        <v>9502</v>
      </c>
      <c r="F148" s="2">
        <v>0.48720000000000002</v>
      </c>
      <c r="G148" s="2">
        <v>3.1300000000000001E-2</v>
      </c>
      <c r="H148" s="2">
        <v>0.42580000000000001</v>
      </c>
      <c r="I148" s="2">
        <v>0.54859999999999998</v>
      </c>
      <c r="J148" s="2">
        <v>1.9114</v>
      </c>
      <c r="K148" s="2">
        <v>0.12180000000000001</v>
      </c>
      <c r="L148" s="2">
        <v>1.6726000000000001</v>
      </c>
      <c r="M148" s="2">
        <v>2.1501000000000001</v>
      </c>
      <c r="O148" t="str">
        <f t="shared" ref="O148:O151" si="34">TEXT(J148,"0.00")&amp;" ("&amp;TEXT(L148,"0.00")&amp;" to "&amp;TEXT(M148,"0.00")&amp;")"</f>
        <v>1.91 (1.67 to 2.15)</v>
      </c>
    </row>
    <row r="149" spans="1:15" ht="17.25" thickBot="1" x14ac:dyDescent="0.35">
      <c r="A149" s="6"/>
      <c r="B149" s="11">
        <v>2</v>
      </c>
      <c r="C149" s="2">
        <v>5563</v>
      </c>
      <c r="D149" s="2">
        <v>2261760</v>
      </c>
      <c r="E149" s="2">
        <v>39517</v>
      </c>
      <c r="F149" s="2">
        <v>7.4763999999999999</v>
      </c>
      <c r="G149" s="2">
        <v>0.1186</v>
      </c>
      <c r="H149" s="2">
        <v>7.2438000000000002</v>
      </c>
      <c r="I149" s="2">
        <v>7.7091000000000003</v>
      </c>
      <c r="J149" s="2">
        <v>29.3307</v>
      </c>
      <c r="K149" s="2">
        <v>0.40939999999999999</v>
      </c>
      <c r="L149" s="2">
        <v>28.527999999999999</v>
      </c>
      <c r="M149" s="2">
        <v>30.133400000000002</v>
      </c>
      <c r="O149" t="str">
        <f t="shared" si="34"/>
        <v>29.33 (28.53 to 30.13)</v>
      </c>
    </row>
    <row r="150" spans="1:15" ht="17.25" thickBot="1" x14ac:dyDescent="0.35">
      <c r="A150" s="6"/>
      <c r="B150" s="11">
        <v>3</v>
      </c>
      <c r="C150" s="2">
        <v>4662</v>
      </c>
      <c r="D150" s="2">
        <v>1953080</v>
      </c>
      <c r="E150" s="2">
        <v>35835</v>
      </c>
      <c r="F150" s="2">
        <v>6.4561000000000002</v>
      </c>
      <c r="G150" s="2">
        <v>0.1103</v>
      </c>
      <c r="H150" s="2">
        <v>6.2397999999999998</v>
      </c>
      <c r="I150" s="2">
        <v>6.6722999999999999</v>
      </c>
      <c r="J150" s="2">
        <v>25.3277</v>
      </c>
      <c r="K150" s="2">
        <v>0.38329999999999997</v>
      </c>
      <c r="L150" s="2">
        <v>24.5762</v>
      </c>
      <c r="M150" s="2">
        <v>26.0792</v>
      </c>
      <c r="O150" t="str">
        <f t="shared" si="34"/>
        <v>25.33 (24.58 to 26.08)</v>
      </c>
    </row>
    <row r="151" spans="1:15" ht="17.25" thickBot="1" x14ac:dyDescent="0.35">
      <c r="A151" s="6"/>
      <c r="B151" s="11">
        <v>4</v>
      </c>
      <c r="C151" s="2">
        <v>7408</v>
      </c>
      <c r="D151" s="2">
        <v>3349005</v>
      </c>
      <c r="E151" s="2">
        <v>52063</v>
      </c>
      <c r="F151" s="2">
        <v>11.070399999999999</v>
      </c>
      <c r="G151" s="2">
        <v>0.14849999999999999</v>
      </c>
      <c r="H151" s="2">
        <v>10.7791</v>
      </c>
      <c r="I151" s="2">
        <v>11.361599999999999</v>
      </c>
      <c r="J151" s="2">
        <v>43.430199999999999</v>
      </c>
      <c r="K151" s="2">
        <v>0.44990000000000002</v>
      </c>
      <c r="L151" s="2">
        <v>42.548099999999998</v>
      </c>
      <c r="M151" s="2">
        <v>44.3123</v>
      </c>
      <c r="O151" t="str">
        <f t="shared" si="34"/>
        <v>43.43 (42.55 to 44.31)</v>
      </c>
    </row>
    <row r="152" spans="1:15" ht="17.25" thickBot="1" x14ac:dyDescent="0.35">
      <c r="A152" s="6"/>
      <c r="B152" s="11" t="s">
        <v>153</v>
      </c>
      <c r="C152" s="2">
        <v>17988</v>
      </c>
      <c r="D152" s="2">
        <v>7711235</v>
      </c>
      <c r="E152" s="2">
        <v>84434</v>
      </c>
      <c r="F152" s="2">
        <v>25.490100000000002</v>
      </c>
      <c r="G152" s="2">
        <v>0.20630000000000001</v>
      </c>
      <c r="H152" s="2">
        <v>25.0855</v>
      </c>
      <c r="I152" s="2">
        <v>25.894600000000001</v>
      </c>
      <c r="J152" s="2">
        <v>100</v>
      </c>
      <c r="K152" s="2"/>
      <c r="L152" s="2"/>
      <c r="M152" s="2"/>
    </row>
    <row r="153" spans="1:15" ht="17.25" thickBot="1" x14ac:dyDescent="0.35">
      <c r="A153" s="6">
        <v>4</v>
      </c>
      <c r="B153" s="11">
        <v>1</v>
      </c>
      <c r="C153" s="2">
        <v>142</v>
      </c>
      <c r="D153" s="2">
        <v>48938</v>
      </c>
      <c r="E153" s="2">
        <v>4999</v>
      </c>
      <c r="F153" s="2">
        <v>0.1618</v>
      </c>
      <c r="G153" s="2">
        <v>1.6500000000000001E-2</v>
      </c>
      <c r="H153" s="2">
        <v>0.12939999999999999</v>
      </c>
      <c r="I153" s="2">
        <v>0.19409999999999999</v>
      </c>
      <c r="J153" s="2">
        <v>0.69169999999999998</v>
      </c>
      <c r="K153" s="2">
        <v>7.0300000000000001E-2</v>
      </c>
      <c r="L153" s="2">
        <v>0.55369999999999997</v>
      </c>
      <c r="M153" s="2">
        <v>0.8296</v>
      </c>
      <c r="O153" t="str">
        <f t="shared" ref="O153:O156" si="35">TEXT(J153,"0.00")&amp;" ("&amp;TEXT(L153,"0.00")&amp;" to "&amp;TEXT(M153,"0.00")&amp;")"</f>
        <v>0.69 (0.55 to 0.83)</v>
      </c>
    </row>
    <row r="154" spans="1:15" ht="17.25" thickBot="1" x14ac:dyDescent="0.35">
      <c r="A154" s="6"/>
      <c r="B154" s="11">
        <v>2</v>
      </c>
      <c r="C154" s="2">
        <v>4200</v>
      </c>
      <c r="D154" s="2">
        <v>1568815</v>
      </c>
      <c r="E154" s="2">
        <v>32021</v>
      </c>
      <c r="F154" s="2">
        <v>5.1858000000000004</v>
      </c>
      <c r="G154" s="2">
        <v>0.1022</v>
      </c>
      <c r="H154" s="2">
        <v>4.9854000000000003</v>
      </c>
      <c r="I154" s="2">
        <v>5.3863000000000003</v>
      </c>
      <c r="J154" s="2">
        <v>22.1738</v>
      </c>
      <c r="K154" s="2">
        <v>0.37690000000000001</v>
      </c>
      <c r="L154" s="2">
        <v>21.434799999999999</v>
      </c>
      <c r="M154" s="2">
        <v>22.912700000000001</v>
      </c>
      <c r="O154" t="str">
        <f t="shared" si="35"/>
        <v>22.17 (21.43 to 22.91)</v>
      </c>
    </row>
    <row r="155" spans="1:15" ht="17.25" thickBot="1" x14ac:dyDescent="0.35">
      <c r="A155" s="6"/>
      <c r="B155" s="11">
        <v>3</v>
      </c>
      <c r="C155" s="2">
        <v>4622</v>
      </c>
      <c r="D155" s="2">
        <v>1808288</v>
      </c>
      <c r="E155" s="2">
        <v>34081</v>
      </c>
      <c r="F155" s="2">
        <v>5.9774000000000003</v>
      </c>
      <c r="G155" s="2">
        <v>0.1065</v>
      </c>
      <c r="H155" s="2">
        <v>5.7685000000000004</v>
      </c>
      <c r="I155" s="2">
        <v>6.1863000000000001</v>
      </c>
      <c r="J155" s="2">
        <v>25.558499999999999</v>
      </c>
      <c r="K155" s="2">
        <v>0.39200000000000002</v>
      </c>
      <c r="L155" s="2">
        <v>24.789899999999999</v>
      </c>
      <c r="M155" s="2">
        <v>26.327100000000002</v>
      </c>
      <c r="O155" t="str">
        <f t="shared" si="35"/>
        <v>25.56 (24.79 to 26.33)</v>
      </c>
    </row>
    <row r="156" spans="1:15" ht="17.25" thickBot="1" x14ac:dyDescent="0.35">
      <c r="A156" s="6"/>
      <c r="B156" s="11">
        <v>4</v>
      </c>
      <c r="C156" s="2">
        <v>8698</v>
      </c>
      <c r="D156" s="2">
        <v>3649054</v>
      </c>
      <c r="E156" s="2">
        <v>52460</v>
      </c>
      <c r="F156" s="2">
        <v>12.062200000000001</v>
      </c>
      <c r="G156" s="2">
        <v>0.15759999999999999</v>
      </c>
      <c r="H156" s="2">
        <v>11.7532</v>
      </c>
      <c r="I156" s="2">
        <v>12.3713</v>
      </c>
      <c r="J156" s="2">
        <v>51.576000000000001</v>
      </c>
      <c r="K156" s="2">
        <v>0.46789999999999998</v>
      </c>
      <c r="L156" s="2">
        <v>50.658499999999997</v>
      </c>
      <c r="M156" s="2">
        <v>52.493600000000001</v>
      </c>
      <c r="O156" t="str">
        <f t="shared" si="35"/>
        <v>51.58 (50.66 to 52.49)</v>
      </c>
    </row>
    <row r="157" spans="1:15" ht="17.25" thickBot="1" x14ac:dyDescent="0.35">
      <c r="A157" s="6"/>
      <c r="B157" s="11" t="s">
        <v>153</v>
      </c>
      <c r="C157" s="2">
        <v>17662</v>
      </c>
      <c r="D157" s="2">
        <v>7075094</v>
      </c>
      <c r="E157" s="2">
        <v>78713</v>
      </c>
      <c r="F157" s="2">
        <v>23.3872</v>
      </c>
      <c r="G157" s="2">
        <v>0.221</v>
      </c>
      <c r="H157" s="2">
        <v>22.954000000000001</v>
      </c>
      <c r="I157" s="2">
        <v>23.820499999999999</v>
      </c>
      <c r="J157" s="2">
        <v>100</v>
      </c>
      <c r="K157" s="2"/>
      <c r="L157" s="2"/>
      <c r="M157" s="2"/>
    </row>
    <row r="158" spans="1:15" ht="17.25" thickBot="1" x14ac:dyDescent="0.35">
      <c r="A158" s="6" t="s">
        <v>153</v>
      </c>
      <c r="B158" s="11">
        <v>1</v>
      </c>
      <c r="C158" s="2">
        <v>2777</v>
      </c>
      <c r="D158" s="2">
        <v>1296193</v>
      </c>
      <c r="E158" s="2">
        <v>31560</v>
      </c>
      <c r="F158" s="2">
        <v>4.2847</v>
      </c>
      <c r="G158" s="2">
        <v>9.8500000000000004E-2</v>
      </c>
      <c r="H158" s="2">
        <v>4.0914999999999999</v>
      </c>
      <c r="I158" s="2">
        <v>4.4778000000000002</v>
      </c>
      <c r="J158" s="2"/>
      <c r="K158" s="2"/>
      <c r="L158" s="2"/>
      <c r="M158" s="2"/>
    </row>
    <row r="159" spans="1:15" ht="17.25" thickBot="1" x14ac:dyDescent="0.35">
      <c r="A159" s="6"/>
      <c r="B159" s="11">
        <v>2</v>
      </c>
      <c r="C159" s="2">
        <v>26435</v>
      </c>
      <c r="D159" s="2">
        <v>11585647</v>
      </c>
      <c r="E159" s="2">
        <v>115210</v>
      </c>
      <c r="F159" s="2">
        <v>38.297199999999997</v>
      </c>
      <c r="G159" s="2">
        <v>0.2286</v>
      </c>
      <c r="H159" s="2">
        <v>37.848999999999997</v>
      </c>
      <c r="I159" s="2">
        <v>38.745399999999997</v>
      </c>
      <c r="J159" s="2"/>
      <c r="K159" s="2"/>
      <c r="L159" s="2"/>
      <c r="M159" s="2"/>
    </row>
    <row r="160" spans="1:15" ht="17.25" thickBot="1" x14ac:dyDescent="0.35">
      <c r="A160" s="6"/>
      <c r="B160" s="11">
        <v>3</v>
      </c>
      <c r="C160" s="2">
        <v>16265</v>
      </c>
      <c r="D160" s="2">
        <v>7016830</v>
      </c>
      <c r="E160" s="2">
        <v>76881</v>
      </c>
      <c r="F160" s="2">
        <v>23.194600000000001</v>
      </c>
      <c r="G160" s="2">
        <v>0.189</v>
      </c>
      <c r="H160" s="2">
        <v>22.824000000000002</v>
      </c>
      <c r="I160" s="2">
        <v>23.565300000000001</v>
      </c>
      <c r="J160" s="2"/>
      <c r="K160" s="2"/>
      <c r="L160" s="2"/>
      <c r="M160" s="2"/>
    </row>
    <row r="161" spans="1:18" ht="17.25" thickBot="1" x14ac:dyDescent="0.35">
      <c r="A161" s="6"/>
      <c r="B161" s="11">
        <v>4</v>
      </c>
      <c r="C161" s="2">
        <v>23158</v>
      </c>
      <c r="D161" s="2">
        <v>10353266</v>
      </c>
      <c r="E161" s="2">
        <v>102556</v>
      </c>
      <c r="F161" s="2">
        <v>34.223500000000001</v>
      </c>
      <c r="G161" s="2">
        <v>0.23269999999999999</v>
      </c>
      <c r="H161" s="2">
        <v>33.767099999999999</v>
      </c>
      <c r="I161" s="2">
        <v>34.6798</v>
      </c>
      <c r="J161" s="2"/>
      <c r="K161" s="2"/>
      <c r="L161" s="2"/>
      <c r="M161" s="2"/>
    </row>
    <row r="162" spans="1:18" x14ac:dyDescent="0.3">
      <c r="A162" s="6"/>
      <c r="B162" s="14" t="s">
        <v>153</v>
      </c>
      <c r="C162" s="2">
        <v>68635</v>
      </c>
      <c r="D162" s="2">
        <v>30251936</v>
      </c>
      <c r="E162" s="2">
        <v>228758</v>
      </c>
      <c r="F162" s="2">
        <v>100</v>
      </c>
      <c r="G162" s="2"/>
      <c r="H162" s="2"/>
      <c r="I162" s="2"/>
      <c r="J162" s="2"/>
      <c r="K162" s="2"/>
      <c r="L162" s="2"/>
      <c r="M162" s="2"/>
    </row>
    <row r="163" spans="1:18" ht="17.25" thickBot="1" x14ac:dyDescent="0.35"/>
    <row r="164" spans="1:18" ht="16.5" customHeight="1" x14ac:dyDescent="0.3">
      <c r="A164" s="16" t="s">
        <v>194</v>
      </c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</row>
    <row r="165" spans="1:18" ht="33" customHeight="1" x14ac:dyDescent="0.3">
      <c r="A165" s="17" t="s">
        <v>43</v>
      </c>
      <c r="B165" s="19" t="s">
        <v>11</v>
      </c>
      <c r="C165" s="19" t="s">
        <v>146</v>
      </c>
      <c r="D165" s="3" t="s">
        <v>147</v>
      </c>
      <c r="E165" s="3" t="s">
        <v>148</v>
      </c>
      <c r="F165" s="19" t="s">
        <v>150</v>
      </c>
      <c r="G165" s="3" t="s">
        <v>148</v>
      </c>
      <c r="H165" s="19" t="s">
        <v>151</v>
      </c>
      <c r="I165" s="19"/>
      <c r="J165" s="3" t="s">
        <v>170</v>
      </c>
      <c r="K165" s="3" t="s">
        <v>148</v>
      </c>
      <c r="L165" s="19" t="s">
        <v>151</v>
      </c>
      <c r="M165" s="19"/>
    </row>
    <row r="166" spans="1:18" ht="33" x14ac:dyDescent="0.3">
      <c r="A166" s="17"/>
      <c r="B166" s="19"/>
      <c r="C166" s="19"/>
      <c r="D166" s="3" t="s">
        <v>146</v>
      </c>
      <c r="E166" s="3" t="s">
        <v>149</v>
      </c>
      <c r="F166" s="19"/>
      <c r="G166" s="3" t="s">
        <v>150</v>
      </c>
      <c r="H166" s="19" t="s">
        <v>152</v>
      </c>
      <c r="I166" s="19"/>
      <c r="J166" s="3" t="s">
        <v>150</v>
      </c>
      <c r="K166" s="3" t="s">
        <v>171</v>
      </c>
      <c r="L166" s="19" t="s">
        <v>172</v>
      </c>
      <c r="M166" s="19"/>
    </row>
    <row r="167" spans="1:18" ht="17.25" thickBot="1" x14ac:dyDescent="0.35">
      <c r="A167" s="6">
        <v>1</v>
      </c>
      <c r="B167" s="11">
        <v>1</v>
      </c>
      <c r="C167" s="2">
        <v>10107</v>
      </c>
      <c r="D167" s="2">
        <v>4225341</v>
      </c>
      <c r="E167" s="2">
        <v>61844</v>
      </c>
      <c r="F167" s="2">
        <v>13.9672</v>
      </c>
      <c r="G167" s="2">
        <v>0.17369999999999999</v>
      </c>
      <c r="H167" s="2">
        <v>13.6267</v>
      </c>
      <c r="I167" s="2">
        <v>14.307700000000001</v>
      </c>
      <c r="J167" s="2">
        <v>56.450200000000002</v>
      </c>
      <c r="K167" s="2">
        <v>0.56189999999999996</v>
      </c>
      <c r="L167" s="2">
        <v>55.348500000000001</v>
      </c>
      <c r="M167" s="2">
        <v>57.551900000000003</v>
      </c>
      <c r="O167" t="str">
        <f t="shared" ref="O167:O168" si="36">TEXT(J167,"0.00")&amp;" ("&amp;TEXT(L167,"0.00")&amp;" to "&amp;TEXT(M167,"0.00")&amp;")"</f>
        <v>56.45 (55.35 to 57.55)</v>
      </c>
      <c r="P167" t="str">
        <f>O170</f>
        <v>73.02 (72.05 to 73.99)</v>
      </c>
      <c r="Q167" t="str">
        <f>O173</f>
        <v>84.04 (83.26 to 84.83)</v>
      </c>
      <c r="R167" t="str">
        <f>O176</f>
        <v>89.97 (89.32 to 90.61)</v>
      </c>
    </row>
    <row r="168" spans="1:18" ht="17.25" thickBot="1" x14ac:dyDescent="0.35">
      <c r="A168" s="6"/>
      <c r="B168" s="11">
        <v>2</v>
      </c>
      <c r="C168" s="2">
        <v>5407</v>
      </c>
      <c r="D168" s="2">
        <v>3259735</v>
      </c>
      <c r="E168" s="2">
        <v>65109</v>
      </c>
      <c r="F168" s="2">
        <v>10.7753</v>
      </c>
      <c r="G168" s="2">
        <v>0.18940000000000001</v>
      </c>
      <c r="H168" s="2">
        <v>10.404</v>
      </c>
      <c r="I168" s="2">
        <v>11.146599999999999</v>
      </c>
      <c r="J168" s="2">
        <v>43.549799999999998</v>
      </c>
      <c r="K168" s="2">
        <v>0.56189999999999996</v>
      </c>
      <c r="L168" s="2">
        <v>42.448099999999997</v>
      </c>
      <c r="M168" s="2">
        <v>44.651499999999999</v>
      </c>
      <c r="O168" t="str">
        <f t="shared" si="36"/>
        <v>43.55 (42.45 to 44.65)</v>
      </c>
      <c r="P168" t="str">
        <f>O171</f>
        <v>26.98 (26.01 to 27.95)</v>
      </c>
      <c r="Q168" t="str">
        <f>O174</f>
        <v>15.96 (15.17 to 16.74)</v>
      </c>
      <c r="R168" t="str">
        <f>O177</f>
        <v>10.03 (9.39 to 10.68)</v>
      </c>
    </row>
    <row r="169" spans="1:18" ht="17.25" thickBot="1" x14ac:dyDescent="0.35">
      <c r="A169" s="6"/>
      <c r="B169" s="11" t="s">
        <v>153</v>
      </c>
      <c r="C169" s="2">
        <v>15514</v>
      </c>
      <c r="D169" s="2">
        <v>7485076</v>
      </c>
      <c r="E169" s="2">
        <v>96512</v>
      </c>
      <c r="F169" s="2">
        <v>24.7425</v>
      </c>
      <c r="G169" s="2">
        <v>0.23899999999999999</v>
      </c>
      <c r="H169" s="2">
        <v>24.273700000000002</v>
      </c>
      <c r="I169" s="2">
        <v>25.211200000000002</v>
      </c>
      <c r="J169" s="2">
        <v>100</v>
      </c>
      <c r="K169" s="2"/>
      <c r="L169" s="2"/>
      <c r="M169" s="2"/>
    </row>
    <row r="170" spans="1:18" ht="17.25" thickBot="1" x14ac:dyDescent="0.35">
      <c r="A170" s="6">
        <v>2</v>
      </c>
      <c r="B170" s="11">
        <v>1</v>
      </c>
      <c r="C170" s="2">
        <v>14111</v>
      </c>
      <c r="D170" s="2">
        <v>5827369</v>
      </c>
      <c r="E170" s="2">
        <v>70933</v>
      </c>
      <c r="F170" s="2">
        <v>19.262799999999999</v>
      </c>
      <c r="G170" s="2">
        <v>0.184</v>
      </c>
      <c r="H170" s="2">
        <v>18.902100000000001</v>
      </c>
      <c r="I170" s="2">
        <v>19.6235</v>
      </c>
      <c r="J170" s="2">
        <v>73.019800000000004</v>
      </c>
      <c r="K170" s="2">
        <v>0.49299999999999999</v>
      </c>
      <c r="L170" s="2">
        <v>72.053200000000004</v>
      </c>
      <c r="M170" s="2">
        <v>73.986400000000003</v>
      </c>
      <c r="O170" t="str">
        <f t="shared" ref="O170:O171" si="37">TEXT(J170,"0.00")&amp;" ("&amp;TEXT(L170,"0.00")&amp;" to "&amp;TEXT(M170,"0.00")&amp;")"</f>
        <v>73.02 (72.05 to 73.99)</v>
      </c>
    </row>
    <row r="171" spans="1:18" ht="17.25" thickBot="1" x14ac:dyDescent="0.35">
      <c r="A171" s="6"/>
      <c r="B171" s="11">
        <v>2</v>
      </c>
      <c r="C171" s="2">
        <v>3360</v>
      </c>
      <c r="D171" s="2">
        <v>2153161</v>
      </c>
      <c r="E171" s="2">
        <v>49290</v>
      </c>
      <c r="F171" s="2">
        <v>7.1173999999999999</v>
      </c>
      <c r="G171" s="2">
        <v>0.1487</v>
      </c>
      <c r="H171" s="2">
        <v>6.8258999999999999</v>
      </c>
      <c r="I171" s="2">
        <v>7.4089999999999998</v>
      </c>
      <c r="J171" s="2">
        <v>26.9802</v>
      </c>
      <c r="K171" s="2">
        <v>0.49299999999999999</v>
      </c>
      <c r="L171" s="2">
        <v>26.0136</v>
      </c>
      <c r="M171" s="2">
        <v>27.9468</v>
      </c>
      <c r="O171" t="str">
        <f t="shared" si="37"/>
        <v>26.98 (26.01 to 27.95)</v>
      </c>
    </row>
    <row r="172" spans="1:18" ht="17.25" thickBot="1" x14ac:dyDescent="0.35">
      <c r="A172" s="6"/>
      <c r="B172" s="11" t="s">
        <v>153</v>
      </c>
      <c r="C172" s="2">
        <v>17471</v>
      </c>
      <c r="D172" s="2">
        <v>7980531</v>
      </c>
      <c r="E172" s="2">
        <v>89661</v>
      </c>
      <c r="F172" s="2">
        <v>26.380199999999999</v>
      </c>
      <c r="G172" s="2">
        <v>0.20599999999999999</v>
      </c>
      <c r="H172" s="2">
        <v>25.976199999999999</v>
      </c>
      <c r="I172" s="2">
        <v>26.784199999999998</v>
      </c>
      <c r="J172" s="2">
        <v>100</v>
      </c>
      <c r="K172" s="2"/>
      <c r="L172" s="2"/>
      <c r="M172" s="2"/>
    </row>
    <row r="173" spans="1:18" ht="17.25" thickBot="1" x14ac:dyDescent="0.35">
      <c r="A173" s="6">
        <v>3</v>
      </c>
      <c r="B173" s="11">
        <v>1</v>
      </c>
      <c r="C173" s="2">
        <v>16083</v>
      </c>
      <c r="D173" s="2">
        <v>6480870</v>
      </c>
      <c r="E173" s="2">
        <v>73919</v>
      </c>
      <c r="F173" s="2">
        <v>21.422999999999998</v>
      </c>
      <c r="G173" s="2">
        <v>0.1915</v>
      </c>
      <c r="H173" s="2">
        <v>21.047499999999999</v>
      </c>
      <c r="I173" s="2">
        <v>21.798500000000001</v>
      </c>
      <c r="J173" s="2">
        <v>84.044499999999999</v>
      </c>
      <c r="K173" s="2">
        <v>0.39879999999999999</v>
      </c>
      <c r="L173" s="2">
        <v>83.262600000000006</v>
      </c>
      <c r="M173" s="2">
        <v>84.826400000000007</v>
      </c>
      <c r="O173" t="str">
        <f t="shared" ref="O173:O174" si="38">TEXT(J173,"0.00")&amp;" ("&amp;TEXT(L173,"0.00")&amp;" to "&amp;TEXT(M173,"0.00")&amp;")"</f>
        <v>84.04 (83.26 to 84.83)</v>
      </c>
    </row>
    <row r="174" spans="1:18" ht="17.25" thickBot="1" x14ac:dyDescent="0.35">
      <c r="A174" s="6"/>
      <c r="B174" s="11">
        <v>2</v>
      </c>
      <c r="C174" s="2">
        <v>1905</v>
      </c>
      <c r="D174" s="2">
        <v>1230365</v>
      </c>
      <c r="E174" s="2">
        <v>35002</v>
      </c>
      <c r="F174" s="2">
        <v>4.0670999999999999</v>
      </c>
      <c r="G174" s="2">
        <v>0.1101</v>
      </c>
      <c r="H174" s="2">
        <v>3.8512</v>
      </c>
      <c r="I174" s="2">
        <v>4.2830000000000004</v>
      </c>
      <c r="J174" s="2">
        <v>15.955500000000001</v>
      </c>
      <c r="K174" s="2">
        <v>0.39879999999999999</v>
      </c>
      <c r="L174" s="2">
        <v>15.1736</v>
      </c>
      <c r="M174" s="2">
        <v>16.737400000000001</v>
      </c>
      <c r="O174" t="str">
        <f t="shared" si="38"/>
        <v>15.96 (15.17 to 16.74)</v>
      </c>
    </row>
    <row r="175" spans="1:18" ht="17.25" thickBot="1" x14ac:dyDescent="0.35">
      <c r="A175" s="6"/>
      <c r="B175" s="11" t="s">
        <v>153</v>
      </c>
      <c r="C175" s="2">
        <v>17988</v>
      </c>
      <c r="D175" s="2">
        <v>7711235</v>
      </c>
      <c r="E175" s="2">
        <v>84434</v>
      </c>
      <c r="F175" s="2">
        <v>25.490100000000002</v>
      </c>
      <c r="G175" s="2">
        <v>0.20630000000000001</v>
      </c>
      <c r="H175" s="2">
        <v>25.0855</v>
      </c>
      <c r="I175" s="2">
        <v>25.894600000000001</v>
      </c>
      <c r="J175" s="2">
        <v>100</v>
      </c>
      <c r="K175" s="2"/>
      <c r="L175" s="2"/>
      <c r="M175" s="2"/>
    </row>
    <row r="176" spans="1:18" ht="17.25" thickBot="1" x14ac:dyDescent="0.35">
      <c r="A176" s="6">
        <v>4</v>
      </c>
      <c r="B176" s="11">
        <v>1</v>
      </c>
      <c r="C176" s="2">
        <v>16513</v>
      </c>
      <c r="D176" s="2">
        <v>6365186</v>
      </c>
      <c r="E176" s="2">
        <v>73881</v>
      </c>
      <c r="F176" s="2">
        <v>21.040600000000001</v>
      </c>
      <c r="G176" s="2">
        <v>0.2089</v>
      </c>
      <c r="H176" s="2">
        <v>20.631</v>
      </c>
      <c r="I176" s="2">
        <v>21.450199999999999</v>
      </c>
      <c r="J176" s="2">
        <v>89.966099999999997</v>
      </c>
      <c r="K176" s="2">
        <v>0.32840000000000003</v>
      </c>
      <c r="L176" s="2">
        <v>89.322299999999998</v>
      </c>
      <c r="M176" s="2">
        <v>90.61</v>
      </c>
      <c r="O176" t="str">
        <f t="shared" ref="O176:O177" si="39">TEXT(J176,"0.00")&amp;" ("&amp;TEXT(L176,"0.00")&amp;" to "&amp;TEXT(M176,"0.00")&amp;")"</f>
        <v>89.97 (89.32 to 90.61)</v>
      </c>
    </row>
    <row r="177" spans="1:18" ht="17.25" thickBot="1" x14ac:dyDescent="0.35">
      <c r="A177" s="6"/>
      <c r="B177" s="11">
        <v>2</v>
      </c>
      <c r="C177" s="2">
        <v>1149</v>
      </c>
      <c r="D177" s="2">
        <v>709908</v>
      </c>
      <c r="E177" s="2">
        <v>24755</v>
      </c>
      <c r="F177" s="2">
        <v>2.3466999999999998</v>
      </c>
      <c r="G177" s="2">
        <v>8.1199999999999994E-2</v>
      </c>
      <c r="H177" s="2">
        <v>2.1875</v>
      </c>
      <c r="I177" s="2">
        <v>2.5057999999999998</v>
      </c>
      <c r="J177" s="2">
        <v>10.033899999999999</v>
      </c>
      <c r="K177" s="2">
        <v>0.32840000000000003</v>
      </c>
      <c r="L177" s="2">
        <v>9.39</v>
      </c>
      <c r="M177" s="2">
        <v>10.6777</v>
      </c>
      <c r="O177" t="str">
        <f t="shared" si="39"/>
        <v>10.03 (9.39 to 10.68)</v>
      </c>
    </row>
    <row r="178" spans="1:18" ht="17.25" thickBot="1" x14ac:dyDescent="0.35">
      <c r="A178" s="6"/>
      <c r="B178" s="11" t="s">
        <v>153</v>
      </c>
      <c r="C178" s="2">
        <v>17662</v>
      </c>
      <c r="D178" s="2">
        <v>7075094</v>
      </c>
      <c r="E178" s="2">
        <v>78713</v>
      </c>
      <c r="F178" s="2">
        <v>23.3872</v>
      </c>
      <c r="G178" s="2">
        <v>0.221</v>
      </c>
      <c r="H178" s="2">
        <v>22.954000000000001</v>
      </c>
      <c r="I178" s="2">
        <v>23.820499999999999</v>
      </c>
      <c r="J178" s="2">
        <v>100</v>
      </c>
      <c r="K178" s="2"/>
      <c r="L178" s="2"/>
      <c r="M178" s="2"/>
    </row>
    <row r="179" spans="1:18" ht="17.25" thickBot="1" x14ac:dyDescent="0.35">
      <c r="A179" s="6" t="s">
        <v>153</v>
      </c>
      <c r="B179" s="11">
        <v>1</v>
      </c>
      <c r="C179" s="2">
        <v>56814</v>
      </c>
      <c r="D179" s="2">
        <v>22898766</v>
      </c>
      <c r="E179" s="2">
        <v>183193</v>
      </c>
      <c r="F179" s="2">
        <v>75.693600000000004</v>
      </c>
      <c r="G179" s="2">
        <v>0.28570000000000001</v>
      </c>
      <c r="H179" s="2">
        <v>75.133300000000006</v>
      </c>
      <c r="I179" s="2">
        <v>76.253799999999998</v>
      </c>
      <c r="J179" s="2"/>
      <c r="K179" s="2"/>
      <c r="L179" s="2"/>
      <c r="M179" s="2"/>
    </row>
    <row r="180" spans="1:18" ht="17.25" thickBot="1" x14ac:dyDescent="0.35">
      <c r="A180" s="6"/>
      <c r="B180" s="11">
        <v>2</v>
      </c>
      <c r="C180" s="2">
        <v>11821</v>
      </c>
      <c r="D180" s="2">
        <v>7353170</v>
      </c>
      <c r="E180" s="2">
        <v>108690</v>
      </c>
      <c r="F180" s="2">
        <v>24.3064</v>
      </c>
      <c r="G180" s="2">
        <v>0.28570000000000001</v>
      </c>
      <c r="H180" s="2">
        <v>23.746200000000002</v>
      </c>
      <c r="I180" s="2">
        <v>24.866700000000002</v>
      </c>
      <c r="J180" s="2"/>
      <c r="K180" s="2"/>
      <c r="L180" s="2"/>
      <c r="M180" s="2"/>
    </row>
    <row r="181" spans="1:18" x14ac:dyDescent="0.3">
      <c r="A181" s="6"/>
      <c r="B181" s="14" t="s">
        <v>153</v>
      </c>
      <c r="C181" s="2">
        <v>68635</v>
      </c>
      <c r="D181" s="2">
        <v>30251936</v>
      </c>
      <c r="E181" s="2">
        <v>228758</v>
      </c>
      <c r="F181" s="2">
        <v>100</v>
      </c>
      <c r="G181" s="2"/>
      <c r="H181" s="2"/>
      <c r="I181" s="2"/>
      <c r="J181" s="2"/>
      <c r="K181" s="2"/>
      <c r="L181" s="2"/>
      <c r="M181" s="2"/>
    </row>
    <row r="182" spans="1:18" ht="17.25" thickBot="1" x14ac:dyDescent="0.35"/>
    <row r="183" spans="1:18" ht="16.5" customHeight="1" x14ac:dyDescent="0.3">
      <c r="A183" s="16" t="s">
        <v>195</v>
      </c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</row>
    <row r="184" spans="1:18" ht="33" customHeight="1" x14ac:dyDescent="0.3">
      <c r="A184" s="17" t="s">
        <v>43</v>
      </c>
      <c r="B184" s="19" t="s">
        <v>12</v>
      </c>
      <c r="C184" s="19" t="s">
        <v>146</v>
      </c>
      <c r="D184" s="3" t="s">
        <v>147</v>
      </c>
      <c r="E184" s="3" t="s">
        <v>148</v>
      </c>
      <c r="F184" s="19" t="s">
        <v>150</v>
      </c>
      <c r="G184" s="3" t="s">
        <v>148</v>
      </c>
      <c r="H184" s="19" t="s">
        <v>151</v>
      </c>
      <c r="I184" s="19"/>
      <c r="J184" s="3" t="s">
        <v>170</v>
      </c>
      <c r="K184" s="3" t="s">
        <v>148</v>
      </c>
      <c r="L184" s="19" t="s">
        <v>151</v>
      </c>
      <c r="M184" s="19"/>
    </row>
    <row r="185" spans="1:18" ht="33" x14ac:dyDescent="0.3">
      <c r="A185" s="17"/>
      <c r="B185" s="19"/>
      <c r="C185" s="19"/>
      <c r="D185" s="3" t="s">
        <v>146</v>
      </c>
      <c r="E185" s="3" t="s">
        <v>149</v>
      </c>
      <c r="F185" s="19"/>
      <c r="G185" s="3" t="s">
        <v>150</v>
      </c>
      <c r="H185" s="19" t="s">
        <v>152</v>
      </c>
      <c r="I185" s="19"/>
      <c r="J185" s="3" t="s">
        <v>150</v>
      </c>
      <c r="K185" s="3" t="s">
        <v>171</v>
      </c>
      <c r="L185" s="19" t="s">
        <v>172</v>
      </c>
      <c r="M185" s="19"/>
    </row>
    <row r="186" spans="1:18" ht="17.25" thickBot="1" x14ac:dyDescent="0.35">
      <c r="A186" s="6">
        <v>1</v>
      </c>
      <c r="B186" s="11">
        <v>1</v>
      </c>
      <c r="C186" s="2">
        <v>6544</v>
      </c>
      <c r="D186" s="2">
        <v>3243627</v>
      </c>
      <c r="E186" s="2">
        <v>56372</v>
      </c>
      <c r="F186" s="2">
        <v>10.722</v>
      </c>
      <c r="G186" s="2">
        <v>0.161</v>
      </c>
      <c r="H186" s="2">
        <v>10.4064</v>
      </c>
      <c r="I186" s="2">
        <v>11.037699999999999</v>
      </c>
      <c r="J186" s="2">
        <v>43.334600000000002</v>
      </c>
      <c r="K186" s="2">
        <v>0.47610000000000002</v>
      </c>
      <c r="L186" s="2">
        <v>42.401000000000003</v>
      </c>
      <c r="M186" s="2">
        <v>44.2682</v>
      </c>
      <c r="O186" t="str">
        <f t="shared" ref="O186:O188" si="40">TEXT(J186,"0.00")&amp;" ("&amp;TEXT(L186,"0.00")&amp;" to "&amp;TEXT(M186,"0.00")&amp;")"</f>
        <v>43.33 (42.40 to 44.27)</v>
      </c>
      <c r="P186" t="str">
        <f>O190</f>
        <v>36.68 (35.82 to 37.54)</v>
      </c>
      <c r="Q186" t="str">
        <f>O194</f>
        <v>31.85 (31.01 to 32.69)</v>
      </c>
      <c r="R186" t="str">
        <f>O198</f>
        <v>25.38 (24.58 to 26.17)</v>
      </c>
    </row>
    <row r="187" spans="1:18" ht="17.25" thickBot="1" x14ac:dyDescent="0.35">
      <c r="A187" s="6"/>
      <c r="B187" s="11">
        <v>2</v>
      </c>
      <c r="C187" s="2">
        <v>7070</v>
      </c>
      <c r="D187" s="2">
        <v>3370636</v>
      </c>
      <c r="E187" s="2">
        <v>56607</v>
      </c>
      <c r="F187" s="2">
        <v>11.1419</v>
      </c>
      <c r="G187" s="2">
        <v>0.161</v>
      </c>
      <c r="H187" s="2">
        <v>10.8263</v>
      </c>
      <c r="I187" s="2">
        <v>11.4575</v>
      </c>
      <c r="J187" s="2">
        <v>45.031399999999998</v>
      </c>
      <c r="K187" s="2">
        <v>0.50080000000000002</v>
      </c>
      <c r="L187" s="2">
        <v>44.049500000000002</v>
      </c>
      <c r="M187" s="2">
        <v>46.013300000000001</v>
      </c>
      <c r="O187" t="str">
        <f t="shared" si="40"/>
        <v>45.03 (44.05 to 46.01)</v>
      </c>
      <c r="P187" t="str">
        <f t="shared" ref="P187:P188" si="41">O191</f>
        <v>49.33 (48.43 to 50.22)</v>
      </c>
      <c r="Q187" t="str">
        <f t="shared" ref="Q187:Q188" si="42">O195</f>
        <v>50.78 (49.89 to 51.68)</v>
      </c>
      <c r="R187" t="str">
        <f t="shared" ref="R187:R188" si="43">O199</f>
        <v>51.79 (50.86 to 52.73)</v>
      </c>
    </row>
    <row r="188" spans="1:18" ht="17.25" thickBot="1" x14ac:dyDescent="0.35">
      <c r="A188" s="6"/>
      <c r="B188" s="11">
        <v>3</v>
      </c>
      <c r="C188" s="2">
        <v>1900</v>
      </c>
      <c r="D188" s="2">
        <v>870813</v>
      </c>
      <c r="E188" s="2">
        <v>25481</v>
      </c>
      <c r="F188" s="2">
        <v>2.8784999999999998</v>
      </c>
      <c r="G188" s="2">
        <v>8.14E-2</v>
      </c>
      <c r="H188" s="2">
        <v>2.7189999999999999</v>
      </c>
      <c r="I188" s="2">
        <v>3.0381</v>
      </c>
      <c r="J188" s="2">
        <v>11.634</v>
      </c>
      <c r="K188" s="2">
        <v>0.31119999999999998</v>
      </c>
      <c r="L188" s="2">
        <v>11.0238</v>
      </c>
      <c r="M188" s="2">
        <v>12.244199999999999</v>
      </c>
      <c r="O188" t="str">
        <f t="shared" si="40"/>
        <v>11.63 (11.02 to 12.24)</v>
      </c>
      <c r="P188" t="str">
        <f t="shared" si="41"/>
        <v>13.99 (13.39 to 14.59)</v>
      </c>
      <c r="Q188" t="str">
        <f t="shared" si="42"/>
        <v>17.36 (16.70 to 18.03)</v>
      </c>
      <c r="R188" t="str">
        <f t="shared" si="43"/>
        <v>22.83 (22.09 to 23.57)</v>
      </c>
    </row>
    <row r="189" spans="1:18" ht="17.25" thickBot="1" x14ac:dyDescent="0.35">
      <c r="A189" s="6"/>
      <c r="B189" s="11" t="s">
        <v>153</v>
      </c>
      <c r="C189" s="2">
        <v>15514</v>
      </c>
      <c r="D189" s="2">
        <v>7485076</v>
      </c>
      <c r="E189" s="2">
        <v>96512</v>
      </c>
      <c r="F189" s="2">
        <v>24.7425</v>
      </c>
      <c r="G189" s="2">
        <v>0.23899999999999999</v>
      </c>
      <c r="H189" s="2">
        <v>24.273700000000002</v>
      </c>
      <c r="I189" s="2">
        <v>25.211200000000002</v>
      </c>
      <c r="J189" s="2">
        <v>100</v>
      </c>
      <c r="K189" s="2"/>
      <c r="L189" s="2"/>
      <c r="M189" s="2"/>
    </row>
    <row r="190" spans="1:18" ht="17.25" thickBot="1" x14ac:dyDescent="0.35">
      <c r="A190" s="6">
        <v>2</v>
      </c>
      <c r="B190" s="11">
        <v>1</v>
      </c>
      <c r="C190" s="2">
        <v>6170</v>
      </c>
      <c r="D190" s="2">
        <v>2927527</v>
      </c>
      <c r="E190" s="2">
        <v>49031</v>
      </c>
      <c r="F190" s="2">
        <v>9.6771999999999991</v>
      </c>
      <c r="G190" s="2">
        <v>0.13930000000000001</v>
      </c>
      <c r="H190" s="2">
        <v>9.4039999999999999</v>
      </c>
      <c r="I190" s="2">
        <v>9.9503000000000004</v>
      </c>
      <c r="J190" s="2">
        <v>36.683399999999999</v>
      </c>
      <c r="K190" s="2">
        <v>0.43919999999999998</v>
      </c>
      <c r="L190" s="2">
        <v>35.822099999999999</v>
      </c>
      <c r="M190" s="2">
        <v>37.544600000000003</v>
      </c>
      <c r="O190" t="str">
        <f t="shared" ref="O190:O192" si="44">TEXT(J190,"0.00")&amp;" ("&amp;TEXT(L190,"0.00")&amp;" to "&amp;TEXT(M190,"0.00")&amp;")"</f>
        <v>36.68 (35.82 to 37.54)</v>
      </c>
    </row>
    <row r="191" spans="1:18" ht="17.25" thickBot="1" x14ac:dyDescent="0.35">
      <c r="A191" s="6"/>
      <c r="B191" s="11">
        <v>2</v>
      </c>
      <c r="C191" s="2">
        <v>8591</v>
      </c>
      <c r="D191" s="2">
        <v>3936425</v>
      </c>
      <c r="E191" s="2">
        <v>57853</v>
      </c>
      <c r="F191" s="2">
        <v>13.0121</v>
      </c>
      <c r="G191" s="2">
        <v>0.15920000000000001</v>
      </c>
      <c r="H191" s="2">
        <v>12.6999</v>
      </c>
      <c r="I191" s="2">
        <v>13.324400000000001</v>
      </c>
      <c r="J191" s="2">
        <v>49.325400000000002</v>
      </c>
      <c r="K191" s="2">
        <v>0.45860000000000001</v>
      </c>
      <c r="L191" s="2">
        <v>48.426200000000001</v>
      </c>
      <c r="M191" s="2">
        <v>50.224600000000002</v>
      </c>
      <c r="O191" t="str">
        <f t="shared" si="44"/>
        <v>49.33 (48.43 to 50.22)</v>
      </c>
    </row>
    <row r="192" spans="1:18" ht="17.25" thickBot="1" x14ac:dyDescent="0.35">
      <c r="A192" s="6"/>
      <c r="B192" s="11">
        <v>3</v>
      </c>
      <c r="C192" s="2">
        <v>2710</v>
      </c>
      <c r="D192" s="2">
        <v>1116578</v>
      </c>
      <c r="E192" s="2">
        <v>26610</v>
      </c>
      <c r="F192" s="2">
        <v>3.6909000000000001</v>
      </c>
      <c r="G192" s="2">
        <v>8.48E-2</v>
      </c>
      <c r="H192" s="2">
        <v>3.5247000000000002</v>
      </c>
      <c r="I192" s="2">
        <v>3.8571</v>
      </c>
      <c r="J192" s="2">
        <v>13.991300000000001</v>
      </c>
      <c r="K192" s="2">
        <v>0.30719999999999997</v>
      </c>
      <c r="L192" s="2">
        <v>13.3889</v>
      </c>
      <c r="M192" s="2">
        <v>14.5936</v>
      </c>
      <c r="O192" t="str">
        <f t="shared" si="44"/>
        <v>13.99 (13.39 to 14.59)</v>
      </c>
    </row>
    <row r="193" spans="1:15" ht="17.25" thickBot="1" x14ac:dyDescent="0.35">
      <c r="A193" s="6"/>
      <c r="B193" s="11" t="s">
        <v>153</v>
      </c>
      <c r="C193" s="2">
        <v>17471</v>
      </c>
      <c r="D193" s="2">
        <v>7980531</v>
      </c>
      <c r="E193" s="2">
        <v>89661</v>
      </c>
      <c r="F193" s="2">
        <v>26.380199999999999</v>
      </c>
      <c r="G193" s="2">
        <v>0.20599999999999999</v>
      </c>
      <c r="H193" s="2">
        <v>25.976199999999999</v>
      </c>
      <c r="I193" s="2">
        <v>26.784199999999998</v>
      </c>
      <c r="J193" s="2">
        <v>100</v>
      </c>
      <c r="K193" s="2"/>
      <c r="L193" s="2"/>
      <c r="M193" s="2"/>
    </row>
    <row r="194" spans="1:15" ht="17.25" thickBot="1" x14ac:dyDescent="0.35">
      <c r="A194" s="6">
        <v>3</v>
      </c>
      <c r="B194" s="11">
        <v>1</v>
      </c>
      <c r="C194" s="2">
        <v>5639</v>
      </c>
      <c r="D194" s="2">
        <v>2456394</v>
      </c>
      <c r="E194" s="2">
        <v>42887</v>
      </c>
      <c r="F194" s="2">
        <v>8.1197999999999997</v>
      </c>
      <c r="G194" s="2">
        <v>0.12520000000000001</v>
      </c>
      <c r="H194" s="2">
        <v>7.8743999999999996</v>
      </c>
      <c r="I194" s="2">
        <v>8.3651999999999997</v>
      </c>
      <c r="J194" s="2">
        <v>31.854700000000001</v>
      </c>
      <c r="K194" s="2">
        <v>0.4284</v>
      </c>
      <c r="L194" s="2">
        <v>31.014800000000001</v>
      </c>
      <c r="M194" s="2">
        <v>32.694699999999997</v>
      </c>
      <c r="O194" t="str">
        <f t="shared" ref="O194:O196" si="45">TEXT(J194,"0.00")&amp;" ("&amp;TEXT(L194,"0.00")&amp;" to "&amp;TEXT(M194,"0.00")&amp;")"</f>
        <v>31.85 (31.01 to 32.69)</v>
      </c>
    </row>
    <row r="195" spans="1:15" ht="17.25" thickBot="1" x14ac:dyDescent="0.35">
      <c r="A195" s="6"/>
      <c r="B195" s="11">
        <v>2</v>
      </c>
      <c r="C195" s="2">
        <v>8875</v>
      </c>
      <c r="D195" s="2">
        <v>3916104</v>
      </c>
      <c r="E195" s="2">
        <v>56562</v>
      </c>
      <c r="F195" s="2">
        <v>12.945</v>
      </c>
      <c r="G195" s="2">
        <v>0.16009999999999999</v>
      </c>
      <c r="H195" s="2">
        <v>12.6311</v>
      </c>
      <c r="I195" s="2">
        <v>13.258800000000001</v>
      </c>
      <c r="J195" s="2">
        <v>50.784399999999998</v>
      </c>
      <c r="K195" s="2">
        <v>0.45540000000000003</v>
      </c>
      <c r="L195" s="2">
        <v>49.891500000000001</v>
      </c>
      <c r="M195" s="2">
        <v>51.677300000000002</v>
      </c>
      <c r="O195" t="str">
        <f t="shared" si="45"/>
        <v>50.78 (49.89 to 51.68)</v>
      </c>
    </row>
    <row r="196" spans="1:15" ht="17.25" thickBot="1" x14ac:dyDescent="0.35">
      <c r="A196" s="6"/>
      <c r="B196" s="11">
        <v>3</v>
      </c>
      <c r="C196" s="2">
        <v>3474</v>
      </c>
      <c r="D196" s="2">
        <v>1338737</v>
      </c>
      <c r="E196" s="2">
        <v>29012</v>
      </c>
      <c r="F196" s="2">
        <v>4.4253</v>
      </c>
      <c r="G196" s="2">
        <v>9.3100000000000002E-2</v>
      </c>
      <c r="H196" s="2">
        <v>4.2427000000000001</v>
      </c>
      <c r="I196" s="2">
        <v>4.6078999999999999</v>
      </c>
      <c r="J196" s="2">
        <v>17.360900000000001</v>
      </c>
      <c r="K196" s="2">
        <v>0.33910000000000001</v>
      </c>
      <c r="L196" s="2">
        <v>16.695900000000002</v>
      </c>
      <c r="M196" s="2">
        <v>18.0259</v>
      </c>
      <c r="O196" t="str">
        <f t="shared" si="45"/>
        <v>17.36 (16.70 to 18.03)</v>
      </c>
    </row>
    <row r="197" spans="1:15" ht="17.25" thickBot="1" x14ac:dyDescent="0.35">
      <c r="A197" s="6"/>
      <c r="B197" s="11" t="s">
        <v>153</v>
      </c>
      <c r="C197" s="2">
        <v>17988</v>
      </c>
      <c r="D197" s="2">
        <v>7711235</v>
      </c>
      <c r="E197" s="2">
        <v>84434</v>
      </c>
      <c r="F197" s="2">
        <v>25.490100000000002</v>
      </c>
      <c r="G197" s="2">
        <v>0.20630000000000001</v>
      </c>
      <c r="H197" s="2">
        <v>25.0855</v>
      </c>
      <c r="I197" s="2">
        <v>25.894600000000001</v>
      </c>
      <c r="J197" s="2">
        <v>100</v>
      </c>
      <c r="K197" s="2"/>
      <c r="L197" s="2"/>
      <c r="M197" s="2"/>
    </row>
    <row r="198" spans="1:15" ht="17.25" thickBot="1" x14ac:dyDescent="0.35">
      <c r="A198" s="6">
        <v>4</v>
      </c>
      <c r="B198" s="11">
        <v>1</v>
      </c>
      <c r="C198" s="2">
        <v>4523</v>
      </c>
      <c r="D198" s="2">
        <v>1795475</v>
      </c>
      <c r="E198" s="2">
        <v>34808</v>
      </c>
      <c r="F198" s="2">
        <v>5.9351000000000003</v>
      </c>
      <c r="G198" s="2">
        <v>0.1095</v>
      </c>
      <c r="H198" s="2">
        <v>5.7202999999999999</v>
      </c>
      <c r="I198" s="2">
        <v>6.1498999999999997</v>
      </c>
      <c r="J198" s="2">
        <v>25.377400000000002</v>
      </c>
      <c r="K198" s="2">
        <v>0.40489999999999998</v>
      </c>
      <c r="L198" s="2">
        <v>24.583500000000001</v>
      </c>
      <c r="M198" s="2">
        <v>26.171299999999999</v>
      </c>
      <c r="O198" t="str">
        <f t="shared" ref="O198:O200" si="46">TEXT(J198,"0.00")&amp;" ("&amp;TEXT(L198,"0.00")&amp;" to "&amp;TEXT(M198,"0.00")&amp;")"</f>
        <v>25.38 (24.58 to 26.17)</v>
      </c>
    </row>
    <row r="199" spans="1:15" ht="17.25" thickBot="1" x14ac:dyDescent="0.35">
      <c r="A199" s="6"/>
      <c r="B199" s="11">
        <v>2</v>
      </c>
      <c r="C199" s="2">
        <v>8674</v>
      </c>
      <c r="D199" s="2">
        <v>3664410</v>
      </c>
      <c r="E199" s="2">
        <v>54137</v>
      </c>
      <c r="F199" s="2">
        <v>12.113</v>
      </c>
      <c r="G199" s="2">
        <v>0.1598</v>
      </c>
      <c r="H199" s="2">
        <v>11.7997</v>
      </c>
      <c r="I199" s="2">
        <v>12.4262</v>
      </c>
      <c r="J199" s="2">
        <v>51.793100000000003</v>
      </c>
      <c r="K199" s="2">
        <v>0.4758</v>
      </c>
      <c r="L199" s="2">
        <v>50.860199999999999</v>
      </c>
      <c r="M199" s="2">
        <v>52.725999999999999</v>
      </c>
      <c r="O199" t="str">
        <f t="shared" si="46"/>
        <v>51.79 (50.86 to 52.73)</v>
      </c>
    </row>
    <row r="200" spans="1:15" ht="17.25" thickBot="1" x14ac:dyDescent="0.35">
      <c r="A200" s="6"/>
      <c r="B200" s="11">
        <v>3</v>
      </c>
      <c r="C200" s="2">
        <v>4465</v>
      </c>
      <c r="D200" s="2">
        <v>1615209</v>
      </c>
      <c r="E200" s="2">
        <v>31378</v>
      </c>
      <c r="F200" s="2">
        <v>5.3391999999999999</v>
      </c>
      <c r="G200" s="2">
        <v>0.1021</v>
      </c>
      <c r="H200" s="2">
        <v>5.1390000000000002</v>
      </c>
      <c r="I200" s="2">
        <v>5.5393999999999997</v>
      </c>
      <c r="J200" s="2">
        <v>22.829499999999999</v>
      </c>
      <c r="K200" s="2">
        <v>0.37769999999999998</v>
      </c>
      <c r="L200" s="2">
        <v>22.088799999999999</v>
      </c>
      <c r="M200" s="2">
        <v>23.5702</v>
      </c>
      <c r="O200" t="str">
        <f t="shared" si="46"/>
        <v>22.83 (22.09 to 23.57)</v>
      </c>
    </row>
    <row r="201" spans="1:15" ht="17.25" thickBot="1" x14ac:dyDescent="0.35">
      <c r="A201" s="6"/>
      <c r="B201" s="11" t="s">
        <v>153</v>
      </c>
      <c r="C201" s="2">
        <v>17662</v>
      </c>
      <c r="D201" s="2">
        <v>7075094</v>
      </c>
      <c r="E201" s="2">
        <v>78713</v>
      </c>
      <c r="F201" s="2">
        <v>23.3872</v>
      </c>
      <c r="G201" s="2">
        <v>0.221</v>
      </c>
      <c r="H201" s="2">
        <v>22.954000000000001</v>
      </c>
      <c r="I201" s="2">
        <v>23.820499999999999</v>
      </c>
      <c r="J201" s="2">
        <v>100</v>
      </c>
      <c r="K201" s="2"/>
      <c r="L201" s="2"/>
      <c r="M201" s="2"/>
    </row>
    <row r="202" spans="1:15" ht="17.25" thickBot="1" x14ac:dyDescent="0.35">
      <c r="A202" s="6" t="s">
        <v>153</v>
      </c>
      <c r="B202" s="11">
        <v>1</v>
      </c>
      <c r="C202" s="2">
        <v>22876</v>
      </c>
      <c r="D202" s="2">
        <v>10423023</v>
      </c>
      <c r="E202" s="2">
        <v>111794</v>
      </c>
      <c r="F202" s="2">
        <v>34.454099999999997</v>
      </c>
      <c r="G202" s="2">
        <v>0.2404</v>
      </c>
      <c r="H202" s="2">
        <v>33.982599999999998</v>
      </c>
      <c r="I202" s="2">
        <v>34.9255</v>
      </c>
      <c r="J202" s="2"/>
      <c r="K202" s="2"/>
      <c r="L202" s="2"/>
      <c r="M202" s="2"/>
    </row>
    <row r="203" spans="1:15" ht="17.25" thickBot="1" x14ac:dyDescent="0.35">
      <c r="A203" s="6"/>
      <c r="B203" s="11">
        <v>2</v>
      </c>
      <c r="C203" s="2">
        <v>33210</v>
      </c>
      <c r="D203" s="2">
        <v>14887576</v>
      </c>
      <c r="E203" s="2">
        <v>139026</v>
      </c>
      <c r="F203" s="2">
        <v>49.212000000000003</v>
      </c>
      <c r="G203" s="2">
        <v>0.25819999999999999</v>
      </c>
      <c r="H203" s="2">
        <v>48.7057</v>
      </c>
      <c r="I203" s="2">
        <v>49.718200000000003</v>
      </c>
      <c r="J203" s="2"/>
      <c r="K203" s="2"/>
      <c r="L203" s="2"/>
      <c r="M203" s="2"/>
    </row>
    <row r="204" spans="1:15" ht="17.25" thickBot="1" x14ac:dyDescent="0.35">
      <c r="A204" s="6"/>
      <c r="B204" s="11">
        <v>3</v>
      </c>
      <c r="C204" s="2">
        <v>12549</v>
      </c>
      <c r="D204" s="2">
        <v>4941337</v>
      </c>
      <c r="E204" s="2">
        <v>60754</v>
      </c>
      <c r="F204" s="2">
        <v>16.334</v>
      </c>
      <c r="G204" s="2">
        <v>0.17949999999999999</v>
      </c>
      <c r="H204" s="2">
        <v>15.9819</v>
      </c>
      <c r="I204" s="2">
        <v>16.686</v>
      </c>
      <c r="J204" s="2"/>
      <c r="K204" s="2"/>
      <c r="L204" s="2"/>
      <c r="M204" s="2"/>
    </row>
    <row r="205" spans="1:15" x14ac:dyDescent="0.3">
      <c r="A205" s="6"/>
      <c r="B205" s="14" t="s">
        <v>153</v>
      </c>
      <c r="C205" s="2">
        <v>68635</v>
      </c>
      <c r="D205" s="2">
        <v>30251936</v>
      </c>
      <c r="E205" s="2">
        <v>228758</v>
      </c>
      <c r="F205" s="2">
        <v>100</v>
      </c>
      <c r="G205" s="2"/>
      <c r="H205" s="2"/>
      <c r="I205" s="2"/>
      <c r="J205" s="2"/>
      <c r="K205" s="2"/>
      <c r="L205" s="2"/>
      <c r="M205" s="2"/>
    </row>
    <row r="206" spans="1:15" ht="17.25" thickBot="1" x14ac:dyDescent="0.35"/>
    <row r="207" spans="1:15" ht="16.5" customHeight="1" x14ac:dyDescent="0.3">
      <c r="A207" s="16" t="s">
        <v>196</v>
      </c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</row>
    <row r="208" spans="1:15" ht="33" customHeight="1" x14ac:dyDescent="0.3">
      <c r="A208" s="17" t="s">
        <v>43</v>
      </c>
      <c r="B208" s="19" t="s">
        <v>13</v>
      </c>
      <c r="C208" s="19" t="s">
        <v>146</v>
      </c>
      <c r="D208" s="3" t="s">
        <v>147</v>
      </c>
      <c r="E208" s="3" t="s">
        <v>148</v>
      </c>
      <c r="F208" s="19" t="s">
        <v>150</v>
      </c>
      <c r="G208" s="3" t="s">
        <v>148</v>
      </c>
      <c r="H208" s="19" t="s">
        <v>151</v>
      </c>
      <c r="I208" s="19"/>
      <c r="J208" s="3" t="s">
        <v>170</v>
      </c>
      <c r="K208" s="3" t="s">
        <v>148</v>
      </c>
      <c r="L208" s="19" t="s">
        <v>151</v>
      </c>
      <c r="M208" s="19"/>
    </row>
    <row r="209" spans="1:18" ht="33" x14ac:dyDescent="0.3">
      <c r="A209" s="17"/>
      <c r="B209" s="19"/>
      <c r="C209" s="19"/>
      <c r="D209" s="3" t="s">
        <v>146</v>
      </c>
      <c r="E209" s="3" t="s">
        <v>149</v>
      </c>
      <c r="F209" s="19"/>
      <c r="G209" s="3" t="s">
        <v>150</v>
      </c>
      <c r="H209" s="19" t="s">
        <v>152</v>
      </c>
      <c r="I209" s="19"/>
      <c r="J209" s="3" t="s">
        <v>150</v>
      </c>
      <c r="K209" s="3" t="s">
        <v>171</v>
      </c>
      <c r="L209" s="19" t="s">
        <v>172</v>
      </c>
      <c r="M209" s="19"/>
    </row>
    <row r="210" spans="1:18" ht="17.25" thickBot="1" x14ac:dyDescent="0.35">
      <c r="A210" s="6">
        <v>1</v>
      </c>
      <c r="B210" s="11">
        <v>1</v>
      </c>
      <c r="C210" s="2">
        <v>4504</v>
      </c>
      <c r="D210" s="2">
        <v>2194014</v>
      </c>
      <c r="E210" s="2">
        <v>43099</v>
      </c>
      <c r="F210" s="2">
        <v>7.2525000000000004</v>
      </c>
      <c r="G210" s="2">
        <v>0.13100000000000001</v>
      </c>
      <c r="H210" s="2">
        <v>6.9954999999999998</v>
      </c>
      <c r="I210" s="2">
        <v>7.5094000000000003</v>
      </c>
      <c r="J210" s="2">
        <v>29.311900000000001</v>
      </c>
      <c r="K210" s="2">
        <v>0.44269999999999998</v>
      </c>
      <c r="L210" s="2">
        <v>28.4437</v>
      </c>
      <c r="M210" s="2">
        <v>30.18</v>
      </c>
      <c r="O210" t="str">
        <f t="shared" ref="O210:O212" si="47">TEXT(J210,"0.00")&amp;" ("&amp;TEXT(L210,"0.00")&amp;" to "&amp;TEXT(M210,"0.00")&amp;")"</f>
        <v>29.31 (28.44 to 30.18)</v>
      </c>
      <c r="P210" t="str">
        <f>O214</f>
        <v>28.04 (27.22 to 28.86)</v>
      </c>
      <c r="Q210" t="str">
        <f>O218</f>
        <v>27.44 (26.64 to 28.23)</v>
      </c>
      <c r="R210" t="str">
        <f>O222</f>
        <v>26.37 (25.58 to 27.17)</v>
      </c>
    </row>
    <row r="211" spans="1:18" ht="17.25" thickBot="1" x14ac:dyDescent="0.35">
      <c r="A211" s="6"/>
      <c r="B211" s="11">
        <v>2</v>
      </c>
      <c r="C211" s="2">
        <v>9215</v>
      </c>
      <c r="D211" s="2">
        <v>4453718</v>
      </c>
      <c r="E211" s="2">
        <v>68376</v>
      </c>
      <c r="F211" s="2">
        <v>14.722099999999999</v>
      </c>
      <c r="G211" s="2">
        <v>0.18490000000000001</v>
      </c>
      <c r="H211" s="2">
        <v>14.359500000000001</v>
      </c>
      <c r="I211" s="2">
        <v>15.0846</v>
      </c>
      <c r="J211" s="2">
        <v>59.501300000000001</v>
      </c>
      <c r="K211" s="2">
        <v>0.46589999999999998</v>
      </c>
      <c r="L211" s="2">
        <v>58.587699999999998</v>
      </c>
      <c r="M211" s="2">
        <v>60.414900000000003</v>
      </c>
      <c r="O211" t="str">
        <f t="shared" si="47"/>
        <v>59.50 (58.59 to 60.41)</v>
      </c>
      <c r="P211" t="str">
        <f t="shared" ref="P211:P212" si="48">O215</f>
        <v>59.08 (58.19 to 59.96)</v>
      </c>
      <c r="Q211" t="str">
        <f t="shared" ref="Q211:Q212" si="49">O219</f>
        <v>58.08 (57.22 to 58.93)</v>
      </c>
      <c r="R211" t="str">
        <f t="shared" ref="R211:R212" si="50">O223</f>
        <v>56.18 (55.30 to 57.06)</v>
      </c>
    </row>
    <row r="212" spans="1:18" ht="17.25" thickBot="1" x14ac:dyDescent="0.35">
      <c r="A212" s="6"/>
      <c r="B212" s="11">
        <v>3</v>
      </c>
      <c r="C212" s="2">
        <v>1795</v>
      </c>
      <c r="D212" s="2">
        <v>837343</v>
      </c>
      <c r="E212" s="2">
        <v>24924</v>
      </c>
      <c r="F212" s="2">
        <v>2.7679</v>
      </c>
      <c r="G212" s="2">
        <v>7.85E-2</v>
      </c>
      <c r="H212" s="2">
        <v>2.6139999999999999</v>
      </c>
      <c r="I212" s="2">
        <v>2.9218000000000002</v>
      </c>
      <c r="J212" s="2">
        <v>11.1868</v>
      </c>
      <c r="K212" s="2">
        <v>0.3044</v>
      </c>
      <c r="L212" s="2">
        <v>10.5899</v>
      </c>
      <c r="M212" s="2">
        <v>11.783799999999999</v>
      </c>
      <c r="O212" t="str">
        <f t="shared" si="47"/>
        <v>11.19 (10.59 to 11.78)</v>
      </c>
      <c r="P212" t="str">
        <f t="shared" si="48"/>
        <v>12.89 (12.28 to 13.49)</v>
      </c>
      <c r="Q212" t="str">
        <f t="shared" si="49"/>
        <v>14.49 (13.89 to 15.08)</v>
      </c>
      <c r="R212" t="str">
        <f t="shared" si="50"/>
        <v>17.45 (16.80 to 18.10)</v>
      </c>
    </row>
    <row r="213" spans="1:18" ht="17.25" thickBot="1" x14ac:dyDescent="0.35">
      <c r="A213" s="6"/>
      <c r="B213" s="11" t="s">
        <v>153</v>
      </c>
      <c r="C213" s="2">
        <v>15514</v>
      </c>
      <c r="D213" s="2">
        <v>7485076</v>
      </c>
      <c r="E213" s="2">
        <v>96512</v>
      </c>
      <c r="F213" s="2">
        <v>24.7425</v>
      </c>
      <c r="G213" s="2">
        <v>0.23899999999999999</v>
      </c>
      <c r="H213" s="2">
        <v>24.273700000000002</v>
      </c>
      <c r="I213" s="2">
        <v>25.211200000000002</v>
      </c>
      <c r="J213" s="2">
        <v>100</v>
      </c>
      <c r="K213" s="2"/>
      <c r="L213" s="2"/>
      <c r="M213" s="2"/>
    </row>
    <row r="214" spans="1:18" ht="17.25" thickBot="1" x14ac:dyDescent="0.35">
      <c r="A214" s="6">
        <v>2</v>
      </c>
      <c r="B214" s="11">
        <v>1</v>
      </c>
      <c r="C214" s="2">
        <v>4692</v>
      </c>
      <c r="D214" s="2">
        <v>2237575</v>
      </c>
      <c r="E214" s="2">
        <v>42151</v>
      </c>
      <c r="F214" s="2">
        <v>7.3964999999999996</v>
      </c>
      <c r="G214" s="2">
        <v>0.12509999999999999</v>
      </c>
      <c r="H214" s="2">
        <v>7.1512000000000002</v>
      </c>
      <c r="I214" s="2">
        <v>7.6417000000000002</v>
      </c>
      <c r="J214" s="2">
        <v>28.0379</v>
      </c>
      <c r="K214" s="2">
        <v>0.41930000000000001</v>
      </c>
      <c r="L214" s="2">
        <v>27.215800000000002</v>
      </c>
      <c r="M214" s="2">
        <v>28.860099999999999</v>
      </c>
      <c r="O214" t="str">
        <f t="shared" ref="O214:O216" si="51">TEXT(J214,"0.00")&amp;" ("&amp;TEXT(L214,"0.00")&amp;" to "&amp;TEXT(M214,"0.00")&amp;")"</f>
        <v>28.04 (27.22 to 28.86)</v>
      </c>
    </row>
    <row r="215" spans="1:18" ht="17.25" thickBot="1" x14ac:dyDescent="0.35">
      <c r="A215" s="6"/>
      <c r="B215" s="11">
        <v>2</v>
      </c>
      <c r="C215" s="2">
        <v>10319</v>
      </c>
      <c r="D215" s="2">
        <v>4714664</v>
      </c>
      <c r="E215" s="2">
        <v>63600</v>
      </c>
      <c r="F215" s="2">
        <v>15.5847</v>
      </c>
      <c r="G215" s="2">
        <v>0.1671</v>
      </c>
      <c r="H215" s="2">
        <v>15.257099999999999</v>
      </c>
      <c r="I215" s="2">
        <v>15.9123</v>
      </c>
      <c r="J215" s="2">
        <v>59.077100000000002</v>
      </c>
      <c r="K215" s="2">
        <v>0.45050000000000001</v>
      </c>
      <c r="L215" s="2">
        <v>58.1937</v>
      </c>
      <c r="M215" s="2">
        <v>59.9604</v>
      </c>
      <c r="O215" t="str">
        <f t="shared" si="51"/>
        <v>59.08 (58.19 to 59.96)</v>
      </c>
    </row>
    <row r="216" spans="1:18" ht="17.25" thickBot="1" x14ac:dyDescent="0.35">
      <c r="A216" s="6"/>
      <c r="B216" s="11">
        <v>3</v>
      </c>
      <c r="C216" s="2">
        <v>2460</v>
      </c>
      <c r="D216" s="2">
        <v>1028292</v>
      </c>
      <c r="E216" s="2">
        <v>27122</v>
      </c>
      <c r="F216" s="2">
        <v>3.3990999999999998</v>
      </c>
      <c r="G216" s="2">
        <v>8.6499999999999994E-2</v>
      </c>
      <c r="H216" s="2">
        <v>3.2296</v>
      </c>
      <c r="I216" s="2">
        <v>3.5686</v>
      </c>
      <c r="J216" s="2">
        <v>12.885</v>
      </c>
      <c r="K216" s="2">
        <v>0.3075</v>
      </c>
      <c r="L216" s="2">
        <v>12.2821</v>
      </c>
      <c r="M216" s="2">
        <v>13.4879</v>
      </c>
      <c r="O216" t="str">
        <f t="shared" si="51"/>
        <v>12.89 (12.28 to 13.49)</v>
      </c>
    </row>
    <row r="217" spans="1:18" ht="17.25" thickBot="1" x14ac:dyDescent="0.35">
      <c r="A217" s="6"/>
      <c r="B217" s="11" t="s">
        <v>153</v>
      </c>
      <c r="C217" s="2">
        <v>17471</v>
      </c>
      <c r="D217" s="2">
        <v>7980531</v>
      </c>
      <c r="E217" s="2">
        <v>89661</v>
      </c>
      <c r="F217" s="2">
        <v>26.380199999999999</v>
      </c>
      <c r="G217" s="2">
        <v>0.20599999999999999</v>
      </c>
      <c r="H217" s="2">
        <v>25.976199999999999</v>
      </c>
      <c r="I217" s="2">
        <v>26.784199999999998</v>
      </c>
      <c r="J217" s="2">
        <v>100</v>
      </c>
      <c r="K217" s="2"/>
      <c r="L217" s="2"/>
      <c r="M217" s="2"/>
    </row>
    <row r="218" spans="1:18" ht="17.25" thickBot="1" x14ac:dyDescent="0.35">
      <c r="A218" s="6">
        <v>3</v>
      </c>
      <c r="B218" s="11">
        <v>1</v>
      </c>
      <c r="C218" s="2">
        <v>4703</v>
      </c>
      <c r="D218" s="2">
        <v>2115599</v>
      </c>
      <c r="E218" s="2">
        <v>38805</v>
      </c>
      <c r="F218" s="2">
        <v>6.9932999999999996</v>
      </c>
      <c r="G218" s="2">
        <v>0.1173</v>
      </c>
      <c r="H218" s="2">
        <v>6.7633000000000001</v>
      </c>
      <c r="I218" s="2">
        <v>7.2233000000000001</v>
      </c>
      <c r="J218" s="2">
        <v>27.435300000000002</v>
      </c>
      <c r="K218" s="2">
        <v>0.40589999999999998</v>
      </c>
      <c r="L218" s="2">
        <v>26.639299999999999</v>
      </c>
      <c r="M218" s="2">
        <v>28.231300000000001</v>
      </c>
      <c r="O218" t="str">
        <f t="shared" ref="O218:O220" si="52">TEXT(J218,"0.00")&amp;" ("&amp;TEXT(L218,"0.00")&amp;" to "&amp;TEXT(M218,"0.00")&amp;")"</f>
        <v>27.44 (26.64 to 28.23)</v>
      </c>
    </row>
    <row r="219" spans="1:18" ht="17.25" thickBot="1" x14ac:dyDescent="0.35">
      <c r="A219" s="6"/>
      <c r="B219" s="11">
        <v>2</v>
      </c>
      <c r="C219" s="2">
        <v>10287</v>
      </c>
      <c r="D219" s="2">
        <v>4478383</v>
      </c>
      <c r="E219" s="2">
        <v>60282</v>
      </c>
      <c r="F219" s="2">
        <v>14.803599999999999</v>
      </c>
      <c r="G219" s="2">
        <v>0.16450000000000001</v>
      </c>
      <c r="H219" s="2">
        <v>14.481</v>
      </c>
      <c r="I219" s="2">
        <v>15.126200000000001</v>
      </c>
      <c r="J219" s="2">
        <v>58.076099999999997</v>
      </c>
      <c r="K219" s="2">
        <v>0.43490000000000001</v>
      </c>
      <c r="L219" s="2">
        <v>57.223399999999998</v>
      </c>
      <c r="M219" s="2">
        <v>58.928800000000003</v>
      </c>
      <c r="O219" t="str">
        <f t="shared" si="52"/>
        <v>58.08 (57.22 to 58.93)</v>
      </c>
    </row>
    <row r="220" spans="1:18" ht="17.25" thickBot="1" x14ac:dyDescent="0.35">
      <c r="A220" s="6"/>
      <c r="B220" s="11">
        <v>3</v>
      </c>
      <c r="C220" s="2">
        <v>2998</v>
      </c>
      <c r="D220" s="2">
        <v>1117253</v>
      </c>
      <c r="E220" s="2">
        <v>25988</v>
      </c>
      <c r="F220" s="2">
        <v>3.6932</v>
      </c>
      <c r="G220" s="2">
        <v>8.2699999999999996E-2</v>
      </c>
      <c r="H220" s="2">
        <v>3.5310000000000001</v>
      </c>
      <c r="I220" s="2">
        <v>3.8553000000000002</v>
      </c>
      <c r="J220" s="2">
        <v>14.4886</v>
      </c>
      <c r="K220" s="2">
        <v>0.30309999999999998</v>
      </c>
      <c r="L220" s="2">
        <v>13.894299999999999</v>
      </c>
      <c r="M220" s="2">
        <v>15.0829</v>
      </c>
      <c r="O220" t="str">
        <f t="shared" si="52"/>
        <v>14.49 (13.89 to 15.08)</v>
      </c>
    </row>
    <row r="221" spans="1:18" ht="17.25" thickBot="1" x14ac:dyDescent="0.35">
      <c r="A221" s="6"/>
      <c r="B221" s="11" t="s">
        <v>153</v>
      </c>
      <c r="C221" s="2">
        <v>17988</v>
      </c>
      <c r="D221" s="2">
        <v>7711235</v>
      </c>
      <c r="E221" s="2">
        <v>84434</v>
      </c>
      <c r="F221" s="2">
        <v>25.490100000000002</v>
      </c>
      <c r="G221" s="2">
        <v>0.20630000000000001</v>
      </c>
      <c r="H221" s="2">
        <v>25.0855</v>
      </c>
      <c r="I221" s="2">
        <v>25.894600000000001</v>
      </c>
      <c r="J221" s="2">
        <v>100</v>
      </c>
      <c r="K221" s="2"/>
      <c r="L221" s="2"/>
      <c r="M221" s="2"/>
    </row>
    <row r="222" spans="1:18" ht="17.25" thickBot="1" x14ac:dyDescent="0.35">
      <c r="A222" s="6">
        <v>4</v>
      </c>
      <c r="B222" s="11">
        <v>1</v>
      </c>
      <c r="C222" s="2">
        <v>4358</v>
      </c>
      <c r="D222" s="2">
        <v>1865857</v>
      </c>
      <c r="E222" s="2">
        <v>35364</v>
      </c>
      <c r="F222" s="2">
        <v>6.1677</v>
      </c>
      <c r="G222" s="2">
        <v>0.1101</v>
      </c>
      <c r="H222" s="2">
        <v>5.9518000000000004</v>
      </c>
      <c r="I222" s="2">
        <v>6.3836000000000004</v>
      </c>
      <c r="J222" s="2">
        <v>26.372199999999999</v>
      </c>
      <c r="K222" s="2">
        <v>0.40450000000000003</v>
      </c>
      <c r="L222" s="2">
        <v>25.5791</v>
      </c>
      <c r="M222" s="2">
        <v>27.165299999999998</v>
      </c>
      <c r="O222" t="str">
        <f t="shared" ref="O222:O224" si="53">TEXT(J222,"0.00")&amp;" ("&amp;TEXT(L222,"0.00")&amp;" to "&amp;TEXT(M222,"0.00")&amp;")"</f>
        <v>26.37 (25.58 to 27.17)</v>
      </c>
    </row>
    <row r="223" spans="1:18" ht="17.25" thickBot="1" x14ac:dyDescent="0.35">
      <c r="A223" s="6"/>
      <c r="B223" s="11">
        <v>2</v>
      </c>
      <c r="C223" s="2">
        <v>9730</v>
      </c>
      <c r="D223" s="2">
        <v>3974702</v>
      </c>
      <c r="E223" s="2">
        <v>55785</v>
      </c>
      <c r="F223" s="2">
        <v>13.1387</v>
      </c>
      <c r="G223" s="2">
        <v>0.1653</v>
      </c>
      <c r="H223" s="2">
        <v>12.8146</v>
      </c>
      <c r="I223" s="2">
        <v>13.4627</v>
      </c>
      <c r="J223" s="2">
        <v>56.178800000000003</v>
      </c>
      <c r="K223" s="2">
        <v>0.4491</v>
      </c>
      <c r="L223" s="2">
        <v>55.298099999999998</v>
      </c>
      <c r="M223" s="2">
        <v>57.059399999999997</v>
      </c>
      <c r="O223" t="str">
        <f t="shared" si="53"/>
        <v>56.18 (55.30 to 57.06)</v>
      </c>
    </row>
    <row r="224" spans="1:18" ht="17.25" thickBot="1" x14ac:dyDescent="0.35">
      <c r="A224" s="6"/>
      <c r="B224" s="11">
        <v>3</v>
      </c>
      <c r="C224" s="2">
        <v>3574</v>
      </c>
      <c r="D224" s="2">
        <v>1234534</v>
      </c>
      <c r="E224" s="2">
        <v>26248</v>
      </c>
      <c r="F224" s="2">
        <v>4.0808</v>
      </c>
      <c r="G224" s="2">
        <v>8.5599999999999996E-2</v>
      </c>
      <c r="H224" s="2">
        <v>3.9129</v>
      </c>
      <c r="I224" s="2">
        <v>4.2488000000000001</v>
      </c>
      <c r="J224" s="2">
        <v>17.449000000000002</v>
      </c>
      <c r="K224" s="2">
        <v>0.33040000000000003</v>
      </c>
      <c r="L224" s="2">
        <v>16.801200000000001</v>
      </c>
      <c r="M224" s="2">
        <v>18.096900000000002</v>
      </c>
      <c r="O224" t="str">
        <f t="shared" si="53"/>
        <v>17.45 (16.80 to 18.10)</v>
      </c>
    </row>
    <row r="225" spans="1:18" ht="17.25" thickBot="1" x14ac:dyDescent="0.35">
      <c r="A225" s="6"/>
      <c r="B225" s="11" t="s">
        <v>153</v>
      </c>
      <c r="C225" s="2">
        <v>17662</v>
      </c>
      <c r="D225" s="2">
        <v>7075094</v>
      </c>
      <c r="E225" s="2">
        <v>78713</v>
      </c>
      <c r="F225" s="2">
        <v>23.3872</v>
      </c>
      <c r="G225" s="2">
        <v>0.221</v>
      </c>
      <c r="H225" s="2">
        <v>22.954000000000001</v>
      </c>
      <c r="I225" s="2">
        <v>23.820499999999999</v>
      </c>
      <c r="J225" s="2">
        <v>100</v>
      </c>
      <c r="K225" s="2"/>
      <c r="L225" s="2"/>
      <c r="M225" s="2"/>
    </row>
    <row r="226" spans="1:18" ht="17.25" thickBot="1" x14ac:dyDescent="0.35">
      <c r="A226" s="6" t="s">
        <v>153</v>
      </c>
      <c r="B226" s="11">
        <v>1</v>
      </c>
      <c r="C226" s="2">
        <v>18257</v>
      </c>
      <c r="D226" s="2">
        <v>8413045</v>
      </c>
      <c r="E226" s="2">
        <v>91908</v>
      </c>
      <c r="F226" s="2">
        <v>27.809899999999999</v>
      </c>
      <c r="G226" s="2">
        <v>0.22020000000000001</v>
      </c>
      <c r="H226" s="2">
        <v>27.378299999999999</v>
      </c>
      <c r="I226" s="2">
        <v>28.241599999999998</v>
      </c>
      <c r="J226" s="2"/>
      <c r="K226" s="2"/>
      <c r="L226" s="2"/>
      <c r="M226" s="2"/>
    </row>
    <row r="227" spans="1:18" ht="17.25" thickBot="1" x14ac:dyDescent="0.35">
      <c r="A227" s="6"/>
      <c r="B227" s="11">
        <v>2</v>
      </c>
      <c r="C227" s="2">
        <v>39551</v>
      </c>
      <c r="D227" s="2">
        <v>17621468</v>
      </c>
      <c r="E227" s="2">
        <v>153953</v>
      </c>
      <c r="F227" s="2">
        <v>58.249099999999999</v>
      </c>
      <c r="G227" s="2">
        <v>0.22770000000000001</v>
      </c>
      <c r="H227" s="2">
        <v>57.802599999999998</v>
      </c>
      <c r="I227" s="2">
        <v>58.695500000000003</v>
      </c>
      <c r="J227" s="2"/>
      <c r="K227" s="2"/>
      <c r="L227" s="2"/>
      <c r="M227" s="2"/>
    </row>
    <row r="228" spans="1:18" ht="17.25" thickBot="1" x14ac:dyDescent="0.35">
      <c r="A228" s="6"/>
      <c r="B228" s="11">
        <v>3</v>
      </c>
      <c r="C228" s="2">
        <v>10827</v>
      </c>
      <c r="D228" s="2">
        <v>4217422</v>
      </c>
      <c r="E228" s="2">
        <v>56411</v>
      </c>
      <c r="F228" s="2">
        <v>13.941000000000001</v>
      </c>
      <c r="G228" s="2">
        <v>0.16309999999999999</v>
      </c>
      <c r="H228" s="2">
        <v>13.6212</v>
      </c>
      <c r="I228" s="2">
        <v>14.2608</v>
      </c>
      <c r="J228" s="2"/>
      <c r="K228" s="2"/>
      <c r="L228" s="2"/>
      <c r="M228" s="2"/>
    </row>
    <row r="229" spans="1:18" x14ac:dyDescent="0.3">
      <c r="A229" s="6"/>
      <c r="B229" s="14" t="s">
        <v>153</v>
      </c>
      <c r="C229" s="2">
        <v>68635</v>
      </c>
      <c r="D229" s="2">
        <v>30251936</v>
      </c>
      <c r="E229" s="2">
        <v>228758</v>
      </c>
      <c r="F229" s="2">
        <v>100</v>
      </c>
      <c r="G229" s="2"/>
      <c r="H229" s="2"/>
      <c r="I229" s="2"/>
      <c r="J229" s="2"/>
      <c r="K229" s="2"/>
      <c r="L229" s="2"/>
      <c r="M229" s="2"/>
    </row>
    <row r="230" spans="1:18" ht="17.25" thickBot="1" x14ac:dyDescent="0.35"/>
    <row r="231" spans="1:18" ht="16.5" customHeight="1" x14ac:dyDescent="0.3">
      <c r="A231" s="16" t="s">
        <v>197</v>
      </c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</row>
    <row r="232" spans="1:18" ht="33" customHeight="1" x14ac:dyDescent="0.3">
      <c r="A232" s="17" t="s">
        <v>43</v>
      </c>
      <c r="B232" s="19" t="s">
        <v>14</v>
      </c>
      <c r="C232" s="19" t="s">
        <v>146</v>
      </c>
      <c r="D232" s="3" t="s">
        <v>147</v>
      </c>
      <c r="E232" s="3" t="s">
        <v>148</v>
      </c>
      <c r="F232" s="19" t="s">
        <v>150</v>
      </c>
      <c r="G232" s="3" t="s">
        <v>148</v>
      </c>
      <c r="H232" s="19" t="s">
        <v>151</v>
      </c>
      <c r="I232" s="19"/>
      <c r="J232" s="3" t="s">
        <v>170</v>
      </c>
      <c r="K232" s="3" t="s">
        <v>148</v>
      </c>
      <c r="L232" s="19" t="s">
        <v>151</v>
      </c>
      <c r="M232" s="19"/>
    </row>
    <row r="233" spans="1:18" ht="33" x14ac:dyDescent="0.3">
      <c r="A233" s="17"/>
      <c r="B233" s="19"/>
      <c r="C233" s="19"/>
      <c r="D233" s="3" t="s">
        <v>146</v>
      </c>
      <c r="E233" s="3" t="s">
        <v>149</v>
      </c>
      <c r="F233" s="19"/>
      <c r="G233" s="3" t="s">
        <v>150</v>
      </c>
      <c r="H233" s="19" t="s">
        <v>152</v>
      </c>
      <c r="I233" s="19"/>
      <c r="J233" s="3" t="s">
        <v>150</v>
      </c>
      <c r="K233" s="3" t="s">
        <v>171</v>
      </c>
      <c r="L233" s="19" t="s">
        <v>172</v>
      </c>
      <c r="M233" s="19"/>
    </row>
    <row r="234" spans="1:18" ht="17.25" thickBot="1" x14ac:dyDescent="0.35">
      <c r="A234" s="6">
        <v>1</v>
      </c>
      <c r="B234" s="11">
        <v>1</v>
      </c>
      <c r="C234" s="2">
        <v>6232</v>
      </c>
      <c r="D234" s="2">
        <v>2840201</v>
      </c>
      <c r="E234" s="2">
        <v>49915</v>
      </c>
      <c r="F234" s="2">
        <v>9.3885000000000005</v>
      </c>
      <c r="G234" s="2">
        <v>0.1462</v>
      </c>
      <c r="H234" s="2">
        <v>9.1019000000000005</v>
      </c>
      <c r="I234" s="2">
        <v>9.6751000000000005</v>
      </c>
      <c r="J234" s="2">
        <v>37.944899999999997</v>
      </c>
      <c r="K234" s="2">
        <v>0.4798</v>
      </c>
      <c r="L234" s="2">
        <v>37.004100000000001</v>
      </c>
      <c r="M234" s="2">
        <v>38.885599999999997</v>
      </c>
      <c r="O234" t="str">
        <f t="shared" ref="O234:O236" si="54">TEXT(J234,"0.00")&amp;" ("&amp;TEXT(L234,"0.00")&amp;" to "&amp;TEXT(M234,"0.00")&amp;")"</f>
        <v>37.94 (37.00 to 38.89)</v>
      </c>
      <c r="P234" t="str">
        <f>O238</f>
        <v>36.49 (35.64 to 37.35)</v>
      </c>
      <c r="Q234" t="str">
        <f>O242</f>
        <v>34.90 (34.07 to 35.73)</v>
      </c>
      <c r="R234" t="str">
        <f>O246</f>
        <v>32.45 (31.61 to 33.28)</v>
      </c>
    </row>
    <row r="235" spans="1:18" ht="17.25" thickBot="1" x14ac:dyDescent="0.35">
      <c r="A235" s="6"/>
      <c r="B235" s="11">
        <v>2</v>
      </c>
      <c r="C235" s="2">
        <v>6846</v>
      </c>
      <c r="D235" s="2">
        <v>3440812</v>
      </c>
      <c r="E235" s="2">
        <v>59039</v>
      </c>
      <c r="F235" s="2">
        <v>11.373900000000001</v>
      </c>
      <c r="G235" s="2">
        <v>0.16520000000000001</v>
      </c>
      <c r="H235" s="2">
        <v>11.049899999999999</v>
      </c>
      <c r="I235" s="2">
        <v>11.697800000000001</v>
      </c>
      <c r="J235" s="2">
        <v>45.969000000000001</v>
      </c>
      <c r="K235" s="2">
        <v>0.4839</v>
      </c>
      <c r="L235" s="2">
        <v>45.020200000000003</v>
      </c>
      <c r="M235" s="2">
        <v>46.9178</v>
      </c>
      <c r="O235" t="str">
        <f t="shared" si="54"/>
        <v>45.97 (45.02 to 46.92)</v>
      </c>
      <c r="P235" t="str">
        <f t="shared" ref="P235:P236" si="55">O239</f>
        <v>40.98 (40.09 to 41.88)</v>
      </c>
      <c r="Q235" t="str">
        <f t="shared" ref="Q235:Q236" si="56">O243</f>
        <v>37.00 (36.13 to 37.88)</v>
      </c>
      <c r="R235" t="str">
        <f t="shared" ref="R235:R236" si="57">O247</f>
        <v>30.75 (29.90 to 31.60)</v>
      </c>
    </row>
    <row r="236" spans="1:18" ht="17.25" thickBot="1" x14ac:dyDescent="0.35">
      <c r="A236" s="6"/>
      <c r="B236" s="11">
        <v>3</v>
      </c>
      <c r="C236" s="2">
        <v>2436</v>
      </c>
      <c r="D236" s="2">
        <v>1204063</v>
      </c>
      <c r="E236" s="2">
        <v>30575</v>
      </c>
      <c r="F236" s="2">
        <v>3.9801000000000002</v>
      </c>
      <c r="G236" s="2">
        <v>9.64E-2</v>
      </c>
      <c r="H236" s="2">
        <v>3.7911000000000001</v>
      </c>
      <c r="I236" s="2">
        <v>4.1691000000000003</v>
      </c>
      <c r="J236" s="2">
        <v>16.086200000000002</v>
      </c>
      <c r="K236" s="2">
        <v>0.35510000000000003</v>
      </c>
      <c r="L236" s="2">
        <v>15.389799999999999</v>
      </c>
      <c r="M236" s="2">
        <v>16.782599999999999</v>
      </c>
      <c r="O236" t="str">
        <f t="shared" si="54"/>
        <v>16.09 (15.39 to 16.78)</v>
      </c>
      <c r="P236" t="str">
        <f t="shared" si="55"/>
        <v>22.52 (21.76 to 23.29)</v>
      </c>
      <c r="Q236" t="str">
        <f t="shared" si="56"/>
        <v>28.10 (27.30 to 28.90)</v>
      </c>
      <c r="R236" t="str">
        <f t="shared" si="57"/>
        <v>36.80 (35.93 to 37.68)</v>
      </c>
    </row>
    <row r="237" spans="1:18" ht="17.25" thickBot="1" x14ac:dyDescent="0.35">
      <c r="A237" s="6"/>
      <c r="B237" s="11" t="s">
        <v>153</v>
      </c>
      <c r="C237" s="2">
        <v>15514</v>
      </c>
      <c r="D237" s="2">
        <v>7485076</v>
      </c>
      <c r="E237" s="2">
        <v>96512</v>
      </c>
      <c r="F237" s="2">
        <v>24.7425</v>
      </c>
      <c r="G237" s="2">
        <v>0.23899999999999999</v>
      </c>
      <c r="H237" s="2">
        <v>24.273700000000002</v>
      </c>
      <c r="I237" s="2">
        <v>25.211200000000002</v>
      </c>
      <c r="J237" s="2">
        <v>100</v>
      </c>
      <c r="K237" s="2"/>
      <c r="L237" s="2"/>
      <c r="M237" s="2"/>
    </row>
    <row r="238" spans="1:18" ht="17.25" thickBot="1" x14ac:dyDescent="0.35">
      <c r="A238" s="6">
        <v>2</v>
      </c>
      <c r="B238" s="11">
        <v>1</v>
      </c>
      <c r="C238" s="2">
        <v>7074</v>
      </c>
      <c r="D238" s="2">
        <v>2912304</v>
      </c>
      <c r="E238" s="2">
        <v>45471</v>
      </c>
      <c r="F238" s="2">
        <v>9.6267999999999994</v>
      </c>
      <c r="G238" s="2">
        <v>0.1318</v>
      </c>
      <c r="H238" s="2">
        <v>9.3683999999999994</v>
      </c>
      <c r="I238" s="2">
        <v>9.8853000000000009</v>
      </c>
      <c r="J238" s="2">
        <v>36.492600000000003</v>
      </c>
      <c r="K238" s="2">
        <v>0.43709999999999999</v>
      </c>
      <c r="L238" s="2">
        <v>35.635599999999997</v>
      </c>
      <c r="M238" s="2">
        <v>37.349600000000002</v>
      </c>
      <c r="O238" t="str">
        <f t="shared" ref="O238:O240" si="58">TEXT(J238,"0.00")&amp;" ("&amp;TEXT(L238,"0.00")&amp;" to "&amp;TEXT(M238,"0.00")&amp;")"</f>
        <v>36.49 (35.64 to 37.35)</v>
      </c>
    </row>
    <row r="239" spans="1:18" ht="17.25" thickBot="1" x14ac:dyDescent="0.35">
      <c r="A239" s="6"/>
      <c r="B239" s="11">
        <v>2</v>
      </c>
      <c r="C239" s="2">
        <v>6713</v>
      </c>
      <c r="D239" s="2">
        <v>3270633</v>
      </c>
      <c r="E239" s="2">
        <v>53955</v>
      </c>
      <c r="F239" s="2">
        <v>10.811299999999999</v>
      </c>
      <c r="G239" s="2">
        <v>0.15029999999999999</v>
      </c>
      <c r="H239" s="2">
        <v>10.5166</v>
      </c>
      <c r="I239" s="2">
        <v>11.106</v>
      </c>
      <c r="J239" s="2">
        <v>40.982700000000001</v>
      </c>
      <c r="K239" s="2">
        <v>0.45750000000000002</v>
      </c>
      <c r="L239" s="2">
        <v>40.085599999999999</v>
      </c>
      <c r="M239" s="2">
        <v>41.8797</v>
      </c>
      <c r="O239" t="str">
        <f t="shared" si="58"/>
        <v>40.98 (40.09 to 41.88)</v>
      </c>
    </row>
    <row r="240" spans="1:18" ht="17.25" thickBot="1" x14ac:dyDescent="0.35">
      <c r="A240" s="6"/>
      <c r="B240" s="11">
        <v>3</v>
      </c>
      <c r="C240" s="2">
        <v>3684</v>
      </c>
      <c r="D240" s="2">
        <v>1797593</v>
      </c>
      <c r="E240" s="2">
        <v>37366</v>
      </c>
      <c r="F240" s="2">
        <v>5.9420999999999999</v>
      </c>
      <c r="G240" s="2">
        <v>0.1154</v>
      </c>
      <c r="H240" s="2">
        <v>5.7157</v>
      </c>
      <c r="I240" s="2">
        <v>6.1684000000000001</v>
      </c>
      <c r="J240" s="2">
        <v>22.524699999999999</v>
      </c>
      <c r="K240" s="2">
        <v>0.39190000000000003</v>
      </c>
      <c r="L240" s="2">
        <v>21.7563</v>
      </c>
      <c r="M240" s="2">
        <v>23.293099999999999</v>
      </c>
      <c r="O240" t="str">
        <f t="shared" si="58"/>
        <v>22.52 (21.76 to 23.29)</v>
      </c>
    </row>
    <row r="241" spans="1:15" ht="17.25" thickBot="1" x14ac:dyDescent="0.35">
      <c r="A241" s="6"/>
      <c r="B241" s="11" t="s">
        <v>153</v>
      </c>
      <c r="C241" s="2">
        <v>17471</v>
      </c>
      <c r="D241" s="2">
        <v>7980531</v>
      </c>
      <c r="E241" s="2">
        <v>89661</v>
      </c>
      <c r="F241" s="2">
        <v>26.380199999999999</v>
      </c>
      <c r="G241" s="2">
        <v>0.20599999999999999</v>
      </c>
      <c r="H241" s="2">
        <v>25.976199999999999</v>
      </c>
      <c r="I241" s="2">
        <v>26.784199999999998</v>
      </c>
      <c r="J241" s="2">
        <v>100</v>
      </c>
      <c r="K241" s="2"/>
      <c r="L241" s="2"/>
      <c r="M241" s="2"/>
    </row>
    <row r="242" spans="1:15" ht="17.25" thickBot="1" x14ac:dyDescent="0.35">
      <c r="A242" s="6">
        <v>3</v>
      </c>
      <c r="B242" s="11">
        <v>1</v>
      </c>
      <c r="C242" s="2">
        <v>7065</v>
      </c>
      <c r="D242" s="2">
        <v>2690989</v>
      </c>
      <c r="E242" s="2">
        <v>41812</v>
      </c>
      <c r="F242" s="2">
        <v>8.8953000000000007</v>
      </c>
      <c r="G242" s="2">
        <v>0.12740000000000001</v>
      </c>
      <c r="H242" s="2">
        <v>8.6455000000000002</v>
      </c>
      <c r="I242" s="2">
        <v>9.1449999999999996</v>
      </c>
      <c r="J242" s="2">
        <v>34.896999999999998</v>
      </c>
      <c r="K242" s="2">
        <v>0.42409999999999998</v>
      </c>
      <c r="L242" s="2">
        <v>34.065300000000001</v>
      </c>
      <c r="M242" s="2">
        <v>35.728700000000003</v>
      </c>
      <c r="O242" t="str">
        <f t="shared" ref="O242:O244" si="59">TEXT(J242,"0.00")&amp;" ("&amp;TEXT(L242,"0.00")&amp;" to "&amp;TEXT(M242,"0.00")&amp;")"</f>
        <v>34.90 (34.07 to 35.73)</v>
      </c>
    </row>
    <row r="243" spans="1:15" ht="17.25" thickBot="1" x14ac:dyDescent="0.35">
      <c r="A243" s="6"/>
      <c r="B243" s="11">
        <v>2</v>
      </c>
      <c r="C243" s="2">
        <v>6272</v>
      </c>
      <c r="D243" s="2">
        <v>2853462</v>
      </c>
      <c r="E243" s="2">
        <v>47527</v>
      </c>
      <c r="F243" s="2">
        <v>9.4322999999999997</v>
      </c>
      <c r="G243" s="2">
        <v>0.13850000000000001</v>
      </c>
      <c r="H243" s="2">
        <v>9.1607000000000003</v>
      </c>
      <c r="I243" s="2">
        <v>9.7039000000000009</v>
      </c>
      <c r="J243" s="2">
        <v>37.003999999999998</v>
      </c>
      <c r="K243" s="2">
        <v>0.44500000000000001</v>
      </c>
      <c r="L243" s="2">
        <v>36.131300000000003</v>
      </c>
      <c r="M243" s="2">
        <v>37.876600000000003</v>
      </c>
      <c r="O243" t="str">
        <f t="shared" si="59"/>
        <v>37.00 (36.13 to 37.88)</v>
      </c>
    </row>
    <row r="244" spans="1:15" ht="17.25" thickBot="1" x14ac:dyDescent="0.35">
      <c r="A244" s="6"/>
      <c r="B244" s="11">
        <v>3</v>
      </c>
      <c r="C244" s="2">
        <v>4651</v>
      </c>
      <c r="D244" s="2">
        <v>2166784</v>
      </c>
      <c r="E244" s="2">
        <v>40372</v>
      </c>
      <c r="F244" s="2">
        <v>7.1624999999999996</v>
      </c>
      <c r="G244" s="2">
        <v>0.11990000000000001</v>
      </c>
      <c r="H244" s="2">
        <v>6.9273999999999996</v>
      </c>
      <c r="I244" s="2">
        <v>7.3975</v>
      </c>
      <c r="J244" s="2">
        <v>28.0991</v>
      </c>
      <c r="K244" s="2">
        <v>0.40889999999999999</v>
      </c>
      <c r="L244" s="2">
        <v>27.2974</v>
      </c>
      <c r="M244" s="2">
        <v>28.9008</v>
      </c>
      <c r="O244" t="str">
        <f t="shared" si="59"/>
        <v>28.10 (27.30 to 28.90)</v>
      </c>
    </row>
    <row r="245" spans="1:15" ht="17.25" thickBot="1" x14ac:dyDescent="0.35">
      <c r="A245" s="6"/>
      <c r="B245" s="11" t="s">
        <v>153</v>
      </c>
      <c r="C245" s="2">
        <v>17988</v>
      </c>
      <c r="D245" s="2">
        <v>7711235</v>
      </c>
      <c r="E245" s="2">
        <v>84434</v>
      </c>
      <c r="F245" s="2">
        <v>25.490100000000002</v>
      </c>
      <c r="G245" s="2">
        <v>0.20630000000000001</v>
      </c>
      <c r="H245" s="2">
        <v>25.0855</v>
      </c>
      <c r="I245" s="2">
        <v>25.894600000000001</v>
      </c>
      <c r="J245" s="2">
        <v>100</v>
      </c>
      <c r="K245" s="2"/>
      <c r="L245" s="2"/>
      <c r="M245" s="2"/>
    </row>
    <row r="246" spans="1:15" ht="17.25" thickBot="1" x14ac:dyDescent="0.35">
      <c r="A246" s="6">
        <v>4</v>
      </c>
      <c r="B246" s="11">
        <v>1</v>
      </c>
      <c r="C246" s="2">
        <v>6537</v>
      </c>
      <c r="D246" s="2">
        <v>2295575</v>
      </c>
      <c r="E246" s="2">
        <v>38491</v>
      </c>
      <c r="F246" s="2">
        <v>7.5881999999999996</v>
      </c>
      <c r="G246" s="2">
        <v>0.12230000000000001</v>
      </c>
      <c r="H246" s="2">
        <v>7.3483000000000001</v>
      </c>
      <c r="I246" s="2">
        <v>7.8281000000000001</v>
      </c>
      <c r="J246" s="2">
        <v>32.445900000000002</v>
      </c>
      <c r="K246" s="2">
        <v>0.42530000000000001</v>
      </c>
      <c r="L246" s="2">
        <v>31.611999999999998</v>
      </c>
      <c r="M246" s="2">
        <v>33.279699999999998</v>
      </c>
      <c r="O246" t="str">
        <f t="shared" ref="O246:O248" si="60">TEXT(J246,"0.00")&amp;" ("&amp;TEXT(L246,"0.00")&amp;" to "&amp;TEXT(M246,"0.00")&amp;")"</f>
        <v>32.45 (31.61 to 33.28)</v>
      </c>
    </row>
    <row r="247" spans="1:15" ht="17.25" thickBot="1" x14ac:dyDescent="0.35">
      <c r="A247" s="6"/>
      <c r="B247" s="11">
        <v>2</v>
      </c>
      <c r="C247" s="2">
        <v>5168</v>
      </c>
      <c r="D247" s="2">
        <v>2175651</v>
      </c>
      <c r="E247" s="2">
        <v>39201</v>
      </c>
      <c r="F247" s="2">
        <v>7.1917999999999997</v>
      </c>
      <c r="G247" s="2">
        <v>0.1205</v>
      </c>
      <c r="H247" s="2">
        <v>6.9554999999999998</v>
      </c>
      <c r="I247" s="2">
        <v>7.4280999999999997</v>
      </c>
      <c r="J247" s="2">
        <v>30.750800000000002</v>
      </c>
      <c r="K247" s="2">
        <v>0.4335</v>
      </c>
      <c r="L247" s="2">
        <v>29.900700000000001</v>
      </c>
      <c r="M247" s="2">
        <v>31.600899999999999</v>
      </c>
      <c r="O247" t="str">
        <f t="shared" si="60"/>
        <v>30.75 (29.90 to 31.60)</v>
      </c>
    </row>
    <row r="248" spans="1:15" ht="17.25" thickBot="1" x14ac:dyDescent="0.35">
      <c r="A248" s="6"/>
      <c r="B248" s="11">
        <v>3</v>
      </c>
      <c r="C248" s="2">
        <v>5957</v>
      </c>
      <c r="D248" s="2">
        <v>2603868</v>
      </c>
      <c r="E248" s="2">
        <v>43760</v>
      </c>
      <c r="F248" s="2">
        <v>8.6073000000000004</v>
      </c>
      <c r="G248" s="2">
        <v>0.13439999999999999</v>
      </c>
      <c r="H248" s="2">
        <v>8.3437000000000001</v>
      </c>
      <c r="I248" s="2">
        <v>8.8709000000000007</v>
      </c>
      <c r="J248" s="2">
        <v>36.8033</v>
      </c>
      <c r="K248" s="2">
        <v>0.44729999999999998</v>
      </c>
      <c r="L248" s="2">
        <v>35.926299999999998</v>
      </c>
      <c r="M248" s="2">
        <v>37.680300000000003</v>
      </c>
      <c r="O248" t="str">
        <f t="shared" si="60"/>
        <v>36.80 (35.93 to 37.68)</v>
      </c>
    </row>
    <row r="249" spans="1:15" ht="17.25" thickBot="1" x14ac:dyDescent="0.35">
      <c r="A249" s="6"/>
      <c r="B249" s="11" t="s">
        <v>153</v>
      </c>
      <c r="C249" s="2">
        <v>17662</v>
      </c>
      <c r="D249" s="2">
        <v>7075094</v>
      </c>
      <c r="E249" s="2">
        <v>78713</v>
      </c>
      <c r="F249" s="2">
        <v>23.3872</v>
      </c>
      <c r="G249" s="2">
        <v>0.221</v>
      </c>
      <c r="H249" s="2">
        <v>22.954000000000001</v>
      </c>
      <c r="I249" s="2">
        <v>23.820499999999999</v>
      </c>
      <c r="J249" s="2">
        <v>100</v>
      </c>
      <c r="K249" s="2"/>
      <c r="L249" s="2"/>
      <c r="M249" s="2"/>
    </row>
    <row r="250" spans="1:15" ht="17.25" thickBot="1" x14ac:dyDescent="0.35">
      <c r="A250" s="6" t="s">
        <v>153</v>
      </c>
      <c r="B250" s="11">
        <v>1</v>
      </c>
      <c r="C250" s="2">
        <v>26908</v>
      </c>
      <c r="D250" s="2">
        <v>10739070</v>
      </c>
      <c r="E250" s="2">
        <v>101823</v>
      </c>
      <c r="F250" s="2">
        <v>35.498800000000003</v>
      </c>
      <c r="G250" s="2">
        <v>0.23380000000000001</v>
      </c>
      <c r="H250" s="2">
        <v>35.040300000000002</v>
      </c>
      <c r="I250" s="2">
        <v>35.957299999999996</v>
      </c>
      <c r="J250" s="2"/>
      <c r="K250" s="2"/>
      <c r="L250" s="2"/>
      <c r="M250" s="2"/>
    </row>
    <row r="251" spans="1:15" ht="17.25" thickBot="1" x14ac:dyDescent="0.35">
      <c r="A251" s="6"/>
      <c r="B251" s="11">
        <v>2</v>
      </c>
      <c r="C251" s="2">
        <v>24999</v>
      </c>
      <c r="D251" s="2">
        <v>11740558</v>
      </c>
      <c r="E251" s="2">
        <v>121651</v>
      </c>
      <c r="F251" s="2">
        <v>38.8093</v>
      </c>
      <c r="G251" s="2">
        <v>0.23860000000000001</v>
      </c>
      <c r="H251" s="2">
        <v>38.3414</v>
      </c>
      <c r="I251" s="2">
        <v>39.277200000000001</v>
      </c>
      <c r="J251" s="2"/>
      <c r="K251" s="2"/>
      <c r="L251" s="2"/>
      <c r="M251" s="2"/>
    </row>
    <row r="252" spans="1:15" ht="17.25" thickBot="1" x14ac:dyDescent="0.35">
      <c r="A252" s="6"/>
      <c r="B252" s="11">
        <v>3</v>
      </c>
      <c r="C252" s="2">
        <v>16728</v>
      </c>
      <c r="D252" s="2">
        <v>7772308</v>
      </c>
      <c r="E252" s="2">
        <v>85013</v>
      </c>
      <c r="F252" s="2">
        <v>25.6919</v>
      </c>
      <c r="G252" s="2">
        <v>0.2094</v>
      </c>
      <c r="H252" s="2">
        <v>25.281400000000001</v>
      </c>
      <c r="I252" s="2">
        <v>26.102499999999999</v>
      </c>
      <c r="J252" s="2"/>
      <c r="K252" s="2"/>
      <c r="L252" s="2"/>
      <c r="M252" s="2"/>
    </row>
    <row r="253" spans="1:15" x14ac:dyDescent="0.3">
      <c r="A253" s="6"/>
      <c r="B253" s="14" t="s">
        <v>153</v>
      </c>
      <c r="C253" s="2">
        <v>68635</v>
      </c>
      <c r="D253" s="2">
        <v>30251936</v>
      </c>
      <c r="E253" s="2">
        <v>228758</v>
      </c>
      <c r="F253" s="2">
        <v>100</v>
      </c>
      <c r="G253" s="2"/>
      <c r="H253" s="2"/>
      <c r="I253" s="2"/>
      <c r="J253" s="2"/>
      <c r="K253" s="2"/>
      <c r="L253" s="2"/>
      <c r="M253" s="2"/>
    </row>
    <row r="254" spans="1:15" ht="17.25" thickBot="1" x14ac:dyDescent="0.35"/>
    <row r="255" spans="1:15" ht="16.5" customHeight="1" x14ac:dyDescent="0.3">
      <c r="A255" s="16" t="s">
        <v>198</v>
      </c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</row>
    <row r="256" spans="1:15" ht="33" customHeight="1" x14ac:dyDescent="0.3">
      <c r="A256" s="17" t="s">
        <v>43</v>
      </c>
      <c r="B256" s="19" t="s">
        <v>15</v>
      </c>
      <c r="C256" s="19" t="s">
        <v>146</v>
      </c>
      <c r="D256" s="3" t="s">
        <v>147</v>
      </c>
      <c r="E256" s="3" t="s">
        <v>148</v>
      </c>
      <c r="F256" s="19" t="s">
        <v>150</v>
      </c>
      <c r="G256" s="3" t="s">
        <v>148</v>
      </c>
      <c r="H256" s="19" t="s">
        <v>151</v>
      </c>
      <c r="I256" s="19"/>
      <c r="J256" s="3" t="s">
        <v>170</v>
      </c>
      <c r="K256" s="3" t="s">
        <v>148</v>
      </c>
      <c r="L256" s="19" t="s">
        <v>151</v>
      </c>
      <c r="M256" s="19"/>
    </row>
    <row r="257" spans="1:18" ht="33" x14ac:dyDescent="0.3">
      <c r="A257" s="17"/>
      <c r="B257" s="19"/>
      <c r="C257" s="19"/>
      <c r="D257" s="3" t="s">
        <v>146</v>
      </c>
      <c r="E257" s="3" t="s">
        <v>149</v>
      </c>
      <c r="F257" s="19"/>
      <c r="G257" s="3" t="s">
        <v>150</v>
      </c>
      <c r="H257" s="19" t="s">
        <v>152</v>
      </c>
      <c r="I257" s="19"/>
      <c r="J257" s="3" t="s">
        <v>150</v>
      </c>
      <c r="K257" s="3" t="s">
        <v>171</v>
      </c>
      <c r="L257" s="19" t="s">
        <v>172</v>
      </c>
      <c r="M257" s="19"/>
    </row>
    <row r="258" spans="1:18" ht="17.25" thickBot="1" x14ac:dyDescent="0.35">
      <c r="A258" s="6">
        <v>1</v>
      </c>
      <c r="B258" s="11">
        <v>0</v>
      </c>
      <c r="C258" s="2">
        <v>13231</v>
      </c>
      <c r="D258" s="2">
        <v>6207357</v>
      </c>
      <c r="E258" s="2">
        <v>84529</v>
      </c>
      <c r="F258" s="2">
        <v>20.518899999999999</v>
      </c>
      <c r="G258" s="2">
        <v>0.21690000000000001</v>
      </c>
      <c r="H258" s="2">
        <v>20.093599999999999</v>
      </c>
      <c r="I258" s="2">
        <v>20.944199999999999</v>
      </c>
      <c r="J258" s="2">
        <v>82.9298</v>
      </c>
      <c r="K258" s="2">
        <v>0.38679999999999998</v>
      </c>
      <c r="L258" s="2">
        <v>82.171300000000002</v>
      </c>
      <c r="M258" s="2">
        <v>83.688199999999995</v>
      </c>
      <c r="O258" t="str">
        <f t="shared" ref="O258:O259" si="61">TEXT(J258,"0.00")&amp;" ("&amp;TEXT(L258,"0.00")&amp;" to "&amp;TEXT(M258,"0.00")&amp;")"</f>
        <v>82.93 (82.17 to 83.69)</v>
      </c>
      <c r="P258" t="str">
        <f>O261</f>
        <v>75.42 (74.63 to 76.22)</v>
      </c>
      <c r="Q258" t="str">
        <f>O264</f>
        <v>69.67 (68.81 to 70.53)</v>
      </c>
      <c r="R258" t="str">
        <f>O267</f>
        <v>63.17 (62.26 to 64.08)</v>
      </c>
    </row>
    <row r="259" spans="1:18" ht="17.25" thickBot="1" x14ac:dyDescent="0.35">
      <c r="A259" s="6"/>
      <c r="B259" s="11">
        <v>1</v>
      </c>
      <c r="C259" s="2">
        <v>2283</v>
      </c>
      <c r="D259" s="2">
        <v>1277719</v>
      </c>
      <c r="E259" s="2">
        <v>33617</v>
      </c>
      <c r="F259" s="2">
        <v>4.2236000000000002</v>
      </c>
      <c r="G259" s="2">
        <v>0.10539999999999999</v>
      </c>
      <c r="H259" s="2">
        <v>4.0168999999999997</v>
      </c>
      <c r="I259" s="2">
        <v>4.4302999999999999</v>
      </c>
      <c r="J259" s="2">
        <v>17.0702</v>
      </c>
      <c r="K259" s="2">
        <v>0.38679999999999998</v>
      </c>
      <c r="L259" s="2">
        <v>16.311800000000002</v>
      </c>
      <c r="M259" s="2">
        <v>17.828700000000001</v>
      </c>
      <c r="O259" t="str">
        <f t="shared" si="61"/>
        <v>17.07 (16.31 to 17.83)</v>
      </c>
      <c r="P259" t="str">
        <f>O262</f>
        <v>24.58 (23.78 to 25.37)</v>
      </c>
      <c r="Q259" t="str">
        <f>O265</f>
        <v>30.33 (29.47 to 31.19)</v>
      </c>
      <c r="R259" t="str">
        <f>O268</f>
        <v>36.83 (35.92 to 37.74)</v>
      </c>
    </row>
    <row r="260" spans="1:18" ht="17.25" thickBot="1" x14ac:dyDescent="0.35">
      <c r="A260" s="6"/>
      <c r="B260" s="11" t="s">
        <v>153</v>
      </c>
      <c r="C260" s="2">
        <v>15514</v>
      </c>
      <c r="D260" s="2">
        <v>7485076</v>
      </c>
      <c r="E260" s="2">
        <v>96512</v>
      </c>
      <c r="F260" s="2">
        <v>24.7425</v>
      </c>
      <c r="G260" s="2">
        <v>0.23899999999999999</v>
      </c>
      <c r="H260" s="2">
        <v>24.273700000000002</v>
      </c>
      <c r="I260" s="2">
        <v>25.211200000000002</v>
      </c>
      <c r="J260" s="2">
        <v>100</v>
      </c>
      <c r="K260" s="2"/>
      <c r="L260" s="2"/>
      <c r="M260" s="2"/>
    </row>
    <row r="261" spans="1:18" ht="17.25" thickBot="1" x14ac:dyDescent="0.35">
      <c r="A261" s="6">
        <v>2</v>
      </c>
      <c r="B261" s="11">
        <v>0</v>
      </c>
      <c r="C261" s="2">
        <v>13703</v>
      </c>
      <c r="D261" s="2">
        <v>6019307</v>
      </c>
      <c r="E261" s="2">
        <v>75650</v>
      </c>
      <c r="F261" s="2">
        <v>19.897300000000001</v>
      </c>
      <c r="G261" s="2">
        <v>0.18509999999999999</v>
      </c>
      <c r="H261" s="2">
        <v>19.534199999999998</v>
      </c>
      <c r="I261" s="2">
        <v>20.260300000000001</v>
      </c>
      <c r="J261" s="2">
        <v>75.424899999999994</v>
      </c>
      <c r="K261" s="2">
        <v>0.40689999999999998</v>
      </c>
      <c r="L261" s="2">
        <v>74.626999999999995</v>
      </c>
      <c r="M261" s="2">
        <v>76.222800000000007</v>
      </c>
      <c r="O261" t="str">
        <f t="shared" ref="O261:O262" si="62">TEXT(J261,"0.00")&amp;" ("&amp;TEXT(L261,"0.00")&amp;" to "&amp;TEXT(M261,"0.00")&amp;")"</f>
        <v>75.42 (74.63 to 76.22)</v>
      </c>
    </row>
    <row r="262" spans="1:18" ht="17.25" thickBot="1" x14ac:dyDescent="0.35">
      <c r="A262" s="6"/>
      <c r="B262" s="11">
        <v>1</v>
      </c>
      <c r="C262" s="2">
        <v>3768</v>
      </c>
      <c r="D262" s="2">
        <v>1961224</v>
      </c>
      <c r="E262" s="2">
        <v>38846</v>
      </c>
      <c r="F262" s="2">
        <v>6.4829999999999997</v>
      </c>
      <c r="G262" s="2">
        <v>0.1206</v>
      </c>
      <c r="H262" s="2">
        <v>6.2465000000000002</v>
      </c>
      <c r="I262" s="2">
        <v>6.7194000000000003</v>
      </c>
      <c r="J262" s="2">
        <v>24.575099999999999</v>
      </c>
      <c r="K262" s="2">
        <v>0.40689999999999998</v>
      </c>
      <c r="L262" s="2">
        <v>23.777200000000001</v>
      </c>
      <c r="M262" s="2">
        <v>25.373000000000001</v>
      </c>
      <c r="O262" t="str">
        <f t="shared" si="62"/>
        <v>24.58 (23.78 to 25.37)</v>
      </c>
    </row>
    <row r="263" spans="1:18" ht="17.25" thickBot="1" x14ac:dyDescent="0.35">
      <c r="A263" s="6"/>
      <c r="B263" s="11" t="s">
        <v>153</v>
      </c>
      <c r="C263" s="2">
        <v>17471</v>
      </c>
      <c r="D263" s="2">
        <v>7980531</v>
      </c>
      <c r="E263" s="2">
        <v>89661</v>
      </c>
      <c r="F263" s="2">
        <v>26.380199999999999</v>
      </c>
      <c r="G263" s="2">
        <v>0.20599999999999999</v>
      </c>
      <c r="H263" s="2">
        <v>25.976199999999999</v>
      </c>
      <c r="I263" s="2">
        <v>26.784199999999998</v>
      </c>
      <c r="J263" s="2">
        <v>100</v>
      </c>
      <c r="K263" s="2"/>
      <c r="L263" s="2"/>
      <c r="M263" s="2"/>
    </row>
    <row r="264" spans="1:18" ht="17.25" thickBot="1" x14ac:dyDescent="0.35">
      <c r="A264" s="6">
        <v>3</v>
      </c>
      <c r="B264" s="11">
        <v>0</v>
      </c>
      <c r="C264" s="2">
        <v>13255</v>
      </c>
      <c r="D264" s="2">
        <v>5372429</v>
      </c>
      <c r="E264" s="2">
        <v>67505</v>
      </c>
      <c r="F264" s="2">
        <v>17.759</v>
      </c>
      <c r="G264" s="2">
        <v>0.1812</v>
      </c>
      <c r="H264" s="2">
        <v>17.403600000000001</v>
      </c>
      <c r="I264" s="2">
        <v>18.1143</v>
      </c>
      <c r="J264" s="2">
        <v>69.670100000000005</v>
      </c>
      <c r="K264" s="2">
        <v>0.43769999999999998</v>
      </c>
      <c r="L264" s="2">
        <v>68.811899999999994</v>
      </c>
      <c r="M264" s="2">
        <v>70.528400000000005</v>
      </c>
      <c r="O264" t="str">
        <f t="shared" ref="O264:O265" si="63">TEXT(J264,"0.00")&amp;" ("&amp;TEXT(L264,"0.00")&amp;" to "&amp;TEXT(M264,"0.00")&amp;")"</f>
        <v>69.67 (68.81 to 70.53)</v>
      </c>
    </row>
    <row r="265" spans="1:18" ht="17.25" thickBot="1" x14ac:dyDescent="0.35">
      <c r="A265" s="6"/>
      <c r="B265" s="11">
        <v>1</v>
      </c>
      <c r="C265" s="2">
        <v>4733</v>
      </c>
      <c r="D265" s="2">
        <v>2338806</v>
      </c>
      <c r="E265" s="2">
        <v>42589</v>
      </c>
      <c r="F265" s="2">
        <v>7.7310999999999996</v>
      </c>
      <c r="G265" s="2">
        <v>0.12839999999999999</v>
      </c>
      <c r="H265" s="2">
        <v>7.4793000000000003</v>
      </c>
      <c r="I265" s="2">
        <v>7.9828000000000001</v>
      </c>
      <c r="J265" s="2">
        <v>30.329899999999999</v>
      </c>
      <c r="K265" s="2">
        <v>0.43769999999999998</v>
      </c>
      <c r="L265" s="2">
        <v>29.471599999999999</v>
      </c>
      <c r="M265" s="2">
        <v>31.188099999999999</v>
      </c>
      <c r="O265" t="str">
        <f t="shared" si="63"/>
        <v>30.33 (29.47 to 31.19)</v>
      </c>
    </row>
    <row r="266" spans="1:18" ht="17.25" thickBot="1" x14ac:dyDescent="0.35">
      <c r="A266" s="6"/>
      <c r="B266" s="11" t="s">
        <v>153</v>
      </c>
      <c r="C266" s="2">
        <v>17988</v>
      </c>
      <c r="D266" s="2">
        <v>7711235</v>
      </c>
      <c r="E266" s="2">
        <v>84434</v>
      </c>
      <c r="F266" s="2">
        <v>25.490100000000002</v>
      </c>
      <c r="G266" s="2">
        <v>0.20630000000000001</v>
      </c>
      <c r="H266" s="2">
        <v>25.0855</v>
      </c>
      <c r="I266" s="2">
        <v>25.894600000000001</v>
      </c>
      <c r="J266" s="2">
        <v>100</v>
      </c>
      <c r="K266" s="2"/>
      <c r="L266" s="2"/>
      <c r="M266" s="2"/>
    </row>
    <row r="267" spans="1:18" ht="17.25" thickBot="1" x14ac:dyDescent="0.35">
      <c r="A267" s="6">
        <v>4</v>
      </c>
      <c r="B267" s="11">
        <v>0</v>
      </c>
      <c r="C267" s="2">
        <v>11875</v>
      </c>
      <c r="D267" s="2">
        <v>4469070</v>
      </c>
      <c r="E267" s="2">
        <v>59094</v>
      </c>
      <c r="F267" s="2">
        <v>14.7728</v>
      </c>
      <c r="G267" s="2">
        <v>0.17699999999999999</v>
      </c>
      <c r="H267" s="2">
        <v>14.425700000000001</v>
      </c>
      <c r="I267" s="2">
        <v>15.119899999999999</v>
      </c>
      <c r="J267" s="2">
        <v>63.166200000000003</v>
      </c>
      <c r="K267" s="2">
        <v>0.46410000000000001</v>
      </c>
      <c r="L267" s="2">
        <v>62.256100000000004</v>
      </c>
      <c r="M267" s="2">
        <v>64.076300000000003</v>
      </c>
      <c r="O267" t="str">
        <f t="shared" ref="O267:O268" si="64">TEXT(J267,"0.00")&amp;" ("&amp;TEXT(L267,"0.00")&amp;" to "&amp;TEXT(M267,"0.00")&amp;")"</f>
        <v>63.17 (62.26 to 64.08)</v>
      </c>
    </row>
    <row r="268" spans="1:18" ht="17.25" thickBot="1" x14ac:dyDescent="0.35">
      <c r="A268" s="6"/>
      <c r="B268" s="11">
        <v>1</v>
      </c>
      <c r="C268" s="2">
        <v>5787</v>
      </c>
      <c r="D268" s="2">
        <v>2606024</v>
      </c>
      <c r="E268" s="2">
        <v>44193</v>
      </c>
      <c r="F268" s="2">
        <v>8.6143999999999998</v>
      </c>
      <c r="G268" s="2">
        <v>0.13550000000000001</v>
      </c>
      <c r="H268" s="2">
        <v>8.3486999999999991</v>
      </c>
      <c r="I268" s="2">
        <v>8.8801000000000005</v>
      </c>
      <c r="J268" s="2">
        <v>36.833799999999997</v>
      </c>
      <c r="K268" s="2">
        <v>0.46410000000000001</v>
      </c>
      <c r="L268" s="2">
        <v>35.923699999999997</v>
      </c>
      <c r="M268" s="2">
        <v>37.743899999999996</v>
      </c>
      <c r="O268" t="str">
        <f t="shared" si="64"/>
        <v>36.83 (35.92 to 37.74)</v>
      </c>
    </row>
    <row r="269" spans="1:18" ht="17.25" thickBot="1" x14ac:dyDescent="0.35">
      <c r="A269" s="6"/>
      <c r="B269" s="11" t="s">
        <v>153</v>
      </c>
      <c r="C269" s="2">
        <v>17662</v>
      </c>
      <c r="D269" s="2">
        <v>7075094</v>
      </c>
      <c r="E269" s="2">
        <v>78713</v>
      </c>
      <c r="F269" s="2">
        <v>23.3872</v>
      </c>
      <c r="G269" s="2">
        <v>0.221</v>
      </c>
      <c r="H269" s="2">
        <v>22.954000000000001</v>
      </c>
      <c r="I269" s="2">
        <v>23.820499999999999</v>
      </c>
      <c r="J269" s="2">
        <v>100</v>
      </c>
      <c r="K269" s="2"/>
      <c r="L269" s="2"/>
      <c r="M269" s="2"/>
    </row>
    <row r="270" spans="1:18" ht="17.25" thickBot="1" x14ac:dyDescent="0.35">
      <c r="A270" s="6" t="s">
        <v>153</v>
      </c>
      <c r="B270" s="11">
        <v>0</v>
      </c>
      <c r="C270" s="2">
        <v>52064</v>
      </c>
      <c r="D270" s="2">
        <v>22068163</v>
      </c>
      <c r="E270" s="2">
        <v>184428</v>
      </c>
      <c r="F270" s="2">
        <v>72.947900000000004</v>
      </c>
      <c r="G270" s="2">
        <v>0.23330000000000001</v>
      </c>
      <c r="H270" s="2">
        <v>72.490499999999997</v>
      </c>
      <c r="I270" s="2">
        <v>73.405299999999997</v>
      </c>
      <c r="J270" s="2"/>
      <c r="K270" s="2"/>
      <c r="L270" s="2"/>
      <c r="M270" s="2"/>
    </row>
    <row r="271" spans="1:18" ht="17.25" thickBot="1" x14ac:dyDescent="0.35">
      <c r="A271" s="6"/>
      <c r="B271" s="11">
        <v>1</v>
      </c>
      <c r="C271" s="2">
        <v>16571</v>
      </c>
      <c r="D271" s="2">
        <v>8183773</v>
      </c>
      <c r="E271" s="2">
        <v>91483</v>
      </c>
      <c r="F271" s="2">
        <v>27.052099999999999</v>
      </c>
      <c r="G271" s="2">
        <v>0.23330000000000001</v>
      </c>
      <c r="H271" s="2">
        <v>26.5947</v>
      </c>
      <c r="I271" s="2">
        <v>27.509499999999999</v>
      </c>
      <c r="J271" s="2"/>
      <c r="K271" s="2"/>
      <c r="L271" s="2"/>
      <c r="M271" s="2"/>
    </row>
    <row r="272" spans="1:18" x14ac:dyDescent="0.3">
      <c r="A272" s="6"/>
      <c r="B272" s="14" t="s">
        <v>153</v>
      </c>
      <c r="C272" s="2">
        <v>68635</v>
      </c>
      <c r="D272" s="2">
        <v>30251936</v>
      </c>
      <c r="E272" s="2">
        <v>228758</v>
      </c>
      <c r="F272" s="2">
        <v>100</v>
      </c>
      <c r="G272" s="2"/>
      <c r="H272" s="2"/>
      <c r="I272" s="2"/>
      <c r="J272" s="2"/>
      <c r="K272" s="2"/>
      <c r="L272" s="2"/>
      <c r="M272" s="2"/>
    </row>
    <row r="273" spans="1:18" ht="17.25" thickBot="1" x14ac:dyDescent="0.35"/>
    <row r="274" spans="1:18" ht="16.5" customHeight="1" x14ac:dyDescent="0.3">
      <c r="A274" s="16" t="s">
        <v>199</v>
      </c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</row>
    <row r="275" spans="1:18" ht="33" customHeight="1" x14ac:dyDescent="0.3">
      <c r="A275" s="17" t="s">
        <v>43</v>
      </c>
      <c r="B275" s="19" t="s">
        <v>16</v>
      </c>
      <c r="C275" s="19" t="s">
        <v>146</v>
      </c>
      <c r="D275" s="3" t="s">
        <v>147</v>
      </c>
      <c r="E275" s="3" t="s">
        <v>148</v>
      </c>
      <c r="F275" s="19" t="s">
        <v>150</v>
      </c>
      <c r="G275" s="3" t="s">
        <v>148</v>
      </c>
      <c r="H275" s="19" t="s">
        <v>151</v>
      </c>
      <c r="I275" s="19"/>
      <c r="J275" s="3" t="s">
        <v>170</v>
      </c>
      <c r="K275" s="3" t="s">
        <v>148</v>
      </c>
      <c r="L275" s="19" t="s">
        <v>151</v>
      </c>
      <c r="M275" s="19"/>
    </row>
    <row r="276" spans="1:18" ht="33" x14ac:dyDescent="0.3">
      <c r="A276" s="17"/>
      <c r="B276" s="19"/>
      <c r="C276" s="19"/>
      <c r="D276" s="3" t="s">
        <v>146</v>
      </c>
      <c r="E276" s="3" t="s">
        <v>149</v>
      </c>
      <c r="F276" s="19"/>
      <c r="G276" s="3" t="s">
        <v>150</v>
      </c>
      <c r="H276" s="19" t="s">
        <v>152</v>
      </c>
      <c r="I276" s="19"/>
      <c r="J276" s="3" t="s">
        <v>150</v>
      </c>
      <c r="K276" s="3" t="s">
        <v>171</v>
      </c>
      <c r="L276" s="19" t="s">
        <v>172</v>
      </c>
      <c r="M276" s="19"/>
    </row>
    <row r="277" spans="1:18" ht="17.25" thickBot="1" x14ac:dyDescent="0.35">
      <c r="A277" s="6">
        <v>1</v>
      </c>
      <c r="B277" s="11">
        <v>0</v>
      </c>
      <c r="C277" s="2">
        <v>14712</v>
      </c>
      <c r="D277" s="2">
        <v>7186193</v>
      </c>
      <c r="E277" s="2">
        <v>94537</v>
      </c>
      <c r="F277" s="2">
        <v>23.7545</v>
      </c>
      <c r="G277" s="2">
        <v>0.23599999999999999</v>
      </c>
      <c r="H277" s="2">
        <v>23.291799999999999</v>
      </c>
      <c r="I277" s="2">
        <v>24.217199999999998</v>
      </c>
      <c r="J277" s="2">
        <v>96.007000000000005</v>
      </c>
      <c r="K277" s="2">
        <v>0.1706</v>
      </c>
      <c r="L277" s="2">
        <v>95.672499999999999</v>
      </c>
      <c r="M277" s="2">
        <v>96.341399999999993</v>
      </c>
      <c r="O277" t="str">
        <f t="shared" ref="O277:O278" si="65">TEXT(J277,"0.00")&amp;" ("&amp;TEXT(L277,"0.00")&amp;" to "&amp;TEXT(M277,"0.00")&amp;")"</f>
        <v>96.01 (95.67 to 96.34)</v>
      </c>
      <c r="P277" t="str">
        <f>O280</f>
        <v>88.81 (88.29 to 89.34)</v>
      </c>
      <c r="Q277" t="str">
        <f>O283</f>
        <v>79.28 (78.56 to 79.99)</v>
      </c>
      <c r="R277" t="str">
        <f>O286</f>
        <v>66.90 (66.04 to 67.76)</v>
      </c>
    </row>
    <row r="278" spans="1:18" ht="17.25" thickBot="1" x14ac:dyDescent="0.35">
      <c r="A278" s="6"/>
      <c r="B278" s="11">
        <v>1</v>
      </c>
      <c r="C278" s="2">
        <v>802</v>
      </c>
      <c r="D278" s="2">
        <v>298883</v>
      </c>
      <c r="E278" s="2">
        <v>13039</v>
      </c>
      <c r="F278" s="2">
        <v>0.98799999999999999</v>
      </c>
      <c r="G278" s="2">
        <v>4.2700000000000002E-2</v>
      </c>
      <c r="H278" s="2">
        <v>0.90429999999999999</v>
      </c>
      <c r="I278" s="2">
        <v>1.0717000000000001</v>
      </c>
      <c r="J278" s="2">
        <v>3.9929999999999999</v>
      </c>
      <c r="K278" s="2">
        <v>0.1706</v>
      </c>
      <c r="L278" s="2">
        <v>3.6585999999999999</v>
      </c>
      <c r="M278" s="2">
        <v>4.3274999999999997</v>
      </c>
      <c r="O278" t="str">
        <f t="shared" si="65"/>
        <v>3.99 (3.66 to 4.33)</v>
      </c>
      <c r="P278" t="str">
        <f>O281</f>
        <v>11.19 (10.66 to 11.71)</v>
      </c>
      <c r="Q278" t="str">
        <f>O284</f>
        <v>20.72 (20.01 to 21.44)</v>
      </c>
      <c r="R278" t="str">
        <f>O287</f>
        <v>33.10 (32.24 to 33.96)</v>
      </c>
    </row>
    <row r="279" spans="1:18" ht="17.25" thickBot="1" x14ac:dyDescent="0.35">
      <c r="A279" s="6"/>
      <c r="B279" s="11" t="s">
        <v>153</v>
      </c>
      <c r="C279" s="2">
        <v>15514</v>
      </c>
      <c r="D279" s="2">
        <v>7485076</v>
      </c>
      <c r="E279" s="2">
        <v>96512</v>
      </c>
      <c r="F279" s="2">
        <v>24.7425</v>
      </c>
      <c r="G279" s="2">
        <v>0.23899999999999999</v>
      </c>
      <c r="H279" s="2">
        <v>24.273700000000002</v>
      </c>
      <c r="I279" s="2">
        <v>25.211200000000002</v>
      </c>
      <c r="J279" s="2">
        <v>100</v>
      </c>
      <c r="K279" s="2"/>
      <c r="L279" s="2"/>
      <c r="M279" s="2"/>
    </row>
    <row r="280" spans="1:18" ht="17.25" thickBot="1" x14ac:dyDescent="0.35">
      <c r="A280" s="6">
        <v>2</v>
      </c>
      <c r="B280" s="11">
        <v>0</v>
      </c>
      <c r="C280" s="2">
        <v>14937</v>
      </c>
      <c r="D280" s="2">
        <v>7087902</v>
      </c>
      <c r="E280" s="2">
        <v>84841</v>
      </c>
      <c r="F280" s="2">
        <v>23.429600000000001</v>
      </c>
      <c r="G280" s="2">
        <v>0.2019</v>
      </c>
      <c r="H280" s="2">
        <v>23.0337</v>
      </c>
      <c r="I280" s="2">
        <v>23.825399999999998</v>
      </c>
      <c r="J280" s="2">
        <v>88.814899999999994</v>
      </c>
      <c r="K280" s="2">
        <v>0.26840000000000003</v>
      </c>
      <c r="L280" s="2">
        <v>88.288499999999999</v>
      </c>
      <c r="M280" s="2">
        <v>89.341300000000004</v>
      </c>
      <c r="O280" t="str">
        <f t="shared" ref="O280:O281" si="66">TEXT(J280,"0.00")&amp;" ("&amp;TEXT(L280,"0.00")&amp;" to "&amp;TEXT(M280,"0.00")&amp;")"</f>
        <v>88.81 (88.29 to 89.34)</v>
      </c>
    </row>
    <row r="281" spans="1:18" ht="17.25" thickBot="1" x14ac:dyDescent="0.35">
      <c r="A281" s="6"/>
      <c r="B281" s="11">
        <v>1</v>
      </c>
      <c r="C281" s="2">
        <v>2534</v>
      </c>
      <c r="D281" s="2">
        <v>892629</v>
      </c>
      <c r="E281" s="2">
        <v>22571</v>
      </c>
      <c r="F281" s="2">
        <v>2.9506999999999999</v>
      </c>
      <c r="G281" s="2">
        <v>7.2499999999999995E-2</v>
      </c>
      <c r="H281" s="2">
        <v>2.8083999999999998</v>
      </c>
      <c r="I281" s="2">
        <v>3.0929000000000002</v>
      </c>
      <c r="J281" s="2">
        <v>11.1851</v>
      </c>
      <c r="K281" s="2">
        <v>0.26840000000000003</v>
      </c>
      <c r="L281" s="2">
        <v>10.6587</v>
      </c>
      <c r="M281" s="2">
        <v>11.711499999999999</v>
      </c>
      <c r="O281" t="str">
        <f t="shared" si="66"/>
        <v>11.19 (10.66 to 11.71)</v>
      </c>
    </row>
    <row r="282" spans="1:18" ht="17.25" thickBot="1" x14ac:dyDescent="0.35">
      <c r="A282" s="6"/>
      <c r="B282" s="11" t="s">
        <v>153</v>
      </c>
      <c r="C282" s="2">
        <v>17471</v>
      </c>
      <c r="D282" s="2">
        <v>7980531</v>
      </c>
      <c r="E282" s="2">
        <v>89661</v>
      </c>
      <c r="F282" s="2">
        <v>26.380199999999999</v>
      </c>
      <c r="G282" s="2">
        <v>0.20599999999999999</v>
      </c>
      <c r="H282" s="2">
        <v>25.976199999999999</v>
      </c>
      <c r="I282" s="2">
        <v>26.784199999999998</v>
      </c>
      <c r="J282" s="2">
        <v>100</v>
      </c>
      <c r="K282" s="2"/>
      <c r="L282" s="2"/>
      <c r="M282" s="2"/>
    </row>
    <row r="283" spans="1:18" ht="17.25" thickBot="1" x14ac:dyDescent="0.35">
      <c r="A283" s="6">
        <v>3</v>
      </c>
      <c r="B283" s="11">
        <v>0</v>
      </c>
      <c r="C283" s="2">
        <v>13403</v>
      </c>
      <c r="D283" s="2">
        <v>6113166</v>
      </c>
      <c r="E283" s="2">
        <v>75910</v>
      </c>
      <c r="F283" s="2">
        <v>20.2075</v>
      </c>
      <c r="G283" s="2">
        <v>0.19220000000000001</v>
      </c>
      <c r="H283" s="2">
        <v>19.8306</v>
      </c>
      <c r="I283" s="2">
        <v>20.584499999999998</v>
      </c>
      <c r="J283" s="2">
        <v>79.2761</v>
      </c>
      <c r="K283" s="2">
        <v>0.36380000000000001</v>
      </c>
      <c r="L283" s="2">
        <v>78.562799999999996</v>
      </c>
      <c r="M283" s="2">
        <v>79.989400000000003</v>
      </c>
      <c r="O283" t="str">
        <f t="shared" ref="O283:O284" si="67">TEXT(J283,"0.00")&amp;" ("&amp;TEXT(L283,"0.00")&amp;" to "&amp;TEXT(M283,"0.00")&amp;")"</f>
        <v>79.28 (78.56 to 79.99)</v>
      </c>
    </row>
    <row r="284" spans="1:18" ht="17.25" thickBot="1" x14ac:dyDescent="0.35">
      <c r="A284" s="6"/>
      <c r="B284" s="11">
        <v>1</v>
      </c>
      <c r="C284" s="2">
        <v>4585</v>
      </c>
      <c r="D284" s="2">
        <v>1598069</v>
      </c>
      <c r="E284" s="2">
        <v>31045</v>
      </c>
      <c r="F284" s="2">
        <v>5.2824999999999998</v>
      </c>
      <c r="G284" s="2">
        <v>0.1</v>
      </c>
      <c r="H284" s="2">
        <v>5.0864000000000003</v>
      </c>
      <c r="I284" s="2">
        <v>5.4786999999999999</v>
      </c>
      <c r="J284" s="2">
        <v>20.7239</v>
      </c>
      <c r="K284" s="2">
        <v>0.36380000000000001</v>
      </c>
      <c r="L284" s="2">
        <v>20.0106</v>
      </c>
      <c r="M284" s="2">
        <v>21.437200000000001</v>
      </c>
      <c r="O284" t="str">
        <f t="shared" si="67"/>
        <v>20.72 (20.01 to 21.44)</v>
      </c>
    </row>
    <row r="285" spans="1:18" ht="17.25" thickBot="1" x14ac:dyDescent="0.35">
      <c r="A285" s="6"/>
      <c r="B285" s="11" t="s">
        <v>153</v>
      </c>
      <c r="C285" s="2">
        <v>17988</v>
      </c>
      <c r="D285" s="2">
        <v>7711235</v>
      </c>
      <c r="E285" s="2">
        <v>84434</v>
      </c>
      <c r="F285" s="2">
        <v>25.490100000000002</v>
      </c>
      <c r="G285" s="2">
        <v>0.20630000000000001</v>
      </c>
      <c r="H285" s="2">
        <v>25.0855</v>
      </c>
      <c r="I285" s="2">
        <v>25.894600000000001</v>
      </c>
      <c r="J285" s="2">
        <v>100</v>
      </c>
      <c r="K285" s="2"/>
      <c r="L285" s="2"/>
      <c r="M285" s="2"/>
    </row>
    <row r="286" spans="1:18" ht="17.25" thickBot="1" x14ac:dyDescent="0.35">
      <c r="A286" s="6">
        <v>4</v>
      </c>
      <c r="B286" s="11">
        <v>0</v>
      </c>
      <c r="C286" s="2">
        <v>10858</v>
      </c>
      <c r="D286" s="2">
        <v>4733487</v>
      </c>
      <c r="E286" s="2">
        <v>62080</v>
      </c>
      <c r="F286" s="2">
        <v>15.6469</v>
      </c>
      <c r="G286" s="2">
        <v>0.17649999999999999</v>
      </c>
      <c r="H286" s="2">
        <v>15.3009</v>
      </c>
      <c r="I286" s="2">
        <v>15.992900000000001</v>
      </c>
      <c r="J286" s="2">
        <v>66.903499999999994</v>
      </c>
      <c r="K286" s="2">
        <v>0.43790000000000001</v>
      </c>
      <c r="L286" s="2">
        <v>66.044899999999998</v>
      </c>
      <c r="M286" s="2">
        <v>67.762100000000004</v>
      </c>
      <c r="O286" t="str">
        <f t="shared" ref="O286:O287" si="68">TEXT(J286,"0.00")&amp;" ("&amp;TEXT(L286,"0.00")&amp;" to "&amp;TEXT(M286,"0.00")&amp;")"</f>
        <v>66.90 (66.04 to 67.76)</v>
      </c>
    </row>
    <row r="287" spans="1:18" ht="17.25" thickBot="1" x14ac:dyDescent="0.35">
      <c r="A287" s="6"/>
      <c r="B287" s="11">
        <v>1</v>
      </c>
      <c r="C287" s="2">
        <v>6804</v>
      </c>
      <c r="D287" s="2">
        <v>2341607</v>
      </c>
      <c r="E287" s="2">
        <v>39734</v>
      </c>
      <c r="F287" s="2">
        <v>7.7404000000000002</v>
      </c>
      <c r="G287" s="2">
        <v>0.12820000000000001</v>
      </c>
      <c r="H287" s="2">
        <v>7.4889999999999999</v>
      </c>
      <c r="I287" s="2">
        <v>7.9916999999999998</v>
      </c>
      <c r="J287" s="2">
        <v>33.096499999999999</v>
      </c>
      <c r="K287" s="2">
        <v>0.43790000000000001</v>
      </c>
      <c r="L287" s="2">
        <v>32.237900000000003</v>
      </c>
      <c r="M287" s="2">
        <v>33.955100000000002</v>
      </c>
      <c r="O287" t="str">
        <f t="shared" si="68"/>
        <v>33.10 (32.24 to 33.96)</v>
      </c>
    </row>
    <row r="288" spans="1:18" ht="17.25" thickBot="1" x14ac:dyDescent="0.35">
      <c r="A288" s="6"/>
      <c r="B288" s="11" t="s">
        <v>153</v>
      </c>
      <c r="C288" s="2">
        <v>17662</v>
      </c>
      <c r="D288" s="2">
        <v>7075094</v>
      </c>
      <c r="E288" s="2">
        <v>78713</v>
      </c>
      <c r="F288" s="2">
        <v>23.3872</v>
      </c>
      <c r="G288" s="2">
        <v>0.221</v>
      </c>
      <c r="H288" s="2">
        <v>22.954000000000001</v>
      </c>
      <c r="I288" s="2">
        <v>23.820499999999999</v>
      </c>
      <c r="J288" s="2">
        <v>100</v>
      </c>
      <c r="K288" s="2"/>
      <c r="L288" s="2"/>
      <c r="M288" s="2"/>
    </row>
    <row r="289" spans="1:18" ht="17.25" thickBot="1" x14ac:dyDescent="0.35">
      <c r="A289" s="6" t="s">
        <v>153</v>
      </c>
      <c r="B289" s="11">
        <v>0</v>
      </c>
      <c r="C289" s="2">
        <v>53910</v>
      </c>
      <c r="D289" s="2">
        <v>25120748</v>
      </c>
      <c r="E289" s="2">
        <v>210229</v>
      </c>
      <c r="F289" s="2">
        <v>83.038499999999999</v>
      </c>
      <c r="G289" s="2">
        <v>0.19189999999999999</v>
      </c>
      <c r="H289" s="2">
        <v>82.662300000000002</v>
      </c>
      <c r="I289" s="2">
        <v>83.414699999999996</v>
      </c>
      <c r="J289" s="2"/>
      <c r="K289" s="2"/>
      <c r="L289" s="2"/>
      <c r="M289" s="2"/>
    </row>
    <row r="290" spans="1:18" ht="17.25" thickBot="1" x14ac:dyDescent="0.35">
      <c r="A290" s="6"/>
      <c r="B290" s="11">
        <v>1</v>
      </c>
      <c r="C290" s="2">
        <v>14725</v>
      </c>
      <c r="D290" s="2">
        <v>5131188</v>
      </c>
      <c r="E290" s="2">
        <v>62498</v>
      </c>
      <c r="F290" s="2">
        <v>16.961500000000001</v>
      </c>
      <c r="G290" s="2">
        <v>0.19189999999999999</v>
      </c>
      <c r="H290" s="2">
        <v>16.5853</v>
      </c>
      <c r="I290" s="2">
        <v>17.337700000000002</v>
      </c>
      <c r="J290" s="2"/>
      <c r="K290" s="2"/>
      <c r="L290" s="2"/>
      <c r="M290" s="2"/>
    </row>
    <row r="291" spans="1:18" x14ac:dyDescent="0.3">
      <c r="A291" s="6"/>
      <c r="B291" s="14" t="s">
        <v>153</v>
      </c>
      <c r="C291" s="2">
        <v>68635</v>
      </c>
      <c r="D291" s="2">
        <v>30251936</v>
      </c>
      <c r="E291" s="2">
        <v>228758</v>
      </c>
      <c r="F291" s="2">
        <v>100</v>
      </c>
      <c r="G291" s="2"/>
      <c r="H291" s="2"/>
      <c r="I291" s="2"/>
      <c r="J291" s="2"/>
      <c r="K291" s="2"/>
      <c r="L291" s="2"/>
      <c r="M291" s="2"/>
    </row>
    <row r="292" spans="1:18" ht="17.25" thickBot="1" x14ac:dyDescent="0.35"/>
    <row r="293" spans="1:18" ht="16.5" customHeight="1" x14ac:dyDescent="0.3">
      <c r="A293" s="16" t="s">
        <v>200</v>
      </c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</row>
    <row r="294" spans="1:18" ht="33" customHeight="1" x14ac:dyDescent="0.3">
      <c r="A294" s="17" t="s">
        <v>43</v>
      </c>
      <c r="B294" s="19" t="s">
        <v>17</v>
      </c>
      <c r="C294" s="19" t="s">
        <v>146</v>
      </c>
      <c r="D294" s="3" t="s">
        <v>147</v>
      </c>
      <c r="E294" s="3" t="s">
        <v>148</v>
      </c>
      <c r="F294" s="19" t="s">
        <v>150</v>
      </c>
      <c r="G294" s="3" t="s">
        <v>148</v>
      </c>
      <c r="H294" s="19" t="s">
        <v>151</v>
      </c>
      <c r="I294" s="19"/>
      <c r="J294" s="3" t="s">
        <v>170</v>
      </c>
      <c r="K294" s="3" t="s">
        <v>148</v>
      </c>
      <c r="L294" s="19" t="s">
        <v>151</v>
      </c>
      <c r="M294" s="19"/>
    </row>
    <row r="295" spans="1:18" ht="33" x14ac:dyDescent="0.3">
      <c r="A295" s="17"/>
      <c r="B295" s="19"/>
      <c r="C295" s="19"/>
      <c r="D295" s="3" t="s">
        <v>146</v>
      </c>
      <c r="E295" s="3" t="s">
        <v>149</v>
      </c>
      <c r="F295" s="19"/>
      <c r="G295" s="3" t="s">
        <v>150</v>
      </c>
      <c r="H295" s="19" t="s">
        <v>152</v>
      </c>
      <c r="I295" s="19"/>
      <c r="J295" s="3" t="s">
        <v>150</v>
      </c>
      <c r="K295" s="3" t="s">
        <v>171</v>
      </c>
      <c r="L295" s="19" t="s">
        <v>172</v>
      </c>
      <c r="M295" s="19"/>
    </row>
    <row r="296" spans="1:18" ht="17.25" thickBot="1" x14ac:dyDescent="0.35">
      <c r="A296" s="6">
        <v>1</v>
      </c>
      <c r="B296" s="11">
        <v>0</v>
      </c>
      <c r="C296" s="2">
        <v>14917</v>
      </c>
      <c r="D296" s="2">
        <v>7255013</v>
      </c>
      <c r="E296" s="2">
        <v>94039</v>
      </c>
      <c r="F296" s="2">
        <v>23.981999999999999</v>
      </c>
      <c r="G296" s="2">
        <v>0.23300000000000001</v>
      </c>
      <c r="H296" s="2">
        <v>23.524999999999999</v>
      </c>
      <c r="I296" s="2">
        <v>24.4389</v>
      </c>
      <c r="J296" s="2">
        <v>96.926400000000001</v>
      </c>
      <c r="K296" s="2">
        <v>0.1439</v>
      </c>
      <c r="L296" s="2">
        <v>96.644199999999998</v>
      </c>
      <c r="M296" s="2">
        <v>97.208600000000004</v>
      </c>
      <c r="O296" t="str">
        <f t="shared" ref="O296:O297" si="69">TEXT(J296,"0.00")&amp;" ("&amp;TEXT(L296,"0.00")&amp;" to "&amp;TEXT(M296,"0.00")&amp;")"</f>
        <v>96.93 (96.64 to 97.21)</v>
      </c>
      <c r="P296" t="str">
        <f>O299</f>
        <v>91.26 (90.80 to 91.71)</v>
      </c>
      <c r="Q296" t="str">
        <f>O302</f>
        <v>84.44 (83.82 to 85.05)</v>
      </c>
      <c r="R296" t="str">
        <f>O305</f>
        <v>76.44 (75.67 to 77.20)</v>
      </c>
    </row>
    <row r="297" spans="1:18" ht="17.25" thickBot="1" x14ac:dyDescent="0.35">
      <c r="A297" s="6"/>
      <c r="B297" s="11">
        <v>1</v>
      </c>
      <c r="C297" s="2">
        <v>597</v>
      </c>
      <c r="D297" s="2">
        <v>230062</v>
      </c>
      <c r="E297" s="2">
        <v>11206</v>
      </c>
      <c r="F297" s="2">
        <v>0.76049999999999995</v>
      </c>
      <c r="G297" s="2">
        <v>3.6600000000000001E-2</v>
      </c>
      <c r="H297" s="2">
        <v>0.68859999999999999</v>
      </c>
      <c r="I297" s="2">
        <v>0.83230000000000004</v>
      </c>
      <c r="J297" s="2">
        <v>3.0735999999999999</v>
      </c>
      <c r="K297" s="2">
        <v>0.1439</v>
      </c>
      <c r="L297" s="2">
        <v>2.7913999999999999</v>
      </c>
      <c r="M297" s="2">
        <v>3.3557999999999999</v>
      </c>
      <c r="O297" t="str">
        <f t="shared" si="69"/>
        <v>3.07 (2.79 to 3.36)</v>
      </c>
      <c r="P297" t="str">
        <f>O300</f>
        <v>8.74 (8.29 to 9.20)</v>
      </c>
      <c r="Q297" t="str">
        <f>O303</f>
        <v>15.56 (14.95 to 16.18)</v>
      </c>
      <c r="R297" t="str">
        <f>O306</f>
        <v>23.56 (22.80 to 24.33)</v>
      </c>
    </row>
    <row r="298" spans="1:18" ht="17.25" thickBot="1" x14ac:dyDescent="0.35">
      <c r="A298" s="6"/>
      <c r="B298" s="11" t="s">
        <v>153</v>
      </c>
      <c r="C298" s="2">
        <v>15514</v>
      </c>
      <c r="D298" s="2">
        <v>7485076</v>
      </c>
      <c r="E298" s="2">
        <v>96512</v>
      </c>
      <c r="F298" s="2">
        <v>24.7425</v>
      </c>
      <c r="G298" s="2">
        <v>0.23899999999999999</v>
      </c>
      <c r="H298" s="2">
        <v>24.273700000000002</v>
      </c>
      <c r="I298" s="2">
        <v>25.211200000000002</v>
      </c>
      <c r="J298" s="2">
        <v>100</v>
      </c>
      <c r="K298" s="2"/>
      <c r="L298" s="2"/>
      <c r="M298" s="2"/>
    </row>
    <row r="299" spans="1:18" ht="17.25" thickBot="1" x14ac:dyDescent="0.35">
      <c r="A299" s="6">
        <v>2</v>
      </c>
      <c r="B299" s="11">
        <v>0</v>
      </c>
      <c r="C299" s="2">
        <v>15586</v>
      </c>
      <c r="D299" s="2">
        <v>7282728</v>
      </c>
      <c r="E299" s="2">
        <v>85404</v>
      </c>
      <c r="F299" s="2">
        <v>24.073599999999999</v>
      </c>
      <c r="G299" s="2">
        <v>0.20119999999999999</v>
      </c>
      <c r="H299" s="2">
        <v>23.679099999999998</v>
      </c>
      <c r="I299" s="2">
        <v>24.4681</v>
      </c>
      <c r="J299" s="2">
        <v>91.256200000000007</v>
      </c>
      <c r="K299" s="2">
        <v>0.23219999999999999</v>
      </c>
      <c r="L299" s="2">
        <v>90.801000000000002</v>
      </c>
      <c r="M299" s="2">
        <v>91.711399999999998</v>
      </c>
      <c r="O299" t="str">
        <f t="shared" ref="O299:O300" si="70">TEXT(J299,"0.00")&amp;" ("&amp;TEXT(L299,"0.00")&amp;" to "&amp;TEXT(M299,"0.00")&amp;")"</f>
        <v>91.26 (90.80 to 91.71)</v>
      </c>
    </row>
    <row r="300" spans="1:18" ht="17.25" thickBot="1" x14ac:dyDescent="0.35">
      <c r="A300" s="6"/>
      <c r="B300" s="11">
        <v>1</v>
      </c>
      <c r="C300" s="2">
        <v>1885</v>
      </c>
      <c r="D300" s="2">
        <v>697802</v>
      </c>
      <c r="E300" s="2">
        <v>19499</v>
      </c>
      <c r="F300" s="2">
        <v>2.3066</v>
      </c>
      <c r="G300" s="2">
        <v>6.2799999999999995E-2</v>
      </c>
      <c r="H300" s="2">
        <v>2.1835</v>
      </c>
      <c r="I300" s="2">
        <v>2.4298000000000002</v>
      </c>
      <c r="J300" s="2">
        <v>8.7438000000000002</v>
      </c>
      <c r="K300" s="2">
        <v>0.23219999999999999</v>
      </c>
      <c r="L300" s="2">
        <v>8.2886000000000006</v>
      </c>
      <c r="M300" s="2">
        <v>9.1989999999999998</v>
      </c>
      <c r="O300" t="str">
        <f t="shared" si="70"/>
        <v>8.74 (8.29 to 9.20)</v>
      </c>
    </row>
    <row r="301" spans="1:18" ht="17.25" thickBot="1" x14ac:dyDescent="0.35">
      <c r="A301" s="6"/>
      <c r="B301" s="11" t="s">
        <v>153</v>
      </c>
      <c r="C301" s="2">
        <v>17471</v>
      </c>
      <c r="D301" s="2">
        <v>7980531</v>
      </c>
      <c r="E301" s="2">
        <v>89661</v>
      </c>
      <c r="F301" s="2">
        <v>26.380199999999999</v>
      </c>
      <c r="G301" s="2">
        <v>0.20599999999999999</v>
      </c>
      <c r="H301" s="2">
        <v>25.976199999999999</v>
      </c>
      <c r="I301" s="2">
        <v>26.784199999999998</v>
      </c>
      <c r="J301" s="2">
        <v>100</v>
      </c>
      <c r="K301" s="2"/>
      <c r="L301" s="2"/>
      <c r="M301" s="2"/>
    </row>
    <row r="302" spans="1:18" ht="17.25" thickBot="1" x14ac:dyDescent="0.35">
      <c r="A302" s="6">
        <v>3</v>
      </c>
      <c r="B302" s="11">
        <v>0</v>
      </c>
      <c r="C302" s="2">
        <v>14763</v>
      </c>
      <c r="D302" s="2">
        <v>6511286</v>
      </c>
      <c r="E302" s="2">
        <v>76579</v>
      </c>
      <c r="F302" s="2">
        <v>21.523499999999999</v>
      </c>
      <c r="G302" s="2">
        <v>0.19270000000000001</v>
      </c>
      <c r="H302" s="2">
        <v>21.145700000000001</v>
      </c>
      <c r="I302" s="2">
        <v>21.901399999999999</v>
      </c>
      <c r="J302" s="2">
        <v>84.438999999999993</v>
      </c>
      <c r="K302" s="2">
        <v>0.314</v>
      </c>
      <c r="L302" s="2">
        <v>83.823300000000003</v>
      </c>
      <c r="M302" s="2">
        <v>85.054599999999994</v>
      </c>
      <c r="O302" t="str">
        <f t="shared" ref="O302:O303" si="71">TEXT(J302,"0.00")&amp;" ("&amp;TEXT(L302,"0.00")&amp;" to "&amp;TEXT(M302,"0.00")&amp;")"</f>
        <v>84.44 (83.82 to 85.05)</v>
      </c>
    </row>
    <row r="303" spans="1:18" ht="17.25" thickBot="1" x14ac:dyDescent="0.35">
      <c r="A303" s="6"/>
      <c r="B303" s="11">
        <v>1</v>
      </c>
      <c r="C303" s="2">
        <v>3225</v>
      </c>
      <c r="D303" s="2">
        <v>1199949</v>
      </c>
      <c r="E303" s="2">
        <v>26887</v>
      </c>
      <c r="F303" s="2">
        <v>3.9664999999999999</v>
      </c>
      <c r="G303" s="2">
        <v>8.5800000000000001E-2</v>
      </c>
      <c r="H303" s="2">
        <v>3.7982</v>
      </c>
      <c r="I303" s="2">
        <v>4.1348000000000003</v>
      </c>
      <c r="J303" s="2">
        <v>15.561</v>
      </c>
      <c r="K303" s="2">
        <v>0.314</v>
      </c>
      <c r="L303" s="2">
        <v>14.945399999999999</v>
      </c>
      <c r="M303" s="2">
        <v>16.1767</v>
      </c>
      <c r="O303" t="str">
        <f t="shared" si="71"/>
        <v>15.56 (14.95 to 16.18)</v>
      </c>
    </row>
    <row r="304" spans="1:18" ht="17.25" thickBot="1" x14ac:dyDescent="0.35">
      <c r="A304" s="6"/>
      <c r="B304" s="11" t="s">
        <v>153</v>
      </c>
      <c r="C304" s="2">
        <v>17988</v>
      </c>
      <c r="D304" s="2">
        <v>7711235</v>
      </c>
      <c r="E304" s="2">
        <v>84434</v>
      </c>
      <c r="F304" s="2">
        <v>25.490100000000002</v>
      </c>
      <c r="G304" s="2">
        <v>0.20630000000000001</v>
      </c>
      <c r="H304" s="2">
        <v>25.0855</v>
      </c>
      <c r="I304" s="2">
        <v>25.894600000000001</v>
      </c>
      <c r="J304" s="2">
        <v>100</v>
      </c>
      <c r="K304" s="2"/>
      <c r="L304" s="2"/>
      <c r="M304" s="2"/>
    </row>
    <row r="305" spans="1:18" ht="17.25" thickBot="1" x14ac:dyDescent="0.35">
      <c r="A305" s="6">
        <v>4</v>
      </c>
      <c r="B305" s="11">
        <v>0</v>
      </c>
      <c r="C305" s="2">
        <v>13201</v>
      </c>
      <c r="D305" s="2">
        <v>5408179</v>
      </c>
      <c r="E305" s="2">
        <v>67194</v>
      </c>
      <c r="F305" s="2">
        <v>17.877099999999999</v>
      </c>
      <c r="G305" s="2">
        <v>0.1938</v>
      </c>
      <c r="H305" s="2">
        <v>17.4971</v>
      </c>
      <c r="I305" s="2">
        <v>18.257200000000001</v>
      </c>
      <c r="J305" s="2">
        <v>76.439700000000002</v>
      </c>
      <c r="K305" s="2">
        <v>0.3901</v>
      </c>
      <c r="L305" s="2">
        <v>75.674800000000005</v>
      </c>
      <c r="M305" s="2">
        <v>77.204499999999996</v>
      </c>
      <c r="O305" t="str">
        <f t="shared" ref="O305:O306" si="72">TEXT(J305,"0.00")&amp;" ("&amp;TEXT(L305,"0.00")&amp;" to "&amp;TEXT(M305,"0.00")&amp;")"</f>
        <v>76.44 (75.67 to 77.20)</v>
      </c>
    </row>
    <row r="306" spans="1:18" ht="17.25" thickBot="1" x14ac:dyDescent="0.35">
      <c r="A306" s="6"/>
      <c r="B306" s="11">
        <v>1</v>
      </c>
      <c r="C306" s="2">
        <v>4461</v>
      </c>
      <c r="D306" s="2">
        <v>1666916</v>
      </c>
      <c r="E306" s="2">
        <v>32626</v>
      </c>
      <c r="F306" s="2">
        <v>5.5101000000000004</v>
      </c>
      <c r="G306" s="2">
        <v>0.104</v>
      </c>
      <c r="H306" s="2">
        <v>5.3061999999999996</v>
      </c>
      <c r="I306" s="2">
        <v>5.7140000000000004</v>
      </c>
      <c r="J306" s="2">
        <v>23.560300000000002</v>
      </c>
      <c r="K306" s="2">
        <v>0.3901</v>
      </c>
      <c r="L306" s="2">
        <v>22.795500000000001</v>
      </c>
      <c r="M306" s="2">
        <v>24.325199999999999</v>
      </c>
      <c r="O306" t="str">
        <f t="shared" si="72"/>
        <v>23.56 (22.80 to 24.33)</v>
      </c>
    </row>
    <row r="307" spans="1:18" ht="17.25" thickBot="1" x14ac:dyDescent="0.35">
      <c r="A307" s="6"/>
      <c r="B307" s="11" t="s">
        <v>153</v>
      </c>
      <c r="C307" s="2">
        <v>17662</v>
      </c>
      <c r="D307" s="2">
        <v>7075094</v>
      </c>
      <c r="E307" s="2">
        <v>78713</v>
      </c>
      <c r="F307" s="2">
        <v>23.3872</v>
      </c>
      <c r="G307" s="2">
        <v>0.221</v>
      </c>
      <c r="H307" s="2">
        <v>22.954000000000001</v>
      </c>
      <c r="I307" s="2">
        <v>23.820499999999999</v>
      </c>
      <c r="J307" s="2">
        <v>100</v>
      </c>
      <c r="K307" s="2"/>
      <c r="L307" s="2"/>
      <c r="M307" s="2"/>
    </row>
    <row r="308" spans="1:18" ht="17.25" thickBot="1" x14ac:dyDescent="0.35">
      <c r="A308" s="6" t="s">
        <v>153</v>
      </c>
      <c r="B308" s="11">
        <v>0</v>
      </c>
      <c r="C308" s="2">
        <v>58467</v>
      </c>
      <c r="D308" s="2">
        <v>26457207</v>
      </c>
      <c r="E308" s="2">
        <v>211261</v>
      </c>
      <c r="F308" s="2">
        <v>87.456199999999995</v>
      </c>
      <c r="G308" s="2">
        <v>0.1542</v>
      </c>
      <c r="H308" s="2">
        <v>87.153800000000004</v>
      </c>
      <c r="I308" s="2">
        <v>87.758700000000005</v>
      </c>
      <c r="J308" s="2"/>
      <c r="K308" s="2"/>
      <c r="L308" s="2"/>
      <c r="M308" s="2"/>
    </row>
    <row r="309" spans="1:18" ht="17.25" thickBot="1" x14ac:dyDescent="0.35">
      <c r="A309" s="6"/>
      <c r="B309" s="11">
        <v>1</v>
      </c>
      <c r="C309" s="2">
        <v>10168</v>
      </c>
      <c r="D309" s="2">
        <v>3794729</v>
      </c>
      <c r="E309" s="2">
        <v>51502</v>
      </c>
      <c r="F309" s="2">
        <v>12.543799999999999</v>
      </c>
      <c r="G309" s="2">
        <v>0.1542</v>
      </c>
      <c r="H309" s="2">
        <v>12.241300000000001</v>
      </c>
      <c r="I309" s="2">
        <v>12.8462</v>
      </c>
      <c r="J309" s="2"/>
      <c r="K309" s="2"/>
      <c r="L309" s="2"/>
      <c r="M309" s="2"/>
    </row>
    <row r="310" spans="1:18" x14ac:dyDescent="0.3">
      <c r="A310" s="6"/>
      <c r="B310" s="14" t="s">
        <v>153</v>
      </c>
      <c r="C310" s="2">
        <v>68635</v>
      </c>
      <c r="D310" s="2">
        <v>30251936</v>
      </c>
      <c r="E310" s="2">
        <v>228758</v>
      </c>
      <c r="F310" s="2">
        <v>100</v>
      </c>
      <c r="G310" s="2"/>
      <c r="H310" s="2"/>
      <c r="I310" s="2"/>
      <c r="J310" s="2"/>
      <c r="K310" s="2"/>
      <c r="L310" s="2"/>
      <c r="M310" s="2"/>
    </row>
    <row r="311" spans="1:18" ht="17.25" thickBot="1" x14ac:dyDescent="0.35"/>
    <row r="312" spans="1:18" ht="16.5" customHeight="1" x14ac:dyDescent="0.3">
      <c r="A312" s="16" t="s">
        <v>201</v>
      </c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</row>
    <row r="313" spans="1:18" ht="33" customHeight="1" x14ac:dyDescent="0.3">
      <c r="A313" s="17" t="s">
        <v>43</v>
      </c>
      <c r="B313" s="19" t="s">
        <v>18</v>
      </c>
      <c r="C313" s="19" t="s">
        <v>146</v>
      </c>
      <c r="D313" s="3" t="s">
        <v>147</v>
      </c>
      <c r="E313" s="3" t="s">
        <v>148</v>
      </c>
      <c r="F313" s="19" t="s">
        <v>150</v>
      </c>
      <c r="G313" s="3" t="s">
        <v>148</v>
      </c>
      <c r="H313" s="19" t="s">
        <v>151</v>
      </c>
      <c r="I313" s="19"/>
      <c r="J313" s="3" t="s">
        <v>170</v>
      </c>
      <c r="K313" s="3" t="s">
        <v>148</v>
      </c>
      <c r="L313" s="19" t="s">
        <v>151</v>
      </c>
      <c r="M313" s="19"/>
    </row>
    <row r="314" spans="1:18" ht="33" x14ac:dyDescent="0.3">
      <c r="A314" s="17"/>
      <c r="B314" s="19"/>
      <c r="C314" s="19"/>
      <c r="D314" s="3" t="s">
        <v>146</v>
      </c>
      <c r="E314" s="3" t="s">
        <v>149</v>
      </c>
      <c r="F314" s="19"/>
      <c r="G314" s="3" t="s">
        <v>150</v>
      </c>
      <c r="H314" s="19" t="s">
        <v>152</v>
      </c>
      <c r="I314" s="19"/>
      <c r="J314" s="3" t="s">
        <v>150</v>
      </c>
      <c r="K314" s="3" t="s">
        <v>171</v>
      </c>
      <c r="L314" s="19" t="s">
        <v>172</v>
      </c>
      <c r="M314" s="19"/>
    </row>
    <row r="315" spans="1:18" ht="17.25" thickBot="1" x14ac:dyDescent="0.35">
      <c r="A315" s="6">
        <v>1</v>
      </c>
      <c r="B315" s="11">
        <v>0</v>
      </c>
      <c r="C315" s="2">
        <v>15451</v>
      </c>
      <c r="D315" s="2">
        <v>7462170</v>
      </c>
      <c r="E315" s="2">
        <v>96447</v>
      </c>
      <c r="F315" s="2">
        <v>24.666799999999999</v>
      </c>
      <c r="G315" s="2">
        <v>0.23880000000000001</v>
      </c>
      <c r="H315" s="2">
        <v>24.198499999999999</v>
      </c>
      <c r="I315" s="2">
        <v>25.135000000000002</v>
      </c>
      <c r="J315" s="2">
        <v>99.694000000000003</v>
      </c>
      <c r="K315" s="2">
        <v>4.6800000000000001E-2</v>
      </c>
      <c r="L315" s="2">
        <v>99.6023</v>
      </c>
      <c r="M315" s="2">
        <v>99.785600000000002</v>
      </c>
      <c r="O315" t="str">
        <f t="shared" ref="O315:O316" si="73">TEXT(J315,"0.00")&amp;" ("&amp;TEXT(L315,"0.00")&amp;" to "&amp;TEXT(M315,"0.00")&amp;")"</f>
        <v>99.69 (99.60 to 99.79)</v>
      </c>
      <c r="P315" t="str">
        <f>O318</f>
        <v>99.03 (98.87 to 99.19)</v>
      </c>
      <c r="Q315" t="str">
        <f>O321</f>
        <v>98.45 (98.26 to 98.65)</v>
      </c>
      <c r="R315" t="str">
        <f>O324</f>
        <v>97.27 (97.02 to 97.53)</v>
      </c>
    </row>
    <row r="316" spans="1:18" ht="17.25" thickBot="1" x14ac:dyDescent="0.35">
      <c r="A316" s="6"/>
      <c r="B316" s="11">
        <v>1</v>
      </c>
      <c r="C316" s="2">
        <v>63</v>
      </c>
      <c r="D316" s="2">
        <v>22906</v>
      </c>
      <c r="E316" s="2">
        <v>3498</v>
      </c>
      <c r="F316" s="2">
        <v>7.5700000000000003E-2</v>
      </c>
      <c r="G316" s="2">
        <v>1.1599999999999999E-2</v>
      </c>
      <c r="H316" s="2">
        <v>5.2999999999999999E-2</v>
      </c>
      <c r="I316" s="2">
        <v>9.8400000000000001E-2</v>
      </c>
      <c r="J316" s="2">
        <v>0.30599999999999999</v>
      </c>
      <c r="K316" s="2">
        <v>4.6800000000000001E-2</v>
      </c>
      <c r="L316" s="2">
        <v>0.21440000000000001</v>
      </c>
      <c r="M316" s="2">
        <v>0.3977</v>
      </c>
      <c r="O316" t="str">
        <f t="shared" si="73"/>
        <v>0.31 (0.21 to 0.40)</v>
      </c>
      <c r="P316" t="str">
        <f>O319</f>
        <v>0.97 (0.81 to 1.13)</v>
      </c>
      <c r="Q316" t="str">
        <f>O322</f>
        <v>1.55 (1.35 to 1.74)</v>
      </c>
      <c r="R316" t="str">
        <f>O325</f>
        <v>2.73 (2.47 to 2.98)</v>
      </c>
    </row>
    <row r="317" spans="1:18" ht="17.25" thickBot="1" x14ac:dyDescent="0.35">
      <c r="A317" s="6"/>
      <c r="B317" s="11" t="s">
        <v>153</v>
      </c>
      <c r="C317" s="2">
        <v>15514</v>
      </c>
      <c r="D317" s="2">
        <v>7485076</v>
      </c>
      <c r="E317" s="2">
        <v>96512</v>
      </c>
      <c r="F317" s="2">
        <v>24.7425</v>
      </c>
      <c r="G317" s="2">
        <v>0.23899999999999999</v>
      </c>
      <c r="H317" s="2">
        <v>24.273700000000002</v>
      </c>
      <c r="I317" s="2">
        <v>25.211200000000002</v>
      </c>
      <c r="J317" s="2">
        <v>100</v>
      </c>
      <c r="K317" s="2"/>
      <c r="L317" s="2"/>
      <c r="M317" s="2"/>
    </row>
    <row r="318" spans="1:18" ht="17.25" thickBot="1" x14ac:dyDescent="0.35">
      <c r="A318" s="6">
        <v>2</v>
      </c>
      <c r="B318" s="11">
        <v>0</v>
      </c>
      <c r="C318" s="2">
        <v>17240</v>
      </c>
      <c r="D318" s="2">
        <v>7903212</v>
      </c>
      <c r="E318" s="2">
        <v>89313</v>
      </c>
      <c r="F318" s="2">
        <v>26.124600000000001</v>
      </c>
      <c r="G318" s="2">
        <v>0.2056</v>
      </c>
      <c r="H318" s="2">
        <v>25.721499999999999</v>
      </c>
      <c r="I318" s="2">
        <v>26.527799999999999</v>
      </c>
      <c r="J318" s="2">
        <v>99.031199999999998</v>
      </c>
      <c r="K318" s="2">
        <v>8.0299999999999996E-2</v>
      </c>
      <c r="L318" s="2">
        <v>98.873699999999999</v>
      </c>
      <c r="M318" s="2">
        <v>99.188599999999994</v>
      </c>
      <c r="O318" t="str">
        <f t="shared" ref="O318:O319" si="74">TEXT(J318,"0.00")&amp;" ("&amp;TEXT(L318,"0.00")&amp;" to "&amp;TEXT(M318,"0.00")&amp;")"</f>
        <v>99.03 (98.87 to 99.19)</v>
      </c>
    </row>
    <row r="319" spans="1:18" ht="17.25" thickBot="1" x14ac:dyDescent="0.35">
      <c r="A319" s="6"/>
      <c r="B319" s="11">
        <v>1</v>
      </c>
      <c r="C319" s="2">
        <v>231</v>
      </c>
      <c r="D319" s="2">
        <v>77319</v>
      </c>
      <c r="E319" s="2">
        <v>6427</v>
      </c>
      <c r="F319" s="2">
        <v>0.25559999999999999</v>
      </c>
      <c r="G319" s="2">
        <v>2.12E-2</v>
      </c>
      <c r="H319" s="2">
        <v>0.214</v>
      </c>
      <c r="I319" s="2">
        <v>0.29720000000000002</v>
      </c>
      <c r="J319" s="2">
        <v>0.96879999999999999</v>
      </c>
      <c r="K319" s="2">
        <v>8.0299999999999996E-2</v>
      </c>
      <c r="L319" s="2">
        <v>0.81140000000000001</v>
      </c>
      <c r="M319" s="2">
        <v>1.1263000000000001</v>
      </c>
      <c r="O319" t="str">
        <f t="shared" si="74"/>
        <v>0.97 (0.81 to 1.13)</v>
      </c>
    </row>
    <row r="320" spans="1:18" ht="17.25" thickBot="1" x14ac:dyDescent="0.35">
      <c r="A320" s="6"/>
      <c r="B320" s="11" t="s">
        <v>153</v>
      </c>
      <c r="C320" s="2">
        <v>17471</v>
      </c>
      <c r="D320" s="2">
        <v>7980531</v>
      </c>
      <c r="E320" s="2">
        <v>89661</v>
      </c>
      <c r="F320" s="2">
        <v>26.380199999999999</v>
      </c>
      <c r="G320" s="2">
        <v>0.20599999999999999</v>
      </c>
      <c r="H320" s="2">
        <v>25.976199999999999</v>
      </c>
      <c r="I320" s="2">
        <v>26.784199999999998</v>
      </c>
      <c r="J320" s="2">
        <v>100</v>
      </c>
      <c r="K320" s="2"/>
      <c r="L320" s="2"/>
      <c r="M320" s="2"/>
    </row>
    <row r="321" spans="1:18" ht="17.25" thickBot="1" x14ac:dyDescent="0.35">
      <c r="A321" s="6">
        <v>3</v>
      </c>
      <c r="B321" s="11">
        <v>0</v>
      </c>
      <c r="C321" s="2">
        <v>17618</v>
      </c>
      <c r="D321" s="2">
        <v>7591886</v>
      </c>
      <c r="E321" s="2">
        <v>83988</v>
      </c>
      <c r="F321" s="2">
        <v>25.095500000000001</v>
      </c>
      <c r="G321" s="2">
        <v>0.2056</v>
      </c>
      <c r="H321" s="2">
        <v>24.692299999999999</v>
      </c>
      <c r="I321" s="2">
        <v>25.498699999999999</v>
      </c>
      <c r="J321" s="2">
        <v>98.452299999999994</v>
      </c>
      <c r="K321" s="2">
        <v>9.9900000000000003E-2</v>
      </c>
      <c r="L321" s="2">
        <v>98.256299999999996</v>
      </c>
      <c r="M321" s="2">
        <v>98.648200000000003</v>
      </c>
      <c r="O321" t="str">
        <f t="shared" ref="O321:O322" si="75">TEXT(J321,"0.00")&amp;" ("&amp;TEXT(L321,"0.00")&amp;" to "&amp;TEXT(M321,"0.00")&amp;")"</f>
        <v>98.45 (98.26 to 98.65)</v>
      </c>
    </row>
    <row r="322" spans="1:18" ht="17.25" thickBot="1" x14ac:dyDescent="0.35">
      <c r="A322" s="6"/>
      <c r="B322" s="11">
        <v>1</v>
      </c>
      <c r="C322" s="2">
        <v>370</v>
      </c>
      <c r="D322" s="2">
        <v>119349</v>
      </c>
      <c r="E322" s="2">
        <v>7730</v>
      </c>
      <c r="F322" s="2">
        <v>0.39450000000000002</v>
      </c>
      <c r="G322" s="2">
        <v>2.5600000000000001E-2</v>
      </c>
      <c r="H322" s="2">
        <v>0.34439999999999998</v>
      </c>
      <c r="I322" s="2">
        <v>0.4446</v>
      </c>
      <c r="J322" s="2">
        <v>1.5477000000000001</v>
      </c>
      <c r="K322" s="2">
        <v>9.9900000000000003E-2</v>
      </c>
      <c r="L322" s="2">
        <v>1.3517999999999999</v>
      </c>
      <c r="M322" s="2">
        <v>1.7437</v>
      </c>
      <c r="O322" t="str">
        <f t="shared" si="75"/>
        <v>1.55 (1.35 to 1.74)</v>
      </c>
    </row>
    <row r="323" spans="1:18" ht="17.25" thickBot="1" x14ac:dyDescent="0.35">
      <c r="A323" s="6"/>
      <c r="B323" s="11" t="s">
        <v>153</v>
      </c>
      <c r="C323" s="2">
        <v>17988</v>
      </c>
      <c r="D323" s="2">
        <v>7711235</v>
      </c>
      <c r="E323" s="2">
        <v>84434</v>
      </c>
      <c r="F323" s="2">
        <v>25.490100000000002</v>
      </c>
      <c r="G323" s="2">
        <v>0.20630000000000001</v>
      </c>
      <c r="H323" s="2">
        <v>25.0855</v>
      </c>
      <c r="I323" s="2">
        <v>25.894600000000001</v>
      </c>
      <c r="J323" s="2">
        <v>100</v>
      </c>
      <c r="K323" s="2"/>
      <c r="L323" s="2"/>
      <c r="M323" s="2"/>
    </row>
    <row r="324" spans="1:18" ht="17.25" thickBot="1" x14ac:dyDescent="0.35">
      <c r="A324" s="6">
        <v>4</v>
      </c>
      <c r="B324" s="11">
        <v>0</v>
      </c>
      <c r="C324" s="2">
        <v>17035</v>
      </c>
      <c r="D324" s="2">
        <v>6882056</v>
      </c>
      <c r="E324" s="2">
        <v>77353</v>
      </c>
      <c r="F324" s="2">
        <v>22.749099999999999</v>
      </c>
      <c r="G324" s="2">
        <v>0.21629999999999999</v>
      </c>
      <c r="H324" s="2">
        <v>22.324999999999999</v>
      </c>
      <c r="I324" s="2">
        <v>23.173300000000001</v>
      </c>
      <c r="J324" s="2">
        <v>97.271600000000007</v>
      </c>
      <c r="K324" s="2">
        <v>0.12989999999999999</v>
      </c>
      <c r="L324" s="2">
        <v>97.016999999999996</v>
      </c>
      <c r="M324" s="2">
        <v>97.526200000000003</v>
      </c>
      <c r="O324" t="str">
        <f t="shared" ref="O324:O325" si="76">TEXT(J324,"0.00")&amp;" ("&amp;TEXT(L324,"0.00")&amp;" to "&amp;TEXT(M324,"0.00")&amp;")"</f>
        <v>97.27 (97.02 to 97.53)</v>
      </c>
    </row>
    <row r="325" spans="1:18" ht="17.25" thickBot="1" x14ac:dyDescent="0.35">
      <c r="A325" s="6"/>
      <c r="B325" s="11">
        <v>1</v>
      </c>
      <c r="C325" s="2">
        <v>627</v>
      </c>
      <c r="D325" s="2">
        <v>193038</v>
      </c>
      <c r="E325" s="2">
        <v>9380</v>
      </c>
      <c r="F325" s="2">
        <v>0.6381</v>
      </c>
      <c r="G325" s="2">
        <v>3.1099999999999999E-2</v>
      </c>
      <c r="H325" s="2">
        <v>0.57709999999999995</v>
      </c>
      <c r="I325" s="2">
        <v>0.69910000000000005</v>
      </c>
      <c r="J325" s="2">
        <v>2.7284000000000002</v>
      </c>
      <c r="K325" s="2">
        <v>0.12989999999999999</v>
      </c>
      <c r="L325" s="2">
        <v>2.4738000000000002</v>
      </c>
      <c r="M325" s="2">
        <v>2.9830000000000001</v>
      </c>
      <c r="O325" t="str">
        <f t="shared" si="76"/>
        <v>2.73 (2.47 to 2.98)</v>
      </c>
    </row>
    <row r="326" spans="1:18" ht="17.25" thickBot="1" x14ac:dyDescent="0.35">
      <c r="A326" s="6"/>
      <c r="B326" s="11" t="s">
        <v>153</v>
      </c>
      <c r="C326" s="2">
        <v>17662</v>
      </c>
      <c r="D326" s="2">
        <v>7075094</v>
      </c>
      <c r="E326" s="2">
        <v>78713</v>
      </c>
      <c r="F326" s="2">
        <v>23.3872</v>
      </c>
      <c r="G326" s="2">
        <v>0.221</v>
      </c>
      <c r="H326" s="2">
        <v>22.954000000000001</v>
      </c>
      <c r="I326" s="2">
        <v>23.820499999999999</v>
      </c>
      <c r="J326" s="2">
        <v>100</v>
      </c>
      <c r="K326" s="2"/>
      <c r="L326" s="2"/>
      <c r="M326" s="2"/>
    </row>
    <row r="327" spans="1:18" ht="17.25" thickBot="1" x14ac:dyDescent="0.35">
      <c r="A327" s="6" t="s">
        <v>153</v>
      </c>
      <c r="B327" s="11">
        <v>0</v>
      </c>
      <c r="C327" s="2">
        <v>67344</v>
      </c>
      <c r="D327" s="2">
        <v>29839323</v>
      </c>
      <c r="E327" s="2">
        <v>227888</v>
      </c>
      <c r="F327" s="2">
        <v>98.636099999999999</v>
      </c>
      <c r="G327" s="2">
        <v>4.7500000000000001E-2</v>
      </c>
      <c r="H327" s="2">
        <v>98.543000000000006</v>
      </c>
      <c r="I327" s="2">
        <v>98.729200000000006</v>
      </c>
      <c r="J327" s="2"/>
      <c r="K327" s="2"/>
      <c r="L327" s="2"/>
      <c r="M327" s="2"/>
    </row>
    <row r="328" spans="1:18" ht="17.25" thickBot="1" x14ac:dyDescent="0.35">
      <c r="A328" s="6"/>
      <c r="B328" s="11">
        <v>1</v>
      </c>
      <c r="C328" s="2">
        <v>1291</v>
      </c>
      <c r="D328" s="2">
        <v>412612</v>
      </c>
      <c r="E328" s="2">
        <v>14314</v>
      </c>
      <c r="F328" s="2">
        <v>1.3638999999999999</v>
      </c>
      <c r="G328" s="2">
        <v>4.7500000000000001E-2</v>
      </c>
      <c r="H328" s="2">
        <v>1.2707999999999999</v>
      </c>
      <c r="I328" s="2">
        <v>1.4570000000000001</v>
      </c>
      <c r="J328" s="2"/>
      <c r="K328" s="2"/>
      <c r="L328" s="2"/>
      <c r="M328" s="2"/>
    </row>
    <row r="329" spans="1:18" x14ac:dyDescent="0.3">
      <c r="A329" s="6"/>
      <c r="B329" s="14" t="s">
        <v>153</v>
      </c>
      <c r="C329" s="2">
        <v>68635</v>
      </c>
      <c r="D329" s="2">
        <v>30251936</v>
      </c>
      <c r="E329" s="2">
        <v>228758</v>
      </c>
      <c r="F329" s="2">
        <v>100</v>
      </c>
      <c r="G329" s="2"/>
      <c r="H329" s="2"/>
      <c r="I329" s="2"/>
      <c r="J329" s="2"/>
      <c r="K329" s="2"/>
      <c r="L329" s="2"/>
      <c r="M329" s="2"/>
    </row>
    <row r="330" spans="1:18" ht="17.25" thickBot="1" x14ac:dyDescent="0.35"/>
    <row r="331" spans="1:18" ht="16.5" customHeight="1" x14ac:dyDescent="0.3">
      <c r="A331" s="16" t="s">
        <v>202</v>
      </c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</row>
    <row r="332" spans="1:18" ht="33" customHeight="1" x14ac:dyDescent="0.3">
      <c r="A332" s="17" t="s">
        <v>43</v>
      </c>
      <c r="B332" s="19" t="s">
        <v>19</v>
      </c>
      <c r="C332" s="19" t="s">
        <v>146</v>
      </c>
      <c r="D332" s="3" t="s">
        <v>147</v>
      </c>
      <c r="E332" s="3" t="s">
        <v>148</v>
      </c>
      <c r="F332" s="19" t="s">
        <v>150</v>
      </c>
      <c r="G332" s="3" t="s">
        <v>148</v>
      </c>
      <c r="H332" s="19" t="s">
        <v>151</v>
      </c>
      <c r="I332" s="19"/>
      <c r="J332" s="3" t="s">
        <v>170</v>
      </c>
      <c r="K332" s="3" t="s">
        <v>148</v>
      </c>
      <c r="L332" s="19" t="s">
        <v>151</v>
      </c>
      <c r="M332" s="19"/>
    </row>
    <row r="333" spans="1:18" ht="33" x14ac:dyDescent="0.3">
      <c r="A333" s="17"/>
      <c r="B333" s="19"/>
      <c r="C333" s="19"/>
      <c r="D333" s="3" t="s">
        <v>146</v>
      </c>
      <c r="E333" s="3" t="s">
        <v>149</v>
      </c>
      <c r="F333" s="19"/>
      <c r="G333" s="3" t="s">
        <v>150</v>
      </c>
      <c r="H333" s="19" t="s">
        <v>152</v>
      </c>
      <c r="I333" s="19"/>
      <c r="J333" s="3" t="s">
        <v>150</v>
      </c>
      <c r="K333" s="3" t="s">
        <v>171</v>
      </c>
      <c r="L333" s="19" t="s">
        <v>172</v>
      </c>
      <c r="M333" s="19"/>
    </row>
    <row r="334" spans="1:18" ht="17.25" thickBot="1" x14ac:dyDescent="0.35">
      <c r="A334" s="6">
        <v>1</v>
      </c>
      <c r="B334" s="11">
        <v>0</v>
      </c>
      <c r="C334" s="2">
        <v>15491</v>
      </c>
      <c r="D334" s="2">
        <v>7477514</v>
      </c>
      <c r="E334" s="2">
        <v>96452</v>
      </c>
      <c r="F334" s="2">
        <v>24.717500000000001</v>
      </c>
      <c r="G334" s="2">
        <v>0.23899999999999999</v>
      </c>
      <c r="H334" s="2">
        <v>24.248799999999999</v>
      </c>
      <c r="I334" s="2">
        <v>25.1861</v>
      </c>
      <c r="J334" s="2">
        <v>99.899000000000001</v>
      </c>
      <c r="K334" s="2">
        <v>2.5100000000000001E-2</v>
      </c>
      <c r="L334" s="2">
        <v>99.849800000000002</v>
      </c>
      <c r="M334" s="2">
        <v>99.948099999999997</v>
      </c>
      <c r="O334" t="str">
        <f t="shared" ref="O334:O335" si="77">TEXT(J334,"0.00")&amp;" ("&amp;TEXT(L334,"0.00")&amp;" to "&amp;TEXT(M334,"0.00")&amp;")"</f>
        <v>99.90 (99.85 to 99.95)</v>
      </c>
      <c r="P334" t="str">
        <f>O337</f>
        <v>99.54 (99.44 to 99.64)</v>
      </c>
      <c r="Q334" t="str">
        <f>O340</f>
        <v>99.21 (99.08 to 99.35)</v>
      </c>
      <c r="R334" t="str">
        <f>O343</f>
        <v>98.60 (98.41 to 98.78)</v>
      </c>
    </row>
    <row r="335" spans="1:18" ht="17.25" thickBot="1" x14ac:dyDescent="0.35">
      <c r="A335" s="6"/>
      <c r="B335" s="11">
        <v>1</v>
      </c>
      <c r="C335" s="2">
        <v>23</v>
      </c>
      <c r="D335" s="2">
        <v>7562</v>
      </c>
      <c r="E335" s="2">
        <v>1877</v>
      </c>
      <c r="F335" s="2">
        <v>2.5000000000000001E-2</v>
      </c>
      <c r="G335" s="2">
        <v>6.1999999999999998E-3</v>
      </c>
      <c r="H335" s="2">
        <v>1.2800000000000001E-2</v>
      </c>
      <c r="I335" s="2">
        <v>3.7199999999999997E-2</v>
      </c>
      <c r="J335" s="2">
        <v>0.10100000000000001</v>
      </c>
      <c r="K335" s="2">
        <v>2.5100000000000001E-2</v>
      </c>
      <c r="L335" s="2">
        <v>5.1900000000000002E-2</v>
      </c>
      <c r="M335" s="2">
        <v>0.1502</v>
      </c>
      <c r="O335" t="str">
        <f t="shared" si="77"/>
        <v>0.10 (0.05 to 0.15)</v>
      </c>
      <c r="P335" t="str">
        <f>O338</f>
        <v>0.46 (0.36 to 0.56)</v>
      </c>
      <c r="Q335" t="str">
        <f>O341</f>
        <v>0.79 (0.65 to 0.92)</v>
      </c>
      <c r="R335" t="str">
        <f>O344</f>
        <v>1.40 (1.22 to 1.59)</v>
      </c>
    </row>
    <row r="336" spans="1:18" ht="17.25" thickBot="1" x14ac:dyDescent="0.35">
      <c r="A336" s="6"/>
      <c r="B336" s="11" t="s">
        <v>153</v>
      </c>
      <c r="C336" s="2">
        <v>15514</v>
      </c>
      <c r="D336" s="2">
        <v>7485076</v>
      </c>
      <c r="E336" s="2">
        <v>96512</v>
      </c>
      <c r="F336" s="2">
        <v>24.7425</v>
      </c>
      <c r="G336" s="2">
        <v>0.23899999999999999</v>
      </c>
      <c r="H336" s="2">
        <v>24.273700000000002</v>
      </c>
      <c r="I336" s="2">
        <v>25.211200000000002</v>
      </c>
      <c r="J336" s="2">
        <v>100</v>
      </c>
      <c r="K336" s="2"/>
      <c r="L336" s="2"/>
      <c r="M336" s="2"/>
    </row>
    <row r="337" spans="1:15" ht="17.25" thickBot="1" x14ac:dyDescent="0.35">
      <c r="A337" s="6">
        <v>2</v>
      </c>
      <c r="B337" s="11">
        <v>0</v>
      </c>
      <c r="C337" s="2">
        <v>17356</v>
      </c>
      <c r="D337" s="2">
        <v>7943943</v>
      </c>
      <c r="E337" s="2">
        <v>89573</v>
      </c>
      <c r="F337" s="2">
        <v>26.2593</v>
      </c>
      <c r="G337" s="2">
        <v>0.20610000000000001</v>
      </c>
      <c r="H337" s="2">
        <v>25.8552</v>
      </c>
      <c r="I337" s="2">
        <v>26.6633</v>
      </c>
      <c r="J337" s="2">
        <v>99.541499999999999</v>
      </c>
      <c r="K337" s="2">
        <v>5.0999999999999997E-2</v>
      </c>
      <c r="L337" s="2">
        <v>99.441500000000005</v>
      </c>
      <c r="M337" s="2">
        <v>99.641599999999997</v>
      </c>
      <c r="O337" t="str">
        <f t="shared" ref="O337:O338" si="78">TEXT(J337,"0.00")&amp;" ("&amp;TEXT(L337,"0.00")&amp;" to "&amp;TEXT(M337,"0.00")&amp;")"</f>
        <v>99.54 (99.44 to 99.64)</v>
      </c>
    </row>
    <row r="338" spans="1:15" ht="17.25" thickBot="1" x14ac:dyDescent="0.35">
      <c r="A338" s="6"/>
      <c r="B338" s="11">
        <v>1</v>
      </c>
      <c r="C338" s="2">
        <v>115</v>
      </c>
      <c r="D338" s="2">
        <v>36588</v>
      </c>
      <c r="E338" s="2">
        <v>4070</v>
      </c>
      <c r="F338" s="2">
        <v>0.12089999999999999</v>
      </c>
      <c r="G338" s="2">
        <v>1.35E-2</v>
      </c>
      <c r="H338" s="2">
        <v>9.4600000000000004E-2</v>
      </c>
      <c r="I338" s="2">
        <v>0.14729999999999999</v>
      </c>
      <c r="J338" s="2">
        <v>0.45850000000000002</v>
      </c>
      <c r="K338" s="2">
        <v>5.0999999999999997E-2</v>
      </c>
      <c r="L338" s="2">
        <v>0.3584</v>
      </c>
      <c r="M338" s="2">
        <v>0.5585</v>
      </c>
      <c r="O338" t="str">
        <f t="shared" si="78"/>
        <v>0.46 (0.36 to 0.56)</v>
      </c>
    </row>
    <row r="339" spans="1:15" ht="17.25" thickBot="1" x14ac:dyDescent="0.35">
      <c r="A339" s="6"/>
      <c r="B339" s="11" t="s">
        <v>153</v>
      </c>
      <c r="C339" s="2">
        <v>17471</v>
      </c>
      <c r="D339" s="2">
        <v>7980531</v>
      </c>
      <c r="E339" s="2">
        <v>89661</v>
      </c>
      <c r="F339" s="2">
        <v>26.380199999999999</v>
      </c>
      <c r="G339" s="2">
        <v>0.20599999999999999</v>
      </c>
      <c r="H339" s="2">
        <v>25.976199999999999</v>
      </c>
      <c r="I339" s="2">
        <v>26.784199999999998</v>
      </c>
      <c r="J339" s="2">
        <v>100</v>
      </c>
      <c r="K339" s="2"/>
      <c r="L339" s="2"/>
      <c r="M339" s="2"/>
    </row>
    <row r="340" spans="1:15" ht="17.25" thickBot="1" x14ac:dyDescent="0.35">
      <c r="A340" s="6">
        <v>3</v>
      </c>
      <c r="B340" s="11">
        <v>0</v>
      </c>
      <c r="C340" s="2">
        <v>17795</v>
      </c>
      <c r="D340" s="2">
        <v>7650429</v>
      </c>
      <c r="E340" s="2">
        <v>84172</v>
      </c>
      <c r="F340" s="2">
        <v>25.289100000000001</v>
      </c>
      <c r="G340" s="2">
        <v>0.2064</v>
      </c>
      <c r="H340" s="2">
        <v>24.8843</v>
      </c>
      <c r="I340" s="2">
        <v>25.6938</v>
      </c>
      <c r="J340" s="2">
        <v>99.211500000000001</v>
      </c>
      <c r="K340" s="2">
        <v>6.8900000000000003E-2</v>
      </c>
      <c r="L340" s="2">
        <v>99.076400000000007</v>
      </c>
      <c r="M340" s="2">
        <v>99.346500000000006</v>
      </c>
      <c r="O340" t="str">
        <f t="shared" ref="O340:O341" si="79">TEXT(J340,"0.00")&amp;" ("&amp;TEXT(L340,"0.00")&amp;" to "&amp;TEXT(M340,"0.00")&amp;")"</f>
        <v>99.21 (99.08 to 99.35)</v>
      </c>
    </row>
    <row r="341" spans="1:15" ht="17.25" thickBot="1" x14ac:dyDescent="0.35">
      <c r="A341" s="6"/>
      <c r="B341" s="11">
        <v>1</v>
      </c>
      <c r="C341" s="2">
        <v>193</v>
      </c>
      <c r="D341" s="2">
        <v>60806</v>
      </c>
      <c r="E341" s="2">
        <v>5322</v>
      </c>
      <c r="F341" s="2">
        <v>0.20100000000000001</v>
      </c>
      <c r="G341" s="2">
        <v>1.7500000000000002E-2</v>
      </c>
      <c r="H341" s="2">
        <v>0.1666</v>
      </c>
      <c r="I341" s="2">
        <v>0.2354</v>
      </c>
      <c r="J341" s="2">
        <v>0.78849999999999998</v>
      </c>
      <c r="K341" s="2">
        <v>6.8900000000000003E-2</v>
      </c>
      <c r="L341" s="2">
        <v>0.65349999999999997</v>
      </c>
      <c r="M341" s="2">
        <v>0.92359999999999998</v>
      </c>
      <c r="O341" t="str">
        <f t="shared" si="79"/>
        <v>0.79 (0.65 to 0.92)</v>
      </c>
    </row>
    <row r="342" spans="1:15" ht="17.25" thickBot="1" x14ac:dyDescent="0.35">
      <c r="A342" s="6"/>
      <c r="B342" s="11" t="s">
        <v>153</v>
      </c>
      <c r="C342" s="2">
        <v>17988</v>
      </c>
      <c r="D342" s="2">
        <v>7711235</v>
      </c>
      <c r="E342" s="2">
        <v>84434</v>
      </c>
      <c r="F342" s="2">
        <v>25.490100000000002</v>
      </c>
      <c r="G342" s="2">
        <v>0.20630000000000001</v>
      </c>
      <c r="H342" s="2">
        <v>25.0855</v>
      </c>
      <c r="I342" s="2">
        <v>25.894600000000001</v>
      </c>
      <c r="J342" s="2">
        <v>100</v>
      </c>
      <c r="K342" s="2"/>
      <c r="L342" s="2"/>
      <c r="M342" s="2"/>
    </row>
    <row r="343" spans="1:15" ht="17.25" thickBot="1" x14ac:dyDescent="0.35">
      <c r="A343" s="6">
        <v>4</v>
      </c>
      <c r="B343" s="11">
        <v>0</v>
      </c>
      <c r="C343" s="2">
        <v>17356</v>
      </c>
      <c r="D343" s="2">
        <v>6975904</v>
      </c>
      <c r="E343" s="2">
        <v>78168</v>
      </c>
      <c r="F343" s="2">
        <v>23.0594</v>
      </c>
      <c r="G343" s="2">
        <v>0.21990000000000001</v>
      </c>
      <c r="H343" s="2">
        <v>22.628299999999999</v>
      </c>
      <c r="I343" s="2">
        <v>23.490500000000001</v>
      </c>
      <c r="J343" s="2">
        <v>98.597999999999999</v>
      </c>
      <c r="K343" s="2">
        <v>9.35E-2</v>
      </c>
      <c r="L343" s="2">
        <v>98.414599999999993</v>
      </c>
      <c r="M343" s="2">
        <v>98.781499999999994</v>
      </c>
      <c r="O343" t="str">
        <f t="shared" ref="O343:O344" si="80">TEXT(J343,"0.00")&amp;" ("&amp;TEXT(L343,"0.00")&amp;" to "&amp;TEXT(M343,"0.00")&amp;")"</f>
        <v>98.60 (98.41 to 98.78)</v>
      </c>
    </row>
    <row r="344" spans="1:15" ht="17.25" thickBot="1" x14ac:dyDescent="0.35">
      <c r="A344" s="6"/>
      <c r="B344" s="11">
        <v>1</v>
      </c>
      <c r="C344" s="2">
        <v>306</v>
      </c>
      <c r="D344" s="2">
        <v>99190</v>
      </c>
      <c r="E344" s="2">
        <v>6663</v>
      </c>
      <c r="F344" s="2">
        <v>0.32790000000000002</v>
      </c>
      <c r="G344" s="2">
        <v>2.1999999999999999E-2</v>
      </c>
      <c r="H344" s="2">
        <v>0.2848</v>
      </c>
      <c r="I344" s="2">
        <v>0.371</v>
      </c>
      <c r="J344" s="2">
        <v>1.4019999999999999</v>
      </c>
      <c r="K344" s="2">
        <v>9.35E-2</v>
      </c>
      <c r="L344" s="2">
        <v>1.2184999999999999</v>
      </c>
      <c r="M344" s="2">
        <v>1.5853999999999999</v>
      </c>
      <c r="O344" t="str">
        <f t="shared" si="80"/>
        <v>1.40 (1.22 to 1.59)</v>
      </c>
    </row>
    <row r="345" spans="1:15" ht="17.25" thickBot="1" x14ac:dyDescent="0.35">
      <c r="A345" s="6"/>
      <c r="B345" s="11" t="s">
        <v>153</v>
      </c>
      <c r="C345" s="2">
        <v>17662</v>
      </c>
      <c r="D345" s="2">
        <v>7075094</v>
      </c>
      <c r="E345" s="2">
        <v>78713</v>
      </c>
      <c r="F345" s="2">
        <v>23.3872</v>
      </c>
      <c r="G345" s="2">
        <v>0.221</v>
      </c>
      <c r="H345" s="2">
        <v>22.954000000000001</v>
      </c>
      <c r="I345" s="2">
        <v>23.820499999999999</v>
      </c>
      <c r="J345" s="2">
        <v>100</v>
      </c>
      <c r="K345" s="2"/>
      <c r="L345" s="2"/>
      <c r="M345" s="2"/>
    </row>
    <row r="346" spans="1:15" ht="17.25" thickBot="1" x14ac:dyDescent="0.35">
      <c r="A346" s="6" t="s">
        <v>153</v>
      </c>
      <c r="B346" s="11">
        <v>0</v>
      </c>
      <c r="C346" s="2">
        <v>67998</v>
      </c>
      <c r="D346" s="2">
        <v>30047789</v>
      </c>
      <c r="E346" s="2">
        <v>227796</v>
      </c>
      <c r="F346" s="2">
        <v>99.325199999999995</v>
      </c>
      <c r="G346" s="2">
        <v>3.1699999999999999E-2</v>
      </c>
      <c r="H346" s="2">
        <v>99.263000000000005</v>
      </c>
      <c r="I346" s="2">
        <v>99.387299999999996</v>
      </c>
      <c r="J346" s="2"/>
      <c r="K346" s="2"/>
      <c r="L346" s="2"/>
      <c r="M346" s="2"/>
    </row>
    <row r="347" spans="1:15" ht="17.25" thickBot="1" x14ac:dyDescent="0.35">
      <c r="A347" s="6"/>
      <c r="B347" s="11">
        <v>1</v>
      </c>
      <c r="C347" s="2">
        <v>637</v>
      </c>
      <c r="D347" s="2">
        <v>204146</v>
      </c>
      <c r="E347" s="2">
        <v>9654</v>
      </c>
      <c r="F347" s="2">
        <v>0.67479999999999996</v>
      </c>
      <c r="G347" s="2">
        <v>3.1699999999999999E-2</v>
      </c>
      <c r="H347" s="2">
        <v>0.61270000000000002</v>
      </c>
      <c r="I347" s="2">
        <v>0.73699999999999999</v>
      </c>
      <c r="J347" s="2"/>
      <c r="K347" s="2"/>
      <c r="L347" s="2"/>
      <c r="M347" s="2"/>
    </row>
    <row r="348" spans="1:15" x14ac:dyDescent="0.3">
      <c r="A348" s="6"/>
      <c r="B348" s="14" t="s">
        <v>153</v>
      </c>
      <c r="C348" s="2">
        <v>68635</v>
      </c>
      <c r="D348" s="2">
        <v>30251936</v>
      </c>
      <c r="E348" s="2">
        <v>228758</v>
      </c>
      <c r="F348" s="2">
        <v>100</v>
      </c>
      <c r="G348" s="2"/>
      <c r="H348" s="2"/>
      <c r="I348" s="2"/>
      <c r="J348" s="2"/>
      <c r="K348" s="2"/>
      <c r="L348" s="2"/>
      <c r="M348" s="2"/>
    </row>
    <row r="349" spans="1:15" ht="17.25" thickBot="1" x14ac:dyDescent="0.35"/>
    <row r="350" spans="1:15" ht="16.5" customHeight="1" x14ac:dyDescent="0.3">
      <c r="A350" s="16" t="s">
        <v>203</v>
      </c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</row>
    <row r="351" spans="1:15" ht="33" customHeight="1" x14ac:dyDescent="0.3">
      <c r="A351" s="17" t="s">
        <v>43</v>
      </c>
      <c r="B351" s="19" t="s">
        <v>20</v>
      </c>
      <c r="C351" s="19" t="s">
        <v>146</v>
      </c>
      <c r="D351" s="3" t="s">
        <v>147</v>
      </c>
      <c r="E351" s="3" t="s">
        <v>148</v>
      </c>
      <c r="F351" s="19" t="s">
        <v>150</v>
      </c>
      <c r="G351" s="3" t="s">
        <v>148</v>
      </c>
      <c r="H351" s="19" t="s">
        <v>151</v>
      </c>
      <c r="I351" s="19"/>
      <c r="J351" s="3" t="s">
        <v>170</v>
      </c>
      <c r="K351" s="3" t="s">
        <v>148</v>
      </c>
      <c r="L351" s="19" t="s">
        <v>151</v>
      </c>
      <c r="M351" s="19"/>
    </row>
    <row r="352" spans="1:15" ht="33" x14ac:dyDescent="0.3">
      <c r="A352" s="17"/>
      <c r="B352" s="19"/>
      <c r="C352" s="19"/>
      <c r="D352" s="3" t="s">
        <v>146</v>
      </c>
      <c r="E352" s="3" t="s">
        <v>149</v>
      </c>
      <c r="F352" s="19"/>
      <c r="G352" s="3" t="s">
        <v>150</v>
      </c>
      <c r="H352" s="19" t="s">
        <v>152</v>
      </c>
      <c r="I352" s="19"/>
      <c r="J352" s="3" t="s">
        <v>150</v>
      </c>
      <c r="K352" s="3" t="s">
        <v>171</v>
      </c>
      <c r="L352" s="19" t="s">
        <v>172</v>
      </c>
      <c r="M352" s="19"/>
    </row>
    <row r="353" spans="1:18" ht="17.25" thickBot="1" x14ac:dyDescent="0.35">
      <c r="A353" s="6">
        <v>1</v>
      </c>
      <c r="B353" s="11">
        <v>0</v>
      </c>
      <c r="C353" s="2">
        <v>15439</v>
      </c>
      <c r="D353" s="2">
        <v>7456553</v>
      </c>
      <c r="E353" s="2">
        <v>96267</v>
      </c>
      <c r="F353" s="2">
        <v>24.648199999999999</v>
      </c>
      <c r="G353" s="2">
        <v>0.23849999999999999</v>
      </c>
      <c r="H353" s="2">
        <v>24.180499999999999</v>
      </c>
      <c r="I353" s="2">
        <v>25.1158</v>
      </c>
      <c r="J353" s="2">
        <v>99.618899999999996</v>
      </c>
      <c r="K353" s="2">
        <v>5.4600000000000003E-2</v>
      </c>
      <c r="L353" s="2">
        <v>99.511799999999994</v>
      </c>
      <c r="M353" s="2">
        <v>99.726100000000002</v>
      </c>
      <c r="O353" t="str">
        <f t="shared" ref="O353:O354" si="81">TEXT(J353,"0.00")&amp;" ("&amp;TEXT(L353,"0.00")&amp;" to "&amp;TEXT(M353,"0.00")&amp;")"</f>
        <v>99.62 (99.51 to 99.73)</v>
      </c>
      <c r="P353" t="str">
        <f>O356</f>
        <v>99.25 (99.12 to 99.38)</v>
      </c>
      <c r="Q353" t="str">
        <f>O359</f>
        <v>98.49 (98.31 to 98.67)</v>
      </c>
      <c r="R353" t="str">
        <f>O362</f>
        <v>97.55 (97.31 to 97.79)</v>
      </c>
    </row>
    <row r="354" spans="1:18" ht="17.25" thickBot="1" x14ac:dyDescent="0.35">
      <c r="A354" s="6"/>
      <c r="B354" s="11">
        <v>1</v>
      </c>
      <c r="C354" s="2">
        <v>75</v>
      </c>
      <c r="D354" s="2">
        <v>28523</v>
      </c>
      <c r="E354" s="2">
        <v>4103</v>
      </c>
      <c r="F354" s="2">
        <v>9.4299999999999995E-2</v>
      </c>
      <c r="G354" s="2">
        <v>1.35E-2</v>
      </c>
      <c r="H354" s="2">
        <v>6.7699999999999996E-2</v>
      </c>
      <c r="I354" s="2">
        <v>0.12089999999999999</v>
      </c>
      <c r="J354" s="2">
        <v>0.38109999999999999</v>
      </c>
      <c r="K354" s="2">
        <v>5.4600000000000003E-2</v>
      </c>
      <c r="L354" s="2">
        <v>0.27389999999999998</v>
      </c>
      <c r="M354" s="2">
        <v>0.48820000000000002</v>
      </c>
      <c r="O354" t="str">
        <f t="shared" si="81"/>
        <v>0.38 (0.27 to 0.49)</v>
      </c>
      <c r="P354" t="str">
        <f>O357</f>
        <v>0.75 (0.62 to 0.88)</v>
      </c>
      <c r="Q354" t="str">
        <f>O360</f>
        <v>1.51 (1.33 to 1.69)</v>
      </c>
      <c r="R354" t="str">
        <f>O363</f>
        <v>2.45 (2.21 to 2.69)</v>
      </c>
    </row>
    <row r="355" spans="1:18" ht="17.25" thickBot="1" x14ac:dyDescent="0.35">
      <c r="A355" s="6"/>
      <c r="B355" s="11" t="s">
        <v>153</v>
      </c>
      <c r="C355" s="2">
        <v>15514</v>
      </c>
      <c r="D355" s="2">
        <v>7485076</v>
      </c>
      <c r="E355" s="2">
        <v>96512</v>
      </c>
      <c r="F355" s="2">
        <v>24.7425</v>
      </c>
      <c r="G355" s="2">
        <v>0.23899999999999999</v>
      </c>
      <c r="H355" s="2">
        <v>24.273700000000002</v>
      </c>
      <c r="I355" s="2">
        <v>25.211200000000002</v>
      </c>
      <c r="J355" s="2">
        <v>100</v>
      </c>
      <c r="K355" s="2"/>
      <c r="L355" s="2"/>
      <c r="M355" s="2"/>
    </row>
    <row r="356" spans="1:18" ht="17.25" thickBot="1" x14ac:dyDescent="0.35">
      <c r="A356" s="6">
        <v>2</v>
      </c>
      <c r="B356" s="11">
        <v>0</v>
      </c>
      <c r="C356" s="2">
        <v>17275</v>
      </c>
      <c r="D356" s="2">
        <v>7920773</v>
      </c>
      <c r="E356" s="2">
        <v>89462</v>
      </c>
      <c r="F356" s="2">
        <v>26.182700000000001</v>
      </c>
      <c r="G356" s="2">
        <v>0.20619999999999999</v>
      </c>
      <c r="H356" s="2">
        <v>25.778400000000001</v>
      </c>
      <c r="I356" s="2">
        <v>26.587</v>
      </c>
      <c r="J356" s="2">
        <v>99.251199999999997</v>
      </c>
      <c r="K356" s="2">
        <v>6.5000000000000002E-2</v>
      </c>
      <c r="L356" s="2">
        <v>99.123800000000003</v>
      </c>
      <c r="M356" s="2">
        <v>99.378600000000006</v>
      </c>
      <c r="O356" t="str">
        <f t="shared" ref="O356:O357" si="82">TEXT(J356,"0.00")&amp;" ("&amp;TEXT(L356,"0.00")&amp;" to "&amp;TEXT(M356,"0.00")&amp;")"</f>
        <v>99.25 (99.12 to 99.38)</v>
      </c>
    </row>
    <row r="357" spans="1:18" ht="17.25" thickBot="1" x14ac:dyDescent="0.35">
      <c r="A357" s="6"/>
      <c r="B357" s="11">
        <v>1</v>
      </c>
      <c r="C357" s="2">
        <v>196</v>
      </c>
      <c r="D357" s="2">
        <v>59758</v>
      </c>
      <c r="E357" s="2">
        <v>5188</v>
      </c>
      <c r="F357" s="2">
        <v>0.19750000000000001</v>
      </c>
      <c r="G357" s="2">
        <v>1.7100000000000001E-2</v>
      </c>
      <c r="H357" s="2">
        <v>0.16400000000000001</v>
      </c>
      <c r="I357" s="2">
        <v>0.2311</v>
      </c>
      <c r="J357" s="2">
        <v>0.74880000000000002</v>
      </c>
      <c r="K357" s="2">
        <v>6.5000000000000002E-2</v>
      </c>
      <c r="L357" s="2">
        <v>0.62139999999999995</v>
      </c>
      <c r="M357" s="2">
        <v>0.87619999999999998</v>
      </c>
      <c r="O357" t="str">
        <f t="shared" si="82"/>
        <v>0.75 (0.62 to 0.88)</v>
      </c>
    </row>
    <row r="358" spans="1:18" ht="17.25" thickBot="1" x14ac:dyDescent="0.35">
      <c r="A358" s="6"/>
      <c r="B358" s="11" t="s">
        <v>153</v>
      </c>
      <c r="C358" s="2">
        <v>17471</v>
      </c>
      <c r="D358" s="2">
        <v>7980531</v>
      </c>
      <c r="E358" s="2">
        <v>89661</v>
      </c>
      <c r="F358" s="2">
        <v>26.380199999999999</v>
      </c>
      <c r="G358" s="2">
        <v>0.20599999999999999</v>
      </c>
      <c r="H358" s="2">
        <v>25.976199999999999</v>
      </c>
      <c r="I358" s="2">
        <v>26.784199999999998</v>
      </c>
      <c r="J358" s="2">
        <v>100</v>
      </c>
      <c r="K358" s="2"/>
      <c r="L358" s="2"/>
      <c r="M358" s="2"/>
    </row>
    <row r="359" spans="1:18" ht="17.25" thickBot="1" x14ac:dyDescent="0.35">
      <c r="A359" s="6">
        <v>3</v>
      </c>
      <c r="B359" s="11">
        <v>0</v>
      </c>
      <c r="C359" s="2">
        <v>17609</v>
      </c>
      <c r="D359" s="2">
        <v>7594806</v>
      </c>
      <c r="E359" s="2">
        <v>83822</v>
      </c>
      <c r="F359" s="2">
        <v>25.1052</v>
      </c>
      <c r="G359" s="2">
        <v>0.2049</v>
      </c>
      <c r="H359" s="2">
        <v>24.703399999999998</v>
      </c>
      <c r="I359" s="2">
        <v>25.506900000000002</v>
      </c>
      <c r="J359" s="2">
        <v>98.490099999999998</v>
      </c>
      <c r="K359" s="2">
        <v>9.1600000000000001E-2</v>
      </c>
      <c r="L359" s="2">
        <v>98.310500000000005</v>
      </c>
      <c r="M359" s="2">
        <v>98.669799999999995</v>
      </c>
      <c r="O359" t="str">
        <f t="shared" ref="O359:O360" si="83">TEXT(J359,"0.00")&amp;" ("&amp;TEXT(L359,"0.00")&amp;" to "&amp;TEXT(M359,"0.00")&amp;")"</f>
        <v>98.49 (98.31 to 98.67)</v>
      </c>
    </row>
    <row r="360" spans="1:18" ht="17.25" thickBot="1" x14ac:dyDescent="0.35">
      <c r="A360" s="6"/>
      <c r="B360" s="11">
        <v>1</v>
      </c>
      <c r="C360" s="2">
        <v>379</v>
      </c>
      <c r="D360" s="2">
        <v>116429</v>
      </c>
      <c r="E360" s="2">
        <v>7115</v>
      </c>
      <c r="F360" s="2">
        <v>0.38490000000000002</v>
      </c>
      <c r="G360" s="2">
        <v>2.35E-2</v>
      </c>
      <c r="H360" s="2">
        <v>0.33879999999999999</v>
      </c>
      <c r="I360" s="2">
        <v>0.43099999999999999</v>
      </c>
      <c r="J360" s="2">
        <v>1.5099</v>
      </c>
      <c r="K360" s="2">
        <v>9.1600000000000001E-2</v>
      </c>
      <c r="L360" s="2">
        <v>1.3302</v>
      </c>
      <c r="M360" s="2">
        <v>1.6895</v>
      </c>
      <c r="O360" t="str">
        <f t="shared" si="83"/>
        <v>1.51 (1.33 to 1.69)</v>
      </c>
    </row>
    <row r="361" spans="1:18" ht="17.25" thickBot="1" x14ac:dyDescent="0.35">
      <c r="A361" s="6"/>
      <c r="B361" s="11" t="s">
        <v>153</v>
      </c>
      <c r="C361" s="2">
        <v>17988</v>
      </c>
      <c r="D361" s="2">
        <v>7711235</v>
      </c>
      <c r="E361" s="2">
        <v>84434</v>
      </c>
      <c r="F361" s="2">
        <v>25.490100000000002</v>
      </c>
      <c r="G361" s="2">
        <v>0.20630000000000001</v>
      </c>
      <c r="H361" s="2">
        <v>25.0855</v>
      </c>
      <c r="I361" s="2">
        <v>25.894600000000001</v>
      </c>
      <c r="J361" s="2">
        <v>100</v>
      </c>
      <c r="K361" s="2"/>
      <c r="L361" s="2"/>
      <c r="M361" s="2"/>
    </row>
    <row r="362" spans="1:18" ht="17.25" thickBot="1" x14ac:dyDescent="0.35">
      <c r="A362" s="6">
        <v>4</v>
      </c>
      <c r="B362" s="11">
        <v>0</v>
      </c>
      <c r="C362" s="2">
        <v>17111</v>
      </c>
      <c r="D362" s="2">
        <v>6902060</v>
      </c>
      <c r="E362" s="2">
        <v>77477</v>
      </c>
      <c r="F362" s="2">
        <v>22.815300000000001</v>
      </c>
      <c r="G362" s="2">
        <v>0.21809999999999999</v>
      </c>
      <c r="H362" s="2">
        <v>22.387699999999999</v>
      </c>
      <c r="I362" s="2">
        <v>23.242799999999999</v>
      </c>
      <c r="J362" s="2">
        <v>97.554299999999998</v>
      </c>
      <c r="K362" s="2">
        <v>0.1222</v>
      </c>
      <c r="L362" s="2">
        <v>97.314700000000002</v>
      </c>
      <c r="M362" s="2">
        <v>97.793899999999994</v>
      </c>
      <c r="O362" t="str">
        <f t="shared" ref="O362:O363" si="84">TEXT(J362,"0.00")&amp;" ("&amp;TEXT(L362,"0.00")&amp;" to "&amp;TEXT(M362,"0.00")&amp;")"</f>
        <v>97.55 (97.31 to 97.79)</v>
      </c>
    </row>
    <row r="363" spans="1:18" ht="17.25" thickBot="1" x14ac:dyDescent="0.35">
      <c r="A363" s="6"/>
      <c r="B363" s="11">
        <v>1</v>
      </c>
      <c r="C363" s="2">
        <v>551</v>
      </c>
      <c r="D363" s="2">
        <v>173035</v>
      </c>
      <c r="E363" s="2">
        <v>8812</v>
      </c>
      <c r="F363" s="2">
        <v>0.57199999999999995</v>
      </c>
      <c r="G363" s="2">
        <v>2.9000000000000001E-2</v>
      </c>
      <c r="H363" s="2">
        <v>0.51519999999999999</v>
      </c>
      <c r="I363" s="2">
        <v>0.62880000000000003</v>
      </c>
      <c r="J363" s="2">
        <v>2.4457</v>
      </c>
      <c r="K363" s="2">
        <v>0.1222</v>
      </c>
      <c r="L363" s="2">
        <v>2.2061000000000002</v>
      </c>
      <c r="M363" s="2">
        <v>2.6852999999999998</v>
      </c>
      <c r="O363" t="str">
        <f t="shared" si="84"/>
        <v>2.45 (2.21 to 2.69)</v>
      </c>
    </row>
    <row r="364" spans="1:18" ht="17.25" thickBot="1" x14ac:dyDescent="0.35">
      <c r="A364" s="6"/>
      <c r="B364" s="11" t="s">
        <v>153</v>
      </c>
      <c r="C364" s="2">
        <v>17662</v>
      </c>
      <c r="D364" s="2">
        <v>7075094</v>
      </c>
      <c r="E364" s="2">
        <v>78713</v>
      </c>
      <c r="F364" s="2">
        <v>23.3872</v>
      </c>
      <c r="G364" s="2">
        <v>0.221</v>
      </c>
      <c r="H364" s="2">
        <v>22.954000000000001</v>
      </c>
      <c r="I364" s="2">
        <v>23.820499999999999</v>
      </c>
      <c r="J364" s="2">
        <v>100</v>
      </c>
      <c r="K364" s="2"/>
      <c r="L364" s="2"/>
      <c r="M364" s="2"/>
    </row>
    <row r="365" spans="1:18" ht="17.25" thickBot="1" x14ac:dyDescent="0.35">
      <c r="A365" s="6" t="s">
        <v>153</v>
      </c>
      <c r="B365" s="11">
        <v>0</v>
      </c>
      <c r="C365" s="2">
        <v>67434</v>
      </c>
      <c r="D365" s="2">
        <v>29874191</v>
      </c>
      <c r="E365" s="2">
        <v>227215</v>
      </c>
      <c r="F365" s="2">
        <v>98.751300000000001</v>
      </c>
      <c r="G365" s="2">
        <v>4.3299999999999998E-2</v>
      </c>
      <c r="H365" s="2">
        <v>98.666499999999999</v>
      </c>
      <c r="I365" s="2">
        <v>98.836200000000005</v>
      </c>
      <c r="J365" s="2"/>
      <c r="K365" s="2"/>
      <c r="L365" s="2"/>
      <c r="M365" s="2"/>
    </row>
    <row r="366" spans="1:18" ht="17.25" thickBot="1" x14ac:dyDescent="0.35">
      <c r="A366" s="6"/>
      <c r="B366" s="11">
        <v>1</v>
      </c>
      <c r="C366" s="2">
        <v>1201</v>
      </c>
      <c r="D366" s="2">
        <v>377745</v>
      </c>
      <c r="E366" s="2">
        <v>13202</v>
      </c>
      <c r="F366" s="2">
        <v>1.2486999999999999</v>
      </c>
      <c r="G366" s="2">
        <v>4.3299999999999998E-2</v>
      </c>
      <c r="H366" s="2">
        <v>1.1637999999999999</v>
      </c>
      <c r="I366" s="2">
        <v>1.3334999999999999</v>
      </c>
      <c r="J366" s="2"/>
      <c r="K366" s="2"/>
      <c r="L366" s="2"/>
      <c r="M366" s="2"/>
    </row>
    <row r="367" spans="1:18" x14ac:dyDescent="0.3">
      <c r="A367" s="6"/>
      <c r="B367" s="14" t="s">
        <v>153</v>
      </c>
      <c r="C367" s="2">
        <v>68635</v>
      </c>
      <c r="D367" s="2">
        <v>30251936</v>
      </c>
      <c r="E367" s="2">
        <v>228758</v>
      </c>
      <c r="F367" s="2">
        <v>100</v>
      </c>
      <c r="G367" s="2"/>
      <c r="H367" s="2"/>
      <c r="I367" s="2"/>
      <c r="J367" s="2"/>
      <c r="K367" s="2"/>
      <c r="L367" s="2"/>
      <c r="M367" s="2"/>
    </row>
  </sheetData>
  <autoFilter ref="B1:B367" xr:uid="{8CF1E065-6782-4D86-B355-59AA10E38420}"/>
  <mergeCells count="146">
    <mergeCell ref="A5:B5"/>
    <mergeCell ref="A11:B11"/>
    <mergeCell ref="A15:M15"/>
    <mergeCell ref="A16:A17"/>
    <mergeCell ref="B16:B17"/>
    <mergeCell ref="C16:C17"/>
    <mergeCell ref="F16:F17"/>
    <mergeCell ref="H16:I16"/>
    <mergeCell ref="L16:M16"/>
    <mergeCell ref="H17:I17"/>
    <mergeCell ref="L17:M17"/>
    <mergeCell ref="A39:M39"/>
    <mergeCell ref="A40:A41"/>
    <mergeCell ref="B40:B41"/>
    <mergeCell ref="C40:C41"/>
    <mergeCell ref="F40:F41"/>
    <mergeCell ref="H40:I40"/>
    <mergeCell ref="L40:M40"/>
    <mergeCell ref="H41:I41"/>
    <mergeCell ref="L41:M41"/>
    <mergeCell ref="A58:M58"/>
    <mergeCell ref="A59:A60"/>
    <mergeCell ref="B59:B60"/>
    <mergeCell ref="C59:C60"/>
    <mergeCell ref="F59:F60"/>
    <mergeCell ref="H59:I59"/>
    <mergeCell ref="L59:M59"/>
    <mergeCell ref="H60:I60"/>
    <mergeCell ref="L60:M60"/>
    <mergeCell ref="A77:M77"/>
    <mergeCell ref="A78:A79"/>
    <mergeCell ref="B78:B79"/>
    <mergeCell ref="C78:C79"/>
    <mergeCell ref="F78:F79"/>
    <mergeCell ref="H78:I78"/>
    <mergeCell ref="L78:M78"/>
    <mergeCell ref="H79:I79"/>
    <mergeCell ref="L79:M79"/>
    <mergeCell ref="A106:M106"/>
    <mergeCell ref="A107:A108"/>
    <mergeCell ref="B107:B108"/>
    <mergeCell ref="C107:C108"/>
    <mergeCell ref="F107:F108"/>
    <mergeCell ref="H107:I107"/>
    <mergeCell ref="L107:M107"/>
    <mergeCell ref="H108:I108"/>
    <mergeCell ref="L108:M108"/>
    <mergeCell ref="A135:M135"/>
    <mergeCell ref="A136:A137"/>
    <mergeCell ref="B136:B137"/>
    <mergeCell ref="C136:C137"/>
    <mergeCell ref="F136:F137"/>
    <mergeCell ref="H136:I136"/>
    <mergeCell ref="L136:M136"/>
    <mergeCell ref="H137:I137"/>
    <mergeCell ref="L137:M137"/>
    <mergeCell ref="A164:M164"/>
    <mergeCell ref="A165:A166"/>
    <mergeCell ref="B165:B166"/>
    <mergeCell ref="C165:C166"/>
    <mergeCell ref="F165:F166"/>
    <mergeCell ref="H165:I165"/>
    <mergeCell ref="L165:M165"/>
    <mergeCell ref="H166:I166"/>
    <mergeCell ref="L166:M166"/>
    <mergeCell ref="A183:M183"/>
    <mergeCell ref="A184:A185"/>
    <mergeCell ref="B184:B185"/>
    <mergeCell ref="C184:C185"/>
    <mergeCell ref="F184:F185"/>
    <mergeCell ref="H184:I184"/>
    <mergeCell ref="L184:M184"/>
    <mergeCell ref="H185:I185"/>
    <mergeCell ref="L185:M185"/>
    <mergeCell ref="A207:M207"/>
    <mergeCell ref="A208:A209"/>
    <mergeCell ref="B208:B209"/>
    <mergeCell ref="C208:C209"/>
    <mergeCell ref="F208:F209"/>
    <mergeCell ref="H208:I208"/>
    <mergeCell ref="L208:M208"/>
    <mergeCell ref="H209:I209"/>
    <mergeCell ref="L209:M209"/>
    <mergeCell ref="A231:M231"/>
    <mergeCell ref="A232:A233"/>
    <mergeCell ref="B232:B233"/>
    <mergeCell ref="C232:C233"/>
    <mergeCell ref="F232:F233"/>
    <mergeCell ref="H232:I232"/>
    <mergeCell ref="L232:M232"/>
    <mergeCell ref="H233:I233"/>
    <mergeCell ref="L233:M233"/>
    <mergeCell ref="A255:M255"/>
    <mergeCell ref="A256:A257"/>
    <mergeCell ref="B256:B257"/>
    <mergeCell ref="C256:C257"/>
    <mergeCell ref="F256:F257"/>
    <mergeCell ref="H256:I256"/>
    <mergeCell ref="L256:M256"/>
    <mergeCell ref="H257:I257"/>
    <mergeCell ref="L257:M257"/>
    <mergeCell ref="A274:M274"/>
    <mergeCell ref="A275:A276"/>
    <mergeCell ref="B275:B276"/>
    <mergeCell ref="C275:C276"/>
    <mergeCell ref="F275:F276"/>
    <mergeCell ref="H275:I275"/>
    <mergeCell ref="L275:M275"/>
    <mergeCell ref="H276:I276"/>
    <mergeCell ref="L276:M276"/>
    <mergeCell ref="A293:M293"/>
    <mergeCell ref="A294:A295"/>
    <mergeCell ref="B294:B295"/>
    <mergeCell ref="C294:C295"/>
    <mergeCell ref="F294:F295"/>
    <mergeCell ref="H294:I294"/>
    <mergeCell ref="L294:M294"/>
    <mergeCell ref="H295:I295"/>
    <mergeCell ref="L295:M295"/>
    <mergeCell ref="A312:M312"/>
    <mergeCell ref="A313:A314"/>
    <mergeCell ref="B313:B314"/>
    <mergeCell ref="C313:C314"/>
    <mergeCell ref="F313:F314"/>
    <mergeCell ref="H313:I313"/>
    <mergeCell ref="L313:M313"/>
    <mergeCell ref="H314:I314"/>
    <mergeCell ref="L314:M314"/>
    <mergeCell ref="A331:M331"/>
    <mergeCell ref="A332:A333"/>
    <mergeCell ref="B332:B333"/>
    <mergeCell ref="C332:C333"/>
    <mergeCell ref="F332:F333"/>
    <mergeCell ref="H332:I332"/>
    <mergeCell ref="L332:M332"/>
    <mergeCell ref="H333:I333"/>
    <mergeCell ref="L333:M333"/>
    <mergeCell ref="A350:M350"/>
    <mergeCell ref="A351:A352"/>
    <mergeCell ref="B351:B352"/>
    <mergeCell ref="C351:C352"/>
    <mergeCell ref="F351:F352"/>
    <mergeCell ref="H351:I351"/>
    <mergeCell ref="L351:M351"/>
    <mergeCell ref="H352:I352"/>
    <mergeCell ref="L352:M352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642D0-ECA8-4100-9B81-112372D078DE}">
  <dimension ref="A1:R367"/>
  <sheetViews>
    <sheetView workbookViewId="0">
      <selection activeCell="O353" sqref="O353:R354"/>
    </sheetView>
  </sheetViews>
  <sheetFormatPr defaultRowHeight="16.5" x14ac:dyDescent="0.3"/>
  <cols>
    <col min="15" max="18" width="20.5" bestFit="1" customWidth="1"/>
  </cols>
  <sheetData>
    <row r="1" spans="1:13" x14ac:dyDescent="0.3">
      <c r="A1" s="1" t="s">
        <v>134</v>
      </c>
    </row>
    <row r="3" spans="1:13" x14ac:dyDescent="0.3">
      <c r="A3" s="1" t="s">
        <v>21</v>
      </c>
    </row>
    <row r="4" spans="1:13" ht="17.25" thickBot="1" x14ac:dyDescent="0.35"/>
    <row r="5" spans="1:13" ht="16.5" customHeight="1" x14ac:dyDescent="0.3">
      <c r="A5" s="16" t="s">
        <v>135</v>
      </c>
      <c r="B5" s="18"/>
    </row>
    <row r="6" spans="1:13" ht="26.25" thickBot="1" x14ac:dyDescent="0.35">
      <c r="A6" s="12" t="s">
        <v>136</v>
      </c>
      <c r="B6" s="2">
        <v>183</v>
      </c>
    </row>
    <row r="7" spans="1:13" ht="26.25" thickBot="1" x14ac:dyDescent="0.35">
      <c r="A7" s="12" t="s">
        <v>137</v>
      </c>
      <c r="B7" s="2">
        <v>2982</v>
      </c>
    </row>
    <row r="8" spans="1:13" ht="39" thickBot="1" x14ac:dyDescent="0.35">
      <c r="A8" s="12" t="s">
        <v>138</v>
      </c>
      <c r="B8" s="2">
        <v>68635</v>
      </c>
    </row>
    <row r="9" spans="1:13" ht="25.5" x14ac:dyDescent="0.3">
      <c r="A9" s="13" t="s">
        <v>139</v>
      </c>
      <c r="B9" s="2">
        <v>30251935.699999999</v>
      </c>
    </row>
    <row r="10" spans="1:13" ht="17.25" thickBot="1" x14ac:dyDescent="0.35"/>
    <row r="11" spans="1:13" ht="33" customHeight="1" x14ac:dyDescent="0.3">
      <c r="A11" s="16" t="s">
        <v>140</v>
      </c>
      <c r="B11" s="18"/>
    </row>
    <row r="12" spans="1:13" ht="33.75" thickBot="1" x14ac:dyDescent="0.35">
      <c r="A12" s="12" t="s">
        <v>141</v>
      </c>
      <c r="B12" s="2" t="s">
        <v>142</v>
      </c>
    </row>
    <row r="13" spans="1:13" ht="25.5" x14ac:dyDescent="0.3">
      <c r="A13" s="13" t="s">
        <v>143</v>
      </c>
      <c r="B13" s="2" t="s">
        <v>144</v>
      </c>
    </row>
    <row r="14" spans="1:13" ht="17.25" thickBot="1" x14ac:dyDescent="0.35"/>
    <row r="15" spans="1:13" ht="16.5" customHeight="1" x14ac:dyDescent="0.3">
      <c r="A15" s="16" t="s">
        <v>204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ht="33" customHeight="1" x14ac:dyDescent="0.3">
      <c r="A16" s="17" t="s">
        <v>60</v>
      </c>
      <c r="B16" s="19" t="s">
        <v>2</v>
      </c>
      <c r="C16" s="19" t="s">
        <v>146</v>
      </c>
      <c r="D16" s="3" t="s">
        <v>147</v>
      </c>
      <c r="E16" s="3" t="s">
        <v>148</v>
      </c>
      <c r="F16" s="19" t="s">
        <v>150</v>
      </c>
      <c r="G16" s="3" t="s">
        <v>148</v>
      </c>
      <c r="H16" s="19" t="s">
        <v>151</v>
      </c>
      <c r="I16" s="19"/>
      <c r="J16" s="3" t="s">
        <v>170</v>
      </c>
      <c r="K16" s="3" t="s">
        <v>148</v>
      </c>
      <c r="L16" s="19" t="s">
        <v>151</v>
      </c>
      <c r="M16" s="19"/>
    </row>
    <row r="17" spans="1:18" ht="33" x14ac:dyDescent="0.3">
      <c r="A17" s="17"/>
      <c r="B17" s="19"/>
      <c r="C17" s="19"/>
      <c r="D17" s="3" t="s">
        <v>146</v>
      </c>
      <c r="E17" s="3" t="s">
        <v>149</v>
      </c>
      <c r="F17" s="19"/>
      <c r="G17" s="3" t="s">
        <v>150</v>
      </c>
      <c r="H17" s="19" t="s">
        <v>152</v>
      </c>
      <c r="I17" s="19"/>
      <c r="J17" s="3" t="s">
        <v>150</v>
      </c>
      <c r="K17" s="3" t="s">
        <v>171</v>
      </c>
      <c r="L17" s="19" t="s">
        <v>172</v>
      </c>
      <c r="M17" s="19"/>
    </row>
    <row r="18" spans="1:18" ht="17.25" thickBot="1" x14ac:dyDescent="0.35">
      <c r="A18" s="6">
        <v>1</v>
      </c>
      <c r="B18" s="11">
        <v>1</v>
      </c>
      <c r="C18" s="2">
        <v>7343</v>
      </c>
      <c r="D18" s="2">
        <v>3927192</v>
      </c>
      <c r="E18" s="2">
        <v>62929</v>
      </c>
      <c r="F18" s="2">
        <v>12.9816</v>
      </c>
      <c r="G18" s="2">
        <v>0.1734</v>
      </c>
      <c r="H18" s="2">
        <v>12.6417</v>
      </c>
      <c r="I18" s="2">
        <v>13.3216</v>
      </c>
      <c r="J18" s="2">
        <v>52.5535</v>
      </c>
      <c r="K18" s="2">
        <v>0.48099999999999998</v>
      </c>
      <c r="L18" s="2">
        <v>51.610300000000002</v>
      </c>
      <c r="M18" s="2">
        <v>53.496699999999997</v>
      </c>
      <c r="O18" t="str">
        <f>TEXT(J18,"0.00")&amp;" ("&amp;TEXT(L18,"0.00")&amp;" to "&amp;TEXT(M18,"0.00")&amp;")"</f>
        <v>52.55 (51.61 to 53.50)</v>
      </c>
      <c r="P18" t="str">
        <f>O22</f>
        <v>42.30 (41.30 to 43.30)</v>
      </c>
      <c r="Q18" t="str">
        <f>O26</f>
        <v>33.33 (32.33 to 34.33)</v>
      </c>
      <c r="R18" t="str">
        <f>O30</f>
        <v>29.03 (28.09 to 29.96)</v>
      </c>
    </row>
    <row r="19" spans="1:18" ht="17.25" thickBot="1" x14ac:dyDescent="0.35">
      <c r="A19" s="6"/>
      <c r="B19" s="11">
        <v>2</v>
      </c>
      <c r="C19" s="2">
        <v>7026</v>
      </c>
      <c r="D19" s="2">
        <v>2932589</v>
      </c>
      <c r="E19" s="2">
        <v>45820</v>
      </c>
      <c r="F19" s="2">
        <v>9.6938999999999993</v>
      </c>
      <c r="G19" s="2">
        <v>0.13150000000000001</v>
      </c>
      <c r="H19" s="2">
        <v>9.4359999999999999</v>
      </c>
      <c r="I19" s="2">
        <v>9.9518000000000004</v>
      </c>
      <c r="J19" s="2">
        <v>39.2438</v>
      </c>
      <c r="K19" s="2">
        <v>0.44280000000000003</v>
      </c>
      <c r="L19" s="2">
        <v>38.375500000000002</v>
      </c>
      <c r="M19" s="2">
        <v>40.112099999999998</v>
      </c>
      <c r="O19" t="str">
        <f t="shared" ref="O19:O20" si="0">TEXT(J19,"0.00")&amp;" ("&amp;TEXT(L19,"0.00")&amp;" to "&amp;TEXT(M19,"0.00")&amp;")"</f>
        <v>39.24 (38.38 to 40.11)</v>
      </c>
      <c r="P19" t="str">
        <f t="shared" ref="P19:P20" si="1">O23</f>
        <v>45.16 (44.23 to 46.09)</v>
      </c>
      <c r="Q19" t="str">
        <f t="shared" ref="Q19:Q20" si="2">O27</f>
        <v>51.38 (50.42 to 52.34)</v>
      </c>
      <c r="R19" t="str">
        <f t="shared" ref="R19:R20" si="3">O31</f>
        <v>57.47 (56.55 to 58.39)</v>
      </c>
    </row>
    <row r="20" spans="1:18" ht="17.25" thickBot="1" x14ac:dyDescent="0.35">
      <c r="A20" s="6"/>
      <c r="B20" s="11">
        <v>3</v>
      </c>
      <c r="C20" s="2">
        <v>2278</v>
      </c>
      <c r="D20" s="2">
        <v>612967</v>
      </c>
      <c r="E20" s="2">
        <v>15882</v>
      </c>
      <c r="F20" s="2">
        <v>2.0261999999999998</v>
      </c>
      <c r="G20" s="2">
        <v>5.3199999999999997E-2</v>
      </c>
      <c r="H20" s="2">
        <v>1.9218</v>
      </c>
      <c r="I20" s="2">
        <v>2.1305999999999998</v>
      </c>
      <c r="J20" s="2">
        <v>8.2027000000000001</v>
      </c>
      <c r="K20" s="2">
        <v>0.2155</v>
      </c>
      <c r="L20" s="2">
        <v>7.7801</v>
      </c>
      <c r="M20" s="2">
        <v>8.6252999999999993</v>
      </c>
      <c r="O20" t="str">
        <f t="shared" si="0"/>
        <v>8.20 (7.78 to 8.63)</v>
      </c>
      <c r="P20" t="str">
        <f t="shared" si="1"/>
        <v>12.54 (11.97 to 13.11)</v>
      </c>
      <c r="Q20" t="str">
        <f t="shared" si="2"/>
        <v>15.29 (14.67 to 15.91)</v>
      </c>
      <c r="R20" t="str">
        <f t="shared" si="3"/>
        <v>13.50 (12.96 to 14.04)</v>
      </c>
    </row>
    <row r="21" spans="1:18" ht="17.25" thickBot="1" x14ac:dyDescent="0.35">
      <c r="A21" s="6"/>
      <c r="B21" s="11" t="s">
        <v>153</v>
      </c>
      <c r="C21" s="2">
        <v>16647</v>
      </c>
      <c r="D21" s="2">
        <v>7472748</v>
      </c>
      <c r="E21" s="2">
        <v>86882</v>
      </c>
      <c r="F21" s="2">
        <v>24.701699999999999</v>
      </c>
      <c r="G21" s="2">
        <v>0.20949999999999999</v>
      </c>
      <c r="H21" s="2">
        <v>24.290900000000001</v>
      </c>
      <c r="I21" s="2">
        <v>25.1126</v>
      </c>
      <c r="J21" s="2">
        <v>100</v>
      </c>
      <c r="K21" s="2"/>
      <c r="L21" s="2"/>
      <c r="M21" s="2"/>
    </row>
    <row r="22" spans="1:18" ht="17.25" thickBot="1" x14ac:dyDescent="0.35">
      <c r="A22" s="6">
        <v>2</v>
      </c>
      <c r="B22" s="11">
        <v>1</v>
      </c>
      <c r="C22" s="2">
        <v>5521</v>
      </c>
      <c r="D22" s="2">
        <v>3113765</v>
      </c>
      <c r="E22" s="2">
        <v>56233</v>
      </c>
      <c r="F22" s="2">
        <v>10.2928</v>
      </c>
      <c r="G22" s="2">
        <v>0.1595</v>
      </c>
      <c r="H22" s="2">
        <v>9.98</v>
      </c>
      <c r="I22" s="2">
        <v>10.605600000000001</v>
      </c>
      <c r="J22" s="2">
        <v>42.298000000000002</v>
      </c>
      <c r="K22" s="2">
        <v>0.51090000000000002</v>
      </c>
      <c r="L22" s="2">
        <v>41.296199999999999</v>
      </c>
      <c r="M22" s="2">
        <v>43.299799999999998</v>
      </c>
      <c r="O22" t="str">
        <f t="shared" ref="O22:O24" si="4">TEXT(J22,"0.00")&amp;" ("&amp;TEXT(L22,"0.00")&amp;" to "&amp;TEXT(M22,"0.00")&amp;")"</f>
        <v>42.30 (41.30 to 43.30)</v>
      </c>
    </row>
    <row r="23" spans="1:18" ht="17.25" thickBot="1" x14ac:dyDescent="0.35">
      <c r="A23" s="6"/>
      <c r="B23" s="11">
        <v>2</v>
      </c>
      <c r="C23" s="2">
        <v>7801</v>
      </c>
      <c r="D23" s="2">
        <v>3324735</v>
      </c>
      <c r="E23" s="2">
        <v>50763</v>
      </c>
      <c r="F23" s="2">
        <v>10.9902</v>
      </c>
      <c r="G23" s="2">
        <v>0.14399999999999999</v>
      </c>
      <c r="H23" s="2">
        <v>10.707800000000001</v>
      </c>
      <c r="I23" s="2">
        <v>11.272500000000001</v>
      </c>
      <c r="J23" s="2">
        <v>45.163800000000002</v>
      </c>
      <c r="K23" s="2">
        <v>0.47460000000000002</v>
      </c>
      <c r="L23" s="2">
        <v>44.2331</v>
      </c>
      <c r="M23" s="2">
        <v>46.094499999999996</v>
      </c>
      <c r="O23" t="str">
        <f t="shared" si="4"/>
        <v>45.16 (44.23 to 46.09)</v>
      </c>
    </row>
    <row r="24" spans="1:18" ht="17.25" thickBot="1" x14ac:dyDescent="0.35">
      <c r="A24" s="6"/>
      <c r="B24" s="11">
        <v>3</v>
      </c>
      <c r="C24" s="2">
        <v>3457</v>
      </c>
      <c r="D24" s="2">
        <v>922999</v>
      </c>
      <c r="E24" s="2">
        <v>21054</v>
      </c>
      <c r="F24" s="2">
        <v>3.0510000000000002</v>
      </c>
      <c r="G24" s="2">
        <v>7.1099999999999997E-2</v>
      </c>
      <c r="H24" s="2">
        <v>2.9116</v>
      </c>
      <c r="I24" s="2">
        <v>3.1905000000000001</v>
      </c>
      <c r="J24" s="2">
        <v>12.5382</v>
      </c>
      <c r="K24" s="2">
        <v>0.29099999999999998</v>
      </c>
      <c r="L24" s="2">
        <v>11.967599999999999</v>
      </c>
      <c r="M24" s="2">
        <v>13.1088</v>
      </c>
      <c r="O24" t="str">
        <f t="shared" si="4"/>
        <v>12.54 (11.97 to 13.11)</v>
      </c>
    </row>
    <row r="25" spans="1:18" ht="17.25" thickBot="1" x14ac:dyDescent="0.35">
      <c r="A25" s="6"/>
      <c r="B25" s="11" t="s">
        <v>153</v>
      </c>
      <c r="C25" s="2">
        <v>16779</v>
      </c>
      <c r="D25" s="2">
        <v>7361499</v>
      </c>
      <c r="E25" s="2">
        <v>83717</v>
      </c>
      <c r="F25" s="2">
        <v>24.334</v>
      </c>
      <c r="G25" s="2">
        <v>0.20080000000000001</v>
      </c>
      <c r="H25" s="2">
        <v>23.940200000000001</v>
      </c>
      <c r="I25" s="2">
        <v>24.727799999999998</v>
      </c>
      <c r="J25" s="2">
        <v>100</v>
      </c>
      <c r="K25" s="2"/>
      <c r="L25" s="2"/>
      <c r="M25" s="2"/>
    </row>
    <row r="26" spans="1:18" ht="17.25" thickBot="1" x14ac:dyDescent="0.35">
      <c r="A26" s="6">
        <v>3</v>
      </c>
      <c r="B26" s="11">
        <v>1</v>
      </c>
      <c r="C26" s="2">
        <v>4278</v>
      </c>
      <c r="D26" s="2">
        <v>2465030</v>
      </c>
      <c r="E26" s="2">
        <v>49309</v>
      </c>
      <c r="F26" s="2">
        <v>8.1483000000000008</v>
      </c>
      <c r="G26" s="2">
        <v>0.1462</v>
      </c>
      <c r="H26" s="2">
        <v>7.8616999999999999</v>
      </c>
      <c r="I26" s="2">
        <v>8.4350000000000005</v>
      </c>
      <c r="J26" s="2">
        <v>33.330199999999998</v>
      </c>
      <c r="K26" s="2">
        <v>0.50800000000000001</v>
      </c>
      <c r="L26" s="2">
        <v>32.334099999999999</v>
      </c>
      <c r="M26" s="2">
        <v>34.326300000000003</v>
      </c>
      <c r="O26" t="str">
        <f t="shared" ref="O26:O28" si="5">TEXT(J26,"0.00")&amp;" ("&amp;TEXT(L26,"0.00")&amp;" to "&amp;TEXT(M26,"0.00")&amp;")"</f>
        <v>33.33 (32.33 to 34.33)</v>
      </c>
    </row>
    <row r="27" spans="1:18" ht="17.25" thickBot="1" x14ac:dyDescent="0.35">
      <c r="A27" s="6"/>
      <c r="B27" s="11">
        <v>2</v>
      </c>
      <c r="C27" s="2">
        <v>8628</v>
      </c>
      <c r="D27" s="2">
        <v>3799933</v>
      </c>
      <c r="E27" s="2">
        <v>55653</v>
      </c>
      <c r="F27" s="2">
        <v>12.561</v>
      </c>
      <c r="G27" s="2">
        <v>0.1522</v>
      </c>
      <c r="H27" s="2">
        <v>12.2624</v>
      </c>
      <c r="I27" s="2">
        <v>12.859500000000001</v>
      </c>
      <c r="J27" s="2">
        <v>51.3797</v>
      </c>
      <c r="K27" s="2">
        <v>0.48770000000000002</v>
      </c>
      <c r="L27" s="2">
        <v>50.423499999999997</v>
      </c>
      <c r="M27" s="2">
        <v>52.335900000000002</v>
      </c>
      <c r="O27" t="str">
        <f t="shared" si="5"/>
        <v>51.38 (50.42 to 52.34)</v>
      </c>
    </row>
    <row r="28" spans="1:18" ht="17.25" thickBot="1" x14ac:dyDescent="0.35">
      <c r="A28" s="6"/>
      <c r="B28" s="11">
        <v>3</v>
      </c>
      <c r="C28" s="2">
        <v>4257</v>
      </c>
      <c r="D28" s="2">
        <v>1130825</v>
      </c>
      <c r="E28" s="2">
        <v>23584</v>
      </c>
      <c r="F28" s="2">
        <v>3.738</v>
      </c>
      <c r="G28" s="2">
        <v>7.9600000000000004E-2</v>
      </c>
      <c r="H28" s="2">
        <v>3.5819000000000001</v>
      </c>
      <c r="I28" s="2">
        <v>3.8940999999999999</v>
      </c>
      <c r="J28" s="2">
        <v>15.290100000000001</v>
      </c>
      <c r="K28" s="2">
        <v>0.31519999999999998</v>
      </c>
      <c r="L28" s="2">
        <v>14.6721</v>
      </c>
      <c r="M28" s="2">
        <v>15.908099999999999</v>
      </c>
      <c r="O28" t="str">
        <f t="shared" si="5"/>
        <v>15.29 (14.67 to 15.91)</v>
      </c>
    </row>
    <row r="29" spans="1:18" ht="17.25" thickBot="1" x14ac:dyDescent="0.35">
      <c r="A29" s="6"/>
      <c r="B29" s="11" t="s">
        <v>153</v>
      </c>
      <c r="C29" s="2">
        <v>17163</v>
      </c>
      <c r="D29" s="2">
        <v>7395788</v>
      </c>
      <c r="E29" s="2">
        <v>81488</v>
      </c>
      <c r="F29" s="2">
        <v>24.447299999999998</v>
      </c>
      <c r="G29" s="2">
        <v>0.19470000000000001</v>
      </c>
      <c r="H29" s="2">
        <v>24.0655</v>
      </c>
      <c r="I29" s="2">
        <v>24.8291</v>
      </c>
      <c r="J29" s="2">
        <v>100</v>
      </c>
      <c r="K29" s="2"/>
      <c r="L29" s="2"/>
      <c r="M29" s="2"/>
    </row>
    <row r="30" spans="1:18" ht="17.25" thickBot="1" x14ac:dyDescent="0.35">
      <c r="A30" s="6">
        <v>4</v>
      </c>
      <c r="B30" s="11">
        <v>1</v>
      </c>
      <c r="C30" s="2">
        <v>3937</v>
      </c>
      <c r="D30" s="2">
        <v>2328526</v>
      </c>
      <c r="E30" s="2">
        <v>47493</v>
      </c>
      <c r="F30" s="2">
        <v>7.6970999999999998</v>
      </c>
      <c r="G30" s="2">
        <v>0.14449999999999999</v>
      </c>
      <c r="H30" s="2">
        <v>7.4137000000000004</v>
      </c>
      <c r="I30" s="2">
        <v>7.9805000000000001</v>
      </c>
      <c r="J30" s="2">
        <v>29.027100000000001</v>
      </c>
      <c r="K30" s="2">
        <v>0.4758</v>
      </c>
      <c r="L30" s="2">
        <v>28.094200000000001</v>
      </c>
      <c r="M30" s="2">
        <v>29.960100000000001</v>
      </c>
      <c r="O30" t="str">
        <f t="shared" ref="O30:O32" si="6">TEXT(J30,"0.00")&amp;" ("&amp;TEXT(L30,"0.00")&amp;" to "&amp;TEXT(M30,"0.00")&amp;")"</f>
        <v>29.03 (28.09 to 29.96)</v>
      </c>
    </row>
    <row r="31" spans="1:18" ht="17.25" thickBot="1" x14ac:dyDescent="0.35">
      <c r="A31" s="6"/>
      <c r="B31" s="11">
        <v>2</v>
      </c>
      <c r="C31" s="2">
        <v>10015</v>
      </c>
      <c r="D31" s="2">
        <v>4610133</v>
      </c>
      <c r="E31" s="2">
        <v>61902</v>
      </c>
      <c r="F31" s="2">
        <v>15.239100000000001</v>
      </c>
      <c r="G31" s="2">
        <v>0.1711</v>
      </c>
      <c r="H31" s="2">
        <v>14.903600000000001</v>
      </c>
      <c r="I31" s="2">
        <v>15.5747</v>
      </c>
      <c r="J31" s="2">
        <v>57.469299999999997</v>
      </c>
      <c r="K31" s="2">
        <v>0.47089999999999999</v>
      </c>
      <c r="L31" s="2">
        <v>56.545999999999999</v>
      </c>
      <c r="M31" s="2">
        <v>58.392699999999998</v>
      </c>
      <c r="O31" t="str">
        <f t="shared" si="6"/>
        <v>57.47 (56.55 to 58.39)</v>
      </c>
    </row>
    <row r="32" spans="1:18" ht="17.25" thickBot="1" x14ac:dyDescent="0.35">
      <c r="A32" s="6"/>
      <c r="B32" s="11">
        <v>3</v>
      </c>
      <c r="C32" s="2">
        <v>4094</v>
      </c>
      <c r="D32" s="2">
        <v>1083241</v>
      </c>
      <c r="E32" s="2">
        <v>22843</v>
      </c>
      <c r="F32" s="2">
        <v>3.5807000000000002</v>
      </c>
      <c r="G32" s="2">
        <v>7.6999999999999999E-2</v>
      </c>
      <c r="H32" s="2">
        <v>3.4297</v>
      </c>
      <c r="I32" s="2">
        <v>3.7317999999999998</v>
      </c>
      <c r="J32" s="2">
        <v>13.5036</v>
      </c>
      <c r="K32" s="2">
        <v>0.27610000000000001</v>
      </c>
      <c r="L32" s="2">
        <v>12.962199999999999</v>
      </c>
      <c r="M32" s="2">
        <v>14.0449</v>
      </c>
      <c r="O32" t="str">
        <f t="shared" si="6"/>
        <v>13.50 (12.96 to 14.04)</v>
      </c>
    </row>
    <row r="33" spans="1:18" ht="17.25" thickBot="1" x14ac:dyDescent="0.35">
      <c r="A33" s="6"/>
      <c r="B33" s="11" t="s">
        <v>153</v>
      </c>
      <c r="C33" s="2">
        <v>18046</v>
      </c>
      <c r="D33" s="2">
        <v>8021901</v>
      </c>
      <c r="E33" s="2">
        <v>84668</v>
      </c>
      <c r="F33" s="2">
        <v>26.516999999999999</v>
      </c>
      <c r="G33" s="2">
        <v>0.21260000000000001</v>
      </c>
      <c r="H33" s="2">
        <v>26.100100000000001</v>
      </c>
      <c r="I33" s="2">
        <v>26.933800000000002</v>
      </c>
      <c r="J33" s="2">
        <v>100</v>
      </c>
      <c r="K33" s="2"/>
      <c r="L33" s="2"/>
      <c r="M33" s="2"/>
    </row>
    <row r="34" spans="1:18" ht="17.25" thickBot="1" x14ac:dyDescent="0.35">
      <c r="A34" s="6" t="s">
        <v>153</v>
      </c>
      <c r="B34" s="11">
        <v>1</v>
      </c>
      <c r="C34" s="2">
        <v>21079</v>
      </c>
      <c r="D34" s="2">
        <v>11834513</v>
      </c>
      <c r="E34" s="2">
        <v>141523</v>
      </c>
      <c r="F34" s="2">
        <v>39.119900000000001</v>
      </c>
      <c r="G34" s="2">
        <v>0.31680000000000003</v>
      </c>
      <c r="H34" s="2">
        <v>38.498699999999999</v>
      </c>
      <c r="I34" s="2">
        <v>39.741</v>
      </c>
      <c r="J34" s="2"/>
      <c r="K34" s="2"/>
      <c r="L34" s="2"/>
      <c r="M34" s="2"/>
    </row>
    <row r="35" spans="1:18" ht="17.25" thickBot="1" x14ac:dyDescent="0.35">
      <c r="A35" s="6"/>
      <c r="B35" s="11">
        <v>2</v>
      </c>
      <c r="C35" s="2">
        <v>33470</v>
      </c>
      <c r="D35" s="2">
        <v>14667390</v>
      </c>
      <c r="E35" s="2">
        <v>140978</v>
      </c>
      <c r="F35" s="2">
        <v>48.484099999999998</v>
      </c>
      <c r="G35" s="2">
        <v>0.27379999999999999</v>
      </c>
      <c r="H35" s="2">
        <v>47.947200000000002</v>
      </c>
      <c r="I35" s="2">
        <v>49.021099999999997</v>
      </c>
      <c r="J35" s="2"/>
      <c r="K35" s="2"/>
      <c r="L35" s="2"/>
      <c r="M35" s="2"/>
    </row>
    <row r="36" spans="1:18" ht="17.25" thickBot="1" x14ac:dyDescent="0.35">
      <c r="A36" s="6"/>
      <c r="B36" s="11">
        <v>3</v>
      </c>
      <c r="C36" s="2">
        <v>14086</v>
      </c>
      <c r="D36" s="2">
        <v>3750032</v>
      </c>
      <c r="E36" s="2">
        <v>51705</v>
      </c>
      <c r="F36" s="2">
        <v>12.396000000000001</v>
      </c>
      <c r="G36" s="2">
        <v>0.17949999999999999</v>
      </c>
      <c r="H36" s="2">
        <v>12.044</v>
      </c>
      <c r="I36" s="2">
        <v>12.747999999999999</v>
      </c>
      <c r="J36" s="2"/>
      <c r="K36" s="2"/>
      <c r="L36" s="2"/>
      <c r="M36" s="2"/>
    </row>
    <row r="37" spans="1:18" x14ac:dyDescent="0.3">
      <c r="A37" s="6"/>
      <c r="B37" s="14" t="s">
        <v>153</v>
      </c>
      <c r="C37" s="2">
        <v>68635</v>
      </c>
      <c r="D37" s="2">
        <v>30251936</v>
      </c>
      <c r="E37" s="2">
        <v>228758</v>
      </c>
      <c r="F37" s="2">
        <v>100</v>
      </c>
      <c r="G37" s="2"/>
      <c r="H37" s="2"/>
      <c r="I37" s="2"/>
      <c r="J37" s="2"/>
      <c r="K37" s="2"/>
      <c r="L37" s="2"/>
      <c r="M37" s="2"/>
    </row>
    <row r="38" spans="1:18" ht="17.25" thickBot="1" x14ac:dyDescent="0.35"/>
    <row r="39" spans="1:18" ht="16.5" customHeight="1" x14ac:dyDescent="0.3">
      <c r="A39" s="16" t="s">
        <v>205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8" ht="33" customHeight="1" x14ac:dyDescent="0.3">
      <c r="A40" s="17" t="s">
        <v>60</v>
      </c>
      <c r="B40" s="19" t="s">
        <v>6</v>
      </c>
      <c r="C40" s="19" t="s">
        <v>146</v>
      </c>
      <c r="D40" s="3" t="s">
        <v>147</v>
      </c>
      <c r="E40" s="3" t="s">
        <v>148</v>
      </c>
      <c r="F40" s="19" t="s">
        <v>150</v>
      </c>
      <c r="G40" s="3" t="s">
        <v>148</v>
      </c>
      <c r="H40" s="19" t="s">
        <v>151</v>
      </c>
      <c r="I40" s="19"/>
      <c r="J40" s="3" t="s">
        <v>170</v>
      </c>
      <c r="K40" s="3" t="s">
        <v>148</v>
      </c>
      <c r="L40" s="19" t="s">
        <v>151</v>
      </c>
      <c r="M40" s="19"/>
    </row>
    <row r="41" spans="1:18" ht="33" x14ac:dyDescent="0.3">
      <c r="A41" s="17"/>
      <c r="B41" s="19"/>
      <c r="C41" s="19"/>
      <c r="D41" s="3" t="s">
        <v>146</v>
      </c>
      <c r="E41" s="3" t="s">
        <v>149</v>
      </c>
      <c r="F41" s="19"/>
      <c r="G41" s="3" t="s">
        <v>150</v>
      </c>
      <c r="H41" s="19" t="s">
        <v>152</v>
      </c>
      <c r="I41" s="19"/>
      <c r="J41" s="3" t="s">
        <v>150</v>
      </c>
      <c r="K41" s="3" t="s">
        <v>171</v>
      </c>
      <c r="L41" s="19" t="s">
        <v>172</v>
      </c>
      <c r="M41" s="19"/>
    </row>
    <row r="42" spans="1:18" ht="17.25" thickBot="1" x14ac:dyDescent="0.35">
      <c r="A42" s="6">
        <v>1</v>
      </c>
      <c r="B42" s="11">
        <v>1</v>
      </c>
      <c r="C42" s="2">
        <v>4721</v>
      </c>
      <c r="D42" s="2">
        <v>2416866</v>
      </c>
      <c r="E42" s="2">
        <v>46549</v>
      </c>
      <c r="F42" s="2">
        <v>7.9890999999999996</v>
      </c>
      <c r="G42" s="2">
        <v>0.13819999999999999</v>
      </c>
      <c r="H42" s="2">
        <v>7.7180999999999997</v>
      </c>
      <c r="I42" s="2">
        <v>8.2600999999999996</v>
      </c>
      <c r="J42" s="2">
        <v>32.342399999999998</v>
      </c>
      <c r="K42" s="2">
        <v>0.45250000000000001</v>
      </c>
      <c r="L42" s="2">
        <v>31.455100000000002</v>
      </c>
      <c r="M42" s="2">
        <v>33.229700000000001</v>
      </c>
      <c r="O42" t="str">
        <f t="shared" ref="O42:O43" si="7">TEXT(J42,"0.00")&amp;" ("&amp;TEXT(L42,"0.00")&amp;" to "&amp;TEXT(M42,"0.00")&amp;")"</f>
        <v>32.34 (31.46 to 33.23)</v>
      </c>
      <c r="P42" t="str">
        <f>O45</f>
        <v>49.24 (48.37 to 50.10)</v>
      </c>
      <c r="Q42" t="str">
        <f>O48</f>
        <v>60.79 (59.95 to 61.62)</v>
      </c>
      <c r="R42" t="str">
        <f>O51</f>
        <v>73.70 (73.00 to 74.39)</v>
      </c>
    </row>
    <row r="43" spans="1:18" ht="17.25" thickBot="1" x14ac:dyDescent="0.35">
      <c r="A43" s="6"/>
      <c r="B43" s="11">
        <v>2</v>
      </c>
      <c r="C43" s="2">
        <v>11926</v>
      </c>
      <c r="D43" s="2">
        <v>5055882</v>
      </c>
      <c r="E43" s="2">
        <v>64111</v>
      </c>
      <c r="F43" s="2">
        <v>16.712599999999998</v>
      </c>
      <c r="G43" s="2">
        <v>0.16850000000000001</v>
      </c>
      <c r="H43" s="2">
        <v>16.382300000000001</v>
      </c>
      <c r="I43" s="2">
        <v>17.042899999999999</v>
      </c>
      <c r="J43" s="2">
        <v>67.657600000000002</v>
      </c>
      <c r="K43" s="2">
        <v>0.45250000000000001</v>
      </c>
      <c r="L43" s="2">
        <v>66.770300000000006</v>
      </c>
      <c r="M43" s="2">
        <v>68.544899999999998</v>
      </c>
      <c r="O43" t="str">
        <f t="shared" si="7"/>
        <v>67.66 (66.77 to 68.54)</v>
      </c>
      <c r="P43" t="str">
        <f>O46</f>
        <v>50.76 (49.90 to 51.63)</v>
      </c>
      <c r="Q43" t="str">
        <f>O49</f>
        <v>39.21 (38.38 to 40.05)</v>
      </c>
      <c r="R43" t="str">
        <f>O52</f>
        <v>26.30 (25.61 to 27.00)</v>
      </c>
    </row>
    <row r="44" spans="1:18" ht="17.25" thickBot="1" x14ac:dyDescent="0.35">
      <c r="A44" s="6"/>
      <c r="B44" s="11" t="s">
        <v>153</v>
      </c>
      <c r="C44" s="2">
        <v>16647</v>
      </c>
      <c r="D44" s="2">
        <v>7472748</v>
      </c>
      <c r="E44" s="2">
        <v>86882</v>
      </c>
      <c r="F44" s="2">
        <v>24.701699999999999</v>
      </c>
      <c r="G44" s="2">
        <v>0.20949999999999999</v>
      </c>
      <c r="H44" s="2">
        <v>24.290900000000001</v>
      </c>
      <c r="I44" s="2">
        <v>25.1126</v>
      </c>
      <c r="J44" s="2">
        <v>100</v>
      </c>
      <c r="K44" s="2"/>
      <c r="L44" s="2"/>
      <c r="M44" s="2"/>
    </row>
    <row r="45" spans="1:18" ht="17.25" thickBot="1" x14ac:dyDescent="0.35">
      <c r="A45" s="6">
        <v>2</v>
      </c>
      <c r="B45" s="11">
        <v>1</v>
      </c>
      <c r="C45" s="2">
        <v>7232</v>
      </c>
      <c r="D45" s="2">
        <v>3624535</v>
      </c>
      <c r="E45" s="2">
        <v>55440</v>
      </c>
      <c r="F45" s="2">
        <v>11.981199999999999</v>
      </c>
      <c r="G45" s="2">
        <v>0.15570000000000001</v>
      </c>
      <c r="H45" s="2">
        <v>11.676</v>
      </c>
      <c r="I45" s="2">
        <v>12.2864</v>
      </c>
      <c r="J45" s="2">
        <v>49.236400000000003</v>
      </c>
      <c r="K45" s="2">
        <v>0.44259999999999999</v>
      </c>
      <c r="L45" s="2">
        <v>48.368600000000001</v>
      </c>
      <c r="M45" s="2">
        <v>50.104199999999999</v>
      </c>
      <c r="O45" t="str">
        <f t="shared" ref="O45:O46" si="8">TEXT(J45,"0.00")&amp;" ("&amp;TEXT(L45,"0.00")&amp;" to "&amp;TEXT(M45,"0.00")&amp;")"</f>
        <v>49.24 (48.37 to 50.10)</v>
      </c>
    </row>
    <row r="46" spans="1:18" ht="17.25" thickBot="1" x14ac:dyDescent="0.35">
      <c r="A46" s="6"/>
      <c r="B46" s="11">
        <v>2</v>
      </c>
      <c r="C46" s="2">
        <v>9547</v>
      </c>
      <c r="D46" s="2">
        <v>3736964</v>
      </c>
      <c r="E46" s="2">
        <v>50444</v>
      </c>
      <c r="F46" s="2">
        <v>12.3528</v>
      </c>
      <c r="G46" s="2">
        <v>0.13800000000000001</v>
      </c>
      <c r="H46" s="2">
        <v>12.0822</v>
      </c>
      <c r="I46" s="2">
        <v>12.6235</v>
      </c>
      <c r="J46" s="2">
        <v>50.763599999999997</v>
      </c>
      <c r="K46" s="2">
        <v>0.44259999999999999</v>
      </c>
      <c r="L46" s="2">
        <v>49.895800000000001</v>
      </c>
      <c r="M46" s="2">
        <v>51.631399999999999</v>
      </c>
      <c r="O46" t="str">
        <f t="shared" si="8"/>
        <v>50.76 (49.90 to 51.63)</v>
      </c>
    </row>
    <row r="47" spans="1:18" ht="17.25" thickBot="1" x14ac:dyDescent="0.35">
      <c r="A47" s="6"/>
      <c r="B47" s="11" t="s">
        <v>153</v>
      </c>
      <c r="C47" s="2">
        <v>16779</v>
      </c>
      <c r="D47" s="2">
        <v>7361499</v>
      </c>
      <c r="E47" s="2">
        <v>83717</v>
      </c>
      <c r="F47" s="2">
        <v>24.334</v>
      </c>
      <c r="G47" s="2">
        <v>0.20080000000000001</v>
      </c>
      <c r="H47" s="2">
        <v>23.940200000000001</v>
      </c>
      <c r="I47" s="2">
        <v>24.727799999999998</v>
      </c>
      <c r="J47" s="2">
        <v>100</v>
      </c>
      <c r="K47" s="2"/>
      <c r="L47" s="2"/>
      <c r="M47" s="2"/>
    </row>
    <row r="48" spans="1:18" ht="17.25" thickBot="1" x14ac:dyDescent="0.35">
      <c r="A48" s="6">
        <v>3</v>
      </c>
      <c r="B48" s="11">
        <v>1</v>
      </c>
      <c r="C48" s="2">
        <v>9253</v>
      </c>
      <c r="D48" s="2">
        <v>4495664</v>
      </c>
      <c r="E48" s="2">
        <v>60185</v>
      </c>
      <c r="F48" s="2">
        <v>14.8607</v>
      </c>
      <c r="G48" s="2">
        <v>0.16309999999999999</v>
      </c>
      <c r="H48" s="2">
        <v>14.540900000000001</v>
      </c>
      <c r="I48" s="2">
        <v>15.1806</v>
      </c>
      <c r="J48" s="2">
        <v>60.786799999999999</v>
      </c>
      <c r="K48" s="2">
        <v>0.42520000000000002</v>
      </c>
      <c r="L48" s="2">
        <v>59.953200000000002</v>
      </c>
      <c r="M48" s="2">
        <v>61.6205</v>
      </c>
      <c r="O48" t="str">
        <f t="shared" ref="O48:O49" si="9">TEXT(J48,"0.00")&amp;" ("&amp;TEXT(L48,"0.00")&amp;" to "&amp;TEXT(M48,"0.00")&amp;")"</f>
        <v>60.79 (59.95 to 61.62)</v>
      </c>
    </row>
    <row r="49" spans="1:18" ht="17.25" thickBot="1" x14ac:dyDescent="0.35">
      <c r="A49" s="6"/>
      <c r="B49" s="11">
        <v>2</v>
      </c>
      <c r="C49" s="2">
        <v>7910</v>
      </c>
      <c r="D49" s="2">
        <v>2900123</v>
      </c>
      <c r="E49" s="2">
        <v>43517</v>
      </c>
      <c r="F49" s="2">
        <v>9.5866000000000007</v>
      </c>
      <c r="G49" s="2">
        <v>0.1244</v>
      </c>
      <c r="H49" s="2">
        <v>9.3427000000000007</v>
      </c>
      <c r="I49" s="2">
        <v>9.8305000000000007</v>
      </c>
      <c r="J49" s="2">
        <v>39.213200000000001</v>
      </c>
      <c r="K49" s="2">
        <v>0.42520000000000002</v>
      </c>
      <c r="L49" s="2">
        <v>38.3795</v>
      </c>
      <c r="M49" s="2">
        <v>40.046799999999998</v>
      </c>
      <c r="O49" t="str">
        <f t="shared" si="9"/>
        <v>39.21 (38.38 to 40.05)</v>
      </c>
    </row>
    <row r="50" spans="1:18" ht="17.25" thickBot="1" x14ac:dyDescent="0.35">
      <c r="A50" s="6"/>
      <c r="B50" s="11" t="s">
        <v>153</v>
      </c>
      <c r="C50" s="2">
        <v>17163</v>
      </c>
      <c r="D50" s="2">
        <v>7395788</v>
      </c>
      <c r="E50" s="2">
        <v>81488</v>
      </c>
      <c r="F50" s="2">
        <v>24.447299999999998</v>
      </c>
      <c r="G50" s="2">
        <v>0.19470000000000001</v>
      </c>
      <c r="H50" s="2">
        <v>24.0655</v>
      </c>
      <c r="I50" s="2">
        <v>24.8291</v>
      </c>
      <c r="J50" s="2">
        <v>100</v>
      </c>
      <c r="K50" s="2"/>
      <c r="L50" s="2"/>
      <c r="M50" s="2"/>
    </row>
    <row r="51" spans="1:18" ht="17.25" thickBot="1" x14ac:dyDescent="0.35">
      <c r="A51" s="6">
        <v>4</v>
      </c>
      <c r="B51" s="11">
        <v>1</v>
      </c>
      <c r="C51" s="2">
        <v>11994</v>
      </c>
      <c r="D51" s="2">
        <v>5911765</v>
      </c>
      <c r="E51" s="2">
        <v>70819</v>
      </c>
      <c r="F51" s="2">
        <v>19.541799999999999</v>
      </c>
      <c r="G51" s="2">
        <v>0.18329999999999999</v>
      </c>
      <c r="H51" s="2">
        <v>19.182300000000001</v>
      </c>
      <c r="I51" s="2">
        <v>19.901299999999999</v>
      </c>
      <c r="J51" s="2">
        <v>73.695300000000003</v>
      </c>
      <c r="K51" s="2">
        <v>0.3523</v>
      </c>
      <c r="L51" s="2">
        <v>73.004499999999993</v>
      </c>
      <c r="M51" s="2">
        <v>74.386099999999999</v>
      </c>
      <c r="O51" t="str">
        <f t="shared" ref="O51:O52" si="10">TEXT(J51,"0.00")&amp;" ("&amp;TEXT(L51,"0.00")&amp;" to "&amp;TEXT(M51,"0.00")&amp;")"</f>
        <v>73.70 (73.00 to 74.39)</v>
      </c>
    </row>
    <row r="52" spans="1:18" ht="17.25" thickBot="1" x14ac:dyDescent="0.35">
      <c r="A52" s="6"/>
      <c r="B52" s="11">
        <v>2</v>
      </c>
      <c r="C52" s="2">
        <v>6052</v>
      </c>
      <c r="D52" s="2">
        <v>2110136</v>
      </c>
      <c r="E52" s="2">
        <v>34342</v>
      </c>
      <c r="F52" s="2">
        <v>6.9752000000000001</v>
      </c>
      <c r="G52" s="2">
        <v>0.10829999999999999</v>
      </c>
      <c r="H52" s="2">
        <v>6.7628000000000004</v>
      </c>
      <c r="I52" s="2">
        <v>7.1875999999999998</v>
      </c>
      <c r="J52" s="2">
        <v>26.3047</v>
      </c>
      <c r="K52" s="2">
        <v>0.3523</v>
      </c>
      <c r="L52" s="2">
        <v>25.613900000000001</v>
      </c>
      <c r="M52" s="2">
        <v>26.9955</v>
      </c>
      <c r="O52" t="str">
        <f t="shared" si="10"/>
        <v>26.30 (25.61 to 27.00)</v>
      </c>
    </row>
    <row r="53" spans="1:18" ht="17.25" thickBot="1" x14ac:dyDescent="0.35">
      <c r="A53" s="6"/>
      <c r="B53" s="11" t="s">
        <v>153</v>
      </c>
      <c r="C53" s="2">
        <v>18046</v>
      </c>
      <c r="D53" s="2">
        <v>8021901</v>
      </c>
      <c r="E53" s="2">
        <v>84668</v>
      </c>
      <c r="F53" s="2">
        <v>26.516999999999999</v>
      </c>
      <c r="G53" s="2">
        <v>0.21260000000000001</v>
      </c>
      <c r="H53" s="2">
        <v>26.100100000000001</v>
      </c>
      <c r="I53" s="2">
        <v>26.933800000000002</v>
      </c>
      <c r="J53" s="2">
        <v>100</v>
      </c>
      <c r="K53" s="2"/>
      <c r="L53" s="2"/>
      <c r="M53" s="2"/>
    </row>
    <row r="54" spans="1:18" ht="17.25" thickBot="1" x14ac:dyDescent="0.35">
      <c r="A54" s="6" t="s">
        <v>153</v>
      </c>
      <c r="B54" s="11">
        <v>1</v>
      </c>
      <c r="C54" s="2">
        <v>33200</v>
      </c>
      <c r="D54" s="2">
        <v>16448830</v>
      </c>
      <c r="E54" s="2">
        <v>140406</v>
      </c>
      <c r="F54" s="2">
        <v>54.372799999999998</v>
      </c>
      <c r="G54" s="2">
        <v>0.18820000000000001</v>
      </c>
      <c r="H54" s="2">
        <v>54.003799999999998</v>
      </c>
      <c r="I54" s="2">
        <v>54.741900000000001</v>
      </c>
      <c r="J54" s="2"/>
      <c r="K54" s="2"/>
      <c r="L54" s="2"/>
      <c r="M54" s="2"/>
    </row>
    <row r="55" spans="1:18" ht="17.25" thickBot="1" x14ac:dyDescent="0.35">
      <c r="A55" s="6"/>
      <c r="B55" s="11">
        <v>2</v>
      </c>
      <c r="C55" s="2">
        <v>35435</v>
      </c>
      <c r="D55" s="2">
        <v>13803105</v>
      </c>
      <c r="E55" s="2">
        <v>115313</v>
      </c>
      <c r="F55" s="2">
        <v>45.627200000000002</v>
      </c>
      <c r="G55" s="2">
        <v>0.18820000000000001</v>
      </c>
      <c r="H55" s="2">
        <v>45.258099999999999</v>
      </c>
      <c r="I55" s="2">
        <v>45.996200000000002</v>
      </c>
      <c r="J55" s="2"/>
      <c r="K55" s="2"/>
      <c r="L55" s="2"/>
      <c r="M55" s="2"/>
    </row>
    <row r="56" spans="1:18" x14ac:dyDescent="0.3">
      <c r="A56" s="6"/>
      <c r="B56" s="14" t="s">
        <v>153</v>
      </c>
      <c r="C56" s="2">
        <v>68635</v>
      </c>
      <c r="D56" s="2">
        <v>30251936</v>
      </c>
      <c r="E56" s="2">
        <v>228758</v>
      </c>
      <c r="F56" s="2">
        <v>100</v>
      </c>
      <c r="G56" s="2"/>
      <c r="H56" s="2"/>
      <c r="I56" s="2"/>
      <c r="J56" s="2"/>
      <c r="K56" s="2"/>
      <c r="L56" s="2"/>
      <c r="M56" s="2"/>
    </row>
    <row r="57" spans="1:18" ht="17.25" thickBot="1" x14ac:dyDescent="0.35"/>
    <row r="58" spans="1:18" ht="16.5" customHeight="1" x14ac:dyDescent="0.3">
      <c r="A58" s="16" t="s">
        <v>206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1:18" ht="33" customHeight="1" x14ac:dyDescent="0.3">
      <c r="A59" s="17" t="s">
        <v>60</v>
      </c>
      <c r="B59" s="19" t="s">
        <v>7</v>
      </c>
      <c r="C59" s="19" t="s">
        <v>146</v>
      </c>
      <c r="D59" s="3" t="s">
        <v>147</v>
      </c>
      <c r="E59" s="3" t="s">
        <v>148</v>
      </c>
      <c r="F59" s="19" t="s">
        <v>150</v>
      </c>
      <c r="G59" s="3" t="s">
        <v>148</v>
      </c>
      <c r="H59" s="19" t="s">
        <v>151</v>
      </c>
      <c r="I59" s="19"/>
      <c r="J59" s="3" t="s">
        <v>170</v>
      </c>
      <c r="K59" s="3" t="s">
        <v>148</v>
      </c>
      <c r="L59" s="19" t="s">
        <v>151</v>
      </c>
      <c r="M59" s="19"/>
    </row>
    <row r="60" spans="1:18" ht="33" x14ac:dyDescent="0.3">
      <c r="A60" s="17"/>
      <c r="B60" s="19"/>
      <c r="C60" s="19"/>
      <c r="D60" s="3" t="s">
        <v>146</v>
      </c>
      <c r="E60" s="3" t="s">
        <v>149</v>
      </c>
      <c r="F60" s="19"/>
      <c r="G60" s="3" t="s">
        <v>150</v>
      </c>
      <c r="H60" s="19" t="s">
        <v>152</v>
      </c>
      <c r="I60" s="19"/>
      <c r="J60" s="3" t="s">
        <v>150</v>
      </c>
      <c r="K60" s="3" t="s">
        <v>171</v>
      </c>
      <c r="L60" s="19" t="s">
        <v>172</v>
      </c>
      <c r="M60" s="19"/>
    </row>
    <row r="61" spans="1:18" ht="17.25" thickBot="1" x14ac:dyDescent="0.35">
      <c r="A61" s="6">
        <v>1</v>
      </c>
      <c r="B61" s="11">
        <v>1</v>
      </c>
      <c r="C61" s="2">
        <v>13948</v>
      </c>
      <c r="D61" s="2">
        <v>6461301</v>
      </c>
      <c r="E61" s="2">
        <v>94332</v>
      </c>
      <c r="F61" s="2">
        <v>21.3583</v>
      </c>
      <c r="G61" s="2">
        <v>0.25080000000000002</v>
      </c>
      <c r="H61" s="2">
        <v>20.866499999999998</v>
      </c>
      <c r="I61" s="2">
        <v>21.850100000000001</v>
      </c>
      <c r="J61" s="2">
        <v>86.4649</v>
      </c>
      <c r="K61" s="2">
        <v>0.64349999999999996</v>
      </c>
      <c r="L61" s="2">
        <v>85.203100000000006</v>
      </c>
      <c r="M61" s="2">
        <v>87.726699999999994</v>
      </c>
      <c r="O61" t="str">
        <f t="shared" ref="O61:O62" si="11">TEXT(J61,"0.00")&amp;" ("&amp;TEXT(L61,"0.00")&amp;" to "&amp;TEXT(M61,"0.00")&amp;")"</f>
        <v>86.46 (85.20 to 87.73)</v>
      </c>
      <c r="P61" t="str">
        <f>O64</f>
        <v>84.27 (82.87 to 85.66)</v>
      </c>
      <c r="Q61" t="str">
        <f>O67</f>
        <v>83.33 (81.93 to 84.74)</v>
      </c>
      <c r="R61" t="str">
        <f>O70</f>
        <v>81.83 (80.37 to 83.29)</v>
      </c>
    </row>
    <row r="62" spans="1:18" ht="17.25" thickBot="1" x14ac:dyDescent="0.35">
      <c r="A62" s="6"/>
      <c r="B62" s="11">
        <v>2</v>
      </c>
      <c r="C62" s="2">
        <v>2699</v>
      </c>
      <c r="D62" s="2">
        <v>1011447</v>
      </c>
      <c r="E62" s="2">
        <v>47991</v>
      </c>
      <c r="F62" s="2">
        <v>3.3433999999999999</v>
      </c>
      <c r="G62" s="2">
        <v>0.15909999999999999</v>
      </c>
      <c r="H62" s="2">
        <v>3.0314000000000001</v>
      </c>
      <c r="I62" s="2">
        <v>3.6554000000000002</v>
      </c>
      <c r="J62" s="2">
        <v>13.5351</v>
      </c>
      <c r="K62" s="2">
        <v>0.64349999999999996</v>
      </c>
      <c r="L62" s="2">
        <v>12.273300000000001</v>
      </c>
      <c r="M62" s="2">
        <v>14.796900000000001</v>
      </c>
      <c r="O62" t="str">
        <f t="shared" si="11"/>
        <v>13.54 (12.27 to 14.80)</v>
      </c>
      <c r="P62" t="str">
        <f>O65</f>
        <v>15.73 (14.34 to 17.13)</v>
      </c>
      <c r="Q62" t="str">
        <f>O68</f>
        <v>16.67 (15.26 to 18.07)</v>
      </c>
      <c r="R62" t="str">
        <f>O71</f>
        <v>18.17 (16.71 to 19.63)</v>
      </c>
    </row>
    <row r="63" spans="1:18" ht="17.25" thickBot="1" x14ac:dyDescent="0.35">
      <c r="A63" s="6"/>
      <c r="B63" s="11" t="s">
        <v>153</v>
      </c>
      <c r="C63" s="2">
        <v>16647</v>
      </c>
      <c r="D63" s="2">
        <v>7472748</v>
      </c>
      <c r="E63" s="2">
        <v>86882</v>
      </c>
      <c r="F63" s="2">
        <v>24.701699999999999</v>
      </c>
      <c r="G63" s="2">
        <v>0.20949999999999999</v>
      </c>
      <c r="H63" s="2">
        <v>24.290900000000001</v>
      </c>
      <c r="I63" s="2">
        <v>25.1126</v>
      </c>
      <c r="J63" s="2">
        <v>100</v>
      </c>
      <c r="K63" s="2"/>
      <c r="L63" s="2"/>
      <c r="M63" s="2"/>
    </row>
    <row r="64" spans="1:18" ht="17.25" thickBot="1" x14ac:dyDescent="0.35">
      <c r="A64" s="6">
        <v>2</v>
      </c>
      <c r="B64" s="11">
        <v>1</v>
      </c>
      <c r="C64" s="2">
        <v>13553</v>
      </c>
      <c r="D64" s="2">
        <v>6203404</v>
      </c>
      <c r="E64" s="2">
        <v>90847</v>
      </c>
      <c r="F64" s="2">
        <v>20.505800000000001</v>
      </c>
      <c r="G64" s="2">
        <v>0.24229999999999999</v>
      </c>
      <c r="H64" s="2">
        <v>20.030799999999999</v>
      </c>
      <c r="I64" s="2">
        <v>20.980799999999999</v>
      </c>
      <c r="J64" s="2">
        <v>84.268199999999993</v>
      </c>
      <c r="K64" s="2">
        <v>0.71160000000000001</v>
      </c>
      <c r="L64" s="2">
        <v>82.872799999999998</v>
      </c>
      <c r="M64" s="2">
        <v>85.663600000000002</v>
      </c>
      <c r="O64" t="str">
        <f t="shared" ref="O64:O65" si="12">TEXT(J64,"0.00")&amp;" ("&amp;TEXT(L64,"0.00")&amp;" to "&amp;TEXT(M64,"0.00")&amp;")"</f>
        <v>84.27 (82.87 to 85.66)</v>
      </c>
    </row>
    <row r="65" spans="1:18" ht="17.25" thickBot="1" x14ac:dyDescent="0.35">
      <c r="A65" s="6"/>
      <c r="B65" s="11">
        <v>2</v>
      </c>
      <c r="C65" s="2">
        <v>3226</v>
      </c>
      <c r="D65" s="2">
        <v>1158095</v>
      </c>
      <c r="E65" s="2">
        <v>53090</v>
      </c>
      <c r="F65" s="2">
        <v>3.8281999999999998</v>
      </c>
      <c r="G65" s="2">
        <v>0.17599999999999999</v>
      </c>
      <c r="H65" s="2">
        <v>3.4830999999999999</v>
      </c>
      <c r="I65" s="2">
        <v>4.1733000000000002</v>
      </c>
      <c r="J65" s="2">
        <v>15.7318</v>
      </c>
      <c r="K65" s="2">
        <v>0.71160000000000001</v>
      </c>
      <c r="L65" s="2">
        <v>14.336399999999999</v>
      </c>
      <c r="M65" s="2">
        <v>17.127199999999998</v>
      </c>
      <c r="O65" t="str">
        <f t="shared" si="12"/>
        <v>15.73 (14.34 to 17.13)</v>
      </c>
    </row>
    <row r="66" spans="1:18" ht="17.25" thickBot="1" x14ac:dyDescent="0.35">
      <c r="A66" s="6"/>
      <c r="B66" s="11" t="s">
        <v>153</v>
      </c>
      <c r="C66" s="2">
        <v>16779</v>
      </c>
      <c r="D66" s="2">
        <v>7361499</v>
      </c>
      <c r="E66" s="2">
        <v>83717</v>
      </c>
      <c r="F66" s="2">
        <v>24.334</v>
      </c>
      <c r="G66" s="2">
        <v>0.20080000000000001</v>
      </c>
      <c r="H66" s="2">
        <v>23.940200000000001</v>
      </c>
      <c r="I66" s="2">
        <v>24.727799999999998</v>
      </c>
      <c r="J66" s="2">
        <v>100</v>
      </c>
      <c r="K66" s="2"/>
      <c r="L66" s="2"/>
      <c r="M66" s="2"/>
    </row>
    <row r="67" spans="1:18" ht="17.25" thickBot="1" x14ac:dyDescent="0.35">
      <c r="A67" s="6">
        <v>3</v>
      </c>
      <c r="B67" s="11">
        <v>1</v>
      </c>
      <c r="C67" s="2">
        <v>13640</v>
      </c>
      <c r="D67" s="2">
        <v>6163029</v>
      </c>
      <c r="E67" s="2">
        <v>89502</v>
      </c>
      <c r="F67" s="2">
        <v>20.372299999999999</v>
      </c>
      <c r="G67" s="2">
        <v>0.2399</v>
      </c>
      <c r="H67" s="2">
        <v>19.902000000000001</v>
      </c>
      <c r="I67" s="2">
        <v>20.842700000000001</v>
      </c>
      <c r="J67" s="2">
        <v>83.331599999999995</v>
      </c>
      <c r="K67" s="2">
        <v>0.71640000000000004</v>
      </c>
      <c r="L67" s="2">
        <v>81.926900000000003</v>
      </c>
      <c r="M67" s="2">
        <v>84.7363</v>
      </c>
      <c r="O67" t="str">
        <f t="shared" ref="O67:O68" si="13">TEXT(J67,"0.00")&amp;" ("&amp;TEXT(L67,"0.00")&amp;" to "&amp;TEXT(M67,"0.00")&amp;")"</f>
        <v>83.33 (81.93 to 84.74)</v>
      </c>
    </row>
    <row r="68" spans="1:18" ht="17.25" thickBot="1" x14ac:dyDescent="0.35">
      <c r="A68" s="6"/>
      <c r="B68" s="11">
        <v>2</v>
      </c>
      <c r="C68" s="2">
        <v>3523</v>
      </c>
      <c r="D68" s="2">
        <v>1232759</v>
      </c>
      <c r="E68" s="2">
        <v>53604</v>
      </c>
      <c r="F68" s="2">
        <v>4.0750000000000002</v>
      </c>
      <c r="G68" s="2">
        <v>0.17780000000000001</v>
      </c>
      <c r="H68" s="2">
        <v>3.7263000000000002</v>
      </c>
      <c r="I68" s="2">
        <v>4.4237000000000002</v>
      </c>
      <c r="J68" s="2">
        <v>16.668399999999998</v>
      </c>
      <c r="K68" s="2">
        <v>0.71640000000000004</v>
      </c>
      <c r="L68" s="2">
        <v>15.2637</v>
      </c>
      <c r="M68" s="2">
        <v>18.0731</v>
      </c>
      <c r="O68" t="str">
        <f t="shared" si="13"/>
        <v>16.67 (15.26 to 18.07)</v>
      </c>
    </row>
    <row r="69" spans="1:18" ht="17.25" thickBot="1" x14ac:dyDescent="0.35">
      <c r="A69" s="6"/>
      <c r="B69" s="11" t="s">
        <v>153</v>
      </c>
      <c r="C69" s="2">
        <v>17163</v>
      </c>
      <c r="D69" s="2">
        <v>7395788</v>
      </c>
      <c r="E69" s="2">
        <v>81488</v>
      </c>
      <c r="F69" s="2">
        <v>24.447299999999998</v>
      </c>
      <c r="G69" s="2">
        <v>0.19470000000000001</v>
      </c>
      <c r="H69" s="2">
        <v>24.0655</v>
      </c>
      <c r="I69" s="2">
        <v>24.8291</v>
      </c>
      <c r="J69" s="2">
        <v>100</v>
      </c>
      <c r="K69" s="2"/>
      <c r="L69" s="2"/>
      <c r="M69" s="2"/>
    </row>
    <row r="70" spans="1:18" ht="17.25" thickBot="1" x14ac:dyDescent="0.35">
      <c r="A70" s="6">
        <v>4</v>
      </c>
      <c r="B70" s="11">
        <v>1</v>
      </c>
      <c r="C70" s="2">
        <v>14035</v>
      </c>
      <c r="D70" s="2">
        <v>6564344</v>
      </c>
      <c r="E70" s="2">
        <v>95130</v>
      </c>
      <c r="F70" s="2">
        <v>21.698899999999998</v>
      </c>
      <c r="G70" s="2">
        <v>0.25900000000000001</v>
      </c>
      <c r="H70" s="2">
        <v>21.190999999999999</v>
      </c>
      <c r="I70" s="2">
        <v>22.206900000000001</v>
      </c>
      <c r="J70" s="2">
        <v>81.830299999999994</v>
      </c>
      <c r="K70" s="2">
        <v>0.74329999999999996</v>
      </c>
      <c r="L70" s="2">
        <v>80.372799999999998</v>
      </c>
      <c r="M70" s="2">
        <v>83.287800000000004</v>
      </c>
      <c r="O70" t="str">
        <f t="shared" ref="O70:O71" si="14">TEXT(J70,"0.00")&amp;" ("&amp;TEXT(L70,"0.00")&amp;" to "&amp;TEXT(M70,"0.00")&amp;")"</f>
        <v>81.83 (80.37 to 83.29)</v>
      </c>
    </row>
    <row r="71" spans="1:18" ht="17.25" thickBot="1" x14ac:dyDescent="0.35">
      <c r="A71" s="6"/>
      <c r="B71" s="11">
        <v>2</v>
      </c>
      <c r="C71" s="2">
        <v>4011</v>
      </c>
      <c r="D71" s="2">
        <v>1457556</v>
      </c>
      <c r="E71" s="2">
        <v>60317</v>
      </c>
      <c r="F71" s="2">
        <v>4.8181000000000003</v>
      </c>
      <c r="G71" s="2">
        <v>0.20200000000000001</v>
      </c>
      <c r="H71" s="2">
        <v>4.4219999999999997</v>
      </c>
      <c r="I71" s="2">
        <v>5.2141000000000002</v>
      </c>
      <c r="J71" s="2">
        <v>18.169699999999999</v>
      </c>
      <c r="K71" s="2">
        <v>0.74329999999999996</v>
      </c>
      <c r="L71" s="2">
        <v>16.712199999999999</v>
      </c>
      <c r="M71" s="2">
        <v>19.627199999999998</v>
      </c>
      <c r="O71" t="str">
        <f t="shared" si="14"/>
        <v>18.17 (16.71 to 19.63)</v>
      </c>
    </row>
    <row r="72" spans="1:18" ht="17.25" thickBot="1" x14ac:dyDescent="0.35">
      <c r="A72" s="6"/>
      <c r="B72" s="11" t="s">
        <v>153</v>
      </c>
      <c r="C72" s="2">
        <v>18046</v>
      </c>
      <c r="D72" s="2">
        <v>8021901</v>
      </c>
      <c r="E72" s="2">
        <v>84668</v>
      </c>
      <c r="F72" s="2">
        <v>26.516999999999999</v>
      </c>
      <c r="G72" s="2">
        <v>0.21260000000000001</v>
      </c>
      <c r="H72" s="2">
        <v>26.100100000000001</v>
      </c>
      <c r="I72" s="2">
        <v>26.933800000000002</v>
      </c>
      <c r="J72" s="2">
        <v>100</v>
      </c>
      <c r="K72" s="2"/>
      <c r="L72" s="2"/>
      <c r="M72" s="2"/>
    </row>
    <row r="73" spans="1:18" ht="17.25" thickBot="1" x14ac:dyDescent="0.35">
      <c r="A73" s="6" t="s">
        <v>153</v>
      </c>
      <c r="B73" s="11">
        <v>1</v>
      </c>
      <c r="C73" s="2">
        <v>55176</v>
      </c>
      <c r="D73" s="2">
        <v>25392078</v>
      </c>
      <c r="E73" s="2">
        <v>290318</v>
      </c>
      <c r="F73" s="2">
        <v>83.935400000000001</v>
      </c>
      <c r="G73" s="2">
        <v>0.64080000000000004</v>
      </c>
      <c r="H73" s="2">
        <v>82.678899999999999</v>
      </c>
      <c r="I73" s="2">
        <v>85.191800000000001</v>
      </c>
      <c r="J73" s="2"/>
      <c r="K73" s="2"/>
      <c r="L73" s="2"/>
      <c r="M73" s="2"/>
    </row>
    <row r="74" spans="1:18" ht="17.25" thickBot="1" x14ac:dyDescent="0.35">
      <c r="A74" s="6"/>
      <c r="B74" s="11">
        <v>2</v>
      </c>
      <c r="C74" s="2">
        <v>13459</v>
      </c>
      <c r="D74" s="2">
        <v>4859858</v>
      </c>
      <c r="E74" s="2">
        <v>192472</v>
      </c>
      <c r="F74" s="2">
        <v>16.064599999999999</v>
      </c>
      <c r="G74" s="2">
        <v>0.64080000000000004</v>
      </c>
      <c r="H74" s="2">
        <v>14.808199999999999</v>
      </c>
      <c r="I74" s="2">
        <v>17.321100000000001</v>
      </c>
      <c r="J74" s="2"/>
      <c r="K74" s="2"/>
      <c r="L74" s="2"/>
      <c r="M74" s="2"/>
    </row>
    <row r="75" spans="1:18" x14ac:dyDescent="0.3">
      <c r="A75" s="6"/>
      <c r="B75" s="14" t="s">
        <v>153</v>
      </c>
      <c r="C75" s="2">
        <v>68635</v>
      </c>
      <c r="D75" s="2">
        <v>30251936</v>
      </c>
      <c r="E75" s="2">
        <v>228758</v>
      </c>
      <c r="F75" s="2">
        <v>100</v>
      </c>
      <c r="G75" s="2"/>
      <c r="H75" s="2"/>
      <c r="I75" s="2"/>
      <c r="J75" s="2"/>
      <c r="K75" s="2"/>
      <c r="L75" s="2"/>
      <c r="M75" s="2"/>
    </row>
    <row r="76" spans="1:18" ht="17.25" thickBot="1" x14ac:dyDescent="0.35"/>
    <row r="77" spans="1:18" ht="16.5" customHeight="1" x14ac:dyDescent="0.3">
      <c r="A77" s="16" t="s">
        <v>207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spans="1:18" ht="33" customHeight="1" x14ac:dyDescent="0.3">
      <c r="A78" s="17" t="s">
        <v>60</v>
      </c>
      <c r="B78" s="19" t="s">
        <v>8</v>
      </c>
      <c r="C78" s="19" t="s">
        <v>146</v>
      </c>
      <c r="D78" s="3" t="s">
        <v>147</v>
      </c>
      <c r="E78" s="3" t="s">
        <v>148</v>
      </c>
      <c r="F78" s="19" t="s">
        <v>150</v>
      </c>
      <c r="G78" s="3" t="s">
        <v>148</v>
      </c>
      <c r="H78" s="19" t="s">
        <v>151</v>
      </c>
      <c r="I78" s="19"/>
      <c r="J78" s="3" t="s">
        <v>170</v>
      </c>
      <c r="K78" s="3" t="s">
        <v>148</v>
      </c>
      <c r="L78" s="19" t="s">
        <v>151</v>
      </c>
      <c r="M78" s="19"/>
    </row>
    <row r="79" spans="1:18" ht="33" x14ac:dyDescent="0.3">
      <c r="A79" s="17"/>
      <c r="B79" s="19"/>
      <c r="C79" s="19"/>
      <c r="D79" s="3" t="s">
        <v>146</v>
      </c>
      <c r="E79" s="3" t="s">
        <v>149</v>
      </c>
      <c r="F79" s="19"/>
      <c r="G79" s="3" t="s">
        <v>150</v>
      </c>
      <c r="H79" s="19" t="s">
        <v>152</v>
      </c>
      <c r="I79" s="19"/>
      <c r="J79" s="3" t="s">
        <v>150</v>
      </c>
      <c r="K79" s="3" t="s">
        <v>171</v>
      </c>
      <c r="L79" s="19" t="s">
        <v>172</v>
      </c>
      <c r="M79" s="19"/>
    </row>
    <row r="80" spans="1:18" ht="17.25" thickBot="1" x14ac:dyDescent="0.35">
      <c r="A80" s="6">
        <v>1</v>
      </c>
      <c r="B80" s="11">
        <v>1</v>
      </c>
      <c r="C80" s="2">
        <v>1437</v>
      </c>
      <c r="D80" s="2">
        <v>446812</v>
      </c>
      <c r="E80" s="2">
        <v>15631</v>
      </c>
      <c r="F80" s="2">
        <v>1.4770000000000001</v>
      </c>
      <c r="G80" s="2">
        <v>5.1900000000000002E-2</v>
      </c>
      <c r="H80" s="2">
        <v>1.3751</v>
      </c>
      <c r="I80" s="2">
        <v>1.5788</v>
      </c>
      <c r="J80" s="2">
        <v>5.9791999999999996</v>
      </c>
      <c r="K80" s="2">
        <v>0.20910000000000001</v>
      </c>
      <c r="L80" s="2">
        <v>5.5690999999999997</v>
      </c>
      <c r="M80" s="2">
        <v>6.3893000000000004</v>
      </c>
      <c r="O80" t="str">
        <f t="shared" ref="O80:O83" si="15">TEXT(J80,"0.00")&amp;" ("&amp;TEXT(L80,"0.00")&amp;" to "&amp;TEXT(M80,"0.00")&amp;")"</f>
        <v>5.98 (5.57 to 6.39)</v>
      </c>
      <c r="P80" t="str">
        <f>O85</f>
        <v>8.85 (8.35 to 9.35)</v>
      </c>
      <c r="Q80" t="str">
        <f>O90</f>
        <v>10.80 (10.26 to 11.34)</v>
      </c>
      <c r="R80" t="str">
        <f>O95</f>
        <v>10.99 (10.45 to 11.54)</v>
      </c>
    </row>
    <row r="81" spans="1:18" ht="17.25" thickBot="1" x14ac:dyDescent="0.35">
      <c r="A81" s="6"/>
      <c r="B81" s="11">
        <v>2</v>
      </c>
      <c r="C81" s="2">
        <v>1369</v>
      </c>
      <c r="D81" s="2">
        <v>462559</v>
      </c>
      <c r="E81" s="2">
        <v>15404</v>
      </c>
      <c r="F81" s="2">
        <v>1.5289999999999999</v>
      </c>
      <c r="G81" s="2">
        <v>5.0999999999999997E-2</v>
      </c>
      <c r="H81" s="2">
        <v>1.4291</v>
      </c>
      <c r="I81" s="2">
        <v>1.629</v>
      </c>
      <c r="J81" s="2">
        <v>6.1898999999999997</v>
      </c>
      <c r="K81" s="2">
        <v>0.20549999999999999</v>
      </c>
      <c r="L81" s="2">
        <v>5.7869000000000002</v>
      </c>
      <c r="M81" s="2">
        <v>6.593</v>
      </c>
      <c r="O81" t="str">
        <f t="shared" si="15"/>
        <v>6.19 (5.79 to 6.59)</v>
      </c>
      <c r="P81" t="str">
        <f t="shared" ref="P81:P83" si="16">O86</f>
        <v>8.11 (7.65 to 8.57)</v>
      </c>
      <c r="Q81" t="str">
        <f t="shared" ref="Q81:Q83" si="17">O91</f>
        <v>10.20 (9.66 to 10.74)</v>
      </c>
      <c r="R81" t="str">
        <f t="shared" ref="R81:R83" si="18">O96</f>
        <v>10.83 (10.30 to 11.35)</v>
      </c>
    </row>
    <row r="82" spans="1:18" ht="17.25" thickBot="1" x14ac:dyDescent="0.35">
      <c r="A82" s="6"/>
      <c r="B82" s="11">
        <v>3</v>
      </c>
      <c r="C82" s="2">
        <v>3972</v>
      </c>
      <c r="D82" s="2">
        <v>1757282</v>
      </c>
      <c r="E82" s="2">
        <v>35783</v>
      </c>
      <c r="F82" s="2">
        <v>5.8087999999999997</v>
      </c>
      <c r="G82" s="2">
        <v>0.111</v>
      </c>
      <c r="H82" s="2">
        <v>5.5911</v>
      </c>
      <c r="I82" s="2">
        <v>6.0266000000000002</v>
      </c>
      <c r="J82" s="2">
        <v>23.515899999999998</v>
      </c>
      <c r="K82" s="2">
        <v>0.42370000000000002</v>
      </c>
      <c r="L82" s="2">
        <v>22.684999999999999</v>
      </c>
      <c r="M82" s="2">
        <v>24.346699999999998</v>
      </c>
      <c r="O82" t="str">
        <f t="shared" si="15"/>
        <v>23.52 (22.69 to 24.35)</v>
      </c>
      <c r="P82" t="str">
        <f t="shared" si="16"/>
        <v>26.26 (25.43 to 27.10)</v>
      </c>
      <c r="Q82" t="str">
        <f t="shared" si="17"/>
        <v>27.25 (26.37 to 28.14)</v>
      </c>
      <c r="R82" t="str">
        <f t="shared" si="18"/>
        <v>28.44 (27.61 to 29.28)</v>
      </c>
    </row>
    <row r="83" spans="1:18" ht="17.25" thickBot="1" x14ac:dyDescent="0.35">
      <c r="A83" s="6"/>
      <c r="B83" s="11">
        <v>4</v>
      </c>
      <c r="C83" s="2">
        <v>9869</v>
      </c>
      <c r="D83" s="2">
        <v>4806096</v>
      </c>
      <c r="E83" s="2">
        <v>74060</v>
      </c>
      <c r="F83" s="2">
        <v>15.886900000000001</v>
      </c>
      <c r="G83" s="2">
        <v>0.19819999999999999</v>
      </c>
      <c r="H83" s="2">
        <v>15.498200000000001</v>
      </c>
      <c r="I83" s="2">
        <v>16.275600000000001</v>
      </c>
      <c r="J83" s="2">
        <v>64.314999999999998</v>
      </c>
      <c r="K83" s="2">
        <v>0.50160000000000005</v>
      </c>
      <c r="L83" s="2">
        <v>63.331400000000002</v>
      </c>
      <c r="M83" s="2">
        <v>65.298500000000004</v>
      </c>
      <c r="O83" t="str">
        <f t="shared" si="15"/>
        <v>64.32 (63.33 to 65.30)</v>
      </c>
      <c r="P83" t="str">
        <f t="shared" si="16"/>
        <v>56.78 (55.77 to 57.79)</v>
      </c>
      <c r="Q83" t="str">
        <f t="shared" si="17"/>
        <v>51.75 (50.66 to 52.84)</v>
      </c>
      <c r="R83" t="str">
        <f t="shared" si="18"/>
        <v>49.74 (48.70 to 50.77)</v>
      </c>
    </row>
    <row r="84" spans="1:18" ht="17.25" thickBot="1" x14ac:dyDescent="0.35">
      <c r="A84" s="6"/>
      <c r="B84" s="11" t="s">
        <v>153</v>
      </c>
      <c r="C84" s="2">
        <v>16647</v>
      </c>
      <c r="D84" s="2">
        <v>7472748</v>
      </c>
      <c r="E84" s="2">
        <v>86882</v>
      </c>
      <c r="F84" s="2">
        <v>24.701699999999999</v>
      </c>
      <c r="G84" s="2">
        <v>0.20949999999999999</v>
      </c>
      <c r="H84" s="2">
        <v>24.290900000000001</v>
      </c>
      <c r="I84" s="2">
        <v>25.1126</v>
      </c>
      <c r="J84" s="2">
        <v>100</v>
      </c>
      <c r="K84" s="2"/>
      <c r="L84" s="2"/>
      <c r="M84" s="2"/>
    </row>
    <row r="85" spans="1:18" ht="17.25" thickBot="1" x14ac:dyDescent="0.35">
      <c r="A85" s="6">
        <v>2</v>
      </c>
      <c r="B85" s="11">
        <v>1</v>
      </c>
      <c r="C85" s="2">
        <v>2178</v>
      </c>
      <c r="D85" s="2">
        <v>651383</v>
      </c>
      <c r="E85" s="2">
        <v>18800</v>
      </c>
      <c r="F85" s="2">
        <v>2.1532</v>
      </c>
      <c r="G85" s="2">
        <v>6.3200000000000006E-2</v>
      </c>
      <c r="H85" s="2">
        <v>2.0291999999999999</v>
      </c>
      <c r="I85" s="2">
        <v>2.2770999999999999</v>
      </c>
      <c r="J85" s="2">
        <v>8.8484999999999996</v>
      </c>
      <c r="K85" s="2">
        <v>0.25580000000000003</v>
      </c>
      <c r="L85" s="2">
        <v>8.3469999999999995</v>
      </c>
      <c r="M85" s="2">
        <v>9.35</v>
      </c>
      <c r="O85" t="str">
        <f t="shared" ref="O85:O88" si="19">TEXT(J85,"0.00")&amp;" ("&amp;TEXT(L85,"0.00")&amp;" to "&amp;TEXT(M85,"0.00")&amp;")"</f>
        <v>8.85 (8.35 to 9.35)</v>
      </c>
    </row>
    <row r="86" spans="1:18" ht="17.25" thickBot="1" x14ac:dyDescent="0.35">
      <c r="A86" s="6"/>
      <c r="B86" s="11">
        <v>2</v>
      </c>
      <c r="C86" s="2">
        <v>1807</v>
      </c>
      <c r="D86" s="2">
        <v>597085</v>
      </c>
      <c r="E86" s="2">
        <v>17712</v>
      </c>
      <c r="F86" s="2">
        <v>1.9737</v>
      </c>
      <c r="G86" s="2">
        <v>5.8599999999999999E-2</v>
      </c>
      <c r="H86" s="2">
        <v>1.8589</v>
      </c>
      <c r="I86" s="2">
        <v>2.0886</v>
      </c>
      <c r="J86" s="2">
        <v>8.1109000000000009</v>
      </c>
      <c r="K86" s="2">
        <v>0.23430000000000001</v>
      </c>
      <c r="L86" s="2">
        <v>7.6515000000000004</v>
      </c>
      <c r="M86" s="2">
        <v>8.5703999999999994</v>
      </c>
      <c r="O86" t="str">
        <f t="shared" si="19"/>
        <v>8.11 (7.65 to 8.57)</v>
      </c>
    </row>
    <row r="87" spans="1:18" ht="17.25" thickBot="1" x14ac:dyDescent="0.35">
      <c r="A87" s="6"/>
      <c r="B87" s="11">
        <v>3</v>
      </c>
      <c r="C87" s="2">
        <v>4377</v>
      </c>
      <c r="D87" s="2">
        <v>1933217</v>
      </c>
      <c r="E87" s="2">
        <v>37864</v>
      </c>
      <c r="F87" s="2">
        <v>6.3903999999999996</v>
      </c>
      <c r="G87" s="2">
        <v>0.1157</v>
      </c>
      <c r="H87" s="2">
        <v>6.1635</v>
      </c>
      <c r="I87" s="2">
        <v>6.6173000000000002</v>
      </c>
      <c r="J87" s="2">
        <v>26.261199999999999</v>
      </c>
      <c r="K87" s="2">
        <v>0.42649999999999999</v>
      </c>
      <c r="L87" s="2">
        <v>25.425000000000001</v>
      </c>
      <c r="M87" s="2">
        <v>27.0974</v>
      </c>
      <c r="O87" t="str">
        <f t="shared" si="19"/>
        <v>26.26 (25.43 to 27.10)</v>
      </c>
    </row>
    <row r="88" spans="1:18" ht="17.25" thickBot="1" x14ac:dyDescent="0.35">
      <c r="A88" s="6"/>
      <c r="B88" s="11">
        <v>4</v>
      </c>
      <c r="C88" s="2">
        <v>8417</v>
      </c>
      <c r="D88" s="2">
        <v>4179814</v>
      </c>
      <c r="E88" s="2">
        <v>65924</v>
      </c>
      <c r="F88" s="2">
        <v>13.816700000000001</v>
      </c>
      <c r="G88" s="2">
        <v>0.1759</v>
      </c>
      <c r="H88" s="2">
        <v>13.4718</v>
      </c>
      <c r="I88" s="2">
        <v>14.1616</v>
      </c>
      <c r="J88" s="2">
        <v>56.779400000000003</v>
      </c>
      <c r="K88" s="2">
        <v>0.51580000000000004</v>
      </c>
      <c r="L88" s="2">
        <v>55.767899999999997</v>
      </c>
      <c r="M88" s="2">
        <v>57.790799999999997</v>
      </c>
      <c r="O88" t="str">
        <f t="shared" si="19"/>
        <v>56.78 (55.77 to 57.79)</v>
      </c>
    </row>
    <row r="89" spans="1:18" ht="17.25" thickBot="1" x14ac:dyDescent="0.35">
      <c r="A89" s="6"/>
      <c r="B89" s="11" t="s">
        <v>153</v>
      </c>
      <c r="C89" s="2">
        <v>16779</v>
      </c>
      <c r="D89" s="2">
        <v>7361499</v>
      </c>
      <c r="E89" s="2">
        <v>83717</v>
      </c>
      <c r="F89" s="2">
        <v>24.334</v>
      </c>
      <c r="G89" s="2">
        <v>0.20080000000000001</v>
      </c>
      <c r="H89" s="2">
        <v>23.940200000000001</v>
      </c>
      <c r="I89" s="2">
        <v>24.727799999999998</v>
      </c>
      <c r="J89" s="2">
        <v>100</v>
      </c>
      <c r="K89" s="2"/>
      <c r="L89" s="2"/>
      <c r="M89" s="2"/>
    </row>
    <row r="90" spans="1:18" ht="17.25" thickBot="1" x14ac:dyDescent="0.35">
      <c r="A90" s="6">
        <v>3</v>
      </c>
      <c r="B90" s="11">
        <v>1</v>
      </c>
      <c r="C90" s="2">
        <v>2715</v>
      </c>
      <c r="D90" s="2">
        <v>798553</v>
      </c>
      <c r="E90" s="2">
        <v>20387</v>
      </c>
      <c r="F90" s="2">
        <v>2.6396999999999999</v>
      </c>
      <c r="G90" s="2">
        <v>6.8599999999999994E-2</v>
      </c>
      <c r="H90" s="2">
        <v>2.5051999999999999</v>
      </c>
      <c r="I90" s="2">
        <v>2.7740999999999998</v>
      </c>
      <c r="J90" s="2">
        <v>10.7974</v>
      </c>
      <c r="K90" s="2">
        <v>0.27479999999999999</v>
      </c>
      <c r="L90" s="2">
        <v>10.258599999999999</v>
      </c>
      <c r="M90" s="2">
        <v>11.3362</v>
      </c>
      <c r="O90" t="str">
        <f t="shared" ref="O90:O93" si="20">TEXT(J90,"0.00")&amp;" ("&amp;TEXT(L90,"0.00")&amp;" to "&amp;TEXT(M90,"0.00")&amp;")"</f>
        <v>10.80 (10.26 to 11.34)</v>
      </c>
    </row>
    <row r="91" spans="1:18" ht="17.25" thickBot="1" x14ac:dyDescent="0.35">
      <c r="A91" s="6"/>
      <c r="B91" s="11">
        <v>2</v>
      </c>
      <c r="C91" s="2">
        <v>2292</v>
      </c>
      <c r="D91" s="2">
        <v>754429</v>
      </c>
      <c r="E91" s="2">
        <v>21289</v>
      </c>
      <c r="F91" s="2">
        <v>2.4937999999999998</v>
      </c>
      <c r="G91" s="2">
        <v>6.9900000000000004E-2</v>
      </c>
      <c r="H91" s="2">
        <v>2.3567999999999998</v>
      </c>
      <c r="I91" s="2">
        <v>2.6309</v>
      </c>
      <c r="J91" s="2">
        <v>10.200799999999999</v>
      </c>
      <c r="K91" s="2">
        <v>0.27660000000000001</v>
      </c>
      <c r="L91" s="2">
        <v>9.6585000000000001</v>
      </c>
      <c r="M91" s="2">
        <v>10.7431</v>
      </c>
      <c r="O91" t="str">
        <f t="shared" si="20"/>
        <v>10.20 (9.66 to 10.74)</v>
      </c>
    </row>
    <row r="92" spans="1:18" ht="17.25" thickBot="1" x14ac:dyDescent="0.35">
      <c r="A92" s="6"/>
      <c r="B92" s="11">
        <v>3</v>
      </c>
      <c r="C92" s="2">
        <v>4510</v>
      </c>
      <c r="D92" s="2">
        <v>2015565</v>
      </c>
      <c r="E92" s="2">
        <v>40374</v>
      </c>
      <c r="F92" s="2">
        <v>6.6626000000000003</v>
      </c>
      <c r="G92" s="2">
        <v>0.1245</v>
      </c>
      <c r="H92" s="2">
        <v>6.4184999999999999</v>
      </c>
      <c r="I92" s="2">
        <v>6.9066999999999998</v>
      </c>
      <c r="J92" s="2">
        <v>27.2529</v>
      </c>
      <c r="K92" s="2">
        <v>0.45200000000000001</v>
      </c>
      <c r="L92" s="2">
        <v>26.366599999999998</v>
      </c>
      <c r="M92" s="2">
        <v>28.139199999999999</v>
      </c>
      <c r="O92" t="str">
        <f t="shared" si="20"/>
        <v>27.25 (26.37 to 28.14)</v>
      </c>
    </row>
    <row r="93" spans="1:18" ht="17.25" thickBot="1" x14ac:dyDescent="0.35">
      <c r="A93" s="6"/>
      <c r="B93" s="11">
        <v>4</v>
      </c>
      <c r="C93" s="2">
        <v>7646</v>
      </c>
      <c r="D93" s="2">
        <v>3827240</v>
      </c>
      <c r="E93" s="2">
        <v>62986</v>
      </c>
      <c r="F93" s="2">
        <v>12.651199999999999</v>
      </c>
      <c r="G93" s="2">
        <v>0.1714</v>
      </c>
      <c r="H93" s="2">
        <v>12.315099999999999</v>
      </c>
      <c r="I93" s="2">
        <v>12.987399999999999</v>
      </c>
      <c r="J93" s="2">
        <v>51.748899999999999</v>
      </c>
      <c r="K93" s="2">
        <v>0.55649999999999999</v>
      </c>
      <c r="L93" s="2">
        <v>50.657699999999998</v>
      </c>
      <c r="M93" s="2">
        <v>52.840200000000003</v>
      </c>
      <c r="O93" t="str">
        <f t="shared" si="20"/>
        <v>51.75 (50.66 to 52.84)</v>
      </c>
    </row>
    <row r="94" spans="1:18" ht="17.25" thickBot="1" x14ac:dyDescent="0.35">
      <c r="A94" s="6"/>
      <c r="B94" s="11" t="s">
        <v>153</v>
      </c>
      <c r="C94" s="2">
        <v>17163</v>
      </c>
      <c r="D94" s="2">
        <v>7395788</v>
      </c>
      <c r="E94" s="2">
        <v>81488</v>
      </c>
      <c r="F94" s="2">
        <v>24.447299999999998</v>
      </c>
      <c r="G94" s="2">
        <v>0.19470000000000001</v>
      </c>
      <c r="H94" s="2">
        <v>24.0655</v>
      </c>
      <c r="I94" s="2">
        <v>24.8291</v>
      </c>
      <c r="J94" s="2">
        <v>100</v>
      </c>
      <c r="K94" s="2"/>
      <c r="L94" s="2"/>
      <c r="M94" s="2"/>
    </row>
    <row r="95" spans="1:18" ht="17.25" thickBot="1" x14ac:dyDescent="0.35">
      <c r="A95" s="6">
        <v>4</v>
      </c>
      <c r="B95" s="11">
        <v>1</v>
      </c>
      <c r="C95" s="2">
        <v>2869</v>
      </c>
      <c r="D95" s="2">
        <v>881961</v>
      </c>
      <c r="E95" s="2">
        <v>22906</v>
      </c>
      <c r="F95" s="2">
        <v>2.9154</v>
      </c>
      <c r="G95" s="2">
        <v>7.7299999999999994E-2</v>
      </c>
      <c r="H95" s="2">
        <v>2.7637999999999998</v>
      </c>
      <c r="I95" s="2">
        <v>3.0670000000000002</v>
      </c>
      <c r="J95" s="2">
        <v>10.994400000000001</v>
      </c>
      <c r="K95" s="2">
        <v>0.27660000000000001</v>
      </c>
      <c r="L95" s="2">
        <v>10.452</v>
      </c>
      <c r="M95" s="2">
        <v>11.536799999999999</v>
      </c>
      <c r="O95" t="str">
        <f t="shared" ref="O95:O98" si="21">TEXT(J95,"0.00")&amp;" ("&amp;TEXT(L95,"0.00")&amp;" to "&amp;TEXT(M95,"0.00")&amp;")"</f>
        <v>10.99 (10.45 to 11.54)</v>
      </c>
    </row>
    <row r="96" spans="1:18" ht="17.25" thickBot="1" x14ac:dyDescent="0.35">
      <c r="A96" s="6"/>
      <c r="B96" s="11">
        <v>2</v>
      </c>
      <c r="C96" s="2">
        <v>2469</v>
      </c>
      <c r="D96" s="2">
        <v>868431</v>
      </c>
      <c r="E96" s="2">
        <v>22509</v>
      </c>
      <c r="F96" s="2">
        <v>2.8706999999999998</v>
      </c>
      <c r="G96" s="2">
        <v>7.4700000000000003E-2</v>
      </c>
      <c r="H96" s="2">
        <v>2.7241</v>
      </c>
      <c r="I96" s="2">
        <v>3.0171999999999999</v>
      </c>
      <c r="J96" s="2">
        <v>10.825799999999999</v>
      </c>
      <c r="K96" s="2">
        <v>0.26919999999999999</v>
      </c>
      <c r="L96" s="2">
        <v>10.2979</v>
      </c>
      <c r="M96" s="2">
        <v>11.3536</v>
      </c>
      <c r="O96" t="str">
        <f t="shared" si="21"/>
        <v>10.83 (10.30 to 11.35)</v>
      </c>
    </row>
    <row r="97" spans="1:18" ht="17.25" thickBot="1" x14ac:dyDescent="0.35">
      <c r="A97" s="6"/>
      <c r="B97" s="11">
        <v>3</v>
      </c>
      <c r="C97" s="2">
        <v>4899</v>
      </c>
      <c r="D97" s="2">
        <v>2281732</v>
      </c>
      <c r="E97" s="2">
        <v>42198</v>
      </c>
      <c r="F97" s="2">
        <v>7.5423999999999998</v>
      </c>
      <c r="G97" s="2">
        <v>0.1313</v>
      </c>
      <c r="H97" s="2">
        <v>7.2850000000000001</v>
      </c>
      <c r="I97" s="2">
        <v>7.7998000000000003</v>
      </c>
      <c r="J97" s="2">
        <v>28.4438</v>
      </c>
      <c r="K97" s="2">
        <v>0.42599999999999999</v>
      </c>
      <c r="L97" s="2">
        <v>27.608499999999999</v>
      </c>
      <c r="M97" s="2">
        <v>29.279</v>
      </c>
      <c r="O97" t="str">
        <f t="shared" si="21"/>
        <v>28.44 (27.61 to 29.28)</v>
      </c>
    </row>
    <row r="98" spans="1:18" ht="17.25" thickBot="1" x14ac:dyDescent="0.35">
      <c r="A98" s="6"/>
      <c r="B98" s="11">
        <v>4</v>
      </c>
      <c r="C98" s="2">
        <v>7809</v>
      </c>
      <c r="D98" s="2">
        <v>3989777</v>
      </c>
      <c r="E98" s="2">
        <v>62907</v>
      </c>
      <c r="F98" s="2">
        <v>13.188499999999999</v>
      </c>
      <c r="G98" s="2">
        <v>0.17119999999999999</v>
      </c>
      <c r="H98" s="2">
        <v>12.8527</v>
      </c>
      <c r="I98" s="2">
        <v>13.5243</v>
      </c>
      <c r="J98" s="2">
        <v>49.7361</v>
      </c>
      <c r="K98" s="2">
        <v>0.5282</v>
      </c>
      <c r="L98" s="2">
        <v>48.700400000000002</v>
      </c>
      <c r="M98" s="2">
        <v>50.771799999999999</v>
      </c>
      <c r="O98" t="str">
        <f t="shared" si="21"/>
        <v>49.74 (48.70 to 50.77)</v>
      </c>
    </row>
    <row r="99" spans="1:18" ht="17.25" thickBot="1" x14ac:dyDescent="0.35">
      <c r="A99" s="6"/>
      <c r="B99" s="11" t="s">
        <v>153</v>
      </c>
      <c r="C99" s="2">
        <v>18046</v>
      </c>
      <c r="D99" s="2">
        <v>8021901</v>
      </c>
      <c r="E99" s="2">
        <v>84668</v>
      </c>
      <c r="F99" s="2">
        <v>26.516999999999999</v>
      </c>
      <c r="G99" s="2">
        <v>0.21260000000000001</v>
      </c>
      <c r="H99" s="2">
        <v>26.100100000000001</v>
      </c>
      <c r="I99" s="2">
        <v>26.933800000000002</v>
      </c>
      <c r="J99" s="2">
        <v>100</v>
      </c>
      <c r="K99" s="2"/>
      <c r="L99" s="2"/>
      <c r="M99" s="2"/>
    </row>
    <row r="100" spans="1:18" ht="17.25" thickBot="1" x14ac:dyDescent="0.35">
      <c r="A100" s="6" t="s">
        <v>153</v>
      </c>
      <c r="B100" s="11">
        <v>1</v>
      </c>
      <c r="C100" s="2">
        <v>9199</v>
      </c>
      <c r="D100" s="2">
        <v>2778708</v>
      </c>
      <c r="E100" s="2">
        <v>48157</v>
      </c>
      <c r="F100" s="2">
        <v>9.1852</v>
      </c>
      <c r="G100" s="2">
        <v>0.16550000000000001</v>
      </c>
      <c r="H100" s="2">
        <v>8.8606999999999996</v>
      </c>
      <c r="I100" s="2">
        <v>9.5098000000000003</v>
      </c>
      <c r="J100" s="2"/>
      <c r="K100" s="2"/>
      <c r="L100" s="2"/>
      <c r="M100" s="2"/>
    </row>
    <row r="101" spans="1:18" ht="17.25" thickBot="1" x14ac:dyDescent="0.35">
      <c r="A101" s="6"/>
      <c r="B101" s="11">
        <v>2</v>
      </c>
      <c r="C101" s="2">
        <v>7937</v>
      </c>
      <c r="D101" s="2">
        <v>2682504</v>
      </c>
      <c r="E101" s="2">
        <v>43699</v>
      </c>
      <c r="F101" s="2">
        <v>8.8672000000000004</v>
      </c>
      <c r="G101" s="2">
        <v>0.14430000000000001</v>
      </c>
      <c r="H101" s="2">
        <v>8.5841999999999992</v>
      </c>
      <c r="I101" s="2">
        <v>9.1501999999999999</v>
      </c>
      <c r="J101" s="2"/>
      <c r="K101" s="2"/>
      <c r="L101" s="2"/>
      <c r="M101" s="2"/>
    </row>
    <row r="102" spans="1:18" ht="17.25" thickBot="1" x14ac:dyDescent="0.35">
      <c r="A102" s="6"/>
      <c r="B102" s="11">
        <v>3</v>
      </c>
      <c r="C102" s="2">
        <v>17758</v>
      </c>
      <c r="D102" s="2">
        <v>7987796</v>
      </c>
      <c r="E102" s="2">
        <v>95615</v>
      </c>
      <c r="F102" s="2">
        <v>26.404199999999999</v>
      </c>
      <c r="G102" s="2">
        <v>0.25690000000000002</v>
      </c>
      <c r="H102" s="2">
        <v>25.900500000000001</v>
      </c>
      <c r="I102" s="2">
        <v>26.908000000000001</v>
      </c>
      <c r="J102" s="2"/>
      <c r="K102" s="2"/>
      <c r="L102" s="2"/>
      <c r="M102" s="2"/>
    </row>
    <row r="103" spans="1:18" ht="17.25" thickBot="1" x14ac:dyDescent="0.35">
      <c r="A103" s="6"/>
      <c r="B103" s="11">
        <v>4</v>
      </c>
      <c r="C103" s="2">
        <v>33741</v>
      </c>
      <c r="D103" s="2">
        <v>16802927</v>
      </c>
      <c r="E103" s="2">
        <v>189742</v>
      </c>
      <c r="F103" s="2">
        <v>55.543300000000002</v>
      </c>
      <c r="G103" s="2">
        <v>0.36720000000000003</v>
      </c>
      <c r="H103" s="2">
        <v>54.8232</v>
      </c>
      <c r="I103" s="2">
        <v>56.263399999999997</v>
      </c>
      <c r="J103" s="2"/>
      <c r="K103" s="2"/>
      <c r="L103" s="2"/>
      <c r="M103" s="2"/>
    </row>
    <row r="104" spans="1:18" x14ac:dyDescent="0.3">
      <c r="A104" s="6"/>
      <c r="B104" s="14" t="s">
        <v>153</v>
      </c>
      <c r="C104" s="2">
        <v>68635</v>
      </c>
      <c r="D104" s="2">
        <v>30251936</v>
      </c>
      <c r="E104" s="2">
        <v>228758</v>
      </c>
      <c r="F104" s="2">
        <v>100</v>
      </c>
      <c r="G104" s="2"/>
      <c r="H104" s="2"/>
      <c r="I104" s="2"/>
      <c r="J104" s="2"/>
      <c r="K104" s="2"/>
      <c r="L104" s="2"/>
      <c r="M104" s="2"/>
    </row>
    <row r="105" spans="1:18" ht="17.25" thickBot="1" x14ac:dyDescent="0.35"/>
    <row r="106" spans="1:18" ht="16.5" customHeight="1" x14ac:dyDescent="0.3">
      <c r="A106" s="16" t="s">
        <v>208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spans="1:18" ht="33" customHeight="1" x14ac:dyDescent="0.3">
      <c r="A107" s="17" t="s">
        <v>60</v>
      </c>
      <c r="B107" s="19" t="s">
        <v>9</v>
      </c>
      <c r="C107" s="19" t="s">
        <v>146</v>
      </c>
      <c r="D107" s="3" t="s">
        <v>147</v>
      </c>
      <c r="E107" s="3" t="s">
        <v>148</v>
      </c>
      <c r="F107" s="19" t="s">
        <v>150</v>
      </c>
      <c r="G107" s="3" t="s">
        <v>148</v>
      </c>
      <c r="H107" s="19" t="s">
        <v>151</v>
      </c>
      <c r="I107" s="19"/>
      <c r="J107" s="3" t="s">
        <v>170</v>
      </c>
      <c r="K107" s="3" t="s">
        <v>148</v>
      </c>
      <c r="L107" s="19" t="s">
        <v>151</v>
      </c>
      <c r="M107" s="19"/>
    </row>
    <row r="108" spans="1:18" ht="33" x14ac:dyDescent="0.3">
      <c r="A108" s="17"/>
      <c r="B108" s="19"/>
      <c r="C108" s="19"/>
      <c r="D108" s="3" t="s">
        <v>146</v>
      </c>
      <c r="E108" s="3" t="s">
        <v>149</v>
      </c>
      <c r="F108" s="19"/>
      <c r="G108" s="3" t="s">
        <v>150</v>
      </c>
      <c r="H108" s="19" t="s">
        <v>152</v>
      </c>
      <c r="I108" s="19"/>
      <c r="J108" s="3" t="s">
        <v>150</v>
      </c>
      <c r="K108" s="3" t="s">
        <v>171</v>
      </c>
      <c r="L108" s="19" t="s">
        <v>172</v>
      </c>
      <c r="M108" s="19"/>
    </row>
    <row r="109" spans="1:18" ht="17.25" thickBot="1" x14ac:dyDescent="0.35">
      <c r="A109" s="6">
        <v>1</v>
      </c>
      <c r="B109" s="11">
        <v>1</v>
      </c>
      <c r="C109" s="2">
        <v>2064</v>
      </c>
      <c r="D109" s="2">
        <v>785156</v>
      </c>
      <c r="E109" s="2">
        <v>24979</v>
      </c>
      <c r="F109" s="2">
        <v>2.5954000000000002</v>
      </c>
      <c r="G109" s="2">
        <v>8.3000000000000004E-2</v>
      </c>
      <c r="H109" s="2">
        <v>2.4325999999999999</v>
      </c>
      <c r="I109" s="2">
        <v>2.7581000000000002</v>
      </c>
      <c r="J109" s="2">
        <v>10.5069</v>
      </c>
      <c r="K109" s="2">
        <v>0.32779999999999998</v>
      </c>
      <c r="L109" s="2">
        <v>9.8642000000000003</v>
      </c>
      <c r="M109" s="2">
        <v>11.1496</v>
      </c>
      <c r="O109" t="str">
        <f t="shared" ref="O109:O112" si="22">TEXT(J109,"0.00")&amp;" ("&amp;TEXT(L109,"0.00")&amp;" to "&amp;TEXT(M109,"0.00")&amp;")"</f>
        <v>10.51 (9.86 to 11.15)</v>
      </c>
      <c r="P109" t="str">
        <f>O114</f>
        <v>12.76 (12.08 to 13.44)</v>
      </c>
      <c r="Q109" t="str">
        <f>O119</f>
        <v>14.37 (13.70 to 15.04)</v>
      </c>
      <c r="R109" t="str">
        <f>O124</f>
        <v>14.32 (13.66 to 14.98)</v>
      </c>
    </row>
    <row r="110" spans="1:18" ht="17.25" thickBot="1" x14ac:dyDescent="0.35">
      <c r="A110" s="6"/>
      <c r="B110" s="11">
        <v>2</v>
      </c>
      <c r="C110" s="2">
        <v>3845</v>
      </c>
      <c r="D110" s="2">
        <v>1714788</v>
      </c>
      <c r="E110" s="2">
        <v>37609</v>
      </c>
      <c r="F110" s="2">
        <v>5.6684000000000001</v>
      </c>
      <c r="G110" s="2">
        <v>0.1191</v>
      </c>
      <c r="H110" s="2">
        <v>5.4348000000000001</v>
      </c>
      <c r="I110" s="2">
        <v>5.9019000000000004</v>
      </c>
      <c r="J110" s="2">
        <v>22.947199999999999</v>
      </c>
      <c r="K110" s="2">
        <v>0.45629999999999998</v>
      </c>
      <c r="L110" s="2">
        <v>22.052499999999998</v>
      </c>
      <c r="M110" s="2">
        <v>23.841899999999999</v>
      </c>
      <c r="O110" t="str">
        <f t="shared" si="22"/>
        <v>22.95 (22.05 to 23.84)</v>
      </c>
      <c r="P110" t="str">
        <f t="shared" ref="P110:P112" si="23">O115</f>
        <v>23.61 (22.71 to 24.52)</v>
      </c>
      <c r="Q110" t="str">
        <f t="shared" ref="Q110:Q112" si="24">O120</f>
        <v>24.73 (23.85 to 25.60)</v>
      </c>
      <c r="R110" t="str">
        <f t="shared" ref="R110:R112" si="25">O125</f>
        <v>24.75 (23.90 to 25.60)</v>
      </c>
    </row>
    <row r="111" spans="1:18" ht="17.25" thickBot="1" x14ac:dyDescent="0.35">
      <c r="A111" s="6"/>
      <c r="B111" s="11">
        <v>3</v>
      </c>
      <c r="C111" s="2">
        <v>4949</v>
      </c>
      <c r="D111" s="2">
        <v>2280485</v>
      </c>
      <c r="E111" s="2">
        <v>45170</v>
      </c>
      <c r="F111" s="2">
        <v>7.5382999999999996</v>
      </c>
      <c r="G111" s="2">
        <v>0.13469999999999999</v>
      </c>
      <c r="H111" s="2">
        <v>7.2740999999999998</v>
      </c>
      <c r="I111" s="2">
        <v>7.8025000000000002</v>
      </c>
      <c r="J111" s="2">
        <v>30.517399999999999</v>
      </c>
      <c r="K111" s="2">
        <v>0.4839</v>
      </c>
      <c r="L111" s="2">
        <v>29.5686</v>
      </c>
      <c r="M111" s="2">
        <v>31.466100000000001</v>
      </c>
      <c r="O111" t="str">
        <f t="shared" si="22"/>
        <v>30.52 (29.57 to 31.47)</v>
      </c>
      <c r="P111" t="str">
        <f t="shared" si="23"/>
        <v>31.44 (30.47 to 32.41)</v>
      </c>
      <c r="Q111" t="str">
        <f t="shared" si="24"/>
        <v>29.33 (28.40 to 30.25)</v>
      </c>
      <c r="R111" t="str">
        <f t="shared" si="25"/>
        <v>30.25 (29.34 to 31.15)</v>
      </c>
    </row>
    <row r="112" spans="1:18" ht="17.25" thickBot="1" x14ac:dyDescent="0.35">
      <c r="A112" s="6"/>
      <c r="B112" s="11">
        <v>4</v>
      </c>
      <c r="C112" s="2">
        <v>5789</v>
      </c>
      <c r="D112" s="2">
        <v>2692318</v>
      </c>
      <c r="E112" s="2">
        <v>58289</v>
      </c>
      <c r="F112" s="2">
        <v>8.8996999999999993</v>
      </c>
      <c r="G112" s="2">
        <v>0.17280000000000001</v>
      </c>
      <c r="H112" s="2">
        <v>8.5608000000000004</v>
      </c>
      <c r="I112" s="2">
        <v>9.2385000000000002</v>
      </c>
      <c r="J112" s="2">
        <v>36.028500000000001</v>
      </c>
      <c r="K112" s="2">
        <v>0.60160000000000002</v>
      </c>
      <c r="L112" s="2">
        <v>34.8489</v>
      </c>
      <c r="M112" s="2">
        <v>37.208100000000002</v>
      </c>
      <c r="O112" t="str">
        <f t="shared" si="22"/>
        <v>36.03 (34.85 to 37.21)</v>
      </c>
      <c r="P112" t="str">
        <f t="shared" si="23"/>
        <v>32.19 (31.09 to 33.30)</v>
      </c>
      <c r="Q112" t="str">
        <f t="shared" si="24"/>
        <v>31.57 (30.50 to 32.65)</v>
      </c>
      <c r="R112" t="str">
        <f t="shared" si="25"/>
        <v>30.68 (29.64 to 31.72)</v>
      </c>
    </row>
    <row r="113" spans="1:15" ht="17.25" thickBot="1" x14ac:dyDescent="0.35">
      <c r="A113" s="6"/>
      <c r="B113" s="11" t="s">
        <v>153</v>
      </c>
      <c r="C113" s="2">
        <v>16647</v>
      </c>
      <c r="D113" s="2">
        <v>7472748</v>
      </c>
      <c r="E113" s="2">
        <v>86882</v>
      </c>
      <c r="F113" s="2">
        <v>24.701699999999999</v>
      </c>
      <c r="G113" s="2">
        <v>0.20949999999999999</v>
      </c>
      <c r="H113" s="2">
        <v>24.290900000000001</v>
      </c>
      <c r="I113" s="2">
        <v>25.1126</v>
      </c>
      <c r="J113" s="2">
        <v>100</v>
      </c>
      <c r="K113" s="2"/>
      <c r="L113" s="2"/>
      <c r="M113" s="2"/>
    </row>
    <row r="114" spans="1:15" ht="17.25" thickBot="1" x14ac:dyDescent="0.35">
      <c r="A114" s="6">
        <v>2</v>
      </c>
      <c r="B114" s="11">
        <v>1</v>
      </c>
      <c r="C114" s="2">
        <v>2641</v>
      </c>
      <c r="D114" s="2">
        <v>939168</v>
      </c>
      <c r="E114" s="2">
        <v>25719</v>
      </c>
      <c r="F114" s="2">
        <v>3.1044999999999998</v>
      </c>
      <c r="G114" s="2">
        <v>8.6099999999999996E-2</v>
      </c>
      <c r="H114" s="2">
        <v>2.9356</v>
      </c>
      <c r="I114" s="2">
        <v>3.2732999999999999</v>
      </c>
      <c r="J114" s="2">
        <v>12.7578</v>
      </c>
      <c r="K114" s="2">
        <v>0.34539999999999998</v>
      </c>
      <c r="L114" s="2">
        <v>12.080500000000001</v>
      </c>
      <c r="M114" s="2">
        <v>13.4352</v>
      </c>
      <c r="O114" t="str">
        <f t="shared" ref="O114:O117" si="26">TEXT(J114,"0.00")&amp;" ("&amp;TEXT(L114,"0.00")&amp;" to "&amp;TEXT(M114,"0.00")&amp;")"</f>
        <v>12.76 (12.08 to 13.44)</v>
      </c>
    </row>
    <row r="115" spans="1:15" ht="17.25" thickBot="1" x14ac:dyDescent="0.35">
      <c r="A115" s="6"/>
      <c r="B115" s="11">
        <v>2</v>
      </c>
      <c r="C115" s="2">
        <v>4054</v>
      </c>
      <c r="D115" s="2">
        <v>1738224</v>
      </c>
      <c r="E115" s="2">
        <v>38363</v>
      </c>
      <c r="F115" s="2">
        <v>5.7458</v>
      </c>
      <c r="G115" s="2">
        <v>0.12139999999999999</v>
      </c>
      <c r="H115" s="2">
        <v>5.5077999999999996</v>
      </c>
      <c r="I115" s="2">
        <v>5.9837999999999996</v>
      </c>
      <c r="J115" s="2">
        <v>23.612400000000001</v>
      </c>
      <c r="K115" s="2">
        <v>0.46089999999999998</v>
      </c>
      <c r="L115" s="2">
        <v>22.7087</v>
      </c>
      <c r="M115" s="2">
        <v>24.515999999999998</v>
      </c>
      <c r="O115" t="str">
        <f t="shared" si="26"/>
        <v>23.61 (22.71 to 24.52)</v>
      </c>
    </row>
    <row r="116" spans="1:15" ht="17.25" thickBot="1" x14ac:dyDescent="0.35">
      <c r="A116" s="6"/>
      <c r="B116" s="11">
        <v>3</v>
      </c>
      <c r="C116" s="2">
        <v>4945</v>
      </c>
      <c r="D116" s="2">
        <v>2314240</v>
      </c>
      <c r="E116" s="2">
        <v>46004</v>
      </c>
      <c r="F116" s="2">
        <v>7.6498999999999997</v>
      </c>
      <c r="G116" s="2">
        <v>0.1371</v>
      </c>
      <c r="H116" s="2">
        <v>7.3810000000000002</v>
      </c>
      <c r="I116" s="2">
        <v>7.9188000000000001</v>
      </c>
      <c r="J116" s="2">
        <v>31.437100000000001</v>
      </c>
      <c r="K116" s="2">
        <v>0.4955</v>
      </c>
      <c r="L116" s="2">
        <v>30.465499999999999</v>
      </c>
      <c r="M116" s="2">
        <v>32.408700000000003</v>
      </c>
      <c r="O116" t="str">
        <f t="shared" si="26"/>
        <v>31.44 (30.47 to 32.41)</v>
      </c>
    </row>
    <row r="117" spans="1:15" ht="17.25" thickBot="1" x14ac:dyDescent="0.35">
      <c r="A117" s="6"/>
      <c r="B117" s="11">
        <v>4</v>
      </c>
      <c r="C117" s="2">
        <v>5139</v>
      </c>
      <c r="D117" s="2">
        <v>2369867</v>
      </c>
      <c r="E117" s="2">
        <v>51936</v>
      </c>
      <c r="F117" s="2">
        <v>7.8338000000000001</v>
      </c>
      <c r="G117" s="2">
        <v>0.15359999999999999</v>
      </c>
      <c r="H117" s="2">
        <v>7.5326000000000004</v>
      </c>
      <c r="I117" s="2">
        <v>8.1349</v>
      </c>
      <c r="J117" s="2">
        <v>32.192700000000002</v>
      </c>
      <c r="K117" s="2">
        <v>0.5635</v>
      </c>
      <c r="L117" s="2">
        <v>31.087900000000001</v>
      </c>
      <c r="M117" s="2">
        <v>33.297600000000003</v>
      </c>
      <c r="O117" t="str">
        <f t="shared" si="26"/>
        <v>32.19 (31.09 to 33.30)</v>
      </c>
    </row>
    <row r="118" spans="1:15" ht="17.25" thickBot="1" x14ac:dyDescent="0.35">
      <c r="A118" s="6"/>
      <c r="B118" s="11" t="s">
        <v>153</v>
      </c>
      <c r="C118" s="2">
        <v>16779</v>
      </c>
      <c r="D118" s="2">
        <v>7361499</v>
      </c>
      <c r="E118" s="2">
        <v>83717</v>
      </c>
      <c r="F118" s="2">
        <v>24.334</v>
      </c>
      <c r="G118" s="2">
        <v>0.20080000000000001</v>
      </c>
      <c r="H118" s="2">
        <v>23.940200000000001</v>
      </c>
      <c r="I118" s="2">
        <v>24.727799999999998</v>
      </c>
      <c r="J118" s="2">
        <v>100</v>
      </c>
      <c r="K118" s="2"/>
      <c r="L118" s="2"/>
      <c r="M118" s="2"/>
    </row>
    <row r="119" spans="1:15" ht="17.25" thickBot="1" x14ac:dyDescent="0.35">
      <c r="A119" s="6">
        <v>3</v>
      </c>
      <c r="B119" s="11">
        <v>1</v>
      </c>
      <c r="C119" s="2">
        <v>3187</v>
      </c>
      <c r="D119" s="2">
        <v>1062952</v>
      </c>
      <c r="E119" s="2">
        <v>25566</v>
      </c>
      <c r="F119" s="2">
        <v>3.5137</v>
      </c>
      <c r="G119" s="2">
        <v>8.6099999999999996E-2</v>
      </c>
      <c r="H119" s="2">
        <v>3.3448000000000002</v>
      </c>
      <c r="I119" s="2">
        <v>3.6825999999999999</v>
      </c>
      <c r="J119" s="2">
        <v>14.372400000000001</v>
      </c>
      <c r="K119" s="2">
        <v>0.34110000000000001</v>
      </c>
      <c r="L119" s="2">
        <v>13.7035</v>
      </c>
      <c r="M119" s="2">
        <v>15.0413</v>
      </c>
      <c r="O119" t="str">
        <f t="shared" ref="O119:O122" si="27">TEXT(J119,"0.00")&amp;" ("&amp;TEXT(L119,"0.00")&amp;" to "&amp;TEXT(M119,"0.00")&amp;")"</f>
        <v>14.37 (13.70 to 15.04)</v>
      </c>
    </row>
    <row r="120" spans="1:15" ht="17.25" thickBot="1" x14ac:dyDescent="0.35">
      <c r="A120" s="6"/>
      <c r="B120" s="11">
        <v>2</v>
      </c>
      <c r="C120" s="2">
        <v>4363</v>
      </c>
      <c r="D120" s="2">
        <v>1828840</v>
      </c>
      <c r="E120" s="2">
        <v>37355</v>
      </c>
      <c r="F120" s="2">
        <v>6.0453999999999999</v>
      </c>
      <c r="G120" s="2">
        <v>0.1192</v>
      </c>
      <c r="H120" s="2">
        <v>5.8116000000000003</v>
      </c>
      <c r="I120" s="2">
        <v>6.2790999999999997</v>
      </c>
      <c r="J120" s="2">
        <v>24.728100000000001</v>
      </c>
      <c r="K120" s="2">
        <v>0.44550000000000001</v>
      </c>
      <c r="L120" s="2">
        <v>23.854600000000001</v>
      </c>
      <c r="M120" s="2">
        <v>25.601700000000001</v>
      </c>
      <c r="O120" t="str">
        <f t="shared" si="27"/>
        <v>24.73 (23.85 to 25.60)</v>
      </c>
    </row>
    <row r="121" spans="1:15" ht="17.25" thickBot="1" x14ac:dyDescent="0.35">
      <c r="A121" s="6"/>
      <c r="B121" s="11">
        <v>3</v>
      </c>
      <c r="C121" s="2">
        <v>4681</v>
      </c>
      <c r="D121" s="2">
        <v>2168982</v>
      </c>
      <c r="E121" s="2">
        <v>43974</v>
      </c>
      <c r="F121" s="2">
        <v>7.1696999999999997</v>
      </c>
      <c r="G121" s="2">
        <v>0.13089999999999999</v>
      </c>
      <c r="H121" s="2">
        <v>6.9130000000000003</v>
      </c>
      <c r="I121" s="2">
        <v>7.4264999999999999</v>
      </c>
      <c r="J121" s="2">
        <v>29.327300000000001</v>
      </c>
      <c r="K121" s="2">
        <v>0.4718</v>
      </c>
      <c r="L121" s="2">
        <v>28.402200000000001</v>
      </c>
      <c r="M121" s="2">
        <v>30.252300000000002</v>
      </c>
      <c r="O121" t="str">
        <f t="shared" si="27"/>
        <v>29.33 (28.40 to 30.25)</v>
      </c>
    </row>
    <row r="122" spans="1:15" ht="17.25" thickBot="1" x14ac:dyDescent="0.35">
      <c r="A122" s="6"/>
      <c r="B122" s="11">
        <v>4</v>
      </c>
      <c r="C122" s="2">
        <v>4932</v>
      </c>
      <c r="D122" s="2">
        <v>2335013</v>
      </c>
      <c r="E122" s="2">
        <v>50307</v>
      </c>
      <c r="F122" s="2">
        <v>7.7186000000000003</v>
      </c>
      <c r="G122" s="2">
        <v>0.1474</v>
      </c>
      <c r="H122" s="2">
        <v>7.4295999999999998</v>
      </c>
      <c r="I122" s="2">
        <v>8.0075000000000003</v>
      </c>
      <c r="J122" s="2">
        <v>31.572199999999999</v>
      </c>
      <c r="K122" s="2">
        <v>0.54730000000000001</v>
      </c>
      <c r="L122" s="2">
        <v>30.498999999999999</v>
      </c>
      <c r="M122" s="2">
        <v>32.645400000000002</v>
      </c>
      <c r="O122" t="str">
        <f t="shared" si="27"/>
        <v>31.57 (30.50 to 32.65)</v>
      </c>
    </row>
    <row r="123" spans="1:15" ht="17.25" thickBot="1" x14ac:dyDescent="0.35">
      <c r="A123" s="6"/>
      <c r="B123" s="11" t="s">
        <v>153</v>
      </c>
      <c r="C123" s="2">
        <v>17163</v>
      </c>
      <c r="D123" s="2">
        <v>7395788</v>
      </c>
      <c r="E123" s="2">
        <v>81488</v>
      </c>
      <c r="F123" s="2">
        <v>24.447299999999998</v>
      </c>
      <c r="G123" s="2">
        <v>0.19470000000000001</v>
      </c>
      <c r="H123" s="2">
        <v>24.0655</v>
      </c>
      <c r="I123" s="2">
        <v>24.8291</v>
      </c>
      <c r="J123" s="2">
        <v>100</v>
      </c>
      <c r="K123" s="2"/>
      <c r="L123" s="2"/>
      <c r="M123" s="2"/>
    </row>
    <row r="124" spans="1:15" ht="17.25" thickBot="1" x14ac:dyDescent="0.35">
      <c r="A124" s="6">
        <v>4</v>
      </c>
      <c r="B124" s="11">
        <v>1</v>
      </c>
      <c r="C124" s="2">
        <v>3373</v>
      </c>
      <c r="D124" s="2">
        <v>1148879</v>
      </c>
      <c r="E124" s="2">
        <v>27661</v>
      </c>
      <c r="F124" s="2">
        <v>3.7976999999999999</v>
      </c>
      <c r="G124" s="2">
        <v>9.4299999999999995E-2</v>
      </c>
      <c r="H124" s="2">
        <v>3.6128</v>
      </c>
      <c r="I124" s="2">
        <v>3.9826000000000001</v>
      </c>
      <c r="J124" s="2">
        <v>14.3218</v>
      </c>
      <c r="K124" s="2">
        <v>0.33750000000000002</v>
      </c>
      <c r="L124" s="2">
        <v>13.6601</v>
      </c>
      <c r="M124" s="2">
        <v>14.983499999999999</v>
      </c>
      <c r="O124" t="str">
        <f t="shared" ref="O124:O127" si="28">TEXT(J124,"0.00")&amp;" ("&amp;TEXT(L124,"0.00")&amp;" to "&amp;TEXT(M124,"0.00")&amp;")"</f>
        <v>14.32 (13.66 to 14.98)</v>
      </c>
    </row>
    <row r="125" spans="1:15" ht="17.25" thickBot="1" x14ac:dyDescent="0.35">
      <c r="A125" s="6"/>
      <c r="B125" s="11">
        <v>2</v>
      </c>
      <c r="C125" s="2">
        <v>4572</v>
      </c>
      <c r="D125" s="2">
        <v>1985672</v>
      </c>
      <c r="E125" s="2">
        <v>40137</v>
      </c>
      <c r="F125" s="2">
        <v>6.5637999999999996</v>
      </c>
      <c r="G125" s="2">
        <v>0.12970000000000001</v>
      </c>
      <c r="H125" s="2">
        <v>6.3094999999999999</v>
      </c>
      <c r="I125" s="2">
        <v>6.8181000000000003</v>
      </c>
      <c r="J125" s="2">
        <v>24.7531</v>
      </c>
      <c r="K125" s="2">
        <v>0.43419999999999997</v>
      </c>
      <c r="L125" s="2">
        <v>23.901800000000001</v>
      </c>
      <c r="M125" s="2">
        <v>25.604500000000002</v>
      </c>
      <c r="O125" t="str">
        <f t="shared" si="28"/>
        <v>24.75 (23.90 to 25.60)</v>
      </c>
    </row>
    <row r="126" spans="1:15" ht="17.25" thickBot="1" x14ac:dyDescent="0.35">
      <c r="A126" s="6"/>
      <c r="B126" s="11">
        <v>3</v>
      </c>
      <c r="C126" s="2">
        <v>5011</v>
      </c>
      <c r="D126" s="2">
        <v>2426402</v>
      </c>
      <c r="E126" s="2">
        <v>47073</v>
      </c>
      <c r="F126" s="2">
        <v>8.0206</v>
      </c>
      <c r="G126" s="2">
        <v>0.1394</v>
      </c>
      <c r="H126" s="2">
        <v>7.7473000000000001</v>
      </c>
      <c r="I126" s="2">
        <v>8.2940000000000005</v>
      </c>
      <c r="J126" s="2">
        <v>30.247199999999999</v>
      </c>
      <c r="K126" s="2">
        <v>0.46060000000000001</v>
      </c>
      <c r="L126" s="2">
        <v>29.344000000000001</v>
      </c>
      <c r="M126" s="2">
        <v>31.150400000000001</v>
      </c>
      <c r="O126" t="str">
        <f t="shared" si="28"/>
        <v>30.25 (29.34 to 31.15)</v>
      </c>
    </row>
    <row r="127" spans="1:15" ht="17.25" thickBot="1" x14ac:dyDescent="0.35">
      <c r="A127" s="6"/>
      <c r="B127" s="11">
        <v>4</v>
      </c>
      <c r="C127" s="2">
        <v>5090</v>
      </c>
      <c r="D127" s="2">
        <v>2460948</v>
      </c>
      <c r="E127" s="2">
        <v>50827</v>
      </c>
      <c r="F127" s="2">
        <v>8.1348000000000003</v>
      </c>
      <c r="G127" s="2">
        <v>0.15079999999999999</v>
      </c>
      <c r="H127" s="2">
        <v>7.8391000000000002</v>
      </c>
      <c r="I127" s="2">
        <v>8.4306000000000001</v>
      </c>
      <c r="J127" s="2">
        <v>30.677900000000001</v>
      </c>
      <c r="K127" s="2">
        <v>0.5302</v>
      </c>
      <c r="L127" s="2">
        <v>29.638200000000001</v>
      </c>
      <c r="M127" s="2">
        <v>31.717500000000001</v>
      </c>
      <c r="O127" t="str">
        <f t="shared" si="28"/>
        <v>30.68 (29.64 to 31.72)</v>
      </c>
    </row>
    <row r="128" spans="1:15" ht="17.25" thickBot="1" x14ac:dyDescent="0.35">
      <c r="A128" s="6"/>
      <c r="B128" s="11" t="s">
        <v>153</v>
      </c>
      <c r="C128" s="2">
        <v>18046</v>
      </c>
      <c r="D128" s="2">
        <v>8021901</v>
      </c>
      <c r="E128" s="2">
        <v>84668</v>
      </c>
      <c r="F128" s="2">
        <v>26.516999999999999</v>
      </c>
      <c r="G128" s="2">
        <v>0.21260000000000001</v>
      </c>
      <c r="H128" s="2">
        <v>26.100100000000001</v>
      </c>
      <c r="I128" s="2">
        <v>26.933800000000002</v>
      </c>
      <c r="J128" s="2">
        <v>100</v>
      </c>
      <c r="K128" s="2"/>
      <c r="L128" s="2"/>
      <c r="M128" s="2"/>
    </row>
    <row r="129" spans="1:18" ht="17.25" thickBot="1" x14ac:dyDescent="0.35">
      <c r="A129" s="6" t="s">
        <v>153</v>
      </c>
      <c r="B129" s="11">
        <v>1</v>
      </c>
      <c r="C129" s="2">
        <v>11265</v>
      </c>
      <c r="D129" s="2">
        <v>3936155</v>
      </c>
      <c r="E129" s="2">
        <v>65921</v>
      </c>
      <c r="F129" s="2">
        <v>13.0113</v>
      </c>
      <c r="G129" s="2">
        <v>0.22689999999999999</v>
      </c>
      <c r="H129" s="2">
        <v>12.5664</v>
      </c>
      <c r="I129" s="2">
        <v>13.456099999999999</v>
      </c>
      <c r="J129" s="2"/>
      <c r="K129" s="2"/>
      <c r="L129" s="2"/>
      <c r="M129" s="2"/>
    </row>
    <row r="130" spans="1:18" ht="17.25" thickBot="1" x14ac:dyDescent="0.35">
      <c r="A130" s="6"/>
      <c r="B130" s="11">
        <v>2</v>
      </c>
      <c r="C130" s="2">
        <v>16834</v>
      </c>
      <c r="D130" s="2">
        <v>7267525</v>
      </c>
      <c r="E130" s="2">
        <v>98219</v>
      </c>
      <c r="F130" s="2">
        <v>24.023299999999999</v>
      </c>
      <c r="G130" s="2">
        <v>0.29559999999999997</v>
      </c>
      <c r="H130" s="2">
        <v>23.4437</v>
      </c>
      <c r="I130" s="2">
        <v>24.603000000000002</v>
      </c>
      <c r="J130" s="2"/>
      <c r="K130" s="2"/>
      <c r="L130" s="2"/>
      <c r="M130" s="2"/>
    </row>
    <row r="131" spans="1:18" ht="17.25" thickBot="1" x14ac:dyDescent="0.35">
      <c r="A131" s="6"/>
      <c r="B131" s="11">
        <v>3</v>
      </c>
      <c r="C131" s="2">
        <v>19586</v>
      </c>
      <c r="D131" s="2">
        <v>9190109</v>
      </c>
      <c r="E131" s="2">
        <v>122325</v>
      </c>
      <c r="F131" s="2">
        <v>30.378599999999999</v>
      </c>
      <c r="G131" s="2">
        <v>0.30769999999999997</v>
      </c>
      <c r="H131" s="2">
        <v>29.775200000000002</v>
      </c>
      <c r="I131" s="2">
        <v>30.9819</v>
      </c>
      <c r="J131" s="2"/>
      <c r="K131" s="2"/>
      <c r="L131" s="2"/>
      <c r="M131" s="2"/>
    </row>
    <row r="132" spans="1:18" ht="17.25" thickBot="1" x14ac:dyDescent="0.35">
      <c r="A132" s="6"/>
      <c r="B132" s="11">
        <v>4</v>
      </c>
      <c r="C132" s="2">
        <v>20950</v>
      </c>
      <c r="D132" s="2">
        <v>9858146</v>
      </c>
      <c r="E132" s="2">
        <v>157165</v>
      </c>
      <c r="F132" s="2">
        <v>32.586799999999997</v>
      </c>
      <c r="G132" s="2">
        <v>0.41460000000000002</v>
      </c>
      <c r="H132" s="2">
        <v>31.774000000000001</v>
      </c>
      <c r="I132" s="2">
        <v>33.399700000000003</v>
      </c>
      <c r="J132" s="2"/>
      <c r="K132" s="2"/>
      <c r="L132" s="2"/>
      <c r="M132" s="2"/>
    </row>
    <row r="133" spans="1:18" x14ac:dyDescent="0.3">
      <c r="A133" s="6"/>
      <c r="B133" s="14" t="s">
        <v>153</v>
      </c>
      <c r="C133" s="2">
        <v>68635</v>
      </c>
      <c r="D133" s="2">
        <v>30251936</v>
      </c>
      <c r="E133" s="2">
        <v>228758</v>
      </c>
      <c r="F133" s="2">
        <v>100</v>
      </c>
      <c r="G133" s="2"/>
      <c r="H133" s="2"/>
      <c r="I133" s="2"/>
      <c r="J133" s="2"/>
      <c r="K133" s="2"/>
      <c r="L133" s="2"/>
      <c r="M133" s="2"/>
    </row>
    <row r="134" spans="1:18" ht="17.25" thickBot="1" x14ac:dyDescent="0.35"/>
    <row r="135" spans="1:18" ht="16.5" customHeight="1" x14ac:dyDescent="0.3">
      <c r="A135" s="16" t="s">
        <v>209</v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</row>
    <row r="136" spans="1:18" ht="33" customHeight="1" x14ac:dyDescent="0.3">
      <c r="A136" s="17" t="s">
        <v>60</v>
      </c>
      <c r="B136" s="19" t="s">
        <v>10</v>
      </c>
      <c r="C136" s="19" t="s">
        <v>146</v>
      </c>
      <c r="D136" s="3" t="s">
        <v>147</v>
      </c>
      <c r="E136" s="3" t="s">
        <v>148</v>
      </c>
      <c r="F136" s="19" t="s">
        <v>150</v>
      </c>
      <c r="G136" s="3" t="s">
        <v>148</v>
      </c>
      <c r="H136" s="19" t="s">
        <v>151</v>
      </c>
      <c r="I136" s="19"/>
      <c r="J136" s="3" t="s">
        <v>170</v>
      </c>
      <c r="K136" s="3" t="s">
        <v>148</v>
      </c>
      <c r="L136" s="19" t="s">
        <v>151</v>
      </c>
      <c r="M136" s="19"/>
    </row>
    <row r="137" spans="1:18" ht="33" x14ac:dyDescent="0.3">
      <c r="A137" s="17"/>
      <c r="B137" s="19"/>
      <c r="C137" s="19"/>
      <c r="D137" s="3" t="s">
        <v>146</v>
      </c>
      <c r="E137" s="3" t="s">
        <v>149</v>
      </c>
      <c r="F137" s="19"/>
      <c r="G137" s="3" t="s">
        <v>150</v>
      </c>
      <c r="H137" s="19" t="s">
        <v>152</v>
      </c>
      <c r="I137" s="19"/>
      <c r="J137" s="3" t="s">
        <v>150</v>
      </c>
      <c r="K137" s="3" t="s">
        <v>171</v>
      </c>
      <c r="L137" s="19" t="s">
        <v>172</v>
      </c>
      <c r="M137" s="19"/>
    </row>
    <row r="138" spans="1:18" ht="17.25" thickBot="1" x14ac:dyDescent="0.35">
      <c r="A138" s="6">
        <v>1</v>
      </c>
      <c r="B138" s="11">
        <v>1</v>
      </c>
      <c r="C138" s="2">
        <v>1535</v>
      </c>
      <c r="D138" s="2">
        <v>728095</v>
      </c>
      <c r="E138" s="2">
        <v>22448</v>
      </c>
      <c r="F138" s="2">
        <v>2.4068000000000001</v>
      </c>
      <c r="G138" s="2">
        <v>7.1599999999999997E-2</v>
      </c>
      <c r="H138" s="2">
        <v>2.2664</v>
      </c>
      <c r="I138" s="2">
        <v>2.5470999999999999</v>
      </c>
      <c r="J138" s="2">
        <v>9.7432999999999996</v>
      </c>
      <c r="K138" s="2">
        <v>0.27350000000000002</v>
      </c>
      <c r="L138" s="2">
        <v>9.2071000000000005</v>
      </c>
      <c r="M138" s="2">
        <v>10.279500000000001</v>
      </c>
      <c r="O138" t="str">
        <f t="shared" ref="O138:O141" si="29">TEXT(J138,"0.00")&amp;" ("&amp;TEXT(L138,"0.00")&amp;" to "&amp;TEXT(M138,"0.00")&amp;")"</f>
        <v>9.74 (9.21 to 10.28)</v>
      </c>
      <c r="P138" t="str">
        <f>O143</f>
        <v>5.04 (4.63 to 5.45)</v>
      </c>
      <c r="Q138" t="str">
        <f>O148</f>
        <v>1.87 (1.62 to 2.12)</v>
      </c>
      <c r="R138" t="str">
        <f>O153</f>
        <v>0.73 (0.58 to 0.88)</v>
      </c>
    </row>
    <row r="139" spans="1:18" ht="17.25" thickBot="1" x14ac:dyDescent="0.35">
      <c r="A139" s="6"/>
      <c r="B139" s="11">
        <v>2</v>
      </c>
      <c r="C139" s="2">
        <v>9510</v>
      </c>
      <c r="D139" s="2">
        <v>4315868</v>
      </c>
      <c r="E139" s="2">
        <v>61127</v>
      </c>
      <c r="F139" s="2">
        <v>14.266400000000001</v>
      </c>
      <c r="G139" s="2">
        <v>0.16450000000000001</v>
      </c>
      <c r="H139" s="2">
        <v>13.9438</v>
      </c>
      <c r="I139" s="2">
        <v>14.5891</v>
      </c>
      <c r="J139" s="2">
        <v>57.754800000000003</v>
      </c>
      <c r="K139" s="2">
        <v>0.44319999999999998</v>
      </c>
      <c r="L139" s="2">
        <v>56.8857</v>
      </c>
      <c r="M139" s="2">
        <v>58.623899999999999</v>
      </c>
      <c r="O139" t="str">
        <f t="shared" si="29"/>
        <v>57.75 (56.89 to 58.62)</v>
      </c>
      <c r="P139" t="str">
        <f t="shared" ref="P139:P141" si="30">O144</f>
        <v>44.69 (43.79 to 45.58)</v>
      </c>
      <c r="Q139" t="str">
        <f t="shared" ref="Q139:Q141" si="31">O149</f>
        <v>31.82 (30.98 to 32.65)</v>
      </c>
      <c r="R139" t="str">
        <f t="shared" ref="R139:R141" si="32">O154</f>
        <v>20.28 (19.58 to 20.99)</v>
      </c>
    </row>
    <row r="140" spans="1:18" ht="17.25" thickBot="1" x14ac:dyDescent="0.35">
      <c r="A140" s="6"/>
      <c r="B140" s="11">
        <v>3</v>
      </c>
      <c r="C140" s="2">
        <v>3122</v>
      </c>
      <c r="D140" s="2">
        <v>1378234</v>
      </c>
      <c r="E140" s="2">
        <v>31209</v>
      </c>
      <c r="F140" s="2">
        <v>4.5559000000000003</v>
      </c>
      <c r="G140" s="2">
        <v>9.6500000000000002E-2</v>
      </c>
      <c r="H140" s="2">
        <v>4.3666</v>
      </c>
      <c r="I140" s="2">
        <v>4.7450999999999999</v>
      </c>
      <c r="J140" s="2">
        <v>18.4435</v>
      </c>
      <c r="K140" s="2">
        <v>0.3579</v>
      </c>
      <c r="L140" s="2">
        <v>17.741599999999998</v>
      </c>
      <c r="M140" s="2">
        <v>19.145299999999999</v>
      </c>
      <c r="O140" t="str">
        <f t="shared" si="29"/>
        <v>18.44 (17.74 to 19.15)</v>
      </c>
      <c r="P140" t="str">
        <f t="shared" si="30"/>
        <v>23.11 (22.36 to 23.86)</v>
      </c>
      <c r="Q140" t="str">
        <f t="shared" si="31"/>
        <v>26.53 (25.76 to 27.30)</v>
      </c>
      <c r="R140" t="str">
        <f t="shared" si="32"/>
        <v>24.62 (23.88 to 25.36)</v>
      </c>
    </row>
    <row r="141" spans="1:18" ht="17.25" thickBot="1" x14ac:dyDescent="0.35">
      <c r="A141" s="6"/>
      <c r="B141" s="11">
        <v>4</v>
      </c>
      <c r="C141" s="2">
        <v>2480</v>
      </c>
      <c r="D141" s="2">
        <v>1050550</v>
      </c>
      <c r="E141" s="2">
        <v>25494</v>
      </c>
      <c r="F141" s="2">
        <v>3.4727000000000001</v>
      </c>
      <c r="G141" s="2">
        <v>8.1199999999999994E-2</v>
      </c>
      <c r="H141" s="2">
        <v>3.3134999999999999</v>
      </c>
      <c r="I141" s="2">
        <v>3.6318999999999999</v>
      </c>
      <c r="J141" s="2">
        <v>14.058400000000001</v>
      </c>
      <c r="K141" s="2">
        <v>0.31469999999999998</v>
      </c>
      <c r="L141" s="2">
        <v>13.4414</v>
      </c>
      <c r="M141" s="2">
        <v>14.6754</v>
      </c>
      <c r="O141" t="str">
        <f t="shared" si="29"/>
        <v>14.06 (13.44 to 14.68)</v>
      </c>
      <c r="P141" t="str">
        <f t="shared" si="30"/>
        <v>27.17 (26.35 to 27.98)</v>
      </c>
      <c r="Q141" t="str">
        <f t="shared" si="31"/>
        <v>39.78 (38.91 to 40.66)</v>
      </c>
      <c r="R141" t="str">
        <f t="shared" si="32"/>
        <v>54.36 (53.49 to 55.23)</v>
      </c>
    </row>
    <row r="142" spans="1:18" ht="17.25" thickBot="1" x14ac:dyDescent="0.35">
      <c r="A142" s="6"/>
      <c r="B142" s="11" t="s">
        <v>153</v>
      </c>
      <c r="C142" s="2">
        <v>16647</v>
      </c>
      <c r="D142" s="2">
        <v>7472748</v>
      </c>
      <c r="E142" s="2">
        <v>86882</v>
      </c>
      <c r="F142" s="2">
        <v>24.701699999999999</v>
      </c>
      <c r="G142" s="2">
        <v>0.20949999999999999</v>
      </c>
      <c r="H142" s="2">
        <v>24.290900000000001</v>
      </c>
      <c r="I142" s="2">
        <v>25.1126</v>
      </c>
      <c r="J142" s="2">
        <v>100</v>
      </c>
      <c r="K142" s="2"/>
      <c r="L142" s="2"/>
      <c r="M142" s="2"/>
    </row>
    <row r="143" spans="1:18" ht="17.25" thickBot="1" x14ac:dyDescent="0.35">
      <c r="A143" s="6">
        <v>2</v>
      </c>
      <c r="B143" s="11">
        <v>1</v>
      </c>
      <c r="C143" s="2">
        <v>794</v>
      </c>
      <c r="D143" s="2">
        <v>371009</v>
      </c>
      <c r="E143" s="2">
        <v>16028</v>
      </c>
      <c r="F143" s="2">
        <v>1.2263999999999999</v>
      </c>
      <c r="G143" s="2">
        <v>5.21E-2</v>
      </c>
      <c r="H143" s="2">
        <v>1.1242000000000001</v>
      </c>
      <c r="I143" s="2">
        <v>1.3286</v>
      </c>
      <c r="J143" s="2">
        <v>5.0399000000000003</v>
      </c>
      <c r="K143" s="2">
        <v>0.2082</v>
      </c>
      <c r="L143" s="2">
        <v>4.6317000000000004</v>
      </c>
      <c r="M143" s="2">
        <v>5.4480000000000004</v>
      </c>
      <c r="O143" t="str">
        <f t="shared" ref="O143:O146" si="33">TEXT(J143,"0.00")&amp;" ("&amp;TEXT(L143,"0.00")&amp;" to "&amp;TEXT(M143,"0.00")&amp;")"</f>
        <v>5.04 (4.63 to 5.45)</v>
      </c>
    </row>
    <row r="144" spans="1:18" ht="17.25" thickBot="1" x14ac:dyDescent="0.35">
      <c r="A144" s="6"/>
      <c r="B144" s="11">
        <v>2</v>
      </c>
      <c r="C144" s="2">
        <v>7425</v>
      </c>
      <c r="D144" s="2">
        <v>3289490</v>
      </c>
      <c r="E144" s="2">
        <v>51388</v>
      </c>
      <c r="F144" s="2">
        <v>10.873699999999999</v>
      </c>
      <c r="G144" s="2">
        <v>0.1426</v>
      </c>
      <c r="H144" s="2">
        <v>10.594099999999999</v>
      </c>
      <c r="I144" s="2">
        <v>11.1533</v>
      </c>
      <c r="J144" s="2">
        <v>44.685099999999998</v>
      </c>
      <c r="K144" s="2">
        <v>0.45739999999999997</v>
      </c>
      <c r="L144" s="2">
        <v>43.7881</v>
      </c>
      <c r="M144" s="2">
        <v>45.582000000000001</v>
      </c>
      <c r="O144" t="str">
        <f t="shared" si="33"/>
        <v>44.69 (43.79 to 45.58)</v>
      </c>
    </row>
    <row r="145" spans="1:15" ht="17.25" thickBot="1" x14ac:dyDescent="0.35">
      <c r="A145" s="6"/>
      <c r="B145" s="11">
        <v>3</v>
      </c>
      <c r="C145" s="2">
        <v>3949</v>
      </c>
      <c r="D145" s="2">
        <v>1701221</v>
      </c>
      <c r="E145" s="2">
        <v>34049</v>
      </c>
      <c r="F145" s="2">
        <v>5.6234999999999999</v>
      </c>
      <c r="G145" s="2">
        <v>0.1052</v>
      </c>
      <c r="H145" s="2">
        <v>5.4172000000000002</v>
      </c>
      <c r="I145" s="2">
        <v>5.8297999999999996</v>
      </c>
      <c r="J145" s="2">
        <v>23.1097</v>
      </c>
      <c r="K145" s="2">
        <v>0.38440000000000002</v>
      </c>
      <c r="L145" s="2">
        <v>22.356000000000002</v>
      </c>
      <c r="M145" s="2">
        <v>23.863399999999999</v>
      </c>
      <c r="O145" t="str">
        <f t="shared" si="33"/>
        <v>23.11 (22.36 to 23.86)</v>
      </c>
    </row>
    <row r="146" spans="1:15" ht="17.25" thickBot="1" x14ac:dyDescent="0.35">
      <c r="A146" s="6"/>
      <c r="B146" s="11">
        <v>4</v>
      </c>
      <c r="C146" s="2">
        <v>4611</v>
      </c>
      <c r="D146" s="2">
        <v>1999779</v>
      </c>
      <c r="E146" s="2">
        <v>37102</v>
      </c>
      <c r="F146" s="2">
        <v>6.6104000000000003</v>
      </c>
      <c r="G146" s="2">
        <v>0.1129</v>
      </c>
      <c r="H146" s="2">
        <v>6.3891</v>
      </c>
      <c r="I146" s="2">
        <v>6.8316999999999997</v>
      </c>
      <c r="J146" s="2">
        <v>27.165400000000002</v>
      </c>
      <c r="K146" s="2">
        <v>0.41410000000000002</v>
      </c>
      <c r="L146" s="2">
        <v>26.353400000000001</v>
      </c>
      <c r="M146" s="2">
        <v>27.9773</v>
      </c>
      <c r="O146" t="str">
        <f t="shared" si="33"/>
        <v>27.17 (26.35 to 27.98)</v>
      </c>
    </row>
    <row r="147" spans="1:15" ht="17.25" thickBot="1" x14ac:dyDescent="0.35">
      <c r="A147" s="6"/>
      <c r="B147" s="11" t="s">
        <v>153</v>
      </c>
      <c r="C147" s="2">
        <v>16779</v>
      </c>
      <c r="D147" s="2">
        <v>7361499</v>
      </c>
      <c r="E147" s="2">
        <v>83717</v>
      </c>
      <c r="F147" s="2">
        <v>24.334</v>
      </c>
      <c r="G147" s="2">
        <v>0.20080000000000001</v>
      </c>
      <c r="H147" s="2">
        <v>23.940200000000001</v>
      </c>
      <c r="I147" s="2">
        <v>24.727799999999998</v>
      </c>
      <c r="J147" s="2">
        <v>100</v>
      </c>
      <c r="K147" s="2"/>
      <c r="L147" s="2"/>
      <c r="M147" s="2"/>
    </row>
    <row r="148" spans="1:15" ht="17.25" thickBot="1" x14ac:dyDescent="0.35">
      <c r="A148" s="6">
        <v>3</v>
      </c>
      <c r="B148" s="11">
        <v>1</v>
      </c>
      <c r="C148" s="2">
        <v>318</v>
      </c>
      <c r="D148" s="2">
        <v>138247</v>
      </c>
      <c r="E148" s="2">
        <v>9599</v>
      </c>
      <c r="F148" s="2">
        <v>0.45700000000000002</v>
      </c>
      <c r="G148" s="2">
        <v>3.15E-2</v>
      </c>
      <c r="H148" s="2">
        <v>0.39529999999999998</v>
      </c>
      <c r="I148" s="2">
        <v>0.51870000000000005</v>
      </c>
      <c r="J148" s="2">
        <v>1.8693</v>
      </c>
      <c r="K148" s="2">
        <v>0.1273</v>
      </c>
      <c r="L148" s="2">
        <v>1.6196999999999999</v>
      </c>
      <c r="M148" s="2">
        <v>2.1189</v>
      </c>
      <c r="O148" t="str">
        <f t="shared" ref="O148:O151" si="34">TEXT(J148,"0.00")&amp;" ("&amp;TEXT(L148,"0.00")&amp;" to "&amp;TEXT(M148,"0.00")&amp;")"</f>
        <v>1.87 (1.62 to 2.12)</v>
      </c>
    </row>
    <row r="149" spans="1:15" ht="17.25" thickBot="1" x14ac:dyDescent="0.35">
      <c r="A149" s="6"/>
      <c r="B149" s="11">
        <v>2</v>
      </c>
      <c r="C149" s="2">
        <v>5594</v>
      </c>
      <c r="D149" s="2">
        <v>2353150</v>
      </c>
      <c r="E149" s="2">
        <v>40565</v>
      </c>
      <c r="F149" s="2">
        <v>7.7785000000000002</v>
      </c>
      <c r="G149" s="2">
        <v>0.1206</v>
      </c>
      <c r="H149" s="2">
        <v>7.5419999999999998</v>
      </c>
      <c r="I149" s="2">
        <v>8.0151000000000003</v>
      </c>
      <c r="J149" s="2">
        <v>31.817399999999999</v>
      </c>
      <c r="K149" s="2">
        <v>0.42459999999999998</v>
      </c>
      <c r="L149" s="2">
        <v>30.9848</v>
      </c>
      <c r="M149" s="2">
        <v>32.65</v>
      </c>
      <c r="O149" t="str">
        <f t="shared" si="34"/>
        <v>31.82 (30.98 to 32.65)</v>
      </c>
    </row>
    <row r="150" spans="1:15" ht="17.25" thickBot="1" x14ac:dyDescent="0.35">
      <c r="A150" s="6"/>
      <c r="B150" s="11">
        <v>3</v>
      </c>
      <c r="C150" s="2">
        <v>4598</v>
      </c>
      <c r="D150" s="2">
        <v>1962114</v>
      </c>
      <c r="E150" s="2">
        <v>35921</v>
      </c>
      <c r="F150" s="2">
        <v>6.4859</v>
      </c>
      <c r="G150" s="2">
        <v>0.1079</v>
      </c>
      <c r="H150" s="2">
        <v>6.2744</v>
      </c>
      <c r="I150" s="2">
        <v>6.6974999999999998</v>
      </c>
      <c r="J150" s="2">
        <v>26.530200000000001</v>
      </c>
      <c r="K150" s="2">
        <v>0.39229999999999998</v>
      </c>
      <c r="L150" s="2">
        <v>25.760899999999999</v>
      </c>
      <c r="M150" s="2">
        <v>27.299399999999999</v>
      </c>
      <c r="O150" t="str">
        <f t="shared" si="34"/>
        <v>26.53 (25.76 to 27.30)</v>
      </c>
    </row>
    <row r="151" spans="1:15" ht="17.25" thickBot="1" x14ac:dyDescent="0.35">
      <c r="A151" s="6"/>
      <c r="B151" s="11">
        <v>4</v>
      </c>
      <c r="C151" s="2">
        <v>6653</v>
      </c>
      <c r="D151" s="2">
        <v>2942276</v>
      </c>
      <c r="E151" s="2">
        <v>46421</v>
      </c>
      <c r="F151" s="2">
        <v>9.7258999999999993</v>
      </c>
      <c r="G151" s="2">
        <v>0.13450000000000001</v>
      </c>
      <c r="H151" s="2">
        <v>9.4620999999999995</v>
      </c>
      <c r="I151" s="2">
        <v>9.9896999999999991</v>
      </c>
      <c r="J151" s="2">
        <v>39.783099999999997</v>
      </c>
      <c r="K151" s="2">
        <v>0.44529999999999997</v>
      </c>
      <c r="L151" s="2">
        <v>38.909999999999997</v>
      </c>
      <c r="M151" s="2">
        <v>40.656300000000002</v>
      </c>
      <c r="O151" t="str">
        <f t="shared" si="34"/>
        <v>39.78 (38.91 to 40.66)</v>
      </c>
    </row>
    <row r="152" spans="1:15" ht="17.25" thickBot="1" x14ac:dyDescent="0.35">
      <c r="A152" s="6"/>
      <c r="B152" s="11" t="s">
        <v>153</v>
      </c>
      <c r="C152" s="2">
        <v>17163</v>
      </c>
      <c r="D152" s="2">
        <v>7395788</v>
      </c>
      <c r="E152" s="2">
        <v>81488</v>
      </c>
      <c r="F152" s="2">
        <v>24.447299999999998</v>
      </c>
      <c r="G152" s="2">
        <v>0.19470000000000001</v>
      </c>
      <c r="H152" s="2">
        <v>24.0655</v>
      </c>
      <c r="I152" s="2">
        <v>24.8291</v>
      </c>
      <c r="J152" s="2">
        <v>100</v>
      </c>
      <c r="K152" s="2"/>
      <c r="L152" s="2"/>
      <c r="M152" s="2"/>
    </row>
    <row r="153" spans="1:15" ht="17.25" thickBot="1" x14ac:dyDescent="0.35">
      <c r="A153" s="6">
        <v>4</v>
      </c>
      <c r="B153" s="11">
        <v>1</v>
      </c>
      <c r="C153" s="2">
        <v>130</v>
      </c>
      <c r="D153" s="2">
        <v>58841</v>
      </c>
      <c r="E153" s="2">
        <v>6212</v>
      </c>
      <c r="F153" s="2">
        <v>0.19450000000000001</v>
      </c>
      <c r="G153" s="2">
        <v>2.0500000000000001E-2</v>
      </c>
      <c r="H153" s="2">
        <v>0.15429999999999999</v>
      </c>
      <c r="I153" s="2">
        <v>0.23469999999999999</v>
      </c>
      <c r="J153" s="2">
        <v>0.73350000000000004</v>
      </c>
      <c r="K153" s="2">
        <v>7.6799999999999993E-2</v>
      </c>
      <c r="L153" s="2">
        <v>0.58289999999999997</v>
      </c>
      <c r="M153" s="2">
        <v>0.8841</v>
      </c>
      <c r="O153" t="str">
        <f t="shared" ref="O153:O156" si="35">TEXT(J153,"0.00")&amp;" ("&amp;TEXT(L153,"0.00")&amp;" to "&amp;TEXT(M153,"0.00")&amp;")"</f>
        <v>0.73 (0.58 to 0.88)</v>
      </c>
    </row>
    <row r="154" spans="1:15" ht="17.25" thickBot="1" x14ac:dyDescent="0.35">
      <c r="A154" s="6"/>
      <c r="B154" s="11">
        <v>2</v>
      </c>
      <c r="C154" s="2">
        <v>3906</v>
      </c>
      <c r="D154" s="2">
        <v>1627139</v>
      </c>
      <c r="E154" s="2">
        <v>33841</v>
      </c>
      <c r="F154" s="2">
        <v>5.3785999999999996</v>
      </c>
      <c r="G154" s="2">
        <v>0.1061</v>
      </c>
      <c r="H154" s="2">
        <v>5.1706000000000003</v>
      </c>
      <c r="I154" s="2">
        <v>5.5865999999999998</v>
      </c>
      <c r="J154" s="2">
        <v>20.2837</v>
      </c>
      <c r="K154" s="2">
        <v>0.35899999999999999</v>
      </c>
      <c r="L154" s="2">
        <v>19.579699999999999</v>
      </c>
      <c r="M154" s="2">
        <v>20.9877</v>
      </c>
      <c r="O154" t="str">
        <f t="shared" si="35"/>
        <v>20.28 (19.58 to 20.99)</v>
      </c>
    </row>
    <row r="155" spans="1:15" ht="17.25" thickBot="1" x14ac:dyDescent="0.35">
      <c r="A155" s="6"/>
      <c r="B155" s="11">
        <v>3</v>
      </c>
      <c r="C155" s="2">
        <v>4596</v>
      </c>
      <c r="D155" s="2">
        <v>1975261</v>
      </c>
      <c r="E155" s="2">
        <v>36101</v>
      </c>
      <c r="F155" s="2">
        <v>6.5293999999999999</v>
      </c>
      <c r="G155" s="2">
        <v>0.11119999999999999</v>
      </c>
      <c r="H155" s="2">
        <v>6.3113999999999999</v>
      </c>
      <c r="I155" s="2">
        <v>6.7473000000000001</v>
      </c>
      <c r="J155" s="2">
        <v>24.6234</v>
      </c>
      <c r="K155" s="2">
        <v>0.37819999999999998</v>
      </c>
      <c r="L155" s="2">
        <v>23.881900000000002</v>
      </c>
      <c r="M155" s="2">
        <v>25.364799999999999</v>
      </c>
      <c r="O155" t="str">
        <f t="shared" si="35"/>
        <v>24.62 (23.88 to 25.36)</v>
      </c>
    </row>
    <row r="156" spans="1:15" ht="17.25" thickBot="1" x14ac:dyDescent="0.35">
      <c r="A156" s="6"/>
      <c r="B156" s="11">
        <v>4</v>
      </c>
      <c r="C156" s="2">
        <v>9414</v>
      </c>
      <c r="D156" s="2">
        <v>4360660</v>
      </c>
      <c r="E156" s="2">
        <v>58593</v>
      </c>
      <c r="F156" s="2">
        <v>14.4145</v>
      </c>
      <c r="G156" s="2">
        <v>0.16470000000000001</v>
      </c>
      <c r="H156" s="2">
        <v>14.0915</v>
      </c>
      <c r="I156" s="2">
        <v>14.737500000000001</v>
      </c>
      <c r="J156" s="2">
        <v>54.359400000000001</v>
      </c>
      <c r="K156" s="2">
        <v>0.44540000000000002</v>
      </c>
      <c r="L156" s="2">
        <v>53.4861</v>
      </c>
      <c r="M156" s="2">
        <v>55.232799999999997</v>
      </c>
      <c r="O156" t="str">
        <f t="shared" si="35"/>
        <v>54.36 (53.49 to 55.23)</v>
      </c>
    </row>
    <row r="157" spans="1:15" ht="17.25" thickBot="1" x14ac:dyDescent="0.35">
      <c r="A157" s="6"/>
      <c r="B157" s="11" t="s">
        <v>153</v>
      </c>
      <c r="C157" s="2">
        <v>18046</v>
      </c>
      <c r="D157" s="2">
        <v>8021901</v>
      </c>
      <c r="E157" s="2">
        <v>84668</v>
      </c>
      <c r="F157" s="2">
        <v>26.516999999999999</v>
      </c>
      <c r="G157" s="2">
        <v>0.21260000000000001</v>
      </c>
      <c r="H157" s="2">
        <v>26.100100000000001</v>
      </c>
      <c r="I157" s="2">
        <v>26.933800000000002</v>
      </c>
      <c r="J157" s="2">
        <v>100</v>
      </c>
      <c r="K157" s="2"/>
      <c r="L157" s="2"/>
      <c r="M157" s="2"/>
    </row>
    <row r="158" spans="1:15" ht="17.25" thickBot="1" x14ac:dyDescent="0.35">
      <c r="A158" s="6" t="s">
        <v>153</v>
      </c>
      <c r="B158" s="11">
        <v>1</v>
      </c>
      <c r="C158" s="2">
        <v>2777</v>
      </c>
      <c r="D158" s="2">
        <v>1296193</v>
      </c>
      <c r="E158" s="2">
        <v>31560</v>
      </c>
      <c r="F158" s="2">
        <v>4.2847</v>
      </c>
      <c r="G158" s="2">
        <v>9.8500000000000004E-2</v>
      </c>
      <c r="H158" s="2">
        <v>4.0914999999999999</v>
      </c>
      <c r="I158" s="2">
        <v>4.4778000000000002</v>
      </c>
      <c r="J158" s="2"/>
      <c r="K158" s="2"/>
      <c r="L158" s="2"/>
      <c r="M158" s="2"/>
    </row>
    <row r="159" spans="1:15" ht="17.25" thickBot="1" x14ac:dyDescent="0.35">
      <c r="A159" s="6"/>
      <c r="B159" s="11">
        <v>2</v>
      </c>
      <c r="C159" s="2">
        <v>26435</v>
      </c>
      <c r="D159" s="2">
        <v>11585647</v>
      </c>
      <c r="E159" s="2">
        <v>115210</v>
      </c>
      <c r="F159" s="2">
        <v>38.297199999999997</v>
      </c>
      <c r="G159" s="2">
        <v>0.2286</v>
      </c>
      <c r="H159" s="2">
        <v>37.848999999999997</v>
      </c>
      <c r="I159" s="2">
        <v>38.745399999999997</v>
      </c>
      <c r="J159" s="2"/>
      <c r="K159" s="2"/>
      <c r="L159" s="2"/>
      <c r="M159" s="2"/>
    </row>
    <row r="160" spans="1:15" ht="17.25" thickBot="1" x14ac:dyDescent="0.35">
      <c r="A160" s="6"/>
      <c r="B160" s="11">
        <v>3</v>
      </c>
      <c r="C160" s="2">
        <v>16265</v>
      </c>
      <c r="D160" s="2">
        <v>7016830</v>
      </c>
      <c r="E160" s="2">
        <v>76881</v>
      </c>
      <c r="F160" s="2">
        <v>23.194600000000001</v>
      </c>
      <c r="G160" s="2">
        <v>0.189</v>
      </c>
      <c r="H160" s="2">
        <v>22.824000000000002</v>
      </c>
      <c r="I160" s="2">
        <v>23.565300000000001</v>
      </c>
      <c r="J160" s="2"/>
      <c r="K160" s="2"/>
      <c r="L160" s="2"/>
      <c r="M160" s="2"/>
    </row>
    <row r="161" spans="1:18" ht="17.25" thickBot="1" x14ac:dyDescent="0.35">
      <c r="A161" s="6"/>
      <c r="B161" s="11">
        <v>4</v>
      </c>
      <c r="C161" s="2">
        <v>23158</v>
      </c>
      <c r="D161" s="2">
        <v>10353266</v>
      </c>
      <c r="E161" s="2">
        <v>102556</v>
      </c>
      <c r="F161" s="2">
        <v>34.223500000000001</v>
      </c>
      <c r="G161" s="2">
        <v>0.23269999999999999</v>
      </c>
      <c r="H161" s="2">
        <v>33.767099999999999</v>
      </c>
      <c r="I161" s="2">
        <v>34.6798</v>
      </c>
      <c r="J161" s="2"/>
      <c r="K161" s="2"/>
      <c r="L161" s="2"/>
      <c r="M161" s="2"/>
    </row>
    <row r="162" spans="1:18" x14ac:dyDescent="0.3">
      <c r="A162" s="6"/>
      <c r="B162" s="14" t="s">
        <v>153</v>
      </c>
      <c r="C162" s="2">
        <v>68635</v>
      </c>
      <c r="D162" s="2">
        <v>30251936</v>
      </c>
      <c r="E162" s="2">
        <v>228758</v>
      </c>
      <c r="F162" s="2">
        <v>100</v>
      </c>
      <c r="G162" s="2"/>
      <c r="H162" s="2"/>
      <c r="I162" s="2"/>
      <c r="J162" s="2"/>
      <c r="K162" s="2"/>
      <c r="L162" s="2"/>
      <c r="M162" s="2"/>
    </row>
    <row r="163" spans="1:18" ht="17.25" thickBot="1" x14ac:dyDescent="0.35"/>
    <row r="164" spans="1:18" ht="16.5" customHeight="1" x14ac:dyDescent="0.3">
      <c r="A164" s="16" t="s">
        <v>210</v>
      </c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</row>
    <row r="165" spans="1:18" ht="33" customHeight="1" x14ac:dyDescent="0.3">
      <c r="A165" s="17" t="s">
        <v>60</v>
      </c>
      <c r="B165" s="19" t="s">
        <v>11</v>
      </c>
      <c r="C165" s="19" t="s">
        <v>146</v>
      </c>
      <c r="D165" s="3" t="s">
        <v>147</v>
      </c>
      <c r="E165" s="3" t="s">
        <v>148</v>
      </c>
      <c r="F165" s="19" t="s">
        <v>150</v>
      </c>
      <c r="G165" s="3" t="s">
        <v>148</v>
      </c>
      <c r="H165" s="19" t="s">
        <v>151</v>
      </c>
      <c r="I165" s="19"/>
      <c r="J165" s="3" t="s">
        <v>170</v>
      </c>
      <c r="K165" s="3" t="s">
        <v>148</v>
      </c>
      <c r="L165" s="19" t="s">
        <v>151</v>
      </c>
      <c r="M165" s="19"/>
    </row>
    <row r="166" spans="1:18" ht="33" x14ac:dyDescent="0.3">
      <c r="A166" s="17"/>
      <c r="B166" s="19"/>
      <c r="C166" s="19"/>
      <c r="D166" s="3" t="s">
        <v>146</v>
      </c>
      <c r="E166" s="3" t="s">
        <v>149</v>
      </c>
      <c r="F166" s="19"/>
      <c r="G166" s="3" t="s">
        <v>150</v>
      </c>
      <c r="H166" s="19" t="s">
        <v>152</v>
      </c>
      <c r="I166" s="19"/>
      <c r="J166" s="3" t="s">
        <v>150</v>
      </c>
      <c r="K166" s="3" t="s">
        <v>171</v>
      </c>
      <c r="L166" s="19" t="s">
        <v>172</v>
      </c>
      <c r="M166" s="19"/>
    </row>
    <row r="167" spans="1:18" ht="17.25" thickBot="1" x14ac:dyDescent="0.35">
      <c r="A167" s="6">
        <v>1</v>
      </c>
      <c r="B167" s="11">
        <v>1</v>
      </c>
      <c r="C167" s="2">
        <v>12402</v>
      </c>
      <c r="D167" s="2">
        <v>4958665</v>
      </c>
      <c r="E167" s="2">
        <v>62311</v>
      </c>
      <c r="F167" s="2">
        <v>16.391200000000001</v>
      </c>
      <c r="G167" s="2">
        <v>0.16919999999999999</v>
      </c>
      <c r="H167" s="2">
        <v>16.0594</v>
      </c>
      <c r="I167" s="2">
        <v>16.723099999999999</v>
      </c>
      <c r="J167" s="2">
        <v>66.356700000000004</v>
      </c>
      <c r="K167" s="2">
        <v>0.51590000000000003</v>
      </c>
      <c r="L167" s="2">
        <v>65.345200000000006</v>
      </c>
      <c r="M167" s="2">
        <v>67.368099999999998</v>
      </c>
      <c r="O167" t="str">
        <f t="shared" ref="O167:O168" si="36">TEXT(J167,"0.00")&amp;" ("&amp;TEXT(L167,"0.00")&amp;" to "&amp;TEXT(M167,"0.00")&amp;")"</f>
        <v>66.36 (65.35 to 67.37)</v>
      </c>
      <c r="P167" t="str">
        <f>O170</f>
        <v>73.18 (72.22 to 74.13)</v>
      </c>
      <c r="Q167" t="str">
        <f>O173</f>
        <v>80.06 (79.18 to 80.94)</v>
      </c>
      <c r="R167" t="str">
        <f>O176</f>
        <v>82.68 (81.89 to 83.46)</v>
      </c>
    </row>
    <row r="168" spans="1:18" ht="17.25" thickBot="1" x14ac:dyDescent="0.35">
      <c r="A168" s="6"/>
      <c r="B168" s="11">
        <v>2</v>
      </c>
      <c r="C168" s="2">
        <v>4245</v>
      </c>
      <c r="D168" s="2">
        <v>2514083</v>
      </c>
      <c r="E168" s="2">
        <v>53013</v>
      </c>
      <c r="F168" s="2">
        <v>8.3104999999999993</v>
      </c>
      <c r="G168" s="2">
        <v>0.15720000000000001</v>
      </c>
      <c r="H168" s="2">
        <v>8.0022000000000002</v>
      </c>
      <c r="I168" s="2">
        <v>8.6188000000000002</v>
      </c>
      <c r="J168" s="2">
        <v>33.643300000000004</v>
      </c>
      <c r="K168" s="2">
        <v>0.51590000000000003</v>
      </c>
      <c r="L168" s="2">
        <v>32.631900000000002</v>
      </c>
      <c r="M168" s="2">
        <v>34.654800000000002</v>
      </c>
      <c r="O168" t="str">
        <f t="shared" si="36"/>
        <v>33.64 (32.63 to 34.65)</v>
      </c>
      <c r="P168" t="str">
        <f>O171</f>
        <v>26.82 (25.87 to 27.78)</v>
      </c>
      <c r="Q168" t="str">
        <f>O174</f>
        <v>19.94 (19.06 to 20.82)</v>
      </c>
      <c r="R168" t="str">
        <f>O177</f>
        <v>17.32 (16.54 to 18.11)</v>
      </c>
    </row>
    <row r="169" spans="1:18" ht="17.25" thickBot="1" x14ac:dyDescent="0.35">
      <c r="A169" s="6"/>
      <c r="B169" s="11" t="s">
        <v>153</v>
      </c>
      <c r="C169" s="2">
        <v>16647</v>
      </c>
      <c r="D169" s="2">
        <v>7472748</v>
      </c>
      <c r="E169" s="2">
        <v>86882</v>
      </c>
      <c r="F169" s="2">
        <v>24.701699999999999</v>
      </c>
      <c r="G169" s="2">
        <v>0.20949999999999999</v>
      </c>
      <c r="H169" s="2">
        <v>24.290900000000001</v>
      </c>
      <c r="I169" s="2">
        <v>25.1126</v>
      </c>
      <c r="J169" s="2">
        <v>100</v>
      </c>
      <c r="K169" s="2"/>
      <c r="L169" s="2"/>
      <c r="M169" s="2"/>
    </row>
    <row r="170" spans="1:18" ht="17.25" thickBot="1" x14ac:dyDescent="0.35">
      <c r="A170" s="6">
        <v>2</v>
      </c>
      <c r="B170" s="11">
        <v>1</v>
      </c>
      <c r="C170" s="2">
        <v>13644</v>
      </c>
      <c r="D170" s="2">
        <v>5386783</v>
      </c>
      <c r="E170" s="2">
        <v>65857</v>
      </c>
      <c r="F170" s="2">
        <v>17.8064</v>
      </c>
      <c r="G170" s="2">
        <v>0.1759</v>
      </c>
      <c r="H170" s="2">
        <v>17.461500000000001</v>
      </c>
      <c r="I170" s="2">
        <v>18.151299999999999</v>
      </c>
      <c r="J170" s="2">
        <v>73.1751</v>
      </c>
      <c r="K170" s="2">
        <v>0.4884</v>
      </c>
      <c r="L170" s="2">
        <v>72.217500000000001</v>
      </c>
      <c r="M170" s="2">
        <v>74.1327</v>
      </c>
      <c r="O170" t="str">
        <f t="shared" ref="O170:O171" si="37">TEXT(J170,"0.00")&amp;" ("&amp;TEXT(L170,"0.00")&amp;" to "&amp;TEXT(M170,"0.00")&amp;")"</f>
        <v>73.18 (72.22 to 74.13)</v>
      </c>
    </row>
    <row r="171" spans="1:18" ht="17.25" thickBot="1" x14ac:dyDescent="0.35">
      <c r="A171" s="6"/>
      <c r="B171" s="11">
        <v>2</v>
      </c>
      <c r="C171" s="2">
        <v>3135</v>
      </c>
      <c r="D171" s="2">
        <v>1974716</v>
      </c>
      <c r="E171" s="2">
        <v>45348</v>
      </c>
      <c r="F171" s="2">
        <v>6.5275999999999996</v>
      </c>
      <c r="G171" s="2">
        <v>0.13700000000000001</v>
      </c>
      <c r="H171" s="2">
        <v>6.2588999999999997</v>
      </c>
      <c r="I171" s="2">
        <v>6.7962999999999996</v>
      </c>
      <c r="J171" s="2">
        <v>26.8249</v>
      </c>
      <c r="K171" s="2">
        <v>0.4884</v>
      </c>
      <c r="L171" s="2">
        <v>25.8673</v>
      </c>
      <c r="M171" s="2">
        <v>27.782499999999999</v>
      </c>
      <c r="O171" t="str">
        <f t="shared" si="37"/>
        <v>26.82 (25.87 to 27.78)</v>
      </c>
    </row>
    <row r="172" spans="1:18" ht="17.25" thickBot="1" x14ac:dyDescent="0.35">
      <c r="A172" s="6"/>
      <c r="B172" s="11" t="s">
        <v>153</v>
      </c>
      <c r="C172" s="2">
        <v>16779</v>
      </c>
      <c r="D172" s="2">
        <v>7361499</v>
      </c>
      <c r="E172" s="2">
        <v>83717</v>
      </c>
      <c r="F172" s="2">
        <v>24.334</v>
      </c>
      <c r="G172" s="2">
        <v>0.20080000000000001</v>
      </c>
      <c r="H172" s="2">
        <v>23.940200000000001</v>
      </c>
      <c r="I172" s="2">
        <v>24.727799999999998</v>
      </c>
      <c r="J172" s="2">
        <v>100</v>
      </c>
      <c r="K172" s="2"/>
      <c r="L172" s="2"/>
      <c r="M172" s="2"/>
    </row>
    <row r="173" spans="1:18" ht="17.25" thickBot="1" x14ac:dyDescent="0.35">
      <c r="A173" s="6">
        <v>3</v>
      </c>
      <c r="B173" s="11">
        <v>1</v>
      </c>
      <c r="C173" s="2">
        <v>14869</v>
      </c>
      <c r="D173" s="2">
        <v>5921126</v>
      </c>
      <c r="E173" s="2">
        <v>69448</v>
      </c>
      <c r="F173" s="2">
        <v>19.572700000000001</v>
      </c>
      <c r="G173" s="2">
        <v>0.18310000000000001</v>
      </c>
      <c r="H173" s="2">
        <v>19.2136</v>
      </c>
      <c r="I173" s="2">
        <v>19.931799999999999</v>
      </c>
      <c r="J173" s="2">
        <v>80.0608</v>
      </c>
      <c r="K173" s="2">
        <v>0.44829999999999998</v>
      </c>
      <c r="L173" s="2">
        <v>79.181799999999996</v>
      </c>
      <c r="M173" s="2">
        <v>80.939800000000005</v>
      </c>
      <c r="O173" t="str">
        <f t="shared" ref="O173:O174" si="38">TEXT(J173,"0.00")&amp;" ("&amp;TEXT(L173,"0.00")&amp;" to "&amp;TEXT(M173,"0.00")&amp;")"</f>
        <v>80.06 (79.18 to 80.94)</v>
      </c>
    </row>
    <row r="174" spans="1:18" ht="17.25" thickBot="1" x14ac:dyDescent="0.35">
      <c r="A174" s="6"/>
      <c r="B174" s="11">
        <v>2</v>
      </c>
      <c r="C174" s="2">
        <v>2294</v>
      </c>
      <c r="D174" s="2">
        <v>1474662</v>
      </c>
      <c r="E174" s="2">
        <v>38676</v>
      </c>
      <c r="F174" s="2">
        <v>4.8746</v>
      </c>
      <c r="G174" s="2">
        <v>0.1192</v>
      </c>
      <c r="H174" s="2">
        <v>4.6409000000000002</v>
      </c>
      <c r="I174" s="2">
        <v>5.1082999999999998</v>
      </c>
      <c r="J174" s="2">
        <v>19.9392</v>
      </c>
      <c r="K174" s="2">
        <v>0.44829999999999998</v>
      </c>
      <c r="L174" s="2">
        <v>19.060199999999998</v>
      </c>
      <c r="M174" s="2">
        <v>20.818200000000001</v>
      </c>
      <c r="O174" t="str">
        <f t="shared" si="38"/>
        <v>19.94 (19.06 to 20.82)</v>
      </c>
    </row>
    <row r="175" spans="1:18" ht="17.25" thickBot="1" x14ac:dyDescent="0.35">
      <c r="A175" s="6"/>
      <c r="B175" s="11" t="s">
        <v>153</v>
      </c>
      <c r="C175" s="2">
        <v>17163</v>
      </c>
      <c r="D175" s="2">
        <v>7395788</v>
      </c>
      <c r="E175" s="2">
        <v>81488</v>
      </c>
      <c r="F175" s="2">
        <v>24.447299999999998</v>
      </c>
      <c r="G175" s="2">
        <v>0.19470000000000001</v>
      </c>
      <c r="H175" s="2">
        <v>24.0655</v>
      </c>
      <c r="I175" s="2">
        <v>24.8291</v>
      </c>
      <c r="J175" s="2">
        <v>100</v>
      </c>
      <c r="K175" s="2"/>
      <c r="L175" s="2"/>
      <c r="M175" s="2"/>
    </row>
    <row r="176" spans="1:18" ht="17.25" thickBot="1" x14ac:dyDescent="0.35">
      <c r="A176" s="6">
        <v>4</v>
      </c>
      <c r="B176" s="11">
        <v>1</v>
      </c>
      <c r="C176" s="2">
        <v>15899</v>
      </c>
      <c r="D176" s="2">
        <v>6632192</v>
      </c>
      <c r="E176" s="2">
        <v>74796</v>
      </c>
      <c r="F176" s="2">
        <v>21.923200000000001</v>
      </c>
      <c r="G176" s="2">
        <v>0.1968</v>
      </c>
      <c r="H176" s="2">
        <v>21.537400000000002</v>
      </c>
      <c r="I176" s="2">
        <v>22.309000000000001</v>
      </c>
      <c r="J176" s="2">
        <v>82.676100000000005</v>
      </c>
      <c r="K176" s="2">
        <v>0.40129999999999999</v>
      </c>
      <c r="L176" s="2">
        <v>81.889200000000002</v>
      </c>
      <c r="M176" s="2">
        <v>83.462900000000005</v>
      </c>
      <c r="O176" t="str">
        <f t="shared" ref="O176:O177" si="39">TEXT(J176,"0.00")&amp;" ("&amp;TEXT(L176,"0.00")&amp;" to "&amp;TEXT(M176,"0.00")&amp;")"</f>
        <v>82.68 (81.89 to 83.46)</v>
      </c>
    </row>
    <row r="177" spans="1:18" ht="17.25" thickBot="1" x14ac:dyDescent="0.35">
      <c r="A177" s="6"/>
      <c r="B177" s="11">
        <v>2</v>
      </c>
      <c r="C177" s="2">
        <v>2147</v>
      </c>
      <c r="D177" s="2">
        <v>1389709</v>
      </c>
      <c r="E177" s="2">
        <v>36374</v>
      </c>
      <c r="F177" s="2">
        <v>4.5937999999999999</v>
      </c>
      <c r="G177" s="2">
        <v>0.1158</v>
      </c>
      <c r="H177" s="2">
        <v>4.3666999999999998</v>
      </c>
      <c r="I177" s="2">
        <v>4.8209</v>
      </c>
      <c r="J177" s="2">
        <v>17.323899999999998</v>
      </c>
      <c r="K177" s="2">
        <v>0.40129999999999999</v>
      </c>
      <c r="L177" s="2">
        <v>16.537099999999999</v>
      </c>
      <c r="M177" s="2">
        <v>18.110800000000001</v>
      </c>
      <c r="O177" t="str">
        <f t="shared" si="39"/>
        <v>17.32 (16.54 to 18.11)</v>
      </c>
    </row>
    <row r="178" spans="1:18" ht="17.25" thickBot="1" x14ac:dyDescent="0.35">
      <c r="A178" s="6"/>
      <c r="B178" s="11" t="s">
        <v>153</v>
      </c>
      <c r="C178" s="2">
        <v>18046</v>
      </c>
      <c r="D178" s="2">
        <v>8021901</v>
      </c>
      <c r="E178" s="2">
        <v>84668</v>
      </c>
      <c r="F178" s="2">
        <v>26.516999999999999</v>
      </c>
      <c r="G178" s="2">
        <v>0.21260000000000001</v>
      </c>
      <c r="H178" s="2">
        <v>26.100100000000001</v>
      </c>
      <c r="I178" s="2">
        <v>26.933800000000002</v>
      </c>
      <c r="J178" s="2">
        <v>100</v>
      </c>
      <c r="K178" s="2"/>
      <c r="L178" s="2"/>
      <c r="M178" s="2"/>
    </row>
    <row r="179" spans="1:18" ht="17.25" thickBot="1" x14ac:dyDescent="0.35">
      <c r="A179" s="6" t="s">
        <v>153</v>
      </c>
      <c r="B179" s="11">
        <v>1</v>
      </c>
      <c r="C179" s="2">
        <v>56814</v>
      </c>
      <c r="D179" s="2">
        <v>22898766</v>
      </c>
      <c r="E179" s="2">
        <v>183193</v>
      </c>
      <c r="F179" s="2">
        <v>75.693600000000004</v>
      </c>
      <c r="G179" s="2">
        <v>0.28570000000000001</v>
      </c>
      <c r="H179" s="2">
        <v>75.133300000000006</v>
      </c>
      <c r="I179" s="2">
        <v>76.253799999999998</v>
      </c>
      <c r="J179" s="2"/>
      <c r="K179" s="2"/>
      <c r="L179" s="2"/>
      <c r="M179" s="2"/>
    </row>
    <row r="180" spans="1:18" ht="17.25" thickBot="1" x14ac:dyDescent="0.35">
      <c r="A180" s="6"/>
      <c r="B180" s="11">
        <v>2</v>
      </c>
      <c r="C180" s="2">
        <v>11821</v>
      </c>
      <c r="D180" s="2">
        <v>7353170</v>
      </c>
      <c r="E180" s="2">
        <v>108690</v>
      </c>
      <c r="F180" s="2">
        <v>24.3064</v>
      </c>
      <c r="G180" s="2">
        <v>0.28570000000000001</v>
      </c>
      <c r="H180" s="2">
        <v>23.746200000000002</v>
      </c>
      <c r="I180" s="2">
        <v>24.866700000000002</v>
      </c>
      <c r="J180" s="2"/>
      <c r="K180" s="2"/>
      <c r="L180" s="2"/>
      <c r="M180" s="2"/>
    </row>
    <row r="181" spans="1:18" x14ac:dyDescent="0.3">
      <c r="A181" s="6"/>
      <c r="B181" s="14" t="s">
        <v>153</v>
      </c>
      <c r="C181" s="2">
        <v>68635</v>
      </c>
      <c r="D181" s="2">
        <v>30251936</v>
      </c>
      <c r="E181" s="2">
        <v>228758</v>
      </c>
      <c r="F181" s="2">
        <v>100</v>
      </c>
      <c r="G181" s="2"/>
      <c r="H181" s="2"/>
      <c r="I181" s="2"/>
      <c r="J181" s="2"/>
      <c r="K181" s="2"/>
      <c r="L181" s="2"/>
      <c r="M181" s="2"/>
    </row>
    <row r="182" spans="1:18" ht="17.25" thickBot="1" x14ac:dyDescent="0.35"/>
    <row r="183" spans="1:18" ht="16.5" customHeight="1" x14ac:dyDescent="0.3">
      <c r="A183" s="16" t="s">
        <v>211</v>
      </c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</row>
    <row r="184" spans="1:18" ht="33" customHeight="1" x14ac:dyDescent="0.3">
      <c r="A184" s="17" t="s">
        <v>60</v>
      </c>
      <c r="B184" s="19" t="s">
        <v>12</v>
      </c>
      <c r="C184" s="19" t="s">
        <v>146</v>
      </c>
      <c r="D184" s="3" t="s">
        <v>147</v>
      </c>
      <c r="E184" s="3" t="s">
        <v>148</v>
      </c>
      <c r="F184" s="19" t="s">
        <v>150</v>
      </c>
      <c r="G184" s="3" t="s">
        <v>148</v>
      </c>
      <c r="H184" s="19" t="s">
        <v>151</v>
      </c>
      <c r="I184" s="19"/>
      <c r="J184" s="3" t="s">
        <v>170</v>
      </c>
      <c r="K184" s="3" t="s">
        <v>148</v>
      </c>
      <c r="L184" s="19" t="s">
        <v>151</v>
      </c>
      <c r="M184" s="19"/>
    </row>
    <row r="185" spans="1:18" ht="33" x14ac:dyDescent="0.3">
      <c r="A185" s="17"/>
      <c r="B185" s="19"/>
      <c r="C185" s="19"/>
      <c r="D185" s="3" t="s">
        <v>146</v>
      </c>
      <c r="E185" s="3" t="s">
        <v>149</v>
      </c>
      <c r="F185" s="19"/>
      <c r="G185" s="3" t="s">
        <v>150</v>
      </c>
      <c r="H185" s="19" t="s">
        <v>152</v>
      </c>
      <c r="I185" s="19"/>
      <c r="J185" s="3" t="s">
        <v>150</v>
      </c>
      <c r="K185" s="3" t="s">
        <v>171</v>
      </c>
      <c r="L185" s="19" t="s">
        <v>172</v>
      </c>
      <c r="M185" s="19"/>
    </row>
    <row r="186" spans="1:18" ht="17.25" thickBot="1" x14ac:dyDescent="0.35">
      <c r="A186" s="6">
        <v>1</v>
      </c>
      <c r="B186" s="11">
        <v>1</v>
      </c>
      <c r="C186" s="2">
        <v>6399</v>
      </c>
      <c r="D186" s="2">
        <v>2979223</v>
      </c>
      <c r="E186" s="2">
        <v>50992</v>
      </c>
      <c r="F186" s="2">
        <v>9.8480000000000008</v>
      </c>
      <c r="G186" s="2">
        <v>0.1467</v>
      </c>
      <c r="H186" s="2">
        <v>9.5602999999999998</v>
      </c>
      <c r="I186" s="2">
        <v>10.1358</v>
      </c>
      <c r="J186" s="2">
        <v>39.867800000000003</v>
      </c>
      <c r="K186" s="2">
        <v>0.45910000000000001</v>
      </c>
      <c r="L186" s="2">
        <v>38.967700000000001</v>
      </c>
      <c r="M186" s="2">
        <v>40.768000000000001</v>
      </c>
      <c r="O186" t="str">
        <f t="shared" ref="O186:O188" si="40">TEXT(J186,"0.00")&amp;" ("&amp;TEXT(L186,"0.00")&amp;" to "&amp;TEXT(M186,"0.00")&amp;")"</f>
        <v>39.87 (38.97 to 40.77)</v>
      </c>
      <c r="P186" t="str">
        <f>O190</f>
        <v>35.69 (34.78 to 36.59)</v>
      </c>
      <c r="Q186" t="str">
        <f>O194</f>
        <v>32.75 (31.87 to 33.62)</v>
      </c>
      <c r="R186" t="str">
        <f>O198</f>
        <v>29.85 (29.02 to 30.68)</v>
      </c>
    </row>
    <row r="187" spans="1:18" ht="17.25" thickBot="1" x14ac:dyDescent="0.35">
      <c r="A187" s="6"/>
      <c r="B187" s="11">
        <v>2</v>
      </c>
      <c r="C187" s="2">
        <v>7831</v>
      </c>
      <c r="D187" s="2">
        <v>3511886</v>
      </c>
      <c r="E187" s="2">
        <v>53571</v>
      </c>
      <c r="F187" s="2">
        <v>11.6088</v>
      </c>
      <c r="G187" s="2">
        <v>0.151</v>
      </c>
      <c r="H187" s="2">
        <v>11.3127</v>
      </c>
      <c r="I187" s="2">
        <v>11.9049</v>
      </c>
      <c r="J187" s="2">
        <v>46.995899999999999</v>
      </c>
      <c r="K187" s="2">
        <v>0.4819</v>
      </c>
      <c r="L187" s="2">
        <v>46.051000000000002</v>
      </c>
      <c r="M187" s="2">
        <v>47.940800000000003</v>
      </c>
      <c r="O187" t="str">
        <f t="shared" si="40"/>
        <v>47.00 (46.05 to 47.94)</v>
      </c>
      <c r="P187" t="str">
        <f t="shared" ref="P187:P188" si="41">O191</f>
        <v>48.91 (47.99 to 49.83)</v>
      </c>
      <c r="Q187" t="str">
        <f t="shared" ref="Q187:Q188" si="42">O195</f>
        <v>49.75 (48.83 to 50.67)</v>
      </c>
      <c r="R187" t="str">
        <f t="shared" ref="R187:R188" si="43">O199</f>
        <v>51.05 (50.16 to 51.95)</v>
      </c>
    </row>
    <row r="188" spans="1:18" ht="17.25" thickBot="1" x14ac:dyDescent="0.35">
      <c r="A188" s="6"/>
      <c r="B188" s="11">
        <v>3</v>
      </c>
      <c r="C188" s="2">
        <v>2417</v>
      </c>
      <c r="D188" s="2">
        <v>981639</v>
      </c>
      <c r="E188" s="2">
        <v>24745</v>
      </c>
      <c r="F188" s="2">
        <v>3.2448999999999999</v>
      </c>
      <c r="G188" s="2">
        <v>7.9299999999999995E-2</v>
      </c>
      <c r="H188" s="2">
        <v>3.0895000000000001</v>
      </c>
      <c r="I188" s="2">
        <v>3.4003000000000001</v>
      </c>
      <c r="J188" s="2">
        <v>13.136200000000001</v>
      </c>
      <c r="K188" s="2">
        <v>0.30790000000000001</v>
      </c>
      <c r="L188" s="2">
        <v>12.532500000000001</v>
      </c>
      <c r="M188" s="2">
        <v>13.74</v>
      </c>
      <c r="O188" t="str">
        <f t="shared" si="40"/>
        <v>13.14 (12.53 to 13.74)</v>
      </c>
      <c r="P188" t="str">
        <f t="shared" si="41"/>
        <v>15.40 (14.74 to 16.06)</v>
      </c>
      <c r="Q188" t="str">
        <f t="shared" si="42"/>
        <v>17.50 (16.83 to 18.17)</v>
      </c>
      <c r="R188" t="str">
        <f t="shared" si="43"/>
        <v>19.09 (18.43 to 19.76)</v>
      </c>
    </row>
    <row r="189" spans="1:18" ht="17.25" thickBot="1" x14ac:dyDescent="0.35">
      <c r="A189" s="6"/>
      <c r="B189" s="11" t="s">
        <v>153</v>
      </c>
      <c r="C189" s="2">
        <v>16647</v>
      </c>
      <c r="D189" s="2">
        <v>7472748</v>
      </c>
      <c r="E189" s="2">
        <v>86882</v>
      </c>
      <c r="F189" s="2">
        <v>24.701699999999999</v>
      </c>
      <c r="G189" s="2">
        <v>0.20949999999999999</v>
      </c>
      <c r="H189" s="2">
        <v>24.290900000000001</v>
      </c>
      <c r="I189" s="2">
        <v>25.1126</v>
      </c>
      <c r="J189" s="2">
        <v>100</v>
      </c>
      <c r="K189" s="2"/>
      <c r="L189" s="2"/>
      <c r="M189" s="2"/>
    </row>
    <row r="190" spans="1:18" ht="17.25" thickBot="1" x14ac:dyDescent="0.35">
      <c r="A190" s="6">
        <v>2</v>
      </c>
      <c r="B190" s="11">
        <v>1</v>
      </c>
      <c r="C190" s="2">
        <v>5697</v>
      </c>
      <c r="D190" s="2">
        <v>2627256</v>
      </c>
      <c r="E190" s="2">
        <v>47223</v>
      </c>
      <c r="F190" s="2">
        <v>8.6845999999999997</v>
      </c>
      <c r="G190" s="2">
        <v>0.13700000000000001</v>
      </c>
      <c r="H190" s="2">
        <v>8.4159000000000006</v>
      </c>
      <c r="I190" s="2">
        <v>8.9533000000000005</v>
      </c>
      <c r="J190" s="2">
        <v>35.689100000000003</v>
      </c>
      <c r="K190" s="2">
        <v>0.46189999999999998</v>
      </c>
      <c r="L190" s="2">
        <v>34.7834</v>
      </c>
      <c r="M190" s="2">
        <v>36.594900000000003</v>
      </c>
      <c r="O190" t="str">
        <f t="shared" ref="O190:O192" si="44">TEXT(J190,"0.00")&amp;" ("&amp;TEXT(L190,"0.00")&amp;" to "&amp;TEXT(M190,"0.00")&amp;")"</f>
        <v>35.69 (34.78 to 36.59)</v>
      </c>
    </row>
    <row r="191" spans="1:18" ht="17.25" thickBot="1" x14ac:dyDescent="0.35">
      <c r="A191" s="6"/>
      <c r="B191" s="11">
        <v>2</v>
      </c>
      <c r="C191" s="2">
        <v>8174</v>
      </c>
      <c r="D191" s="2">
        <v>3600705</v>
      </c>
      <c r="E191" s="2">
        <v>53429</v>
      </c>
      <c r="F191" s="2">
        <v>11.9024</v>
      </c>
      <c r="G191" s="2">
        <v>0.1492</v>
      </c>
      <c r="H191" s="2">
        <v>11.6099</v>
      </c>
      <c r="I191" s="2">
        <v>12.194900000000001</v>
      </c>
      <c r="J191" s="2">
        <v>48.912700000000001</v>
      </c>
      <c r="K191" s="2">
        <v>0.46870000000000001</v>
      </c>
      <c r="L191" s="2">
        <v>47.993699999999997</v>
      </c>
      <c r="M191" s="2">
        <v>49.831600000000002</v>
      </c>
      <c r="O191" t="str">
        <f t="shared" si="44"/>
        <v>48.91 (47.99 to 49.83)</v>
      </c>
    </row>
    <row r="192" spans="1:18" ht="17.25" thickBot="1" x14ac:dyDescent="0.35">
      <c r="A192" s="6"/>
      <c r="B192" s="11">
        <v>3</v>
      </c>
      <c r="C192" s="2">
        <v>2908</v>
      </c>
      <c r="D192" s="2">
        <v>1133538</v>
      </c>
      <c r="E192" s="2">
        <v>26532</v>
      </c>
      <c r="F192" s="2">
        <v>3.7469999999999999</v>
      </c>
      <c r="G192" s="2">
        <v>8.5699999999999998E-2</v>
      </c>
      <c r="H192" s="2">
        <v>3.5790000000000002</v>
      </c>
      <c r="I192" s="2">
        <v>3.915</v>
      </c>
      <c r="J192" s="2">
        <v>15.398199999999999</v>
      </c>
      <c r="K192" s="2">
        <v>0.33610000000000001</v>
      </c>
      <c r="L192" s="2">
        <v>14.7393</v>
      </c>
      <c r="M192" s="2">
        <v>16.057099999999998</v>
      </c>
      <c r="O192" t="str">
        <f t="shared" si="44"/>
        <v>15.40 (14.74 to 16.06)</v>
      </c>
    </row>
    <row r="193" spans="1:15" ht="17.25" thickBot="1" x14ac:dyDescent="0.35">
      <c r="A193" s="6"/>
      <c r="B193" s="11" t="s">
        <v>153</v>
      </c>
      <c r="C193" s="2">
        <v>16779</v>
      </c>
      <c r="D193" s="2">
        <v>7361499</v>
      </c>
      <c r="E193" s="2">
        <v>83717</v>
      </c>
      <c r="F193" s="2">
        <v>24.334</v>
      </c>
      <c r="G193" s="2">
        <v>0.20080000000000001</v>
      </c>
      <c r="H193" s="2">
        <v>23.940200000000001</v>
      </c>
      <c r="I193" s="2">
        <v>24.727799999999998</v>
      </c>
      <c r="J193" s="2">
        <v>100</v>
      </c>
      <c r="K193" s="2"/>
      <c r="L193" s="2"/>
      <c r="M193" s="2"/>
    </row>
    <row r="194" spans="1:15" ht="17.25" thickBot="1" x14ac:dyDescent="0.35">
      <c r="A194" s="6">
        <v>3</v>
      </c>
      <c r="B194" s="11">
        <v>1</v>
      </c>
      <c r="C194" s="2">
        <v>5426</v>
      </c>
      <c r="D194" s="2">
        <v>2421928</v>
      </c>
      <c r="E194" s="2">
        <v>42650</v>
      </c>
      <c r="F194" s="2">
        <v>8.0059000000000005</v>
      </c>
      <c r="G194" s="2">
        <v>0.12540000000000001</v>
      </c>
      <c r="H194" s="2">
        <v>7.76</v>
      </c>
      <c r="I194" s="2">
        <v>8.2516999999999996</v>
      </c>
      <c r="J194" s="2">
        <v>32.747399999999999</v>
      </c>
      <c r="K194" s="2">
        <v>0.44600000000000001</v>
      </c>
      <c r="L194" s="2">
        <v>31.872800000000002</v>
      </c>
      <c r="M194" s="2">
        <v>33.622</v>
      </c>
      <c r="O194" t="str">
        <f t="shared" ref="O194:O196" si="45">TEXT(J194,"0.00")&amp;" ("&amp;TEXT(L194,"0.00")&amp;" to "&amp;TEXT(M194,"0.00")&amp;")"</f>
        <v>32.75 (31.87 to 33.62)</v>
      </c>
    </row>
    <row r="195" spans="1:15" ht="17.25" thickBot="1" x14ac:dyDescent="0.35">
      <c r="A195" s="6"/>
      <c r="B195" s="11">
        <v>2</v>
      </c>
      <c r="C195" s="2">
        <v>8326</v>
      </c>
      <c r="D195" s="2">
        <v>3679421</v>
      </c>
      <c r="E195" s="2">
        <v>54066</v>
      </c>
      <c r="F195" s="2">
        <v>12.162599999999999</v>
      </c>
      <c r="G195" s="2">
        <v>0.15160000000000001</v>
      </c>
      <c r="H195" s="2">
        <v>11.8653</v>
      </c>
      <c r="I195" s="2">
        <v>12.459899999999999</v>
      </c>
      <c r="J195" s="2">
        <v>49.7502</v>
      </c>
      <c r="K195" s="2">
        <v>0.47060000000000002</v>
      </c>
      <c r="L195" s="2">
        <v>48.827500000000001</v>
      </c>
      <c r="M195" s="2">
        <v>50.673000000000002</v>
      </c>
      <c r="O195" t="str">
        <f t="shared" si="45"/>
        <v>49.75 (48.83 to 50.67)</v>
      </c>
    </row>
    <row r="196" spans="1:15" ht="17.25" thickBot="1" x14ac:dyDescent="0.35">
      <c r="A196" s="6"/>
      <c r="B196" s="11">
        <v>3</v>
      </c>
      <c r="C196" s="2">
        <v>3411</v>
      </c>
      <c r="D196" s="2">
        <v>1294439</v>
      </c>
      <c r="E196" s="2">
        <v>28477</v>
      </c>
      <c r="F196" s="2">
        <v>4.2789000000000001</v>
      </c>
      <c r="G196" s="2">
        <v>9.0399999999999994E-2</v>
      </c>
      <c r="H196" s="2">
        <v>4.1017000000000001</v>
      </c>
      <c r="I196" s="2">
        <v>4.4561000000000002</v>
      </c>
      <c r="J196" s="2">
        <v>17.502400000000002</v>
      </c>
      <c r="K196" s="2">
        <v>0.34250000000000003</v>
      </c>
      <c r="L196" s="2">
        <v>16.8309</v>
      </c>
      <c r="M196" s="2">
        <v>18.1739</v>
      </c>
      <c r="O196" t="str">
        <f t="shared" si="45"/>
        <v>17.50 (16.83 to 18.17)</v>
      </c>
    </row>
    <row r="197" spans="1:15" ht="17.25" thickBot="1" x14ac:dyDescent="0.35">
      <c r="A197" s="6"/>
      <c r="B197" s="11" t="s">
        <v>153</v>
      </c>
      <c r="C197" s="2">
        <v>17163</v>
      </c>
      <c r="D197" s="2">
        <v>7395788</v>
      </c>
      <c r="E197" s="2">
        <v>81488</v>
      </c>
      <c r="F197" s="2">
        <v>24.447299999999998</v>
      </c>
      <c r="G197" s="2">
        <v>0.19470000000000001</v>
      </c>
      <c r="H197" s="2">
        <v>24.0655</v>
      </c>
      <c r="I197" s="2">
        <v>24.8291</v>
      </c>
      <c r="J197" s="2">
        <v>100</v>
      </c>
      <c r="K197" s="2"/>
      <c r="L197" s="2"/>
      <c r="M197" s="2"/>
    </row>
    <row r="198" spans="1:15" ht="17.25" thickBot="1" x14ac:dyDescent="0.35">
      <c r="A198" s="6">
        <v>4</v>
      </c>
      <c r="B198" s="11">
        <v>1</v>
      </c>
      <c r="C198" s="2">
        <v>5354</v>
      </c>
      <c r="D198" s="2">
        <v>2394615</v>
      </c>
      <c r="E198" s="2">
        <v>42840</v>
      </c>
      <c r="F198" s="2">
        <v>7.9156000000000004</v>
      </c>
      <c r="G198" s="2">
        <v>0.12920000000000001</v>
      </c>
      <c r="H198" s="2">
        <v>7.6622000000000003</v>
      </c>
      <c r="I198" s="2">
        <v>8.1689000000000007</v>
      </c>
      <c r="J198" s="2">
        <v>29.850999999999999</v>
      </c>
      <c r="K198" s="2">
        <v>0.4224</v>
      </c>
      <c r="L198" s="2">
        <v>29.0227</v>
      </c>
      <c r="M198" s="2">
        <v>30.679200000000002</v>
      </c>
      <c r="O198" t="str">
        <f t="shared" ref="O198:O200" si="46">TEXT(J198,"0.00")&amp;" ("&amp;TEXT(L198,"0.00")&amp;" to "&amp;TEXT(M198,"0.00")&amp;")"</f>
        <v>29.85 (29.02 to 30.68)</v>
      </c>
    </row>
    <row r="199" spans="1:15" ht="17.25" thickBot="1" x14ac:dyDescent="0.35">
      <c r="A199" s="6"/>
      <c r="B199" s="11">
        <v>2</v>
      </c>
      <c r="C199" s="2">
        <v>8879</v>
      </c>
      <c r="D199" s="2">
        <v>4095565</v>
      </c>
      <c r="E199" s="2">
        <v>57260</v>
      </c>
      <c r="F199" s="2">
        <v>13.5382</v>
      </c>
      <c r="G199" s="2">
        <v>0.1618</v>
      </c>
      <c r="H199" s="2">
        <v>13.221</v>
      </c>
      <c r="I199" s="2">
        <v>13.855399999999999</v>
      </c>
      <c r="J199" s="2">
        <v>51.0548</v>
      </c>
      <c r="K199" s="2">
        <v>0.45679999999999998</v>
      </c>
      <c r="L199" s="2">
        <v>50.158999999999999</v>
      </c>
      <c r="M199" s="2">
        <v>51.950600000000001</v>
      </c>
      <c r="O199" t="str">
        <f t="shared" si="46"/>
        <v>51.05 (50.16 to 51.95)</v>
      </c>
    </row>
    <row r="200" spans="1:15" ht="17.25" thickBot="1" x14ac:dyDescent="0.35">
      <c r="A200" s="6"/>
      <c r="B200" s="11">
        <v>3</v>
      </c>
      <c r="C200" s="2">
        <v>3813</v>
      </c>
      <c r="D200" s="2">
        <v>1531721</v>
      </c>
      <c r="E200" s="2">
        <v>30830</v>
      </c>
      <c r="F200" s="2">
        <v>5.0632000000000001</v>
      </c>
      <c r="G200" s="2">
        <v>9.9099999999999994E-2</v>
      </c>
      <c r="H200" s="2">
        <v>4.8689</v>
      </c>
      <c r="I200" s="2">
        <v>5.2575000000000003</v>
      </c>
      <c r="J200" s="2">
        <v>19.094200000000001</v>
      </c>
      <c r="K200" s="2">
        <v>0.34029999999999999</v>
      </c>
      <c r="L200" s="2">
        <v>18.427</v>
      </c>
      <c r="M200" s="2">
        <v>19.761399999999998</v>
      </c>
      <c r="O200" t="str">
        <f t="shared" si="46"/>
        <v>19.09 (18.43 to 19.76)</v>
      </c>
    </row>
    <row r="201" spans="1:15" ht="17.25" thickBot="1" x14ac:dyDescent="0.35">
      <c r="A201" s="6"/>
      <c r="B201" s="11" t="s">
        <v>153</v>
      </c>
      <c r="C201" s="2">
        <v>18046</v>
      </c>
      <c r="D201" s="2">
        <v>8021901</v>
      </c>
      <c r="E201" s="2">
        <v>84668</v>
      </c>
      <c r="F201" s="2">
        <v>26.516999999999999</v>
      </c>
      <c r="G201" s="2">
        <v>0.21260000000000001</v>
      </c>
      <c r="H201" s="2">
        <v>26.100100000000001</v>
      </c>
      <c r="I201" s="2">
        <v>26.933800000000002</v>
      </c>
      <c r="J201" s="2">
        <v>100</v>
      </c>
      <c r="K201" s="2"/>
      <c r="L201" s="2"/>
      <c r="M201" s="2"/>
    </row>
    <row r="202" spans="1:15" ht="17.25" thickBot="1" x14ac:dyDescent="0.35">
      <c r="A202" s="6" t="s">
        <v>153</v>
      </c>
      <c r="B202" s="11">
        <v>1</v>
      </c>
      <c r="C202" s="2">
        <v>22876</v>
      </c>
      <c r="D202" s="2">
        <v>10423023</v>
      </c>
      <c r="E202" s="2">
        <v>111794</v>
      </c>
      <c r="F202" s="2">
        <v>34.454099999999997</v>
      </c>
      <c r="G202" s="2">
        <v>0.2404</v>
      </c>
      <c r="H202" s="2">
        <v>33.982599999999998</v>
      </c>
      <c r="I202" s="2">
        <v>34.9255</v>
      </c>
      <c r="J202" s="2"/>
      <c r="K202" s="2"/>
      <c r="L202" s="2"/>
      <c r="M202" s="2"/>
    </row>
    <row r="203" spans="1:15" ht="17.25" thickBot="1" x14ac:dyDescent="0.35">
      <c r="A203" s="6"/>
      <c r="B203" s="11">
        <v>2</v>
      </c>
      <c r="C203" s="2">
        <v>33210</v>
      </c>
      <c r="D203" s="2">
        <v>14887576</v>
      </c>
      <c r="E203" s="2">
        <v>139026</v>
      </c>
      <c r="F203" s="2">
        <v>49.212000000000003</v>
      </c>
      <c r="G203" s="2">
        <v>0.25819999999999999</v>
      </c>
      <c r="H203" s="2">
        <v>48.7057</v>
      </c>
      <c r="I203" s="2">
        <v>49.718200000000003</v>
      </c>
      <c r="J203" s="2"/>
      <c r="K203" s="2"/>
      <c r="L203" s="2"/>
      <c r="M203" s="2"/>
    </row>
    <row r="204" spans="1:15" ht="17.25" thickBot="1" x14ac:dyDescent="0.35">
      <c r="A204" s="6"/>
      <c r="B204" s="11">
        <v>3</v>
      </c>
      <c r="C204" s="2">
        <v>12549</v>
      </c>
      <c r="D204" s="2">
        <v>4941337</v>
      </c>
      <c r="E204" s="2">
        <v>60754</v>
      </c>
      <c r="F204" s="2">
        <v>16.334</v>
      </c>
      <c r="G204" s="2">
        <v>0.17949999999999999</v>
      </c>
      <c r="H204" s="2">
        <v>15.9819</v>
      </c>
      <c r="I204" s="2">
        <v>16.686</v>
      </c>
      <c r="J204" s="2"/>
      <c r="K204" s="2"/>
      <c r="L204" s="2"/>
      <c r="M204" s="2"/>
    </row>
    <row r="205" spans="1:15" x14ac:dyDescent="0.3">
      <c r="A205" s="6"/>
      <c r="B205" s="14" t="s">
        <v>153</v>
      </c>
      <c r="C205" s="2">
        <v>68635</v>
      </c>
      <c r="D205" s="2">
        <v>30251936</v>
      </c>
      <c r="E205" s="2">
        <v>228758</v>
      </c>
      <c r="F205" s="2">
        <v>100</v>
      </c>
      <c r="G205" s="2"/>
      <c r="H205" s="2"/>
      <c r="I205" s="2"/>
      <c r="J205" s="2"/>
      <c r="K205" s="2"/>
      <c r="L205" s="2"/>
      <c r="M205" s="2"/>
    </row>
    <row r="206" spans="1:15" ht="17.25" thickBot="1" x14ac:dyDescent="0.35"/>
    <row r="207" spans="1:15" ht="16.5" customHeight="1" x14ac:dyDescent="0.3">
      <c r="A207" s="16" t="s">
        <v>212</v>
      </c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</row>
    <row r="208" spans="1:15" ht="33" customHeight="1" x14ac:dyDescent="0.3">
      <c r="A208" s="17" t="s">
        <v>60</v>
      </c>
      <c r="B208" s="19" t="s">
        <v>13</v>
      </c>
      <c r="C208" s="19" t="s">
        <v>146</v>
      </c>
      <c r="D208" s="3" t="s">
        <v>147</v>
      </c>
      <c r="E208" s="3" t="s">
        <v>148</v>
      </c>
      <c r="F208" s="19" t="s">
        <v>150</v>
      </c>
      <c r="G208" s="3" t="s">
        <v>148</v>
      </c>
      <c r="H208" s="19" t="s">
        <v>151</v>
      </c>
      <c r="I208" s="19"/>
      <c r="J208" s="3" t="s">
        <v>170</v>
      </c>
      <c r="K208" s="3" t="s">
        <v>148</v>
      </c>
      <c r="L208" s="19" t="s">
        <v>151</v>
      </c>
      <c r="M208" s="19"/>
    </row>
    <row r="209" spans="1:18" ht="33" x14ac:dyDescent="0.3">
      <c r="A209" s="17"/>
      <c r="B209" s="19"/>
      <c r="C209" s="19"/>
      <c r="D209" s="3" t="s">
        <v>146</v>
      </c>
      <c r="E209" s="3" t="s">
        <v>149</v>
      </c>
      <c r="F209" s="19"/>
      <c r="G209" s="3" t="s">
        <v>150</v>
      </c>
      <c r="H209" s="19" t="s">
        <v>152</v>
      </c>
      <c r="I209" s="19"/>
      <c r="J209" s="3" t="s">
        <v>150</v>
      </c>
      <c r="K209" s="3" t="s">
        <v>171</v>
      </c>
      <c r="L209" s="19" t="s">
        <v>172</v>
      </c>
      <c r="M209" s="19"/>
    </row>
    <row r="210" spans="1:18" ht="17.25" thickBot="1" x14ac:dyDescent="0.35">
      <c r="A210" s="6">
        <v>1</v>
      </c>
      <c r="B210" s="11">
        <v>1</v>
      </c>
      <c r="C210" s="2">
        <v>4507</v>
      </c>
      <c r="D210" s="2">
        <v>2073407</v>
      </c>
      <c r="E210" s="2">
        <v>38931</v>
      </c>
      <c r="F210" s="2">
        <v>6.8537999999999997</v>
      </c>
      <c r="G210" s="2">
        <v>0.1182</v>
      </c>
      <c r="H210" s="2">
        <v>6.6219999999999999</v>
      </c>
      <c r="I210" s="2">
        <v>7.0856000000000003</v>
      </c>
      <c r="J210" s="2">
        <v>27.746200000000002</v>
      </c>
      <c r="K210" s="2">
        <v>0.41830000000000001</v>
      </c>
      <c r="L210" s="2">
        <v>26.925899999999999</v>
      </c>
      <c r="M210" s="2">
        <v>28.566500000000001</v>
      </c>
      <c r="O210" t="str">
        <f t="shared" ref="O210:O212" si="47">TEXT(J210,"0.00")&amp;" ("&amp;TEXT(L210,"0.00")&amp;" to "&amp;TEXT(M210,"0.00")&amp;")"</f>
        <v>27.75 (26.93 to 28.57)</v>
      </c>
      <c r="P210" t="str">
        <f>O214</f>
        <v>27.33 (26.51 to 28.15)</v>
      </c>
      <c r="Q210" t="str">
        <f>O218</f>
        <v>27.61 (26.79 to 28.44)</v>
      </c>
      <c r="R210" t="str">
        <f>O222</f>
        <v>28.49 (27.70 to 29.29)</v>
      </c>
    </row>
    <row r="211" spans="1:18" ht="17.25" thickBot="1" x14ac:dyDescent="0.35">
      <c r="A211" s="6"/>
      <c r="B211" s="11">
        <v>2</v>
      </c>
      <c r="C211" s="2">
        <v>9800</v>
      </c>
      <c r="D211" s="2">
        <v>4455189</v>
      </c>
      <c r="E211" s="2">
        <v>62969</v>
      </c>
      <c r="F211" s="2">
        <v>14.727</v>
      </c>
      <c r="G211" s="2">
        <v>0.16839999999999999</v>
      </c>
      <c r="H211" s="2">
        <v>14.396699999999999</v>
      </c>
      <c r="I211" s="2">
        <v>15.0572</v>
      </c>
      <c r="J211" s="2">
        <v>59.619199999999999</v>
      </c>
      <c r="K211" s="2">
        <v>0.44900000000000001</v>
      </c>
      <c r="L211" s="2">
        <v>58.738799999999998</v>
      </c>
      <c r="M211" s="2">
        <v>60.499499999999998</v>
      </c>
      <c r="O211" t="str">
        <f t="shared" si="47"/>
        <v>59.62 (58.74 to 60.50)</v>
      </c>
      <c r="P211" t="str">
        <f t="shared" ref="P211:P212" si="48">O215</f>
        <v>59.10 (58.19 to 60.00)</v>
      </c>
      <c r="Q211" t="str">
        <f t="shared" ref="Q211:Q212" si="49">O219</f>
        <v>57.30 (56.42 to 58.19)</v>
      </c>
      <c r="R211" t="str">
        <f t="shared" ref="R211:R212" si="50">O223</f>
        <v>57.06 (56.21 to 57.92)</v>
      </c>
    </row>
    <row r="212" spans="1:18" ht="17.25" thickBot="1" x14ac:dyDescent="0.35">
      <c r="A212" s="6"/>
      <c r="B212" s="11">
        <v>3</v>
      </c>
      <c r="C212" s="2">
        <v>2340</v>
      </c>
      <c r="D212" s="2">
        <v>944151</v>
      </c>
      <c r="E212" s="2">
        <v>25044</v>
      </c>
      <c r="F212" s="2">
        <v>3.121</v>
      </c>
      <c r="G212" s="2">
        <v>7.9500000000000001E-2</v>
      </c>
      <c r="H212" s="2">
        <v>2.9649999999999999</v>
      </c>
      <c r="I212" s="2">
        <v>3.2768999999999999</v>
      </c>
      <c r="J212" s="2">
        <v>12.634600000000001</v>
      </c>
      <c r="K212" s="2">
        <v>0.30530000000000002</v>
      </c>
      <c r="L212" s="2">
        <v>12.036</v>
      </c>
      <c r="M212" s="2">
        <v>13.2332</v>
      </c>
      <c r="O212" t="str">
        <f t="shared" si="47"/>
        <v>12.63 (12.04 to 13.23)</v>
      </c>
      <c r="P212" t="str">
        <f t="shared" si="48"/>
        <v>13.57 (12.96 to 14.18)</v>
      </c>
      <c r="Q212" t="str">
        <f t="shared" si="49"/>
        <v>15.08 (14.46 to 15.71)</v>
      </c>
      <c r="R212" t="str">
        <f t="shared" si="50"/>
        <v>14.45 (13.85 to 15.04)</v>
      </c>
    </row>
    <row r="213" spans="1:18" ht="17.25" thickBot="1" x14ac:dyDescent="0.35">
      <c r="A213" s="6"/>
      <c r="B213" s="11" t="s">
        <v>153</v>
      </c>
      <c r="C213" s="2">
        <v>16647</v>
      </c>
      <c r="D213" s="2">
        <v>7472748</v>
      </c>
      <c r="E213" s="2">
        <v>86882</v>
      </c>
      <c r="F213" s="2">
        <v>24.701699999999999</v>
      </c>
      <c r="G213" s="2">
        <v>0.20949999999999999</v>
      </c>
      <c r="H213" s="2">
        <v>24.290900000000001</v>
      </c>
      <c r="I213" s="2">
        <v>25.1126</v>
      </c>
      <c r="J213" s="2">
        <v>100</v>
      </c>
      <c r="K213" s="2"/>
      <c r="L213" s="2"/>
      <c r="M213" s="2"/>
    </row>
    <row r="214" spans="1:18" ht="17.25" thickBot="1" x14ac:dyDescent="0.35">
      <c r="A214" s="6">
        <v>2</v>
      </c>
      <c r="B214" s="11">
        <v>1</v>
      </c>
      <c r="C214" s="2">
        <v>4402</v>
      </c>
      <c r="D214" s="2">
        <v>2011874</v>
      </c>
      <c r="E214" s="2">
        <v>38160</v>
      </c>
      <c r="F214" s="2">
        <v>6.6504000000000003</v>
      </c>
      <c r="G214" s="2">
        <v>0.1147</v>
      </c>
      <c r="H214" s="2">
        <v>6.4255000000000004</v>
      </c>
      <c r="I214" s="2">
        <v>6.8753000000000002</v>
      </c>
      <c r="J214" s="2">
        <v>27.329699999999999</v>
      </c>
      <c r="K214" s="2">
        <v>0.41839999999999999</v>
      </c>
      <c r="L214" s="2">
        <v>26.5093</v>
      </c>
      <c r="M214" s="2">
        <v>28.150099999999998</v>
      </c>
      <c r="O214" t="str">
        <f t="shared" ref="O214:O216" si="51">TEXT(J214,"0.00")&amp;" ("&amp;TEXT(L214,"0.00")&amp;" to "&amp;TEXT(M214,"0.00")&amp;")"</f>
        <v>27.33 (26.51 to 28.15)</v>
      </c>
    </row>
    <row r="215" spans="1:18" ht="17.25" thickBot="1" x14ac:dyDescent="0.35">
      <c r="A215" s="6"/>
      <c r="B215" s="11">
        <v>2</v>
      </c>
      <c r="C215" s="2">
        <v>9823</v>
      </c>
      <c r="D215" s="2">
        <v>4350603</v>
      </c>
      <c r="E215" s="2">
        <v>61468</v>
      </c>
      <c r="F215" s="2">
        <v>14.3812</v>
      </c>
      <c r="G215" s="2">
        <v>0.1678</v>
      </c>
      <c r="H215" s="2">
        <v>14.052300000000001</v>
      </c>
      <c r="I215" s="2">
        <v>14.7102</v>
      </c>
      <c r="J215" s="2">
        <v>59.099400000000003</v>
      </c>
      <c r="K215" s="2">
        <v>0.46150000000000002</v>
      </c>
      <c r="L215" s="2">
        <v>58.194499999999998</v>
      </c>
      <c r="M215" s="2">
        <v>60.004300000000001</v>
      </c>
      <c r="O215" t="str">
        <f t="shared" si="51"/>
        <v>59.10 (58.19 to 60.00)</v>
      </c>
    </row>
    <row r="216" spans="1:18" ht="17.25" thickBot="1" x14ac:dyDescent="0.35">
      <c r="A216" s="6"/>
      <c r="B216" s="11">
        <v>3</v>
      </c>
      <c r="C216" s="2">
        <v>2554</v>
      </c>
      <c r="D216" s="2">
        <v>999022</v>
      </c>
      <c r="E216" s="2">
        <v>24903</v>
      </c>
      <c r="F216" s="2">
        <v>3.3022999999999998</v>
      </c>
      <c r="G216" s="2">
        <v>7.9000000000000001E-2</v>
      </c>
      <c r="H216" s="2">
        <v>3.1474000000000002</v>
      </c>
      <c r="I216" s="2">
        <v>3.4573</v>
      </c>
      <c r="J216" s="2">
        <v>13.5709</v>
      </c>
      <c r="K216" s="2">
        <v>0.31080000000000002</v>
      </c>
      <c r="L216" s="2">
        <v>12.961399999999999</v>
      </c>
      <c r="M216" s="2">
        <v>14.180400000000001</v>
      </c>
      <c r="O216" t="str">
        <f t="shared" si="51"/>
        <v>13.57 (12.96 to 14.18)</v>
      </c>
    </row>
    <row r="217" spans="1:18" ht="17.25" thickBot="1" x14ac:dyDescent="0.35">
      <c r="A217" s="6"/>
      <c r="B217" s="11" t="s">
        <v>153</v>
      </c>
      <c r="C217" s="2">
        <v>16779</v>
      </c>
      <c r="D217" s="2">
        <v>7361499</v>
      </c>
      <c r="E217" s="2">
        <v>83717</v>
      </c>
      <c r="F217" s="2">
        <v>24.334</v>
      </c>
      <c r="G217" s="2">
        <v>0.20080000000000001</v>
      </c>
      <c r="H217" s="2">
        <v>23.940200000000001</v>
      </c>
      <c r="I217" s="2">
        <v>24.727799999999998</v>
      </c>
      <c r="J217" s="2">
        <v>100</v>
      </c>
      <c r="K217" s="2"/>
      <c r="L217" s="2"/>
      <c r="M217" s="2"/>
    </row>
    <row r="218" spans="1:18" ht="17.25" thickBot="1" x14ac:dyDescent="0.35">
      <c r="A218" s="6">
        <v>3</v>
      </c>
      <c r="B218" s="11">
        <v>1</v>
      </c>
      <c r="C218" s="2">
        <v>4469</v>
      </c>
      <c r="D218" s="2">
        <v>2042299</v>
      </c>
      <c r="E218" s="2">
        <v>38557</v>
      </c>
      <c r="F218" s="2">
        <v>6.7510000000000003</v>
      </c>
      <c r="G218" s="2">
        <v>0.1167</v>
      </c>
      <c r="H218" s="2">
        <v>6.5221999999999998</v>
      </c>
      <c r="I218" s="2">
        <v>6.9797000000000002</v>
      </c>
      <c r="J218" s="2">
        <v>27.6144</v>
      </c>
      <c r="K218" s="2">
        <v>0.41949999999999998</v>
      </c>
      <c r="L218" s="2">
        <v>26.791899999999998</v>
      </c>
      <c r="M218" s="2">
        <v>28.436800000000002</v>
      </c>
      <c r="O218" t="str">
        <f t="shared" ref="O218:O220" si="52">TEXT(J218,"0.00")&amp;" ("&amp;TEXT(L218,"0.00")&amp;" to "&amp;TEXT(M218,"0.00")&amp;")"</f>
        <v>27.61 (26.79 to 28.44)</v>
      </c>
    </row>
    <row r="219" spans="1:18" ht="17.25" thickBot="1" x14ac:dyDescent="0.35">
      <c r="A219" s="6"/>
      <c r="B219" s="11">
        <v>2</v>
      </c>
      <c r="C219" s="2">
        <v>9774</v>
      </c>
      <c r="D219" s="2">
        <v>4238088</v>
      </c>
      <c r="E219" s="2">
        <v>58225</v>
      </c>
      <c r="F219" s="2">
        <v>14.0093</v>
      </c>
      <c r="G219" s="2">
        <v>0.15770000000000001</v>
      </c>
      <c r="H219" s="2">
        <v>13.700200000000001</v>
      </c>
      <c r="I219" s="2">
        <v>14.3184</v>
      </c>
      <c r="J219" s="2">
        <v>57.304099999999998</v>
      </c>
      <c r="K219" s="2">
        <v>0.45250000000000001</v>
      </c>
      <c r="L219" s="2">
        <v>56.416899999999998</v>
      </c>
      <c r="M219" s="2">
        <v>58.191299999999998</v>
      </c>
      <c r="O219" t="str">
        <f t="shared" si="52"/>
        <v>57.30 (56.42 to 58.19)</v>
      </c>
    </row>
    <row r="220" spans="1:18" ht="17.25" thickBot="1" x14ac:dyDescent="0.35">
      <c r="A220" s="6"/>
      <c r="B220" s="11">
        <v>3</v>
      </c>
      <c r="C220" s="2">
        <v>2920</v>
      </c>
      <c r="D220" s="2">
        <v>1115400</v>
      </c>
      <c r="E220" s="2">
        <v>25951</v>
      </c>
      <c r="F220" s="2">
        <v>3.6869999999999998</v>
      </c>
      <c r="G220" s="2">
        <v>8.2299999999999998E-2</v>
      </c>
      <c r="H220" s="2">
        <v>3.5255999999999998</v>
      </c>
      <c r="I220" s="2">
        <v>3.8485</v>
      </c>
      <c r="J220" s="2">
        <v>15.0816</v>
      </c>
      <c r="K220" s="2">
        <v>0.31879999999999997</v>
      </c>
      <c r="L220" s="2">
        <v>14.4565</v>
      </c>
      <c r="M220" s="2">
        <v>15.7066</v>
      </c>
      <c r="O220" t="str">
        <f t="shared" si="52"/>
        <v>15.08 (14.46 to 15.71)</v>
      </c>
    </row>
    <row r="221" spans="1:18" ht="17.25" thickBot="1" x14ac:dyDescent="0.35">
      <c r="A221" s="6"/>
      <c r="B221" s="11" t="s">
        <v>153</v>
      </c>
      <c r="C221" s="2">
        <v>17163</v>
      </c>
      <c r="D221" s="2">
        <v>7395788</v>
      </c>
      <c r="E221" s="2">
        <v>81488</v>
      </c>
      <c r="F221" s="2">
        <v>24.447299999999998</v>
      </c>
      <c r="G221" s="2">
        <v>0.19470000000000001</v>
      </c>
      <c r="H221" s="2">
        <v>24.0655</v>
      </c>
      <c r="I221" s="2">
        <v>24.8291</v>
      </c>
      <c r="J221" s="2">
        <v>100</v>
      </c>
      <c r="K221" s="2"/>
      <c r="L221" s="2"/>
      <c r="M221" s="2"/>
    </row>
    <row r="222" spans="1:18" ht="17.25" thickBot="1" x14ac:dyDescent="0.35">
      <c r="A222" s="6">
        <v>4</v>
      </c>
      <c r="B222" s="11">
        <v>1</v>
      </c>
      <c r="C222" s="2">
        <v>4879</v>
      </c>
      <c r="D222" s="2">
        <v>2285465</v>
      </c>
      <c r="E222" s="2">
        <v>40570</v>
      </c>
      <c r="F222" s="2">
        <v>7.5548000000000002</v>
      </c>
      <c r="G222" s="2">
        <v>0.1225</v>
      </c>
      <c r="H222" s="2">
        <v>7.3146000000000004</v>
      </c>
      <c r="I222" s="2">
        <v>7.7949000000000002</v>
      </c>
      <c r="J222" s="2">
        <v>28.490300000000001</v>
      </c>
      <c r="K222" s="2">
        <v>0.40539999999999998</v>
      </c>
      <c r="L222" s="2">
        <v>27.6953</v>
      </c>
      <c r="M222" s="2">
        <v>29.285299999999999</v>
      </c>
      <c r="O222" t="str">
        <f t="shared" ref="O222:O224" si="53">TEXT(J222,"0.00")&amp;" ("&amp;TEXT(L222,"0.00")&amp;" to "&amp;TEXT(M222,"0.00")&amp;")"</f>
        <v>28.49 (27.70 to 29.29)</v>
      </c>
    </row>
    <row r="223" spans="1:18" ht="17.25" thickBot="1" x14ac:dyDescent="0.35">
      <c r="A223" s="6"/>
      <c r="B223" s="11">
        <v>2</v>
      </c>
      <c r="C223" s="2">
        <v>10154</v>
      </c>
      <c r="D223" s="2">
        <v>4577588</v>
      </c>
      <c r="E223" s="2">
        <v>61488</v>
      </c>
      <c r="F223" s="2">
        <v>15.131600000000001</v>
      </c>
      <c r="G223" s="2">
        <v>0.17280000000000001</v>
      </c>
      <c r="H223" s="2">
        <v>14.7927</v>
      </c>
      <c r="I223" s="2">
        <v>15.4704</v>
      </c>
      <c r="J223" s="2">
        <v>57.063600000000001</v>
      </c>
      <c r="K223" s="2">
        <v>0.437</v>
      </c>
      <c r="L223" s="2">
        <v>56.206699999999998</v>
      </c>
      <c r="M223" s="2">
        <v>57.9206</v>
      </c>
      <c r="O223" t="str">
        <f t="shared" si="53"/>
        <v>57.06 (56.21 to 57.92)</v>
      </c>
    </row>
    <row r="224" spans="1:18" ht="17.25" thickBot="1" x14ac:dyDescent="0.35">
      <c r="A224" s="6"/>
      <c r="B224" s="11">
        <v>3</v>
      </c>
      <c r="C224" s="2">
        <v>3013</v>
      </c>
      <c r="D224" s="2">
        <v>1158848</v>
      </c>
      <c r="E224" s="2">
        <v>26233</v>
      </c>
      <c r="F224" s="2">
        <v>3.8307000000000002</v>
      </c>
      <c r="G224" s="2">
        <v>8.4500000000000006E-2</v>
      </c>
      <c r="H224" s="2">
        <v>3.6648999999999998</v>
      </c>
      <c r="I224" s="2">
        <v>3.9964</v>
      </c>
      <c r="J224" s="2">
        <v>14.446099999999999</v>
      </c>
      <c r="K224" s="2">
        <v>0.30449999999999999</v>
      </c>
      <c r="L224" s="2">
        <v>13.8489</v>
      </c>
      <c r="M224" s="2">
        <v>15.043200000000001</v>
      </c>
      <c r="O224" t="str">
        <f t="shared" si="53"/>
        <v>14.45 (13.85 to 15.04)</v>
      </c>
    </row>
    <row r="225" spans="1:18" ht="17.25" thickBot="1" x14ac:dyDescent="0.35">
      <c r="A225" s="6"/>
      <c r="B225" s="11" t="s">
        <v>153</v>
      </c>
      <c r="C225" s="2">
        <v>18046</v>
      </c>
      <c r="D225" s="2">
        <v>8021901</v>
      </c>
      <c r="E225" s="2">
        <v>84668</v>
      </c>
      <c r="F225" s="2">
        <v>26.516999999999999</v>
      </c>
      <c r="G225" s="2">
        <v>0.21260000000000001</v>
      </c>
      <c r="H225" s="2">
        <v>26.100100000000001</v>
      </c>
      <c r="I225" s="2">
        <v>26.933800000000002</v>
      </c>
      <c r="J225" s="2">
        <v>100</v>
      </c>
      <c r="K225" s="2"/>
      <c r="L225" s="2"/>
      <c r="M225" s="2"/>
    </row>
    <row r="226" spans="1:18" ht="17.25" thickBot="1" x14ac:dyDescent="0.35">
      <c r="A226" s="6" t="s">
        <v>153</v>
      </c>
      <c r="B226" s="11">
        <v>1</v>
      </c>
      <c r="C226" s="2">
        <v>18257</v>
      </c>
      <c r="D226" s="2">
        <v>8413045</v>
      </c>
      <c r="E226" s="2">
        <v>91908</v>
      </c>
      <c r="F226" s="2">
        <v>27.809899999999999</v>
      </c>
      <c r="G226" s="2">
        <v>0.22020000000000001</v>
      </c>
      <c r="H226" s="2">
        <v>27.378299999999999</v>
      </c>
      <c r="I226" s="2">
        <v>28.241599999999998</v>
      </c>
      <c r="J226" s="2"/>
      <c r="K226" s="2"/>
      <c r="L226" s="2"/>
      <c r="M226" s="2"/>
    </row>
    <row r="227" spans="1:18" ht="17.25" thickBot="1" x14ac:dyDescent="0.35">
      <c r="A227" s="6"/>
      <c r="B227" s="11">
        <v>2</v>
      </c>
      <c r="C227" s="2">
        <v>39551</v>
      </c>
      <c r="D227" s="2">
        <v>17621468</v>
      </c>
      <c r="E227" s="2">
        <v>153953</v>
      </c>
      <c r="F227" s="2">
        <v>58.249099999999999</v>
      </c>
      <c r="G227" s="2">
        <v>0.22770000000000001</v>
      </c>
      <c r="H227" s="2">
        <v>57.802599999999998</v>
      </c>
      <c r="I227" s="2">
        <v>58.695500000000003</v>
      </c>
      <c r="J227" s="2"/>
      <c r="K227" s="2"/>
      <c r="L227" s="2"/>
      <c r="M227" s="2"/>
    </row>
    <row r="228" spans="1:18" ht="17.25" thickBot="1" x14ac:dyDescent="0.35">
      <c r="A228" s="6"/>
      <c r="B228" s="11">
        <v>3</v>
      </c>
      <c r="C228" s="2">
        <v>10827</v>
      </c>
      <c r="D228" s="2">
        <v>4217422</v>
      </c>
      <c r="E228" s="2">
        <v>56411</v>
      </c>
      <c r="F228" s="2">
        <v>13.941000000000001</v>
      </c>
      <c r="G228" s="2">
        <v>0.16309999999999999</v>
      </c>
      <c r="H228" s="2">
        <v>13.6212</v>
      </c>
      <c r="I228" s="2">
        <v>14.2608</v>
      </c>
      <c r="J228" s="2"/>
      <c r="K228" s="2"/>
      <c r="L228" s="2"/>
      <c r="M228" s="2"/>
    </row>
    <row r="229" spans="1:18" x14ac:dyDescent="0.3">
      <c r="A229" s="6"/>
      <c r="B229" s="14" t="s">
        <v>153</v>
      </c>
      <c r="C229" s="2">
        <v>68635</v>
      </c>
      <c r="D229" s="2">
        <v>30251936</v>
      </c>
      <c r="E229" s="2">
        <v>228758</v>
      </c>
      <c r="F229" s="2">
        <v>100</v>
      </c>
      <c r="G229" s="2"/>
      <c r="H229" s="2"/>
      <c r="I229" s="2"/>
      <c r="J229" s="2"/>
      <c r="K229" s="2"/>
      <c r="L229" s="2"/>
      <c r="M229" s="2"/>
    </row>
    <row r="230" spans="1:18" ht="17.25" thickBot="1" x14ac:dyDescent="0.35"/>
    <row r="231" spans="1:18" ht="16.5" customHeight="1" x14ac:dyDescent="0.3">
      <c r="A231" s="16" t="s">
        <v>213</v>
      </c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</row>
    <row r="232" spans="1:18" ht="33" customHeight="1" x14ac:dyDescent="0.3">
      <c r="A232" s="17" t="s">
        <v>60</v>
      </c>
      <c r="B232" s="19" t="s">
        <v>14</v>
      </c>
      <c r="C232" s="19" t="s">
        <v>146</v>
      </c>
      <c r="D232" s="3" t="s">
        <v>147</v>
      </c>
      <c r="E232" s="3" t="s">
        <v>148</v>
      </c>
      <c r="F232" s="19" t="s">
        <v>150</v>
      </c>
      <c r="G232" s="3" t="s">
        <v>148</v>
      </c>
      <c r="H232" s="19" t="s">
        <v>151</v>
      </c>
      <c r="I232" s="19"/>
      <c r="J232" s="3" t="s">
        <v>170</v>
      </c>
      <c r="K232" s="3" t="s">
        <v>148</v>
      </c>
      <c r="L232" s="19" t="s">
        <v>151</v>
      </c>
      <c r="M232" s="19"/>
    </row>
    <row r="233" spans="1:18" ht="33" x14ac:dyDescent="0.3">
      <c r="A233" s="17"/>
      <c r="B233" s="19"/>
      <c r="C233" s="19"/>
      <c r="D233" s="3" t="s">
        <v>146</v>
      </c>
      <c r="E233" s="3" t="s">
        <v>149</v>
      </c>
      <c r="F233" s="19"/>
      <c r="G233" s="3" t="s">
        <v>150</v>
      </c>
      <c r="H233" s="19" t="s">
        <v>152</v>
      </c>
      <c r="I233" s="19"/>
      <c r="J233" s="3" t="s">
        <v>150</v>
      </c>
      <c r="K233" s="3" t="s">
        <v>171</v>
      </c>
      <c r="L233" s="19" t="s">
        <v>172</v>
      </c>
      <c r="M233" s="19"/>
    </row>
    <row r="234" spans="1:18" ht="17.25" thickBot="1" x14ac:dyDescent="0.35">
      <c r="A234" s="6">
        <v>1</v>
      </c>
      <c r="B234" s="11">
        <v>1</v>
      </c>
      <c r="C234" s="2">
        <v>6670</v>
      </c>
      <c r="D234" s="2">
        <v>2801808</v>
      </c>
      <c r="E234" s="2">
        <v>46658</v>
      </c>
      <c r="F234" s="2">
        <v>9.2615999999999996</v>
      </c>
      <c r="G234" s="2">
        <v>0.1371</v>
      </c>
      <c r="H234" s="2">
        <v>8.9926999999999992</v>
      </c>
      <c r="I234" s="2">
        <v>9.5305</v>
      </c>
      <c r="J234" s="2">
        <v>37.493699999999997</v>
      </c>
      <c r="K234" s="2">
        <v>0.46489999999999998</v>
      </c>
      <c r="L234" s="2">
        <v>36.582099999999997</v>
      </c>
      <c r="M234" s="2">
        <v>38.405299999999997</v>
      </c>
      <c r="O234" t="str">
        <f t="shared" ref="O234:O236" si="54">TEXT(J234,"0.00")&amp;" ("&amp;TEXT(L234,"0.00")&amp;" to "&amp;TEXT(M234,"0.00")&amp;")"</f>
        <v>37.49 (36.58 to 38.41)</v>
      </c>
      <c r="P234" t="str">
        <f>O238</f>
        <v>37.07 (36.20 to 37.94)</v>
      </c>
      <c r="Q234" t="str">
        <f>O242</f>
        <v>36.15 (35.30 to 37.01)</v>
      </c>
      <c r="R234" t="str">
        <f>O246</f>
        <v>31.60 (30.80 to 32.39)</v>
      </c>
    </row>
    <row r="235" spans="1:18" ht="17.25" thickBot="1" x14ac:dyDescent="0.35">
      <c r="A235" s="6"/>
      <c r="B235" s="11">
        <v>2</v>
      </c>
      <c r="C235" s="2">
        <v>6623</v>
      </c>
      <c r="D235" s="2">
        <v>3150112</v>
      </c>
      <c r="E235" s="2">
        <v>52011</v>
      </c>
      <c r="F235" s="2">
        <v>10.4129</v>
      </c>
      <c r="G235" s="2">
        <v>0.14549999999999999</v>
      </c>
      <c r="H235" s="2">
        <v>10.1275</v>
      </c>
      <c r="I235" s="2">
        <v>10.6983</v>
      </c>
      <c r="J235" s="2">
        <v>42.154699999999998</v>
      </c>
      <c r="K235" s="2">
        <v>0.46899999999999997</v>
      </c>
      <c r="L235" s="2">
        <v>41.235100000000003</v>
      </c>
      <c r="M235" s="2">
        <v>43.074199999999998</v>
      </c>
      <c r="O235" t="str">
        <f t="shared" si="54"/>
        <v>42.15 (41.24 to 43.07)</v>
      </c>
      <c r="P235" t="str">
        <f t="shared" ref="P235:P236" si="55">O239</f>
        <v>40.27 (39.37 to 41.17)</v>
      </c>
      <c r="Q235" t="str">
        <f t="shared" ref="Q235:Q236" si="56">O243</f>
        <v>37.49 (36.59 to 38.38)</v>
      </c>
      <c r="R235" t="str">
        <f t="shared" ref="R235:R236" si="57">O247</f>
        <v>35.57 (34.72 to 36.43)</v>
      </c>
    </row>
    <row r="236" spans="1:18" ht="17.25" thickBot="1" x14ac:dyDescent="0.35">
      <c r="A236" s="6"/>
      <c r="B236" s="11">
        <v>3</v>
      </c>
      <c r="C236" s="2">
        <v>3354</v>
      </c>
      <c r="D236" s="2">
        <v>1520827</v>
      </c>
      <c r="E236" s="2">
        <v>33341</v>
      </c>
      <c r="F236" s="2">
        <v>5.0271999999999997</v>
      </c>
      <c r="G236" s="2">
        <v>0.1051</v>
      </c>
      <c r="H236" s="2">
        <v>4.8211000000000004</v>
      </c>
      <c r="I236" s="2">
        <v>5.2332999999999998</v>
      </c>
      <c r="J236" s="2">
        <v>20.351600000000001</v>
      </c>
      <c r="K236" s="2">
        <v>0.38200000000000001</v>
      </c>
      <c r="L236" s="2">
        <v>19.602599999999999</v>
      </c>
      <c r="M236" s="2">
        <v>21.1007</v>
      </c>
      <c r="O236" t="str">
        <f t="shared" si="54"/>
        <v>20.35 (19.60 to 21.10)</v>
      </c>
      <c r="P236" t="str">
        <f t="shared" si="55"/>
        <v>22.66 (21.89 to 23.43)</v>
      </c>
      <c r="Q236" t="str">
        <f t="shared" si="56"/>
        <v>26.36 (25.54 to 27.18)</v>
      </c>
      <c r="R236" t="str">
        <f t="shared" si="57"/>
        <v>32.83 (32.01 to 33.65)</v>
      </c>
    </row>
    <row r="237" spans="1:18" ht="17.25" thickBot="1" x14ac:dyDescent="0.35">
      <c r="A237" s="6"/>
      <c r="B237" s="11" t="s">
        <v>153</v>
      </c>
      <c r="C237" s="2">
        <v>16647</v>
      </c>
      <c r="D237" s="2">
        <v>7472748</v>
      </c>
      <c r="E237" s="2">
        <v>86882</v>
      </c>
      <c r="F237" s="2">
        <v>24.701699999999999</v>
      </c>
      <c r="G237" s="2">
        <v>0.20949999999999999</v>
      </c>
      <c r="H237" s="2">
        <v>24.290900000000001</v>
      </c>
      <c r="I237" s="2">
        <v>25.1126</v>
      </c>
      <c r="J237" s="2">
        <v>100</v>
      </c>
      <c r="K237" s="2"/>
      <c r="L237" s="2"/>
      <c r="M237" s="2"/>
    </row>
    <row r="238" spans="1:18" ht="17.25" thickBot="1" x14ac:dyDescent="0.35">
      <c r="A238" s="6">
        <v>2</v>
      </c>
      <c r="B238" s="11">
        <v>1</v>
      </c>
      <c r="C238" s="2">
        <v>6867</v>
      </c>
      <c r="D238" s="2">
        <v>2728636</v>
      </c>
      <c r="E238" s="2">
        <v>42900</v>
      </c>
      <c r="F238" s="2">
        <v>9.0197000000000003</v>
      </c>
      <c r="G238" s="2">
        <v>0.129</v>
      </c>
      <c r="H238" s="2">
        <v>8.7667000000000002</v>
      </c>
      <c r="I238" s="2">
        <v>9.2727000000000004</v>
      </c>
      <c r="J238" s="2">
        <v>37.066299999999998</v>
      </c>
      <c r="K238" s="2">
        <v>0.44340000000000002</v>
      </c>
      <c r="L238" s="2">
        <v>36.196899999999999</v>
      </c>
      <c r="M238" s="2">
        <v>37.9358</v>
      </c>
      <c r="O238" t="str">
        <f t="shared" ref="O238:O240" si="58">TEXT(J238,"0.00")&amp;" ("&amp;TEXT(L238,"0.00")&amp;" to "&amp;TEXT(M238,"0.00")&amp;")"</f>
        <v>37.07 (36.20 to 37.94)</v>
      </c>
    </row>
    <row r="239" spans="1:18" ht="17.25" thickBot="1" x14ac:dyDescent="0.35">
      <c r="A239" s="6"/>
      <c r="B239" s="11">
        <v>2</v>
      </c>
      <c r="C239" s="2">
        <v>6297</v>
      </c>
      <c r="D239" s="2">
        <v>2964594</v>
      </c>
      <c r="E239" s="2">
        <v>49906</v>
      </c>
      <c r="F239" s="2">
        <v>9.7996999999999996</v>
      </c>
      <c r="G239" s="2">
        <v>0.1401</v>
      </c>
      <c r="H239" s="2">
        <v>9.5250000000000004</v>
      </c>
      <c r="I239" s="2">
        <v>10.074299999999999</v>
      </c>
      <c r="J239" s="2">
        <v>40.271599999999999</v>
      </c>
      <c r="K239" s="2">
        <v>0.46050000000000002</v>
      </c>
      <c r="L239" s="2">
        <v>39.368600000000001</v>
      </c>
      <c r="M239" s="2">
        <v>41.174599999999998</v>
      </c>
      <c r="O239" t="str">
        <f t="shared" si="58"/>
        <v>40.27 (39.37 to 41.17)</v>
      </c>
    </row>
    <row r="240" spans="1:18" ht="17.25" thickBot="1" x14ac:dyDescent="0.35">
      <c r="A240" s="6"/>
      <c r="B240" s="11">
        <v>3</v>
      </c>
      <c r="C240" s="2">
        <v>3615</v>
      </c>
      <c r="D240" s="2">
        <v>1668269</v>
      </c>
      <c r="E240" s="2">
        <v>34546</v>
      </c>
      <c r="F240" s="2">
        <v>5.5145999999999997</v>
      </c>
      <c r="G240" s="2">
        <v>0.10589999999999999</v>
      </c>
      <c r="H240" s="2">
        <v>5.3068999999999997</v>
      </c>
      <c r="I240" s="2">
        <v>5.7222</v>
      </c>
      <c r="J240" s="2">
        <v>22.662099999999999</v>
      </c>
      <c r="K240" s="2">
        <v>0.39219999999999999</v>
      </c>
      <c r="L240" s="2">
        <v>21.893000000000001</v>
      </c>
      <c r="M240" s="2">
        <v>23.431100000000001</v>
      </c>
      <c r="O240" t="str">
        <f t="shared" si="58"/>
        <v>22.66 (21.89 to 23.43)</v>
      </c>
    </row>
    <row r="241" spans="1:15" ht="17.25" thickBot="1" x14ac:dyDescent="0.35">
      <c r="A241" s="6"/>
      <c r="B241" s="11" t="s">
        <v>153</v>
      </c>
      <c r="C241" s="2">
        <v>16779</v>
      </c>
      <c r="D241" s="2">
        <v>7361499</v>
      </c>
      <c r="E241" s="2">
        <v>83717</v>
      </c>
      <c r="F241" s="2">
        <v>24.334</v>
      </c>
      <c r="G241" s="2">
        <v>0.20080000000000001</v>
      </c>
      <c r="H241" s="2">
        <v>23.940200000000001</v>
      </c>
      <c r="I241" s="2">
        <v>24.727799999999998</v>
      </c>
      <c r="J241" s="2">
        <v>100</v>
      </c>
      <c r="K241" s="2"/>
      <c r="L241" s="2"/>
      <c r="M241" s="2"/>
    </row>
    <row r="242" spans="1:15" ht="17.25" thickBot="1" x14ac:dyDescent="0.35">
      <c r="A242" s="6">
        <v>3</v>
      </c>
      <c r="B242" s="11">
        <v>1</v>
      </c>
      <c r="C242" s="2">
        <v>6918</v>
      </c>
      <c r="D242" s="2">
        <v>2673881</v>
      </c>
      <c r="E242" s="2">
        <v>41982</v>
      </c>
      <c r="F242" s="2">
        <v>8.8386999999999993</v>
      </c>
      <c r="G242" s="2">
        <v>0.12640000000000001</v>
      </c>
      <c r="H242" s="2">
        <v>8.5909999999999993</v>
      </c>
      <c r="I242" s="2">
        <v>9.0864999999999991</v>
      </c>
      <c r="J242" s="2">
        <v>36.1541</v>
      </c>
      <c r="K242" s="2">
        <v>0.438</v>
      </c>
      <c r="L242" s="2">
        <v>35.295299999999997</v>
      </c>
      <c r="M242" s="2">
        <v>37.012900000000002</v>
      </c>
      <c r="O242" t="str">
        <f t="shared" ref="O242:O244" si="59">TEXT(J242,"0.00")&amp;" ("&amp;TEXT(L242,"0.00")&amp;" to "&amp;TEXT(M242,"0.00")&amp;")"</f>
        <v>36.15 (35.30 to 37.01)</v>
      </c>
    </row>
    <row r="243" spans="1:15" ht="17.25" thickBot="1" x14ac:dyDescent="0.35">
      <c r="A243" s="6"/>
      <c r="B243" s="11">
        <v>2</v>
      </c>
      <c r="C243" s="2">
        <v>5989</v>
      </c>
      <c r="D243" s="2">
        <v>2772376</v>
      </c>
      <c r="E243" s="2">
        <v>47397</v>
      </c>
      <c r="F243" s="2">
        <v>9.1643000000000008</v>
      </c>
      <c r="G243" s="2">
        <v>0.13569999999999999</v>
      </c>
      <c r="H243" s="2">
        <v>8.8983000000000008</v>
      </c>
      <c r="I243" s="2">
        <v>9.4303000000000008</v>
      </c>
      <c r="J243" s="2">
        <v>37.485900000000001</v>
      </c>
      <c r="K243" s="2">
        <v>0.45500000000000002</v>
      </c>
      <c r="L243" s="2">
        <v>36.593699999999998</v>
      </c>
      <c r="M243" s="2">
        <v>38.378</v>
      </c>
      <c r="O243" t="str">
        <f t="shared" si="59"/>
        <v>37.49 (36.59 to 38.38)</v>
      </c>
    </row>
    <row r="244" spans="1:15" ht="17.25" thickBot="1" x14ac:dyDescent="0.35">
      <c r="A244" s="6"/>
      <c r="B244" s="11">
        <v>3</v>
      </c>
      <c r="C244" s="2">
        <v>4256</v>
      </c>
      <c r="D244" s="2">
        <v>1949531</v>
      </c>
      <c r="E244" s="2">
        <v>37401</v>
      </c>
      <c r="F244" s="2">
        <v>6.4443000000000001</v>
      </c>
      <c r="G244" s="2">
        <v>0.1135</v>
      </c>
      <c r="H244" s="2">
        <v>6.2218</v>
      </c>
      <c r="I244" s="2">
        <v>6.6668000000000003</v>
      </c>
      <c r="J244" s="2">
        <v>26.36</v>
      </c>
      <c r="K244" s="2">
        <v>0.41720000000000002</v>
      </c>
      <c r="L244" s="2">
        <v>25.542000000000002</v>
      </c>
      <c r="M244" s="2">
        <v>27.178000000000001</v>
      </c>
      <c r="O244" t="str">
        <f t="shared" si="59"/>
        <v>26.36 (25.54 to 27.18)</v>
      </c>
    </row>
    <row r="245" spans="1:15" ht="17.25" thickBot="1" x14ac:dyDescent="0.35">
      <c r="A245" s="6"/>
      <c r="B245" s="11" t="s">
        <v>153</v>
      </c>
      <c r="C245" s="2">
        <v>17163</v>
      </c>
      <c r="D245" s="2">
        <v>7395788</v>
      </c>
      <c r="E245" s="2">
        <v>81488</v>
      </c>
      <c r="F245" s="2">
        <v>24.447299999999998</v>
      </c>
      <c r="G245" s="2">
        <v>0.19470000000000001</v>
      </c>
      <c r="H245" s="2">
        <v>24.0655</v>
      </c>
      <c r="I245" s="2">
        <v>24.8291</v>
      </c>
      <c r="J245" s="2">
        <v>100</v>
      </c>
      <c r="K245" s="2"/>
      <c r="L245" s="2"/>
      <c r="M245" s="2"/>
    </row>
    <row r="246" spans="1:15" ht="17.25" thickBot="1" x14ac:dyDescent="0.35">
      <c r="A246" s="6">
        <v>4</v>
      </c>
      <c r="B246" s="11">
        <v>1</v>
      </c>
      <c r="C246" s="2">
        <v>6453</v>
      </c>
      <c r="D246" s="2">
        <v>2534745</v>
      </c>
      <c r="E246" s="2">
        <v>41149</v>
      </c>
      <c r="F246" s="2">
        <v>8.3788</v>
      </c>
      <c r="G246" s="2">
        <v>0.1246</v>
      </c>
      <c r="H246" s="2">
        <v>8.1346000000000007</v>
      </c>
      <c r="I246" s="2">
        <v>8.6229999999999993</v>
      </c>
      <c r="J246" s="2">
        <v>31.597799999999999</v>
      </c>
      <c r="K246" s="2">
        <v>0.40589999999999998</v>
      </c>
      <c r="L246" s="2">
        <v>30.8019</v>
      </c>
      <c r="M246" s="2">
        <v>32.393700000000003</v>
      </c>
      <c r="O246" t="str">
        <f t="shared" ref="O246:O248" si="60">TEXT(J246,"0.00")&amp;" ("&amp;TEXT(L246,"0.00")&amp;" to "&amp;TEXT(M246,"0.00")&amp;")"</f>
        <v>31.60 (30.80 to 32.39)</v>
      </c>
    </row>
    <row r="247" spans="1:15" ht="17.25" thickBot="1" x14ac:dyDescent="0.35">
      <c r="A247" s="6"/>
      <c r="B247" s="11">
        <v>2</v>
      </c>
      <c r="C247" s="2">
        <v>6090</v>
      </c>
      <c r="D247" s="2">
        <v>2853476</v>
      </c>
      <c r="E247" s="2">
        <v>46734</v>
      </c>
      <c r="F247" s="2">
        <v>9.4323999999999995</v>
      </c>
      <c r="G247" s="2">
        <v>0.1401</v>
      </c>
      <c r="H247" s="2">
        <v>9.1577000000000002</v>
      </c>
      <c r="I247" s="2">
        <v>9.7071000000000005</v>
      </c>
      <c r="J247" s="2">
        <v>35.571100000000001</v>
      </c>
      <c r="K247" s="2">
        <v>0.43580000000000002</v>
      </c>
      <c r="L247" s="2">
        <v>34.716500000000003</v>
      </c>
      <c r="M247" s="2">
        <v>36.425699999999999</v>
      </c>
      <c r="O247" t="str">
        <f t="shared" si="60"/>
        <v>35.57 (34.72 to 36.43)</v>
      </c>
    </row>
    <row r="248" spans="1:15" ht="17.25" thickBot="1" x14ac:dyDescent="0.35">
      <c r="A248" s="6"/>
      <c r="B248" s="11">
        <v>3</v>
      </c>
      <c r="C248" s="2">
        <v>5503</v>
      </c>
      <c r="D248" s="2">
        <v>2633680</v>
      </c>
      <c r="E248" s="2">
        <v>43913</v>
      </c>
      <c r="F248" s="2">
        <v>8.7058</v>
      </c>
      <c r="G248" s="2">
        <v>0.13120000000000001</v>
      </c>
      <c r="H248" s="2">
        <v>8.4486000000000008</v>
      </c>
      <c r="I248" s="2">
        <v>8.9629999999999992</v>
      </c>
      <c r="J248" s="2">
        <v>32.831099999999999</v>
      </c>
      <c r="K248" s="2">
        <v>0.41720000000000002</v>
      </c>
      <c r="L248" s="2">
        <v>32.013100000000001</v>
      </c>
      <c r="M248" s="2">
        <v>33.6492</v>
      </c>
      <c r="O248" t="str">
        <f t="shared" si="60"/>
        <v>32.83 (32.01 to 33.65)</v>
      </c>
    </row>
    <row r="249" spans="1:15" ht="17.25" thickBot="1" x14ac:dyDescent="0.35">
      <c r="A249" s="6"/>
      <c r="B249" s="11" t="s">
        <v>153</v>
      </c>
      <c r="C249" s="2">
        <v>18046</v>
      </c>
      <c r="D249" s="2">
        <v>8021901</v>
      </c>
      <c r="E249" s="2">
        <v>84668</v>
      </c>
      <c r="F249" s="2">
        <v>26.516999999999999</v>
      </c>
      <c r="G249" s="2">
        <v>0.21260000000000001</v>
      </c>
      <c r="H249" s="2">
        <v>26.100100000000001</v>
      </c>
      <c r="I249" s="2">
        <v>26.933800000000002</v>
      </c>
      <c r="J249" s="2">
        <v>100</v>
      </c>
      <c r="K249" s="2"/>
      <c r="L249" s="2"/>
      <c r="M249" s="2"/>
    </row>
    <row r="250" spans="1:15" ht="17.25" thickBot="1" x14ac:dyDescent="0.35">
      <c r="A250" s="6" t="s">
        <v>153</v>
      </c>
      <c r="B250" s="11">
        <v>1</v>
      </c>
      <c r="C250" s="2">
        <v>26908</v>
      </c>
      <c r="D250" s="2">
        <v>10739070</v>
      </c>
      <c r="E250" s="2">
        <v>101823</v>
      </c>
      <c r="F250" s="2">
        <v>35.498800000000003</v>
      </c>
      <c r="G250" s="2">
        <v>0.23380000000000001</v>
      </c>
      <c r="H250" s="2">
        <v>35.040300000000002</v>
      </c>
      <c r="I250" s="2">
        <v>35.957299999999996</v>
      </c>
      <c r="J250" s="2"/>
      <c r="K250" s="2"/>
      <c r="L250" s="2"/>
      <c r="M250" s="2"/>
    </row>
    <row r="251" spans="1:15" ht="17.25" thickBot="1" x14ac:dyDescent="0.35">
      <c r="A251" s="6"/>
      <c r="B251" s="11">
        <v>2</v>
      </c>
      <c r="C251" s="2">
        <v>24999</v>
      </c>
      <c r="D251" s="2">
        <v>11740558</v>
      </c>
      <c r="E251" s="2">
        <v>121651</v>
      </c>
      <c r="F251" s="2">
        <v>38.8093</v>
      </c>
      <c r="G251" s="2">
        <v>0.23860000000000001</v>
      </c>
      <c r="H251" s="2">
        <v>38.3414</v>
      </c>
      <c r="I251" s="2">
        <v>39.277200000000001</v>
      </c>
      <c r="J251" s="2"/>
      <c r="K251" s="2"/>
      <c r="L251" s="2"/>
      <c r="M251" s="2"/>
    </row>
    <row r="252" spans="1:15" ht="17.25" thickBot="1" x14ac:dyDescent="0.35">
      <c r="A252" s="6"/>
      <c r="B252" s="11">
        <v>3</v>
      </c>
      <c r="C252" s="2">
        <v>16728</v>
      </c>
      <c r="D252" s="2">
        <v>7772308</v>
      </c>
      <c r="E252" s="2">
        <v>85013</v>
      </c>
      <c r="F252" s="2">
        <v>25.6919</v>
      </c>
      <c r="G252" s="2">
        <v>0.2094</v>
      </c>
      <c r="H252" s="2">
        <v>25.281400000000001</v>
      </c>
      <c r="I252" s="2">
        <v>26.102499999999999</v>
      </c>
      <c r="J252" s="2"/>
      <c r="K252" s="2"/>
      <c r="L252" s="2"/>
      <c r="M252" s="2"/>
    </row>
    <row r="253" spans="1:15" x14ac:dyDescent="0.3">
      <c r="A253" s="6"/>
      <c r="B253" s="14" t="s">
        <v>153</v>
      </c>
      <c r="C253" s="2">
        <v>68635</v>
      </c>
      <c r="D253" s="2">
        <v>30251936</v>
      </c>
      <c r="E253" s="2">
        <v>228758</v>
      </c>
      <c r="F253" s="2">
        <v>100</v>
      </c>
      <c r="G253" s="2"/>
      <c r="H253" s="2"/>
      <c r="I253" s="2"/>
      <c r="J253" s="2"/>
      <c r="K253" s="2"/>
      <c r="L253" s="2"/>
      <c r="M253" s="2"/>
    </row>
    <row r="254" spans="1:15" ht="17.25" thickBot="1" x14ac:dyDescent="0.35"/>
    <row r="255" spans="1:15" ht="16.5" customHeight="1" x14ac:dyDescent="0.3">
      <c r="A255" s="16" t="s">
        <v>214</v>
      </c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</row>
    <row r="256" spans="1:15" ht="33" customHeight="1" x14ac:dyDescent="0.3">
      <c r="A256" s="17" t="s">
        <v>60</v>
      </c>
      <c r="B256" s="19" t="s">
        <v>15</v>
      </c>
      <c r="C256" s="19" t="s">
        <v>146</v>
      </c>
      <c r="D256" s="3" t="s">
        <v>147</v>
      </c>
      <c r="E256" s="3" t="s">
        <v>148</v>
      </c>
      <c r="F256" s="19" t="s">
        <v>150</v>
      </c>
      <c r="G256" s="3" t="s">
        <v>148</v>
      </c>
      <c r="H256" s="19" t="s">
        <v>151</v>
      </c>
      <c r="I256" s="19"/>
      <c r="J256" s="3" t="s">
        <v>170</v>
      </c>
      <c r="K256" s="3" t="s">
        <v>148</v>
      </c>
      <c r="L256" s="19" t="s">
        <v>151</v>
      </c>
      <c r="M256" s="19"/>
    </row>
    <row r="257" spans="1:18" ht="33" x14ac:dyDescent="0.3">
      <c r="A257" s="17"/>
      <c r="B257" s="19"/>
      <c r="C257" s="19"/>
      <c r="D257" s="3" t="s">
        <v>146</v>
      </c>
      <c r="E257" s="3" t="s">
        <v>149</v>
      </c>
      <c r="F257" s="19"/>
      <c r="G257" s="3" t="s">
        <v>150</v>
      </c>
      <c r="H257" s="19" t="s">
        <v>152</v>
      </c>
      <c r="I257" s="19"/>
      <c r="J257" s="3" t="s">
        <v>150</v>
      </c>
      <c r="K257" s="3" t="s">
        <v>171</v>
      </c>
      <c r="L257" s="19" t="s">
        <v>172</v>
      </c>
      <c r="M257" s="19"/>
    </row>
    <row r="258" spans="1:18" ht="17.25" thickBot="1" x14ac:dyDescent="0.35">
      <c r="A258" s="6">
        <v>1</v>
      </c>
      <c r="B258" s="11">
        <v>0</v>
      </c>
      <c r="C258" s="2">
        <v>14441</v>
      </c>
      <c r="D258" s="2">
        <v>6354880</v>
      </c>
      <c r="E258" s="2">
        <v>79027</v>
      </c>
      <c r="F258" s="2">
        <v>21.006499999999999</v>
      </c>
      <c r="G258" s="2">
        <v>0.19869999999999999</v>
      </c>
      <c r="H258" s="2">
        <v>20.616900000000001</v>
      </c>
      <c r="I258" s="2">
        <v>21.396100000000001</v>
      </c>
      <c r="J258" s="2">
        <v>85.040700000000001</v>
      </c>
      <c r="K258" s="2">
        <v>0.3553</v>
      </c>
      <c r="L258" s="2">
        <v>84.344099999999997</v>
      </c>
      <c r="M258" s="2">
        <v>85.737399999999994</v>
      </c>
      <c r="O258" t="str">
        <f t="shared" ref="O258:O259" si="61">TEXT(J258,"0.00")&amp;" ("&amp;TEXT(L258,"0.00")&amp;" to "&amp;TEXT(M258,"0.00")&amp;")"</f>
        <v>85.04 (84.34 to 85.74)</v>
      </c>
      <c r="P258" t="str">
        <f>O261</f>
        <v>77.09 (76.27 to 77.91)</v>
      </c>
      <c r="Q258" t="str">
        <f>O264</f>
        <v>71.46 (70.61 to 72.30)</v>
      </c>
      <c r="R258" t="str">
        <f>O267</f>
        <v>59.26 (58.39 to 60.13)</v>
      </c>
    </row>
    <row r="259" spans="1:18" ht="17.25" thickBot="1" x14ac:dyDescent="0.35">
      <c r="A259" s="6"/>
      <c r="B259" s="11">
        <v>1</v>
      </c>
      <c r="C259" s="2">
        <v>2206</v>
      </c>
      <c r="D259" s="2">
        <v>1117868</v>
      </c>
      <c r="E259" s="2">
        <v>29317</v>
      </c>
      <c r="F259" s="2">
        <v>3.6951999999999998</v>
      </c>
      <c r="G259" s="2">
        <v>9.3200000000000005E-2</v>
      </c>
      <c r="H259" s="2">
        <v>3.5125000000000002</v>
      </c>
      <c r="I259" s="2">
        <v>3.8778999999999999</v>
      </c>
      <c r="J259" s="2">
        <v>14.959300000000001</v>
      </c>
      <c r="K259" s="2">
        <v>0.3553</v>
      </c>
      <c r="L259" s="2">
        <v>14.262600000000001</v>
      </c>
      <c r="M259" s="2">
        <v>15.655900000000001</v>
      </c>
      <c r="O259" t="str">
        <f t="shared" si="61"/>
        <v>14.96 (14.26 to 15.66)</v>
      </c>
      <c r="P259" t="str">
        <f>O262</f>
        <v>22.91 (22.09 to 23.73)</v>
      </c>
      <c r="Q259" t="str">
        <f>O265</f>
        <v>28.54 (27.70 to 29.39)</v>
      </c>
      <c r="R259" t="str">
        <f>O268</f>
        <v>40.74 (39.87 to 41.61)</v>
      </c>
    </row>
    <row r="260" spans="1:18" ht="17.25" thickBot="1" x14ac:dyDescent="0.35">
      <c r="A260" s="6"/>
      <c r="B260" s="11" t="s">
        <v>153</v>
      </c>
      <c r="C260" s="2">
        <v>16647</v>
      </c>
      <c r="D260" s="2">
        <v>7472748</v>
      </c>
      <c r="E260" s="2">
        <v>86882</v>
      </c>
      <c r="F260" s="2">
        <v>24.701699999999999</v>
      </c>
      <c r="G260" s="2">
        <v>0.20949999999999999</v>
      </c>
      <c r="H260" s="2">
        <v>24.290900000000001</v>
      </c>
      <c r="I260" s="2">
        <v>25.1126</v>
      </c>
      <c r="J260" s="2">
        <v>100</v>
      </c>
      <c r="K260" s="2"/>
      <c r="L260" s="2"/>
      <c r="M260" s="2"/>
    </row>
    <row r="261" spans="1:18" ht="17.25" thickBot="1" x14ac:dyDescent="0.35">
      <c r="A261" s="6">
        <v>2</v>
      </c>
      <c r="B261" s="11">
        <v>0</v>
      </c>
      <c r="C261" s="2">
        <v>13399</v>
      </c>
      <c r="D261" s="2">
        <v>5674728</v>
      </c>
      <c r="E261" s="2">
        <v>70771</v>
      </c>
      <c r="F261" s="2">
        <v>18.758199999999999</v>
      </c>
      <c r="G261" s="2">
        <v>0.17960000000000001</v>
      </c>
      <c r="H261" s="2">
        <v>18.406099999999999</v>
      </c>
      <c r="I261" s="2">
        <v>19.110399999999998</v>
      </c>
      <c r="J261" s="2">
        <v>77.086600000000004</v>
      </c>
      <c r="K261" s="2">
        <v>0.41839999999999999</v>
      </c>
      <c r="L261" s="2">
        <v>76.266099999999994</v>
      </c>
      <c r="M261" s="2">
        <v>77.9071</v>
      </c>
      <c r="O261" t="str">
        <f t="shared" ref="O261:O262" si="62">TEXT(J261,"0.00")&amp;" ("&amp;TEXT(L261,"0.00")&amp;" to "&amp;TEXT(M261,"0.00")&amp;")"</f>
        <v>77.09 (76.27 to 77.91)</v>
      </c>
    </row>
    <row r="262" spans="1:18" ht="17.25" thickBot="1" x14ac:dyDescent="0.35">
      <c r="A262" s="6"/>
      <c r="B262" s="11">
        <v>1</v>
      </c>
      <c r="C262" s="2">
        <v>3380</v>
      </c>
      <c r="D262" s="2">
        <v>1686771</v>
      </c>
      <c r="E262" s="2">
        <v>36715</v>
      </c>
      <c r="F262" s="2">
        <v>5.5757000000000003</v>
      </c>
      <c r="G262" s="2">
        <v>0.1145</v>
      </c>
      <c r="H262" s="2">
        <v>5.3513000000000002</v>
      </c>
      <c r="I262" s="2">
        <v>5.8002000000000002</v>
      </c>
      <c r="J262" s="2">
        <v>22.913399999999999</v>
      </c>
      <c r="K262" s="2">
        <v>0.41839999999999999</v>
      </c>
      <c r="L262" s="2">
        <v>22.0929</v>
      </c>
      <c r="M262" s="2">
        <v>23.733899999999998</v>
      </c>
      <c r="O262" t="str">
        <f t="shared" si="62"/>
        <v>22.91 (22.09 to 23.73)</v>
      </c>
    </row>
    <row r="263" spans="1:18" ht="17.25" thickBot="1" x14ac:dyDescent="0.35">
      <c r="A263" s="6"/>
      <c r="B263" s="11" t="s">
        <v>153</v>
      </c>
      <c r="C263" s="2">
        <v>16779</v>
      </c>
      <c r="D263" s="2">
        <v>7361499</v>
      </c>
      <c r="E263" s="2">
        <v>83717</v>
      </c>
      <c r="F263" s="2">
        <v>24.334</v>
      </c>
      <c r="G263" s="2">
        <v>0.20080000000000001</v>
      </c>
      <c r="H263" s="2">
        <v>23.940200000000001</v>
      </c>
      <c r="I263" s="2">
        <v>24.727799999999998</v>
      </c>
      <c r="J263" s="2">
        <v>100</v>
      </c>
      <c r="K263" s="2"/>
      <c r="L263" s="2"/>
      <c r="M263" s="2"/>
    </row>
    <row r="264" spans="1:18" ht="17.25" thickBot="1" x14ac:dyDescent="0.35">
      <c r="A264" s="6">
        <v>3</v>
      </c>
      <c r="B264" s="11">
        <v>0</v>
      </c>
      <c r="C264" s="2">
        <v>12785</v>
      </c>
      <c r="D264" s="2">
        <v>5284695</v>
      </c>
      <c r="E264" s="2">
        <v>66208</v>
      </c>
      <c r="F264" s="2">
        <v>17.468900000000001</v>
      </c>
      <c r="G264" s="2">
        <v>0.1729</v>
      </c>
      <c r="H264" s="2">
        <v>17.129899999999999</v>
      </c>
      <c r="I264" s="2">
        <v>17.808</v>
      </c>
      <c r="J264" s="2">
        <v>71.455500000000001</v>
      </c>
      <c r="K264" s="2">
        <v>0.43309999999999998</v>
      </c>
      <c r="L264" s="2">
        <v>70.606200000000001</v>
      </c>
      <c r="M264" s="2">
        <v>72.3048</v>
      </c>
      <c r="O264" t="str">
        <f t="shared" ref="O264:O265" si="63">TEXT(J264,"0.00")&amp;" ("&amp;TEXT(L264,"0.00")&amp;" to "&amp;TEXT(M264,"0.00")&amp;")"</f>
        <v>71.46 (70.61 to 72.30)</v>
      </c>
    </row>
    <row r="265" spans="1:18" ht="17.25" thickBot="1" x14ac:dyDescent="0.35">
      <c r="A265" s="6"/>
      <c r="B265" s="11">
        <v>1</v>
      </c>
      <c r="C265" s="2">
        <v>4378</v>
      </c>
      <c r="D265" s="2">
        <v>2111093</v>
      </c>
      <c r="E265" s="2">
        <v>39755</v>
      </c>
      <c r="F265" s="2">
        <v>6.9783999999999997</v>
      </c>
      <c r="G265" s="2">
        <v>0.1207</v>
      </c>
      <c r="H265" s="2">
        <v>6.7416999999999998</v>
      </c>
      <c r="I265" s="2">
        <v>7.2149999999999999</v>
      </c>
      <c r="J265" s="2">
        <v>28.544499999999999</v>
      </c>
      <c r="K265" s="2">
        <v>0.43309999999999998</v>
      </c>
      <c r="L265" s="2">
        <v>27.6952</v>
      </c>
      <c r="M265" s="2">
        <v>29.393799999999999</v>
      </c>
      <c r="O265" t="str">
        <f t="shared" si="63"/>
        <v>28.54 (27.70 to 29.39)</v>
      </c>
    </row>
    <row r="266" spans="1:18" ht="17.25" thickBot="1" x14ac:dyDescent="0.35">
      <c r="A266" s="6"/>
      <c r="B266" s="11" t="s">
        <v>153</v>
      </c>
      <c r="C266" s="2">
        <v>17163</v>
      </c>
      <c r="D266" s="2">
        <v>7395788</v>
      </c>
      <c r="E266" s="2">
        <v>81488</v>
      </c>
      <c r="F266" s="2">
        <v>24.447299999999998</v>
      </c>
      <c r="G266" s="2">
        <v>0.19470000000000001</v>
      </c>
      <c r="H266" s="2">
        <v>24.0655</v>
      </c>
      <c r="I266" s="2">
        <v>24.8291</v>
      </c>
      <c r="J266" s="2">
        <v>100</v>
      </c>
      <c r="K266" s="2"/>
      <c r="L266" s="2"/>
      <c r="M266" s="2"/>
    </row>
    <row r="267" spans="1:18" ht="17.25" thickBot="1" x14ac:dyDescent="0.35">
      <c r="A267" s="6">
        <v>4</v>
      </c>
      <c r="B267" s="11">
        <v>0</v>
      </c>
      <c r="C267" s="2">
        <v>11439</v>
      </c>
      <c r="D267" s="2">
        <v>4753860</v>
      </c>
      <c r="E267" s="2">
        <v>61411</v>
      </c>
      <c r="F267" s="2">
        <v>15.7142</v>
      </c>
      <c r="G267" s="2">
        <v>0.17150000000000001</v>
      </c>
      <c r="H267" s="2">
        <v>15.378</v>
      </c>
      <c r="I267" s="2">
        <v>16.0505</v>
      </c>
      <c r="J267" s="2">
        <v>59.261000000000003</v>
      </c>
      <c r="K267" s="2">
        <v>0.4446</v>
      </c>
      <c r="L267" s="2">
        <v>58.389200000000002</v>
      </c>
      <c r="M267" s="2">
        <v>60.132800000000003</v>
      </c>
      <c r="O267" t="str">
        <f t="shared" ref="O267:O268" si="64">TEXT(J267,"0.00")&amp;" ("&amp;TEXT(L267,"0.00")&amp;" to "&amp;TEXT(M267,"0.00")&amp;")"</f>
        <v>59.26 (58.39 to 60.13)</v>
      </c>
    </row>
    <row r="268" spans="1:18" ht="17.25" thickBot="1" x14ac:dyDescent="0.35">
      <c r="A268" s="6"/>
      <c r="B268" s="11">
        <v>1</v>
      </c>
      <c r="C268" s="2">
        <v>6607</v>
      </c>
      <c r="D268" s="2">
        <v>3268041</v>
      </c>
      <c r="E268" s="2">
        <v>49745</v>
      </c>
      <c r="F268" s="2">
        <v>10.8028</v>
      </c>
      <c r="G268" s="2">
        <v>0.1472</v>
      </c>
      <c r="H268" s="2">
        <v>10.514200000000001</v>
      </c>
      <c r="I268" s="2">
        <v>11.0913</v>
      </c>
      <c r="J268" s="2">
        <v>40.738999999999997</v>
      </c>
      <c r="K268" s="2">
        <v>0.4446</v>
      </c>
      <c r="L268" s="2">
        <v>39.867199999999997</v>
      </c>
      <c r="M268" s="2">
        <v>41.610799999999998</v>
      </c>
      <c r="O268" t="str">
        <f t="shared" si="64"/>
        <v>40.74 (39.87 to 41.61)</v>
      </c>
    </row>
    <row r="269" spans="1:18" ht="17.25" thickBot="1" x14ac:dyDescent="0.35">
      <c r="A269" s="6"/>
      <c r="B269" s="11" t="s">
        <v>153</v>
      </c>
      <c r="C269" s="2">
        <v>18046</v>
      </c>
      <c r="D269" s="2">
        <v>8021901</v>
      </c>
      <c r="E269" s="2">
        <v>84668</v>
      </c>
      <c r="F269" s="2">
        <v>26.516999999999999</v>
      </c>
      <c r="G269" s="2">
        <v>0.21260000000000001</v>
      </c>
      <c r="H269" s="2">
        <v>26.100100000000001</v>
      </c>
      <c r="I269" s="2">
        <v>26.933800000000002</v>
      </c>
      <c r="J269" s="2">
        <v>100</v>
      </c>
      <c r="K269" s="2"/>
      <c r="L269" s="2"/>
      <c r="M269" s="2"/>
    </row>
    <row r="270" spans="1:18" ht="17.25" thickBot="1" x14ac:dyDescent="0.35">
      <c r="A270" s="6" t="s">
        <v>153</v>
      </c>
      <c r="B270" s="11">
        <v>0</v>
      </c>
      <c r="C270" s="2">
        <v>52064</v>
      </c>
      <c r="D270" s="2">
        <v>22068163</v>
      </c>
      <c r="E270" s="2">
        <v>184428</v>
      </c>
      <c r="F270" s="2">
        <v>72.947900000000004</v>
      </c>
      <c r="G270" s="2">
        <v>0.23330000000000001</v>
      </c>
      <c r="H270" s="2">
        <v>72.490499999999997</v>
      </c>
      <c r="I270" s="2">
        <v>73.405299999999997</v>
      </c>
      <c r="J270" s="2"/>
      <c r="K270" s="2"/>
      <c r="L270" s="2"/>
      <c r="M270" s="2"/>
    </row>
    <row r="271" spans="1:18" ht="17.25" thickBot="1" x14ac:dyDescent="0.35">
      <c r="A271" s="6"/>
      <c r="B271" s="11">
        <v>1</v>
      </c>
      <c r="C271" s="2">
        <v>16571</v>
      </c>
      <c r="D271" s="2">
        <v>8183773</v>
      </c>
      <c r="E271" s="2">
        <v>91483</v>
      </c>
      <c r="F271" s="2">
        <v>27.052099999999999</v>
      </c>
      <c r="G271" s="2">
        <v>0.23330000000000001</v>
      </c>
      <c r="H271" s="2">
        <v>26.5947</v>
      </c>
      <c r="I271" s="2">
        <v>27.509499999999999</v>
      </c>
      <c r="J271" s="2"/>
      <c r="K271" s="2"/>
      <c r="L271" s="2"/>
      <c r="M271" s="2"/>
    </row>
    <row r="272" spans="1:18" x14ac:dyDescent="0.3">
      <c r="A272" s="6"/>
      <c r="B272" s="14" t="s">
        <v>153</v>
      </c>
      <c r="C272" s="2">
        <v>68635</v>
      </c>
      <c r="D272" s="2">
        <v>30251936</v>
      </c>
      <c r="E272" s="2">
        <v>228758</v>
      </c>
      <c r="F272" s="2">
        <v>100</v>
      </c>
      <c r="G272" s="2"/>
      <c r="H272" s="2"/>
      <c r="I272" s="2"/>
      <c r="J272" s="2"/>
      <c r="K272" s="2"/>
      <c r="L272" s="2"/>
      <c r="M272" s="2"/>
    </row>
    <row r="273" spans="1:18" ht="17.25" thickBot="1" x14ac:dyDescent="0.35"/>
    <row r="274" spans="1:18" ht="16.5" customHeight="1" x14ac:dyDescent="0.3">
      <c r="A274" s="16" t="s">
        <v>215</v>
      </c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</row>
    <row r="275" spans="1:18" ht="33" customHeight="1" x14ac:dyDescent="0.3">
      <c r="A275" s="17" t="s">
        <v>60</v>
      </c>
      <c r="B275" s="19" t="s">
        <v>16</v>
      </c>
      <c r="C275" s="19" t="s">
        <v>146</v>
      </c>
      <c r="D275" s="3" t="s">
        <v>147</v>
      </c>
      <c r="E275" s="3" t="s">
        <v>148</v>
      </c>
      <c r="F275" s="19" t="s">
        <v>150</v>
      </c>
      <c r="G275" s="3" t="s">
        <v>148</v>
      </c>
      <c r="H275" s="19" t="s">
        <v>151</v>
      </c>
      <c r="I275" s="19"/>
      <c r="J275" s="3" t="s">
        <v>170</v>
      </c>
      <c r="K275" s="3" t="s">
        <v>148</v>
      </c>
      <c r="L275" s="19" t="s">
        <v>151</v>
      </c>
      <c r="M275" s="19"/>
    </row>
    <row r="276" spans="1:18" ht="33" x14ac:dyDescent="0.3">
      <c r="A276" s="17"/>
      <c r="B276" s="19"/>
      <c r="C276" s="19"/>
      <c r="D276" s="3" t="s">
        <v>146</v>
      </c>
      <c r="E276" s="3" t="s">
        <v>149</v>
      </c>
      <c r="F276" s="19"/>
      <c r="G276" s="3" t="s">
        <v>150</v>
      </c>
      <c r="H276" s="19" t="s">
        <v>152</v>
      </c>
      <c r="I276" s="19"/>
      <c r="J276" s="3" t="s">
        <v>150</v>
      </c>
      <c r="K276" s="3" t="s">
        <v>171</v>
      </c>
      <c r="L276" s="19" t="s">
        <v>172</v>
      </c>
      <c r="M276" s="19"/>
    </row>
    <row r="277" spans="1:18" ht="17.25" thickBot="1" x14ac:dyDescent="0.35">
      <c r="A277" s="6">
        <v>1</v>
      </c>
      <c r="B277" s="11">
        <v>0</v>
      </c>
      <c r="C277" s="2">
        <v>14672</v>
      </c>
      <c r="D277" s="2">
        <v>6800798</v>
      </c>
      <c r="E277" s="2">
        <v>83791</v>
      </c>
      <c r="F277" s="2">
        <v>22.480499999999999</v>
      </c>
      <c r="G277" s="2">
        <v>0.20610000000000001</v>
      </c>
      <c r="H277" s="2">
        <v>22.076499999999999</v>
      </c>
      <c r="I277" s="2">
        <v>22.884599999999999</v>
      </c>
      <c r="J277" s="2">
        <v>91.007999999999996</v>
      </c>
      <c r="K277" s="2">
        <v>0.24460000000000001</v>
      </c>
      <c r="L277" s="2">
        <v>90.528400000000005</v>
      </c>
      <c r="M277" s="2">
        <v>91.487499999999997</v>
      </c>
      <c r="O277" t="str">
        <f t="shared" ref="O277:O278" si="65">TEXT(J277,"0.00")&amp;" ("&amp;TEXT(L277,"0.00")&amp;" to "&amp;TEXT(M277,"0.00")&amp;")"</f>
        <v>91.01 (90.53 to 91.49)</v>
      </c>
      <c r="P277" t="str">
        <f>O280</f>
        <v>85.56 (84.95 to 86.17)</v>
      </c>
      <c r="Q277" t="str">
        <f>O283</f>
        <v>79.78 (79.09 to 80.47)</v>
      </c>
      <c r="R277" t="str">
        <f>O286</f>
        <v>76.31 (75.57 to 77.04)</v>
      </c>
    </row>
    <row r="278" spans="1:18" ht="17.25" thickBot="1" x14ac:dyDescent="0.35">
      <c r="A278" s="6"/>
      <c r="B278" s="11">
        <v>1</v>
      </c>
      <c r="C278" s="2">
        <v>1975</v>
      </c>
      <c r="D278" s="2">
        <v>671950</v>
      </c>
      <c r="E278" s="2">
        <v>18764</v>
      </c>
      <c r="F278" s="2">
        <v>2.2212000000000001</v>
      </c>
      <c r="G278" s="2">
        <v>6.13E-2</v>
      </c>
      <c r="H278" s="2">
        <v>2.1009000000000002</v>
      </c>
      <c r="I278" s="2">
        <v>2.3414999999999999</v>
      </c>
      <c r="J278" s="2">
        <v>8.9920000000000009</v>
      </c>
      <c r="K278" s="2">
        <v>0.24460000000000001</v>
      </c>
      <c r="L278" s="2">
        <v>8.5124999999999993</v>
      </c>
      <c r="M278" s="2">
        <v>9.4716000000000005</v>
      </c>
      <c r="O278" t="str">
        <f t="shared" si="65"/>
        <v>8.99 (8.51 to 9.47)</v>
      </c>
      <c r="P278" t="str">
        <f>O281</f>
        <v>14.44 (13.83 to 15.05)</v>
      </c>
      <c r="Q278" t="str">
        <f>O284</f>
        <v>20.22 (19.53 to 20.91)</v>
      </c>
      <c r="R278" t="str">
        <f>O287</f>
        <v>23.69 (22.96 to 24.43)</v>
      </c>
    </row>
    <row r="279" spans="1:18" ht="17.25" thickBot="1" x14ac:dyDescent="0.35">
      <c r="A279" s="6"/>
      <c r="B279" s="11" t="s">
        <v>153</v>
      </c>
      <c r="C279" s="2">
        <v>16647</v>
      </c>
      <c r="D279" s="2">
        <v>7472748</v>
      </c>
      <c r="E279" s="2">
        <v>86882</v>
      </c>
      <c r="F279" s="2">
        <v>24.701699999999999</v>
      </c>
      <c r="G279" s="2">
        <v>0.20949999999999999</v>
      </c>
      <c r="H279" s="2">
        <v>24.290900000000001</v>
      </c>
      <c r="I279" s="2">
        <v>25.1126</v>
      </c>
      <c r="J279" s="2">
        <v>100</v>
      </c>
      <c r="K279" s="2"/>
      <c r="L279" s="2"/>
      <c r="M279" s="2"/>
    </row>
    <row r="280" spans="1:18" ht="17.25" thickBot="1" x14ac:dyDescent="0.35">
      <c r="A280" s="6">
        <v>2</v>
      </c>
      <c r="B280" s="11">
        <v>0</v>
      </c>
      <c r="C280" s="2">
        <v>13616</v>
      </c>
      <c r="D280" s="2">
        <v>6298531</v>
      </c>
      <c r="E280" s="2">
        <v>78808</v>
      </c>
      <c r="F280" s="2">
        <v>20.8203</v>
      </c>
      <c r="G280" s="2">
        <v>0.19450000000000001</v>
      </c>
      <c r="H280" s="2">
        <v>20.438800000000001</v>
      </c>
      <c r="I280" s="2">
        <v>21.201699999999999</v>
      </c>
      <c r="J280" s="2">
        <v>85.560400000000001</v>
      </c>
      <c r="K280" s="2">
        <v>0.31</v>
      </c>
      <c r="L280" s="2">
        <v>84.952600000000004</v>
      </c>
      <c r="M280" s="2">
        <v>86.168300000000002</v>
      </c>
      <c r="O280" t="str">
        <f t="shared" ref="O280:O281" si="66">TEXT(J280,"0.00")&amp;" ("&amp;TEXT(L280,"0.00")&amp;" to "&amp;TEXT(M280,"0.00")&amp;")"</f>
        <v>85.56 (84.95 to 86.17)</v>
      </c>
    </row>
    <row r="281" spans="1:18" ht="17.25" thickBot="1" x14ac:dyDescent="0.35">
      <c r="A281" s="6"/>
      <c r="B281" s="11">
        <v>1</v>
      </c>
      <c r="C281" s="2">
        <v>3163</v>
      </c>
      <c r="D281" s="2">
        <v>1062969</v>
      </c>
      <c r="E281" s="2">
        <v>23926</v>
      </c>
      <c r="F281" s="2">
        <v>3.5137</v>
      </c>
      <c r="G281" s="2">
        <v>7.8E-2</v>
      </c>
      <c r="H281" s="2">
        <v>3.3607</v>
      </c>
      <c r="I281" s="2">
        <v>3.6667000000000001</v>
      </c>
      <c r="J281" s="2">
        <v>14.4396</v>
      </c>
      <c r="K281" s="2">
        <v>0.31</v>
      </c>
      <c r="L281" s="2">
        <v>13.8317</v>
      </c>
      <c r="M281" s="2">
        <v>15.0474</v>
      </c>
      <c r="O281" t="str">
        <f t="shared" si="66"/>
        <v>14.44 (13.83 to 15.05)</v>
      </c>
    </row>
    <row r="282" spans="1:18" ht="17.25" thickBot="1" x14ac:dyDescent="0.35">
      <c r="A282" s="6"/>
      <c r="B282" s="11" t="s">
        <v>153</v>
      </c>
      <c r="C282" s="2">
        <v>16779</v>
      </c>
      <c r="D282" s="2">
        <v>7361499</v>
      </c>
      <c r="E282" s="2">
        <v>83717</v>
      </c>
      <c r="F282" s="2">
        <v>24.334</v>
      </c>
      <c r="G282" s="2">
        <v>0.20080000000000001</v>
      </c>
      <c r="H282" s="2">
        <v>23.940200000000001</v>
      </c>
      <c r="I282" s="2">
        <v>24.727799999999998</v>
      </c>
      <c r="J282" s="2">
        <v>100</v>
      </c>
      <c r="K282" s="2"/>
      <c r="L282" s="2"/>
      <c r="M282" s="2"/>
    </row>
    <row r="283" spans="1:18" ht="17.25" thickBot="1" x14ac:dyDescent="0.35">
      <c r="A283" s="6">
        <v>3</v>
      </c>
      <c r="B283" s="11">
        <v>0</v>
      </c>
      <c r="C283" s="2">
        <v>12785</v>
      </c>
      <c r="D283" s="2">
        <v>5900256</v>
      </c>
      <c r="E283" s="2">
        <v>73528</v>
      </c>
      <c r="F283" s="2">
        <v>19.503699999999998</v>
      </c>
      <c r="G283" s="2">
        <v>0.18310000000000001</v>
      </c>
      <c r="H283" s="2">
        <v>19.1447</v>
      </c>
      <c r="I283" s="2">
        <v>19.8628</v>
      </c>
      <c r="J283" s="2">
        <v>79.778599999999997</v>
      </c>
      <c r="K283" s="2">
        <v>0.35260000000000002</v>
      </c>
      <c r="L283" s="2">
        <v>79.087199999999996</v>
      </c>
      <c r="M283" s="2">
        <v>80.47</v>
      </c>
      <c r="O283" t="str">
        <f t="shared" ref="O283:O284" si="67">TEXT(J283,"0.00")&amp;" ("&amp;TEXT(L283,"0.00")&amp;" to "&amp;TEXT(M283,"0.00")&amp;")"</f>
        <v>79.78 (79.09 to 80.47)</v>
      </c>
    </row>
    <row r="284" spans="1:18" ht="17.25" thickBot="1" x14ac:dyDescent="0.35">
      <c r="A284" s="6"/>
      <c r="B284" s="11">
        <v>1</v>
      </c>
      <c r="C284" s="2">
        <v>4378</v>
      </c>
      <c r="D284" s="2">
        <v>1495532</v>
      </c>
      <c r="E284" s="2">
        <v>28721</v>
      </c>
      <c r="F284" s="2">
        <v>4.9436</v>
      </c>
      <c r="G284" s="2">
        <v>9.2100000000000001E-2</v>
      </c>
      <c r="H284" s="2">
        <v>4.7629999999999999</v>
      </c>
      <c r="I284" s="2">
        <v>5.1242000000000001</v>
      </c>
      <c r="J284" s="2">
        <v>20.221399999999999</v>
      </c>
      <c r="K284" s="2">
        <v>0.35260000000000002</v>
      </c>
      <c r="L284" s="2">
        <v>19.53</v>
      </c>
      <c r="M284" s="2">
        <v>20.912800000000001</v>
      </c>
      <c r="O284" t="str">
        <f t="shared" si="67"/>
        <v>20.22 (19.53 to 20.91)</v>
      </c>
    </row>
    <row r="285" spans="1:18" ht="17.25" thickBot="1" x14ac:dyDescent="0.35">
      <c r="A285" s="6"/>
      <c r="B285" s="11" t="s">
        <v>153</v>
      </c>
      <c r="C285" s="2">
        <v>17163</v>
      </c>
      <c r="D285" s="2">
        <v>7395788</v>
      </c>
      <c r="E285" s="2">
        <v>81488</v>
      </c>
      <c r="F285" s="2">
        <v>24.447299999999998</v>
      </c>
      <c r="G285" s="2">
        <v>0.19470000000000001</v>
      </c>
      <c r="H285" s="2">
        <v>24.0655</v>
      </c>
      <c r="I285" s="2">
        <v>24.8291</v>
      </c>
      <c r="J285" s="2">
        <v>100</v>
      </c>
      <c r="K285" s="2"/>
      <c r="L285" s="2"/>
      <c r="M285" s="2"/>
    </row>
    <row r="286" spans="1:18" ht="17.25" thickBot="1" x14ac:dyDescent="0.35">
      <c r="A286" s="6">
        <v>4</v>
      </c>
      <c r="B286" s="11">
        <v>0</v>
      </c>
      <c r="C286" s="2">
        <v>12837</v>
      </c>
      <c r="D286" s="2">
        <v>6121163</v>
      </c>
      <c r="E286" s="2">
        <v>73550</v>
      </c>
      <c r="F286" s="2">
        <v>20.234000000000002</v>
      </c>
      <c r="G286" s="2">
        <v>0.19209999999999999</v>
      </c>
      <c r="H286" s="2">
        <v>19.857199999999999</v>
      </c>
      <c r="I286" s="2">
        <v>20.610700000000001</v>
      </c>
      <c r="J286" s="2">
        <v>76.305599999999998</v>
      </c>
      <c r="K286" s="2">
        <v>0.37680000000000002</v>
      </c>
      <c r="L286" s="2">
        <v>75.566800000000001</v>
      </c>
      <c r="M286" s="2">
        <v>77.044499999999999</v>
      </c>
      <c r="O286" t="str">
        <f t="shared" ref="O286:O287" si="68">TEXT(J286,"0.00")&amp;" ("&amp;TEXT(L286,"0.00")&amp;" to "&amp;TEXT(M286,"0.00")&amp;")"</f>
        <v>76.31 (75.57 to 77.04)</v>
      </c>
    </row>
    <row r="287" spans="1:18" ht="17.25" thickBot="1" x14ac:dyDescent="0.35">
      <c r="A287" s="6"/>
      <c r="B287" s="11">
        <v>1</v>
      </c>
      <c r="C287" s="2">
        <v>5209</v>
      </c>
      <c r="D287" s="2">
        <v>1900738</v>
      </c>
      <c r="E287" s="2">
        <v>34873</v>
      </c>
      <c r="F287" s="2">
        <v>6.2830000000000004</v>
      </c>
      <c r="G287" s="2">
        <v>0.111</v>
      </c>
      <c r="H287" s="2">
        <v>6.0652999999999997</v>
      </c>
      <c r="I287" s="2">
        <v>6.5007000000000001</v>
      </c>
      <c r="J287" s="2">
        <v>23.694400000000002</v>
      </c>
      <c r="K287" s="2">
        <v>0.37680000000000002</v>
      </c>
      <c r="L287" s="2">
        <v>22.955500000000001</v>
      </c>
      <c r="M287" s="2">
        <v>24.433199999999999</v>
      </c>
      <c r="O287" t="str">
        <f t="shared" si="68"/>
        <v>23.69 (22.96 to 24.43)</v>
      </c>
    </row>
    <row r="288" spans="1:18" ht="17.25" thickBot="1" x14ac:dyDescent="0.35">
      <c r="A288" s="6"/>
      <c r="B288" s="11" t="s">
        <v>153</v>
      </c>
      <c r="C288" s="2">
        <v>18046</v>
      </c>
      <c r="D288" s="2">
        <v>8021901</v>
      </c>
      <c r="E288" s="2">
        <v>84668</v>
      </c>
      <c r="F288" s="2">
        <v>26.516999999999999</v>
      </c>
      <c r="G288" s="2">
        <v>0.21260000000000001</v>
      </c>
      <c r="H288" s="2">
        <v>26.100100000000001</v>
      </c>
      <c r="I288" s="2">
        <v>26.933800000000002</v>
      </c>
      <c r="J288" s="2">
        <v>100</v>
      </c>
      <c r="K288" s="2"/>
      <c r="L288" s="2"/>
      <c r="M288" s="2"/>
    </row>
    <row r="289" spans="1:18" ht="17.25" thickBot="1" x14ac:dyDescent="0.35">
      <c r="A289" s="6" t="s">
        <v>153</v>
      </c>
      <c r="B289" s="11">
        <v>0</v>
      </c>
      <c r="C289" s="2">
        <v>53910</v>
      </c>
      <c r="D289" s="2">
        <v>25120748</v>
      </c>
      <c r="E289" s="2">
        <v>210229</v>
      </c>
      <c r="F289" s="2">
        <v>83.038499999999999</v>
      </c>
      <c r="G289" s="2">
        <v>0.19189999999999999</v>
      </c>
      <c r="H289" s="2">
        <v>82.662300000000002</v>
      </c>
      <c r="I289" s="2">
        <v>83.414699999999996</v>
      </c>
      <c r="J289" s="2"/>
      <c r="K289" s="2"/>
      <c r="L289" s="2"/>
      <c r="M289" s="2"/>
    </row>
    <row r="290" spans="1:18" ht="17.25" thickBot="1" x14ac:dyDescent="0.35">
      <c r="A290" s="6"/>
      <c r="B290" s="11">
        <v>1</v>
      </c>
      <c r="C290" s="2">
        <v>14725</v>
      </c>
      <c r="D290" s="2">
        <v>5131188</v>
      </c>
      <c r="E290" s="2">
        <v>62498</v>
      </c>
      <c r="F290" s="2">
        <v>16.961500000000001</v>
      </c>
      <c r="G290" s="2">
        <v>0.19189999999999999</v>
      </c>
      <c r="H290" s="2">
        <v>16.5853</v>
      </c>
      <c r="I290" s="2">
        <v>17.337700000000002</v>
      </c>
      <c r="J290" s="2"/>
      <c r="K290" s="2"/>
      <c r="L290" s="2"/>
      <c r="M290" s="2"/>
    </row>
    <row r="291" spans="1:18" x14ac:dyDescent="0.3">
      <c r="A291" s="6"/>
      <c r="B291" s="14" t="s">
        <v>153</v>
      </c>
      <c r="C291" s="2">
        <v>68635</v>
      </c>
      <c r="D291" s="2">
        <v>30251936</v>
      </c>
      <c r="E291" s="2">
        <v>228758</v>
      </c>
      <c r="F291" s="2">
        <v>100</v>
      </c>
      <c r="G291" s="2"/>
      <c r="H291" s="2"/>
      <c r="I291" s="2"/>
      <c r="J291" s="2"/>
      <c r="K291" s="2"/>
      <c r="L291" s="2"/>
      <c r="M291" s="2"/>
    </row>
    <row r="292" spans="1:18" ht="17.25" thickBot="1" x14ac:dyDescent="0.35"/>
    <row r="293" spans="1:18" ht="16.5" customHeight="1" x14ac:dyDescent="0.3">
      <c r="A293" s="16" t="s">
        <v>216</v>
      </c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</row>
    <row r="294" spans="1:18" ht="33" customHeight="1" x14ac:dyDescent="0.3">
      <c r="A294" s="17" t="s">
        <v>60</v>
      </c>
      <c r="B294" s="19" t="s">
        <v>17</v>
      </c>
      <c r="C294" s="19" t="s">
        <v>146</v>
      </c>
      <c r="D294" s="3" t="s">
        <v>147</v>
      </c>
      <c r="E294" s="3" t="s">
        <v>148</v>
      </c>
      <c r="F294" s="19" t="s">
        <v>150</v>
      </c>
      <c r="G294" s="3" t="s">
        <v>148</v>
      </c>
      <c r="H294" s="19" t="s">
        <v>151</v>
      </c>
      <c r="I294" s="19"/>
      <c r="J294" s="3" t="s">
        <v>170</v>
      </c>
      <c r="K294" s="3" t="s">
        <v>148</v>
      </c>
      <c r="L294" s="19" t="s">
        <v>151</v>
      </c>
      <c r="M294" s="19"/>
    </row>
    <row r="295" spans="1:18" ht="33" x14ac:dyDescent="0.3">
      <c r="A295" s="17"/>
      <c r="B295" s="19"/>
      <c r="C295" s="19"/>
      <c r="D295" s="3" t="s">
        <v>146</v>
      </c>
      <c r="E295" s="3" t="s">
        <v>149</v>
      </c>
      <c r="F295" s="19"/>
      <c r="G295" s="3" t="s">
        <v>150</v>
      </c>
      <c r="H295" s="19" t="s">
        <v>152</v>
      </c>
      <c r="I295" s="19"/>
      <c r="J295" s="3" t="s">
        <v>150</v>
      </c>
      <c r="K295" s="3" t="s">
        <v>171</v>
      </c>
      <c r="L295" s="19" t="s">
        <v>172</v>
      </c>
      <c r="M295" s="19"/>
    </row>
    <row r="296" spans="1:18" ht="17.25" thickBot="1" x14ac:dyDescent="0.35">
      <c r="A296" s="6">
        <v>1</v>
      </c>
      <c r="B296" s="11">
        <v>0</v>
      </c>
      <c r="C296" s="2">
        <v>15174</v>
      </c>
      <c r="D296" s="2">
        <v>6941554</v>
      </c>
      <c r="E296" s="2">
        <v>83957</v>
      </c>
      <c r="F296" s="2">
        <v>22.945799999999998</v>
      </c>
      <c r="G296" s="2">
        <v>0.2054</v>
      </c>
      <c r="H296" s="2">
        <v>22.542999999999999</v>
      </c>
      <c r="I296" s="2">
        <v>23.348600000000001</v>
      </c>
      <c r="J296" s="2">
        <v>92.891599999999997</v>
      </c>
      <c r="K296" s="2">
        <v>0.2142</v>
      </c>
      <c r="L296" s="2">
        <v>92.471500000000006</v>
      </c>
      <c r="M296" s="2">
        <v>93.311700000000002</v>
      </c>
      <c r="O296" t="str">
        <f t="shared" ref="O296:O297" si="69">TEXT(J296,"0.00")&amp;" ("&amp;TEXT(L296,"0.00")&amp;" to "&amp;TEXT(M296,"0.00")&amp;")"</f>
        <v>92.89 (92.47 to 93.31)</v>
      </c>
      <c r="P296" t="str">
        <f>O299</f>
        <v>89.31 (88.80 to 89.81)</v>
      </c>
      <c r="Q296" t="str">
        <f>O302</f>
        <v>84.76 (84.15 to 85.36)</v>
      </c>
      <c r="R296" t="str">
        <f>O305</f>
        <v>83.18 (82.53 to 83.83)</v>
      </c>
    </row>
    <row r="297" spans="1:18" ht="17.25" thickBot="1" x14ac:dyDescent="0.35">
      <c r="A297" s="6"/>
      <c r="B297" s="11">
        <v>1</v>
      </c>
      <c r="C297" s="2">
        <v>1473</v>
      </c>
      <c r="D297" s="2">
        <v>531194</v>
      </c>
      <c r="E297" s="2">
        <v>16525</v>
      </c>
      <c r="F297" s="2">
        <v>1.7559</v>
      </c>
      <c r="G297" s="2">
        <v>5.3900000000000003E-2</v>
      </c>
      <c r="H297" s="2">
        <v>1.6501999999999999</v>
      </c>
      <c r="I297" s="2">
        <v>1.8615999999999999</v>
      </c>
      <c r="J297" s="2">
        <v>7.1083999999999996</v>
      </c>
      <c r="K297" s="2">
        <v>0.2142</v>
      </c>
      <c r="L297" s="2">
        <v>6.6882999999999999</v>
      </c>
      <c r="M297" s="2">
        <v>7.5285000000000002</v>
      </c>
      <c r="O297" t="str">
        <f t="shared" si="69"/>
        <v>7.11 (6.69 to 7.53)</v>
      </c>
      <c r="P297" t="str">
        <f>O300</f>
        <v>10.69 (10.19 to 11.20)</v>
      </c>
      <c r="Q297" t="str">
        <f>O303</f>
        <v>15.24 (14.64 to 15.85)</v>
      </c>
      <c r="R297" t="str">
        <f>O306</f>
        <v>16.82 (16.17 to 17.47)</v>
      </c>
    </row>
    <row r="298" spans="1:18" ht="17.25" thickBot="1" x14ac:dyDescent="0.35">
      <c r="A298" s="6"/>
      <c r="B298" s="11" t="s">
        <v>153</v>
      </c>
      <c r="C298" s="2">
        <v>16647</v>
      </c>
      <c r="D298" s="2">
        <v>7472748</v>
      </c>
      <c r="E298" s="2">
        <v>86882</v>
      </c>
      <c r="F298" s="2">
        <v>24.701699999999999</v>
      </c>
      <c r="G298" s="2">
        <v>0.20949999999999999</v>
      </c>
      <c r="H298" s="2">
        <v>24.290900000000001</v>
      </c>
      <c r="I298" s="2">
        <v>25.1126</v>
      </c>
      <c r="J298" s="2">
        <v>100</v>
      </c>
      <c r="K298" s="2"/>
      <c r="L298" s="2"/>
      <c r="M298" s="2"/>
    </row>
    <row r="299" spans="1:18" ht="17.25" thickBot="1" x14ac:dyDescent="0.35">
      <c r="A299" s="6">
        <v>2</v>
      </c>
      <c r="B299" s="11">
        <v>0</v>
      </c>
      <c r="C299" s="2">
        <v>14527</v>
      </c>
      <c r="D299" s="2">
        <v>6574377</v>
      </c>
      <c r="E299" s="2">
        <v>79718</v>
      </c>
      <c r="F299" s="2">
        <v>21.732099999999999</v>
      </c>
      <c r="G299" s="2">
        <v>0.1971</v>
      </c>
      <c r="H299" s="2">
        <v>21.345600000000001</v>
      </c>
      <c r="I299" s="2">
        <v>22.118600000000001</v>
      </c>
      <c r="J299" s="2">
        <v>89.307599999999994</v>
      </c>
      <c r="K299" s="2">
        <v>0.25840000000000002</v>
      </c>
      <c r="L299" s="2">
        <v>88.800799999999995</v>
      </c>
      <c r="M299" s="2">
        <v>89.814300000000003</v>
      </c>
      <c r="O299" t="str">
        <f t="shared" ref="O299:O300" si="70">TEXT(J299,"0.00")&amp;" ("&amp;TEXT(L299,"0.00")&amp;" to "&amp;TEXT(M299,"0.00")&amp;")"</f>
        <v>89.31 (88.80 to 89.81)</v>
      </c>
    </row>
    <row r="300" spans="1:18" ht="17.25" thickBot="1" x14ac:dyDescent="0.35">
      <c r="A300" s="6"/>
      <c r="B300" s="11">
        <v>1</v>
      </c>
      <c r="C300" s="2">
        <v>2252</v>
      </c>
      <c r="D300" s="2">
        <v>787122</v>
      </c>
      <c r="E300" s="2">
        <v>19845</v>
      </c>
      <c r="F300" s="2">
        <v>2.6019000000000001</v>
      </c>
      <c r="G300" s="2">
        <v>6.3899999999999998E-2</v>
      </c>
      <c r="H300" s="2">
        <v>2.4765000000000001</v>
      </c>
      <c r="I300" s="2">
        <v>2.7273000000000001</v>
      </c>
      <c r="J300" s="2">
        <v>10.692399999999999</v>
      </c>
      <c r="K300" s="2">
        <v>0.25840000000000002</v>
      </c>
      <c r="L300" s="2">
        <v>10.185700000000001</v>
      </c>
      <c r="M300" s="2">
        <v>11.199199999999999</v>
      </c>
      <c r="O300" t="str">
        <f t="shared" si="70"/>
        <v>10.69 (10.19 to 11.20)</v>
      </c>
    </row>
    <row r="301" spans="1:18" ht="17.25" thickBot="1" x14ac:dyDescent="0.35">
      <c r="A301" s="6"/>
      <c r="B301" s="11" t="s">
        <v>153</v>
      </c>
      <c r="C301" s="2">
        <v>16779</v>
      </c>
      <c r="D301" s="2">
        <v>7361499</v>
      </c>
      <c r="E301" s="2">
        <v>83717</v>
      </c>
      <c r="F301" s="2">
        <v>24.334</v>
      </c>
      <c r="G301" s="2">
        <v>0.20080000000000001</v>
      </c>
      <c r="H301" s="2">
        <v>23.940200000000001</v>
      </c>
      <c r="I301" s="2">
        <v>24.727799999999998</v>
      </c>
      <c r="J301" s="2">
        <v>100</v>
      </c>
      <c r="K301" s="2"/>
      <c r="L301" s="2"/>
      <c r="M301" s="2"/>
    </row>
    <row r="302" spans="1:18" ht="17.25" thickBot="1" x14ac:dyDescent="0.35">
      <c r="A302" s="6">
        <v>3</v>
      </c>
      <c r="B302" s="11">
        <v>0</v>
      </c>
      <c r="C302" s="2">
        <v>14121</v>
      </c>
      <c r="D302" s="2">
        <v>6268514</v>
      </c>
      <c r="E302" s="2">
        <v>74579</v>
      </c>
      <c r="F302" s="2">
        <v>20.721</v>
      </c>
      <c r="G302" s="2">
        <v>0.18509999999999999</v>
      </c>
      <c r="H302" s="2">
        <v>20.358000000000001</v>
      </c>
      <c r="I302" s="2">
        <v>21.084</v>
      </c>
      <c r="J302" s="2">
        <v>84.757900000000006</v>
      </c>
      <c r="K302" s="2">
        <v>0.30909999999999999</v>
      </c>
      <c r="L302" s="2">
        <v>84.151899999999998</v>
      </c>
      <c r="M302" s="2">
        <v>85.363900000000001</v>
      </c>
      <c r="O302" t="str">
        <f t="shared" ref="O302:O303" si="71">TEXT(J302,"0.00")&amp;" ("&amp;TEXT(L302,"0.00")&amp;" to "&amp;TEXT(M302,"0.00")&amp;")"</f>
        <v>84.76 (84.15 to 85.36)</v>
      </c>
    </row>
    <row r="303" spans="1:18" ht="17.25" thickBot="1" x14ac:dyDescent="0.35">
      <c r="A303" s="6"/>
      <c r="B303" s="11">
        <v>1</v>
      </c>
      <c r="C303" s="2">
        <v>3042</v>
      </c>
      <c r="D303" s="2">
        <v>1127274</v>
      </c>
      <c r="E303" s="2">
        <v>25066</v>
      </c>
      <c r="F303" s="2">
        <v>3.7263000000000002</v>
      </c>
      <c r="G303" s="2">
        <v>7.9699999999999993E-2</v>
      </c>
      <c r="H303" s="2">
        <v>3.57</v>
      </c>
      <c r="I303" s="2">
        <v>3.8824999999999998</v>
      </c>
      <c r="J303" s="2">
        <v>15.242100000000001</v>
      </c>
      <c r="K303" s="2">
        <v>0.30909999999999999</v>
      </c>
      <c r="L303" s="2">
        <v>14.636100000000001</v>
      </c>
      <c r="M303" s="2">
        <v>15.848100000000001</v>
      </c>
      <c r="O303" t="str">
        <f t="shared" si="71"/>
        <v>15.24 (14.64 to 15.85)</v>
      </c>
    </row>
    <row r="304" spans="1:18" ht="17.25" thickBot="1" x14ac:dyDescent="0.35">
      <c r="A304" s="6"/>
      <c r="B304" s="11" t="s">
        <v>153</v>
      </c>
      <c r="C304" s="2">
        <v>17163</v>
      </c>
      <c r="D304" s="2">
        <v>7395788</v>
      </c>
      <c r="E304" s="2">
        <v>81488</v>
      </c>
      <c r="F304" s="2">
        <v>24.447299999999998</v>
      </c>
      <c r="G304" s="2">
        <v>0.19470000000000001</v>
      </c>
      <c r="H304" s="2">
        <v>24.0655</v>
      </c>
      <c r="I304" s="2">
        <v>24.8291</v>
      </c>
      <c r="J304" s="2">
        <v>100</v>
      </c>
      <c r="K304" s="2"/>
      <c r="L304" s="2"/>
      <c r="M304" s="2"/>
    </row>
    <row r="305" spans="1:18" ht="17.25" thickBot="1" x14ac:dyDescent="0.35">
      <c r="A305" s="6">
        <v>4</v>
      </c>
      <c r="B305" s="11">
        <v>0</v>
      </c>
      <c r="C305" s="2">
        <v>14645</v>
      </c>
      <c r="D305" s="2">
        <v>6672762</v>
      </c>
      <c r="E305" s="2">
        <v>76669</v>
      </c>
      <c r="F305" s="2">
        <v>22.057300000000001</v>
      </c>
      <c r="G305" s="2">
        <v>0.19989999999999999</v>
      </c>
      <c r="H305" s="2">
        <v>21.665400000000002</v>
      </c>
      <c r="I305" s="2">
        <v>22.449300000000001</v>
      </c>
      <c r="J305" s="2">
        <v>83.181799999999996</v>
      </c>
      <c r="K305" s="2">
        <v>0.33129999999999998</v>
      </c>
      <c r="L305" s="2">
        <v>82.532200000000003</v>
      </c>
      <c r="M305" s="2">
        <v>83.831400000000002</v>
      </c>
      <c r="O305" t="str">
        <f t="shared" ref="O305:O306" si="72">TEXT(J305,"0.00")&amp;" ("&amp;TEXT(L305,"0.00")&amp;" to "&amp;TEXT(M305,"0.00")&amp;")"</f>
        <v>83.18 (82.53 to 83.83)</v>
      </c>
    </row>
    <row r="306" spans="1:18" ht="17.25" thickBot="1" x14ac:dyDescent="0.35">
      <c r="A306" s="6"/>
      <c r="B306" s="11">
        <v>1</v>
      </c>
      <c r="C306" s="2">
        <v>3401</v>
      </c>
      <c r="D306" s="2">
        <v>1349139</v>
      </c>
      <c r="E306" s="2">
        <v>29432</v>
      </c>
      <c r="F306" s="2">
        <v>4.4596999999999998</v>
      </c>
      <c r="G306" s="2">
        <v>9.3799999999999994E-2</v>
      </c>
      <c r="H306" s="2">
        <v>4.2756999999999996</v>
      </c>
      <c r="I306" s="2">
        <v>4.6436000000000002</v>
      </c>
      <c r="J306" s="2">
        <v>16.818200000000001</v>
      </c>
      <c r="K306" s="2">
        <v>0.33129999999999998</v>
      </c>
      <c r="L306" s="2">
        <v>16.168600000000001</v>
      </c>
      <c r="M306" s="2">
        <v>17.4678</v>
      </c>
      <c r="O306" t="str">
        <f t="shared" si="72"/>
        <v>16.82 (16.17 to 17.47)</v>
      </c>
    </row>
    <row r="307" spans="1:18" ht="17.25" thickBot="1" x14ac:dyDescent="0.35">
      <c r="A307" s="6"/>
      <c r="B307" s="11" t="s">
        <v>153</v>
      </c>
      <c r="C307" s="2">
        <v>18046</v>
      </c>
      <c r="D307" s="2">
        <v>8021901</v>
      </c>
      <c r="E307" s="2">
        <v>84668</v>
      </c>
      <c r="F307" s="2">
        <v>26.516999999999999</v>
      </c>
      <c r="G307" s="2">
        <v>0.21260000000000001</v>
      </c>
      <c r="H307" s="2">
        <v>26.100100000000001</v>
      </c>
      <c r="I307" s="2">
        <v>26.933800000000002</v>
      </c>
      <c r="J307" s="2">
        <v>100</v>
      </c>
      <c r="K307" s="2"/>
      <c r="L307" s="2"/>
      <c r="M307" s="2"/>
    </row>
    <row r="308" spans="1:18" ht="17.25" thickBot="1" x14ac:dyDescent="0.35">
      <c r="A308" s="6" t="s">
        <v>153</v>
      </c>
      <c r="B308" s="11">
        <v>0</v>
      </c>
      <c r="C308" s="2">
        <v>58467</v>
      </c>
      <c r="D308" s="2">
        <v>26457207</v>
      </c>
      <c r="E308" s="2">
        <v>211261</v>
      </c>
      <c r="F308" s="2">
        <v>87.456199999999995</v>
      </c>
      <c r="G308" s="2">
        <v>0.1542</v>
      </c>
      <c r="H308" s="2">
        <v>87.153800000000004</v>
      </c>
      <c r="I308" s="2">
        <v>87.758700000000005</v>
      </c>
      <c r="J308" s="2"/>
      <c r="K308" s="2"/>
      <c r="L308" s="2"/>
      <c r="M308" s="2"/>
    </row>
    <row r="309" spans="1:18" ht="17.25" thickBot="1" x14ac:dyDescent="0.35">
      <c r="A309" s="6"/>
      <c r="B309" s="11">
        <v>1</v>
      </c>
      <c r="C309" s="2">
        <v>10168</v>
      </c>
      <c r="D309" s="2">
        <v>3794729</v>
      </c>
      <c r="E309" s="2">
        <v>51502</v>
      </c>
      <c r="F309" s="2">
        <v>12.543799999999999</v>
      </c>
      <c r="G309" s="2">
        <v>0.1542</v>
      </c>
      <c r="H309" s="2">
        <v>12.241300000000001</v>
      </c>
      <c r="I309" s="2">
        <v>12.8462</v>
      </c>
      <c r="J309" s="2"/>
      <c r="K309" s="2"/>
      <c r="L309" s="2"/>
      <c r="M309" s="2"/>
    </row>
    <row r="310" spans="1:18" x14ac:dyDescent="0.3">
      <c r="A310" s="6"/>
      <c r="B310" s="14" t="s">
        <v>153</v>
      </c>
      <c r="C310" s="2">
        <v>68635</v>
      </c>
      <c r="D310" s="2">
        <v>30251936</v>
      </c>
      <c r="E310" s="2">
        <v>228758</v>
      </c>
      <c r="F310" s="2">
        <v>100</v>
      </c>
      <c r="G310" s="2"/>
      <c r="H310" s="2"/>
      <c r="I310" s="2"/>
      <c r="J310" s="2"/>
      <c r="K310" s="2"/>
      <c r="L310" s="2"/>
      <c r="M310" s="2"/>
    </row>
    <row r="311" spans="1:18" ht="17.25" thickBot="1" x14ac:dyDescent="0.35"/>
    <row r="312" spans="1:18" ht="16.5" customHeight="1" x14ac:dyDescent="0.3">
      <c r="A312" s="16" t="s">
        <v>217</v>
      </c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</row>
    <row r="313" spans="1:18" ht="33" customHeight="1" x14ac:dyDescent="0.3">
      <c r="A313" s="17" t="s">
        <v>60</v>
      </c>
      <c r="B313" s="19" t="s">
        <v>18</v>
      </c>
      <c r="C313" s="19" t="s">
        <v>146</v>
      </c>
      <c r="D313" s="3" t="s">
        <v>147</v>
      </c>
      <c r="E313" s="3" t="s">
        <v>148</v>
      </c>
      <c r="F313" s="19" t="s">
        <v>150</v>
      </c>
      <c r="G313" s="3" t="s">
        <v>148</v>
      </c>
      <c r="H313" s="19" t="s">
        <v>151</v>
      </c>
      <c r="I313" s="19"/>
      <c r="J313" s="3" t="s">
        <v>170</v>
      </c>
      <c r="K313" s="3" t="s">
        <v>148</v>
      </c>
      <c r="L313" s="19" t="s">
        <v>151</v>
      </c>
      <c r="M313" s="19"/>
    </row>
    <row r="314" spans="1:18" ht="33" x14ac:dyDescent="0.3">
      <c r="A314" s="17"/>
      <c r="B314" s="19"/>
      <c r="C314" s="19"/>
      <c r="D314" s="3" t="s">
        <v>146</v>
      </c>
      <c r="E314" s="3" t="s">
        <v>149</v>
      </c>
      <c r="F314" s="19"/>
      <c r="G314" s="3" t="s">
        <v>150</v>
      </c>
      <c r="H314" s="19" t="s">
        <v>152</v>
      </c>
      <c r="I314" s="19"/>
      <c r="J314" s="3" t="s">
        <v>150</v>
      </c>
      <c r="K314" s="3" t="s">
        <v>171</v>
      </c>
      <c r="L314" s="19" t="s">
        <v>172</v>
      </c>
      <c r="M314" s="19"/>
    </row>
    <row r="315" spans="1:18" ht="17.25" thickBot="1" x14ac:dyDescent="0.35">
      <c r="A315" s="6">
        <v>1</v>
      </c>
      <c r="B315" s="11">
        <v>0</v>
      </c>
      <c r="C315" s="2">
        <v>16488</v>
      </c>
      <c r="D315" s="2">
        <v>7416727</v>
      </c>
      <c r="E315" s="2">
        <v>86884</v>
      </c>
      <c r="F315" s="2">
        <v>24.516500000000001</v>
      </c>
      <c r="G315" s="2">
        <v>0.21010000000000001</v>
      </c>
      <c r="H315" s="2">
        <v>24.104600000000001</v>
      </c>
      <c r="I315" s="2">
        <v>24.9285</v>
      </c>
      <c r="J315" s="2">
        <v>99.250299999999996</v>
      </c>
      <c r="K315" s="2">
        <v>7.2700000000000001E-2</v>
      </c>
      <c r="L315" s="2">
        <v>99.107900000000001</v>
      </c>
      <c r="M315" s="2">
        <v>99.392799999999994</v>
      </c>
      <c r="O315" t="str">
        <f t="shared" ref="O315:O316" si="73">TEXT(J315,"0.00")&amp;" ("&amp;TEXT(L315,"0.00")&amp;" to "&amp;TEXT(M315,"0.00")&amp;")"</f>
        <v>99.25 (99.11 to 99.39)</v>
      </c>
      <c r="P315" t="str">
        <f>O318</f>
        <v>98.85 (98.68 to 99.01)</v>
      </c>
      <c r="Q315" t="str">
        <f>O321</f>
        <v>98.18 (97.97 to 98.39)</v>
      </c>
      <c r="R315" t="str">
        <f>O324</f>
        <v>98.29 (98.10 to 98.49)</v>
      </c>
    </row>
    <row r="316" spans="1:18" ht="17.25" thickBot="1" x14ac:dyDescent="0.35">
      <c r="A316" s="6"/>
      <c r="B316" s="11">
        <v>1</v>
      </c>
      <c r="C316" s="2">
        <v>159</v>
      </c>
      <c r="D316" s="2">
        <v>56020</v>
      </c>
      <c r="E316" s="2">
        <v>5410</v>
      </c>
      <c r="F316" s="2">
        <v>0.1852</v>
      </c>
      <c r="G316" s="2">
        <v>1.7899999999999999E-2</v>
      </c>
      <c r="H316" s="2">
        <v>0.15010000000000001</v>
      </c>
      <c r="I316" s="2">
        <v>0.2203</v>
      </c>
      <c r="J316" s="2">
        <v>0.74970000000000003</v>
      </c>
      <c r="K316" s="2">
        <v>7.2700000000000001E-2</v>
      </c>
      <c r="L316" s="2">
        <v>0.60719999999999996</v>
      </c>
      <c r="M316" s="2">
        <v>0.8921</v>
      </c>
      <c r="O316" t="str">
        <f t="shared" si="73"/>
        <v>0.75 (0.61 to 0.89)</v>
      </c>
      <c r="P316" t="str">
        <f>O319</f>
        <v>1.15 (0.99 to 1.32)</v>
      </c>
      <c r="Q316" t="str">
        <f>O322</f>
        <v>1.82 (1.61 to 2.03)</v>
      </c>
      <c r="R316" t="str">
        <f>O325</f>
        <v>1.71 (1.51 to 1.90)</v>
      </c>
    </row>
    <row r="317" spans="1:18" ht="17.25" thickBot="1" x14ac:dyDescent="0.35">
      <c r="A317" s="6"/>
      <c r="B317" s="11" t="s">
        <v>153</v>
      </c>
      <c r="C317" s="2">
        <v>16647</v>
      </c>
      <c r="D317" s="2">
        <v>7472748</v>
      </c>
      <c r="E317" s="2">
        <v>86882</v>
      </c>
      <c r="F317" s="2">
        <v>24.701699999999999</v>
      </c>
      <c r="G317" s="2">
        <v>0.20949999999999999</v>
      </c>
      <c r="H317" s="2">
        <v>24.290900000000001</v>
      </c>
      <c r="I317" s="2">
        <v>25.1126</v>
      </c>
      <c r="J317" s="2">
        <v>100</v>
      </c>
      <c r="K317" s="2"/>
      <c r="L317" s="2"/>
      <c r="M317" s="2"/>
    </row>
    <row r="318" spans="1:18" ht="17.25" thickBot="1" x14ac:dyDescent="0.35">
      <c r="A318" s="6">
        <v>2</v>
      </c>
      <c r="B318" s="11">
        <v>0</v>
      </c>
      <c r="C318" s="2">
        <v>16504</v>
      </c>
      <c r="D318" s="2">
        <v>7276686</v>
      </c>
      <c r="E318" s="2">
        <v>83484</v>
      </c>
      <c r="F318" s="2">
        <v>24.053599999999999</v>
      </c>
      <c r="G318" s="2">
        <v>0.2001</v>
      </c>
      <c r="H318" s="2">
        <v>23.661200000000001</v>
      </c>
      <c r="I318" s="2">
        <v>24.446100000000001</v>
      </c>
      <c r="J318" s="2">
        <v>98.847899999999996</v>
      </c>
      <c r="K318" s="2">
        <v>8.4199999999999997E-2</v>
      </c>
      <c r="L318" s="2">
        <v>98.6828</v>
      </c>
      <c r="M318" s="2">
        <v>99.013000000000005</v>
      </c>
      <c r="O318" t="str">
        <f t="shared" ref="O318:O319" si="74">TEXT(J318,"0.00")&amp;" ("&amp;TEXT(L318,"0.00")&amp;" to "&amp;TEXT(M318,"0.00")&amp;")"</f>
        <v>98.85 (98.68 to 99.01)</v>
      </c>
    </row>
    <row r="319" spans="1:18" ht="17.25" thickBot="1" x14ac:dyDescent="0.35">
      <c r="A319" s="6"/>
      <c r="B319" s="11">
        <v>1</v>
      </c>
      <c r="C319" s="2">
        <v>275</v>
      </c>
      <c r="D319" s="2">
        <v>84813</v>
      </c>
      <c r="E319" s="2">
        <v>6194</v>
      </c>
      <c r="F319" s="2">
        <v>0.28039999999999998</v>
      </c>
      <c r="G319" s="2">
        <v>2.06E-2</v>
      </c>
      <c r="H319" s="2">
        <v>0.24010000000000001</v>
      </c>
      <c r="I319" s="2">
        <v>0.32069999999999999</v>
      </c>
      <c r="J319" s="2">
        <v>1.1520999999999999</v>
      </c>
      <c r="K319" s="2">
        <v>8.4199999999999997E-2</v>
      </c>
      <c r="L319" s="2">
        <v>0.98699999999999999</v>
      </c>
      <c r="M319" s="2">
        <v>1.3171999999999999</v>
      </c>
      <c r="O319" t="str">
        <f t="shared" si="74"/>
        <v>1.15 (0.99 to 1.32)</v>
      </c>
    </row>
    <row r="320" spans="1:18" ht="17.25" thickBot="1" x14ac:dyDescent="0.35">
      <c r="A320" s="6"/>
      <c r="B320" s="11" t="s">
        <v>153</v>
      </c>
      <c r="C320" s="2">
        <v>16779</v>
      </c>
      <c r="D320" s="2">
        <v>7361499</v>
      </c>
      <c r="E320" s="2">
        <v>83717</v>
      </c>
      <c r="F320" s="2">
        <v>24.334</v>
      </c>
      <c r="G320" s="2">
        <v>0.20080000000000001</v>
      </c>
      <c r="H320" s="2">
        <v>23.940200000000001</v>
      </c>
      <c r="I320" s="2">
        <v>24.727799999999998</v>
      </c>
      <c r="J320" s="2">
        <v>100</v>
      </c>
      <c r="K320" s="2"/>
      <c r="L320" s="2"/>
      <c r="M320" s="2"/>
    </row>
    <row r="321" spans="1:18" ht="17.25" thickBot="1" x14ac:dyDescent="0.35">
      <c r="A321" s="6">
        <v>3</v>
      </c>
      <c r="B321" s="11">
        <v>0</v>
      </c>
      <c r="C321" s="2">
        <v>16744</v>
      </c>
      <c r="D321" s="2">
        <v>7261141</v>
      </c>
      <c r="E321" s="2">
        <v>80731</v>
      </c>
      <c r="F321" s="2">
        <v>24.002199999999998</v>
      </c>
      <c r="G321" s="2">
        <v>0.19359999999999999</v>
      </c>
      <c r="H321" s="2">
        <v>23.622499999999999</v>
      </c>
      <c r="I321" s="2">
        <v>24.381900000000002</v>
      </c>
      <c r="J321" s="2">
        <v>98.179400000000001</v>
      </c>
      <c r="K321" s="2">
        <v>0.10730000000000001</v>
      </c>
      <c r="L321" s="2">
        <v>97.968999999999994</v>
      </c>
      <c r="M321" s="2">
        <v>98.389799999999994</v>
      </c>
      <c r="O321" t="str">
        <f t="shared" ref="O321:O322" si="75">TEXT(J321,"0.00")&amp;" ("&amp;TEXT(L321,"0.00")&amp;" to "&amp;TEXT(M321,"0.00")&amp;")"</f>
        <v>98.18 (97.97 to 98.39)</v>
      </c>
    </row>
    <row r="322" spans="1:18" ht="17.25" thickBot="1" x14ac:dyDescent="0.35">
      <c r="A322" s="6"/>
      <c r="B322" s="11">
        <v>1</v>
      </c>
      <c r="C322" s="2">
        <v>419</v>
      </c>
      <c r="D322" s="2">
        <v>134646</v>
      </c>
      <c r="E322" s="2">
        <v>8013</v>
      </c>
      <c r="F322" s="2">
        <v>0.4451</v>
      </c>
      <c r="G322" s="2">
        <v>2.64E-2</v>
      </c>
      <c r="H322" s="2">
        <v>0.39340000000000003</v>
      </c>
      <c r="I322" s="2">
        <v>0.49680000000000002</v>
      </c>
      <c r="J322" s="2">
        <v>1.8206</v>
      </c>
      <c r="K322" s="2">
        <v>0.10730000000000001</v>
      </c>
      <c r="L322" s="2">
        <v>1.6102000000000001</v>
      </c>
      <c r="M322" s="2">
        <v>2.0310000000000001</v>
      </c>
      <c r="O322" t="str">
        <f t="shared" si="75"/>
        <v>1.82 (1.61 to 2.03)</v>
      </c>
    </row>
    <row r="323" spans="1:18" ht="17.25" thickBot="1" x14ac:dyDescent="0.35">
      <c r="A323" s="6"/>
      <c r="B323" s="11" t="s">
        <v>153</v>
      </c>
      <c r="C323" s="2">
        <v>17163</v>
      </c>
      <c r="D323" s="2">
        <v>7395788</v>
      </c>
      <c r="E323" s="2">
        <v>81488</v>
      </c>
      <c r="F323" s="2">
        <v>24.447299999999998</v>
      </c>
      <c r="G323" s="2">
        <v>0.19470000000000001</v>
      </c>
      <c r="H323" s="2">
        <v>24.0655</v>
      </c>
      <c r="I323" s="2">
        <v>24.8291</v>
      </c>
      <c r="J323" s="2">
        <v>100</v>
      </c>
      <c r="K323" s="2"/>
      <c r="L323" s="2"/>
      <c r="M323" s="2"/>
    </row>
    <row r="324" spans="1:18" ht="17.25" thickBot="1" x14ac:dyDescent="0.35">
      <c r="A324" s="6">
        <v>4</v>
      </c>
      <c r="B324" s="11">
        <v>0</v>
      </c>
      <c r="C324" s="2">
        <v>17608</v>
      </c>
      <c r="D324" s="2">
        <v>7884768</v>
      </c>
      <c r="E324" s="2">
        <v>84241</v>
      </c>
      <c r="F324" s="2">
        <v>26.063700000000001</v>
      </c>
      <c r="G324" s="2">
        <v>0.2114</v>
      </c>
      <c r="H324" s="2">
        <v>25.6492</v>
      </c>
      <c r="I324" s="2">
        <v>26.478200000000001</v>
      </c>
      <c r="J324" s="2">
        <v>98.290499999999994</v>
      </c>
      <c r="K324" s="2">
        <v>9.9599999999999994E-2</v>
      </c>
      <c r="L324" s="2">
        <v>98.095200000000006</v>
      </c>
      <c r="M324" s="2">
        <v>98.485799999999998</v>
      </c>
      <c r="O324" t="str">
        <f t="shared" ref="O324:O325" si="76">TEXT(J324,"0.00")&amp;" ("&amp;TEXT(L324,"0.00")&amp;" to "&amp;TEXT(M324,"0.00")&amp;")"</f>
        <v>98.29 (98.10 to 98.49)</v>
      </c>
    </row>
    <row r="325" spans="1:18" ht="17.25" thickBot="1" x14ac:dyDescent="0.35">
      <c r="A325" s="6"/>
      <c r="B325" s="11">
        <v>1</v>
      </c>
      <c r="C325" s="2">
        <v>438</v>
      </c>
      <c r="D325" s="2">
        <v>137133</v>
      </c>
      <c r="E325" s="2">
        <v>8005</v>
      </c>
      <c r="F325" s="2">
        <v>0.45329999999999998</v>
      </c>
      <c r="G325" s="2">
        <v>2.6599999999999999E-2</v>
      </c>
      <c r="H325" s="2">
        <v>0.4012</v>
      </c>
      <c r="I325" s="2">
        <v>0.50539999999999996</v>
      </c>
      <c r="J325" s="2">
        <v>1.7095</v>
      </c>
      <c r="K325" s="2">
        <v>9.9599999999999994E-2</v>
      </c>
      <c r="L325" s="2">
        <v>1.5142</v>
      </c>
      <c r="M325" s="2">
        <v>1.9048</v>
      </c>
      <c r="O325" t="str">
        <f t="shared" si="76"/>
        <v>1.71 (1.51 to 1.90)</v>
      </c>
    </row>
    <row r="326" spans="1:18" ht="17.25" thickBot="1" x14ac:dyDescent="0.35">
      <c r="A326" s="6"/>
      <c r="B326" s="11" t="s">
        <v>153</v>
      </c>
      <c r="C326" s="2">
        <v>18046</v>
      </c>
      <c r="D326" s="2">
        <v>8021901</v>
      </c>
      <c r="E326" s="2">
        <v>84668</v>
      </c>
      <c r="F326" s="2">
        <v>26.516999999999999</v>
      </c>
      <c r="G326" s="2">
        <v>0.21260000000000001</v>
      </c>
      <c r="H326" s="2">
        <v>26.100100000000001</v>
      </c>
      <c r="I326" s="2">
        <v>26.933800000000002</v>
      </c>
      <c r="J326" s="2">
        <v>100</v>
      </c>
      <c r="K326" s="2"/>
      <c r="L326" s="2"/>
      <c r="M326" s="2"/>
    </row>
    <row r="327" spans="1:18" ht="17.25" thickBot="1" x14ac:dyDescent="0.35">
      <c r="A327" s="6" t="s">
        <v>153</v>
      </c>
      <c r="B327" s="11">
        <v>0</v>
      </c>
      <c r="C327" s="2">
        <v>67344</v>
      </c>
      <c r="D327" s="2">
        <v>29839323</v>
      </c>
      <c r="E327" s="2">
        <v>227888</v>
      </c>
      <c r="F327" s="2">
        <v>98.636099999999999</v>
      </c>
      <c r="G327" s="2">
        <v>4.7500000000000001E-2</v>
      </c>
      <c r="H327" s="2">
        <v>98.543000000000006</v>
      </c>
      <c r="I327" s="2">
        <v>98.729200000000006</v>
      </c>
      <c r="J327" s="2"/>
      <c r="K327" s="2"/>
      <c r="L327" s="2"/>
      <c r="M327" s="2"/>
    </row>
    <row r="328" spans="1:18" ht="17.25" thickBot="1" x14ac:dyDescent="0.35">
      <c r="A328" s="6"/>
      <c r="B328" s="11">
        <v>1</v>
      </c>
      <c r="C328" s="2">
        <v>1291</v>
      </c>
      <c r="D328" s="2">
        <v>412612</v>
      </c>
      <c r="E328" s="2">
        <v>14314</v>
      </c>
      <c r="F328" s="2">
        <v>1.3638999999999999</v>
      </c>
      <c r="G328" s="2">
        <v>4.7500000000000001E-2</v>
      </c>
      <c r="H328" s="2">
        <v>1.2707999999999999</v>
      </c>
      <c r="I328" s="2">
        <v>1.4570000000000001</v>
      </c>
      <c r="J328" s="2"/>
      <c r="K328" s="2"/>
      <c r="L328" s="2"/>
      <c r="M328" s="2"/>
    </row>
    <row r="329" spans="1:18" x14ac:dyDescent="0.3">
      <c r="A329" s="6"/>
      <c r="B329" s="14" t="s">
        <v>153</v>
      </c>
      <c r="C329" s="2">
        <v>68635</v>
      </c>
      <c r="D329" s="2">
        <v>30251936</v>
      </c>
      <c r="E329" s="2">
        <v>228758</v>
      </c>
      <c r="F329" s="2">
        <v>100</v>
      </c>
      <c r="G329" s="2"/>
      <c r="H329" s="2"/>
      <c r="I329" s="2"/>
      <c r="J329" s="2"/>
      <c r="K329" s="2"/>
      <c r="L329" s="2"/>
      <c r="M329" s="2"/>
    </row>
    <row r="330" spans="1:18" ht="17.25" thickBot="1" x14ac:dyDescent="0.35"/>
    <row r="331" spans="1:18" ht="16.5" customHeight="1" x14ac:dyDescent="0.3">
      <c r="A331" s="16" t="s">
        <v>218</v>
      </c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</row>
    <row r="332" spans="1:18" ht="33" customHeight="1" x14ac:dyDescent="0.3">
      <c r="A332" s="17" t="s">
        <v>60</v>
      </c>
      <c r="B332" s="19" t="s">
        <v>19</v>
      </c>
      <c r="C332" s="19" t="s">
        <v>146</v>
      </c>
      <c r="D332" s="3" t="s">
        <v>147</v>
      </c>
      <c r="E332" s="3" t="s">
        <v>148</v>
      </c>
      <c r="F332" s="19" t="s">
        <v>150</v>
      </c>
      <c r="G332" s="3" t="s">
        <v>148</v>
      </c>
      <c r="H332" s="19" t="s">
        <v>151</v>
      </c>
      <c r="I332" s="19"/>
      <c r="J332" s="3" t="s">
        <v>170</v>
      </c>
      <c r="K332" s="3" t="s">
        <v>148</v>
      </c>
      <c r="L332" s="19" t="s">
        <v>151</v>
      </c>
      <c r="M332" s="19"/>
    </row>
    <row r="333" spans="1:18" ht="33" x14ac:dyDescent="0.3">
      <c r="A333" s="17"/>
      <c r="B333" s="19"/>
      <c r="C333" s="19"/>
      <c r="D333" s="3" t="s">
        <v>146</v>
      </c>
      <c r="E333" s="3" t="s">
        <v>149</v>
      </c>
      <c r="F333" s="19"/>
      <c r="G333" s="3" t="s">
        <v>150</v>
      </c>
      <c r="H333" s="19" t="s">
        <v>152</v>
      </c>
      <c r="I333" s="19"/>
      <c r="J333" s="3" t="s">
        <v>150</v>
      </c>
      <c r="K333" s="3" t="s">
        <v>171</v>
      </c>
      <c r="L333" s="19" t="s">
        <v>172</v>
      </c>
      <c r="M333" s="19"/>
    </row>
    <row r="334" spans="1:18" ht="17.25" thickBot="1" x14ac:dyDescent="0.35">
      <c r="A334" s="6">
        <v>1</v>
      </c>
      <c r="B334" s="11">
        <v>0</v>
      </c>
      <c r="C334" s="2">
        <v>16563</v>
      </c>
      <c r="D334" s="2">
        <v>7448476</v>
      </c>
      <c r="E334" s="2">
        <v>86837</v>
      </c>
      <c r="F334" s="2">
        <v>24.621500000000001</v>
      </c>
      <c r="G334" s="2">
        <v>0.20960000000000001</v>
      </c>
      <c r="H334" s="2">
        <v>24.210599999999999</v>
      </c>
      <c r="I334" s="2">
        <v>25.032399999999999</v>
      </c>
      <c r="J334" s="2">
        <v>99.675200000000004</v>
      </c>
      <c r="K334" s="2">
        <v>4.1399999999999999E-2</v>
      </c>
      <c r="L334" s="2">
        <v>99.593999999999994</v>
      </c>
      <c r="M334" s="2">
        <v>99.756399999999999</v>
      </c>
      <c r="O334" t="str">
        <f t="shared" ref="O334:O335" si="77">TEXT(J334,"0.00")&amp;" ("&amp;TEXT(L334,"0.00")&amp;" to "&amp;TEXT(M334,"0.00")&amp;")"</f>
        <v>99.68 (99.59 to 99.76)</v>
      </c>
      <c r="P334" t="str">
        <f>O337</f>
        <v>99.40 (99.28 to 99.51)</v>
      </c>
      <c r="Q334" t="str">
        <f>O340</f>
        <v>99.17 (99.03 to 99.31)</v>
      </c>
      <c r="R334" t="str">
        <f>O343</f>
        <v>99.08 (98.94 to 99.23)</v>
      </c>
    </row>
    <row r="335" spans="1:18" ht="17.25" thickBot="1" x14ac:dyDescent="0.35">
      <c r="A335" s="6"/>
      <c r="B335" s="11">
        <v>1</v>
      </c>
      <c r="C335" s="2">
        <v>84</v>
      </c>
      <c r="D335" s="2">
        <v>24272</v>
      </c>
      <c r="E335" s="2">
        <v>3090</v>
      </c>
      <c r="F335" s="2">
        <v>8.0199999999999994E-2</v>
      </c>
      <c r="G335" s="2">
        <v>1.0200000000000001E-2</v>
      </c>
      <c r="H335" s="2">
        <v>6.0199999999999997E-2</v>
      </c>
      <c r="I335" s="2">
        <v>0.1003</v>
      </c>
      <c r="J335" s="2">
        <v>0.32479999999999998</v>
      </c>
      <c r="K335" s="2">
        <v>4.1399999999999999E-2</v>
      </c>
      <c r="L335" s="2">
        <v>0.24360000000000001</v>
      </c>
      <c r="M335" s="2">
        <v>0.40600000000000003</v>
      </c>
      <c r="O335" t="str">
        <f t="shared" si="77"/>
        <v>0.32 (0.24 to 0.41)</v>
      </c>
      <c r="P335" t="str">
        <f>O338</f>
        <v>0.60 (0.49 to 0.72)</v>
      </c>
      <c r="Q335" t="str">
        <f>O341</f>
        <v>0.83 (0.69 to 0.97)</v>
      </c>
      <c r="R335" t="str">
        <f>O344</f>
        <v>0.92 (0.77 to 1.06)</v>
      </c>
    </row>
    <row r="336" spans="1:18" ht="17.25" thickBot="1" x14ac:dyDescent="0.35">
      <c r="A336" s="6"/>
      <c r="B336" s="11" t="s">
        <v>153</v>
      </c>
      <c r="C336" s="2">
        <v>16647</v>
      </c>
      <c r="D336" s="2">
        <v>7472748</v>
      </c>
      <c r="E336" s="2">
        <v>86882</v>
      </c>
      <c r="F336" s="2">
        <v>24.701699999999999</v>
      </c>
      <c r="G336" s="2">
        <v>0.20949999999999999</v>
      </c>
      <c r="H336" s="2">
        <v>24.290900000000001</v>
      </c>
      <c r="I336" s="2">
        <v>25.1126</v>
      </c>
      <c r="J336" s="2">
        <v>100</v>
      </c>
      <c r="K336" s="2"/>
      <c r="L336" s="2"/>
      <c r="M336" s="2"/>
    </row>
    <row r="337" spans="1:15" ht="17.25" thickBot="1" x14ac:dyDescent="0.35">
      <c r="A337" s="6">
        <v>2</v>
      </c>
      <c r="B337" s="11">
        <v>0</v>
      </c>
      <c r="C337" s="2">
        <v>16629</v>
      </c>
      <c r="D337" s="2">
        <v>7316986</v>
      </c>
      <c r="E337" s="2">
        <v>83510</v>
      </c>
      <c r="F337" s="2">
        <v>24.186800000000002</v>
      </c>
      <c r="G337" s="2">
        <v>0.2006</v>
      </c>
      <c r="H337" s="2">
        <v>23.793600000000001</v>
      </c>
      <c r="I337" s="2">
        <v>24.580100000000002</v>
      </c>
      <c r="J337" s="2">
        <v>99.395300000000006</v>
      </c>
      <c r="K337" s="2">
        <v>5.79E-2</v>
      </c>
      <c r="L337" s="2">
        <v>99.281700000000001</v>
      </c>
      <c r="M337" s="2">
        <v>99.509</v>
      </c>
      <c r="O337" t="str">
        <f t="shared" ref="O337:O338" si="78">TEXT(J337,"0.00")&amp;" ("&amp;TEXT(L337,"0.00")&amp;" to "&amp;TEXT(M337,"0.00")&amp;")"</f>
        <v>99.40 (99.28 to 99.51)</v>
      </c>
    </row>
    <row r="338" spans="1:15" ht="17.25" thickBot="1" x14ac:dyDescent="0.35">
      <c r="A338" s="6"/>
      <c r="B338" s="11">
        <v>1</v>
      </c>
      <c r="C338" s="2">
        <v>150</v>
      </c>
      <c r="D338" s="2">
        <v>44513</v>
      </c>
      <c r="E338" s="2">
        <v>4273</v>
      </c>
      <c r="F338" s="2">
        <v>0.14710000000000001</v>
      </c>
      <c r="G338" s="2">
        <v>1.41E-2</v>
      </c>
      <c r="H338" s="2">
        <v>0.1195</v>
      </c>
      <c r="I338" s="2">
        <v>0.17480000000000001</v>
      </c>
      <c r="J338" s="2">
        <v>0.60470000000000002</v>
      </c>
      <c r="K338" s="2">
        <v>5.79E-2</v>
      </c>
      <c r="L338" s="2">
        <v>0.49099999999999999</v>
      </c>
      <c r="M338" s="2">
        <v>0.71830000000000005</v>
      </c>
      <c r="O338" t="str">
        <f t="shared" si="78"/>
        <v>0.60 (0.49 to 0.72)</v>
      </c>
    </row>
    <row r="339" spans="1:15" ht="17.25" thickBot="1" x14ac:dyDescent="0.35">
      <c r="A339" s="6"/>
      <c r="B339" s="11" t="s">
        <v>153</v>
      </c>
      <c r="C339" s="2">
        <v>16779</v>
      </c>
      <c r="D339" s="2">
        <v>7361499</v>
      </c>
      <c r="E339" s="2">
        <v>83717</v>
      </c>
      <c r="F339" s="2">
        <v>24.334</v>
      </c>
      <c r="G339" s="2">
        <v>0.20080000000000001</v>
      </c>
      <c r="H339" s="2">
        <v>23.940200000000001</v>
      </c>
      <c r="I339" s="2">
        <v>24.727799999999998</v>
      </c>
      <c r="J339" s="2">
        <v>100</v>
      </c>
      <c r="K339" s="2"/>
      <c r="L339" s="2"/>
      <c r="M339" s="2"/>
    </row>
    <row r="340" spans="1:15" ht="17.25" thickBot="1" x14ac:dyDescent="0.35">
      <c r="A340" s="6">
        <v>3</v>
      </c>
      <c r="B340" s="11">
        <v>0</v>
      </c>
      <c r="C340" s="2">
        <v>16976</v>
      </c>
      <c r="D340" s="2">
        <v>7334120</v>
      </c>
      <c r="E340" s="2">
        <v>80978</v>
      </c>
      <c r="F340" s="2">
        <v>24.243500000000001</v>
      </c>
      <c r="G340" s="2">
        <v>0.19359999999999999</v>
      </c>
      <c r="H340" s="2">
        <v>23.863900000000001</v>
      </c>
      <c r="I340" s="2">
        <v>24.623000000000001</v>
      </c>
      <c r="J340" s="2">
        <v>99.166200000000003</v>
      </c>
      <c r="K340" s="2">
        <v>7.17E-2</v>
      </c>
      <c r="L340" s="2">
        <v>99.025599999999997</v>
      </c>
      <c r="M340" s="2">
        <v>99.306799999999996</v>
      </c>
      <c r="O340" t="str">
        <f t="shared" ref="O340:O341" si="79">TEXT(J340,"0.00")&amp;" ("&amp;TEXT(L340,"0.00")&amp;" to "&amp;TEXT(M340,"0.00")&amp;")"</f>
        <v>99.17 (99.03 to 99.31)</v>
      </c>
    </row>
    <row r="341" spans="1:15" ht="17.25" thickBot="1" x14ac:dyDescent="0.35">
      <c r="A341" s="6"/>
      <c r="B341" s="11">
        <v>1</v>
      </c>
      <c r="C341" s="2">
        <v>187</v>
      </c>
      <c r="D341" s="2">
        <v>61668</v>
      </c>
      <c r="E341" s="2">
        <v>5347</v>
      </c>
      <c r="F341" s="2">
        <v>0.20380000000000001</v>
      </c>
      <c r="G341" s="2">
        <v>1.7600000000000001E-2</v>
      </c>
      <c r="H341" s="2">
        <v>0.16930000000000001</v>
      </c>
      <c r="I341" s="2">
        <v>0.2384</v>
      </c>
      <c r="J341" s="2">
        <v>0.83379999999999999</v>
      </c>
      <c r="K341" s="2">
        <v>7.17E-2</v>
      </c>
      <c r="L341" s="2">
        <v>0.69320000000000004</v>
      </c>
      <c r="M341" s="2">
        <v>0.97440000000000004</v>
      </c>
      <c r="O341" t="str">
        <f t="shared" si="79"/>
        <v>0.83 (0.69 to 0.97)</v>
      </c>
    </row>
    <row r="342" spans="1:15" ht="17.25" thickBot="1" x14ac:dyDescent="0.35">
      <c r="A342" s="6"/>
      <c r="B342" s="11" t="s">
        <v>153</v>
      </c>
      <c r="C342" s="2">
        <v>17163</v>
      </c>
      <c r="D342" s="2">
        <v>7395788</v>
      </c>
      <c r="E342" s="2">
        <v>81488</v>
      </c>
      <c r="F342" s="2">
        <v>24.447299999999998</v>
      </c>
      <c r="G342" s="2">
        <v>0.19470000000000001</v>
      </c>
      <c r="H342" s="2">
        <v>24.0655</v>
      </c>
      <c r="I342" s="2">
        <v>24.8291</v>
      </c>
      <c r="J342" s="2">
        <v>100</v>
      </c>
      <c r="K342" s="2"/>
      <c r="L342" s="2"/>
      <c r="M342" s="2"/>
    </row>
    <row r="343" spans="1:15" ht="17.25" thickBot="1" x14ac:dyDescent="0.35">
      <c r="A343" s="6">
        <v>4</v>
      </c>
      <c r="B343" s="11">
        <v>0</v>
      </c>
      <c r="C343" s="2">
        <v>17830</v>
      </c>
      <c r="D343" s="2">
        <v>7948207</v>
      </c>
      <c r="E343" s="2">
        <v>84279</v>
      </c>
      <c r="F343" s="2">
        <v>26.273399999999999</v>
      </c>
      <c r="G343" s="2">
        <v>0.21229999999999999</v>
      </c>
      <c r="H343" s="2">
        <v>25.857099999999999</v>
      </c>
      <c r="I343" s="2">
        <v>26.689699999999998</v>
      </c>
      <c r="J343" s="2">
        <v>99.081299999999999</v>
      </c>
      <c r="K343" s="2">
        <v>7.4499999999999997E-2</v>
      </c>
      <c r="L343" s="2">
        <v>98.935299999999998</v>
      </c>
      <c r="M343" s="2">
        <v>99.2273</v>
      </c>
      <c r="O343" t="str">
        <f t="shared" ref="O343:O344" si="80">TEXT(J343,"0.00")&amp;" ("&amp;TEXT(L343,"0.00")&amp;" to "&amp;TEXT(M343,"0.00")&amp;")"</f>
        <v>99.08 (98.94 to 99.23)</v>
      </c>
    </row>
    <row r="344" spans="1:15" ht="17.25" thickBot="1" x14ac:dyDescent="0.35">
      <c r="A344" s="6"/>
      <c r="B344" s="11">
        <v>1</v>
      </c>
      <c r="C344" s="2">
        <v>216</v>
      </c>
      <c r="D344" s="2">
        <v>73694</v>
      </c>
      <c r="E344" s="2">
        <v>6001</v>
      </c>
      <c r="F344" s="2">
        <v>0.24360000000000001</v>
      </c>
      <c r="G344" s="2">
        <v>1.9800000000000002E-2</v>
      </c>
      <c r="H344" s="2">
        <v>0.20480000000000001</v>
      </c>
      <c r="I344" s="2">
        <v>0.28239999999999998</v>
      </c>
      <c r="J344" s="2">
        <v>0.91869999999999996</v>
      </c>
      <c r="K344" s="2">
        <v>7.4499999999999997E-2</v>
      </c>
      <c r="L344" s="2">
        <v>0.77270000000000005</v>
      </c>
      <c r="M344" s="2">
        <v>1.0647</v>
      </c>
      <c r="O344" t="str">
        <f t="shared" si="80"/>
        <v>0.92 (0.77 to 1.06)</v>
      </c>
    </row>
    <row r="345" spans="1:15" ht="17.25" thickBot="1" x14ac:dyDescent="0.35">
      <c r="A345" s="6"/>
      <c r="B345" s="11" t="s">
        <v>153</v>
      </c>
      <c r="C345" s="2">
        <v>18046</v>
      </c>
      <c r="D345" s="2">
        <v>8021901</v>
      </c>
      <c r="E345" s="2">
        <v>84668</v>
      </c>
      <c r="F345" s="2">
        <v>26.516999999999999</v>
      </c>
      <c r="G345" s="2">
        <v>0.21260000000000001</v>
      </c>
      <c r="H345" s="2">
        <v>26.100100000000001</v>
      </c>
      <c r="I345" s="2">
        <v>26.933800000000002</v>
      </c>
      <c r="J345" s="2">
        <v>100</v>
      </c>
      <c r="K345" s="2"/>
      <c r="L345" s="2"/>
      <c r="M345" s="2"/>
    </row>
    <row r="346" spans="1:15" ht="17.25" thickBot="1" x14ac:dyDescent="0.35">
      <c r="A346" s="6" t="s">
        <v>153</v>
      </c>
      <c r="B346" s="11">
        <v>0</v>
      </c>
      <c r="C346" s="2">
        <v>67998</v>
      </c>
      <c r="D346" s="2">
        <v>30047789</v>
      </c>
      <c r="E346" s="2">
        <v>227796</v>
      </c>
      <c r="F346" s="2">
        <v>99.325199999999995</v>
      </c>
      <c r="G346" s="2">
        <v>3.1699999999999999E-2</v>
      </c>
      <c r="H346" s="2">
        <v>99.263000000000005</v>
      </c>
      <c r="I346" s="2">
        <v>99.387299999999996</v>
      </c>
      <c r="J346" s="2"/>
      <c r="K346" s="2"/>
      <c r="L346" s="2"/>
      <c r="M346" s="2"/>
    </row>
    <row r="347" spans="1:15" ht="17.25" thickBot="1" x14ac:dyDescent="0.35">
      <c r="A347" s="6"/>
      <c r="B347" s="11">
        <v>1</v>
      </c>
      <c r="C347" s="2">
        <v>637</v>
      </c>
      <c r="D347" s="2">
        <v>204146</v>
      </c>
      <c r="E347" s="2">
        <v>9654</v>
      </c>
      <c r="F347" s="2">
        <v>0.67479999999999996</v>
      </c>
      <c r="G347" s="2">
        <v>3.1699999999999999E-2</v>
      </c>
      <c r="H347" s="2">
        <v>0.61270000000000002</v>
      </c>
      <c r="I347" s="2">
        <v>0.73699999999999999</v>
      </c>
      <c r="J347" s="2"/>
      <c r="K347" s="2"/>
      <c r="L347" s="2"/>
      <c r="M347" s="2"/>
    </row>
    <row r="348" spans="1:15" x14ac:dyDescent="0.3">
      <c r="A348" s="6"/>
      <c r="B348" s="14" t="s">
        <v>153</v>
      </c>
      <c r="C348" s="2">
        <v>68635</v>
      </c>
      <c r="D348" s="2">
        <v>30251936</v>
      </c>
      <c r="E348" s="2">
        <v>228758</v>
      </c>
      <c r="F348" s="2">
        <v>100</v>
      </c>
      <c r="G348" s="2"/>
      <c r="H348" s="2"/>
      <c r="I348" s="2"/>
      <c r="J348" s="2"/>
      <c r="K348" s="2"/>
      <c r="L348" s="2"/>
      <c r="M348" s="2"/>
    </row>
    <row r="349" spans="1:15" ht="17.25" thickBot="1" x14ac:dyDescent="0.35"/>
    <row r="350" spans="1:15" ht="16.5" customHeight="1" x14ac:dyDescent="0.3">
      <c r="A350" s="16" t="s">
        <v>219</v>
      </c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</row>
    <row r="351" spans="1:15" ht="33" customHeight="1" x14ac:dyDescent="0.3">
      <c r="A351" s="17" t="s">
        <v>60</v>
      </c>
      <c r="B351" s="19" t="s">
        <v>20</v>
      </c>
      <c r="C351" s="19" t="s">
        <v>146</v>
      </c>
      <c r="D351" s="3" t="s">
        <v>147</v>
      </c>
      <c r="E351" s="3" t="s">
        <v>148</v>
      </c>
      <c r="F351" s="19" t="s">
        <v>150</v>
      </c>
      <c r="G351" s="3" t="s">
        <v>148</v>
      </c>
      <c r="H351" s="19" t="s">
        <v>151</v>
      </c>
      <c r="I351" s="19"/>
      <c r="J351" s="3" t="s">
        <v>170</v>
      </c>
      <c r="K351" s="3" t="s">
        <v>148</v>
      </c>
      <c r="L351" s="19" t="s">
        <v>151</v>
      </c>
      <c r="M351" s="19"/>
    </row>
    <row r="352" spans="1:15" ht="33" x14ac:dyDescent="0.3">
      <c r="A352" s="17"/>
      <c r="B352" s="19"/>
      <c r="C352" s="19"/>
      <c r="D352" s="3" t="s">
        <v>146</v>
      </c>
      <c r="E352" s="3" t="s">
        <v>149</v>
      </c>
      <c r="F352" s="19"/>
      <c r="G352" s="3" t="s">
        <v>150</v>
      </c>
      <c r="H352" s="19" t="s">
        <v>152</v>
      </c>
      <c r="I352" s="19"/>
      <c r="J352" s="3" t="s">
        <v>150</v>
      </c>
      <c r="K352" s="3" t="s">
        <v>171</v>
      </c>
      <c r="L352" s="19" t="s">
        <v>172</v>
      </c>
      <c r="M352" s="19"/>
    </row>
    <row r="353" spans="1:18" ht="17.25" thickBot="1" x14ac:dyDescent="0.35">
      <c r="A353" s="6">
        <v>1</v>
      </c>
      <c r="B353" s="11">
        <v>0</v>
      </c>
      <c r="C353" s="2">
        <v>16465</v>
      </c>
      <c r="D353" s="2">
        <v>7416338</v>
      </c>
      <c r="E353" s="2">
        <v>86585</v>
      </c>
      <c r="F353" s="2">
        <v>24.5153</v>
      </c>
      <c r="G353" s="2">
        <v>0.2087</v>
      </c>
      <c r="H353" s="2">
        <v>24.106000000000002</v>
      </c>
      <c r="I353" s="2">
        <v>24.924499999999998</v>
      </c>
      <c r="J353" s="2">
        <v>99.245099999999994</v>
      </c>
      <c r="K353" s="2">
        <v>6.8699999999999997E-2</v>
      </c>
      <c r="L353" s="2">
        <v>99.110500000000002</v>
      </c>
      <c r="M353" s="2">
        <v>99.3797</v>
      </c>
      <c r="O353" t="str">
        <f t="shared" ref="O353:O354" si="81">TEXT(J353,"0.00")&amp;" ("&amp;TEXT(L353,"0.00")&amp;" to "&amp;TEXT(M353,"0.00")&amp;")"</f>
        <v>99.25 (99.11 to 99.38)</v>
      </c>
      <c r="P353" t="str">
        <f>O356</f>
        <v>98.79 (98.63 to 98.96)</v>
      </c>
      <c r="Q353" t="str">
        <f>O359</f>
        <v>98.47 (98.28 to 98.66)</v>
      </c>
      <c r="R353" t="str">
        <f>O362</f>
        <v>98.51 (98.33 to 98.70)</v>
      </c>
    </row>
    <row r="354" spans="1:18" ht="17.25" thickBot="1" x14ac:dyDescent="0.35">
      <c r="A354" s="6"/>
      <c r="B354" s="11">
        <v>1</v>
      </c>
      <c r="C354" s="2">
        <v>182</v>
      </c>
      <c r="D354" s="2">
        <v>56410</v>
      </c>
      <c r="E354" s="2">
        <v>5146</v>
      </c>
      <c r="F354" s="2">
        <v>0.1865</v>
      </c>
      <c r="G354" s="2">
        <v>1.7000000000000001E-2</v>
      </c>
      <c r="H354" s="2">
        <v>0.15310000000000001</v>
      </c>
      <c r="I354" s="2">
        <v>0.2198</v>
      </c>
      <c r="J354" s="2">
        <v>0.75490000000000002</v>
      </c>
      <c r="K354" s="2">
        <v>6.8699999999999997E-2</v>
      </c>
      <c r="L354" s="2">
        <v>0.62029999999999996</v>
      </c>
      <c r="M354" s="2">
        <v>0.88949999999999996</v>
      </c>
      <c r="O354" t="str">
        <f t="shared" si="81"/>
        <v>0.75 (0.62 to 0.89)</v>
      </c>
      <c r="P354" t="str">
        <f>O357</f>
        <v>1.21 (1.04 to 1.37)</v>
      </c>
      <c r="Q354" t="str">
        <f>O360</f>
        <v>1.53 (1.34 to 1.72)</v>
      </c>
      <c r="R354" t="str">
        <f>O363</f>
        <v>1.49 (1.30 to 1.67)</v>
      </c>
    </row>
    <row r="355" spans="1:18" ht="17.25" thickBot="1" x14ac:dyDescent="0.35">
      <c r="A355" s="6"/>
      <c r="B355" s="11" t="s">
        <v>153</v>
      </c>
      <c r="C355" s="2">
        <v>16647</v>
      </c>
      <c r="D355" s="2">
        <v>7472748</v>
      </c>
      <c r="E355" s="2">
        <v>86882</v>
      </c>
      <c r="F355" s="2">
        <v>24.701699999999999</v>
      </c>
      <c r="G355" s="2">
        <v>0.20949999999999999</v>
      </c>
      <c r="H355" s="2">
        <v>24.290900000000001</v>
      </c>
      <c r="I355" s="2">
        <v>25.1126</v>
      </c>
      <c r="J355" s="2">
        <v>100</v>
      </c>
      <c r="K355" s="2"/>
      <c r="L355" s="2"/>
      <c r="M355" s="2"/>
    </row>
    <row r="356" spans="1:18" ht="17.25" thickBot="1" x14ac:dyDescent="0.35">
      <c r="A356" s="6">
        <v>2</v>
      </c>
      <c r="B356" s="11">
        <v>0</v>
      </c>
      <c r="C356" s="2">
        <v>16485</v>
      </c>
      <c r="D356" s="2">
        <v>7272530</v>
      </c>
      <c r="E356" s="2">
        <v>83295</v>
      </c>
      <c r="F356" s="2">
        <v>24.039899999999999</v>
      </c>
      <c r="G356" s="2">
        <v>0.20030000000000001</v>
      </c>
      <c r="H356" s="2">
        <v>23.647200000000002</v>
      </c>
      <c r="I356" s="2">
        <v>24.432500000000001</v>
      </c>
      <c r="J356" s="2">
        <v>98.791399999999996</v>
      </c>
      <c r="K356" s="2">
        <v>8.4500000000000006E-2</v>
      </c>
      <c r="L356" s="2">
        <v>98.625699999999995</v>
      </c>
      <c r="M356" s="2">
        <v>98.9572</v>
      </c>
      <c r="O356" t="str">
        <f t="shared" ref="O356:O357" si="82">TEXT(J356,"0.00")&amp;" ("&amp;TEXT(L356,"0.00")&amp;" to "&amp;TEXT(M356,"0.00")&amp;")"</f>
        <v>98.79 (98.63 to 98.96)</v>
      </c>
    </row>
    <row r="357" spans="1:18" ht="17.25" thickBot="1" x14ac:dyDescent="0.35">
      <c r="A357" s="6"/>
      <c r="B357" s="11">
        <v>1</v>
      </c>
      <c r="C357" s="2">
        <v>294</v>
      </c>
      <c r="D357" s="2">
        <v>88969</v>
      </c>
      <c r="E357" s="2">
        <v>6246</v>
      </c>
      <c r="F357" s="2">
        <v>0.29409999999999997</v>
      </c>
      <c r="G357" s="2">
        <v>2.06E-2</v>
      </c>
      <c r="H357" s="2">
        <v>0.25369999999999998</v>
      </c>
      <c r="I357" s="2">
        <v>0.33450000000000002</v>
      </c>
      <c r="J357" s="2">
        <v>1.2085999999999999</v>
      </c>
      <c r="K357" s="2">
        <v>8.4500000000000006E-2</v>
      </c>
      <c r="L357" s="2">
        <v>1.0427999999999999</v>
      </c>
      <c r="M357" s="2">
        <v>1.3743000000000001</v>
      </c>
      <c r="O357" t="str">
        <f t="shared" si="82"/>
        <v>1.21 (1.04 to 1.37)</v>
      </c>
    </row>
    <row r="358" spans="1:18" ht="17.25" thickBot="1" x14ac:dyDescent="0.35">
      <c r="A358" s="6"/>
      <c r="B358" s="11" t="s">
        <v>153</v>
      </c>
      <c r="C358" s="2">
        <v>16779</v>
      </c>
      <c r="D358" s="2">
        <v>7361499</v>
      </c>
      <c r="E358" s="2">
        <v>83717</v>
      </c>
      <c r="F358" s="2">
        <v>24.334</v>
      </c>
      <c r="G358" s="2">
        <v>0.20080000000000001</v>
      </c>
      <c r="H358" s="2">
        <v>23.940200000000001</v>
      </c>
      <c r="I358" s="2">
        <v>24.727799999999998</v>
      </c>
      <c r="J358" s="2">
        <v>100</v>
      </c>
      <c r="K358" s="2"/>
      <c r="L358" s="2"/>
      <c r="M358" s="2"/>
    </row>
    <row r="359" spans="1:18" ht="17.25" thickBot="1" x14ac:dyDescent="0.35">
      <c r="A359" s="6">
        <v>3</v>
      </c>
      <c r="B359" s="11">
        <v>0</v>
      </c>
      <c r="C359" s="2">
        <v>16813</v>
      </c>
      <c r="D359" s="2">
        <v>7282566</v>
      </c>
      <c r="E359" s="2">
        <v>80854</v>
      </c>
      <c r="F359" s="2">
        <v>24.0731</v>
      </c>
      <c r="G359" s="2">
        <v>0.19350000000000001</v>
      </c>
      <c r="H359" s="2">
        <v>23.6936</v>
      </c>
      <c r="I359" s="2">
        <v>24.452500000000001</v>
      </c>
      <c r="J359" s="2">
        <v>98.469099999999997</v>
      </c>
      <c r="K359" s="2">
        <v>9.69E-2</v>
      </c>
      <c r="L359" s="2">
        <v>98.2791</v>
      </c>
      <c r="M359" s="2">
        <v>98.659099999999995</v>
      </c>
      <c r="O359" t="str">
        <f t="shared" ref="O359:O360" si="83">TEXT(J359,"0.00")&amp;" ("&amp;TEXT(L359,"0.00")&amp;" to "&amp;TEXT(M359,"0.00")&amp;")"</f>
        <v>98.47 (98.28 to 98.66)</v>
      </c>
    </row>
    <row r="360" spans="1:18" ht="17.25" thickBot="1" x14ac:dyDescent="0.35">
      <c r="A360" s="6"/>
      <c r="B360" s="11">
        <v>1</v>
      </c>
      <c r="C360" s="2">
        <v>350</v>
      </c>
      <c r="D360" s="2">
        <v>113222</v>
      </c>
      <c r="E360" s="2">
        <v>7224</v>
      </c>
      <c r="F360" s="2">
        <v>0.37430000000000002</v>
      </c>
      <c r="G360" s="2">
        <v>2.3800000000000002E-2</v>
      </c>
      <c r="H360" s="2">
        <v>0.32750000000000001</v>
      </c>
      <c r="I360" s="2">
        <v>0.42099999999999999</v>
      </c>
      <c r="J360" s="2">
        <v>1.5308999999999999</v>
      </c>
      <c r="K360" s="2">
        <v>9.69E-2</v>
      </c>
      <c r="L360" s="2">
        <v>1.3409</v>
      </c>
      <c r="M360" s="2">
        <v>1.7209000000000001</v>
      </c>
      <c r="O360" t="str">
        <f t="shared" si="83"/>
        <v>1.53 (1.34 to 1.72)</v>
      </c>
    </row>
    <row r="361" spans="1:18" ht="17.25" thickBot="1" x14ac:dyDescent="0.35">
      <c r="A361" s="6"/>
      <c r="B361" s="11" t="s">
        <v>153</v>
      </c>
      <c r="C361" s="2">
        <v>17163</v>
      </c>
      <c r="D361" s="2">
        <v>7395788</v>
      </c>
      <c r="E361" s="2">
        <v>81488</v>
      </c>
      <c r="F361" s="2">
        <v>24.447299999999998</v>
      </c>
      <c r="G361" s="2">
        <v>0.19470000000000001</v>
      </c>
      <c r="H361" s="2">
        <v>24.0655</v>
      </c>
      <c r="I361" s="2">
        <v>24.8291</v>
      </c>
      <c r="J361" s="2">
        <v>100</v>
      </c>
      <c r="K361" s="2"/>
      <c r="L361" s="2"/>
      <c r="M361" s="2"/>
    </row>
    <row r="362" spans="1:18" ht="17.25" thickBot="1" x14ac:dyDescent="0.35">
      <c r="A362" s="6">
        <v>4</v>
      </c>
      <c r="B362" s="11">
        <v>0</v>
      </c>
      <c r="C362" s="2">
        <v>17671</v>
      </c>
      <c r="D362" s="2">
        <v>7902756</v>
      </c>
      <c r="E362" s="2">
        <v>83906</v>
      </c>
      <c r="F362" s="2">
        <v>26.123100000000001</v>
      </c>
      <c r="G362" s="2">
        <v>0.21149999999999999</v>
      </c>
      <c r="H362" s="2">
        <v>25.708400000000001</v>
      </c>
      <c r="I362" s="2">
        <v>26.5379</v>
      </c>
      <c r="J362" s="2">
        <v>98.514799999999994</v>
      </c>
      <c r="K362" s="2">
        <v>9.2299999999999993E-2</v>
      </c>
      <c r="L362" s="2">
        <v>98.333799999999997</v>
      </c>
      <c r="M362" s="2">
        <v>98.695700000000002</v>
      </c>
      <c r="O362" t="str">
        <f t="shared" ref="O362:O363" si="84">TEXT(J362,"0.00")&amp;" ("&amp;TEXT(L362,"0.00")&amp;" to "&amp;TEXT(M362,"0.00")&amp;")"</f>
        <v>98.51 (98.33 to 98.70)</v>
      </c>
    </row>
    <row r="363" spans="1:18" ht="17.25" thickBot="1" x14ac:dyDescent="0.35">
      <c r="A363" s="6"/>
      <c r="B363" s="11">
        <v>1</v>
      </c>
      <c r="C363" s="2">
        <v>375</v>
      </c>
      <c r="D363" s="2">
        <v>119144</v>
      </c>
      <c r="E363" s="2">
        <v>7480</v>
      </c>
      <c r="F363" s="2">
        <v>0.39379999999999998</v>
      </c>
      <c r="G363" s="2">
        <v>2.46E-2</v>
      </c>
      <c r="H363" s="2">
        <v>0.34560000000000002</v>
      </c>
      <c r="I363" s="2">
        <v>0.442</v>
      </c>
      <c r="J363" s="2">
        <v>1.4852000000000001</v>
      </c>
      <c r="K363" s="2">
        <v>9.2299999999999993E-2</v>
      </c>
      <c r="L363" s="2">
        <v>1.3043</v>
      </c>
      <c r="M363" s="2">
        <v>1.6661999999999999</v>
      </c>
      <c r="O363" t="str">
        <f t="shared" si="84"/>
        <v>1.49 (1.30 to 1.67)</v>
      </c>
    </row>
    <row r="364" spans="1:18" ht="17.25" thickBot="1" x14ac:dyDescent="0.35">
      <c r="A364" s="6"/>
      <c r="B364" s="11" t="s">
        <v>153</v>
      </c>
      <c r="C364" s="2">
        <v>18046</v>
      </c>
      <c r="D364" s="2">
        <v>8021901</v>
      </c>
      <c r="E364" s="2">
        <v>84668</v>
      </c>
      <c r="F364" s="2">
        <v>26.516999999999999</v>
      </c>
      <c r="G364" s="2">
        <v>0.21260000000000001</v>
      </c>
      <c r="H364" s="2">
        <v>26.100100000000001</v>
      </c>
      <c r="I364" s="2">
        <v>26.933800000000002</v>
      </c>
      <c r="J364" s="2">
        <v>100</v>
      </c>
      <c r="K364" s="2"/>
      <c r="L364" s="2"/>
      <c r="M364" s="2"/>
    </row>
    <row r="365" spans="1:18" ht="17.25" thickBot="1" x14ac:dyDescent="0.35">
      <c r="A365" s="6" t="s">
        <v>153</v>
      </c>
      <c r="B365" s="11">
        <v>0</v>
      </c>
      <c r="C365" s="2">
        <v>67434</v>
      </c>
      <c r="D365" s="2">
        <v>29874191</v>
      </c>
      <c r="E365" s="2">
        <v>227215</v>
      </c>
      <c r="F365" s="2">
        <v>98.751300000000001</v>
      </c>
      <c r="G365" s="2">
        <v>4.3299999999999998E-2</v>
      </c>
      <c r="H365" s="2">
        <v>98.666499999999999</v>
      </c>
      <c r="I365" s="2">
        <v>98.836200000000005</v>
      </c>
      <c r="J365" s="2"/>
      <c r="K365" s="2"/>
      <c r="L365" s="2"/>
      <c r="M365" s="2"/>
    </row>
    <row r="366" spans="1:18" ht="17.25" thickBot="1" x14ac:dyDescent="0.35">
      <c r="A366" s="6"/>
      <c r="B366" s="11">
        <v>1</v>
      </c>
      <c r="C366" s="2">
        <v>1201</v>
      </c>
      <c r="D366" s="2">
        <v>377745</v>
      </c>
      <c r="E366" s="2">
        <v>13202</v>
      </c>
      <c r="F366" s="2">
        <v>1.2486999999999999</v>
      </c>
      <c r="G366" s="2">
        <v>4.3299999999999998E-2</v>
      </c>
      <c r="H366" s="2">
        <v>1.1637999999999999</v>
      </c>
      <c r="I366" s="2">
        <v>1.3334999999999999</v>
      </c>
      <c r="J366" s="2"/>
      <c r="K366" s="2"/>
      <c r="L366" s="2"/>
      <c r="M366" s="2"/>
    </row>
    <row r="367" spans="1:18" x14ac:dyDescent="0.3">
      <c r="A367" s="6"/>
      <c r="B367" s="14" t="s">
        <v>153</v>
      </c>
      <c r="C367" s="2">
        <v>68635</v>
      </c>
      <c r="D367" s="2">
        <v>30251936</v>
      </c>
      <c r="E367" s="2">
        <v>228758</v>
      </c>
      <c r="F367" s="2">
        <v>100</v>
      </c>
      <c r="G367" s="2"/>
      <c r="H367" s="2"/>
      <c r="I367" s="2"/>
      <c r="J367" s="2"/>
      <c r="K367" s="2"/>
      <c r="L367" s="2"/>
      <c r="M367" s="2"/>
    </row>
  </sheetData>
  <autoFilter ref="B1:B367" xr:uid="{8CF1E065-6782-4D86-B355-59AA10E38420}"/>
  <mergeCells count="146">
    <mergeCell ref="A5:B5"/>
    <mergeCell ref="A11:B11"/>
    <mergeCell ref="A15:M15"/>
    <mergeCell ref="A16:A17"/>
    <mergeCell ref="B16:B17"/>
    <mergeCell ref="C16:C17"/>
    <mergeCell ref="F16:F17"/>
    <mergeCell ref="H16:I16"/>
    <mergeCell ref="L16:M16"/>
    <mergeCell ref="H17:I17"/>
    <mergeCell ref="L17:M17"/>
    <mergeCell ref="A39:M39"/>
    <mergeCell ref="A40:A41"/>
    <mergeCell ref="B40:B41"/>
    <mergeCell ref="C40:C41"/>
    <mergeCell ref="F40:F41"/>
    <mergeCell ref="H40:I40"/>
    <mergeCell ref="L40:M40"/>
    <mergeCell ref="H41:I41"/>
    <mergeCell ref="L41:M41"/>
    <mergeCell ref="A58:M58"/>
    <mergeCell ref="A59:A60"/>
    <mergeCell ref="B59:B60"/>
    <mergeCell ref="C59:C60"/>
    <mergeCell ref="F59:F60"/>
    <mergeCell ref="H59:I59"/>
    <mergeCell ref="L59:M59"/>
    <mergeCell ref="H60:I60"/>
    <mergeCell ref="L60:M60"/>
    <mergeCell ref="A77:M77"/>
    <mergeCell ref="A78:A79"/>
    <mergeCell ref="B78:B79"/>
    <mergeCell ref="C78:C79"/>
    <mergeCell ref="F78:F79"/>
    <mergeCell ref="H78:I78"/>
    <mergeCell ref="L78:M78"/>
    <mergeCell ref="H79:I79"/>
    <mergeCell ref="L79:M79"/>
    <mergeCell ref="A106:M106"/>
    <mergeCell ref="A107:A108"/>
    <mergeCell ref="B107:B108"/>
    <mergeCell ref="C107:C108"/>
    <mergeCell ref="F107:F108"/>
    <mergeCell ref="H107:I107"/>
    <mergeCell ref="L107:M107"/>
    <mergeCell ref="H108:I108"/>
    <mergeCell ref="L108:M108"/>
    <mergeCell ref="A135:M135"/>
    <mergeCell ref="A136:A137"/>
    <mergeCell ref="B136:B137"/>
    <mergeCell ref="C136:C137"/>
    <mergeCell ref="F136:F137"/>
    <mergeCell ref="H136:I136"/>
    <mergeCell ref="L136:M136"/>
    <mergeCell ref="H137:I137"/>
    <mergeCell ref="L137:M137"/>
    <mergeCell ref="A164:M164"/>
    <mergeCell ref="A165:A166"/>
    <mergeCell ref="B165:B166"/>
    <mergeCell ref="C165:C166"/>
    <mergeCell ref="F165:F166"/>
    <mergeCell ref="H165:I165"/>
    <mergeCell ref="L165:M165"/>
    <mergeCell ref="H166:I166"/>
    <mergeCell ref="L166:M166"/>
    <mergeCell ref="A183:M183"/>
    <mergeCell ref="A184:A185"/>
    <mergeCell ref="B184:B185"/>
    <mergeCell ref="C184:C185"/>
    <mergeCell ref="F184:F185"/>
    <mergeCell ref="H184:I184"/>
    <mergeCell ref="L184:M184"/>
    <mergeCell ref="H185:I185"/>
    <mergeCell ref="L185:M185"/>
    <mergeCell ref="A207:M207"/>
    <mergeCell ref="A208:A209"/>
    <mergeCell ref="B208:B209"/>
    <mergeCell ref="C208:C209"/>
    <mergeCell ref="F208:F209"/>
    <mergeCell ref="H208:I208"/>
    <mergeCell ref="L208:M208"/>
    <mergeCell ref="H209:I209"/>
    <mergeCell ref="L209:M209"/>
    <mergeCell ref="A231:M231"/>
    <mergeCell ref="A232:A233"/>
    <mergeCell ref="B232:B233"/>
    <mergeCell ref="C232:C233"/>
    <mergeCell ref="F232:F233"/>
    <mergeCell ref="H232:I232"/>
    <mergeCell ref="L232:M232"/>
    <mergeCell ref="H233:I233"/>
    <mergeCell ref="L233:M233"/>
    <mergeCell ref="A255:M255"/>
    <mergeCell ref="A256:A257"/>
    <mergeCell ref="B256:B257"/>
    <mergeCell ref="C256:C257"/>
    <mergeCell ref="F256:F257"/>
    <mergeCell ref="H256:I256"/>
    <mergeCell ref="L256:M256"/>
    <mergeCell ref="H257:I257"/>
    <mergeCell ref="L257:M257"/>
    <mergeCell ref="A274:M274"/>
    <mergeCell ref="A275:A276"/>
    <mergeCell ref="B275:B276"/>
    <mergeCell ref="C275:C276"/>
    <mergeCell ref="F275:F276"/>
    <mergeCell ref="H275:I275"/>
    <mergeCell ref="L275:M275"/>
    <mergeCell ref="H276:I276"/>
    <mergeCell ref="L276:M276"/>
    <mergeCell ref="A293:M293"/>
    <mergeCell ref="A294:A295"/>
    <mergeCell ref="B294:B295"/>
    <mergeCell ref="C294:C295"/>
    <mergeCell ref="F294:F295"/>
    <mergeCell ref="H294:I294"/>
    <mergeCell ref="L294:M294"/>
    <mergeCell ref="H295:I295"/>
    <mergeCell ref="L295:M295"/>
    <mergeCell ref="A312:M312"/>
    <mergeCell ref="A313:A314"/>
    <mergeCell ref="B313:B314"/>
    <mergeCell ref="C313:C314"/>
    <mergeCell ref="F313:F314"/>
    <mergeCell ref="H313:I313"/>
    <mergeCell ref="L313:M313"/>
    <mergeCell ref="H314:I314"/>
    <mergeCell ref="L314:M314"/>
    <mergeCell ref="A331:M331"/>
    <mergeCell ref="A332:A333"/>
    <mergeCell ref="B332:B333"/>
    <mergeCell ref="C332:C333"/>
    <mergeCell ref="F332:F333"/>
    <mergeCell ref="H332:I332"/>
    <mergeCell ref="L332:M332"/>
    <mergeCell ref="H333:I333"/>
    <mergeCell ref="L333:M333"/>
    <mergeCell ref="A350:M350"/>
    <mergeCell ref="A351:A352"/>
    <mergeCell ref="B351:B352"/>
    <mergeCell ref="C351:C352"/>
    <mergeCell ref="F351:F352"/>
    <mergeCell ref="H351:I351"/>
    <mergeCell ref="L351:M351"/>
    <mergeCell ref="H352:I352"/>
    <mergeCell ref="L352:M352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3BEAD-5752-43E0-8C62-9466C114666C}">
  <dimension ref="A1:R367"/>
  <sheetViews>
    <sheetView topLeftCell="A342" workbookViewId="0">
      <selection activeCell="O353" sqref="O353"/>
    </sheetView>
  </sheetViews>
  <sheetFormatPr defaultRowHeight="16.5" x14ac:dyDescent="0.3"/>
  <cols>
    <col min="15" max="18" width="20.5" bestFit="1" customWidth="1"/>
  </cols>
  <sheetData>
    <row r="1" spans="1:13" x14ac:dyDescent="0.3">
      <c r="A1" s="1" t="s">
        <v>134</v>
      </c>
    </row>
    <row r="3" spans="1:13" x14ac:dyDescent="0.3">
      <c r="A3" s="1" t="s">
        <v>21</v>
      </c>
    </row>
    <row r="4" spans="1:13" ht="17.25" thickBot="1" x14ac:dyDescent="0.35"/>
    <row r="5" spans="1:13" ht="16.5" customHeight="1" x14ac:dyDescent="0.3">
      <c r="A5" s="16" t="s">
        <v>135</v>
      </c>
      <c r="B5" s="18"/>
    </row>
    <row r="6" spans="1:13" ht="26.25" thickBot="1" x14ac:dyDescent="0.35">
      <c r="A6" s="12" t="s">
        <v>136</v>
      </c>
      <c r="B6" s="2">
        <v>183</v>
      </c>
    </row>
    <row r="7" spans="1:13" ht="26.25" thickBot="1" x14ac:dyDescent="0.35">
      <c r="A7" s="12" t="s">
        <v>137</v>
      </c>
      <c r="B7" s="2">
        <v>2982</v>
      </c>
    </row>
    <row r="8" spans="1:13" ht="39" thickBot="1" x14ac:dyDescent="0.35">
      <c r="A8" s="12" t="s">
        <v>138</v>
      </c>
      <c r="B8" s="2">
        <v>68635</v>
      </c>
    </row>
    <row r="9" spans="1:13" ht="25.5" x14ac:dyDescent="0.3">
      <c r="A9" s="13" t="s">
        <v>139</v>
      </c>
      <c r="B9" s="2">
        <v>30251935.699999999</v>
      </c>
    </row>
    <row r="10" spans="1:13" ht="17.25" thickBot="1" x14ac:dyDescent="0.35"/>
    <row r="11" spans="1:13" ht="33" customHeight="1" x14ac:dyDescent="0.3">
      <c r="A11" s="16" t="s">
        <v>140</v>
      </c>
      <c r="B11" s="18"/>
    </row>
    <row r="12" spans="1:13" ht="33.75" thickBot="1" x14ac:dyDescent="0.35">
      <c r="A12" s="12" t="s">
        <v>141</v>
      </c>
      <c r="B12" s="2" t="s">
        <v>142</v>
      </c>
    </row>
    <row r="13" spans="1:13" ht="25.5" x14ac:dyDescent="0.3">
      <c r="A13" s="13" t="s">
        <v>143</v>
      </c>
      <c r="B13" s="2" t="s">
        <v>144</v>
      </c>
    </row>
    <row r="14" spans="1:13" ht="17.25" thickBot="1" x14ac:dyDescent="0.35"/>
    <row r="15" spans="1:13" ht="16.5" customHeight="1" x14ac:dyDescent="0.3">
      <c r="A15" s="16" t="s">
        <v>220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ht="33" customHeight="1" x14ac:dyDescent="0.3">
      <c r="A16" s="17" t="s">
        <v>77</v>
      </c>
      <c r="B16" s="19" t="s">
        <v>2</v>
      </c>
      <c r="C16" s="19" t="s">
        <v>146</v>
      </c>
      <c r="D16" s="3" t="s">
        <v>147</v>
      </c>
      <c r="E16" s="3" t="s">
        <v>148</v>
      </c>
      <c r="F16" s="19" t="s">
        <v>150</v>
      </c>
      <c r="G16" s="3" t="s">
        <v>148</v>
      </c>
      <c r="H16" s="19" t="s">
        <v>151</v>
      </c>
      <c r="I16" s="19"/>
      <c r="J16" s="3" t="s">
        <v>170</v>
      </c>
      <c r="K16" s="3" t="s">
        <v>148</v>
      </c>
      <c r="L16" s="19" t="s">
        <v>151</v>
      </c>
      <c r="M16" s="19"/>
    </row>
    <row r="17" spans="1:18" ht="33" x14ac:dyDescent="0.3">
      <c r="A17" s="17"/>
      <c r="B17" s="19"/>
      <c r="C17" s="19"/>
      <c r="D17" s="3" t="s">
        <v>146</v>
      </c>
      <c r="E17" s="3" t="s">
        <v>149</v>
      </c>
      <c r="F17" s="19"/>
      <c r="G17" s="3" t="s">
        <v>150</v>
      </c>
      <c r="H17" s="19" t="s">
        <v>152</v>
      </c>
      <c r="I17" s="19"/>
      <c r="J17" s="3" t="s">
        <v>150</v>
      </c>
      <c r="K17" s="3" t="s">
        <v>171</v>
      </c>
      <c r="L17" s="19" t="s">
        <v>172</v>
      </c>
      <c r="M17" s="19"/>
    </row>
    <row r="18" spans="1:18" ht="17.25" thickBot="1" x14ac:dyDescent="0.35">
      <c r="A18" s="6">
        <v>1</v>
      </c>
      <c r="B18" s="11">
        <v>1</v>
      </c>
      <c r="C18" s="2">
        <v>7485</v>
      </c>
      <c r="D18" s="2">
        <v>3973899</v>
      </c>
      <c r="E18" s="2">
        <v>64189</v>
      </c>
      <c r="F18" s="2">
        <v>13.135999999999999</v>
      </c>
      <c r="G18" s="2">
        <v>0.17469999999999999</v>
      </c>
      <c r="H18" s="2">
        <v>12.7934</v>
      </c>
      <c r="I18" s="2">
        <v>13.4786</v>
      </c>
      <c r="J18" s="2">
        <v>56.384599999999999</v>
      </c>
      <c r="K18" s="2">
        <v>0.48859999999999998</v>
      </c>
      <c r="L18" s="2">
        <v>55.426499999999997</v>
      </c>
      <c r="M18" s="2">
        <v>57.342700000000001</v>
      </c>
      <c r="O18" t="str">
        <f>TEXT(J18,"0.00")&amp;" ("&amp;TEXT(L18,"0.00")&amp;" to "&amp;TEXT(M18,"0.00")&amp;")"</f>
        <v>56.38 (55.43 to 57.34)</v>
      </c>
      <c r="P18" t="str">
        <f>O22</f>
        <v>39.48 (38.46 to 40.50)</v>
      </c>
      <c r="Q18" t="str">
        <f>O26</f>
        <v>30.37 (29.43 to 31.32)</v>
      </c>
      <c r="R18" t="str">
        <f>O30</f>
        <v>31.95 (31.00 to 32.90)</v>
      </c>
    </row>
    <row r="19" spans="1:18" ht="17.25" thickBot="1" x14ac:dyDescent="0.35">
      <c r="A19" s="6"/>
      <c r="B19" s="11">
        <v>2</v>
      </c>
      <c r="C19" s="2">
        <v>6024</v>
      </c>
      <c r="D19" s="2">
        <v>2562565</v>
      </c>
      <c r="E19" s="2">
        <v>43160</v>
      </c>
      <c r="F19" s="2">
        <v>8.4707000000000008</v>
      </c>
      <c r="G19" s="2">
        <v>0.12670000000000001</v>
      </c>
      <c r="H19" s="2">
        <v>8.2222000000000008</v>
      </c>
      <c r="I19" s="2">
        <v>8.7193000000000005</v>
      </c>
      <c r="J19" s="2">
        <v>36.3596</v>
      </c>
      <c r="K19" s="2">
        <v>0.45689999999999997</v>
      </c>
      <c r="L19" s="2">
        <v>35.463700000000003</v>
      </c>
      <c r="M19" s="2">
        <v>37.255499999999998</v>
      </c>
      <c r="O19" t="str">
        <f t="shared" ref="O19:O20" si="0">TEXT(J19,"0.00")&amp;" ("&amp;TEXT(L19,"0.00")&amp;" to "&amp;TEXT(M19,"0.00")&amp;")"</f>
        <v>36.36 (35.46 to 37.26)</v>
      </c>
      <c r="P19" t="str">
        <f t="shared" ref="P19:P20" si="1">O23</f>
        <v>48.11 (47.14 to 49.08)</v>
      </c>
      <c r="Q19" t="str">
        <f t="shared" ref="Q19:Q20" si="2">O27</f>
        <v>53.30 (52.41 to 54.19)</v>
      </c>
      <c r="R19" t="str">
        <f t="shared" ref="R19:R20" si="3">O31</f>
        <v>54.88 (53.96 to 55.80)</v>
      </c>
    </row>
    <row r="20" spans="1:18" ht="17.25" thickBot="1" x14ac:dyDescent="0.35">
      <c r="A20" s="6"/>
      <c r="B20" s="11">
        <v>3</v>
      </c>
      <c r="C20" s="2">
        <v>1948</v>
      </c>
      <c r="D20" s="2">
        <v>511377</v>
      </c>
      <c r="E20" s="2">
        <v>14389</v>
      </c>
      <c r="F20" s="2">
        <v>1.6903999999999999</v>
      </c>
      <c r="G20" s="2">
        <v>4.8099999999999997E-2</v>
      </c>
      <c r="H20" s="2">
        <v>1.5960000000000001</v>
      </c>
      <c r="I20" s="2">
        <v>1.7847999999999999</v>
      </c>
      <c r="J20" s="2">
        <v>7.2557999999999998</v>
      </c>
      <c r="K20" s="2">
        <v>0.2084</v>
      </c>
      <c r="L20" s="2">
        <v>6.8472</v>
      </c>
      <c r="M20" s="2">
        <v>7.6643999999999997</v>
      </c>
      <c r="O20" t="str">
        <f t="shared" si="0"/>
        <v>7.26 (6.85 to 7.66)</v>
      </c>
      <c r="P20" t="str">
        <f t="shared" si="1"/>
        <v>12.41 (11.87 to 12.95)</v>
      </c>
      <c r="Q20" t="str">
        <f t="shared" si="2"/>
        <v>16.33 (15.70 to 16.95)</v>
      </c>
      <c r="R20" t="str">
        <f t="shared" si="3"/>
        <v>13.17 (12.64 to 13.70)</v>
      </c>
    </row>
    <row r="21" spans="1:18" ht="17.25" thickBot="1" x14ac:dyDescent="0.35">
      <c r="A21" s="6"/>
      <c r="B21" s="11" t="s">
        <v>153</v>
      </c>
      <c r="C21" s="2">
        <v>15457</v>
      </c>
      <c r="D21" s="2">
        <v>7047841</v>
      </c>
      <c r="E21" s="2">
        <v>85770</v>
      </c>
      <c r="F21" s="2">
        <v>23.2972</v>
      </c>
      <c r="G21" s="2">
        <v>0.20880000000000001</v>
      </c>
      <c r="H21" s="2">
        <v>22.887599999999999</v>
      </c>
      <c r="I21" s="2">
        <v>23.706700000000001</v>
      </c>
      <c r="J21" s="2">
        <v>100</v>
      </c>
      <c r="K21" s="2"/>
      <c r="L21" s="2"/>
      <c r="M21" s="2"/>
    </row>
    <row r="22" spans="1:18" ht="17.25" thickBot="1" x14ac:dyDescent="0.35">
      <c r="A22" s="6">
        <v>2</v>
      </c>
      <c r="B22" s="11">
        <v>1</v>
      </c>
      <c r="C22" s="2">
        <v>5321</v>
      </c>
      <c r="D22" s="2">
        <v>2969871</v>
      </c>
      <c r="E22" s="2">
        <v>54296</v>
      </c>
      <c r="F22" s="2">
        <v>9.8170999999999999</v>
      </c>
      <c r="G22" s="2">
        <v>0.15690000000000001</v>
      </c>
      <c r="H22" s="2">
        <v>9.5093999999999994</v>
      </c>
      <c r="I22" s="2">
        <v>10.1248</v>
      </c>
      <c r="J22" s="2">
        <v>39.484400000000001</v>
      </c>
      <c r="K22" s="2">
        <v>0.52</v>
      </c>
      <c r="L22" s="2">
        <v>38.4649</v>
      </c>
      <c r="M22" s="2">
        <v>40.503900000000002</v>
      </c>
      <c r="O22" t="str">
        <f t="shared" ref="O22:O24" si="4">TEXT(J22,"0.00")&amp;" ("&amp;TEXT(L22,"0.00")&amp;" to "&amp;TEXT(M22,"0.00")&amp;")"</f>
        <v>39.48 (38.46 to 40.50)</v>
      </c>
    </row>
    <row r="23" spans="1:18" ht="17.25" thickBot="1" x14ac:dyDescent="0.35">
      <c r="A23" s="6"/>
      <c r="B23" s="11">
        <v>2</v>
      </c>
      <c r="C23" s="2">
        <v>8501</v>
      </c>
      <c r="D23" s="2">
        <v>3618351</v>
      </c>
      <c r="E23" s="2">
        <v>54451</v>
      </c>
      <c r="F23" s="2">
        <v>11.960699999999999</v>
      </c>
      <c r="G23" s="2">
        <v>0.15129999999999999</v>
      </c>
      <c r="H23" s="2">
        <v>11.664099999999999</v>
      </c>
      <c r="I23" s="2">
        <v>12.257300000000001</v>
      </c>
      <c r="J23" s="2">
        <v>48.105899999999998</v>
      </c>
      <c r="K23" s="2">
        <v>0.4945</v>
      </c>
      <c r="L23" s="2">
        <v>47.136299999999999</v>
      </c>
      <c r="M23" s="2">
        <v>49.075499999999998</v>
      </c>
      <c r="O23" t="str">
        <f t="shared" si="4"/>
        <v>48.11 (47.14 to 49.08)</v>
      </c>
    </row>
    <row r="24" spans="1:18" ht="17.25" thickBot="1" x14ac:dyDescent="0.35">
      <c r="A24" s="6"/>
      <c r="B24" s="11">
        <v>3</v>
      </c>
      <c r="C24" s="2">
        <v>3500</v>
      </c>
      <c r="D24" s="2">
        <v>933412</v>
      </c>
      <c r="E24" s="2">
        <v>20334</v>
      </c>
      <c r="F24" s="2">
        <v>3.0855000000000001</v>
      </c>
      <c r="G24" s="2">
        <v>6.88E-2</v>
      </c>
      <c r="H24" s="2">
        <v>2.9506000000000001</v>
      </c>
      <c r="I24" s="2">
        <v>3.2202999999999999</v>
      </c>
      <c r="J24" s="2">
        <v>12.409700000000001</v>
      </c>
      <c r="K24" s="2">
        <v>0.27510000000000001</v>
      </c>
      <c r="L24" s="2">
        <v>11.8703</v>
      </c>
      <c r="M24" s="2">
        <v>12.9491</v>
      </c>
      <c r="O24" t="str">
        <f t="shared" si="4"/>
        <v>12.41 (11.87 to 12.95)</v>
      </c>
    </row>
    <row r="25" spans="1:18" ht="17.25" thickBot="1" x14ac:dyDescent="0.35">
      <c r="A25" s="6"/>
      <c r="B25" s="11" t="s">
        <v>153</v>
      </c>
      <c r="C25" s="2">
        <v>17322</v>
      </c>
      <c r="D25" s="2">
        <v>7521633</v>
      </c>
      <c r="E25" s="2">
        <v>82230</v>
      </c>
      <c r="F25" s="2">
        <v>24.863299999999999</v>
      </c>
      <c r="G25" s="2">
        <v>0.1913</v>
      </c>
      <c r="H25" s="2">
        <v>24.488199999999999</v>
      </c>
      <c r="I25" s="2">
        <v>25.238399999999999</v>
      </c>
      <c r="J25" s="2">
        <v>100</v>
      </c>
      <c r="K25" s="2"/>
      <c r="L25" s="2"/>
      <c r="M25" s="2"/>
    </row>
    <row r="26" spans="1:18" ht="17.25" thickBot="1" x14ac:dyDescent="0.35">
      <c r="A26" s="6">
        <v>3</v>
      </c>
      <c r="B26" s="11">
        <v>1</v>
      </c>
      <c r="C26" s="2">
        <v>3947</v>
      </c>
      <c r="D26" s="2">
        <v>2306929</v>
      </c>
      <c r="E26" s="2">
        <v>46902</v>
      </c>
      <c r="F26" s="2">
        <v>7.6257000000000001</v>
      </c>
      <c r="G26" s="2">
        <v>0.1394</v>
      </c>
      <c r="H26" s="2">
        <v>7.3525</v>
      </c>
      <c r="I26" s="2">
        <v>7.899</v>
      </c>
      <c r="J26" s="2">
        <v>30.3719</v>
      </c>
      <c r="K26" s="2">
        <v>0.4819</v>
      </c>
      <c r="L26" s="2">
        <v>29.427099999999999</v>
      </c>
      <c r="M26" s="2">
        <v>31.316800000000001</v>
      </c>
      <c r="O26" t="str">
        <f t="shared" ref="O26:O28" si="5">TEXT(J26,"0.00")&amp;" ("&amp;TEXT(L26,"0.00")&amp;" to "&amp;TEXT(M26,"0.00")&amp;")"</f>
        <v>30.37 (29.43 to 31.32)</v>
      </c>
    </row>
    <row r="27" spans="1:18" ht="17.25" thickBot="1" x14ac:dyDescent="0.35">
      <c r="A27" s="6"/>
      <c r="B27" s="11">
        <v>2</v>
      </c>
      <c r="C27" s="2">
        <v>9240</v>
      </c>
      <c r="D27" s="2">
        <v>4048464</v>
      </c>
      <c r="E27" s="2">
        <v>55255</v>
      </c>
      <c r="F27" s="2">
        <v>13.3825</v>
      </c>
      <c r="G27" s="2">
        <v>0.15110000000000001</v>
      </c>
      <c r="H27" s="2">
        <v>13.0862</v>
      </c>
      <c r="I27" s="2">
        <v>13.678800000000001</v>
      </c>
      <c r="J27" s="2">
        <v>53.300199999999997</v>
      </c>
      <c r="K27" s="2">
        <v>0.4551</v>
      </c>
      <c r="L27" s="2">
        <v>52.407899999999998</v>
      </c>
      <c r="M27" s="2">
        <v>54.192399999999999</v>
      </c>
      <c r="O27" t="str">
        <f t="shared" si="5"/>
        <v>53.30 (52.41 to 54.19)</v>
      </c>
    </row>
    <row r="28" spans="1:18" ht="17.25" thickBot="1" x14ac:dyDescent="0.35">
      <c r="A28" s="6"/>
      <c r="B28" s="11">
        <v>3</v>
      </c>
      <c r="C28" s="2">
        <v>4641</v>
      </c>
      <c r="D28" s="2">
        <v>1240201</v>
      </c>
      <c r="E28" s="2">
        <v>24727</v>
      </c>
      <c r="F28" s="2">
        <v>4.0995999999999997</v>
      </c>
      <c r="G28" s="2">
        <v>8.3699999999999997E-2</v>
      </c>
      <c r="H28" s="2">
        <v>3.9354</v>
      </c>
      <c r="I28" s="2">
        <v>4.2637</v>
      </c>
      <c r="J28" s="2">
        <v>16.3279</v>
      </c>
      <c r="K28" s="2">
        <v>0.31790000000000002</v>
      </c>
      <c r="L28" s="2">
        <v>15.704499999999999</v>
      </c>
      <c r="M28" s="2">
        <v>16.9513</v>
      </c>
      <c r="O28" t="str">
        <f t="shared" si="5"/>
        <v>16.33 (15.70 to 16.95)</v>
      </c>
    </row>
    <row r="29" spans="1:18" ht="17.25" thickBot="1" x14ac:dyDescent="0.35">
      <c r="A29" s="6"/>
      <c r="B29" s="11" t="s">
        <v>153</v>
      </c>
      <c r="C29" s="2">
        <v>17828</v>
      </c>
      <c r="D29" s="2">
        <v>7595594</v>
      </c>
      <c r="E29" s="2">
        <v>80574</v>
      </c>
      <c r="F29" s="2">
        <v>25.107800000000001</v>
      </c>
      <c r="G29" s="2">
        <v>0.19489999999999999</v>
      </c>
      <c r="H29" s="2">
        <v>24.7257</v>
      </c>
      <c r="I29" s="2">
        <v>25.489899999999999</v>
      </c>
      <c r="J29" s="2">
        <v>100</v>
      </c>
      <c r="K29" s="2"/>
      <c r="L29" s="2"/>
      <c r="M29" s="2"/>
    </row>
    <row r="30" spans="1:18" ht="17.25" thickBot="1" x14ac:dyDescent="0.35">
      <c r="A30" s="6">
        <v>4</v>
      </c>
      <c r="B30" s="11">
        <v>1</v>
      </c>
      <c r="C30" s="2">
        <v>4326</v>
      </c>
      <c r="D30" s="2">
        <v>2583815</v>
      </c>
      <c r="E30" s="2">
        <v>49419</v>
      </c>
      <c r="F30" s="2">
        <v>8.5410000000000004</v>
      </c>
      <c r="G30" s="2">
        <v>0.1484</v>
      </c>
      <c r="H30" s="2">
        <v>8.2500999999999998</v>
      </c>
      <c r="I30" s="2">
        <v>8.8318999999999992</v>
      </c>
      <c r="J30" s="2">
        <v>31.950700000000001</v>
      </c>
      <c r="K30" s="2">
        <v>0.4844</v>
      </c>
      <c r="L30" s="2">
        <v>31.001000000000001</v>
      </c>
      <c r="M30" s="2">
        <v>32.900500000000001</v>
      </c>
      <c r="O30" t="str">
        <f t="shared" ref="O30:O32" si="6">TEXT(J30,"0.00")&amp;" ("&amp;TEXT(L30,"0.00")&amp;" to "&amp;TEXT(M30,"0.00")&amp;")"</f>
        <v>31.95 (31.00 to 32.90)</v>
      </c>
    </row>
    <row r="31" spans="1:18" ht="17.25" thickBot="1" x14ac:dyDescent="0.35">
      <c r="A31" s="6"/>
      <c r="B31" s="11">
        <v>2</v>
      </c>
      <c r="C31" s="2">
        <v>9705</v>
      </c>
      <c r="D31" s="2">
        <v>4438010</v>
      </c>
      <c r="E31" s="2">
        <v>61360</v>
      </c>
      <c r="F31" s="2">
        <v>14.670199999999999</v>
      </c>
      <c r="G31" s="2">
        <v>0.1696</v>
      </c>
      <c r="H31" s="2">
        <v>14.3376</v>
      </c>
      <c r="I31" s="2">
        <v>15.002700000000001</v>
      </c>
      <c r="J31" s="2">
        <v>54.879199999999997</v>
      </c>
      <c r="K31" s="2">
        <v>0.46889999999999998</v>
      </c>
      <c r="L31" s="2">
        <v>53.959899999999998</v>
      </c>
      <c r="M31" s="2">
        <v>55.7986</v>
      </c>
      <c r="O31" t="str">
        <f t="shared" si="6"/>
        <v>54.88 (53.96 to 55.80)</v>
      </c>
    </row>
    <row r="32" spans="1:18" ht="17.25" thickBot="1" x14ac:dyDescent="0.35">
      <c r="A32" s="6"/>
      <c r="B32" s="11">
        <v>3</v>
      </c>
      <c r="C32" s="2">
        <v>3997</v>
      </c>
      <c r="D32" s="2">
        <v>1065043</v>
      </c>
      <c r="E32" s="2">
        <v>22587</v>
      </c>
      <c r="F32" s="2">
        <v>3.5206</v>
      </c>
      <c r="G32" s="2">
        <v>7.6100000000000001E-2</v>
      </c>
      <c r="H32" s="2">
        <v>3.3713000000000002</v>
      </c>
      <c r="I32" s="2">
        <v>3.6699000000000002</v>
      </c>
      <c r="J32" s="2">
        <v>13.17</v>
      </c>
      <c r="K32" s="2">
        <v>0.26950000000000002</v>
      </c>
      <c r="L32" s="2">
        <v>12.6416</v>
      </c>
      <c r="M32" s="2">
        <v>13.698399999999999</v>
      </c>
      <c r="O32" t="str">
        <f t="shared" si="6"/>
        <v>13.17 (12.64 to 13.70)</v>
      </c>
    </row>
    <row r="33" spans="1:18" ht="17.25" thickBot="1" x14ac:dyDescent="0.35">
      <c r="A33" s="6"/>
      <c r="B33" s="11" t="s">
        <v>153</v>
      </c>
      <c r="C33" s="2">
        <v>18028</v>
      </c>
      <c r="D33" s="2">
        <v>8086868</v>
      </c>
      <c r="E33" s="2">
        <v>85733</v>
      </c>
      <c r="F33" s="2">
        <v>26.7317</v>
      </c>
      <c r="G33" s="2">
        <v>0.2117</v>
      </c>
      <c r="H33" s="2">
        <v>26.316600000000001</v>
      </c>
      <c r="I33" s="2">
        <v>27.146899999999999</v>
      </c>
      <c r="J33" s="2">
        <v>100</v>
      </c>
      <c r="K33" s="2"/>
      <c r="L33" s="2"/>
      <c r="M33" s="2"/>
    </row>
    <row r="34" spans="1:18" ht="17.25" thickBot="1" x14ac:dyDescent="0.35">
      <c r="A34" s="6" t="s">
        <v>153</v>
      </c>
      <c r="B34" s="11">
        <v>1</v>
      </c>
      <c r="C34" s="2">
        <v>21079</v>
      </c>
      <c r="D34" s="2">
        <v>11834513</v>
      </c>
      <c r="E34" s="2">
        <v>141523</v>
      </c>
      <c r="F34" s="2">
        <v>39.119900000000001</v>
      </c>
      <c r="G34" s="2">
        <v>0.31680000000000003</v>
      </c>
      <c r="H34" s="2">
        <v>38.498699999999999</v>
      </c>
      <c r="I34" s="2">
        <v>39.741</v>
      </c>
      <c r="J34" s="2"/>
      <c r="K34" s="2"/>
      <c r="L34" s="2"/>
      <c r="M34" s="2"/>
    </row>
    <row r="35" spans="1:18" ht="17.25" thickBot="1" x14ac:dyDescent="0.35">
      <c r="A35" s="6"/>
      <c r="B35" s="11">
        <v>2</v>
      </c>
      <c r="C35" s="2">
        <v>33470</v>
      </c>
      <c r="D35" s="2">
        <v>14667390</v>
      </c>
      <c r="E35" s="2">
        <v>140978</v>
      </c>
      <c r="F35" s="2">
        <v>48.484099999999998</v>
      </c>
      <c r="G35" s="2">
        <v>0.27379999999999999</v>
      </c>
      <c r="H35" s="2">
        <v>47.947200000000002</v>
      </c>
      <c r="I35" s="2">
        <v>49.021099999999997</v>
      </c>
      <c r="J35" s="2"/>
      <c r="K35" s="2"/>
      <c r="L35" s="2"/>
      <c r="M35" s="2"/>
    </row>
    <row r="36" spans="1:18" ht="17.25" thickBot="1" x14ac:dyDescent="0.35">
      <c r="A36" s="6"/>
      <c r="B36" s="11">
        <v>3</v>
      </c>
      <c r="C36" s="2">
        <v>14086</v>
      </c>
      <c r="D36" s="2">
        <v>3750032</v>
      </c>
      <c r="E36" s="2">
        <v>51705</v>
      </c>
      <c r="F36" s="2">
        <v>12.396000000000001</v>
      </c>
      <c r="G36" s="2">
        <v>0.17949999999999999</v>
      </c>
      <c r="H36" s="2">
        <v>12.044</v>
      </c>
      <c r="I36" s="2">
        <v>12.747999999999999</v>
      </c>
      <c r="J36" s="2"/>
      <c r="K36" s="2"/>
      <c r="L36" s="2"/>
      <c r="M36" s="2"/>
    </row>
    <row r="37" spans="1:18" x14ac:dyDescent="0.3">
      <c r="A37" s="6"/>
      <c r="B37" s="14" t="s">
        <v>153</v>
      </c>
      <c r="C37" s="2">
        <v>68635</v>
      </c>
      <c r="D37" s="2">
        <v>30251936</v>
      </c>
      <c r="E37" s="2">
        <v>228758</v>
      </c>
      <c r="F37" s="2">
        <v>100</v>
      </c>
      <c r="G37" s="2"/>
      <c r="H37" s="2"/>
      <c r="I37" s="2"/>
      <c r="J37" s="2"/>
      <c r="K37" s="2"/>
      <c r="L37" s="2"/>
      <c r="M37" s="2"/>
    </row>
    <row r="38" spans="1:18" ht="17.25" thickBot="1" x14ac:dyDescent="0.35"/>
    <row r="39" spans="1:18" ht="16.5" customHeight="1" x14ac:dyDescent="0.3">
      <c r="A39" s="16" t="s">
        <v>221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8" ht="33" customHeight="1" x14ac:dyDescent="0.3">
      <c r="A40" s="17" t="s">
        <v>77</v>
      </c>
      <c r="B40" s="19" t="s">
        <v>6</v>
      </c>
      <c r="C40" s="19" t="s">
        <v>146</v>
      </c>
      <c r="D40" s="3" t="s">
        <v>147</v>
      </c>
      <c r="E40" s="3" t="s">
        <v>148</v>
      </c>
      <c r="F40" s="19" t="s">
        <v>150</v>
      </c>
      <c r="G40" s="3" t="s">
        <v>148</v>
      </c>
      <c r="H40" s="19" t="s">
        <v>151</v>
      </c>
      <c r="I40" s="19"/>
      <c r="J40" s="3" t="s">
        <v>170</v>
      </c>
      <c r="K40" s="3" t="s">
        <v>148</v>
      </c>
      <c r="L40" s="19" t="s">
        <v>151</v>
      </c>
      <c r="M40" s="19"/>
    </row>
    <row r="41" spans="1:18" ht="33" x14ac:dyDescent="0.3">
      <c r="A41" s="17"/>
      <c r="B41" s="19"/>
      <c r="C41" s="19"/>
      <c r="D41" s="3" t="s">
        <v>146</v>
      </c>
      <c r="E41" s="3" t="s">
        <v>149</v>
      </c>
      <c r="F41" s="19"/>
      <c r="G41" s="3" t="s">
        <v>150</v>
      </c>
      <c r="H41" s="19" t="s">
        <v>152</v>
      </c>
      <c r="I41" s="19"/>
      <c r="J41" s="3" t="s">
        <v>150</v>
      </c>
      <c r="K41" s="3" t="s">
        <v>171</v>
      </c>
      <c r="L41" s="19" t="s">
        <v>172</v>
      </c>
      <c r="M41" s="19"/>
    </row>
    <row r="42" spans="1:18" ht="17.25" thickBot="1" x14ac:dyDescent="0.35">
      <c r="A42" s="6">
        <v>1</v>
      </c>
      <c r="B42" s="11">
        <v>1</v>
      </c>
      <c r="C42" s="2">
        <v>4325</v>
      </c>
      <c r="D42" s="2">
        <v>2207511</v>
      </c>
      <c r="E42" s="2">
        <v>44961</v>
      </c>
      <c r="F42" s="2">
        <v>7.2971000000000004</v>
      </c>
      <c r="G42" s="2">
        <v>0.13500000000000001</v>
      </c>
      <c r="H42" s="2">
        <v>7.0323000000000002</v>
      </c>
      <c r="I42" s="2">
        <v>7.5617999999999999</v>
      </c>
      <c r="J42" s="2">
        <v>31.3218</v>
      </c>
      <c r="K42" s="2">
        <v>0.47039999999999998</v>
      </c>
      <c r="L42" s="2">
        <v>30.3995</v>
      </c>
      <c r="M42" s="2">
        <v>32.244100000000003</v>
      </c>
      <c r="O42" t="str">
        <f t="shared" ref="O42:O43" si="7">TEXT(J42,"0.00")&amp;" ("&amp;TEXT(L42,"0.00")&amp;" to "&amp;TEXT(M42,"0.00")&amp;")"</f>
        <v>31.32 (30.40 to 32.24)</v>
      </c>
      <c r="P42" t="str">
        <f>O45</f>
        <v>50.26 (49.40 to 51.12)</v>
      </c>
      <c r="Q42" t="str">
        <f>O48</f>
        <v>62.69 (61.91 to 63.48)</v>
      </c>
      <c r="R42" t="str">
        <f>O51</f>
        <v>70.47 (69.73 to 71.22)</v>
      </c>
    </row>
    <row r="43" spans="1:18" ht="17.25" thickBot="1" x14ac:dyDescent="0.35">
      <c r="A43" s="6"/>
      <c r="B43" s="11">
        <v>2</v>
      </c>
      <c r="C43" s="2">
        <v>11132</v>
      </c>
      <c r="D43" s="2">
        <v>4840330</v>
      </c>
      <c r="E43" s="2">
        <v>64256</v>
      </c>
      <c r="F43" s="2">
        <v>16.0001</v>
      </c>
      <c r="G43" s="2">
        <v>0.16830000000000001</v>
      </c>
      <c r="H43" s="2">
        <v>15.6701</v>
      </c>
      <c r="I43" s="2">
        <v>16.330100000000002</v>
      </c>
      <c r="J43" s="2">
        <v>68.678200000000004</v>
      </c>
      <c r="K43" s="2">
        <v>0.47039999999999998</v>
      </c>
      <c r="L43" s="2">
        <v>67.755899999999997</v>
      </c>
      <c r="M43" s="2">
        <v>69.600499999999997</v>
      </c>
      <c r="O43" t="str">
        <f t="shared" si="7"/>
        <v>68.68 (67.76 to 69.60)</v>
      </c>
      <c r="P43" t="str">
        <f>O46</f>
        <v>49.74 (48.88 to 50.60)</v>
      </c>
      <c r="Q43" t="str">
        <f>O49</f>
        <v>37.31 (36.52 to 38.09)</v>
      </c>
      <c r="R43" t="str">
        <f>O52</f>
        <v>29.53 (28.78 to 30.27)</v>
      </c>
    </row>
    <row r="44" spans="1:18" ht="17.25" thickBot="1" x14ac:dyDescent="0.35">
      <c r="A44" s="6"/>
      <c r="B44" s="11" t="s">
        <v>153</v>
      </c>
      <c r="C44" s="2">
        <v>15457</v>
      </c>
      <c r="D44" s="2">
        <v>7047841</v>
      </c>
      <c r="E44" s="2">
        <v>85770</v>
      </c>
      <c r="F44" s="2">
        <v>23.2972</v>
      </c>
      <c r="G44" s="2">
        <v>0.20880000000000001</v>
      </c>
      <c r="H44" s="2">
        <v>22.887599999999999</v>
      </c>
      <c r="I44" s="2">
        <v>23.706700000000001</v>
      </c>
      <c r="J44" s="2">
        <v>100</v>
      </c>
      <c r="K44" s="2"/>
      <c r="L44" s="2"/>
      <c r="M44" s="2"/>
    </row>
    <row r="45" spans="1:18" ht="17.25" thickBot="1" x14ac:dyDescent="0.35">
      <c r="A45" s="6">
        <v>2</v>
      </c>
      <c r="B45" s="11">
        <v>1</v>
      </c>
      <c r="C45" s="2">
        <v>7619</v>
      </c>
      <c r="D45" s="2">
        <v>3780382</v>
      </c>
      <c r="E45" s="2">
        <v>54894</v>
      </c>
      <c r="F45" s="2">
        <v>12.4963</v>
      </c>
      <c r="G45" s="2">
        <v>0.1542</v>
      </c>
      <c r="H45" s="2">
        <v>12.194000000000001</v>
      </c>
      <c r="I45" s="2">
        <v>12.7987</v>
      </c>
      <c r="J45" s="2">
        <v>50.260100000000001</v>
      </c>
      <c r="K45" s="2">
        <v>0.4395</v>
      </c>
      <c r="L45" s="2">
        <v>49.398299999999999</v>
      </c>
      <c r="M45" s="2">
        <v>51.121899999999997</v>
      </c>
      <c r="O45" t="str">
        <f t="shared" ref="O45:O46" si="8">TEXT(J45,"0.00")&amp;" ("&amp;TEXT(L45,"0.00")&amp;" to "&amp;TEXT(M45,"0.00")&amp;")"</f>
        <v>50.26 (49.40 to 51.12)</v>
      </c>
    </row>
    <row r="46" spans="1:18" ht="17.25" thickBot="1" x14ac:dyDescent="0.35">
      <c r="A46" s="6"/>
      <c r="B46" s="11">
        <v>2</v>
      </c>
      <c r="C46" s="2">
        <v>9703</v>
      </c>
      <c r="D46" s="2">
        <v>3741251</v>
      </c>
      <c r="E46" s="2">
        <v>50553</v>
      </c>
      <c r="F46" s="2">
        <v>12.367000000000001</v>
      </c>
      <c r="G46" s="2">
        <v>0.13569999999999999</v>
      </c>
      <c r="H46" s="2">
        <v>12.1008</v>
      </c>
      <c r="I46" s="2">
        <v>12.6332</v>
      </c>
      <c r="J46" s="2">
        <v>49.739899999999999</v>
      </c>
      <c r="K46" s="2">
        <v>0.4395</v>
      </c>
      <c r="L46" s="2">
        <v>48.878100000000003</v>
      </c>
      <c r="M46" s="2">
        <v>50.601700000000001</v>
      </c>
      <c r="O46" t="str">
        <f t="shared" si="8"/>
        <v>49.74 (48.88 to 50.60)</v>
      </c>
    </row>
    <row r="47" spans="1:18" ht="17.25" thickBot="1" x14ac:dyDescent="0.35">
      <c r="A47" s="6"/>
      <c r="B47" s="11" t="s">
        <v>153</v>
      </c>
      <c r="C47" s="2">
        <v>17322</v>
      </c>
      <c r="D47" s="2">
        <v>7521633</v>
      </c>
      <c r="E47" s="2">
        <v>82230</v>
      </c>
      <c r="F47" s="2">
        <v>24.863299999999999</v>
      </c>
      <c r="G47" s="2">
        <v>0.1913</v>
      </c>
      <c r="H47" s="2">
        <v>24.488199999999999</v>
      </c>
      <c r="I47" s="2">
        <v>25.238399999999999</v>
      </c>
      <c r="J47" s="2">
        <v>100</v>
      </c>
      <c r="K47" s="2"/>
      <c r="L47" s="2"/>
      <c r="M47" s="2"/>
    </row>
    <row r="48" spans="1:18" ht="17.25" thickBot="1" x14ac:dyDescent="0.35">
      <c r="A48" s="6">
        <v>3</v>
      </c>
      <c r="B48" s="11">
        <v>1</v>
      </c>
      <c r="C48" s="2">
        <v>9912</v>
      </c>
      <c r="D48" s="2">
        <v>4761952</v>
      </c>
      <c r="E48" s="2">
        <v>61795</v>
      </c>
      <c r="F48" s="2">
        <v>15.741</v>
      </c>
      <c r="G48" s="2">
        <v>0.16309999999999999</v>
      </c>
      <c r="H48" s="2">
        <v>15.421099999999999</v>
      </c>
      <c r="I48" s="2">
        <v>16.0609</v>
      </c>
      <c r="J48" s="2">
        <v>62.693600000000004</v>
      </c>
      <c r="K48" s="2">
        <v>0.4</v>
      </c>
      <c r="L48" s="2">
        <v>61.909399999999998</v>
      </c>
      <c r="M48" s="2">
        <v>63.477800000000002</v>
      </c>
      <c r="O48" t="str">
        <f t="shared" ref="O48:O49" si="9">TEXT(J48,"0.00")&amp;" ("&amp;TEXT(L48,"0.00")&amp;" to "&amp;TEXT(M48,"0.00")&amp;")"</f>
        <v>62.69 (61.91 to 63.48)</v>
      </c>
    </row>
    <row r="49" spans="1:18" ht="17.25" thickBot="1" x14ac:dyDescent="0.35">
      <c r="A49" s="6"/>
      <c r="B49" s="11">
        <v>2</v>
      </c>
      <c r="C49" s="2">
        <v>7916</v>
      </c>
      <c r="D49" s="2">
        <v>2833642</v>
      </c>
      <c r="E49" s="2">
        <v>40271</v>
      </c>
      <c r="F49" s="2">
        <v>9.3667999999999996</v>
      </c>
      <c r="G49" s="2">
        <v>0.1201</v>
      </c>
      <c r="H49" s="2">
        <v>9.1313999999999993</v>
      </c>
      <c r="I49" s="2">
        <v>9.6022999999999996</v>
      </c>
      <c r="J49" s="2">
        <v>37.306399999999996</v>
      </c>
      <c r="K49" s="2">
        <v>0.4</v>
      </c>
      <c r="L49" s="2">
        <v>36.522199999999998</v>
      </c>
      <c r="M49" s="2">
        <v>38.090600000000002</v>
      </c>
      <c r="O49" t="str">
        <f t="shared" si="9"/>
        <v>37.31 (36.52 to 38.09)</v>
      </c>
    </row>
    <row r="50" spans="1:18" ht="17.25" thickBot="1" x14ac:dyDescent="0.35">
      <c r="A50" s="6"/>
      <c r="B50" s="11" t="s">
        <v>153</v>
      </c>
      <c r="C50" s="2">
        <v>17828</v>
      </c>
      <c r="D50" s="2">
        <v>7595594</v>
      </c>
      <c r="E50" s="2">
        <v>80574</v>
      </c>
      <c r="F50" s="2">
        <v>25.107800000000001</v>
      </c>
      <c r="G50" s="2">
        <v>0.19489999999999999</v>
      </c>
      <c r="H50" s="2">
        <v>24.7257</v>
      </c>
      <c r="I50" s="2">
        <v>25.489899999999999</v>
      </c>
      <c r="J50" s="2">
        <v>100</v>
      </c>
      <c r="K50" s="2"/>
      <c r="L50" s="2"/>
      <c r="M50" s="2"/>
    </row>
    <row r="51" spans="1:18" ht="17.25" thickBot="1" x14ac:dyDescent="0.35">
      <c r="A51" s="6">
        <v>4</v>
      </c>
      <c r="B51" s="11">
        <v>1</v>
      </c>
      <c r="C51" s="2">
        <v>11344</v>
      </c>
      <c r="D51" s="2">
        <v>5698986</v>
      </c>
      <c r="E51" s="2">
        <v>69582</v>
      </c>
      <c r="F51" s="2">
        <v>18.8384</v>
      </c>
      <c r="G51" s="2">
        <v>0.1799</v>
      </c>
      <c r="H51" s="2">
        <v>18.485600000000002</v>
      </c>
      <c r="I51" s="2">
        <v>19.191199999999998</v>
      </c>
      <c r="J51" s="2">
        <v>70.472099999999998</v>
      </c>
      <c r="K51" s="2">
        <v>0.37940000000000002</v>
      </c>
      <c r="L51" s="2">
        <v>69.728099999999998</v>
      </c>
      <c r="M51" s="2">
        <v>71.216099999999997</v>
      </c>
      <c r="O51" t="str">
        <f t="shared" ref="O51:O52" si="10">TEXT(J51,"0.00")&amp;" ("&amp;TEXT(L51,"0.00")&amp;" to "&amp;TEXT(M51,"0.00")&amp;")"</f>
        <v>70.47 (69.73 to 71.22)</v>
      </c>
    </row>
    <row r="52" spans="1:18" ht="17.25" thickBot="1" x14ac:dyDescent="0.35">
      <c r="A52" s="6"/>
      <c r="B52" s="11">
        <v>2</v>
      </c>
      <c r="C52" s="2">
        <v>6684</v>
      </c>
      <c r="D52" s="2">
        <v>2387882</v>
      </c>
      <c r="E52" s="2">
        <v>38442</v>
      </c>
      <c r="F52" s="2">
        <v>7.8933</v>
      </c>
      <c r="G52" s="2">
        <v>0.1195</v>
      </c>
      <c r="H52" s="2">
        <v>7.6590999999999996</v>
      </c>
      <c r="I52" s="2">
        <v>8.1275999999999993</v>
      </c>
      <c r="J52" s="2">
        <v>29.527899999999999</v>
      </c>
      <c r="K52" s="2">
        <v>0.37940000000000002</v>
      </c>
      <c r="L52" s="2">
        <v>28.783899999999999</v>
      </c>
      <c r="M52" s="2">
        <v>30.271899999999999</v>
      </c>
      <c r="O52" t="str">
        <f t="shared" si="10"/>
        <v>29.53 (28.78 to 30.27)</v>
      </c>
    </row>
    <row r="53" spans="1:18" ht="17.25" thickBot="1" x14ac:dyDescent="0.35">
      <c r="A53" s="6"/>
      <c r="B53" s="11" t="s">
        <v>153</v>
      </c>
      <c r="C53" s="2">
        <v>18028</v>
      </c>
      <c r="D53" s="2">
        <v>8086868</v>
      </c>
      <c r="E53" s="2">
        <v>85733</v>
      </c>
      <c r="F53" s="2">
        <v>26.7317</v>
      </c>
      <c r="G53" s="2">
        <v>0.2117</v>
      </c>
      <c r="H53" s="2">
        <v>26.316600000000001</v>
      </c>
      <c r="I53" s="2">
        <v>27.146899999999999</v>
      </c>
      <c r="J53" s="2">
        <v>100</v>
      </c>
      <c r="K53" s="2"/>
      <c r="L53" s="2"/>
      <c r="M53" s="2"/>
    </row>
    <row r="54" spans="1:18" ht="17.25" thickBot="1" x14ac:dyDescent="0.35">
      <c r="A54" s="6" t="s">
        <v>153</v>
      </c>
      <c r="B54" s="11">
        <v>1</v>
      </c>
      <c r="C54" s="2">
        <v>33200</v>
      </c>
      <c r="D54" s="2">
        <v>16448830</v>
      </c>
      <c r="E54" s="2">
        <v>140406</v>
      </c>
      <c r="F54" s="2">
        <v>54.372799999999998</v>
      </c>
      <c r="G54" s="2">
        <v>0.18820000000000001</v>
      </c>
      <c r="H54" s="2">
        <v>54.003799999999998</v>
      </c>
      <c r="I54" s="2">
        <v>54.741900000000001</v>
      </c>
      <c r="J54" s="2"/>
      <c r="K54" s="2"/>
      <c r="L54" s="2"/>
      <c r="M54" s="2"/>
    </row>
    <row r="55" spans="1:18" ht="17.25" thickBot="1" x14ac:dyDescent="0.35">
      <c r="A55" s="6"/>
      <c r="B55" s="11">
        <v>2</v>
      </c>
      <c r="C55" s="2">
        <v>35435</v>
      </c>
      <c r="D55" s="2">
        <v>13803105</v>
      </c>
      <c r="E55" s="2">
        <v>115313</v>
      </c>
      <c r="F55" s="2">
        <v>45.627200000000002</v>
      </c>
      <c r="G55" s="2">
        <v>0.18820000000000001</v>
      </c>
      <c r="H55" s="2">
        <v>45.258099999999999</v>
      </c>
      <c r="I55" s="2">
        <v>45.996200000000002</v>
      </c>
      <c r="J55" s="2"/>
      <c r="K55" s="2"/>
      <c r="L55" s="2"/>
      <c r="M55" s="2"/>
    </row>
    <row r="56" spans="1:18" x14ac:dyDescent="0.3">
      <c r="A56" s="6"/>
      <c r="B56" s="14" t="s">
        <v>153</v>
      </c>
      <c r="C56" s="2">
        <v>68635</v>
      </c>
      <c r="D56" s="2">
        <v>30251936</v>
      </c>
      <c r="E56" s="2">
        <v>228758</v>
      </c>
      <c r="F56" s="2">
        <v>100</v>
      </c>
      <c r="G56" s="2"/>
      <c r="H56" s="2"/>
      <c r="I56" s="2"/>
      <c r="J56" s="2"/>
      <c r="K56" s="2"/>
      <c r="L56" s="2"/>
      <c r="M56" s="2"/>
    </row>
    <row r="57" spans="1:18" ht="17.25" thickBot="1" x14ac:dyDescent="0.35"/>
    <row r="58" spans="1:18" ht="16.5" customHeight="1" x14ac:dyDescent="0.3">
      <c r="A58" s="16" t="s">
        <v>222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1:18" ht="33" customHeight="1" x14ac:dyDescent="0.3">
      <c r="A59" s="17" t="s">
        <v>77</v>
      </c>
      <c r="B59" s="19" t="s">
        <v>7</v>
      </c>
      <c r="C59" s="19" t="s">
        <v>146</v>
      </c>
      <c r="D59" s="3" t="s">
        <v>147</v>
      </c>
      <c r="E59" s="3" t="s">
        <v>148</v>
      </c>
      <c r="F59" s="19" t="s">
        <v>150</v>
      </c>
      <c r="G59" s="3" t="s">
        <v>148</v>
      </c>
      <c r="H59" s="19" t="s">
        <v>151</v>
      </c>
      <c r="I59" s="19"/>
      <c r="J59" s="3" t="s">
        <v>170</v>
      </c>
      <c r="K59" s="3" t="s">
        <v>148</v>
      </c>
      <c r="L59" s="19" t="s">
        <v>151</v>
      </c>
      <c r="M59" s="19"/>
    </row>
    <row r="60" spans="1:18" ht="33" x14ac:dyDescent="0.3">
      <c r="A60" s="17"/>
      <c r="B60" s="19"/>
      <c r="C60" s="19"/>
      <c r="D60" s="3" t="s">
        <v>146</v>
      </c>
      <c r="E60" s="3" t="s">
        <v>149</v>
      </c>
      <c r="F60" s="19"/>
      <c r="G60" s="3" t="s">
        <v>150</v>
      </c>
      <c r="H60" s="19" t="s">
        <v>152</v>
      </c>
      <c r="I60" s="19"/>
      <c r="J60" s="3" t="s">
        <v>150</v>
      </c>
      <c r="K60" s="3" t="s">
        <v>171</v>
      </c>
      <c r="L60" s="19" t="s">
        <v>172</v>
      </c>
      <c r="M60" s="19"/>
    </row>
    <row r="61" spans="1:18" ht="17.25" thickBot="1" x14ac:dyDescent="0.35">
      <c r="A61" s="6">
        <v>1</v>
      </c>
      <c r="B61" s="11">
        <v>1</v>
      </c>
      <c r="C61" s="2">
        <v>13047</v>
      </c>
      <c r="D61" s="2">
        <v>6151490</v>
      </c>
      <c r="E61" s="2">
        <v>92307</v>
      </c>
      <c r="F61" s="2">
        <v>20.334199999999999</v>
      </c>
      <c r="G61" s="2">
        <v>0.24610000000000001</v>
      </c>
      <c r="H61" s="2">
        <v>19.851700000000001</v>
      </c>
      <c r="I61" s="2">
        <v>20.816700000000001</v>
      </c>
      <c r="J61" s="2">
        <v>87.281899999999993</v>
      </c>
      <c r="K61" s="2">
        <v>0.62790000000000001</v>
      </c>
      <c r="L61" s="2">
        <v>86.050799999999995</v>
      </c>
      <c r="M61" s="2">
        <v>88.513000000000005</v>
      </c>
      <c r="O61" t="str">
        <f t="shared" ref="O61:O62" si="11">TEXT(J61,"0.00")&amp;" ("&amp;TEXT(L61,"0.00")&amp;" to "&amp;TEXT(M61,"0.00")&amp;")"</f>
        <v>87.28 (86.05 to 88.51)</v>
      </c>
      <c r="P61" t="str">
        <f>O64</f>
        <v>83.94 (82.56 to 85.31)</v>
      </c>
      <c r="Q61" t="str">
        <f>O67</f>
        <v>83.34 (81.97 to 84.71)</v>
      </c>
      <c r="R61" t="str">
        <f>O70</f>
        <v>81.58 (80.06 to 83.09)</v>
      </c>
    </row>
    <row r="62" spans="1:18" ht="17.25" thickBot="1" x14ac:dyDescent="0.35">
      <c r="A62" s="6"/>
      <c r="B62" s="11">
        <v>2</v>
      </c>
      <c r="C62" s="2">
        <v>2410</v>
      </c>
      <c r="D62" s="2">
        <v>896351</v>
      </c>
      <c r="E62" s="2">
        <v>44017</v>
      </c>
      <c r="F62" s="2">
        <v>2.9630000000000001</v>
      </c>
      <c r="G62" s="2">
        <v>0.1457</v>
      </c>
      <c r="H62" s="2">
        <v>2.6772</v>
      </c>
      <c r="I62" s="2">
        <v>3.2486999999999999</v>
      </c>
      <c r="J62" s="2">
        <v>12.7181</v>
      </c>
      <c r="K62" s="2">
        <v>0.62790000000000001</v>
      </c>
      <c r="L62" s="2">
        <v>11.487</v>
      </c>
      <c r="M62" s="2">
        <v>13.949199999999999</v>
      </c>
      <c r="O62" t="str">
        <f t="shared" si="11"/>
        <v>12.72 (11.49 to 13.95)</v>
      </c>
      <c r="P62" t="str">
        <f>O65</f>
        <v>16.06 (14.69 to 17.44)</v>
      </c>
      <c r="Q62" t="str">
        <f>O68</f>
        <v>16.66 (15.29 to 18.03)</v>
      </c>
      <c r="R62" t="str">
        <f>O71</f>
        <v>18.42 (16.91 to 19.94)</v>
      </c>
    </row>
    <row r="63" spans="1:18" ht="17.25" thickBot="1" x14ac:dyDescent="0.35">
      <c r="A63" s="6"/>
      <c r="B63" s="11" t="s">
        <v>153</v>
      </c>
      <c r="C63" s="2">
        <v>15457</v>
      </c>
      <c r="D63" s="2">
        <v>7047841</v>
      </c>
      <c r="E63" s="2">
        <v>85770</v>
      </c>
      <c r="F63" s="2">
        <v>23.2972</v>
      </c>
      <c r="G63" s="2">
        <v>0.20880000000000001</v>
      </c>
      <c r="H63" s="2">
        <v>22.887599999999999</v>
      </c>
      <c r="I63" s="2">
        <v>23.706700000000001</v>
      </c>
      <c r="J63" s="2">
        <v>100</v>
      </c>
      <c r="K63" s="2"/>
      <c r="L63" s="2"/>
      <c r="M63" s="2"/>
    </row>
    <row r="64" spans="1:18" ht="17.25" thickBot="1" x14ac:dyDescent="0.35">
      <c r="A64" s="6">
        <v>2</v>
      </c>
      <c r="B64" s="11">
        <v>1</v>
      </c>
      <c r="C64" s="2">
        <v>13941</v>
      </c>
      <c r="D64" s="2">
        <v>6313310</v>
      </c>
      <c r="E64" s="2">
        <v>90173</v>
      </c>
      <c r="F64" s="2">
        <v>20.8691</v>
      </c>
      <c r="G64" s="2">
        <v>0.2369</v>
      </c>
      <c r="H64" s="2">
        <v>20.404699999999998</v>
      </c>
      <c r="I64" s="2">
        <v>21.333500000000001</v>
      </c>
      <c r="J64" s="2">
        <v>83.935400000000001</v>
      </c>
      <c r="K64" s="2">
        <v>0.70250000000000001</v>
      </c>
      <c r="L64" s="2">
        <v>82.557900000000004</v>
      </c>
      <c r="M64" s="2">
        <v>85.312799999999996</v>
      </c>
      <c r="O64" t="str">
        <f t="shared" ref="O64:O65" si="12">TEXT(J64,"0.00")&amp;" ("&amp;TEXT(L64,"0.00")&amp;" to "&amp;TEXT(M64,"0.00")&amp;")"</f>
        <v>83.94 (82.56 to 85.31)</v>
      </c>
    </row>
    <row r="65" spans="1:18" ht="17.25" thickBot="1" x14ac:dyDescent="0.35">
      <c r="A65" s="6"/>
      <c r="B65" s="11">
        <v>2</v>
      </c>
      <c r="C65" s="2">
        <v>3381</v>
      </c>
      <c r="D65" s="2">
        <v>1208323</v>
      </c>
      <c r="E65" s="2">
        <v>53443</v>
      </c>
      <c r="F65" s="2">
        <v>3.9942000000000002</v>
      </c>
      <c r="G65" s="2">
        <v>0.1774</v>
      </c>
      <c r="H65" s="2">
        <v>3.6463000000000001</v>
      </c>
      <c r="I65" s="2">
        <v>4.3421000000000003</v>
      </c>
      <c r="J65" s="2">
        <v>16.064599999999999</v>
      </c>
      <c r="K65" s="2">
        <v>0.70250000000000001</v>
      </c>
      <c r="L65" s="2">
        <v>14.687200000000001</v>
      </c>
      <c r="M65" s="2">
        <v>17.4421</v>
      </c>
      <c r="O65" t="str">
        <f t="shared" si="12"/>
        <v>16.06 (14.69 to 17.44)</v>
      </c>
    </row>
    <row r="66" spans="1:18" ht="17.25" thickBot="1" x14ac:dyDescent="0.35">
      <c r="A66" s="6"/>
      <c r="B66" s="11" t="s">
        <v>153</v>
      </c>
      <c r="C66" s="2">
        <v>17322</v>
      </c>
      <c r="D66" s="2">
        <v>7521633</v>
      </c>
      <c r="E66" s="2">
        <v>82230</v>
      </c>
      <c r="F66" s="2">
        <v>24.863299999999999</v>
      </c>
      <c r="G66" s="2">
        <v>0.1913</v>
      </c>
      <c r="H66" s="2">
        <v>24.488199999999999</v>
      </c>
      <c r="I66" s="2">
        <v>25.238399999999999</v>
      </c>
      <c r="J66" s="2">
        <v>100</v>
      </c>
      <c r="K66" s="2"/>
      <c r="L66" s="2"/>
      <c r="M66" s="2"/>
    </row>
    <row r="67" spans="1:18" ht="17.25" thickBot="1" x14ac:dyDescent="0.35">
      <c r="A67" s="6">
        <v>3</v>
      </c>
      <c r="B67" s="11">
        <v>1</v>
      </c>
      <c r="C67" s="2">
        <v>14152</v>
      </c>
      <c r="D67" s="2">
        <v>6330263</v>
      </c>
      <c r="E67" s="2">
        <v>89135</v>
      </c>
      <c r="F67" s="2">
        <v>20.9252</v>
      </c>
      <c r="G67" s="2">
        <v>0.23980000000000001</v>
      </c>
      <c r="H67" s="2">
        <v>20.454899999999999</v>
      </c>
      <c r="I67" s="2">
        <v>21.395399999999999</v>
      </c>
      <c r="J67" s="2">
        <v>83.341300000000004</v>
      </c>
      <c r="K67" s="2">
        <v>0.69769999999999999</v>
      </c>
      <c r="L67" s="2">
        <v>81.973200000000006</v>
      </c>
      <c r="M67" s="2">
        <v>84.709299999999999</v>
      </c>
      <c r="O67" t="str">
        <f t="shared" ref="O67:O68" si="13">TEXT(J67,"0.00")&amp;" ("&amp;TEXT(L67,"0.00")&amp;" to "&amp;TEXT(M67,"0.00")&amp;")"</f>
        <v>83.34 (81.97 to 84.71)</v>
      </c>
    </row>
    <row r="68" spans="1:18" ht="17.25" thickBot="1" x14ac:dyDescent="0.35">
      <c r="A68" s="6"/>
      <c r="B68" s="11">
        <v>2</v>
      </c>
      <c r="C68" s="2">
        <v>3676</v>
      </c>
      <c r="D68" s="2">
        <v>1265331</v>
      </c>
      <c r="E68" s="2">
        <v>53510</v>
      </c>
      <c r="F68" s="2">
        <v>4.1825999999999999</v>
      </c>
      <c r="G68" s="2">
        <v>0.1779</v>
      </c>
      <c r="H68" s="2">
        <v>3.8338000000000001</v>
      </c>
      <c r="I68" s="2">
        <v>4.5315000000000003</v>
      </c>
      <c r="J68" s="2">
        <v>16.6587</v>
      </c>
      <c r="K68" s="2">
        <v>0.69769999999999999</v>
      </c>
      <c r="L68" s="2">
        <v>15.290699999999999</v>
      </c>
      <c r="M68" s="2">
        <v>18.026800000000001</v>
      </c>
      <c r="O68" t="str">
        <f t="shared" si="13"/>
        <v>16.66 (15.29 to 18.03)</v>
      </c>
    </row>
    <row r="69" spans="1:18" ht="17.25" thickBot="1" x14ac:dyDescent="0.35">
      <c r="A69" s="6"/>
      <c r="B69" s="11" t="s">
        <v>153</v>
      </c>
      <c r="C69" s="2">
        <v>17828</v>
      </c>
      <c r="D69" s="2">
        <v>7595594</v>
      </c>
      <c r="E69" s="2">
        <v>80574</v>
      </c>
      <c r="F69" s="2">
        <v>25.107800000000001</v>
      </c>
      <c r="G69" s="2">
        <v>0.19489999999999999</v>
      </c>
      <c r="H69" s="2">
        <v>24.7257</v>
      </c>
      <c r="I69" s="2">
        <v>25.489899999999999</v>
      </c>
      <c r="J69" s="2">
        <v>100</v>
      </c>
      <c r="K69" s="2"/>
      <c r="L69" s="2"/>
      <c r="M69" s="2"/>
    </row>
    <row r="70" spans="1:18" ht="17.25" thickBot="1" x14ac:dyDescent="0.35">
      <c r="A70" s="6">
        <v>4</v>
      </c>
      <c r="B70" s="11">
        <v>1</v>
      </c>
      <c r="C70" s="2">
        <v>14036</v>
      </c>
      <c r="D70" s="2">
        <v>6597015</v>
      </c>
      <c r="E70" s="2">
        <v>95829</v>
      </c>
      <c r="F70" s="2">
        <v>21.806899999999999</v>
      </c>
      <c r="G70" s="2">
        <v>0.2596</v>
      </c>
      <c r="H70" s="2">
        <v>21.297899999999998</v>
      </c>
      <c r="I70" s="2">
        <v>22.315999999999999</v>
      </c>
      <c r="J70" s="2">
        <v>81.576899999999995</v>
      </c>
      <c r="K70" s="2">
        <v>0.77139999999999997</v>
      </c>
      <c r="L70" s="2">
        <v>80.064300000000003</v>
      </c>
      <c r="M70" s="2">
        <v>83.089500000000001</v>
      </c>
      <c r="O70" t="str">
        <f t="shared" ref="O70:O71" si="14">TEXT(J70,"0.00")&amp;" ("&amp;TEXT(L70,"0.00")&amp;" to "&amp;TEXT(M70,"0.00")&amp;")"</f>
        <v>81.58 (80.06 to 83.09)</v>
      </c>
    </row>
    <row r="71" spans="1:18" ht="17.25" thickBot="1" x14ac:dyDescent="0.35">
      <c r="A71" s="6"/>
      <c r="B71" s="11">
        <v>2</v>
      </c>
      <c r="C71" s="2">
        <v>3992</v>
      </c>
      <c r="D71" s="2">
        <v>1489853</v>
      </c>
      <c r="E71" s="2">
        <v>63648</v>
      </c>
      <c r="F71" s="2">
        <v>4.9248000000000003</v>
      </c>
      <c r="G71" s="2">
        <v>0.21249999999999999</v>
      </c>
      <c r="H71" s="2">
        <v>4.5080999999999998</v>
      </c>
      <c r="I71" s="2">
        <v>5.3414999999999999</v>
      </c>
      <c r="J71" s="2">
        <v>18.423100000000002</v>
      </c>
      <c r="K71" s="2">
        <v>0.77139999999999997</v>
      </c>
      <c r="L71" s="2">
        <v>16.910499999999999</v>
      </c>
      <c r="M71" s="2">
        <v>19.935700000000001</v>
      </c>
      <c r="O71" t="str">
        <f t="shared" si="14"/>
        <v>18.42 (16.91 to 19.94)</v>
      </c>
    </row>
    <row r="72" spans="1:18" ht="17.25" thickBot="1" x14ac:dyDescent="0.35">
      <c r="A72" s="6"/>
      <c r="B72" s="11" t="s">
        <v>153</v>
      </c>
      <c r="C72" s="2">
        <v>18028</v>
      </c>
      <c r="D72" s="2">
        <v>8086868</v>
      </c>
      <c r="E72" s="2">
        <v>85733</v>
      </c>
      <c r="F72" s="2">
        <v>26.7317</v>
      </c>
      <c r="G72" s="2">
        <v>0.2117</v>
      </c>
      <c r="H72" s="2">
        <v>26.316600000000001</v>
      </c>
      <c r="I72" s="2">
        <v>27.146899999999999</v>
      </c>
      <c r="J72" s="2">
        <v>100</v>
      </c>
      <c r="K72" s="2"/>
      <c r="L72" s="2"/>
      <c r="M72" s="2"/>
    </row>
    <row r="73" spans="1:18" ht="17.25" thickBot="1" x14ac:dyDescent="0.35">
      <c r="A73" s="6" t="s">
        <v>153</v>
      </c>
      <c r="B73" s="11">
        <v>1</v>
      </c>
      <c r="C73" s="2">
        <v>55176</v>
      </c>
      <c r="D73" s="2">
        <v>25392078</v>
      </c>
      <c r="E73" s="2">
        <v>290318</v>
      </c>
      <c r="F73" s="2">
        <v>83.935400000000001</v>
      </c>
      <c r="G73" s="2">
        <v>0.64080000000000004</v>
      </c>
      <c r="H73" s="2">
        <v>82.678899999999999</v>
      </c>
      <c r="I73" s="2">
        <v>85.191800000000001</v>
      </c>
      <c r="J73" s="2"/>
      <c r="K73" s="2"/>
      <c r="L73" s="2"/>
      <c r="M73" s="2"/>
    </row>
    <row r="74" spans="1:18" ht="17.25" thickBot="1" x14ac:dyDescent="0.35">
      <c r="A74" s="6"/>
      <c r="B74" s="11">
        <v>2</v>
      </c>
      <c r="C74" s="2">
        <v>13459</v>
      </c>
      <c r="D74" s="2">
        <v>4859858</v>
      </c>
      <c r="E74" s="2">
        <v>192472</v>
      </c>
      <c r="F74" s="2">
        <v>16.064599999999999</v>
      </c>
      <c r="G74" s="2">
        <v>0.64080000000000004</v>
      </c>
      <c r="H74" s="2">
        <v>14.808199999999999</v>
      </c>
      <c r="I74" s="2">
        <v>17.321100000000001</v>
      </c>
      <c r="J74" s="2"/>
      <c r="K74" s="2"/>
      <c r="L74" s="2"/>
      <c r="M74" s="2"/>
    </row>
    <row r="75" spans="1:18" x14ac:dyDescent="0.3">
      <c r="A75" s="6"/>
      <c r="B75" s="14" t="s">
        <v>153</v>
      </c>
      <c r="C75" s="2">
        <v>68635</v>
      </c>
      <c r="D75" s="2">
        <v>30251936</v>
      </c>
      <c r="E75" s="2">
        <v>228758</v>
      </c>
      <c r="F75" s="2">
        <v>100</v>
      </c>
      <c r="G75" s="2"/>
      <c r="H75" s="2"/>
      <c r="I75" s="2"/>
      <c r="J75" s="2"/>
      <c r="K75" s="2"/>
      <c r="L75" s="2"/>
      <c r="M75" s="2"/>
    </row>
    <row r="76" spans="1:18" ht="17.25" thickBot="1" x14ac:dyDescent="0.35"/>
    <row r="77" spans="1:18" ht="16.5" customHeight="1" x14ac:dyDescent="0.3">
      <c r="A77" s="16" t="s">
        <v>223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spans="1:18" ht="33" customHeight="1" x14ac:dyDescent="0.3">
      <c r="A78" s="17" t="s">
        <v>77</v>
      </c>
      <c r="B78" s="19" t="s">
        <v>8</v>
      </c>
      <c r="C78" s="19" t="s">
        <v>146</v>
      </c>
      <c r="D78" s="3" t="s">
        <v>147</v>
      </c>
      <c r="E78" s="3" t="s">
        <v>148</v>
      </c>
      <c r="F78" s="19" t="s">
        <v>150</v>
      </c>
      <c r="G78" s="3" t="s">
        <v>148</v>
      </c>
      <c r="H78" s="19" t="s">
        <v>151</v>
      </c>
      <c r="I78" s="19"/>
      <c r="J78" s="3" t="s">
        <v>170</v>
      </c>
      <c r="K78" s="3" t="s">
        <v>148</v>
      </c>
      <c r="L78" s="19" t="s">
        <v>151</v>
      </c>
      <c r="M78" s="19"/>
    </row>
    <row r="79" spans="1:18" ht="33" x14ac:dyDescent="0.3">
      <c r="A79" s="17"/>
      <c r="B79" s="19"/>
      <c r="C79" s="19"/>
      <c r="D79" s="3" t="s">
        <v>146</v>
      </c>
      <c r="E79" s="3" t="s">
        <v>149</v>
      </c>
      <c r="F79" s="19"/>
      <c r="G79" s="3" t="s">
        <v>150</v>
      </c>
      <c r="H79" s="19" t="s">
        <v>152</v>
      </c>
      <c r="I79" s="19"/>
      <c r="J79" s="3" t="s">
        <v>150</v>
      </c>
      <c r="K79" s="3" t="s">
        <v>171</v>
      </c>
      <c r="L79" s="19" t="s">
        <v>172</v>
      </c>
      <c r="M79" s="19"/>
    </row>
    <row r="80" spans="1:18" ht="17.25" thickBot="1" x14ac:dyDescent="0.35">
      <c r="A80" s="6">
        <v>1</v>
      </c>
      <c r="B80" s="11">
        <v>1</v>
      </c>
      <c r="C80" s="2">
        <v>1152</v>
      </c>
      <c r="D80" s="2">
        <v>346865</v>
      </c>
      <c r="E80" s="2">
        <v>12943</v>
      </c>
      <c r="F80" s="2">
        <v>1.1466000000000001</v>
      </c>
      <c r="G80" s="2">
        <v>4.3099999999999999E-2</v>
      </c>
      <c r="H80" s="2">
        <v>1.0620000000000001</v>
      </c>
      <c r="I80" s="2">
        <v>1.2311000000000001</v>
      </c>
      <c r="J80" s="2">
        <v>4.9215999999999998</v>
      </c>
      <c r="K80" s="2">
        <v>0.1862</v>
      </c>
      <c r="L80" s="2">
        <v>4.5564</v>
      </c>
      <c r="M80" s="2">
        <v>5.2866999999999997</v>
      </c>
      <c r="O80" t="str">
        <f t="shared" ref="O80:O83" si="15">TEXT(J80,"0.00")&amp;" ("&amp;TEXT(L80,"0.00")&amp;" to "&amp;TEXT(M80,"0.00")&amp;")"</f>
        <v>4.92 (4.56 to 5.29)</v>
      </c>
      <c r="P80" t="str">
        <f>O85</f>
        <v>9.07 (8.57 to 9.57)</v>
      </c>
      <c r="Q80" t="str">
        <f>O90</f>
        <v>11.79 (11.23 to 12.36)</v>
      </c>
      <c r="R80" t="str">
        <f>O95</f>
        <v>10.56 (10.04 to 11.08)</v>
      </c>
    </row>
    <row r="81" spans="1:18" ht="17.25" thickBot="1" x14ac:dyDescent="0.35">
      <c r="A81" s="6"/>
      <c r="B81" s="11">
        <v>2</v>
      </c>
      <c r="C81" s="2">
        <v>1079</v>
      </c>
      <c r="D81" s="2">
        <v>365147</v>
      </c>
      <c r="E81" s="2">
        <v>13909</v>
      </c>
      <c r="F81" s="2">
        <v>1.2070000000000001</v>
      </c>
      <c r="G81" s="2">
        <v>4.6199999999999998E-2</v>
      </c>
      <c r="H81" s="2">
        <v>1.1165</v>
      </c>
      <c r="I81" s="2">
        <v>1.2975000000000001</v>
      </c>
      <c r="J81" s="2">
        <v>5.181</v>
      </c>
      <c r="K81" s="2">
        <v>0.1978</v>
      </c>
      <c r="L81" s="2">
        <v>4.7931999999999997</v>
      </c>
      <c r="M81" s="2">
        <v>5.5688000000000004</v>
      </c>
      <c r="O81" t="str">
        <f t="shared" si="15"/>
        <v>5.18 (4.79 to 5.57)</v>
      </c>
      <c r="P81" t="str">
        <f t="shared" ref="P81:P83" si="16">O86</f>
        <v>8.63 (8.14 to 9.11)</v>
      </c>
      <c r="Q81" t="str">
        <f t="shared" ref="Q81:Q83" si="17">O91</f>
        <v>10.85 (10.32 to 11.39)</v>
      </c>
      <c r="R81" t="str">
        <f t="shared" ref="R81:R83" si="18">O96</f>
        <v>10.44 (9.93 to 10.95)</v>
      </c>
    </row>
    <row r="82" spans="1:18" ht="17.25" thickBot="1" x14ac:dyDescent="0.35">
      <c r="A82" s="6"/>
      <c r="B82" s="11">
        <v>3</v>
      </c>
      <c r="C82" s="2">
        <v>3549</v>
      </c>
      <c r="D82" s="2">
        <v>1610127</v>
      </c>
      <c r="E82" s="2">
        <v>34791</v>
      </c>
      <c r="F82" s="2">
        <v>5.3224</v>
      </c>
      <c r="G82" s="2">
        <v>0.10829999999999999</v>
      </c>
      <c r="H82" s="2">
        <v>5.1100000000000003</v>
      </c>
      <c r="I82" s="2">
        <v>5.5347999999999997</v>
      </c>
      <c r="J82" s="2">
        <v>22.845700000000001</v>
      </c>
      <c r="K82" s="2">
        <v>0.43590000000000001</v>
      </c>
      <c r="L82" s="2">
        <v>21.9909</v>
      </c>
      <c r="M82" s="2">
        <v>23.700399999999998</v>
      </c>
      <c r="O82" t="str">
        <f t="shared" si="15"/>
        <v>22.85 (21.99 to 23.70)</v>
      </c>
      <c r="P82" t="str">
        <f t="shared" si="16"/>
        <v>26.48 (25.65 to 27.32)</v>
      </c>
      <c r="Q82" t="str">
        <f t="shared" si="17"/>
        <v>27.84 (27.02 to 28.66)</v>
      </c>
      <c r="R82" t="str">
        <f t="shared" si="18"/>
        <v>28.08 (27.23 to 28.94)</v>
      </c>
    </row>
    <row r="83" spans="1:18" ht="17.25" thickBot="1" x14ac:dyDescent="0.35">
      <c r="A83" s="6"/>
      <c r="B83" s="11">
        <v>4</v>
      </c>
      <c r="C83" s="2">
        <v>9677</v>
      </c>
      <c r="D83" s="2">
        <v>4725701</v>
      </c>
      <c r="E83" s="2">
        <v>74067</v>
      </c>
      <c r="F83" s="2">
        <v>15.6212</v>
      </c>
      <c r="G83" s="2">
        <v>0.1976</v>
      </c>
      <c r="H83" s="2">
        <v>15.233700000000001</v>
      </c>
      <c r="I83" s="2">
        <v>16.008700000000001</v>
      </c>
      <c r="J83" s="2">
        <v>67.0518</v>
      </c>
      <c r="K83" s="2">
        <v>0.50380000000000003</v>
      </c>
      <c r="L83" s="2">
        <v>66.063800000000001</v>
      </c>
      <c r="M83" s="2">
        <v>68.039699999999996</v>
      </c>
      <c r="O83" t="str">
        <f t="shared" si="15"/>
        <v>67.05 (66.06 to 68.04)</v>
      </c>
      <c r="P83" t="str">
        <f t="shared" si="16"/>
        <v>55.82 (54.79 to 56.85)</v>
      </c>
      <c r="Q83" t="str">
        <f t="shared" si="17"/>
        <v>49.51 (48.48 to 50.55)</v>
      </c>
      <c r="R83" t="str">
        <f t="shared" si="18"/>
        <v>50.92 (49.86 to 51.98)</v>
      </c>
    </row>
    <row r="84" spans="1:18" ht="17.25" thickBot="1" x14ac:dyDescent="0.35">
      <c r="A84" s="6"/>
      <c r="B84" s="11" t="s">
        <v>153</v>
      </c>
      <c r="C84" s="2">
        <v>15457</v>
      </c>
      <c r="D84" s="2">
        <v>7047841</v>
      </c>
      <c r="E84" s="2">
        <v>85770</v>
      </c>
      <c r="F84" s="2">
        <v>23.2972</v>
      </c>
      <c r="G84" s="2">
        <v>0.20880000000000001</v>
      </c>
      <c r="H84" s="2">
        <v>22.887599999999999</v>
      </c>
      <c r="I84" s="2">
        <v>23.706700000000001</v>
      </c>
      <c r="J84" s="2">
        <v>100</v>
      </c>
      <c r="K84" s="2"/>
      <c r="L84" s="2"/>
      <c r="M84" s="2"/>
    </row>
    <row r="85" spans="1:18" ht="17.25" thickBot="1" x14ac:dyDescent="0.35">
      <c r="A85" s="6">
        <v>2</v>
      </c>
      <c r="B85" s="11">
        <v>1</v>
      </c>
      <c r="C85" s="2">
        <v>2234</v>
      </c>
      <c r="D85" s="2">
        <v>682095</v>
      </c>
      <c r="E85" s="2">
        <v>19244</v>
      </c>
      <c r="F85" s="2">
        <v>2.2547000000000001</v>
      </c>
      <c r="G85" s="2">
        <v>6.4500000000000002E-2</v>
      </c>
      <c r="H85" s="2">
        <v>2.1282999999999999</v>
      </c>
      <c r="I85" s="2">
        <v>2.3811</v>
      </c>
      <c r="J85" s="2">
        <v>9.0684000000000005</v>
      </c>
      <c r="K85" s="2">
        <v>0.25600000000000001</v>
      </c>
      <c r="L85" s="2">
        <v>8.5663999999999998</v>
      </c>
      <c r="M85" s="2">
        <v>9.5704999999999991</v>
      </c>
      <c r="O85" t="str">
        <f t="shared" ref="O85:O88" si="19">TEXT(J85,"0.00")&amp;" ("&amp;TEXT(L85,"0.00")&amp;" to "&amp;TEXT(M85,"0.00")&amp;")"</f>
        <v>9.07 (8.57 to 9.57)</v>
      </c>
    </row>
    <row r="86" spans="1:18" ht="17.25" thickBot="1" x14ac:dyDescent="0.35">
      <c r="A86" s="6"/>
      <c r="B86" s="11">
        <v>2</v>
      </c>
      <c r="C86" s="2">
        <v>1957</v>
      </c>
      <c r="D86" s="2">
        <v>648863</v>
      </c>
      <c r="E86" s="2">
        <v>18953</v>
      </c>
      <c r="F86" s="2">
        <v>2.1448999999999998</v>
      </c>
      <c r="G86" s="2">
        <v>6.25E-2</v>
      </c>
      <c r="H86" s="2">
        <v>2.0223</v>
      </c>
      <c r="I86" s="2">
        <v>2.2673999999999999</v>
      </c>
      <c r="J86" s="2">
        <v>8.6265999999999998</v>
      </c>
      <c r="K86" s="2">
        <v>0.24890000000000001</v>
      </c>
      <c r="L86" s="2">
        <v>8.1386000000000003</v>
      </c>
      <c r="M86" s="2">
        <v>9.1145999999999994</v>
      </c>
      <c r="O86" t="str">
        <f t="shared" si="19"/>
        <v>8.63 (8.14 to 9.11)</v>
      </c>
    </row>
    <row r="87" spans="1:18" ht="17.25" thickBot="1" x14ac:dyDescent="0.35">
      <c r="A87" s="6"/>
      <c r="B87" s="11">
        <v>3</v>
      </c>
      <c r="C87" s="2">
        <v>4529</v>
      </c>
      <c r="D87" s="2">
        <v>1992044</v>
      </c>
      <c r="E87" s="2">
        <v>38770</v>
      </c>
      <c r="F87" s="2">
        <v>6.5848000000000004</v>
      </c>
      <c r="G87" s="2">
        <v>0.1177</v>
      </c>
      <c r="H87" s="2">
        <v>6.3540000000000001</v>
      </c>
      <c r="I87" s="2">
        <v>6.8156999999999996</v>
      </c>
      <c r="J87" s="2">
        <v>26.484200000000001</v>
      </c>
      <c r="K87" s="2">
        <v>0.42799999999999999</v>
      </c>
      <c r="L87" s="2">
        <v>25.645</v>
      </c>
      <c r="M87" s="2">
        <v>27.323399999999999</v>
      </c>
      <c r="O87" t="str">
        <f t="shared" si="19"/>
        <v>26.48 (25.65 to 27.32)</v>
      </c>
    </row>
    <row r="88" spans="1:18" ht="17.25" thickBot="1" x14ac:dyDescent="0.35">
      <c r="A88" s="6"/>
      <c r="B88" s="11">
        <v>4</v>
      </c>
      <c r="C88" s="2">
        <v>8602</v>
      </c>
      <c r="D88" s="2">
        <v>4198631</v>
      </c>
      <c r="E88" s="2">
        <v>65561</v>
      </c>
      <c r="F88" s="2">
        <v>13.8789</v>
      </c>
      <c r="G88" s="2">
        <v>0.17610000000000001</v>
      </c>
      <c r="H88" s="2">
        <v>13.5336</v>
      </c>
      <c r="I88" s="2">
        <v>14.2241</v>
      </c>
      <c r="J88" s="2">
        <v>55.820700000000002</v>
      </c>
      <c r="K88" s="2">
        <v>0.52539999999999998</v>
      </c>
      <c r="L88" s="2">
        <v>54.790599999999998</v>
      </c>
      <c r="M88" s="2">
        <v>56.850900000000003</v>
      </c>
      <c r="O88" t="str">
        <f t="shared" si="19"/>
        <v>55.82 (54.79 to 56.85)</v>
      </c>
    </row>
    <row r="89" spans="1:18" ht="17.25" thickBot="1" x14ac:dyDescent="0.35">
      <c r="A89" s="6"/>
      <c r="B89" s="11" t="s">
        <v>153</v>
      </c>
      <c r="C89" s="2">
        <v>17322</v>
      </c>
      <c r="D89" s="2">
        <v>7521633</v>
      </c>
      <c r="E89" s="2">
        <v>82230</v>
      </c>
      <c r="F89" s="2">
        <v>24.863299999999999</v>
      </c>
      <c r="G89" s="2">
        <v>0.1913</v>
      </c>
      <c r="H89" s="2">
        <v>24.488199999999999</v>
      </c>
      <c r="I89" s="2">
        <v>25.238399999999999</v>
      </c>
      <c r="J89" s="2">
        <v>100</v>
      </c>
      <c r="K89" s="2"/>
      <c r="L89" s="2"/>
      <c r="M89" s="2"/>
    </row>
    <row r="90" spans="1:18" ht="17.25" thickBot="1" x14ac:dyDescent="0.35">
      <c r="A90" s="6">
        <v>3</v>
      </c>
      <c r="B90" s="11">
        <v>1</v>
      </c>
      <c r="C90" s="2">
        <v>2973</v>
      </c>
      <c r="D90" s="2">
        <v>895832</v>
      </c>
      <c r="E90" s="2">
        <v>22430</v>
      </c>
      <c r="F90" s="2">
        <v>2.9611999999999998</v>
      </c>
      <c r="G90" s="2">
        <v>7.5999999999999998E-2</v>
      </c>
      <c r="H90" s="2">
        <v>2.8121</v>
      </c>
      <c r="I90" s="2">
        <v>3.1103000000000001</v>
      </c>
      <c r="J90" s="2">
        <v>11.7941</v>
      </c>
      <c r="K90" s="2">
        <v>0.28970000000000001</v>
      </c>
      <c r="L90" s="2">
        <v>11.226100000000001</v>
      </c>
      <c r="M90" s="2">
        <v>12.3621</v>
      </c>
      <c r="O90" t="str">
        <f t="shared" ref="O90:O93" si="20">TEXT(J90,"0.00")&amp;" ("&amp;TEXT(L90,"0.00")&amp;" to "&amp;TEXT(M90,"0.00")&amp;")"</f>
        <v>11.79 (11.23 to 12.36)</v>
      </c>
    </row>
    <row r="91" spans="1:18" ht="17.25" thickBot="1" x14ac:dyDescent="0.35">
      <c r="A91" s="6"/>
      <c r="B91" s="11">
        <v>2</v>
      </c>
      <c r="C91" s="2">
        <v>2474</v>
      </c>
      <c r="D91" s="2">
        <v>824351</v>
      </c>
      <c r="E91" s="2">
        <v>21858</v>
      </c>
      <c r="F91" s="2">
        <v>2.7250000000000001</v>
      </c>
      <c r="G91" s="2">
        <v>7.1599999999999997E-2</v>
      </c>
      <c r="H91" s="2">
        <v>2.5846</v>
      </c>
      <c r="I91" s="2">
        <v>2.8653</v>
      </c>
      <c r="J91" s="2">
        <v>10.853</v>
      </c>
      <c r="K91" s="2">
        <v>0.27229999999999999</v>
      </c>
      <c r="L91" s="2">
        <v>10.319100000000001</v>
      </c>
      <c r="M91" s="2">
        <v>11.386900000000001</v>
      </c>
      <c r="O91" t="str">
        <f t="shared" si="20"/>
        <v>10.85 (10.32 to 11.39)</v>
      </c>
    </row>
    <row r="92" spans="1:18" ht="17.25" thickBot="1" x14ac:dyDescent="0.35">
      <c r="A92" s="6"/>
      <c r="B92" s="11">
        <v>3</v>
      </c>
      <c r="C92" s="2">
        <v>4818</v>
      </c>
      <c r="D92" s="2">
        <v>2114609</v>
      </c>
      <c r="E92" s="2">
        <v>38872</v>
      </c>
      <c r="F92" s="2">
        <v>6.99</v>
      </c>
      <c r="G92" s="2">
        <v>0.1182</v>
      </c>
      <c r="H92" s="2">
        <v>6.7583000000000002</v>
      </c>
      <c r="I92" s="2">
        <v>7.2217000000000002</v>
      </c>
      <c r="J92" s="2">
        <v>27.8399</v>
      </c>
      <c r="K92" s="2">
        <v>0.4199</v>
      </c>
      <c r="L92" s="2">
        <v>27.0167</v>
      </c>
      <c r="M92" s="2">
        <v>28.6632</v>
      </c>
      <c r="O92" t="str">
        <f t="shared" si="20"/>
        <v>27.84 (27.02 to 28.66)</v>
      </c>
    </row>
    <row r="93" spans="1:18" ht="17.25" thickBot="1" x14ac:dyDescent="0.35">
      <c r="A93" s="6"/>
      <c r="B93" s="11">
        <v>4</v>
      </c>
      <c r="C93" s="2">
        <v>7563</v>
      </c>
      <c r="D93" s="2">
        <v>3760802</v>
      </c>
      <c r="E93" s="2">
        <v>60270</v>
      </c>
      <c r="F93" s="2">
        <v>12.4316</v>
      </c>
      <c r="G93" s="2">
        <v>0.1648</v>
      </c>
      <c r="H93" s="2">
        <v>12.108499999999999</v>
      </c>
      <c r="I93" s="2">
        <v>12.7547</v>
      </c>
      <c r="J93" s="2">
        <v>49.512900000000002</v>
      </c>
      <c r="K93" s="2">
        <v>0.52739999999999998</v>
      </c>
      <c r="L93" s="2">
        <v>48.4788</v>
      </c>
      <c r="M93" s="2">
        <v>50.5471</v>
      </c>
      <c r="O93" t="str">
        <f t="shared" si="20"/>
        <v>49.51 (48.48 to 50.55)</v>
      </c>
    </row>
    <row r="94" spans="1:18" ht="17.25" thickBot="1" x14ac:dyDescent="0.35">
      <c r="A94" s="6"/>
      <c r="B94" s="11" t="s">
        <v>153</v>
      </c>
      <c r="C94" s="2">
        <v>17828</v>
      </c>
      <c r="D94" s="2">
        <v>7595594</v>
      </c>
      <c r="E94" s="2">
        <v>80574</v>
      </c>
      <c r="F94" s="2">
        <v>25.107800000000001</v>
      </c>
      <c r="G94" s="2">
        <v>0.19489999999999999</v>
      </c>
      <c r="H94" s="2">
        <v>24.7257</v>
      </c>
      <c r="I94" s="2">
        <v>25.489899999999999</v>
      </c>
      <c r="J94" s="2">
        <v>100</v>
      </c>
      <c r="K94" s="2"/>
      <c r="L94" s="2"/>
      <c r="M94" s="2"/>
    </row>
    <row r="95" spans="1:18" ht="17.25" thickBot="1" x14ac:dyDescent="0.35">
      <c r="A95" s="6">
        <v>4</v>
      </c>
      <c r="B95" s="11">
        <v>1</v>
      </c>
      <c r="C95" s="2">
        <v>2840</v>
      </c>
      <c r="D95" s="2">
        <v>853917</v>
      </c>
      <c r="E95" s="2">
        <v>21957</v>
      </c>
      <c r="F95" s="2">
        <v>2.8227000000000002</v>
      </c>
      <c r="G95" s="2">
        <v>7.3599999999999999E-2</v>
      </c>
      <c r="H95" s="2">
        <v>2.6783000000000001</v>
      </c>
      <c r="I95" s="2">
        <v>2.9670999999999998</v>
      </c>
      <c r="J95" s="2">
        <v>10.5593</v>
      </c>
      <c r="K95" s="2">
        <v>0.26319999999999999</v>
      </c>
      <c r="L95" s="2">
        <v>10.043200000000001</v>
      </c>
      <c r="M95" s="2">
        <v>11.0754</v>
      </c>
      <c r="O95" t="str">
        <f t="shared" ref="O95:O98" si="21">TEXT(J95,"0.00")&amp;" ("&amp;TEXT(L95,"0.00")&amp;" to "&amp;TEXT(M95,"0.00")&amp;")"</f>
        <v>10.56 (10.04 to 11.08)</v>
      </c>
    </row>
    <row r="96" spans="1:18" ht="17.25" thickBot="1" x14ac:dyDescent="0.35">
      <c r="A96" s="6"/>
      <c r="B96" s="11">
        <v>2</v>
      </c>
      <c r="C96" s="2">
        <v>2427</v>
      </c>
      <c r="D96" s="2">
        <v>844143</v>
      </c>
      <c r="E96" s="2">
        <v>21885</v>
      </c>
      <c r="F96" s="2">
        <v>2.7904</v>
      </c>
      <c r="G96" s="2">
        <v>7.2800000000000004E-2</v>
      </c>
      <c r="H96" s="2">
        <v>2.6475</v>
      </c>
      <c r="I96" s="2">
        <v>2.9331999999999998</v>
      </c>
      <c r="J96" s="2">
        <v>10.4384</v>
      </c>
      <c r="K96" s="2">
        <v>0.26</v>
      </c>
      <c r="L96" s="2">
        <v>9.9285999999999994</v>
      </c>
      <c r="M96" s="2">
        <v>10.9483</v>
      </c>
      <c r="O96" t="str">
        <f t="shared" si="21"/>
        <v>10.44 (9.93 to 10.95)</v>
      </c>
    </row>
    <row r="97" spans="1:18" ht="17.25" thickBot="1" x14ac:dyDescent="0.35">
      <c r="A97" s="6"/>
      <c r="B97" s="11">
        <v>3</v>
      </c>
      <c r="C97" s="2">
        <v>4862</v>
      </c>
      <c r="D97" s="2">
        <v>2271016</v>
      </c>
      <c r="E97" s="2">
        <v>42994</v>
      </c>
      <c r="F97" s="2">
        <v>7.5069999999999997</v>
      </c>
      <c r="G97" s="2">
        <v>0.13539999999999999</v>
      </c>
      <c r="H97" s="2">
        <v>7.2416</v>
      </c>
      <c r="I97" s="2">
        <v>7.7724000000000002</v>
      </c>
      <c r="J97" s="2">
        <v>28.082799999999999</v>
      </c>
      <c r="K97" s="2">
        <v>0.43659999999999999</v>
      </c>
      <c r="L97" s="2">
        <v>27.226700000000001</v>
      </c>
      <c r="M97" s="2">
        <v>28.938800000000001</v>
      </c>
      <c r="O97" t="str">
        <f t="shared" si="21"/>
        <v>28.08 (27.23 to 28.94)</v>
      </c>
    </row>
    <row r="98" spans="1:18" ht="17.25" thickBot="1" x14ac:dyDescent="0.35">
      <c r="A98" s="6"/>
      <c r="B98" s="11">
        <v>4</v>
      </c>
      <c r="C98" s="2">
        <v>7899</v>
      </c>
      <c r="D98" s="2">
        <v>4117793</v>
      </c>
      <c r="E98" s="2">
        <v>65238</v>
      </c>
      <c r="F98" s="2">
        <v>13.611700000000001</v>
      </c>
      <c r="G98" s="2">
        <v>0.17530000000000001</v>
      </c>
      <c r="H98" s="2">
        <v>13.267899999999999</v>
      </c>
      <c r="I98" s="2">
        <v>13.955500000000001</v>
      </c>
      <c r="J98" s="2">
        <v>50.919499999999999</v>
      </c>
      <c r="K98" s="2">
        <v>0.54239999999999999</v>
      </c>
      <c r="L98" s="2">
        <v>49.855899999999998</v>
      </c>
      <c r="M98" s="2">
        <v>51.9831</v>
      </c>
      <c r="O98" t="str">
        <f t="shared" si="21"/>
        <v>50.92 (49.86 to 51.98)</v>
      </c>
    </row>
    <row r="99" spans="1:18" ht="17.25" thickBot="1" x14ac:dyDescent="0.35">
      <c r="A99" s="6"/>
      <c r="B99" s="11" t="s">
        <v>153</v>
      </c>
      <c r="C99" s="2">
        <v>18028</v>
      </c>
      <c r="D99" s="2">
        <v>8086868</v>
      </c>
      <c r="E99" s="2">
        <v>85733</v>
      </c>
      <c r="F99" s="2">
        <v>26.7317</v>
      </c>
      <c r="G99" s="2">
        <v>0.2117</v>
      </c>
      <c r="H99" s="2">
        <v>26.316600000000001</v>
      </c>
      <c r="I99" s="2">
        <v>27.146899999999999</v>
      </c>
      <c r="J99" s="2">
        <v>100</v>
      </c>
      <c r="K99" s="2"/>
      <c r="L99" s="2"/>
      <c r="M99" s="2"/>
    </row>
    <row r="100" spans="1:18" ht="17.25" thickBot="1" x14ac:dyDescent="0.35">
      <c r="A100" s="6" t="s">
        <v>153</v>
      </c>
      <c r="B100" s="11">
        <v>1</v>
      </c>
      <c r="C100" s="2">
        <v>9199</v>
      </c>
      <c r="D100" s="2">
        <v>2778708</v>
      </c>
      <c r="E100" s="2">
        <v>48157</v>
      </c>
      <c r="F100" s="2">
        <v>9.1852</v>
      </c>
      <c r="G100" s="2">
        <v>0.16550000000000001</v>
      </c>
      <c r="H100" s="2">
        <v>8.8606999999999996</v>
      </c>
      <c r="I100" s="2">
        <v>9.5098000000000003</v>
      </c>
      <c r="J100" s="2"/>
      <c r="K100" s="2"/>
      <c r="L100" s="2"/>
      <c r="M100" s="2"/>
    </row>
    <row r="101" spans="1:18" ht="17.25" thickBot="1" x14ac:dyDescent="0.35">
      <c r="A101" s="6"/>
      <c r="B101" s="11">
        <v>2</v>
      </c>
      <c r="C101" s="2">
        <v>7937</v>
      </c>
      <c r="D101" s="2">
        <v>2682504</v>
      </c>
      <c r="E101" s="2">
        <v>43699</v>
      </c>
      <c r="F101" s="2">
        <v>8.8672000000000004</v>
      </c>
      <c r="G101" s="2">
        <v>0.14430000000000001</v>
      </c>
      <c r="H101" s="2">
        <v>8.5841999999999992</v>
      </c>
      <c r="I101" s="2">
        <v>9.1501999999999999</v>
      </c>
      <c r="J101" s="2"/>
      <c r="K101" s="2"/>
      <c r="L101" s="2"/>
      <c r="M101" s="2"/>
    </row>
    <row r="102" spans="1:18" ht="17.25" thickBot="1" x14ac:dyDescent="0.35">
      <c r="A102" s="6"/>
      <c r="B102" s="11">
        <v>3</v>
      </c>
      <c r="C102" s="2">
        <v>17758</v>
      </c>
      <c r="D102" s="2">
        <v>7987796</v>
      </c>
      <c r="E102" s="2">
        <v>95615</v>
      </c>
      <c r="F102" s="2">
        <v>26.404199999999999</v>
      </c>
      <c r="G102" s="2">
        <v>0.25690000000000002</v>
      </c>
      <c r="H102" s="2">
        <v>25.900500000000001</v>
      </c>
      <c r="I102" s="2">
        <v>26.908000000000001</v>
      </c>
      <c r="J102" s="2"/>
      <c r="K102" s="2"/>
      <c r="L102" s="2"/>
      <c r="M102" s="2"/>
    </row>
    <row r="103" spans="1:18" ht="17.25" thickBot="1" x14ac:dyDescent="0.35">
      <c r="A103" s="6"/>
      <c r="B103" s="11">
        <v>4</v>
      </c>
      <c r="C103" s="2">
        <v>33741</v>
      </c>
      <c r="D103" s="2">
        <v>16802927</v>
      </c>
      <c r="E103" s="2">
        <v>189742</v>
      </c>
      <c r="F103" s="2">
        <v>55.543300000000002</v>
      </c>
      <c r="G103" s="2">
        <v>0.36720000000000003</v>
      </c>
      <c r="H103" s="2">
        <v>54.8232</v>
      </c>
      <c r="I103" s="2">
        <v>56.263399999999997</v>
      </c>
      <c r="J103" s="2"/>
      <c r="K103" s="2"/>
      <c r="L103" s="2"/>
      <c r="M103" s="2"/>
    </row>
    <row r="104" spans="1:18" x14ac:dyDescent="0.3">
      <c r="A104" s="6"/>
      <c r="B104" s="14" t="s">
        <v>153</v>
      </c>
      <c r="C104" s="2">
        <v>68635</v>
      </c>
      <c r="D104" s="2">
        <v>30251936</v>
      </c>
      <c r="E104" s="2">
        <v>228758</v>
      </c>
      <c r="F104" s="2">
        <v>100</v>
      </c>
      <c r="G104" s="2"/>
      <c r="H104" s="2"/>
      <c r="I104" s="2"/>
      <c r="J104" s="2"/>
      <c r="K104" s="2"/>
      <c r="L104" s="2"/>
      <c r="M104" s="2"/>
    </row>
    <row r="105" spans="1:18" ht="17.25" thickBot="1" x14ac:dyDescent="0.35"/>
    <row r="106" spans="1:18" ht="16.5" customHeight="1" x14ac:dyDescent="0.3">
      <c r="A106" s="16" t="s">
        <v>224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spans="1:18" ht="33" customHeight="1" x14ac:dyDescent="0.3">
      <c r="A107" s="17" t="s">
        <v>77</v>
      </c>
      <c r="B107" s="19" t="s">
        <v>9</v>
      </c>
      <c r="C107" s="19" t="s">
        <v>146</v>
      </c>
      <c r="D107" s="3" t="s">
        <v>147</v>
      </c>
      <c r="E107" s="3" t="s">
        <v>148</v>
      </c>
      <c r="F107" s="19" t="s">
        <v>150</v>
      </c>
      <c r="G107" s="3" t="s">
        <v>148</v>
      </c>
      <c r="H107" s="19" t="s">
        <v>151</v>
      </c>
      <c r="I107" s="19"/>
      <c r="J107" s="3" t="s">
        <v>170</v>
      </c>
      <c r="K107" s="3" t="s">
        <v>148</v>
      </c>
      <c r="L107" s="19" t="s">
        <v>151</v>
      </c>
      <c r="M107" s="19"/>
    </row>
    <row r="108" spans="1:18" ht="33" x14ac:dyDescent="0.3">
      <c r="A108" s="17"/>
      <c r="B108" s="19"/>
      <c r="C108" s="19"/>
      <c r="D108" s="3" t="s">
        <v>146</v>
      </c>
      <c r="E108" s="3" t="s">
        <v>149</v>
      </c>
      <c r="F108" s="19"/>
      <c r="G108" s="3" t="s">
        <v>150</v>
      </c>
      <c r="H108" s="19" t="s">
        <v>152</v>
      </c>
      <c r="I108" s="19"/>
      <c r="J108" s="3" t="s">
        <v>150</v>
      </c>
      <c r="K108" s="3" t="s">
        <v>171</v>
      </c>
      <c r="L108" s="19" t="s">
        <v>172</v>
      </c>
      <c r="M108" s="19"/>
    </row>
    <row r="109" spans="1:18" ht="17.25" thickBot="1" x14ac:dyDescent="0.35">
      <c r="A109" s="6">
        <v>1</v>
      </c>
      <c r="B109" s="11">
        <v>1</v>
      </c>
      <c r="C109" s="2">
        <v>2041</v>
      </c>
      <c r="D109" s="2">
        <v>801375</v>
      </c>
      <c r="E109" s="2">
        <v>25975</v>
      </c>
      <c r="F109" s="2">
        <v>2.649</v>
      </c>
      <c r="G109" s="2">
        <v>8.6099999999999996E-2</v>
      </c>
      <c r="H109" s="2">
        <v>2.4802</v>
      </c>
      <c r="I109" s="2">
        <v>2.8178000000000001</v>
      </c>
      <c r="J109" s="2">
        <v>11.3705</v>
      </c>
      <c r="K109" s="2">
        <v>0.3584</v>
      </c>
      <c r="L109" s="2">
        <v>10.6678</v>
      </c>
      <c r="M109" s="2">
        <v>12.0733</v>
      </c>
      <c r="O109" t="str">
        <f t="shared" ref="O109:O112" si="22">TEXT(J109,"0.00")&amp;" ("&amp;TEXT(L109,"0.00")&amp;" to "&amp;TEXT(M109,"0.00")&amp;")"</f>
        <v>11.37 (10.67 to 12.07)</v>
      </c>
      <c r="P109" t="str">
        <f>O114</f>
        <v>12.75 (12.08 to 13.42)</v>
      </c>
      <c r="Q109" t="str">
        <f>O119</f>
        <v>13.61 (12.95 to 14.28)</v>
      </c>
      <c r="R109" t="str">
        <f>O124</f>
        <v>14.12 (13.45 to 14.78)</v>
      </c>
    </row>
    <row r="110" spans="1:18" ht="17.25" thickBot="1" x14ac:dyDescent="0.35">
      <c r="A110" s="6"/>
      <c r="B110" s="11">
        <v>2</v>
      </c>
      <c r="C110" s="2">
        <v>3496</v>
      </c>
      <c r="D110" s="2">
        <v>1616988</v>
      </c>
      <c r="E110" s="2">
        <v>37443</v>
      </c>
      <c r="F110" s="2">
        <v>5.3451000000000004</v>
      </c>
      <c r="G110" s="2">
        <v>0.1188</v>
      </c>
      <c r="H110" s="2">
        <v>5.1120999999999999</v>
      </c>
      <c r="I110" s="2">
        <v>5.5780000000000003</v>
      </c>
      <c r="J110" s="2">
        <v>22.943000000000001</v>
      </c>
      <c r="K110" s="2">
        <v>0.47710000000000002</v>
      </c>
      <c r="L110" s="2">
        <v>22.0075</v>
      </c>
      <c r="M110" s="2">
        <v>23.878499999999999</v>
      </c>
      <c r="O110" t="str">
        <f t="shared" si="22"/>
        <v>22.94 (22.01 to 23.88)</v>
      </c>
      <c r="P110" t="str">
        <f t="shared" ref="P110:P112" si="23">O115</f>
        <v>23.40 (22.52 to 24.27)</v>
      </c>
      <c r="Q110" t="str">
        <f t="shared" ref="Q110:Q112" si="24">O120</f>
        <v>24.66 (23.78 to 25.54)</v>
      </c>
      <c r="R110" t="str">
        <f t="shared" ref="R110:R112" si="25">O125</f>
        <v>24.95 (24.08 to 25.82)</v>
      </c>
    </row>
    <row r="111" spans="1:18" ht="17.25" thickBot="1" x14ac:dyDescent="0.35">
      <c r="A111" s="6"/>
      <c r="B111" s="11">
        <v>3</v>
      </c>
      <c r="C111" s="2">
        <v>4591</v>
      </c>
      <c r="D111" s="2">
        <v>2155837</v>
      </c>
      <c r="E111" s="2">
        <v>44495</v>
      </c>
      <c r="F111" s="2">
        <v>7.1262999999999996</v>
      </c>
      <c r="G111" s="2">
        <v>0.13289999999999999</v>
      </c>
      <c r="H111" s="2">
        <v>6.8655999999999997</v>
      </c>
      <c r="I111" s="2">
        <v>7.3868999999999998</v>
      </c>
      <c r="J111" s="2">
        <v>30.5886</v>
      </c>
      <c r="K111" s="2">
        <v>0.50919999999999999</v>
      </c>
      <c r="L111" s="2">
        <v>29.590199999999999</v>
      </c>
      <c r="M111" s="2">
        <v>31.587</v>
      </c>
      <c r="O111" t="str">
        <f t="shared" si="22"/>
        <v>30.59 (29.59 to 31.59)</v>
      </c>
      <c r="P111" t="str">
        <f t="shared" si="23"/>
        <v>30.70 (29.75 to 31.66)</v>
      </c>
      <c r="Q111" t="str">
        <f t="shared" si="24"/>
        <v>29.67 (28.76 to 30.58)</v>
      </c>
      <c r="R111" t="str">
        <f t="shared" si="25"/>
        <v>30.56 (29.64 to 31.48)</v>
      </c>
    </row>
    <row r="112" spans="1:18" ht="17.25" thickBot="1" x14ac:dyDescent="0.35">
      <c r="A112" s="6"/>
      <c r="B112" s="11">
        <v>4</v>
      </c>
      <c r="C112" s="2">
        <v>5329</v>
      </c>
      <c r="D112" s="2">
        <v>2473640</v>
      </c>
      <c r="E112" s="2">
        <v>56565</v>
      </c>
      <c r="F112" s="2">
        <v>8.1768000000000001</v>
      </c>
      <c r="G112" s="2">
        <v>0.16830000000000001</v>
      </c>
      <c r="H112" s="2">
        <v>7.8468</v>
      </c>
      <c r="I112" s="2">
        <v>8.5068000000000001</v>
      </c>
      <c r="J112" s="2">
        <v>35.097799999999999</v>
      </c>
      <c r="K112" s="2">
        <v>0.62490000000000001</v>
      </c>
      <c r="L112" s="2">
        <v>33.872500000000002</v>
      </c>
      <c r="M112" s="2">
        <v>36.3232</v>
      </c>
      <c r="O112" t="str">
        <f t="shared" si="22"/>
        <v>35.10 (33.87 to 36.32)</v>
      </c>
      <c r="P112" t="str">
        <f t="shared" si="23"/>
        <v>33.15 (32.04 to 34.26)</v>
      </c>
      <c r="Q112" t="str">
        <f t="shared" si="24"/>
        <v>32.06 (31.02 to 33.10)</v>
      </c>
      <c r="R112" t="str">
        <f t="shared" si="25"/>
        <v>30.37 (29.33 to 31.41)</v>
      </c>
    </row>
    <row r="113" spans="1:15" ht="17.25" thickBot="1" x14ac:dyDescent="0.35">
      <c r="A113" s="6"/>
      <c r="B113" s="11" t="s">
        <v>153</v>
      </c>
      <c r="C113" s="2">
        <v>15457</v>
      </c>
      <c r="D113" s="2">
        <v>7047841</v>
      </c>
      <c r="E113" s="2">
        <v>85770</v>
      </c>
      <c r="F113" s="2">
        <v>23.2972</v>
      </c>
      <c r="G113" s="2">
        <v>0.20880000000000001</v>
      </c>
      <c r="H113" s="2">
        <v>22.887599999999999</v>
      </c>
      <c r="I113" s="2">
        <v>23.706700000000001</v>
      </c>
      <c r="J113" s="2">
        <v>100</v>
      </c>
      <c r="K113" s="2"/>
      <c r="L113" s="2"/>
      <c r="M113" s="2"/>
    </row>
    <row r="114" spans="1:15" ht="17.25" thickBot="1" x14ac:dyDescent="0.35">
      <c r="A114" s="6">
        <v>2</v>
      </c>
      <c r="B114" s="11">
        <v>1</v>
      </c>
      <c r="C114" s="2">
        <v>2774</v>
      </c>
      <c r="D114" s="2">
        <v>959089</v>
      </c>
      <c r="E114" s="2">
        <v>26151</v>
      </c>
      <c r="F114" s="2">
        <v>3.1703000000000001</v>
      </c>
      <c r="G114" s="2">
        <v>8.72E-2</v>
      </c>
      <c r="H114" s="2">
        <v>2.9992999999999999</v>
      </c>
      <c r="I114" s="2">
        <v>3.3414000000000001</v>
      </c>
      <c r="J114" s="2">
        <v>12.751099999999999</v>
      </c>
      <c r="K114" s="2">
        <v>0.34129999999999999</v>
      </c>
      <c r="L114" s="2">
        <v>12.081899999999999</v>
      </c>
      <c r="M114" s="2">
        <v>13.420199999999999</v>
      </c>
      <c r="O114" t="str">
        <f t="shared" ref="O114:O117" si="26">TEXT(J114,"0.00")&amp;" ("&amp;TEXT(L114,"0.00")&amp;" to "&amp;TEXT(M114,"0.00")&amp;")"</f>
        <v>12.75 (12.08 to 13.42)</v>
      </c>
    </row>
    <row r="115" spans="1:15" ht="17.25" thickBot="1" x14ac:dyDescent="0.35">
      <c r="A115" s="6"/>
      <c r="B115" s="11">
        <v>2</v>
      </c>
      <c r="C115" s="2">
        <v>4127</v>
      </c>
      <c r="D115" s="2">
        <v>1759688</v>
      </c>
      <c r="E115" s="2">
        <v>37646</v>
      </c>
      <c r="F115" s="2">
        <v>5.8167999999999997</v>
      </c>
      <c r="G115" s="2">
        <v>0.1191</v>
      </c>
      <c r="H115" s="2">
        <v>5.5831999999999997</v>
      </c>
      <c r="I115" s="2">
        <v>6.0503</v>
      </c>
      <c r="J115" s="2">
        <v>23.395</v>
      </c>
      <c r="K115" s="2">
        <v>0.44600000000000001</v>
      </c>
      <c r="L115" s="2">
        <v>22.520399999999999</v>
      </c>
      <c r="M115" s="2">
        <v>24.269600000000001</v>
      </c>
      <c r="O115" t="str">
        <f t="shared" si="26"/>
        <v>23.40 (22.52 to 24.27)</v>
      </c>
    </row>
    <row r="116" spans="1:15" ht="17.25" thickBot="1" x14ac:dyDescent="0.35">
      <c r="A116" s="6"/>
      <c r="B116" s="11">
        <v>3</v>
      </c>
      <c r="C116" s="2">
        <v>5005</v>
      </c>
      <c r="D116" s="2">
        <v>2309341</v>
      </c>
      <c r="E116" s="2">
        <v>45416</v>
      </c>
      <c r="F116" s="2">
        <v>7.6337000000000002</v>
      </c>
      <c r="G116" s="2">
        <v>0.13439999999999999</v>
      </c>
      <c r="H116" s="2">
        <v>7.3700999999999999</v>
      </c>
      <c r="I116" s="2">
        <v>7.8973000000000004</v>
      </c>
      <c r="J116" s="2">
        <v>30.7026</v>
      </c>
      <c r="K116" s="2">
        <v>0.48680000000000001</v>
      </c>
      <c r="L116" s="2">
        <v>29.748200000000001</v>
      </c>
      <c r="M116" s="2">
        <v>31.6571</v>
      </c>
      <c r="O116" t="str">
        <f t="shared" si="26"/>
        <v>30.70 (29.75 to 31.66)</v>
      </c>
    </row>
    <row r="117" spans="1:15" ht="17.25" thickBot="1" x14ac:dyDescent="0.35">
      <c r="A117" s="6"/>
      <c r="B117" s="11">
        <v>4</v>
      </c>
      <c r="C117" s="2">
        <v>5416</v>
      </c>
      <c r="D117" s="2">
        <v>2493516</v>
      </c>
      <c r="E117" s="2">
        <v>52837</v>
      </c>
      <c r="F117" s="2">
        <v>8.2424999999999997</v>
      </c>
      <c r="G117" s="2">
        <v>0.15629999999999999</v>
      </c>
      <c r="H117" s="2">
        <v>7.9359000000000002</v>
      </c>
      <c r="I117" s="2">
        <v>8.5490999999999993</v>
      </c>
      <c r="J117" s="2">
        <v>33.151299999999999</v>
      </c>
      <c r="K117" s="2">
        <v>0.56530000000000002</v>
      </c>
      <c r="L117" s="2">
        <v>32.042700000000004</v>
      </c>
      <c r="M117" s="2">
        <v>34.259799999999998</v>
      </c>
      <c r="O117" t="str">
        <f t="shared" si="26"/>
        <v>33.15 (32.04 to 34.26)</v>
      </c>
    </row>
    <row r="118" spans="1:15" ht="17.25" thickBot="1" x14ac:dyDescent="0.35">
      <c r="A118" s="6"/>
      <c r="B118" s="11" t="s">
        <v>153</v>
      </c>
      <c r="C118" s="2">
        <v>17322</v>
      </c>
      <c r="D118" s="2">
        <v>7521633</v>
      </c>
      <c r="E118" s="2">
        <v>82230</v>
      </c>
      <c r="F118" s="2">
        <v>24.863299999999999</v>
      </c>
      <c r="G118" s="2">
        <v>0.1913</v>
      </c>
      <c r="H118" s="2">
        <v>24.488199999999999</v>
      </c>
      <c r="I118" s="2">
        <v>25.238399999999999</v>
      </c>
      <c r="J118" s="2">
        <v>100</v>
      </c>
      <c r="K118" s="2"/>
      <c r="L118" s="2"/>
      <c r="M118" s="2"/>
    </row>
    <row r="119" spans="1:15" ht="17.25" thickBot="1" x14ac:dyDescent="0.35">
      <c r="A119" s="6">
        <v>3</v>
      </c>
      <c r="B119" s="11">
        <v>1</v>
      </c>
      <c r="C119" s="2">
        <v>3147</v>
      </c>
      <c r="D119" s="2">
        <v>1034098</v>
      </c>
      <c r="E119" s="2">
        <v>26406</v>
      </c>
      <c r="F119" s="2">
        <v>3.4182999999999999</v>
      </c>
      <c r="G119" s="2">
        <v>8.9700000000000002E-2</v>
      </c>
      <c r="H119" s="2">
        <v>3.2423999999999999</v>
      </c>
      <c r="I119" s="2">
        <v>3.5941000000000001</v>
      </c>
      <c r="J119" s="2">
        <v>13.6144</v>
      </c>
      <c r="K119" s="2">
        <v>0.33789999999999998</v>
      </c>
      <c r="L119" s="2">
        <v>12.9518</v>
      </c>
      <c r="M119" s="2">
        <v>14.277100000000001</v>
      </c>
      <c r="O119" t="str">
        <f t="shared" ref="O119:O122" si="27">TEXT(J119,"0.00")&amp;" ("&amp;TEXT(L119,"0.00")&amp;" to "&amp;TEXT(M119,"0.00")&amp;")"</f>
        <v>13.61 (12.95 to 14.28)</v>
      </c>
    </row>
    <row r="120" spans="1:15" ht="17.25" thickBot="1" x14ac:dyDescent="0.35">
      <c r="A120" s="6"/>
      <c r="B120" s="11">
        <v>2</v>
      </c>
      <c r="C120" s="2">
        <v>4556</v>
      </c>
      <c r="D120" s="2">
        <v>1872905</v>
      </c>
      <c r="E120" s="2">
        <v>38222</v>
      </c>
      <c r="F120" s="2">
        <v>6.1909999999999998</v>
      </c>
      <c r="G120" s="2">
        <v>0.12239999999999999</v>
      </c>
      <c r="H120" s="2">
        <v>5.9509999999999996</v>
      </c>
      <c r="I120" s="2">
        <v>6.431</v>
      </c>
      <c r="J120" s="2">
        <v>24.657800000000002</v>
      </c>
      <c r="K120" s="2">
        <v>0.44790000000000002</v>
      </c>
      <c r="L120" s="2">
        <v>23.779499999999999</v>
      </c>
      <c r="M120" s="2">
        <v>25.536000000000001</v>
      </c>
      <c r="O120" t="str">
        <f t="shared" si="27"/>
        <v>24.66 (23.78 to 25.54)</v>
      </c>
    </row>
    <row r="121" spans="1:15" ht="17.25" thickBot="1" x14ac:dyDescent="0.35">
      <c r="A121" s="6"/>
      <c r="B121" s="11">
        <v>3</v>
      </c>
      <c r="C121" s="2">
        <v>4916</v>
      </c>
      <c r="D121" s="2">
        <v>2253623</v>
      </c>
      <c r="E121" s="2">
        <v>43880</v>
      </c>
      <c r="F121" s="2">
        <v>7.4494999999999996</v>
      </c>
      <c r="G121" s="2">
        <v>0.13070000000000001</v>
      </c>
      <c r="H121" s="2">
        <v>7.1932999999999998</v>
      </c>
      <c r="I121" s="2">
        <v>7.7057000000000002</v>
      </c>
      <c r="J121" s="2">
        <v>29.670100000000001</v>
      </c>
      <c r="K121" s="2">
        <v>0.46250000000000002</v>
      </c>
      <c r="L121" s="2">
        <v>28.763300000000001</v>
      </c>
      <c r="M121" s="2">
        <v>30.577000000000002</v>
      </c>
      <c r="O121" t="str">
        <f t="shared" si="27"/>
        <v>29.67 (28.76 to 30.58)</v>
      </c>
    </row>
    <row r="122" spans="1:15" ht="17.25" thickBot="1" x14ac:dyDescent="0.35">
      <c r="A122" s="6"/>
      <c r="B122" s="11">
        <v>4</v>
      </c>
      <c r="C122" s="2">
        <v>5209</v>
      </c>
      <c r="D122" s="2">
        <v>2434969</v>
      </c>
      <c r="E122" s="2">
        <v>49739</v>
      </c>
      <c r="F122" s="2">
        <v>8.0489999999999995</v>
      </c>
      <c r="G122" s="2">
        <v>0.14499999999999999</v>
      </c>
      <c r="H122" s="2">
        <v>7.7645999999999997</v>
      </c>
      <c r="I122" s="2">
        <v>8.3333999999999993</v>
      </c>
      <c r="J122" s="2">
        <v>32.057600000000001</v>
      </c>
      <c r="K122" s="2">
        <v>0.53069999999999995</v>
      </c>
      <c r="L122" s="2">
        <v>31.016999999999999</v>
      </c>
      <c r="M122" s="2">
        <v>33.098300000000002</v>
      </c>
      <c r="O122" t="str">
        <f t="shared" si="27"/>
        <v>32.06 (31.02 to 33.10)</v>
      </c>
    </row>
    <row r="123" spans="1:15" ht="17.25" thickBot="1" x14ac:dyDescent="0.35">
      <c r="A123" s="6"/>
      <c r="B123" s="11" t="s">
        <v>153</v>
      </c>
      <c r="C123" s="2">
        <v>17828</v>
      </c>
      <c r="D123" s="2">
        <v>7595594</v>
      </c>
      <c r="E123" s="2">
        <v>80574</v>
      </c>
      <c r="F123" s="2">
        <v>25.107800000000001</v>
      </c>
      <c r="G123" s="2">
        <v>0.19489999999999999</v>
      </c>
      <c r="H123" s="2">
        <v>24.7257</v>
      </c>
      <c r="I123" s="2">
        <v>25.489899999999999</v>
      </c>
      <c r="J123" s="2">
        <v>100</v>
      </c>
      <c r="K123" s="2"/>
      <c r="L123" s="2"/>
      <c r="M123" s="2"/>
    </row>
    <row r="124" spans="1:15" ht="17.25" thickBot="1" x14ac:dyDescent="0.35">
      <c r="A124" s="6">
        <v>4</v>
      </c>
      <c r="B124" s="11">
        <v>1</v>
      </c>
      <c r="C124" s="2">
        <v>3303</v>
      </c>
      <c r="D124" s="2">
        <v>1141594</v>
      </c>
      <c r="E124" s="2">
        <v>28098</v>
      </c>
      <c r="F124" s="2">
        <v>3.7736000000000001</v>
      </c>
      <c r="G124" s="2">
        <v>9.5399999999999999E-2</v>
      </c>
      <c r="H124" s="2">
        <v>3.5865999999999998</v>
      </c>
      <c r="I124" s="2">
        <v>3.9605999999999999</v>
      </c>
      <c r="J124" s="2">
        <v>14.1166</v>
      </c>
      <c r="K124" s="2">
        <v>0.33879999999999999</v>
      </c>
      <c r="L124" s="2">
        <v>13.452299999999999</v>
      </c>
      <c r="M124" s="2">
        <v>14.781000000000001</v>
      </c>
      <c r="O124" t="str">
        <f t="shared" ref="O124:O127" si="28">TEXT(J124,"0.00")&amp;" ("&amp;TEXT(L124,"0.00")&amp;" to "&amp;TEXT(M124,"0.00")&amp;")"</f>
        <v>14.12 (13.45 to 14.78)</v>
      </c>
    </row>
    <row r="125" spans="1:15" ht="17.25" thickBot="1" x14ac:dyDescent="0.35">
      <c r="A125" s="6"/>
      <c r="B125" s="11">
        <v>2</v>
      </c>
      <c r="C125" s="2">
        <v>4655</v>
      </c>
      <c r="D125" s="2">
        <v>2017944</v>
      </c>
      <c r="E125" s="2">
        <v>41415</v>
      </c>
      <c r="F125" s="2">
        <v>6.6704999999999997</v>
      </c>
      <c r="G125" s="2">
        <v>0.13339999999999999</v>
      </c>
      <c r="H125" s="2">
        <v>6.4089</v>
      </c>
      <c r="I125" s="2">
        <v>6.9320000000000004</v>
      </c>
      <c r="J125" s="2">
        <v>24.953299999999999</v>
      </c>
      <c r="K125" s="2">
        <v>0.44319999999999998</v>
      </c>
      <c r="L125" s="2">
        <v>24.084299999999999</v>
      </c>
      <c r="M125" s="2">
        <v>25.822399999999998</v>
      </c>
      <c r="O125" t="str">
        <f t="shared" si="28"/>
        <v>24.95 (24.08 to 25.82)</v>
      </c>
    </row>
    <row r="126" spans="1:15" ht="17.25" thickBot="1" x14ac:dyDescent="0.35">
      <c r="A126" s="6"/>
      <c r="B126" s="11">
        <v>3</v>
      </c>
      <c r="C126" s="2">
        <v>5074</v>
      </c>
      <c r="D126" s="2">
        <v>2471309</v>
      </c>
      <c r="E126" s="2">
        <v>48203</v>
      </c>
      <c r="F126" s="2">
        <v>8.1691000000000003</v>
      </c>
      <c r="G126" s="2">
        <v>0.14330000000000001</v>
      </c>
      <c r="H126" s="2">
        <v>7.8879999999999999</v>
      </c>
      <c r="I126" s="2">
        <v>8.4502000000000006</v>
      </c>
      <c r="J126" s="2">
        <v>30.5595</v>
      </c>
      <c r="K126" s="2">
        <v>0.46829999999999999</v>
      </c>
      <c r="L126" s="2">
        <v>29.641200000000001</v>
      </c>
      <c r="M126" s="2">
        <v>31.477900000000002</v>
      </c>
      <c r="O126" t="str">
        <f t="shared" si="28"/>
        <v>30.56 (29.64 to 31.48)</v>
      </c>
    </row>
    <row r="127" spans="1:15" ht="17.25" thickBot="1" x14ac:dyDescent="0.35">
      <c r="A127" s="6"/>
      <c r="B127" s="11">
        <v>4</v>
      </c>
      <c r="C127" s="2">
        <v>4996</v>
      </c>
      <c r="D127" s="2">
        <v>2456021</v>
      </c>
      <c r="E127" s="2">
        <v>50778</v>
      </c>
      <c r="F127" s="2">
        <v>8.1186000000000007</v>
      </c>
      <c r="G127" s="2">
        <v>0.14949999999999999</v>
      </c>
      <c r="H127" s="2">
        <v>7.8254000000000001</v>
      </c>
      <c r="I127" s="2">
        <v>8.4116999999999997</v>
      </c>
      <c r="J127" s="2">
        <v>30.3705</v>
      </c>
      <c r="K127" s="2">
        <v>0.53</v>
      </c>
      <c r="L127" s="2">
        <v>29.331199999999999</v>
      </c>
      <c r="M127" s="2">
        <v>31.409700000000001</v>
      </c>
      <c r="O127" t="str">
        <f t="shared" si="28"/>
        <v>30.37 (29.33 to 31.41)</v>
      </c>
    </row>
    <row r="128" spans="1:15" ht="17.25" thickBot="1" x14ac:dyDescent="0.35">
      <c r="A128" s="6"/>
      <c r="B128" s="11" t="s">
        <v>153</v>
      </c>
      <c r="C128" s="2">
        <v>18028</v>
      </c>
      <c r="D128" s="2">
        <v>8086868</v>
      </c>
      <c r="E128" s="2">
        <v>85733</v>
      </c>
      <c r="F128" s="2">
        <v>26.7317</v>
      </c>
      <c r="G128" s="2">
        <v>0.2117</v>
      </c>
      <c r="H128" s="2">
        <v>26.316600000000001</v>
      </c>
      <c r="I128" s="2">
        <v>27.146899999999999</v>
      </c>
      <c r="J128" s="2">
        <v>100</v>
      </c>
      <c r="K128" s="2"/>
      <c r="L128" s="2"/>
      <c r="M128" s="2"/>
    </row>
    <row r="129" spans="1:18" ht="17.25" thickBot="1" x14ac:dyDescent="0.35">
      <c r="A129" s="6" t="s">
        <v>153</v>
      </c>
      <c r="B129" s="11">
        <v>1</v>
      </c>
      <c r="C129" s="2">
        <v>11265</v>
      </c>
      <c r="D129" s="2">
        <v>3936155</v>
      </c>
      <c r="E129" s="2">
        <v>65921</v>
      </c>
      <c r="F129" s="2">
        <v>13.0113</v>
      </c>
      <c r="G129" s="2">
        <v>0.22689999999999999</v>
      </c>
      <c r="H129" s="2">
        <v>12.5664</v>
      </c>
      <c r="I129" s="2">
        <v>13.456099999999999</v>
      </c>
      <c r="J129" s="2"/>
      <c r="K129" s="2"/>
      <c r="L129" s="2"/>
      <c r="M129" s="2"/>
    </row>
    <row r="130" spans="1:18" ht="17.25" thickBot="1" x14ac:dyDescent="0.35">
      <c r="A130" s="6"/>
      <c r="B130" s="11">
        <v>2</v>
      </c>
      <c r="C130" s="2">
        <v>16834</v>
      </c>
      <c r="D130" s="2">
        <v>7267525</v>
      </c>
      <c r="E130" s="2">
        <v>98219</v>
      </c>
      <c r="F130" s="2">
        <v>24.023299999999999</v>
      </c>
      <c r="G130" s="2">
        <v>0.29559999999999997</v>
      </c>
      <c r="H130" s="2">
        <v>23.4437</v>
      </c>
      <c r="I130" s="2">
        <v>24.603000000000002</v>
      </c>
      <c r="J130" s="2"/>
      <c r="K130" s="2"/>
      <c r="L130" s="2"/>
      <c r="M130" s="2"/>
    </row>
    <row r="131" spans="1:18" ht="17.25" thickBot="1" x14ac:dyDescent="0.35">
      <c r="A131" s="6"/>
      <c r="B131" s="11">
        <v>3</v>
      </c>
      <c r="C131" s="2">
        <v>19586</v>
      </c>
      <c r="D131" s="2">
        <v>9190109</v>
      </c>
      <c r="E131" s="2">
        <v>122325</v>
      </c>
      <c r="F131" s="2">
        <v>30.378599999999999</v>
      </c>
      <c r="G131" s="2">
        <v>0.30769999999999997</v>
      </c>
      <c r="H131" s="2">
        <v>29.775200000000002</v>
      </c>
      <c r="I131" s="2">
        <v>30.9819</v>
      </c>
      <c r="J131" s="2"/>
      <c r="K131" s="2"/>
      <c r="L131" s="2"/>
      <c r="M131" s="2"/>
    </row>
    <row r="132" spans="1:18" ht="17.25" thickBot="1" x14ac:dyDescent="0.35">
      <c r="A132" s="6"/>
      <c r="B132" s="11">
        <v>4</v>
      </c>
      <c r="C132" s="2">
        <v>20950</v>
      </c>
      <c r="D132" s="2">
        <v>9858146</v>
      </c>
      <c r="E132" s="2">
        <v>157165</v>
      </c>
      <c r="F132" s="2">
        <v>32.586799999999997</v>
      </c>
      <c r="G132" s="2">
        <v>0.41460000000000002</v>
      </c>
      <c r="H132" s="2">
        <v>31.774000000000001</v>
      </c>
      <c r="I132" s="2">
        <v>33.399700000000003</v>
      </c>
      <c r="J132" s="2"/>
      <c r="K132" s="2"/>
      <c r="L132" s="2"/>
      <c r="M132" s="2"/>
    </row>
    <row r="133" spans="1:18" x14ac:dyDescent="0.3">
      <c r="A133" s="6"/>
      <c r="B133" s="14" t="s">
        <v>153</v>
      </c>
      <c r="C133" s="2">
        <v>68635</v>
      </c>
      <c r="D133" s="2">
        <v>30251936</v>
      </c>
      <c r="E133" s="2">
        <v>228758</v>
      </c>
      <c r="F133" s="2">
        <v>100</v>
      </c>
      <c r="G133" s="2"/>
      <c r="H133" s="2"/>
      <c r="I133" s="2"/>
      <c r="J133" s="2"/>
      <c r="K133" s="2"/>
      <c r="L133" s="2"/>
      <c r="M133" s="2"/>
    </row>
    <row r="134" spans="1:18" ht="17.25" thickBot="1" x14ac:dyDescent="0.35"/>
    <row r="135" spans="1:18" ht="16.5" customHeight="1" x14ac:dyDescent="0.3">
      <c r="A135" s="16" t="s">
        <v>225</v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</row>
    <row r="136" spans="1:18" ht="33" customHeight="1" x14ac:dyDescent="0.3">
      <c r="A136" s="17" t="s">
        <v>77</v>
      </c>
      <c r="B136" s="19" t="s">
        <v>10</v>
      </c>
      <c r="C136" s="19" t="s">
        <v>146</v>
      </c>
      <c r="D136" s="3" t="s">
        <v>147</v>
      </c>
      <c r="E136" s="3" t="s">
        <v>148</v>
      </c>
      <c r="F136" s="19" t="s">
        <v>150</v>
      </c>
      <c r="G136" s="3" t="s">
        <v>148</v>
      </c>
      <c r="H136" s="19" t="s">
        <v>151</v>
      </c>
      <c r="I136" s="19"/>
      <c r="J136" s="3" t="s">
        <v>170</v>
      </c>
      <c r="K136" s="3" t="s">
        <v>148</v>
      </c>
      <c r="L136" s="19" t="s">
        <v>151</v>
      </c>
      <c r="M136" s="19"/>
    </row>
    <row r="137" spans="1:18" ht="33" x14ac:dyDescent="0.3">
      <c r="A137" s="17"/>
      <c r="B137" s="19"/>
      <c r="C137" s="19"/>
      <c r="D137" s="3" t="s">
        <v>146</v>
      </c>
      <c r="E137" s="3" t="s">
        <v>149</v>
      </c>
      <c r="F137" s="19"/>
      <c r="G137" s="3" t="s">
        <v>150</v>
      </c>
      <c r="H137" s="19" t="s">
        <v>152</v>
      </c>
      <c r="I137" s="19"/>
      <c r="J137" s="3" t="s">
        <v>150</v>
      </c>
      <c r="K137" s="3" t="s">
        <v>171</v>
      </c>
      <c r="L137" s="19" t="s">
        <v>172</v>
      </c>
      <c r="M137" s="19"/>
    </row>
    <row r="138" spans="1:18" ht="17.25" thickBot="1" x14ac:dyDescent="0.35">
      <c r="A138" s="6">
        <v>1</v>
      </c>
      <c r="B138" s="11">
        <v>1</v>
      </c>
      <c r="C138" s="2">
        <v>2740</v>
      </c>
      <c r="D138" s="2">
        <v>1284340</v>
      </c>
      <c r="E138" s="2">
        <v>31484</v>
      </c>
      <c r="F138" s="2">
        <v>4.2454999999999998</v>
      </c>
      <c r="G138" s="2">
        <v>9.8199999999999996E-2</v>
      </c>
      <c r="H138" s="2">
        <v>4.0529000000000002</v>
      </c>
      <c r="I138" s="2">
        <v>4.4379999999999997</v>
      </c>
      <c r="J138" s="2">
        <v>18.223199999999999</v>
      </c>
      <c r="K138" s="2">
        <v>0.37619999999999998</v>
      </c>
      <c r="L138" s="2">
        <v>17.485499999999998</v>
      </c>
      <c r="M138" s="2">
        <v>18.960799999999999</v>
      </c>
      <c r="O138" t="str">
        <f t="shared" ref="O138:O141" si="29">TEXT(J138,"0.00")&amp;" ("&amp;TEXT(L138,"0.00")&amp;" to "&amp;TEXT(M138,"0.00")&amp;")"</f>
        <v>18.22 (17.49 to 18.96)</v>
      </c>
      <c r="P138" t="str">
        <f>O143</f>
        <v>0.15 (0.09 to 0.22)</v>
      </c>
      <c r="Q138" t="str">
        <f>O148</f>
        <v>0.00 (0.00 to 0.01)</v>
      </c>
      <c r="R138" t="str">
        <f>O153</f>
        <v>. (. to .)</v>
      </c>
    </row>
    <row r="139" spans="1:18" ht="17.25" thickBot="1" x14ac:dyDescent="0.35">
      <c r="A139" s="6"/>
      <c r="B139" s="11">
        <v>2</v>
      </c>
      <c r="C139" s="2">
        <v>12464</v>
      </c>
      <c r="D139" s="2">
        <v>5644608</v>
      </c>
      <c r="E139" s="2">
        <v>72824</v>
      </c>
      <c r="F139" s="2">
        <v>18.6587</v>
      </c>
      <c r="G139" s="2">
        <v>0.18440000000000001</v>
      </c>
      <c r="H139" s="2">
        <v>18.297000000000001</v>
      </c>
      <c r="I139" s="2">
        <v>19.020299999999999</v>
      </c>
      <c r="J139" s="2">
        <v>80.0899</v>
      </c>
      <c r="K139" s="2">
        <v>0.3881</v>
      </c>
      <c r="L139" s="2">
        <v>79.328900000000004</v>
      </c>
      <c r="M139" s="2">
        <v>80.850899999999996</v>
      </c>
      <c r="O139" t="str">
        <f t="shared" si="29"/>
        <v>80.09 (79.33 to 80.85)</v>
      </c>
      <c r="P139" t="str">
        <f t="shared" ref="P139:P141" si="30">O144</f>
        <v>61.72 (60.85 to 62.59)</v>
      </c>
      <c r="Q139" t="str">
        <f t="shared" ref="Q139:Q141" si="31">O149</f>
        <v>15.42 (14.78 to 16.06)</v>
      </c>
      <c r="R139" t="str">
        <f t="shared" ref="R139:R141" si="32">O154</f>
        <v>1.58 (1.37 to 1.78)</v>
      </c>
    </row>
    <row r="140" spans="1:18" ht="17.25" thickBot="1" x14ac:dyDescent="0.35">
      <c r="A140" s="6"/>
      <c r="B140" s="11">
        <v>3</v>
      </c>
      <c r="C140" s="2">
        <v>253</v>
      </c>
      <c r="D140" s="2">
        <v>118893</v>
      </c>
      <c r="E140" s="2">
        <v>8765</v>
      </c>
      <c r="F140" s="2">
        <v>0.39300000000000002</v>
      </c>
      <c r="G140" s="2">
        <v>2.8899999999999999E-2</v>
      </c>
      <c r="H140" s="2">
        <v>0.33639999999999998</v>
      </c>
      <c r="I140" s="2">
        <v>0.4496</v>
      </c>
      <c r="J140" s="2">
        <v>1.6869000000000001</v>
      </c>
      <c r="K140" s="2">
        <v>0.1232</v>
      </c>
      <c r="L140" s="2">
        <v>1.4454</v>
      </c>
      <c r="M140" s="2">
        <v>1.9283999999999999</v>
      </c>
      <c r="O140" t="str">
        <f t="shared" si="29"/>
        <v>1.69 (1.45 to 1.93)</v>
      </c>
      <c r="P140" t="str">
        <f t="shared" si="30"/>
        <v>33.59 (32.74 to 34.44)</v>
      </c>
      <c r="Q140" t="str">
        <f t="shared" si="31"/>
        <v>45.07 (44.19 to 45.94)</v>
      </c>
      <c r="R140" t="str">
        <f t="shared" si="32"/>
        <v>11.73 (11.16 to 12.29)</v>
      </c>
    </row>
    <row r="141" spans="1:18" ht="17.25" thickBot="1" x14ac:dyDescent="0.35">
      <c r="A141" s="6"/>
      <c r="B141" s="11">
        <v>4</v>
      </c>
      <c r="C141" s="2">
        <v>0</v>
      </c>
      <c r="D141" s="2" t="s">
        <v>226</v>
      </c>
      <c r="E141" s="2" t="s">
        <v>226</v>
      </c>
      <c r="F141" s="2" t="s">
        <v>226</v>
      </c>
      <c r="G141" s="2" t="s">
        <v>226</v>
      </c>
      <c r="H141" s="2" t="s">
        <v>226</v>
      </c>
      <c r="I141" s="2" t="s">
        <v>226</v>
      </c>
      <c r="J141" s="2" t="s">
        <v>226</v>
      </c>
      <c r="K141" s="2" t="s">
        <v>226</v>
      </c>
      <c r="L141" s="2" t="s">
        <v>226</v>
      </c>
      <c r="M141" s="2" t="s">
        <v>226</v>
      </c>
      <c r="O141" t="str">
        <f t="shared" si="29"/>
        <v>. (. to .)</v>
      </c>
      <c r="P141" t="str">
        <f t="shared" si="30"/>
        <v>4.53 (4.19 to 4.88)</v>
      </c>
      <c r="Q141" t="str">
        <f t="shared" si="31"/>
        <v>39.51 (38.66 to 40.36)</v>
      </c>
      <c r="R141" t="str">
        <f t="shared" si="32"/>
        <v>86.70 (86.11 to 87.29)</v>
      </c>
    </row>
    <row r="142" spans="1:18" ht="17.25" thickBot="1" x14ac:dyDescent="0.35">
      <c r="A142" s="6"/>
      <c r="B142" s="11" t="s">
        <v>153</v>
      </c>
      <c r="C142" s="2">
        <v>15457</v>
      </c>
      <c r="D142" s="2">
        <v>7047841</v>
      </c>
      <c r="E142" s="2">
        <v>85770</v>
      </c>
      <c r="F142" s="2">
        <v>23.2972</v>
      </c>
      <c r="G142" s="2">
        <v>0.20880000000000001</v>
      </c>
      <c r="H142" s="2">
        <v>22.887599999999999</v>
      </c>
      <c r="I142" s="2">
        <v>23.706700000000001</v>
      </c>
      <c r="J142" s="2">
        <v>100</v>
      </c>
      <c r="K142" s="2"/>
      <c r="L142" s="2"/>
      <c r="M142" s="2"/>
    </row>
    <row r="143" spans="1:18" ht="17.25" thickBot="1" x14ac:dyDescent="0.35">
      <c r="A143" s="6">
        <v>2</v>
      </c>
      <c r="B143" s="11">
        <v>1</v>
      </c>
      <c r="C143" s="2">
        <v>36</v>
      </c>
      <c r="D143" s="2">
        <v>11590</v>
      </c>
      <c r="E143" s="2">
        <v>2414</v>
      </c>
      <c r="F143" s="2">
        <v>3.8300000000000001E-2</v>
      </c>
      <c r="G143" s="2">
        <v>8.0000000000000002E-3</v>
      </c>
      <c r="H143" s="2">
        <v>2.2599999999999999E-2</v>
      </c>
      <c r="I143" s="2">
        <v>5.3999999999999999E-2</v>
      </c>
      <c r="J143" s="2">
        <v>0.15409999999999999</v>
      </c>
      <c r="K143" s="2">
        <v>3.2199999999999999E-2</v>
      </c>
      <c r="L143" s="2">
        <v>9.0999999999999998E-2</v>
      </c>
      <c r="M143" s="2">
        <v>0.21709999999999999</v>
      </c>
      <c r="O143" t="str">
        <f t="shared" ref="O143:O146" si="33">TEXT(J143,"0.00")&amp;" ("&amp;TEXT(L143,"0.00")&amp;" to "&amp;TEXT(M143,"0.00")&amp;")"</f>
        <v>0.15 (0.09 to 0.22)</v>
      </c>
    </row>
    <row r="144" spans="1:18" ht="17.25" thickBot="1" x14ac:dyDescent="0.35">
      <c r="A144" s="6"/>
      <c r="B144" s="11">
        <v>2</v>
      </c>
      <c r="C144" s="2">
        <v>10749</v>
      </c>
      <c r="D144" s="2">
        <v>4642404</v>
      </c>
      <c r="E144" s="2">
        <v>61322</v>
      </c>
      <c r="F144" s="2">
        <v>15.345800000000001</v>
      </c>
      <c r="G144" s="2">
        <v>0.16300000000000001</v>
      </c>
      <c r="H144" s="2">
        <v>15.0261</v>
      </c>
      <c r="I144" s="2">
        <v>15.6655</v>
      </c>
      <c r="J144" s="2">
        <v>61.720700000000001</v>
      </c>
      <c r="K144" s="2">
        <v>0.44280000000000003</v>
      </c>
      <c r="L144" s="2">
        <v>60.852499999999999</v>
      </c>
      <c r="M144" s="2">
        <v>62.588900000000002</v>
      </c>
      <c r="O144" t="str">
        <f t="shared" si="33"/>
        <v>61.72 (60.85 to 62.59)</v>
      </c>
    </row>
    <row r="145" spans="1:15" ht="17.25" thickBot="1" x14ac:dyDescent="0.35">
      <c r="A145" s="6"/>
      <c r="B145" s="11">
        <v>3</v>
      </c>
      <c r="C145" s="2">
        <v>5728</v>
      </c>
      <c r="D145" s="2">
        <v>2526579</v>
      </c>
      <c r="E145" s="2">
        <v>42715</v>
      </c>
      <c r="F145" s="2">
        <v>8.3518000000000008</v>
      </c>
      <c r="G145" s="2">
        <v>0.12520000000000001</v>
      </c>
      <c r="H145" s="2">
        <v>8.1064000000000007</v>
      </c>
      <c r="I145" s="2">
        <v>8.5972000000000008</v>
      </c>
      <c r="J145" s="2">
        <v>33.590800000000002</v>
      </c>
      <c r="K145" s="2">
        <v>0.43169999999999997</v>
      </c>
      <c r="L145" s="2">
        <v>32.744399999999999</v>
      </c>
      <c r="M145" s="2">
        <v>34.4373</v>
      </c>
      <c r="O145" t="str">
        <f t="shared" si="33"/>
        <v>33.59 (32.74 to 34.44)</v>
      </c>
    </row>
    <row r="146" spans="1:15" ht="17.25" thickBot="1" x14ac:dyDescent="0.35">
      <c r="A146" s="6"/>
      <c r="B146" s="11">
        <v>4</v>
      </c>
      <c r="C146" s="2">
        <v>809</v>
      </c>
      <c r="D146" s="2">
        <v>341061</v>
      </c>
      <c r="E146" s="2">
        <v>13669</v>
      </c>
      <c r="F146" s="2">
        <v>1.1274</v>
      </c>
      <c r="G146" s="2">
        <v>4.4600000000000001E-2</v>
      </c>
      <c r="H146" s="2">
        <v>1.0399</v>
      </c>
      <c r="I146" s="2">
        <v>1.2149000000000001</v>
      </c>
      <c r="J146" s="2">
        <v>4.5343999999999998</v>
      </c>
      <c r="K146" s="2">
        <v>0.17760000000000001</v>
      </c>
      <c r="L146" s="2">
        <v>4.1862000000000004</v>
      </c>
      <c r="M146" s="2">
        <v>4.8826000000000001</v>
      </c>
      <c r="O146" t="str">
        <f t="shared" si="33"/>
        <v>4.53 (4.19 to 4.88)</v>
      </c>
    </row>
    <row r="147" spans="1:15" ht="17.25" thickBot="1" x14ac:dyDescent="0.35">
      <c r="A147" s="6"/>
      <c r="B147" s="11" t="s">
        <v>153</v>
      </c>
      <c r="C147" s="2">
        <v>17322</v>
      </c>
      <c r="D147" s="2">
        <v>7521633</v>
      </c>
      <c r="E147" s="2">
        <v>82230</v>
      </c>
      <c r="F147" s="2">
        <v>24.863299999999999</v>
      </c>
      <c r="G147" s="2">
        <v>0.1913</v>
      </c>
      <c r="H147" s="2">
        <v>24.488199999999999</v>
      </c>
      <c r="I147" s="2">
        <v>25.238399999999999</v>
      </c>
      <c r="J147" s="2">
        <v>100</v>
      </c>
      <c r="K147" s="2"/>
      <c r="L147" s="2"/>
      <c r="M147" s="2"/>
    </row>
    <row r="148" spans="1:15" ht="17.25" thickBot="1" x14ac:dyDescent="0.35">
      <c r="A148" s="6">
        <v>3</v>
      </c>
      <c r="B148" s="11">
        <v>1</v>
      </c>
      <c r="C148" s="2">
        <v>1</v>
      </c>
      <c r="D148" s="2">
        <v>262.50877000000003</v>
      </c>
      <c r="E148" s="2">
        <v>262.50877000000003</v>
      </c>
      <c r="F148" s="2">
        <v>8.9999999999999998E-4</v>
      </c>
      <c r="G148" s="2">
        <v>8.9999999999999998E-4</v>
      </c>
      <c r="H148" s="2">
        <v>0</v>
      </c>
      <c r="I148" s="2">
        <v>2.5999999999999999E-3</v>
      </c>
      <c r="J148" s="2">
        <v>3.5000000000000001E-3</v>
      </c>
      <c r="K148" s="2">
        <v>3.5000000000000001E-3</v>
      </c>
      <c r="L148" s="2">
        <v>0</v>
      </c>
      <c r="M148" s="2">
        <v>1.0200000000000001E-2</v>
      </c>
      <c r="O148" t="str">
        <f t="shared" ref="O148:O151" si="34">TEXT(J148,"0.00")&amp;" ("&amp;TEXT(L148,"0.00")&amp;" to "&amp;TEXT(M148,"0.00")&amp;")"</f>
        <v>0.00 (0.00 to 0.01)</v>
      </c>
    </row>
    <row r="149" spans="1:15" ht="17.25" thickBot="1" x14ac:dyDescent="0.35">
      <c r="A149" s="6"/>
      <c r="B149" s="11">
        <v>2</v>
      </c>
      <c r="C149" s="2">
        <v>2911</v>
      </c>
      <c r="D149" s="2">
        <v>1171175</v>
      </c>
      <c r="E149" s="2">
        <v>27572</v>
      </c>
      <c r="F149" s="2">
        <v>3.8714</v>
      </c>
      <c r="G149" s="2">
        <v>8.7300000000000003E-2</v>
      </c>
      <c r="H149" s="2">
        <v>3.7000999999999999</v>
      </c>
      <c r="I149" s="2">
        <v>4.0427</v>
      </c>
      <c r="J149" s="2">
        <v>15.4191</v>
      </c>
      <c r="K149" s="2">
        <v>0.32429999999999998</v>
      </c>
      <c r="L149" s="2">
        <v>14.783200000000001</v>
      </c>
      <c r="M149" s="2">
        <v>16.055099999999999</v>
      </c>
      <c r="O149" t="str">
        <f t="shared" si="34"/>
        <v>15.42 (14.78 to 16.06)</v>
      </c>
    </row>
    <row r="150" spans="1:15" ht="17.25" thickBot="1" x14ac:dyDescent="0.35">
      <c r="A150" s="6"/>
      <c r="B150" s="11">
        <v>3</v>
      </c>
      <c r="C150" s="2">
        <v>8016</v>
      </c>
      <c r="D150" s="2">
        <v>3423160</v>
      </c>
      <c r="E150" s="2">
        <v>49328</v>
      </c>
      <c r="F150" s="2">
        <v>11.3155</v>
      </c>
      <c r="G150" s="2">
        <v>0.1406</v>
      </c>
      <c r="H150" s="2">
        <v>11.0398</v>
      </c>
      <c r="I150" s="2">
        <v>11.5913</v>
      </c>
      <c r="J150" s="2">
        <v>45.067700000000002</v>
      </c>
      <c r="K150" s="2">
        <v>0.44669999999999999</v>
      </c>
      <c r="L150" s="2">
        <v>44.191800000000001</v>
      </c>
      <c r="M150" s="2">
        <v>45.943600000000004</v>
      </c>
      <c r="O150" t="str">
        <f t="shared" si="34"/>
        <v>45.07 (44.19 to 45.94)</v>
      </c>
    </row>
    <row r="151" spans="1:15" ht="17.25" thickBot="1" x14ac:dyDescent="0.35">
      <c r="A151" s="6"/>
      <c r="B151" s="11">
        <v>4</v>
      </c>
      <c r="C151" s="2">
        <v>6900</v>
      </c>
      <c r="D151" s="2">
        <v>3000997</v>
      </c>
      <c r="E151" s="2">
        <v>46102</v>
      </c>
      <c r="F151" s="2">
        <v>9.92</v>
      </c>
      <c r="G151" s="2">
        <v>0.1338</v>
      </c>
      <c r="H151" s="2">
        <v>9.6576000000000004</v>
      </c>
      <c r="I151" s="2">
        <v>10.182399999999999</v>
      </c>
      <c r="J151" s="2">
        <v>39.509700000000002</v>
      </c>
      <c r="K151" s="2">
        <v>0.432</v>
      </c>
      <c r="L151" s="2">
        <v>38.662599999999998</v>
      </c>
      <c r="M151" s="2">
        <v>40.3568</v>
      </c>
      <c r="O151" t="str">
        <f t="shared" si="34"/>
        <v>39.51 (38.66 to 40.36)</v>
      </c>
    </row>
    <row r="152" spans="1:15" ht="17.25" thickBot="1" x14ac:dyDescent="0.35">
      <c r="A152" s="6"/>
      <c r="B152" s="11" t="s">
        <v>153</v>
      </c>
      <c r="C152" s="2">
        <v>17828</v>
      </c>
      <c r="D152" s="2">
        <v>7595594</v>
      </c>
      <c r="E152" s="2">
        <v>80574</v>
      </c>
      <c r="F152" s="2">
        <v>25.107800000000001</v>
      </c>
      <c r="G152" s="2">
        <v>0.19489999999999999</v>
      </c>
      <c r="H152" s="2">
        <v>24.7257</v>
      </c>
      <c r="I152" s="2">
        <v>25.489899999999999</v>
      </c>
      <c r="J152" s="2">
        <v>100</v>
      </c>
      <c r="K152" s="2"/>
      <c r="L152" s="2"/>
      <c r="M152" s="2"/>
    </row>
    <row r="153" spans="1:15" ht="17.25" thickBot="1" x14ac:dyDescent="0.35">
      <c r="A153" s="6">
        <v>4</v>
      </c>
      <c r="B153" s="11">
        <v>1</v>
      </c>
      <c r="C153" s="2">
        <v>0</v>
      </c>
      <c r="D153" s="2" t="s">
        <v>226</v>
      </c>
      <c r="E153" s="2" t="s">
        <v>226</v>
      </c>
      <c r="F153" s="2" t="s">
        <v>226</v>
      </c>
      <c r="G153" s="2" t="s">
        <v>226</v>
      </c>
      <c r="H153" s="2" t="s">
        <v>226</v>
      </c>
      <c r="I153" s="2" t="s">
        <v>226</v>
      </c>
      <c r="J153" s="2" t="s">
        <v>226</v>
      </c>
      <c r="K153" s="2" t="s">
        <v>226</v>
      </c>
      <c r="L153" s="2" t="s">
        <v>226</v>
      </c>
      <c r="M153" s="2" t="s">
        <v>226</v>
      </c>
      <c r="O153" t="str">
        <f t="shared" ref="O153:O156" si="35">TEXT(J153,"0.00")&amp;" ("&amp;TEXT(L153,"0.00")&amp;" to "&amp;TEXT(M153,"0.00")&amp;")"</f>
        <v>. (. to .)</v>
      </c>
    </row>
    <row r="154" spans="1:15" ht="17.25" thickBot="1" x14ac:dyDescent="0.35">
      <c r="A154" s="6"/>
      <c r="B154" s="11">
        <v>2</v>
      </c>
      <c r="C154" s="2">
        <v>311</v>
      </c>
      <c r="D154" s="2">
        <v>127460</v>
      </c>
      <c r="E154" s="2">
        <v>8711</v>
      </c>
      <c r="F154" s="2">
        <v>0.42130000000000001</v>
      </c>
      <c r="G154" s="2">
        <v>2.87E-2</v>
      </c>
      <c r="H154" s="2">
        <v>0.36520000000000002</v>
      </c>
      <c r="I154" s="2">
        <v>0.47749999999999998</v>
      </c>
      <c r="J154" s="2">
        <v>1.5761000000000001</v>
      </c>
      <c r="K154" s="2">
        <v>0.1062</v>
      </c>
      <c r="L154" s="2">
        <v>1.3680000000000001</v>
      </c>
      <c r="M154" s="2">
        <v>1.7843</v>
      </c>
      <c r="O154" t="str">
        <f t="shared" si="35"/>
        <v>1.58 (1.37 to 1.78)</v>
      </c>
    </row>
    <row r="155" spans="1:15" ht="17.25" thickBot="1" x14ac:dyDescent="0.35">
      <c r="A155" s="6"/>
      <c r="B155" s="11">
        <v>3</v>
      </c>
      <c r="C155" s="2">
        <v>2268</v>
      </c>
      <c r="D155" s="2">
        <v>948199</v>
      </c>
      <c r="E155" s="2">
        <v>24872</v>
      </c>
      <c r="F155" s="2">
        <v>3.1343000000000001</v>
      </c>
      <c r="G155" s="2">
        <v>0.08</v>
      </c>
      <c r="H155" s="2">
        <v>2.9775</v>
      </c>
      <c r="I155" s="2">
        <v>3.2911999999999999</v>
      </c>
      <c r="J155" s="2">
        <v>11.725199999999999</v>
      </c>
      <c r="K155" s="2">
        <v>0.28699999999999998</v>
      </c>
      <c r="L155" s="2">
        <v>11.1625</v>
      </c>
      <c r="M155" s="2">
        <v>12.2879</v>
      </c>
      <c r="O155" t="str">
        <f t="shared" si="35"/>
        <v>11.73 (11.16 to 12.29)</v>
      </c>
    </row>
    <row r="156" spans="1:15" ht="17.25" thickBot="1" x14ac:dyDescent="0.35">
      <c r="A156" s="6"/>
      <c r="B156" s="11">
        <v>4</v>
      </c>
      <c r="C156" s="2">
        <v>15449</v>
      </c>
      <c r="D156" s="2">
        <v>7011209</v>
      </c>
      <c r="E156" s="2">
        <v>79089</v>
      </c>
      <c r="F156" s="2">
        <v>23.176100000000002</v>
      </c>
      <c r="G156" s="2">
        <v>0.20169999999999999</v>
      </c>
      <c r="H156" s="2">
        <v>22.7805</v>
      </c>
      <c r="I156" s="2">
        <v>23.5716</v>
      </c>
      <c r="J156" s="2">
        <v>86.698700000000002</v>
      </c>
      <c r="K156" s="2">
        <v>0.30120000000000002</v>
      </c>
      <c r="L156" s="2">
        <v>86.108099999999993</v>
      </c>
      <c r="M156" s="2">
        <v>87.289299999999997</v>
      </c>
      <c r="O156" t="str">
        <f t="shared" si="35"/>
        <v>86.70 (86.11 to 87.29)</v>
      </c>
    </row>
    <row r="157" spans="1:15" ht="17.25" thickBot="1" x14ac:dyDescent="0.35">
      <c r="A157" s="6"/>
      <c r="B157" s="11" t="s">
        <v>153</v>
      </c>
      <c r="C157" s="2">
        <v>18028</v>
      </c>
      <c r="D157" s="2">
        <v>8086868</v>
      </c>
      <c r="E157" s="2">
        <v>85733</v>
      </c>
      <c r="F157" s="2">
        <v>26.7317</v>
      </c>
      <c r="G157" s="2">
        <v>0.2117</v>
      </c>
      <c r="H157" s="2">
        <v>26.316600000000001</v>
      </c>
      <c r="I157" s="2">
        <v>27.146899999999999</v>
      </c>
      <c r="J157" s="2">
        <v>100</v>
      </c>
      <c r="K157" s="2"/>
      <c r="L157" s="2"/>
      <c r="M157" s="2"/>
    </row>
    <row r="158" spans="1:15" ht="17.25" thickBot="1" x14ac:dyDescent="0.35">
      <c r="A158" s="6" t="s">
        <v>153</v>
      </c>
      <c r="B158" s="11">
        <v>1</v>
      </c>
      <c r="C158" s="2">
        <v>2777</v>
      </c>
      <c r="D158" s="2">
        <v>1296193</v>
      </c>
      <c r="E158" s="2">
        <v>31560</v>
      </c>
      <c r="F158" s="2">
        <v>4.2847</v>
      </c>
      <c r="G158" s="2">
        <v>9.8500000000000004E-2</v>
      </c>
      <c r="H158" s="2">
        <v>4.0914999999999999</v>
      </c>
      <c r="I158" s="2">
        <v>4.4778000000000002</v>
      </c>
      <c r="J158" s="2"/>
      <c r="K158" s="2"/>
      <c r="L158" s="2"/>
      <c r="M158" s="2"/>
    </row>
    <row r="159" spans="1:15" ht="17.25" thickBot="1" x14ac:dyDescent="0.35">
      <c r="A159" s="6"/>
      <c r="B159" s="11">
        <v>2</v>
      </c>
      <c r="C159" s="2">
        <v>26435</v>
      </c>
      <c r="D159" s="2">
        <v>11585647</v>
      </c>
      <c r="E159" s="2">
        <v>115210</v>
      </c>
      <c r="F159" s="2">
        <v>38.297199999999997</v>
      </c>
      <c r="G159" s="2">
        <v>0.2286</v>
      </c>
      <c r="H159" s="2">
        <v>37.848999999999997</v>
      </c>
      <c r="I159" s="2">
        <v>38.745399999999997</v>
      </c>
      <c r="J159" s="2"/>
      <c r="K159" s="2"/>
      <c r="L159" s="2"/>
      <c r="M159" s="2"/>
    </row>
    <row r="160" spans="1:15" ht="17.25" thickBot="1" x14ac:dyDescent="0.35">
      <c r="A160" s="6"/>
      <c r="B160" s="11">
        <v>3</v>
      </c>
      <c r="C160" s="2">
        <v>16265</v>
      </c>
      <c r="D160" s="2">
        <v>7016830</v>
      </c>
      <c r="E160" s="2">
        <v>76881</v>
      </c>
      <c r="F160" s="2">
        <v>23.194600000000001</v>
      </c>
      <c r="G160" s="2">
        <v>0.189</v>
      </c>
      <c r="H160" s="2">
        <v>22.824000000000002</v>
      </c>
      <c r="I160" s="2">
        <v>23.565300000000001</v>
      </c>
      <c r="J160" s="2"/>
      <c r="K160" s="2"/>
      <c r="L160" s="2"/>
      <c r="M160" s="2"/>
    </row>
    <row r="161" spans="1:18" ht="17.25" thickBot="1" x14ac:dyDescent="0.35">
      <c r="A161" s="6"/>
      <c r="B161" s="11">
        <v>4</v>
      </c>
      <c r="C161" s="2">
        <v>23158</v>
      </c>
      <c r="D161" s="2">
        <v>10353266</v>
      </c>
      <c r="E161" s="2">
        <v>102556</v>
      </c>
      <c r="F161" s="2">
        <v>34.223500000000001</v>
      </c>
      <c r="G161" s="2">
        <v>0.23269999999999999</v>
      </c>
      <c r="H161" s="2">
        <v>33.767099999999999</v>
      </c>
      <c r="I161" s="2">
        <v>34.6798</v>
      </c>
      <c r="J161" s="2"/>
      <c r="K161" s="2"/>
      <c r="L161" s="2"/>
      <c r="M161" s="2"/>
    </row>
    <row r="162" spans="1:18" x14ac:dyDescent="0.3">
      <c r="A162" s="6"/>
      <c r="B162" s="14" t="s">
        <v>153</v>
      </c>
      <c r="C162" s="2">
        <v>68635</v>
      </c>
      <c r="D162" s="2">
        <v>30251936</v>
      </c>
      <c r="E162" s="2">
        <v>228758</v>
      </c>
      <c r="F162" s="2">
        <v>100</v>
      </c>
      <c r="G162" s="2"/>
      <c r="H162" s="2"/>
      <c r="I162" s="2"/>
      <c r="J162" s="2"/>
      <c r="K162" s="2"/>
      <c r="L162" s="2"/>
      <c r="M162" s="2"/>
    </row>
    <row r="163" spans="1:18" ht="17.25" thickBot="1" x14ac:dyDescent="0.35"/>
    <row r="164" spans="1:18" ht="16.5" customHeight="1" x14ac:dyDescent="0.3">
      <c r="A164" s="16" t="s">
        <v>227</v>
      </c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</row>
    <row r="165" spans="1:18" ht="33" customHeight="1" x14ac:dyDescent="0.3">
      <c r="A165" s="17" t="s">
        <v>77</v>
      </c>
      <c r="B165" s="19" t="s">
        <v>11</v>
      </c>
      <c r="C165" s="19" t="s">
        <v>146</v>
      </c>
      <c r="D165" s="3" t="s">
        <v>147</v>
      </c>
      <c r="E165" s="3" t="s">
        <v>148</v>
      </c>
      <c r="F165" s="19" t="s">
        <v>150</v>
      </c>
      <c r="G165" s="3" t="s">
        <v>148</v>
      </c>
      <c r="H165" s="19" t="s">
        <v>151</v>
      </c>
      <c r="I165" s="19"/>
      <c r="J165" s="3" t="s">
        <v>170</v>
      </c>
      <c r="K165" s="3" t="s">
        <v>148</v>
      </c>
      <c r="L165" s="19" t="s">
        <v>151</v>
      </c>
      <c r="M165" s="19"/>
    </row>
    <row r="166" spans="1:18" ht="33" x14ac:dyDescent="0.3">
      <c r="A166" s="17"/>
      <c r="B166" s="19"/>
      <c r="C166" s="19"/>
      <c r="D166" s="3" t="s">
        <v>146</v>
      </c>
      <c r="E166" s="3" t="s">
        <v>149</v>
      </c>
      <c r="F166" s="19"/>
      <c r="G166" s="3" t="s">
        <v>150</v>
      </c>
      <c r="H166" s="19" t="s">
        <v>152</v>
      </c>
      <c r="I166" s="19"/>
      <c r="J166" s="3" t="s">
        <v>150</v>
      </c>
      <c r="K166" s="3" t="s">
        <v>171</v>
      </c>
      <c r="L166" s="19" t="s">
        <v>172</v>
      </c>
      <c r="M166" s="19"/>
    </row>
    <row r="167" spans="1:18" ht="17.25" thickBot="1" x14ac:dyDescent="0.35">
      <c r="A167" s="6">
        <v>1</v>
      </c>
      <c r="B167" s="11">
        <v>1</v>
      </c>
      <c r="C167" s="2">
        <v>10963</v>
      </c>
      <c r="D167" s="2">
        <v>4416055</v>
      </c>
      <c r="E167" s="2">
        <v>59403</v>
      </c>
      <c r="F167" s="2">
        <v>14.5976</v>
      </c>
      <c r="G167" s="2">
        <v>0.16289999999999999</v>
      </c>
      <c r="H167" s="2">
        <v>14.2783</v>
      </c>
      <c r="I167" s="2">
        <v>14.9169</v>
      </c>
      <c r="J167" s="2">
        <v>62.658299999999997</v>
      </c>
      <c r="K167" s="2">
        <v>0.53769999999999996</v>
      </c>
      <c r="L167" s="2">
        <v>61.603900000000003</v>
      </c>
      <c r="M167" s="2">
        <v>63.712600000000002</v>
      </c>
      <c r="O167" t="str">
        <f t="shared" ref="O167:O168" si="36">TEXT(J167,"0.00")&amp;" ("&amp;TEXT(L167,"0.00")&amp;" to "&amp;TEXT(M167,"0.00")&amp;")"</f>
        <v>62.66 (61.60 to 63.71)</v>
      </c>
      <c r="P167" t="str">
        <f>O170</f>
        <v>75.91 (74.98 to 76.85)</v>
      </c>
      <c r="Q167" t="str">
        <f>O173</f>
        <v>81.73 (80.87 to 82.58)</v>
      </c>
      <c r="R167" t="str">
        <f>O176</f>
        <v>81.18 (80.37 to 81.99)</v>
      </c>
    </row>
    <row r="168" spans="1:18" ht="17.25" thickBot="1" x14ac:dyDescent="0.35">
      <c r="A168" s="6"/>
      <c r="B168" s="11">
        <v>2</v>
      </c>
      <c r="C168" s="2">
        <v>4494</v>
      </c>
      <c r="D168" s="2">
        <v>2631785</v>
      </c>
      <c r="E168" s="2">
        <v>54186</v>
      </c>
      <c r="F168" s="2">
        <v>8.6996000000000002</v>
      </c>
      <c r="G168" s="2">
        <v>0.1598</v>
      </c>
      <c r="H168" s="2">
        <v>8.3863000000000003</v>
      </c>
      <c r="I168" s="2">
        <v>9.0128000000000004</v>
      </c>
      <c r="J168" s="2">
        <v>37.341700000000003</v>
      </c>
      <c r="K168" s="2">
        <v>0.53769999999999996</v>
      </c>
      <c r="L168" s="2">
        <v>36.287399999999998</v>
      </c>
      <c r="M168" s="2">
        <v>38.396099999999997</v>
      </c>
      <c r="O168" t="str">
        <f t="shared" si="36"/>
        <v>37.34 (36.29 to 38.40)</v>
      </c>
      <c r="P168" t="str">
        <f>O171</f>
        <v>24.09 (23.15 to 25.02)</v>
      </c>
      <c r="Q168" t="str">
        <f>O174</f>
        <v>18.27 (17.42 to 19.13)</v>
      </c>
      <c r="R168" t="str">
        <f>O177</f>
        <v>18.82 (18.01 to 19.63)</v>
      </c>
    </row>
    <row r="169" spans="1:18" ht="17.25" thickBot="1" x14ac:dyDescent="0.35">
      <c r="A169" s="6"/>
      <c r="B169" s="11" t="s">
        <v>153</v>
      </c>
      <c r="C169" s="2">
        <v>15457</v>
      </c>
      <c r="D169" s="2">
        <v>7047841</v>
      </c>
      <c r="E169" s="2">
        <v>85770</v>
      </c>
      <c r="F169" s="2">
        <v>23.2972</v>
      </c>
      <c r="G169" s="2">
        <v>0.20880000000000001</v>
      </c>
      <c r="H169" s="2">
        <v>22.887599999999999</v>
      </c>
      <c r="I169" s="2">
        <v>23.706700000000001</v>
      </c>
      <c r="J169" s="2">
        <v>100</v>
      </c>
      <c r="K169" s="2"/>
      <c r="L169" s="2"/>
      <c r="M169" s="2"/>
    </row>
    <row r="170" spans="1:18" ht="17.25" thickBot="1" x14ac:dyDescent="0.35">
      <c r="A170" s="6">
        <v>2</v>
      </c>
      <c r="B170" s="11">
        <v>1</v>
      </c>
      <c r="C170" s="2">
        <v>14447</v>
      </c>
      <c r="D170" s="2">
        <v>5709797</v>
      </c>
      <c r="E170" s="2">
        <v>67474</v>
      </c>
      <c r="F170" s="2">
        <v>18.874199999999998</v>
      </c>
      <c r="G170" s="2">
        <v>0.17549999999999999</v>
      </c>
      <c r="H170" s="2">
        <v>18.530100000000001</v>
      </c>
      <c r="I170" s="2">
        <v>19.218299999999999</v>
      </c>
      <c r="J170" s="2">
        <v>75.911699999999996</v>
      </c>
      <c r="K170" s="2">
        <v>0.47739999999999999</v>
      </c>
      <c r="L170" s="2">
        <v>74.9756</v>
      </c>
      <c r="M170" s="2">
        <v>76.847800000000007</v>
      </c>
      <c r="O170" t="str">
        <f t="shared" ref="O170:O171" si="37">TEXT(J170,"0.00")&amp;" ("&amp;TEXT(L170,"0.00")&amp;" to "&amp;TEXT(M170,"0.00")&amp;")"</f>
        <v>75.91 (74.98 to 76.85)</v>
      </c>
    </row>
    <row r="171" spans="1:18" ht="17.25" thickBot="1" x14ac:dyDescent="0.35">
      <c r="A171" s="6"/>
      <c r="B171" s="11">
        <v>2</v>
      </c>
      <c r="C171" s="2">
        <v>2875</v>
      </c>
      <c r="D171" s="2">
        <v>1811836</v>
      </c>
      <c r="E171" s="2">
        <v>43390</v>
      </c>
      <c r="F171" s="2">
        <v>5.9892000000000003</v>
      </c>
      <c r="G171" s="2">
        <v>0.13270000000000001</v>
      </c>
      <c r="H171" s="2">
        <v>5.7290000000000001</v>
      </c>
      <c r="I171" s="2">
        <v>6.2492999999999999</v>
      </c>
      <c r="J171" s="2">
        <v>24.0883</v>
      </c>
      <c r="K171" s="2">
        <v>0.47739999999999999</v>
      </c>
      <c r="L171" s="2">
        <v>23.152200000000001</v>
      </c>
      <c r="M171" s="2">
        <v>25.0244</v>
      </c>
      <c r="O171" t="str">
        <f t="shared" si="37"/>
        <v>24.09 (23.15 to 25.02)</v>
      </c>
    </row>
    <row r="172" spans="1:18" ht="17.25" thickBot="1" x14ac:dyDescent="0.35">
      <c r="A172" s="6"/>
      <c r="B172" s="11" t="s">
        <v>153</v>
      </c>
      <c r="C172" s="2">
        <v>17322</v>
      </c>
      <c r="D172" s="2">
        <v>7521633</v>
      </c>
      <c r="E172" s="2">
        <v>82230</v>
      </c>
      <c r="F172" s="2">
        <v>24.863299999999999</v>
      </c>
      <c r="G172" s="2">
        <v>0.1913</v>
      </c>
      <c r="H172" s="2">
        <v>24.488199999999999</v>
      </c>
      <c r="I172" s="2">
        <v>25.238399999999999</v>
      </c>
      <c r="J172" s="2">
        <v>100</v>
      </c>
      <c r="K172" s="2"/>
      <c r="L172" s="2"/>
      <c r="M172" s="2"/>
    </row>
    <row r="173" spans="1:18" ht="17.25" thickBot="1" x14ac:dyDescent="0.35">
      <c r="A173" s="6">
        <v>3</v>
      </c>
      <c r="B173" s="11">
        <v>1</v>
      </c>
      <c r="C173" s="2">
        <v>15695</v>
      </c>
      <c r="D173" s="2">
        <v>6207773</v>
      </c>
      <c r="E173" s="2">
        <v>68787</v>
      </c>
      <c r="F173" s="2">
        <v>20.520199999999999</v>
      </c>
      <c r="G173" s="2">
        <v>0.1817</v>
      </c>
      <c r="H173" s="2">
        <v>20.164000000000001</v>
      </c>
      <c r="I173" s="2">
        <v>20.8765</v>
      </c>
      <c r="J173" s="2">
        <v>81.7286</v>
      </c>
      <c r="K173" s="2">
        <v>0.43590000000000001</v>
      </c>
      <c r="L173" s="2">
        <v>80.873800000000003</v>
      </c>
      <c r="M173" s="2">
        <v>82.583399999999997</v>
      </c>
      <c r="O173" t="str">
        <f t="shared" ref="O173:O174" si="38">TEXT(J173,"0.00")&amp;" ("&amp;TEXT(L173,"0.00")&amp;" to "&amp;TEXT(M173,"0.00")&amp;")"</f>
        <v>81.73 (80.87 to 82.58)</v>
      </c>
    </row>
    <row r="174" spans="1:18" ht="17.25" thickBot="1" x14ac:dyDescent="0.35">
      <c r="A174" s="6"/>
      <c r="B174" s="11">
        <v>2</v>
      </c>
      <c r="C174" s="2">
        <v>2133</v>
      </c>
      <c r="D174" s="2">
        <v>1387821</v>
      </c>
      <c r="E174" s="2">
        <v>38339</v>
      </c>
      <c r="F174" s="2">
        <v>4.5875000000000004</v>
      </c>
      <c r="G174" s="2">
        <v>0.1192</v>
      </c>
      <c r="H174" s="2">
        <v>4.3536999999999999</v>
      </c>
      <c r="I174" s="2">
        <v>4.8213999999999997</v>
      </c>
      <c r="J174" s="2">
        <v>18.2714</v>
      </c>
      <c r="K174" s="2">
        <v>0.43590000000000001</v>
      </c>
      <c r="L174" s="2">
        <v>17.416599999999999</v>
      </c>
      <c r="M174" s="2">
        <v>19.126200000000001</v>
      </c>
      <c r="O174" t="str">
        <f t="shared" si="38"/>
        <v>18.27 (17.42 to 19.13)</v>
      </c>
    </row>
    <row r="175" spans="1:18" ht="17.25" thickBot="1" x14ac:dyDescent="0.35">
      <c r="A175" s="6"/>
      <c r="B175" s="11" t="s">
        <v>153</v>
      </c>
      <c r="C175" s="2">
        <v>17828</v>
      </c>
      <c r="D175" s="2">
        <v>7595594</v>
      </c>
      <c r="E175" s="2">
        <v>80574</v>
      </c>
      <c r="F175" s="2">
        <v>25.107800000000001</v>
      </c>
      <c r="G175" s="2">
        <v>0.19489999999999999</v>
      </c>
      <c r="H175" s="2">
        <v>24.7257</v>
      </c>
      <c r="I175" s="2">
        <v>25.489899999999999</v>
      </c>
      <c r="J175" s="2">
        <v>100</v>
      </c>
      <c r="K175" s="2"/>
      <c r="L175" s="2"/>
      <c r="M175" s="2"/>
    </row>
    <row r="176" spans="1:18" ht="17.25" thickBot="1" x14ac:dyDescent="0.35">
      <c r="A176" s="6">
        <v>4</v>
      </c>
      <c r="B176" s="11">
        <v>1</v>
      </c>
      <c r="C176" s="2">
        <v>15709</v>
      </c>
      <c r="D176" s="2">
        <v>6565141</v>
      </c>
      <c r="E176" s="2">
        <v>74496</v>
      </c>
      <c r="F176" s="2">
        <v>21.701599999999999</v>
      </c>
      <c r="G176" s="2">
        <v>0.19589999999999999</v>
      </c>
      <c r="H176" s="2">
        <v>21.317499999999999</v>
      </c>
      <c r="I176" s="2">
        <v>22.085599999999999</v>
      </c>
      <c r="J176" s="2">
        <v>81.182699999999997</v>
      </c>
      <c r="K176" s="2">
        <v>0.41389999999999999</v>
      </c>
      <c r="L176" s="2">
        <v>80.371099999999998</v>
      </c>
      <c r="M176" s="2">
        <v>81.994399999999999</v>
      </c>
      <c r="O176" t="str">
        <f t="shared" ref="O176:O177" si="39">TEXT(J176,"0.00")&amp;" ("&amp;TEXT(L176,"0.00")&amp;" to "&amp;TEXT(M176,"0.00")&amp;")"</f>
        <v>81.18 (80.37 to 81.99)</v>
      </c>
    </row>
    <row r="177" spans="1:18" ht="17.25" thickBot="1" x14ac:dyDescent="0.35">
      <c r="A177" s="6"/>
      <c r="B177" s="11">
        <v>2</v>
      </c>
      <c r="C177" s="2">
        <v>2319</v>
      </c>
      <c r="D177" s="2">
        <v>1521727</v>
      </c>
      <c r="E177" s="2">
        <v>38431</v>
      </c>
      <c r="F177" s="2">
        <v>5.0301999999999998</v>
      </c>
      <c r="G177" s="2">
        <v>0.12089999999999999</v>
      </c>
      <c r="H177" s="2">
        <v>4.7930999999999999</v>
      </c>
      <c r="I177" s="2">
        <v>5.2672999999999996</v>
      </c>
      <c r="J177" s="2">
        <v>18.817299999999999</v>
      </c>
      <c r="K177" s="2">
        <v>0.41389999999999999</v>
      </c>
      <c r="L177" s="2">
        <v>18.005600000000001</v>
      </c>
      <c r="M177" s="2">
        <v>19.628900000000002</v>
      </c>
      <c r="O177" t="str">
        <f t="shared" si="39"/>
        <v>18.82 (18.01 to 19.63)</v>
      </c>
    </row>
    <row r="178" spans="1:18" ht="17.25" thickBot="1" x14ac:dyDescent="0.35">
      <c r="A178" s="6"/>
      <c r="B178" s="11" t="s">
        <v>153</v>
      </c>
      <c r="C178" s="2">
        <v>18028</v>
      </c>
      <c r="D178" s="2">
        <v>8086868</v>
      </c>
      <c r="E178" s="2">
        <v>85733</v>
      </c>
      <c r="F178" s="2">
        <v>26.7317</v>
      </c>
      <c r="G178" s="2">
        <v>0.2117</v>
      </c>
      <c r="H178" s="2">
        <v>26.316600000000001</v>
      </c>
      <c r="I178" s="2">
        <v>27.146899999999999</v>
      </c>
      <c r="J178" s="2">
        <v>100</v>
      </c>
      <c r="K178" s="2"/>
      <c r="L178" s="2"/>
      <c r="M178" s="2"/>
    </row>
    <row r="179" spans="1:18" ht="17.25" thickBot="1" x14ac:dyDescent="0.35">
      <c r="A179" s="6" t="s">
        <v>153</v>
      </c>
      <c r="B179" s="11">
        <v>1</v>
      </c>
      <c r="C179" s="2">
        <v>56814</v>
      </c>
      <c r="D179" s="2">
        <v>22898766</v>
      </c>
      <c r="E179" s="2">
        <v>183193</v>
      </c>
      <c r="F179" s="2">
        <v>75.693600000000004</v>
      </c>
      <c r="G179" s="2">
        <v>0.28570000000000001</v>
      </c>
      <c r="H179" s="2">
        <v>75.133300000000006</v>
      </c>
      <c r="I179" s="2">
        <v>76.253799999999998</v>
      </c>
      <c r="J179" s="2"/>
      <c r="K179" s="2"/>
      <c r="L179" s="2"/>
      <c r="M179" s="2"/>
    </row>
    <row r="180" spans="1:18" ht="17.25" thickBot="1" x14ac:dyDescent="0.35">
      <c r="A180" s="6"/>
      <c r="B180" s="11">
        <v>2</v>
      </c>
      <c r="C180" s="2">
        <v>11821</v>
      </c>
      <c r="D180" s="2">
        <v>7353170</v>
      </c>
      <c r="E180" s="2">
        <v>108690</v>
      </c>
      <c r="F180" s="2">
        <v>24.3064</v>
      </c>
      <c r="G180" s="2">
        <v>0.28570000000000001</v>
      </c>
      <c r="H180" s="2">
        <v>23.746200000000002</v>
      </c>
      <c r="I180" s="2">
        <v>24.866700000000002</v>
      </c>
      <c r="J180" s="2"/>
      <c r="K180" s="2"/>
      <c r="L180" s="2"/>
      <c r="M180" s="2"/>
    </row>
    <row r="181" spans="1:18" x14ac:dyDescent="0.3">
      <c r="A181" s="6"/>
      <c r="B181" s="14" t="s">
        <v>153</v>
      </c>
      <c r="C181" s="2">
        <v>68635</v>
      </c>
      <c r="D181" s="2">
        <v>30251936</v>
      </c>
      <c r="E181" s="2">
        <v>228758</v>
      </c>
      <c r="F181" s="2">
        <v>100</v>
      </c>
      <c r="G181" s="2"/>
      <c r="H181" s="2"/>
      <c r="I181" s="2"/>
      <c r="J181" s="2"/>
      <c r="K181" s="2"/>
      <c r="L181" s="2"/>
      <c r="M181" s="2"/>
    </row>
    <row r="182" spans="1:18" ht="17.25" thickBot="1" x14ac:dyDescent="0.35"/>
    <row r="183" spans="1:18" ht="16.5" customHeight="1" x14ac:dyDescent="0.3">
      <c r="A183" s="16" t="s">
        <v>228</v>
      </c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</row>
    <row r="184" spans="1:18" ht="33" customHeight="1" x14ac:dyDescent="0.3">
      <c r="A184" s="17" t="s">
        <v>77</v>
      </c>
      <c r="B184" s="19" t="s">
        <v>12</v>
      </c>
      <c r="C184" s="19" t="s">
        <v>146</v>
      </c>
      <c r="D184" s="3" t="s">
        <v>147</v>
      </c>
      <c r="E184" s="3" t="s">
        <v>148</v>
      </c>
      <c r="F184" s="19" t="s">
        <v>150</v>
      </c>
      <c r="G184" s="3" t="s">
        <v>148</v>
      </c>
      <c r="H184" s="19" t="s">
        <v>151</v>
      </c>
      <c r="I184" s="19"/>
      <c r="J184" s="3" t="s">
        <v>170</v>
      </c>
      <c r="K184" s="3" t="s">
        <v>148</v>
      </c>
      <c r="L184" s="19" t="s">
        <v>151</v>
      </c>
      <c r="M184" s="19"/>
    </row>
    <row r="185" spans="1:18" ht="33" x14ac:dyDescent="0.3">
      <c r="A185" s="17"/>
      <c r="B185" s="19"/>
      <c r="C185" s="19"/>
      <c r="D185" s="3" t="s">
        <v>146</v>
      </c>
      <c r="E185" s="3" t="s">
        <v>149</v>
      </c>
      <c r="F185" s="19"/>
      <c r="G185" s="3" t="s">
        <v>150</v>
      </c>
      <c r="H185" s="19" t="s">
        <v>152</v>
      </c>
      <c r="I185" s="19"/>
      <c r="J185" s="3" t="s">
        <v>150</v>
      </c>
      <c r="K185" s="3" t="s">
        <v>171</v>
      </c>
      <c r="L185" s="19" t="s">
        <v>172</v>
      </c>
      <c r="M185" s="19"/>
    </row>
    <row r="186" spans="1:18" ht="17.25" thickBot="1" x14ac:dyDescent="0.35">
      <c r="A186" s="6">
        <v>1</v>
      </c>
      <c r="B186" s="11">
        <v>1</v>
      </c>
      <c r="C186" s="2">
        <v>5526</v>
      </c>
      <c r="D186" s="2">
        <v>2609186</v>
      </c>
      <c r="E186" s="2">
        <v>48302</v>
      </c>
      <c r="F186" s="2">
        <v>8.6249000000000002</v>
      </c>
      <c r="G186" s="2">
        <v>0.14099999999999999</v>
      </c>
      <c r="H186" s="2">
        <v>8.3483000000000001</v>
      </c>
      <c r="I186" s="2">
        <v>8.9014000000000006</v>
      </c>
      <c r="J186" s="2">
        <v>37.021099999999997</v>
      </c>
      <c r="K186" s="2">
        <v>0.48280000000000001</v>
      </c>
      <c r="L186" s="2">
        <v>36.0745</v>
      </c>
      <c r="M186" s="2">
        <v>37.967700000000001</v>
      </c>
      <c r="O186" t="str">
        <f t="shared" ref="O186:O188" si="40">TEXT(J186,"0.00")&amp;" ("&amp;TEXT(L186,"0.00")&amp;" to "&amp;TEXT(M186,"0.00")&amp;")"</f>
        <v>37.02 (36.07 to 37.97)</v>
      </c>
      <c r="P186" t="str">
        <f>O190</f>
        <v>38.31 (37.42 to 39.20)</v>
      </c>
      <c r="Q186" t="str">
        <f>O194</f>
        <v>34.83 (33.98 to 35.69)</v>
      </c>
      <c r="R186" t="str">
        <f>O198</f>
        <v>28.27 (27.47 to 29.06)</v>
      </c>
    </row>
    <row r="187" spans="1:18" ht="17.25" thickBot="1" x14ac:dyDescent="0.35">
      <c r="A187" s="6"/>
      <c r="B187" s="11">
        <v>2</v>
      </c>
      <c r="C187" s="2">
        <v>7556</v>
      </c>
      <c r="D187" s="2">
        <v>3446704</v>
      </c>
      <c r="E187" s="2">
        <v>55459</v>
      </c>
      <c r="F187" s="2">
        <v>11.3933</v>
      </c>
      <c r="G187" s="2">
        <v>0.15570000000000001</v>
      </c>
      <c r="H187" s="2">
        <v>11.087999999999999</v>
      </c>
      <c r="I187" s="2">
        <v>11.698700000000001</v>
      </c>
      <c r="J187" s="2">
        <v>48.904400000000003</v>
      </c>
      <c r="K187" s="2">
        <v>0.50829999999999997</v>
      </c>
      <c r="L187" s="2">
        <v>47.907800000000002</v>
      </c>
      <c r="M187" s="2">
        <v>49.901000000000003</v>
      </c>
      <c r="O187" t="str">
        <f t="shared" si="40"/>
        <v>48.90 (47.91 to 49.90)</v>
      </c>
      <c r="P187" t="str">
        <f t="shared" ref="P187:P188" si="41">O191</f>
        <v>47.51 (46.59 to 48.42)</v>
      </c>
      <c r="Q187" t="str">
        <f t="shared" ref="Q187:Q188" si="42">O195</f>
        <v>49.37 (48.47 to 50.27)</v>
      </c>
      <c r="R187" t="str">
        <f t="shared" ref="R187:R188" si="43">O199</f>
        <v>50.92 (50.03 to 51.81)</v>
      </c>
    </row>
    <row r="188" spans="1:18" ht="17.25" thickBot="1" x14ac:dyDescent="0.35">
      <c r="A188" s="6"/>
      <c r="B188" s="11">
        <v>3</v>
      </c>
      <c r="C188" s="2">
        <v>2375</v>
      </c>
      <c r="D188" s="2">
        <v>991950</v>
      </c>
      <c r="E188" s="2">
        <v>24741</v>
      </c>
      <c r="F188" s="2">
        <v>3.2789999999999999</v>
      </c>
      <c r="G188" s="2">
        <v>7.9600000000000004E-2</v>
      </c>
      <c r="H188" s="2">
        <v>3.1229</v>
      </c>
      <c r="I188" s="2">
        <v>3.4350999999999998</v>
      </c>
      <c r="J188" s="2">
        <v>14.0745</v>
      </c>
      <c r="K188" s="2">
        <v>0.3296</v>
      </c>
      <c r="L188" s="2">
        <v>13.4283</v>
      </c>
      <c r="M188" s="2">
        <v>14.720700000000001</v>
      </c>
      <c r="O188" t="str">
        <f t="shared" si="40"/>
        <v>14.07 (13.43 to 14.72)</v>
      </c>
      <c r="P188" t="str">
        <f t="shared" si="41"/>
        <v>14.18 (13.58 to 14.78)</v>
      </c>
      <c r="Q188" t="str">
        <f t="shared" si="42"/>
        <v>15.79 (15.18 to 16.41)</v>
      </c>
      <c r="R188" t="str">
        <f t="shared" si="43"/>
        <v>20.82 (20.11 to 21.52)</v>
      </c>
    </row>
    <row r="189" spans="1:18" ht="17.25" thickBot="1" x14ac:dyDescent="0.35">
      <c r="A189" s="6"/>
      <c r="B189" s="11" t="s">
        <v>153</v>
      </c>
      <c r="C189" s="2">
        <v>15457</v>
      </c>
      <c r="D189" s="2">
        <v>7047841</v>
      </c>
      <c r="E189" s="2">
        <v>85770</v>
      </c>
      <c r="F189" s="2">
        <v>23.2972</v>
      </c>
      <c r="G189" s="2">
        <v>0.20880000000000001</v>
      </c>
      <c r="H189" s="2">
        <v>22.887599999999999</v>
      </c>
      <c r="I189" s="2">
        <v>23.706700000000001</v>
      </c>
      <c r="J189" s="2">
        <v>100</v>
      </c>
      <c r="K189" s="2"/>
      <c r="L189" s="2"/>
      <c r="M189" s="2"/>
    </row>
    <row r="190" spans="1:18" ht="17.25" thickBot="1" x14ac:dyDescent="0.35">
      <c r="A190" s="6">
        <v>2</v>
      </c>
      <c r="B190" s="11">
        <v>1</v>
      </c>
      <c r="C190" s="2">
        <v>6338</v>
      </c>
      <c r="D190" s="2">
        <v>2881851</v>
      </c>
      <c r="E190" s="2">
        <v>47714</v>
      </c>
      <c r="F190" s="2">
        <v>9.5261999999999993</v>
      </c>
      <c r="G190" s="2">
        <v>0.13619999999999999</v>
      </c>
      <c r="H190" s="2">
        <v>9.2591000000000001</v>
      </c>
      <c r="I190" s="2">
        <v>9.7932000000000006</v>
      </c>
      <c r="J190" s="2">
        <v>38.3142</v>
      </c>
      <c r="K190" s="2">
        <v>0.45390000000000003</v>
      </c>
      <c r="L190" s="2">
        <v>37.424100000000003</v>
      </c>
      <c r="M190" s="2">
        <v>39.204300000000003</v>
      </c>
      <c r="O190" t="str">
        <f t="shared" ref="O190:O192" si="44">TEXT(J190,"0.00")&amp;" ("&amp;TEXT(L190,"0.00")&amp;" to "&amp;TEXT(M190,"0.00")&amp;")"</f>
        <v>38.31 (37.42 to 39.20)</v>
      </c>
    </row>
    <row r="191" spans="1:18" ht="17.25" thickBot="1" x14ac:dyDescent="0.35">
      <c r="A191" s="6"/>
      <c r="B191" s="11">
        <v>2</v>
      </c>
      <c r="C191" s="2">
        <v>8180</v>
      </c>
      <c r="D191" s="2">
        <v>3573322</v>
      </c>
      <c r="E191" s="2">
        <v>52067</v>
      </c>
      <c r="F191" s="2">
        <v>11.8119</v>
      </c>
      <c r="G191" s="2">
        <v>0.14630000000000001</v>
      </c>
      <c r="H191" s="2">
        <v>11.5251</v>
      </c>
      <c r="I191" s="2">
        <v>12.098699999999999</v>
      </c>
      <c r="J191" s="2">
        <v>47.507300000000001</v>
      </c>
      <c r="K191" s="2">
        <v>0.4667</v>
      </c>
      <c r="L191" s="2">
        <v>46.592199999999998</v>
      </c>
      <c r="M191" s="2">
        <v>48.4223</v>
      </c>
      <c r="O191" t="str">
        <f t="shared" si="44"/>
        <v>47.51 (46.59 to 48.42)</v>
      </c>
    </row>
    <row r="192" spans="1:18" ht="17.25" thickBot="1" x14ac:dyDescent="0.35">
      <c r="A192" s="6"/>
      <c r="B192" s="11">
        <v>3</v>
      </c>
      <c r="C192" s="2">
        <v>2804</v>
      </c>
      <c r="D192" s="2">
        <v>1066461</v>
      </c>
      <c r="E192" s="2">
        <v>25331</v>
      </c>
      <c r="F192" s="2">
        <v>3.5253000000000001</v>
      </c>
      <c r="G192" s="2">
        <v>8.0799999999999997E-2</v>
      </c>
      <c r="H192" s="2">
        <v>3.3668999999999998</v>
      </c>
      <c r="I192" s="2">
        <v>3.6836000000000002</v>
      </c>
      <c r="J192" s="2">
        <v>14.178599999999999</v>
      </c>
      <c r="K192" s="2">
        <v>0.30759999999999998</v>
      </c>
      <c r="L192" s="2">
        <v>13.5754</v>
      </c>
      <c r="M192" s="2">
        <v>14.7818</v>
      </c>
      <c r="O192" t="str">
        <f t="shared" si="44"/>
        <v>14.18 (13.58 to 14.78)</v>
      </c>
    </row>
    <row r="193" spans="1:15" ht="17.25" thickBot="1" x14ac:dyDescent="0.35">
      <c r="A193" s="6"/>
      <c r="B193" s="11" t="s">
        <v>153</v>
      </c>
      <c r="C193" s="2">
        <v>17322</v>
      </c>
      <c r="D193" s="2">
        <v>7521633</v>
      </c>
      <c r="E193" s="2">
        <v>82230</v>
      </c>
      <c r="F193" s="2">
        <v>24.863299999999999</v>
      </c>
      <c r="G193" s="2">
        <v>0.1913</v>
      </c>
      <c r="H193" s="2">
        <v>24.488199999999999</v>
      </c>
      <c r="I193" s="2">
        <v>25.238399999999999</v>
      </c>
      <c r="J193" s="2">
        <v>100</v>
      </c>
      <c r="K193" s="2"/>
      <c r="L193" s="2"/>
      <c r="M193" s="2"/>
    </row>
    <row r="194" spans="1:15" ht="17.25" thickBot="1" x14ac:dyDescent="0.35">
      <c r="A194" s="6">
        <v>3</v>
      </c>
      <c r="B194" s="11">
        <v>1</v>
      </c>
      <c r="C194" s="2">
        <v>5954</v>
      </c>
      <c r="D194" s="2">
        <v>2645917</v>
      </c>
      <c r="E194" s="2">
        <v>44349</v>
      </c>
      <c r="F194" s="2">
        <v>8.7462999999999997</v>
      </c>
      <c r="G194" s="2">
        <v>0.12770000000000001</v>
      </c>
      <c r="H194" s="2">
        <v>8.4957999999999991</v>
      </c>
      <c r="I194" s="2">
        <v>8.9967000000000006</v>
      </c>
      <c r="J194" s="2">
        <v>34.834899999999998</v>
      </c>
      <c r="K194" s="2">
        <v>0.4365</v>
      </c>
      <c r="L194" s="2">
        <v>33.978999999999999</v>
      </c>
      <c r="M194" s="2">
        <v>35.690800000000003</v>
      </c>
      <c r="O194" t="str">
        <f t="shared" ref="O194:O196" si="45">TEXT(J194,"0.00")&amp;" ("&amp;TEXT(L194,"0.00")&amp;" to "&amp;TEXT(M194,"0.00")&amp;")"</f>
        <v>34.83 (33.98 to 35.69)</v>
      </c>
    </row>
    <row r="195" spans="1:15" ht="17.25" thickBot="1" x14ac:dyDescent="0.35">
      <c r="A195" s="6"/>
      <c r="B195" s="11">
        <v>2</v>
      </c>
      <c r="C195" s="2">
        <v>8627</v>
      </c>
      <c r="D195" s="2">
        <v>3750039</v>
      </c>
      <c r="E195" s="2">
        <v>53641</v>
      </c>
      <c r="F195" s="2">
        <v>12.396000000000001</v>
      </c>
      <c r="G195" s="2">
        <v>0.15190000000000001</v>
      </c>
      <c r="H195" s="2">
        <v>12.0982</v>
      </c>
      <c r="I195" s="2">
        <v>12.6938</v>
      </c>
      <c r="J195" s="2">
        <v>49.371200000000002</v>
      </c>
      <c r="K195" s="2">
        <v>0.4607</v>
      </c>
      <c r="L195" s="2">
        <v>48.467799999999997</v>
      </c>
      <c r="M195" s="2">
        <v>50.274700000000003</v>
      </c>
      <c r="O195" t="str">
        <f t="shared" si="45"/>
        <v>49.37 (48.47 to 50.27)</v>
      </c>
    </row>
    <row r="196" spans="1:15" ht="17.25" thickBot="1" x14ac:dyDescent="0.35">
      <c r="A196" s="6"/>
      <c r="B196" s="11">
        <v>3</v>
      </c>
      <c r="C196" s="2">
        <v>3247</v>
      </c>
      <c r="D196" s="2">
        <v>1199638</v>
      </c>
      <c r="E196" s="2">
        <v>25996</v>
      </c>
      <c r="F196" s="2">
        <v>3.9655</v>
      </c>
      <c r="G196" s="2">
        <v>8.4900000000000003E-2</v>
      </c>
      <c r="H196" s="2">
        <v>3.7989999999999999</v>
      </c>
      <c r="I196" s="2">
        <v>4.1318999999999999</v>
      </c>
      <c r="J196" s="2">
        <v>15.793900000000001</v>
      </c>
      <c r="K196" s="2">
        <v>0.315</v>
      </c>
      <c r="L196" s="2">
        <v>15.1762</v>
      </c>
      <c r="M196" s="2">
        <v>16.4115</v>
      </c>
      <c r="O196" t="str">
        <f t="shared" si="45"/>
        <v>15.79 (15.18 to 16.41)</v>
      </c>
    </row>
    <row r="197" spans="1:15" ht="17.25" thickBot="1" x14ac:dyDescent="0.35">
      <c r="A197" s="6"/>
      <c r="B197" s="11" t="s">
        <v>153</v>
      </c>
      <c r="C197" s="2">
        <v>17828</v>
      </c>
      <c r="D197" s="2">
        <v>7595594</v>
      </c>
      <c r="E197" s="2">
        <v>80574</v>
      </c>
      <c r="F197" s="2">
        <v>25.107800000000001</v>
      </c>
      <c r="G197" s="2">
        <v>0.19489999999999999</v>
      </c>
      <c r="H197" s="2">
        <v>24.7257</v>
      </c>
      <c r="I197" s="2">
        <v>25.489899999999999</v>
      </c>
      <c r="J197" s="2">
        <v>100</v>
      </c>
      <c r="K197" s="2"/>
      <c r="L197" s="2"/>
      <c r="M197" s="2"/>
    </row>
    <row r="198" spans="1:15" ht="17.25" thickBot="1" x14ac:dyDescent="0.35">
      <c r="A198" s="6">
        <v>4</v>
      </c>
      <c r="B198" s="11">
        <v>1</v>
      </c>
      <c r="C198" s="2">
        <v>5058</v>
      </c>
      <c r="D198" s="2">
        <v>2286069</v>
      </c>
      <c r="E198" s="2">
        <v>41204</v>
      </c>
      <c r="F198" s="2">
        <v>7.5568</v>
      </c>
      <c r="G198" s="2">
        <v>0.12520000000000001</v>
      </c>
      <c r="H198" s="2">
        <v>7.3112000000000004</v>
      </c>
      <c r="I198" s="2">
        <v>7.8022999999999998</v>
      </c>
      <c r="J198" s="2">
        <v>28.268899999999999</v>
      </c>
      <c r="K198" s="2">
        <v>0.40579999999999999</v>
      </c>
      <c r="L198" s="2">
        <v>27.473099999999999</v>
      </c>
      <c r="M198" s="2">
        <v>29.064699999999998</v>
      </c>
      <c r="O198" t="str">
        <f t="shared" ref="O198:O200" si="46">TEXT(J198,"0.00")&amp;" ("&amp;TEXT(L198,"0.00")&amp;" to "&amp;TEXT(M198,"0.00")&amp;")"</f>
        <v>28.27 (27.47 to 29.06)</v>
      </c>
    </row>
    <row r="199" spans="1:15" ht="17.25" thickBot="1" x14ac:dyDescent="0.35">
      <c r="A199" s="6"/>
      <c r="B199" s="11">
        <v>2</v>
      </c>
      <c r="C199" s="2">
        <v>8847</v>
      </c>
      <c r="D199" s="2">
        <v>4117511</v>
      </c>
      <c r="E199" s="2">
        <v>57482</v>
      </c>
      <c r="F199" s="2">
        <v>13.6107</v>
      </c>
      <c r="G199" s="2">
        <v>0.16120000000000001</v>
      </c>
      <c r="H199" s="2">
        <v>13.294700000000001</v>
      </c>
      <c r="I199" s="2">
        <v>13.9268</v>
      </c>
      <c r="J199" s="2">
        <v>50.915999999999997</v>
      </c>
      <c r="K199" s="2">
        <v>0.45369999999999999</v>
      </c>
      <c r="L199" s="2">
        <v>50.026299999999999</v>
      </c>
      <c r="M199" s="2">
        <v>51.805700000000002</v>
      </c>
      <c r="O199" t="str">
        <f t="shared" si="46"/>
        <v>50.92 (50.03 to 51.81)</v>
      </c>
    </row>
    <row r="200" spans="1:15" ht="17.25" thickBot="1" x14ac:dyDescent="0.35">
      <c r="A200" s="6"/>
      <c r="B200" s="11">
        <v>3</v>
      </c>
      <c r="C200" s="2">
        <v>4123</v>
      </c>
      <c r="D200" s="2">
        <v>1683288</v>
      </c>
      <c r="E200" s="2">
        <v>33369</v>
      </c>
      <c r="F200" s="2">
        <v>5.5641999999999996</v>
      </c>
      <c r="G200" s="2">
        <v>0.105</v>
      </c>
      <c r="H200" s="2">
        <v>5.3582999999999998</v>
      </c>
      <c r="I200" s="2">
        <v>5.7702</v>
      </c>
      <c r="J200" s="2">
        <v>20.815100000000001</v>
      </c>
      <c r="K200" s="2">
        <v>0.35859999999999997</v>
      </c>
      <c r="L200" s="2">
        <v>20.111999999999998</v>
      </c>
      <c r="M200" s="2">
        <v>21.5182</v>
      </c>
      <c r="O200" t="str">
        <f t="shared" si="46"/>
        <v>20.82 (20.11 to 21.52)</v>
      </c>
    </row>
    <row r="201" spans="1:15" ht="17.25" thickBot="1" x14ac:dyDescent="0.35">
      <c r="A201" s="6"/>
      <c r="B201" s="11" t="s">
        <v>153</v>
      </c>
      <c r="C201" s="2">
        <v>18028</v>
      </c>
      <c r="D201" s="2">
        <v>8086868</v>
      </c>
      <c r="E201" s="2">
        <v>85733</v>
      </c>
      <c r="F201" s="2">
        <v>26.7317</v>
      </c>
      <c r="G201" s="2">
        <v>0.2117</v>
      </c>
      <c r="H201" s="2">
        <v>26.316600000000001</v>
      </c>
      <c r="I201" s="2">
        <v>27.146899999999999</v>
      </c>
      <c r="J201" s="2">
        <v>100</v>
      </c>
      <c r="K201" s="2"/>
      <c r="L201" s="2"/>
      <c r="M201" s="2"/>
    </row>
    <row r="202" spans="1:15" ht="17.25" thickBot="1" x14ac:dyDescent="0.35">
      <c r="A202" s="6" t="s">
        <v>153</v>
      </c>
      <c r="B202" s="11">
        <v>1</v>
      </c>
      <c r="C202" s="2">
        <v>22876</v>
      </c>
      <c r="D202" s="2">
        <v>10423023</v>
      </c>
      <c r="E202" s="2">
        <v>111794</v>
      </c>
      <c r="F202" s="2">
        <v>34.454099999999997</v>
      </c>
      <c r="G202" s="2">
        <v>0.2404</v>
      </c>
      <c r="H202" s="2">
        <v>33.982599999999998</v>
      </c>
      <c r="I202" s="2">
        <v>34.9255</v>
      </c>
      <c r="J202" s="2"/>
      <c r="K202" s="2"/>
      <c r="L202" s="2"/>
      <c r="M202" s="2"/>
    </row>
    <row r="203" spans="1:15" ht="17.25" thickBot="1" x14ac:dyDescent="0.35">
      <c r="A203" s="6"/>
      <c r="B203" s="11">
        <v>2</v>
      </c>
      <c r="C203" s="2">
        <v>33210</v>
      </c>
      <c r="D203" s="2">
        <v>14887576</v>
      </c>
      <c r="E203" s="2">
        <v>139026</v>
      </c>
      <c r="F203" s="2">
        <v>49.212000000000003</v>
      </c>
      <c r="G203" s="2">
        <v>0.25819999999999999</v>
      </c>
      <c r="H203" s="2">
        <v>48.7057</v>
      </c>
      <c r="I203" s="2">
        <v>49.718200000000003</v>
      </c>
      <c r="J203" s="2"/>
      <c r="K203" s="2"/>
      <c r="L203" s="2"/>
      <c r="M203" s="2"/>
    </row>
    <row r="204" spans="1:15" ht="17.25" thickBot="1" x14ac:dyDescent="0.35">
      <c r="A204" s="6"/>
      <c r="B204" s="11">
        <v>3</v>
      </c>
      <c r="C204" s="2">
        <v>12549</v>
      </c>
      <c r="D204" s="2">
        <v>4941337</v>
      </c>
      <c r="E204" s="2">
        <v>60754</v>
      </c>
      <c r="F204" s="2">
        <v>16.334</v>
      </c>
      <c r="G204" s="2">
        <v>0.17949999999999999</v>
      </c>
      <c r="H204" s="2">
        <v>15.9819</v>
      </c>
      <c r="I204" s="2">
        <v>16.686</v>
      </c>
      <c r="J204" s="2"/>
      <c r="K204" s="2"/>
      <c r="L204" s="2"/>
      <c r="M204" s="2"/>
    </row>
    <row r="205" spans="1:15" x14ac:dyDescent="0.3">
      <c r="A205" s="6"/>
      <c r="B205" s="14" t="s">
        <v>153</v>
      </c>
      <c r="C205" s="2">
        <v>68635</v>
      </c>
      <c r="D205" s="2">
        <v>30251936</v>
      </c>
      <c r="E205" s="2">
        <v>228758</v>
      </c>
      <c r="F205" s="2">
        <v>100</v>
      </c>
      <c r="G205" s="2"/>
      <c r="H205" s="2"/>
      <c r="I205" s="2"/>
      <c r="J205" s="2"/>
      <c r="K205" s="2"/>
      <c r="L205" s="2"/>
      <c r="M205" s="2"/>
    </row>
    <row r="206" spans="1:15" ht="17.25" thickBot="1" x14ac:dyDescent="0.35"/>
    <row r="207" spans="1:15" ht="16.5" customHeight="1" x14ac:dyDescent="0.3">
      <c r="A207" s="16" t="s">
        <v>229</v>
      </c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</row>
    <row r="208" spans="1:15" ht="33" customHeight="1" x14ac:dyDescent="0.3">
      <c r="A208" s="17" t="s">
        <v>77</v>
      </c>
      <c r="B208" s="19" t="s">
        <v>13</v>
      </c>
      <c r="C208" s="19" t="s">
        <v>146</v>
      </c>
      <c r="D208" s="3" t="s">
        <v>147</v>
      </c>
      <c r="E208" s="3" t="s">
        <v>148</v>
      </c>
      <c r="F208" s="19" t="s">
        <v>150</v>
      </c>
      <c r="G208" s="3" t="s">
        <v>148</v>
      </c>
      <c r="H208" s="19" t="s">
        <v>151</v>
      </c>
      <c r="I208" s="19"/>
      <c r="J208" s="3" t="s">
        <v>170</v>
      </c>
      <c r="K208" s="3" t="s">
        <v>148</v>
      </c>
      <c r="L208" s="19" t="s">
        <v>151</v>
      </c>
      <c r="M208" s="19"/>
    </row>
    <row r="209" spans="1:18" ht="33" x14ac:dyDescent="0.3">
      <c r="A209" s="17"/>
      <c r="B209" s="19"/>
      <c r="C209" s="19"/>
      <c r="D209" s="3" t="s">
        <v>146</v>
      </c>
      <c r="E209" s="3" t="s">
        <v>149</v>
      </c>
      <c r="F209" s="19"/>
      <c r="G209" s="3" t="s">
        <v>150</v>
      </c>
      <c r="H209" s="19" t="s">
        <v>152</v>
      </c>
      <c r="I209" s="19"/>
      <c r="J209" s="3" t="s">
        <v>150</v>
      </c>
      <c r="K209" s="3" t="s">
        <v>171</v>
      </c>
      <c r="L209" s="19" t="s">
        <v>172</v>
      </c>
      <c r="M209" s="19"/>
    </row>
    <row r="210" spans="1:18" ht="17.25" thickBot="1" x14ac:dyDescent="0.35">
      <c r="A210" s="6">
        <v>1</v>
      </c>
      <c r="B210" s="11">
        <v>1</v>
      </c>
      <c r="C210" s="2">
        <v>4412</v>
      </c>
      <c r="D210" s="2">
        <v>2051087</v>
      </c>
      <c r="E210" s="2">
        <v>39352</v>
      </c>
      <c r="F210" s="2">
        <v>6.78</v>
      </c>
      <c r="G210" s="2">
        <v>0.11799999999999999</v>
      </c>
      <c r="H210" s="2">
        <v>6.5487000000000002</v>
      </c>
      <c r="I210" s="2">
        <v>7.0113000000000003</v>
      </c>
      <c r="J210" s="2">
        <v>29.102399999999999</v>
      </c>
      <c r="K210" s="2">
        <v>0.43840000000000001</v>
      </c>
      <c r="L210" s="2">
        <v>28.242699999999999</v>
      </c>
      <c r="M210" s="2">
        <v>29.962</v>
      </c>
      <c r="O210" t="str">
        <f t="shared" ref="O210:O212" si="47">TEXT(J210,"0.00")&amp;" ("&amp;TEXT(L210,"0.00")&amp;" to "&amp;TEXT(M210,"0.00")&amp;")"</f>
        <v>29.10 (28.24 to 29.96)</v>
      </c>
      <c r="P210" t="str">
        <f>O214</f>
        <v>26.62 (25.81 to 27.44)</v>
      </c>
      <c r="Q210" t="str">
        <f>O218</f>
        <v>25.82 (25.03 to 26.60)</v>
      </c>
      <c r="R210" t="str">
        <f>O222</f>
        <v>29.66 (28.85 to 30.47)</v>
      </c>
    </row>
    <row r="211" spans="1:18" ht="17.25" thickBot="1" x14ac:dyDescent="0.35">
      <c r="A211" s="6"/>
      <c r="B211" s="11">
        <v>2</v>
      </c>
      <c r="C211" s="2">
        <v>9059</v>
      </c>
      <c r="D211" s="2">
        <v>4187221</v>
      </c>
      <c r="E211" s="2">
        <v>62796</v>
      </c>
      <c r="F211" s="2">
        <v>13.841200000000001</v>
      </c>
      <c r="G211" s="2">
        <v>0.17050000000000001</v>
      </c>
      <c r="H211" s="2">
        <v>13.5069</v>
      </c>
      <c r="I211" s="2">
        <v>14.1754</v>
      </c>
      <c r="J211" s="2">
        <v>59.4114</v>
      </c>
      <c r="K211" s="2">
        <v>0.47099999999999997</v>
      </c>
      <c r="L211" s="2">
        <v>58.487900000000003</v>
      </c>
      <c r="M211" s="2">
        <v>60.334899999999998</v>
      </c>
      <c r="O211" t="str">
        <f t="shared" si="47"/>
        <v>59.41 (58.49 to 60.33)</v>
      </c>
      <c r="P211" t="str">
        <f t="shared" ref="P211:P212" si="48">O215</f>
        <v>59.30 (58.42 to 60.19)</v>
      </c>
      <c r="Q211" t="str">
        <f t="shared" ref="Q211:Q212" si="49">O219</f>
        <v>58.70 (57.82 to 59.58)</v>
      </c>
      <c r="R211" t="str">
        <f t="shared" ref="R211:R212" si="50">O223</f>
        <v>55.84 (54.99 to 56.68)</v>
      </c>
    </row>
    <row r="212" spans="1:18" ht="17.25" thickBot="1" x14ac:dyDescent="0.35">
      <c r="A212" s="6"/>
      <c r="B212" s="11">
        <v>3</v>
      </c>
      <c r="C212" s="2">
        <v>1986</v>
      </c>
      <c r="D212" s="2">
        <v>809532</v>
      </c>
      <c r="E212" s="2">
        <v>22439</v>
      </c>
      <c r="F212" s="2">
        <v>2.6760000000000002</v>
      </c>
      <c r="G212" s="2">
        <v>7.1999999999999995E-2</v>
      </c>
      <c r="H212" s="2">
        <v>2.5348999999999999</v>
      </c>
      <c r="I212" s="2">
        <v>2.8170999999999999</v>
      </c>
      <c r="J212" s="2">
        <v>11.4862</v>
      </c>
      <c r="K212" s="2">
        <v>0.2984</v>
      </c>
      <c r="L212" s="2">
        <v>10.9011</v>
      </c>
      <c r="M212" s="2">
        <v>12.071300000000001</v>
      </c>
      <c r="O212" t="str">
        <f t="shared" si="47"/>
        <v>11.49 (10.90 to 12.07)</v>
      </c>
      <c r="P212" t="str">
        <f t="shared" si="48"/>
        <v>14.08 (13.46 to 14.69)</v>
      </c>
      <c r="Q212" t="str">
        <f t="shared" si="49"/>
        <v>15.49 (14.85 to 16.12)</v>
      </c>
      <c r="R212" t="str">
        <f t="shared" si="50"/>
        <v>14.50 (13.90 to 15.10)</v>
      </c>
    </row>
    <row r="213" spans="1:18" ht="17.25" thickBot="1" x14ac:dyDescent="0.35">
      <c r="A213" s="6"/>
      <c r="B213" s="11" t="s">
        <v>153</v>
      </c>
      <c r="C213" s="2">
        <v>15457</v>
      </c>
      <c r="D213" s="2">
        <v>7047841</v>
      </c>
      <c r="E213" s="2">
        <v>85770</v>
      </c>
      <c r="F213" s="2">
        <v>23.2972</v>
      </c>
      <c r="G213" s="2">
        <v>0.20880000000000001</v>
      </c>
      <c r="H213" s="2">
        <v>22.887599999999999</v>
      </c>
      <c r="I213" s="2">
        <v>23.706700000000001</v>
      </c>
      <c r="J213" s="2">
        <v>100</v>
      </c>
      <c r="K213" s="2"/>
      <c r="L213" s="2"/>
      <c r="M213" s="2"/>
    </row>
    <row r="214" spans="1:18" ht="17.25" thickBot="1" x14ac:dyDescent="0.35">
      <c r="A214" s="6">
        <v>2</v>
      </c>
      <c r="B214" s="11">
        <v>1</v>
      </c>
      <c r="C214" s="2">
        <v>4459</v>
      </c>
      <c r="D214" s="2">
        <v>2002548</v>
      </c>
      <c r="E214" s="2">
        <v>38226</v>
      </c>
      <c r="F214" s="2">
        <v>6.6196000000000002</v>
      </c>
      <c r="G214" s="2">
        <v>0.11550000000000001</v>
      </c>
      <c r="H214" s="2">
        <v>6.3929999999999998</v>
      </c>
      <c r="I214" s="2">
        <v>6.8460999999999999</v>
      </c>
      <c r="J214" s="2">
        <v>26.623799999999999</v>
      </c>
      <c r="K214" s="2">
        <v>0.4153</v>
      </c>
      <c r="L214" s="2">
        <v>25.8096</v>
      </c>
      <c r="M214" s="2">
        <v>27.438099999999999</v>
      </c>
      <c r="O214" t="str">
        <f t="shared" ref="O214:O216" si="51">TEXT(J214,"0.00")&amp;" ("&amp;TEXT(L214,"0.00")&amp;" to "&amp;TEXT(M214,"0.00")&amp;")"</f>
        <v>26.62 (25.81 to 27.44)</v>
      </c>
    </row>
    <row r="215" spans="1:18" ht="17.25" thickBot="1" x14ac:dyDescent="0.35">
      <c r="A215" s="6"/>
      <c r="B215" s="11">
        <v>2</v>
      </c>
      <c r="C215" s="2">
        <v>10158</v>
      </c>
      <c r="D215" s="2">
        <v>4460374</v>
      </c>
      <c r="E215" s="2">
        <v>59996</v>
      </c>
      <c r="F215" s="2">
        <v>14.7441</v>
      </c>
      <c r="G215" s="2">
        <v>0.1613</v>
      </c>
      <c r="H215" s="2">
        <v>14.4278</v>
      </c>
      <c r="I215" s="2">
        <v>15.0604</v>
      </c>
      <c r="J215" s="2">
        <v>59.300600000000003</v>
      </c>
      <c r="K215" s="2">
        <v>0.45129999999999998</v>
      </c>
      <c r="L215" s="2">
        <v>58.415599999999998</v>
      </c>
      <c r="M215" s="2">
        <v>60.185600000000001</v>
      </c>
      <c r="O215" t="str">
        <f t="shared" si="51"/>
        <v>59.30 (58.42 to 60.19)</v>
      </c>
    </row>
    <row r="216" spans="1:18" ht="17.25" thickBot="1" x14ac:dyDescent="0.35">
      <c r="A216" s="6"/>
      <c r="B216" s="11">
        <v>3</v>
      </c>
      <c r="C216" s="2">
        <v>2705</v>
      </c>
      <c r="D216" s="2">
        <v>1058711</v>
      </c>
      <c r="E216" s="2">
        <v>25756</v>
      </c>
      <c r="F216" s="2">
        <v>3.4996</v>
      </c>
      <c r="G216" s="2">
        <v>8.09E-2</v>
      </c>
      <c r="H216" s="2">
        <v>3.3410000000000002</v>
      </c>
      <c r="I216" s="2">
        <v>3.6583000000000001</v>
      </c>
      <c r="J216" s="2">
        <v>14.0755</v>
      </c>
      <c r="K216" s="2">
        <v>0.31159999999999999</v>
      </c>
      <c r="L216" s="2">
        <v>13.464600000000001</v>
      </c>
      <c r="M216" s="2">
        <v>14.686500000000001</v>
      </c>
      <c r="O216" t="str">
        <f t="shared" si="51"/>
        <v>14.08 (13.46 to 14.69)</v>
      </c>
    </row>
    <row r="217" spans="1:18" ht="17.25" thickBot="1" x14ac:dyDescent="0.35">
      <c r="A217" s="6"/>
      <c r="B217" s="11" t="s">
        <v>153</v>
      </c>
      <c r="C217" s="2">
        <v>17322</v>
      </c>
      <c r="D217" s="2">
        <v>7521633</v>
      </c>
      <c r="E217" s="2">
        <v>82230</v>
      </c>
      <c r="F217" s="2">
        <v>24.863299999999999</v>
      </c>
      <c r="G217" s="2">
        <v>0.1913</v>
      </c>
      <c r="H217" s="2">
        <v>24.488199999999999</v>
      </c>
      <c r="I217" s="2">
        <v>25.238399999999999</v>
      </c>
      <c r="J217" s="2">
        <v>100</v>
      </c>
      <c r="K217" s="2"/>
      <c r="L217" s="2"/>
      <c r="M217" s="2"/>
    </row>
    <row r="218" spans="1:18" ht="17.25" thickBot="1" x14ac:dyDescent="0.35">
      <c r="A218" s="6">
        <v>3</v>
      </c>
      <c r="B218" s="11">
        <v>1</v>
      </c>
      <c r="C218" s="2">
        <v>4344</v>
      </c>
      <c r="D218" s="2">
        <v>1960831</v>
      </c>
      <c r="E218" s="2">
        <v>36840</v>
      </c>
      <c r="F218" s="2">
        <v>6.4817</v>
      </c>
      <c r="G218" s="2">
        <v>0.1129</v>
      </c>
      <c r="H218" s="2">
        <v>6.2602000000000002</v>
      </c>
      <c r="I218" s="2">
        <v>6.7031000000000001</v>
      </c>
      <c r="J218" s="2">
        <v>25.8154</v>
      </c>
      <c r="K218" s="2">
        <v>0.39929999999999999</v>
      </c>
      <c r="L218" s="2">
        <v>25.032499999999999</v>
      </c>
      <c r="M218" s="2">
        <v>26.598299999999998</v>
      </c>
      <c r="O218" t="str">
        <f t="shared" ref="O218:O220" si="52">TEXT(J218,"0.00")&amp;" ("&amp;TEXT(L218,"0.00")&amp;" to "&amp;TEXT(M218,"0.00")&amp;")"</f>
        <v>25.82 (25.03 to 26.60)</v>
      </c>
    </row>
    <row r="219" spans="1:18" ht="17.25" thickBot="1" x14ac:dyDescent="0.35">
      <c r="A219" s="6"/>
      <c r="B219" s="11">
        <v>2</v>
      </c>
      <c r="C219" s="2">
        <v>10322</v>
      </c>
      <c r="D219" s="2">
        <v>4458509</v>
      </c>
      <c r="E219" s="2">
        <v>58917</v>
      </c>
      <c r="F219" s="2">
        <v>14.7379</v>
      </c>
      <c r="G219" s="2">
        <v>0.1588</v>
      </c>
      <c r="H219" s="2">
        <v>14.426500000000001</v>
      </c>
      <c r="I219" s="2">
        <v>15.049300000000001</v>
      </c>
      <c r="J219" s="2">
        <v>58.698599999999999</v>
      </c>
      <c r="K219" s="2">
        <v>0.44969999999999999</v>
      </c>
      <c r="L219" s="2">
        <v>57.816899999999997</v>
      </c>
      <c r="M219" s="2">
        <v>59.580300000000001</v>
      </c>
      <c r="O219" t="str">
        <f t="shared" si="52"/>
        <v>58.70 (57.82 to 59.58)</v>
      </c>
    </row>
    <row r="220" spans="1:18" ht="17.25" thickBot="1" x14ac:dyDescent="0.35">
      <c r="A220" s="6"/>
      <c r="B220" s="11">
        <v>3</v>
      </c>
      <c r="C220" s="2">
        <v>3162</v>
      </c>
      <c r="D220" s="2">
        <v>1176254</v>
      </c>
      <c r="E220" s="2">
        <v>27119</v>
      </c>
      <c r="F220" s="2">
        <v>3.8881999999999999</v>
      </c>
      <c r="G220" s="2">
        <v>8.6800000000000002E-2</v>
      </c>
      <c r="H220" s="2">
        <v>3.718</v>
      </c>
      <c r="I220" s="2">
        <v>4.0583</v>
      </c>
      <c r="J220" s="2">
        <v>15.486000000000001</v>
      </c>
      <c r="K220" s="2">
        <v>0.3226</v>
      </c>
      <c r="L220" s="2">
        <v>14.853400000000001</v>
      </c>
      <c r="M220" s="2">
        <v>16.118600000000001</v>
      </c>
      <c r="O220" t="str">
        <f t="shared" si="52"/>
        <v>15.49 (14.85 to 16.12)</v>
      </c>
    </row>
    <row r="221" spans="1:18" ht="17.25" thickBot="1" x14ac:dyDescent="0.35">
      <c r="A221" s="6"/>
      <c r="B221" s="11" t="s">
        <v>153</v>
      </c>
      <c r="C221" s="2">
        <v>17828</v>
      </c>
      <c r="D221" s="2">
        <v>7595594</v>
      </c>
      <c r="E221" s="2">
        <v>80574</v>
      </c>
      <c r="F221" s="2">
        <v>25.107800000000001</v>
      </c>
      <c r="G221" s="2">
        <v>0.19489999999999999</v>
      </c>
      <c r="H221" s="2">
        <v>24.7257</v>
      </c>
      <c r="I221" s="2">
        <v>25.489899999999999</v>
      </c>
      <c r="J221" s="2">
        <v>100</v>
      </c>
      <c r="K221" s="2"/>
      <c r="L221" s="2"/>
      <c r="M221" s="2"/>
    </row>
    <row r="222" spans="1:18" ht="17.25" thickBot="1" x14ac:dyDescent="0.35">
      <c r="A222" s="6">
        <v>4</v>
      </c>
      <c r="B222" s="11">
        <v>1</v>
      </c>
      <c r="C222" s="2">
        <v>5042</v>
      </c>
      <c r="D222" s="2">
        <v>2398579</v>
      </c>
      <c r="E222" s="2">
        <v>41801</v>
      </c>
      <c r="F222" s="2">
        <v>7.9287000000000001</v>
      </c>
      <c r="G222" s="2">
        <v>0.12559999999999999</v>
      </c>
      <c r="H222" s="2">
        <v>7.6822999999999997</v>
      </c>
      <c r="I222" s="2">
        <v>8.1750000000000007</v>
      </c>
      <c r="J222" s="2">
        <v>29.6602</v>
      </c>
      <c r="K222" s="2">
        <v>0.41189999999999999</v>
      </c>
      <c r="L222" s="2">
        <v>28.852399999999999</v>
      </c>
      <c r="M222" s="2">
        <v>30.4679</v>
      </c>
      <c r="O222" t="str">
        <f t="shared" ref="O222:O224" si="53">TEXT(J222,"0.00")&amp;" ("&amp;TEXT(L222,"0.00")&amp;" to "&amp;TEXT(M222,"0.00")&amp;")"</f>
        <v>29.66 (28.85 to 30.47)</v>
      </c>
    </row>
    <row r="223" spans="1:18" ht="17.25" thickBot="1" x14ac:dyDescent="0.35">
      <c r="A223" s="6"/>
      <c r="B223" s="11">
        <v>2</v>
      </c>
      <c r="C223" s="2">
        <v>10012</v>
      </c>
      <c r="D223" s="2">
        <v>4515364</v>
      </c>
      <c r="E223" s="2">
        <v>60099</v>
      </c>
      <c r="F223" s="2">
        <v>14.9259</v>
      </c>
      <c r="G223" s="2">
        <v>0.16689999999999999</v>
      </c>
      <c r="H223" s="2">
        <v>14.598599999999999</v>
      </c>
      <c r="I223" s="2">
        <v>15.2532</v>
      </c>
      <c r="J223" s="2">
        <v>55.835799999999999</v>
      </c>
      <c r="K223" s="2">
        <v>0.43020000000000003</v>
      </c>
      <c r="L223" s="2">
        <v>54.992100000000001</v>
      </c>
      <c r="M223" s="2">
        <v>56.679400000000001</v>
      </c>
      <c r="O223" t="str">
        <f t="shared" si="53"/>
        <v>55.84 (54.99 to 56.68)</v>
      </c>
    </row>
    <row r="224" spans="1:18" ht="17.25" thickBot="1" x14ac:dyDescent="0.35">
      <c r="A224" s="6"/>
      <c r="B224" s="11">
        <v>3</v>
      </c>
      <c r="C224" s="2">
        <v>2974</v>
      </c>
      <c r="D224" s="2">
        <v>1172925</v>
      </c>
      <c r="E224" s="2">
        <v>27277</v>
      </c>
      <c r="F224" s="2">
        <v>3.8772000000000002</v>
      </c>
      <c r="G224" s="2">
        <v>8.7300000000000003E-2</v>
      </c>
      <c r="H224" s="2">
        <v>3.7061000000000002</v>
      </c>
      <c r="I224" s="2">
        <v>4.0483000000000002</v>
      </c>
      <c r="J224" s="2">
        <v>14.504099999999999</v>
      </c>
      <c r="K224" s="2">
        <v>0.30630000000000002</v>
      </c>
      <c r="L224" s="2">
        <v>13.903499999999999</v>
      </c>
      <c r="M224" s="2">
        <v>15.104699999999999</v>
      </c>
      <c r="O224" t="str">
        <f t="shared" si="53"/>
        <v>14.50 (13.90 to 15.10)</v>
      </c>
    </row>
    <row r="225" spans="1:18" ht="17.25" thickBot="1" x14ac:dyDescent="0.35">
      <c r="A225" s="6"/>
      <c r="B225" s="11" t="s">
        <v>153</v>
      </c>
      <c r="C225" s="2">
        <v>18028</v>
      </c>
      <c r="D225" s="2">
        <v>8086868</v>
      </c>
      <c r="E225" s="2">
        <v>85733</v>
      </c>
      <c r="F225" s="2">
        <v>26.7317</v>
      </c>
      <c r="G225" s="2">
        <v>0.2117</v>
      </c>
      <c r="H225" s="2">
        <v>26.316600000000001</v>
      </c>
      <c r="I225" s="2">
        <v>27.146899999999999</v>
      </c>
      <c r="J225" s="2">
        <v>100</v>
      </c>
      <c r="K225" s="2"/>
      <c r="L225" s="2"/>
      <c r="M225" s="2"/>
    </row>
    <row r="226" spans="1:18" ht="17.25" thickBot="1" x14ac:dyDescent="0.35">
      <c r="A226" s="6" t="s">
        <v>153</v>
      </c>
      <c r="B226" s="11">
        <v>1</v>
      </c>
      <c r="C226" s="2">
        <v>18257</v>
      </c>
      <c r="D226" s="2">
        <v>8413045</v>
      </c>
      <c r="E226" s="2">
        <v>91908</v>
      </c>
      <c r="F226" s="2">
        <v>27.809899999999999</v>
      </c>
      <c r="G226" s="2">
        <v>0.22020000000000001</v>
      </c>
      <c r="H226" s="2">
        <v>27.378299999999999</v>
      </c>
      <c r="I226" s="2">
        <v>28.241599999999998</v>
      </c>
      <c r="J226" s="2"/>
      <c r="K226" s="2"/>
      <c r="L226" s="2"/>
      <c r="M226" s="2"/>
    </row>
    <row r="227" spans="1:18" ht="17.25" thickBot="1" x14ac:dyDescent="0.35">
      <c r="A227" s="6"/>
      <c r="B227" s="11">
        <v>2</v>
      </c>
      <c r="C227" s="2">
        <v>39551</v>
      </c>
      <c r="D227" s="2">
        <v>17621468</v>
      </c>
      <c r="E227" s="2">
        <v>153953</v>
      </c>
      <c r="F227" s="2">
        <v>58.249099999999999</v>
      </c>
      <c r="G227" s="2">
        <v>0.22770000000000001</v>
      </c>
      <c r="H227" s="2">
        <v>57.802599999999998</v>
      </c>
      <c r="I227" s="2">
        <v>58.695500000000003</v>
      </c>
      <c r="J227" s="2"/>
      <c r="K227" s="2"/>
      <c r="L227" s="2"/>
      <c r="M227" s="2"/>
    </row>
    <row r="228" spans="1:18" ht="17.25" thickBot="1" x14ac:dyDescent="0.35">
      <c r="A228" s="6"/>
      <c r="B228" s="11">
        <v>3</v>
      </c>
      <c r="C228" s="2">
        <v>10827</v>
      </c>
      <c r="D228" s="2">
        <v>4217422</v>
      </c>
      <c r="E228" s="2">
        <v>56411</v>
      </c>
      <c r="F228" s="2">
        <v>13.941000000000001</v>
      </c>
      <c r="G228" s="2">
        <v>0.16309999999999999</v>
      </c>
      <c r="H228" s="2">
        <v>13.6212</v>
      </c>
      <c r="I228" s="2">
        <v>14.2608</v>
      </c>
      <c r="J228" s="2"/>
      <c r="K228" s="2"/>
      <c r="L228" s="2"/>
      <c r="M228" s="2"/>
    </row>
    <row r="229" spans="1:18" x14ac:dyDescent="0.3">
      <c r="A229" s="6"/>
      <c r="B229" s="14" t="s">
        <v>153</v>
      </c>
      <c r="C229" s="2">
        <v>68635</v>
      </c>
      <c r="D229" s="2">
        <v>30251936</v>
      </c>
      <c r="E229" s="2">
        <v>228758</v>
      </c>
      <c r="F229" s="2">
        <v>100</v>
      </c>
      <c r="G229" s="2"/>
      <c r="H229" s="2"/>
      <c r="I229" s="2"/>
      <c r="J229" s="2"/>
      <c r="K229" s="2"/>
      <c r="L229" s="2"/>
      <c r="M229" s="2"/>
    </row>
    <row r="230" spans="1:18" ht="17.25" thickBot="1" x14ac:dyDescent="0.35"/>
    <row r="231" spans="1:18" ht="16.5" customHeight="1" x14ac:dyDescent="0.3">
      <c r="A231" s="16" t="s">
        <v>230</v>
      </c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</row>
    <row r="232" spans="1:18" ht="33" customHeight="1" x14ac:dyDescent="0.3">
      <c r="A232" s="17" t="s">
        <v>77</v>
      </c>
      <c r="B232" s="19" t="s">
        <v>14</v>
      </c>
      <c r="C232" s="19" t="s">
        <v>146</v>
      </c>
      <c r="D232" s="3" t="s">
        <v>147</v>
      </c>
      <c r="E232" s="3" t="s">
        <v>148</v>
      </c>
      <c r="F232" s="19" t="s">
        <v>150</v>
      </c>
      <c r="G232" s="3" t="s">
        <v>148</v>
      </c>
      <c r="H232" s="19" t="s">
        <v>151</v>
      </c>
      <c r="I232" s="19"/>
      <c r="J232" s="3" t="s">
        <v>170</v>
      </c>
      <c r="K232" s="3" t="s">
        <v>148</v>
      </c>
      <c r="L232" s="19" t="s">
        <v>151</v>
      </c>
      <c r="M232" s="19"/>
    </row>
    <row r="233" spans="1:18" ht="33" x14ac:dyDescent="0.3">
      <c r="A233" s="17"/>
      <c r="B233" s="19"/>
      <c r="C233" s="19"/>
      <c r="D233" s="3" t="s">
        <v>146</v>
      </c>
      <c r="E233" s="3" t="s">
        <v>149</v>
      </c>
      <c r="F233" s="19"/>
      <c r="G233" s="3" t="s">
        <v>150</v>
      </c>
      <c r="H233" s="19" t="s">
        <v>152</v>
      </c>
      <c r="I233" s="19"/>
      <c r="J233" s="3" t="s">
        <v>150</v>
      </c>
      <c r="K233" s="3" t="s">
        <v>171</v>
      </c>
      <c r="L233" s="19" t="s">
        <v>172</v>
      </c>
      <c r="M233" s="19"/>
    </row>
    <row r="234" spans="1:18" ht="17.25" thickBot="1" x14ac:dyDescent="0.35">
      <c r="A234" s="6">
        <v>1</v>
      </c>
      <c r="B234" s="11">
        <v>1</v>
      </c>
      <c r="C234" s="2">
        <v>6223</v>
      </c>
      <c r="D234" s="2">
        <v>2640214</v>
      </c>
      <c r="E234" s="2">
        <v>44860</v>
      </c>
      <c r="F234" s="2">
        <v>8.7273999999999994</v>
      </c>
      <c r="G234" s="2">
        <v>0.13150000000000001</v>
      </c>
      <c r="H234" s="2">
        <v>8.4695</v>
      </c>
      <c r="I234" s="2">
        <v>8.9853000000000005</v>
      </c>
      <c r="J234" s="2">
        <v>37.461300000000001</v>
      </c>
      <c r="K234" s="2">
        <v>0.47039999999999998</v>
      </c>
      <c r="L234" s="2">
        <v>36.539000000000001</v>
      </c>
      <c r="M234" s="2">
        <v>38.383600000000001</v>
      </c>
      <c r="O234" t="str">
        <f t="shared" ref="O234:O236" si="54">TEXT(J234,"0.00")&amp;" ("&amp;TEXT(L234,"0.00")&amp;" to "&amp;TEXT(M234,"0.00")&amp;")"</f>
        <v>37.46 (36.54 to 38.38)</v>
      </c>
      <c r="P234" t="str">
        <f>O238</f>
        <v>36.25 (35.41 to 37.09)</v>
      </c>
      <c r="Q234" t="str">
        <f>O242</f>
        <v>34.44 (33.62 to 35.25)</v>
      </c>
      <c r="R234" t="str">
        <f>O246</f>
        <v>34.09 (33.25 to 34.93)</v>
      </c>
    </row>
    <row r="235" spans="1:18" ht="17.25" thickBot="1" x14ac:dyDescent="0.35">
      <c r="A235" s="6"/>
      <c r="B235" s="11">
        <v>2</v>
      </c>
      <c r="C235" s="2">
        <v>6025</v>
      </c>
      <c r="D235" s="2">
        <v>2931149</v>
      </c>
      <c r="E235" s="2">
        <v>52380</v>
      </c>
      <c r="F235" s="2">
        <v>9.6890999999999998</v>
      </c>
      <c r="G235" s="2">
        <v>0.14829999999999999</v>
      </c>
      <c r="H235" s="2">
        <v>9.3983000000000008</v>
      </c>
      <c r="I235" s="2">
        <v>9.98</v>
      </c>
      <c r="J235" s="2">
        <v>41.589300000000001</v>
      </c>
      <c r="K235" s="2">
        <v>0.48599999999999999</v>
      </c>
      <c r="L235" s="2">
        <v>40.636299999999999</v>
      </c>
      <c r="M235" s="2">
        <v>42.542299999999997</v>
      </c>
      <c r="O235" t="str">
        <f t="shared" si="54"/>
        <v>41.59 (40.64 to 42.54)</v>
      </c>
      <c r="P235" t="str">
        <f t="shared" ref="P235:P236" si="55">O239</f>
        <v>39.62 (38.73 to 40.51)</v>
      </c>
      <c r="Q235" t="str">
        <f t="shared" ref="Q235:Q236" si="56">O243</f>
        <v>37.88 (37.01 to 38.75)</v>
      </c>
      <c r="R235" t="str">
        <f t="shared" ref="R235:R236" si="57">O247</f>
        <v>36.50 (35.63 to 37.37)</v>
      </c>
    </row>
    <row r="236" spans="1:18" ht="17.25" thickBot="1" x14ac:dyDescent="0.35">
      <c r="A236" s="6"/>
      <c r="B236" s="11">
        <v>3</v>
      </c>
      <c r="C236" s="2">
        <v>3209</v>
      </c>
      <c r="D236" s="2">
        <v>1476478</v>
      </c>
      <c r="E236" s="2">
        <v>32270</v>
      </c>
      <c r="F236" s="2">
        <v>4.8806000000000003</v>
      </c>
      <c r="G236" s="2">
        <v>0.1016</v>
      </c>
      <c r="H236" s="2">
        <v>4.6814</v>
      </c>
      <c r="I236" s="2">
        <v>5.0797999999999996</v>
      </c>
      <c r="J236" s="2">
        <v>20.949400000000001</v>
      </c>
      <c r="K236" s="2">
        <v>0.40179999999999999</v>
      </c>
      <c r="L236" s="2">
        <v>20.1615</v>
      </c>
      <c r="M236" s="2">
        <v>21.737300000000001</v>
      </c>
      <c r="O236" t="str">
        <f t="shared" si="54"/>
        <v>20.95 (20.16 to 21.74)</v>
      </c>
      <c r="P236" t="str">
        <f t="shared" si="55"/>
        <v>24.13 (23.35 to 24.92)</v>
      </c>
      <c r="Q236" t="str">
        <f t="shared" si="56"/>
        <v>27.68 (26.89 to 28.48)</v>
      </c>
      <c r="R236" t="str">
        <f t="shared" si="57"/>
        <v>29.41 (28.60 to 30.22)</v>
      </c>
    </row>
    <row r="237" spans="1:18" ht="17.25" thickBot="1" x14ac:dyDescent="0.35">
      <c r="A237" s="6"/>
      <c r="B237" s="11" t="s">
        <v>153</v>
      </c>
      <c r="C237" s="2">
        <v>15457</v>
      </c>
      <c r="D237" s="2">
        <v>7047841</v>
      </c>
      <c r="E237" s="2">
        <v>85770</v>
      </c>
      <c r="F237" s="2">
        <v>23.2972</v>
      </c>
      <c r="G237" s="2">
        <v>0.20880000000000001</v>
      </c>
      <c r="H237" s="2">
        <v>22.887599999999999</v>
      </c>
      <c r="I237" s="2">
        <v>23.706700000000001</v>
      </c>
      <c r="J237" s="2">
        <v>100</v>
      </c>
      <c r="K237" s="2"/>
      <c r="L237" s="2"/>
      <c r="M237" s="2"/>
    </row>
    <row r="238" spans="1:18" ht="17.25" thickBot="1" x14ac:dyDescent="0.35">
      <c r="A238" s="6">
        <v>2</v>
      </c>
      <c r="B238" s="11">
        <v>1</v>
      </c>
      <c r="C238" s="2">
        <v>6905</v>
      </c>
      <c r="D238" s="2">
        <v>2726386</v>
      </c>
      <c r="E238" s="2">
        <v>42049</v>
      </c>
      <c r="F238" s="2">
        <v>9.0122999999999998</v>
      </c>
      <c r="G238" s="2">
        <v>0.1227</v>
      </c>
      <c r="H238" s="2">
        <v>8.7716999999999992</v>
      </c>
      <c r="I238" s="2">
        <v>9.2528000000000006</v>
      </c>
      <c r="J238" s="2">
        <v>36.247300000000003</v>
      </c>
      <c r="K238" s="2">
        <v>0.42749999999999999</v>
      </c>
      <c r="L238" s="2">
        <v>35.408999999999999</v>
      </c>
      <c r="M238" s="2">
        <v>37.085599999999999</v>
      </c>
      <c r="O238" t="str">
        <f t="shared" ref="O238:O240" si="58">TEXT(J238,"0.00")&amp;" ("&amp;TEXT(L238,"0.00")&amp;" to "&amp;TEXT(M238,"0.00")&amp;")"</f>
        <v>36.25 (35.41 to 37.09)</v>
      </c>
    </row>
    <row r="239" spans="1:18" ht="17.25" thickBot="1" x14ac:dyDescent="0.35">
      <c r="A239" s="6"/>
      <c r="B239" s="11">
        <v>2</v>
      </c>
      <c r="C239" s="2">
        <v>6428</v>
      </c>
      <c r="D239" s="2">
        <v>2980223</v>
      </c>
      <c r="E239" s="2">
        <v>49192</v>
      </c>
      <c r="F239" s="2">
        <v>9.8513000000000002</v>
      </c>
      <c r="G239" s="2">
        <v>0.14000000000000001</v>
      </c>
      <c r="H239" s="2">
        <v>9.5768000000000004</v>
      </c>
      <c r="I239" s="2">
        <v>10.1259</v>
      </c>
      <c r="J239" s="2">
        <v>39.622</v>
      </c>
      <c r="K239" s="2">
        <v>0.45340000000000003</v>
      </c>
      <c r="L239" s="2">
        <v>38.732999999999997</v>
      </c>
      <c r="M239" s="2">
        <v>40.511000000000003</v>
      </c>
      <c r="O239" t="str">
        <f t="shared" si="58"/>
        <v>39.62 (38.73 to 40.51)</v>
      </c>
    </row>
    <row r="240" spans="1:18" ht="17.25" thickBot="1" x14ac:dyDescent="0.35">
      <c r="A240" s="6"/>
      <c r="B240" s="11">
        <v>3</v>
      </c>
      <c r="C240" s="2">
        <v>3989</v>
      </c>
      <c r="D240" s="2">
        <v>1815024</v>
      </c>
      <c r="E240" s="2">
        <v>35825</v>
      </c>
      <c r="F240" s="2">
        <v>5.9996999999999998</v>
      </c>
      <c r="G240" s="2">
        <v>0.10970000000000001</v>
      </c>
      <c r="H240" s="2">
        <v>5.7846000000000002</v>
      </c>
      <c r="I240" s="2">
        <v>6.2148000000000003</v>
      </c>
      <c r="J240" s="2">
        <v>24.130700000000001</v>
      </c>
      <c r="K240" s="2">
        <v>0.4002</v>
      </c>
      <c r="L240" s="2">
        <v>23.3461</v>
      </c>
      <c r="M240" s="2">
        <v>24.915299999999998</v>
      </c>
      <c r="O240" t="str">
        <f t="shared" si="58"/>
        <v>24.13 (23.35 to 24.92)</v>
      </c>
    </row>
    <row r="241" spans="1:15" ht="17.25" thickBot="1" x14ac:dyDescent="0.35">
      <c r="A241" s="6"/>
      <c r="B241" s="11" t="s">
        <v>153</v>
      </c>
      <c r="C241" s="2">
        <v>17322</v>
      </c>
      <c r="D241" s="2">
        <v>7521633</v>
      </c>
      <c r="E241" s="2">
        <v>82230</v>
      </c>
      <c r="F241" s="2">
        <v>24.863299999999999</v>
      </c>
      <c r="G241" s="2">
        <v>0.1913</v>
      </c>
      <c r="H241" s="2">
        <v>24.488199999999999</v>
      </c>
      <c r="I241" s="2">
        <v>25.238399999999999</v>
      </c>
      <c r="J241" s="2">
        <v>100</v>
      </c>
      <c r="K241" s="2"/>
      <c r="L241" s="2"/>
      <c r="M241" s="2"/>
    </row>
    <row r="242" spans="1:15" ht="17.25" thickBot="1" x14ac:dyDescent="0.35">
      <c r="A242" s="6">
        <v>3</v>
      </c>
      <c r="B242" s="11">
        <v>1</v>
      </c>
      <c r="C242" s="2">
        <v>6912</v>
      </c>
      <c r="D242" s="2">
        <v>2615607</v>
      </c>
      <c r="E242" s="2">
        <v>40251</v>
      </c>
      <c r="F242" s="2">
        <v>8.6461000000000006</v>
      </c>
      <c r="G242" s="2">
        <v>0.1232</v>
      </c>
      <c r="H242" s="2">
        <v>8.4044000000000008</v>
      </c>
      <c r="I242" s="2">
        <v>8.8878000000000004</v>
      </c>
      <c r="J242" s="2">
        <v>34.4358</v>
      </c>
      <c r="K242" s="2">
        <v>0.41570000000000001</v>
      </c>
      <c r="L242" s="2">
        <v>33.620699999999999</v>
      </c>
      <c r="M242" s="2">
        <v>35.250999999999998</v>
      </c>
      <c r="O242" t="str">
        <f t="shared" ref="O242:O244" si="59">TEXT(J242,"0.00")&amp;" ("&amp;TEXT(L242,"0.00")&amp;" to "&amp;TEXT(M242,"0.00")&amp;")"</f>
        <v>34.44 (33.62 to 35.25)</v>
      </c>
    </row>
    <row r="243" spans="1:15" ht="17.25" thickBot="1" x14ac:dyDescent="0.35">
      <c r="A243" s="6"/>
      <c r="B243" s="11">
        <v>2</v>
      </c>
      <c r="C243" s="2">
        <v>6293</v>
      </c>
      <c r="D243" s="2">
        <v>2877418</v>
      </c>
      <c r="E243" s="2">
        <v>47702</v>
      </c>
      <c r="F243" s="2">
        <v>9.5114999999999998</v>
      </c>
      <c r="G243" s="2">
        <v>0.13600000000000001</v>
      </c>
      <c r="H243" s="2">
        <v>9.2448999999999995</v>
      </c>
      <c r="I243" s="2">
        <v>9.7782</v>
      </c>
      <c r="J243" s="2">
        <v>37.8827</v>
      </c>
      <c r="K243" s="2">
        <v>0.44419999999999998</v>
      </c>
      <c r="L243" s="2">
        <v>37.011800000000001</v>
      </c>
      <c r="M243" s="2">
        <v>38.753599999999999</v>
      </c>
      <c r="O243" t="str">
        <f t="shared" si="59"/>
        <v>37.88 (37.01 to 38.75)</v>
      </c>
    </row>
    <row r="244" spans="1:15" ht="17.25" thickBot="1" x14ac:dyDescent="0.35">
      <c r="A244" s="6"/>
      <c r="B244" s="11">
        <v>3</v>
      </c>
      <c r="C244" s="2">
        <v>4623</v>
      </c>
      <c r="D244" s="2">
        <v>2102569</v>
      </c>
      <c r="E244" s="2">
        <v>37638</v>
      </c>
      <c r="F244" s="2">
        <v>6.9501999999999997</v>
      </c>
      <c r="G244" s="2">
        <v>0.1142</v>
      </c>
      <c r="H244" s="2">
        <v>6.7263999999999999</v>
      </c>
      <c r="I244" s="2">
        <v>7.1740000000000004</v>
      </c>
      <c r="J244" s="2">
        <v>27.6814</v>
      </c>
      <c r="K244" s="2">
        <v>0.40610000000000002</v>
      </c>
      <c r="L244" s="2">
        <v>26.885200000000001</v>
      </c>
      <c r="M244" s="2">
        <v>28.477699999999999</v>
      </c>
      <c r="O244" t="str">
        <f t="shared" si="59"/>
        <v>27.68 (26.89 to 28.48)</v>
      </c>
    </row>
    <row r="245" spans="1:15" ht="17.25" thickBot="1" x14ac:dyDescent="0.35">
      <c r="A245" s="6"/>
      <c r="B245" s="11" t="s">
        <v>153</v>
      </c>
      <c r="C245" s="2">
        <v>17828</v>
      </c>
      <c r="D245" s="2">
        <v>7595594</v>
      </c>
      <c r="E245" s="2">
        <v>80574</v>
      </c>
      <c r="F245" s="2">
        <v>25.107800000000001</v>
      </c>
      <c r="G245" s="2">
        <v>0.19489999999999999</v>
      </c>
      <c r="H245" s="2">
        <v>24.7257</v>
      </c>
      <c r="I245" s="2">
        <v>25.489899999999999</v>
      </c>
      <c r="J245" s="2">
        <v>100</v>
      </c>
      <c r="K245" s="2"/>
      <c r="L245" s="2"/>
      <c r="M245" s="2"/>
    </row>
    <row r="246" spans="1:15" ht="17.25" thickBot="1" x14ac:dyDescent="0.35">
      <c r="A246" s="6">
        <v>4</v>
      </c>
      <c r="B246" s="11">
        <v>1</v>
      </c>
      <c r="C246" s="2">
        <v>6868</v>
      </c>
      <c r="D246" s="2">
        <v>2756863</v>
      </c>
      <c r="E246" s="2">
        <v>44380</v>
      </c>
      <c r="F246" s="2">
        <v>9.1129999999999995</v>
      </c>
      <c r="G246" s="2">
        <v>0.13539999999999999</v>
      </c>
      <c r="H246" s="2">
        <v>8.8475000000000001</v>
      </c>
      <c r="I246" s="2">
        <v>9.3786000000000005</v>
      </c>
      <c r="J246" s="2">
        <v>34.090600000000002</v>
      </c>
      <c r="K246" s="2">
        <v>0.42809999999999998</v>
      </c>
      <c r="L246" s="2">
        <v>33.251199999999997</v>
      </c>
      <c r="M246" s="2">
        <v>34.930100000000003</v>
      </c>
      <c r="O246" t="str">
        <f t="shared" ref="O246:O248" si="60">TEXT(J246,"0.00")&amp;" ("&amp;TEXT(L246,"0.00")&amp;" to "&amp;TEXT(M246,"0.00")&amp;")"</f>
        <v>34.09 (33.25 to 34.93)</v>
      </c>
    </row>
    <row r="247" spans="1:15" ht="17.25" thickBot="1" x14ac:dyDescent="0.35">
      <c r="A247" s="6"/>
      <c r="B247" s="11">
        <v>2</v>
      </c>
      <c r="C247" s="2">
        <v>6253</v>
      </c>
      <c r="D247" s="2">
        <v>2951768</v>
      </c>
      <c r="E247" s="2">
        <v>47949</v>
      </c>
      <c r="F247" s="2">
        <v>9.7573000000000008</v>
      </c>
      <c r="G247" s="2">
        <v>0.1419</v>
      </c>
      <c r="H247" s="2">
        <v>9.4791000000000007</v>
      </c>
      <c r="I247" s="2">
        <v>10.035500000000001</v>
      </c>
      <c r="J247" s="2">
        <v>36.500799999999998</v>
      </c>
      <c r="K247" s="2">
        <v>0.44350000000000001</v>
      </c>
      <c r="L247" s="2">
        <v>35.6312</v>
      </c>
      <c r="M247" s="2">
        <v>37.3703</v>
      </c>
      <c r="O247" t="str">
        <f t="shared" si="60"/>
        <v>36.50 (35.63 to 37.37)</v>
      </c>
    </row>
    <row r="248" spans="1:15" ht="17.25" thickBot="1" x14ac:dyDescent="0.35">
      <c r="A248" s="6"/>
      <c r="B248" s="11">
        <v>3</v>
      </c>
      <c r="C248" s="2">
        <v>4907</v>
      </c>
      <c r="D248" s="2">
        <v>2378237</v>
      </c>
      <c r="E248" s="2">
        <v>42328</v>
      </c>
      <c r="F248" s="2">
        <v>7.8613999999999997</v>
      </c>
      <c r="G248" s="2">
        <v>0.12609999999999999</v>
      </c>
      <c r="H248" s="2">
        <v>7.6140999999999996</v>
      </c>
      <c r="I248" s="2">
        <v>8.1087000000000007</v>
      </c>
      <c r="J248" s="2">
        <v>29.4086</v>
      </c>
      <c r="K248" s="2">
        <v>0.41220000000000001</v>
      </c>
      <c r="L248" s="2">
        <v>28.600300000000001</v>
      </c>
      <c r="M248" s="2">
        <v>30.216899999999999</v>
      </c>
      <c r="O248" t="str">
        <f t="shared" si="60"/>
        <v>29.41 (28.60 to 30.22)</v>
      </c>
    </row>
    <row r="249" spans="1:15" ht="17.25" thickBot="1" x14ac:dyDescent="0.35">
      <c r="A249" s="6"/>
      <c r="B249" s="11" t="s">
        <v>153</v>
      </c>
      <c r="C249" s="2">
        <v>18028</v>
      </c>
      <c r="D249" s="2">
        <v>8086868</v>
      </c>
      <c r="E249" s="2">
        <v>85733</v>
      </c>
      <c r="F249" s="2">
        <v>26.7317</v>
      </c>
      <c r="G249" s="2">
        <v>0.2117</v>
      </c>
      <c r="H249" s="2">
        <v>26.316600000000001</v>
      </c>
      <c r="I249" s="2">
        <v>27.146899999999999</v>
      </c>
      <c r="J249" s="2">
        <v>100</v>
      </c>
      <c r="K249" s="2"/>
      <c r="L249" s="2"/>
      <c r="M249" s="2"/>
    </row>
    <row r="250" spans="1:15" ht="17.25" thickBot="1" x14ac:dyDescent="0.35">
      <c r="A250" s="6" t="s">
        <v>153</v>
      </c>
      <c r="B250" s="11">
        <v>1</v>
      </c>
      <c r="C250" s="2">
        <v>26908</v>
      </c>
      <c r="D250" s="2">
        <v>10739070</v>
      </c>
      <c r="E250" s="2">
        <v>101823</v>
      </c>
      <c r="F250" s="2">
        <v>35.498800000000003</v>
      </c>
      <c r="G250" s="2">
        <v>0.23380000000000001</v>
      </c>
      <c r="H250" s="2">
        <v>35.040300000000002</v>
      </c>
      <c r="I250" s="2">
        <v>35.957299999999996</v>
      </c>
      <c r="J250" s="2"/>
      <c r="K250" s="2"/>
      <c r="L250" s="2"/>
      <c r="M250" s="2"/>
    </row>
    <row r="251" spans="1:15" ht="17.25" thickBot="1" x14ac:dyDescent="0.35">
      <c r="A251" s="6"/>
      <c r="B251" s="11">
        <v>2</v>
      </c>
      <c r="C251" s="2">
        <v>24999</v>
      </c>
      <c r="D251" s="2">
        <v>11740558</v>
      </c>
      <c r="E251" s="2">
        <v>121651</v>
      </c>
      <c r="F251" s="2">
        <v>38.8093</v>
      </c>
      <c r="G251" s="2">
        <v>0.23860000000000001</v>
      </c>
      <c r="H251" s="2">
        <v>38.3414</v>
      </c>
      <c r="I251" s="2">
        <v>39.277200000000001</v>
      </c>
      <c r="J251" s="2"/>
      <c r="K251" s="2"/>
      <c r="L251" s="2"/>
      <c r="M251" s="2"/>
    </row>
    <row r="252" spans="1:15" ht="17.25" thickBot="1" x14ac:dyDescent="0.35">
      <c r="A252" s="6"/>
      <c r="B252" s="11">
        <v>3</v>
      </c>
      <c r="C252" s="2">
        <v>16728</v>
      </c>
      <c r="D252" s="2">
        <v>7772308</v>
      </c>
      <c r="E252" s="2">
        <v>85013</v>
      </c>
      <c r="F252" s="2">
        <v>25.6919</v>
      </c>
      <c r="G252" s="2">
        <v>0.2094</v>
      </c>
      <c r="H252" s="2">
        <v>25.281400000000001</v>
      </c>
      <c r="I252" s="2">
        <v>26.102499999999999</v>
      </c>
      <c r="J252" s="2"/>
      <c r="K252" s="2"/>
      <c r="L252" s="2"/>
      <c r="M252" s="2"/>
    </row>
    <row r="253" spans="1:15" x14ac:dyDescent="0.3">
      <c r="A253" s="6"/>
      <c r="B253" s="14" t="s">
        <v>153</v>
      </c>
      <c r="C253" s="2">
        <v>68635</v>
      </c>
      <c r="D253" s="2">
        <v>30251936</v>
      </c>
      <c r="E253" s="2">
        <v>228758</v>
      </c>
      <c r="F253" s="2">
        <v>100</v>
      </c>
      <c r="G253" s="2"/>
      <c r="H253" s="2"/>
      <c r="I253" s="2"/>
      <c r="J253" s="2"/>
      <c r="K253" s="2"/>
      <c r="L253" s="2"/>
      <c r="M253" s="2"/>
    </row>
    <row r="254" spans="1:15" ht="17.25" thickBot="1" x14ac:dyDescent="0.35"/>
    <row r="255" spans="1:15" ht="16.5" customHeight="1" x14ac:dyDescent="0.3">
      <c r="A255" s="16" t="s">
        <v>231</v>
      </c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</row>
    <row r="256" spans="1:15" ht="33" customHeight="1" x14ac:dyDescent="0.3">
      <c r="A256" s="17" t="s">
        <v>77</v>
      </c>
      <c r="B256" s="19" t="s">
        <v>15</v>
      </c>
      <c r="C256" s="19" t="s">
        <v>146</v>
      </c>
      <c r="D256" s="3" t="s">
        <v>147</v>
      </c>
      <c r="E256" s="3" t="s">
        <v>148</v>
      </c>
      <c r="F256" s="19" t="s">
        <v>150</v>
      </c>
      <c r="G256" s="3" t="s">
        <v>148</v>
      </c>
      <c r="H256" s="19" t="s">
        <v>151</v>
      </c>
      <c r="I256" s="19"/>
      <c r="J256" s="3" t="s">
        <v>170</v>
      </c>
      <c r="K256" s="3" t="s">
        <v>148</v>
      </c>
      <c r="L256" s="19" t="s">
        <v>151</v>
      </c>
      <c r="M256" s="19"/>
    </row>
    <row r="257" spans="1:18" ht="33" x14ac:dyDescent="0.3">
      <c r="A257" s="17"/>
      <c r="B257" s="19"/>
      <c r="C257" s="19"/>
      <c r="D257" s="3" t="s">
        <v>146</v>
      </c>
      <c r="E257" s="3" t="s">
        <v>149</v>
      </c>
      <c r="F257" s="19"/>
      <c r="G257" s="3" t="s">
        <v>150</v>
      </c>
      <c r="H257" s="19" t="s">
        <v>152</v>
      </c>
      <c r="I257" s="19"/>
      <c r="J257" s="3" t="s">
        <v>150</v>
      </c>
      <c r="K257" s="3" t="s">
        <v>171</v>
      </c>
      <c r="L257" s="19" t="s">
        <v>172</v>
      </c>
      <c r="M257" s="19"/>
    </row>
    <row r="258" spans="1:18" ht="17.25" thickBot="1" x14ac:dyDescent="0.35">
      <c r="A258" s="6">
        <v>1</v>
      </c>
      <c r="B258" s="11">
        <v>0</v>
      </c>
      <c r="C258" s="2">
        <v>12778</v>
      </c>
      <c r="D258" s="2">
        <v>5698536</v>
      </c>
      <c r="E258" s="2">
        <v>76148</v>
      </c>
      <c r="F258" s="2">
        <v>18.8369</v>
      </c>
      <c r="G258" s="2">
        <v>0.1953</v>
      </c>
      <c r="H258" s="2">
        <v>18.454000000000001</v>
      </c>
      <c r="I258" s="2">
        <v>19.219899999999999</v>
      </c>
      <c r="J258" s="2">
        <v>80.855099999999993</v>
      </c>
      <c r="K258" s="2">
        <v>0.40970000000000001</v>
      </c>
      <c r="L258" s="2">
        <v>80.051699999999997</v>
      </c>
      <c r="M258" s="2">
        <v>81.6584</v>
      </c>
      <c r="O258" t="str">
        <f t="shared" ref="O258:O259" si="61">TEXT(J258,"0.00")&amp;" ("&amp;TEXT(L258,"0.00")&amp;" to "&amp;TEXT(M258,"0.00")&amp;")"</f>
        <v>80.86 (80.05 to 81.66)</v>
      </c>
      <c r="P258" t="str">
        <f>O261</f>
        <v>76.18 (75.36 to 77.00)</v>
      </c>
      <c r="Q258" t="str">
        <f>O264</f>
        <v>71.23 (70.38 to 72.09)</v>
      </c>
      <c r="R258" t="str">
        <f>O267</f>
        <v>64.66 (63.81 to 65.51)</v>
      </c>
    </row>
    <row r="259" spans="1:18" ht="17.25" thickBot="1" x14ac:dyDescent="0.35">
      <c r="A259" s="6"/>
      <c r="B259" s="11">
        <v>1</v>
      </c>
      <c r="C259" s="2">
        <v>2679</v>
      </c>
      <c r="D259" s="2">
        <v>1349305</v>
      </c>
      <c r="E259" s="2">
        <v>32658</v>
      </c>
      <c r="F259" s="2">
        <v>4.4602000000000004</v>
      </c>
      <c r="G259" s="2">
        <v>0.10290000000000001</v>
      </c>
      <c r="H259" s="2">
        <v>4.2584999999999997</v>
      </c>
      <c r="I259" s="2">
        <v>4.6619999999999999</v>
      </c>
      <c r="J259" s="2">
        <v>19.1449</v>
      </c>
      <c r="K259" s="2">
        <v>0.40970000000000001</v>
      </c>
      <c r="L259" s="2">
        <v>18.3416</v>
      </c>
      <c r="M259" s="2">
        <v>19.9483</v>
      </c>
      <c r="O259" t="str">
        <f t="shared" si="61"/>
        <v>19.14 (18.34 to 19.95)</v>
      </c>
      <c r="P259" t="str">
        <f>O262</f>
        <v>23.82 (23.00 to 24.64)</v>
      </c>
      <c r="Q259" t="str">
        <f>O265</f>
        <v>28.77 (27.91 to 29.62)</v>
      </c>
      <c r="R259" t="str">
        <f>O268</f>
        <v>35.34 (34.49 to 36.19)</v>
      </c>
    </row>
    <row r="260" spans="1:18" ht="17.25" thickBot="1" x14ac:dyDescent="0.35">
      <c r="A260" s="6"/>
      <c r="B260" s="11" t="s">
        <v>153</v>
      </c>
      <c r="C260" s="2">
        <v>15457</v>
      </c>
      <c r="D260" s="2">
        <v>7047841</v>
      </c>
      <c r="E260" s="2">
        <v>85770</v>
      </c>
      <c r="F260" s="2">
        <v>23.2972</v>
      </c>
      <c r="G260" s="2">
        <v>0.20880000000000001</v>
      </c>
      <c r="H260" s="2">
        <v>22.887599999999999</v>
      </c>
      <c r="I260" s="2">
        <v>23.706700000000001</v>
      </c>
      <c r="J260" s="2">
        <v>100</v>
      </c>
      <c r="K260" s="2"/>
      <c r="L260" s="2"/>
      <c r="M260" s="2"/>
    </row>
    <row r="261" spans="1:18" ht="17.25" thickBot="1" x14ac:dyDescent="0.35">
      <c r="A261" s="6">
        <v>2</v>
      </c>
      <c r="B261" s="11">
        <v>0</v>
      </c>
      <c r="C261" s="2">
        <v>13608</v>
      </c>
      <c r="D261" s="2">
        <v>5729955</v>
      </c>
      <c r="E261" s="2">
        <v>70844</v>
      </c>
      <c r="F261" s="2">
        <v>18.940799999999999</v>
      </c>
      <c r="G261" s="2">
        <v>0.17680000000000001</v>
      </c>
      <c r="H261" s="2">
        <v>18.594100000000001</v>
      </c>
      <c r="I261" s="2">
        <v>19.287400000000002</v>
      </c>
      <c r="J261" s="2">
        <v>76.179699999999997</v>
      </c>
      <c r="K261" s="2">
        <v>0.41589999999999999</v>
      </c>
      <c r="L261" s="2">
        <v>75.364099999999993</v>
      </c>
      <c r="M261" s="2">
        <v>76.995199999999997</v>
      </c>
      <c r="O261" t="str">
        <f t="shared" ref="O261:O262" si="62">TEXT(J261,"0.00")&amp;" ("&amp;TEXT(L261,"0.00")&amp;" to "&amp;TEXT(M261,"0.00")&amp;")"</f>
        <v>76.18 (75.36 to 77.00)</v>
      </c>
    </row>
    <row r="262" spans="1:18" ht="17.25" thickBot="1" x14ac:dyDescent="0.35">
      <c r="A262" s="6"/>
      <c r="B262" s="11">
        <v>1</v>
      </c>
      <c r="C262" s="2">
        <v>3714</v>
      </c>
      <c r="D262" s="2">
        <v>1791678</v>
      </c>
      <c r="E262" s="2">
        <v>36415</v>
      </c>
      <c r="F262" s="2">
        <v>5.9225000000000003</v>
      </c>
      <c r="G262" s="2">
        <v>0.1139</v>
      </c>
      <c r="H262" s="2">
        <v>5.6990999999999996</v>
      </c>
      <c r="I262" s="2">
        <v>6.1459000000000001</v>
      </c>
      <c r="J262" s="2">
        <v>23.8203</v>
      </c>
      <c r="K262" s="2">
        <v>0.41589999999999999</v>
      </c>
      <c r="L262" s="2">
        <v>23.004799999999999</v>
      </c>
      <c r="M262" s="2">
        <v>24.635899999999999</v>
      </c>
      <c r="O262" t="str">
        <f t="shared" si="62"/>
        <v>23.82 (23.00 to 24.64)</v>
      </c>
    </row>
    <row r="263" spans="1:18" ht="17.25" thickBot="1" x14ac:dyDescent="0.35">
      <c r="A263" s="6"/>
      <c r="B263" s="11" t="s">
        <v>153</v>
      </c>
      <c r="C263" s="2">
        <v>17322</v>
      </c>
      <c r="D263" s="2">
        <v>7521633</v>
      </c>
      <c r="E263" s="2">
        <v>82230</v>
      </c>
      <c r="F263" s="2">
        <v>24.863299999999999</v>
      </c>
      <c r="G263" s="2">
        <v>0.1913</v>
      </c>
      <c r="H263" s="2">
        <v>24.488199999999999</v>
      </c>
      <c r="I263" s="2">
        <v>25.238399999999999</v>
      </c>
      <c r="J263" s="2">
        <v>100</v>
      </c>
      <c r="K263" s="2"/>
      <c r="L263" s="2"/>
      <c r="M263" s="2"/>
    </row>
    <row r="264" spans="1:18" ht="17.25" thickBot="1" x14ac:dyDescent="0.35">
      <c r="A264" s="6">
        <v>3</v>
      </c>
      <c r="B264" s="11">
        <v>0</v>
      </c>
      <c r="C264" s="2">
        <v>13315</v>
      </c>
      <c r="D264" s="2">
        <v>5410568</v>
      </c>
      <c r="E264" s="2">
        <v>65197</v>
      </c>
      <c r="F264" s="2">
        <v>17.885000000000002</v>
      </c>
      <c r="G264" s="2">
        <v>0.17380000000000001</v>
      </c>
      <c r="H264" s="2">
        <v>17.5442</v>
      </c>
      <c r="I264" s="2">
        <v>18.225899999999999</v>
      </c>
      <c r="J264" s="2">
        <v>71.233000000000004</v>
      </c>
      <c r="K264" s="2">
        <v>0.43619999999999998</v>
      </c>
      <c r="L264" s="2">
        <v>70.377600000000001</v>
      </c>
      <c r="M264" s="2">
        <v>72.088399999999993</v>
      </c>
      <c r="O264" t="str">
        <f t="shared" ref="O264:O265" si="63">TEXT(J264,"0.00")&amp;" ("&amp;TEXT(L264,"0.00")&amp;" to "&amp;TEXT(M264,"0.00")&amp;")"</f>
        <v>71.23 (70.38 to 72.09)</v>
      </c>
    </row>
    <row r="265" spans="1:18" ht="17.25" thickBot="1" x14ac:dyDescent="0.35">
      <c r="A265" s="6"/>
      <c r="B265" s="11">
        <v>1</v>
      </c>
      <c r="C265" s="2">
        <v>4513</v>
      </c>
      <c r="D265" s="2">
        <v>2185026</v>
      </c>
      <c r="E265" s="2">
        <v>41138</v>
      </c>
      <c r="F265" s="2">
        <v>7.2228000000000003</v>
      </c>
      <c r="G265" s="2">
        <v>0.12479999999999999</v>
      </c>
      <c r="H265" s="2">
        <v>6.9781000000000004</v>
      </c>
      <c r="I265" s="2">
        <v>7.4673999999999996</v>
      </c>
      <c r="J265" s="2">
        <v>28.766999999999999</v>
      </c>
      <c r="K265" s="2">
        <v>0.43619999999999998</v>
      </c>
      <c r="L265" s="2">
        <v>27.9116</v>
      </c>
      <c r="M265" s="2">
        <v>29.622399999999999</v>
      </c>
      <c r="O265" t="str">
        <f t="shared" si="63"/>
        <v>28.77 (27.91 to 29.62)</v>
      </c>
    </row>
    <row r="266" spans="1:18" ht="17.25" thickBot="1" x14ac:dyDescent="0.35">
      <c r="A266" s="6"/>
      <c r="B266" s="11" t="s">
        <v>153</v>
      </c>
      <c r="C266" s="2">
        <v>17828</v>
      </c>
      <c r="D266" s="2">
        <v>7595594</v>
      </c>
      <c r="E266" s="2">
        <v>80574</v>
      </c>
      <c r="F266" s="2">
        <v>25.107800000000001</v>
      </c>
      <c r="G266" s="2">
        <v>0.19489999999999999</v>
      </c>
      <c r="H266" s="2">
        <v>24.7257</v>
      </c>
      <c r="I266" s="2">
        <v>25.489899999999999</v>
      </c>
      <c r="J266" s="2">
        <v>100</v>
      </c>
      <c r="K266" s="2"/>
      <c r="L266" s="2"/>
      <c r="M266" s="2"/>
    </row>
    <row r="267" spans="1:18" ht="17.25" thickBot="1" x14ac:dyDescent="0.35">
      <c r="A267" s="6">
        <v>4</v>
      </c>
      <c r="B267" s="11">
        <v>0</v>
      </c>
      <c r="C267" s="2">
        <v>12363</v>
      </c>
      <c r="D267" s="2">
        <v>5229104</v>
      </c>
      <c r="E267" s="2">
        <v>65705</v>
      </c>
      <c r="F267" s="2">
        <v>17.2852</v>
      </c>
      <c r="G267" s="2">
        <v>0.17979999999999999</v>
      </c>
      <c r="H267" s="2">
        <v>16.932500000000001</v>
      </c>
      <c r="I267" s="2">
        <v>17.637799999999999</v>
      </c>
      <c r="J267" s="2">
        <v>64.661699999999996</v>
      </c>
      <c r="K267" s="2">
        <v>0.43459999999999999</v>
      </c>
      <c r="L267" s="2">
        <v>63.8095</v>
      </c>
      <c r="M267" s="2">
        <v>65.513800000000003</v>
      </c>
      <c r="O267" t="str">
        <f t="shared" ref="O267:O268" si="64">TEXT(J267,"0.00")&amp;" ("&amp;TEXT(L267,"0.00")&amp;" to "&amp;TEXT(M267,"0.00")&amp;")"</f>
        <v>64.66 (63.81 to 65.51)</v>
      </c>
    </row>
    <row r="268" spans="1:18" ht="17.25" thickBot="1" x14ac:dyDescent="0.35">
      <c r="A268" s="6"/>
      <c r="B268" s="11">
        <v>1</v>
      </c>
      <c r="C268" s="2">
        <v>5665</v>
      </c>
      <c r="D268" s="2">
        <v>2857764</v>
      </c>
      <c r="E268" s="2">
        <v>46349</v>
      </c>
      <c r="F268" s="2">
        <v>9.4466000000000001</v>
      </c>
      <c r="G268" s="2">
        <v>0.13800000000000001</v>
      </c>
      <c r="H268" s="2">
        <v>9.1760000000000002</v>
      </c>
      <c r="I268" s="2">
        <v>9.7171000000000003</v>
      </c>
      <c r="J268" s="2">
        <v>35.338299999999997</v>
      </c>
      <c r="K268" s="2">
        <v>0.43459999999999999</v>
      </c>
      <c r="L268" s="2">
        <v>34.486199999999997</v>
      </c>
      <c r="M268" s="2">
        <v>36.1905</v>
      </c>
      <c r="O268" t="str">
        <f t="shared" si="64"/>
        <v>35.34 (34.49 to 36.19)</v>
      </c>
    </row>
    <row r="269" spans="1:18" ht="17.25" thickBot="1" x14ac:dyDescent="0.35">
      <c r="A269" s="6"/>
      <c r="B269" s="11" t="s">
        <v>153</v>
      </c>
      <c r="C269" s="2">
        <v>18028</v>
      </c>
      <c r="D269" s="2">
        <v>8086868</v>
      </c>
      <c r="E269" s="2">
        <v>85733</v>
      </c>
      <c r="F269" s="2">
        <v>26.7317</v>
      </c>
      <c r="G269" s="2">
        <v>0.2117</v>
      </c>
      <c r="H269" s="2">
        <v>26.316600000000001</v>
      </c>
      <c r="I269" s="2">
        <v>27.146899999999999</v>
      </c>
      <c r="J269" s="2">
        <v>100</v>
      </c>
      <c r="K269" s="2"/>
      <c r="L269" s="2"/>
      <c r="M269" s="2"/>
    </row>
    <row r="270" spans="1:18" ht="17.25" thickBot="1" x14ac:dyDescent="0.35">
      <c r="A270" s="6" t="s">
        <v>153</v>
      </c>
      <c r="B270" s="11">
        <v>0</v>
      </c>
      <c r="C270" s="2">
        <v>52064</v>
      </c>
      <c r="D270" s="2">
        <v>22068163</v>
      </c>
      <c r="E270" s="2">
        <v>184428</v>
      </c>
      <c r="F270" s="2">
        <v>72.947900000000004</v>
      </c>
      <c r="G270" s="2">
        <v>0.23330000000000001</v>
      </c>
      <c r="H270" s="2">
        <v>72.490499999999997</v>
      </c>
      <c r="I270" s="2">
        <v>73.405299999999997</v>
      </c>
      <c r="J270" s="2"/>
      <c r="K270" s="2"/>
      <c r="L270" s="2"/>
      <c r="M270" s="2"/>
    </row>
    <row r="271" spans="1:18" ht="17.25" thickBot="1" x14ac:dyDescent="0.35">
      <c r="A271" s="6"/>
      <c r="B271" s="11">
        <v>1</v>
      </c>
      <c r="C271" s="2">
        <v>16571</v>
      </c>
      <c r="D271" s="2">
        <v>8183773</v>
      </c>
      <c r="E271" s="2">
        <v>91483</v>
      </c>
      <c r="F271" s="2">
        <v>27.052099999999999</v>
      </c>
      <c r="G271" s="2">
        <v>0.23330000000000001</v>
      </c>
      <c r="H271" s="2">
        <v>26.5947</v>
      </c>
      <c r="I271" s="2">
        <v>27.509499999999999</v>
      </c>
      <c r="J271" s="2"/>
      <c r="K271" s="2"/>
      <c r="L271" s="2"/>
      <c r="M271" s="2"/>
    </row>
    <row r="272" spans="1:18" x14ac:dyDescent="0.3">
      <c r="A272" s="6"/>
      <c r="B272" s="14" t="s">
        <v>153</v>
      </c>
      <c r="C272" s="2">
        <v>68635</v>
      </c>
      <c r="D272" s="2">
        <v>30251936</v>
      </c>
      <c r="E272" s="2">
        <v>228758</v>
      </c>
      <c r="F272" s="2">
        <v>100</v>
      </c>
      <c r="G272" s="2"/>
      <c r="H272" s="2"/>
      <c r="I272" s="2"/>
      <c r="J272" s="2"/>
      <c r="K272" s="2"/>
      <c r="L272" s="2"/>
      <c r="M272" s="2"/>
    </row>
    <row r="273" spans="1:18" ht="17.25" thickBot="1" x14ac:dyDescent="0.35"/>
    <row r="274" spans="1:18" ht="16.5" customHeight="1" x14ac:dyDescent="0.3">
      <c r="A274" s="16" t="s">
        <v>232</v>
      </c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</row>
    <row r="275" spans="1:18" ht="33" customHeight="1" x14ac:dyDescent="0.3">
      <c r="A275" s="17" t="s">
        <v>77</v>
      </c>
      <c r="B275" s="19" t="s">
        <v>16</v>
      </c>
      <c r="C275" s="19" t="s">
        <v>146</v>
      </c>
      <c r="D275" s="3" t="s">
        <v>147</v>
      </c>
      <c r="E275" s="3" t="s">
        <v>148</v>
      </c>
      <c r="F275" s="19" t="s">
        <v>150</v>
      </c>
      <c r="G275" s="3" t="s">
        <v>148</v>
      </c>
      <c r="H275" s="19" t="s">
        <v>151</v>
      </c>
      <c r="I275" s="19"/>
      <c r="J275" s="3" t="s">
        <v>170</v>
      </c>
      <c r="K275" s="3" t="s">
        <v>148</v>
      </c>
      <c r="L275" s="19" t="s">
        <v>151</v>
      </c>
      <c r="M275" s="19"/>
    </row>
    <row r="276" spans="1:18" ht="33" x14ac:dyDescent="0.3">
      <c r="A276" s="17"/>
      <c r="B276" s="19"/>
      <c r="C276" s="19"/>
      <c r="D276" s="3" t="s">
        <v>146</v>
      </c>
      <c r="E276" s="3" t="s">
        <v>149</v>
      </c>
      <c r="F276" s="19"/>
      <c r="G276" s="3" t="s">
        <v>150</v>
      </c>
      <c r="H276" s="19" t="s">
        <v>152</v>
      </c>
      <c r="I276" s="19"/>
      <c r="J276" s="3" t="s">
        <v>150</v>
      </c>
      <c r="K276" s="3" t="s">
        <v>171</v>
      </c>
      <c r="L276" s="19" t="s">
        <v>172</v>
      </c>
      <c r="M276" s="19"/>
    </row>
    <row r="277" spans="1:18" ht="17.25" thickBot="1" x14ac:dyDescent="0.35">
      <c r="A277" s="6">
        <v>1</v>
      </c>
      <c r="B277" s="11">
        <v>0</v>
      </c>
      <c r="C277" s="2">
        <v>14270</v>
      </c>
      <c r="D277" s="2">
        <v>6644413</v>
      </c>
      <c r="E277" s="2">
        <v>84094</v>
      </c>
      <c r="F277" s="2">
        <v>21.9636</v>
      </c>
      <c r="G277" s="2">
        <v>0.20669999999999999</v>
      </c>
      <c r="H277" s="2">
        <v>21.558299999999999</v>
      </c>
      <c r="I277" s="2">
        <v>22.3689</v>
      </c>
      <c r="J277" s="2">
        <v>94.275899999999993</v>
      </c>
      <c r="K277" s="2">
        <v>0.2</v>
      </c>
      <c r="L277" s="2">
        <v>93.883700000000005</v>
      </c>
      <c r="M277" s="2">
        <v>94.668000000000006</v>
      </c>
      <c r="O277" t="str">
        <f t="shared" ref="O277:O278" si="65">TEXT(J277,"0.00")&amp;" ("&amp;TEXT(L277,"0.00")&amp;" to "&amp;TEXT(M277,"0.00")&amp;")"</f>
        <v>94.28 (93.88 to 94.67)</v>
      </c>
      <c r="P277" t="str">
        <f>O280</f>
        <v>87.87 (87.33 to 88.42)</v>
      </c>
      <c r="Q277" t="str">
        <f>O283</f>
        <v>79.24 (78.52 to 79.96)</v>
      </c>
      <c r="R277" t="str">
        <f>O286</f>
        <v>72.31 (71.52 to 73.11)</v>
      </c>
    </row>
    <row r="278" spans="1:18" ht="17.25" thickBot="1" x14ac:dyDescent="0.35">
      <c r="A278" s="6"/>
      <c r="B278" s="11">
        <v>1</v>
      </c>
      <c r="C278" s="2">
        <v>1187</v>
      </c>
      <c r="D278" s="2">
        <v>403428</v>
      </c>
      <c r="E278" s="2">
        <v>14227</v>
      </c>
      <c r="F278" s="2">
        <v>1.3335999999999999</v>
      </c>
      <c r="G278" s="2">
        <v>4.7E-2</v>
      </c>
      <c r="H278" s="2">
        <v>1.2415</v>
      </c>
      <c r="I278" s="2">
        <v>1.4256</v>
      </c>
      <c r="J278" s="2">
        <v>5.7241</v>
      </c>
      <c r="K278" s="2">
        <v>0.2</v>
      </c>
      <c r="L278" s="2">
        <v>5.3319999999999999</v>
      </c>
      <c r="M278" s="2">
        <v>6.1162999999999998</v>
      </c>
      <c r="O278" t="str">
        <f t="shared" si="65"/>
        <v>5.72 (5.33 to 6.12)</v>
      </c>
      <c r="P278" t="str">
        <f>O281</f>
        <v>12.13 (11.58 to 12.67)</v>
      </c>
      <c r="Q278" t="str">
        <f>O284</f>
        <v>20.76 (20.04 to 21.48)</v>
      </c>
      <c r="R278" t="str">
        <f>O287</f>
        <v>27.69 (26.90 to 28.48)</v>
      </c>
    </row>
    <row r="279" spans="1:18" ht="17.25" thickBot="1" x14ac:dyDescent="0.35">
      <c r="A279" s="6"/>
      <c r="B279" s="11" t="s">
        <v>153</v>
      </c>
      <c r="C279" s="2">
        <v>15457</v>
      </c>
      <c r="D279" s="2">
        <v>7047841</v>
      </c>
      <c r="E279" s="2">
        <v>85770</v>
      </c>
      <c r="F279" s="2">
        <v>23.2972</v>
      </c>
      <c r="G279" s="2">
        <v>0.20880000000000001</v>
      </c>
      <c r="H279" s="2">
        <v>22.887599999999999</v>
      </c>
      <c r="I279" s="2">
        <v>23.706700000000001</v>
      </c>
      <c r="J279" s="2">
        <v>100</v>
      </c>
      <c r="K279" s="2"/>
      <c r="L279" s="2"/>
      <c r="M279" s="2"/>
    </row>
    <row r="280" spans="1:18" ht="17.25" thickBot="1" x14ac:dyDescent="0.35">
      <c r="A280" s="6">
        <v>2</v>
      </c>
      <c r="B280" s="11">
        <v>0</v>
      </c>
      <c r="C280" s="2">
        <v>14562</v>
      </c>
      <c r="D280" s="2">
        <v>6609494</v>
      </c>
      <c r="E280" s="2">
        <v>78487</v>
      </c>
      <c r="F280" s="2">
        <v>21.848199999999999</v>
      </c>
      <c r="G280" s="2">
        <v>0.18720000000000001</v>
      </c>
      <c r="H280" s="2">
        <v>21.481100000000001</v>
      </c>
      <c r="I280" s="2">
        <v>22.215299999999999</v>
      </c>
      <c r="J280" s="2">
        <v>87.873099999999994</v>
      </c>
      <c r="K280" s="2">
        <v>0.27860000000000001</v>
      </c>
      <c r="L280" s="2">
        <v>87.326800000000006</v>
      </c>
      <c r="M280" s="2">
        <v>88.419499999999999</v>
      </c>
      <c r="O280" t="str">
        <f t="shared" ref="O280:O281" si="66">TEXT(J280,"0.00")&amp;" ("&amp;TEXT(L280,"0.00")&amp;" to "&amp;TEXT(M280,"0.00")&amp;")"</f>
        <v>87.87 (87.33 to 88.42)</v>
      </c>
    </row>
    <row r="281" spans="1:18" ht="17.25" thickBot="1" x14ac:dyDescent="0.35">
      <c r="A281" s="6"/>
      <c r="B281" s="11">
        <v>1</v>
      </c>
      <c r="C281" s="2">
        <v>2760</v>
      </c>
      <c r="D281" s="2">
        <v>912139</v>
      </c>
      <c r="E281" s="2">
        <v>21673</v>
      </c>
      <c r="F281" s="2">
        <v>3.0150999999999999</v>
      </c>
      <c r="G281" s="2">
        <v>7.1199999999999999E-2</v>
      </c>
      <c r="H281" s="2">
        <v>2.8755999999999999</v>
      </c>
      <c r="I281" s="2">
        <v>3.1547000000000001</v>
      </c>
      <c r="J281" s="2">
        <v>12.126899999999999</v>
      </c>
      <c r="K281" s="2">
        <v>0.27860000000000001</v>
      </c>
      <c r="L281" s="2">
        <v>11.580500000000001</v>
      </c>
      <c r="M281" s="2">
        <v>12.6732</v>
      </c>
      <c r="O281" t="str">
        <f t="shared" si="66"/>
        <v>12.13 (11.58 to 12.67)</v>
      </c>
    </row>
    <row r="282" spans="1:18" ht="17.25" thickBot="1" x14ac:dyDescent="0.35">
      <c r="A282" s="6"/>
      <c r="B282" s="11" t="s">
        <v>153</v>
      </c>
      <c r="C282" s="2">
        <v>17322</v>
      </c>
      <c r="D282" s="2">
        <v>7521633</v>
      </c>
      <c r="E282" s="2">
        <v>82230</v>
      </c>
      <c r="F282" s="2">
        <v>24.863299999999999</v>
      </c>
      <c r="G282" s="2">
        <v>0.1913</v>
      </c>
      <c r="H282" s="2">
        <v>24.488199999999999</v>
      </c>
      <c r="I282" s="2">
        <v>25.238399999999999</v>
      </c>
      <c r="J282" s="2">
        <v>100</v>
      </c>
      <c r="K282" s="2"/>
      <c r="L282" s="2"/>
      <c r="M282" s="2"/>
    </row>
    <row r="283" spans="1:18" ht="17.25" thickBot="1" x14ac:dyDescent="0.35">
      <c r="A283" s="6">
        <v>3</v>
      </c>
      <c r="B283" s="11">
        <v>0</v>
      </c>
      <c r="C283" s="2">
        <v>13159</v>
      </c>
      <c r="D283" s="2">
        <v>6018899</v>
      </c>
      <c r="E283" s="2">
        <v>72776</v>
      </c>
      <c r="F283" s="2">
        <v>19.895900000000001</v>
      </c>
      <c r="G283" s="2">
        <v>0.18379999999999999</v>
      </c>
      <c r="H283" s="2">
        <v>19.535499999999999</v>
      </c>
      <c r="I283" s="2">
        <v>20.2563</v>
      </c>
      <c r="J283" s="2">
        <v>79.242000000000004</v>
      </c>
      <c r="K283" s="2">
        <v>0.3659</v>
      </c>
      <c r="L283" s="2">
        <v>78.524600000000007</v>
      </c>
      <c r="M283" s="2">
        <v>79.959400000000002</v>
      </c>
      <c r="O283" t="str">
        <f t="shared" ref="O283:O284" si="67">TEXT(J283,"0.00")&amp;" ("&amp;TEXT(L283,"0.00")&amp;" to "&amp;TEXT(M283,"0.00")&amp;")"</f>
        <v>79.24 (78.52 to 79.96)</v>
      </c>
    </row>
    <row r="284" spans="1:18" ht="17.25" thickBot="1" x14ac:dyDescent="0.35">
      <c r="A284" s="6"/>
      <c r="B284" s="11">
        <v>1</v>
      </c>
      <c r="C284" s="2">
        <v>4669</v>
      </c>
      <c r="D284" s="2">
        <v>1576695</v>
      </c>
      <c r="E284" s="2">
        <v>30574</v>
      </c>
      <c r="F284" s="2">
        <v>5.2119</v>
      </c>
      <c r="G284" s="2">
        <v>9.8400000000000001E-2</v>
      </c>
      <c r="H284" s="2">
        <v>5.0189000000000004</v>
      </c>
      <c r="I284" s="2">
        <v>5.4047999999999998</v>
      </c>
      <c r="J284" s="2">
        <v>20.757999999999999</v>
      </c>
      <c r="K284" s="2">
        <v>0.3659</v>
      </c>
      <c r="L284" s="2">
        <v>20.040600000000001</v>
      </c>
      <c r="M284" s="2">
        <v>21.4754</v>
      </c>
      <c r="O284" t="str">
        <f t="shared" si="67"/>
        <v>20.76 (20.04 to 21.48)</v>
      </c>
    </row>
    <row r="285" spans="1:18" ht="17.25" thickBot="1" x14ac:dyDescent="0.35">
      <c r="A285" s="6"/>
      <c r="B285" s="11" t="s">
        <v>153</v>
      </c>
      <c r="C285" s="2">
        <v>17828</v>
      </c>
      <c r="D285" s="2">
        <v>7595594</v>
      </c>
      <c r="E285" s="2">
        <v>80574</v>
      </c>
      <c r="F285" s="2">
        <v>25.107800000000001</v>
      </c>
      <c r="G285" s="2">
        <v>0.19489999999999999</v>
      </c>
      <c r="H285" s="2">
        <v>24.7257</v>
      </c>
      <c r="I285" s="2">
        <v>25.489899999999999</v>
      </c>
      <c r="J285" s="2">
        <v>100</v>
      </c>
      <c r="K285" s="2"/>
      <c r="L285" s="2"/>
      <c r="M285" s="2"/>
    </row>
    <row r="286" spans="1:18" ht="17.25" thickBot="1" x14ac:dyDescent="0.35">
      <c r="A286" s="6">
        <v>4</v>
      </c>
      <c r="B286" s="11">
        <v>0</v>
      </c>
      <c r="C286" s="2">
        <v>11919</v>
      </c>
      <c r="D286" s="2">
        <v>5847942</v>
      </c>
      <c r="E286" s="2">
        <v>71992</v>
      </c>
      <c r="F286" s="2">
        <v>19.3308</v>
      </c>
      <c r="G286" s="2">
        <v>0.1875</v>
      </c>
      <c r="H286" s="2">
        <v>18.963200000000001</v>
      </c>
      <c r="I286" s="2">
        <v>19.698399999999999</v>
      </c>
      <c r="J286" s="2">
        <v>72.313999999999993</v>
      </c>
      <c r="K286" s="2">
        <v>0.40339999999999998</v>
      </c>
      <c r="L286" s="2">
        <v>71.523099999999999</v>
      </c>
      <c r="M286" s="2">
        <v>73.105000000000004</v>
      </c>
      <c r="O286" t="str">
        <f t="shared" ref="O286:O287" si="68">TEXT(J286,"0.00")&amp;" ("&amp;TEXT(L286,"0.00")&amp;" to "&amp;TEXT(M286,"0.00")&amp;")"</f>
        <v>72.31 (71.52 to 73.11)</v>
      </c>
    </row>
    <row r="287" spans="1:18" ht="17.25" thickBot="1" x14ac:dyDescent="0.35">
      <c r="A287" s="6"/>
      <c r="B287" s="11">
        <v>1</v>
      </c>
      <c r="C287" s="2">
        <v>6109</v>
      </c>
      <c r="D287" s="2">
        <v>2238926</v>
      </c>
      <c r="E287" s="2">
        <v>39014</v>
      </c>
      <c r="F287" s="2">
        <v>7.4009</v>
      </c>
      <c r="G287" s="2">
        <v>0.1226</v>
      </c>
      <c r="H287" s="2">
        <v>7.1604999999999999</v>
      </c>
      <c r="I287" s="2">
        <v>7.6414</v>
      </c>
      <c r="J287" s="2">
        <v>27.686</v>
      </c>
      <c r="K287" s="2">
        <v>0.40339999999999998</v>
      </c>
      <c r="L287" s="2">
        <v>26.895</v>
      </c>
      <c r="M287" s="2">
        <v>28.476900000000001</v>
      </c>
      <c r="O287" t="str">
        <f t="shared" si="68"/>
        <v>27.69 (26.90 to 28.48)</v>
      </c>
    </row>
    <row r="288" spans="1:18" ht="17.25" thickBot="1" x14ac:dyDescent="0.35">
      <c r="A288" s="6"/>
      <c r="B288" s="11" t="s">
        <v>153</v>
      </c>
      <c r="C288" s="2">
        <v>18028</v>
      </c>
      <c r="D288" s="2">
        <v>8086868</v>
      </c>
      <c r="E288" s="2">
        <v>85733</v>
      </c>
      <c r="F288" s="2">
        <v>26.7317</v>
      </c>
      <c r="G288" s="2">
        <v>0.2117</v>
      </c>
      <c r="H288" s="2">
        <v>26.316600000000001</v>
      </c>
      <c r="I288" s="2">
        <v>27.146899999999999</v>
      </c>
      <c r="J288" s="2">
        <v>100</v>
      </c>
      <c r="K288" s="2"/>
      <c r="L288" s="2"/>
      <c r="M288" s="2"/>
    </row>
    <row r="289" spans="1:18" ht="17.25" thickBot="1" x14ac:dyDescent="0.35">
      <c r="A289" s="6" t="s">
        <v>153</v>
      </c>
      <c r="B289" s="11">
        <v>0</v>
      </c>
      <c r="C289" s="2">
        <v>53910</v>
      </c>
      <c r="D289" s="2">
        <v>25120748</v>
      </c>
      <c r="E289" s="2">
        <v>210229</v>
      </c>
      <c r="F289" s="2">
        <v>83.038499999999999</v>
      </c>
      <c r="G289" s="2">
        <v>0.19189999999999999</v>
      </c>
      <c r="H289" s="2">
        <v>82.662300000000002</v>
      </c>
      <c r="I289" s="2">
        <v>83.414699999999996</v>
      </c>
      <c r="J289" s="2"/>
      <c r="K289" s="2"/>
      <c r="L289" s="2"/>
      <c r="M289" s="2"/>
    </row>
    <row r="290" spans="1:18" ht="17.25" thickBot="1" x14ac:dyDescent="0.35">
      <c r="A290" s="6"/>
      <c r="B290" s="11">
        <v>1</v>
      </c>
      <c r="C290" s="2">
        <v>14725</v>
      </c>
      <c r="D290" s="2">
        <v>5131188</v>
      </c>
      <c r="E290" s="2">
        <v>62498</v>
      </c>
      <c r="F290" s="2">
        <v>16.961500000000001</v>
      </c>
      <c r="G290" s="2">
        <v>0.19189999999999999</v>
      </c>
      <c r="H290" s="2">
        <v>16.5853</v>
      </c>
      <c r="I290" s="2">
        <v>17.337700000000002</v>
      </c>
      <c r="J290" s="2"/>
      <c r="K290" s="2"/>
      <c r="L290" s="2"/>
      <c r="M290" s="2"/>
    </row>
    <row r="291" spans="1:18" x14ac:dyDescent="0.3">
      <c r="A291" s="6"/>
      <c r="B291" s="14" t="s">
        <v>153</v>
      </c>
      <c r="C291" s="2">
        <v>68635</v>
      </c>
      <c r="D291" s="2">
        <v>30251936</v>
      </c>
      <c r="E291" s="2">
        <v>228758</v>
      </c>
      <c r="F291" s="2">
        <v>100</v>
      </c>
      <c r="G291" s="2"/>
      <c r="H291" s="2"/>
      <c r="I291" s="2"/>
      <c r="J291" s="2"/>
      <c r="K291" s="2"/>
      <c r="L291" s="2"/>
      <c r="M291" s="2"/>
    </row>
    <row r="292" spans="1:18" ht="17.25" thickBot="1" x14ac:dyDescent="0.35"/>
    <row r="293" spans="1:18" ht="16.5" customHeight="1" x14ac:dyDescent="0.3">
      <c r="A293" s="16" t="s">
        <v>233</v>
      </c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</row>
    <row r="294" spans="1:18" ht="33" customHeight="1" x14ac:dyDescent="0.3">
      <c r="A294" s="17" t="s">
        <v>77</v>
      </c>
      <c r="B294" s="19" t="s">
        <v>17</v>
      </c>
      <c r="C294" s="19" t="s">
        <v>146</v>
      </c>
      <c r="D294" s="3" t="s">
        <v>147</v>
      </c>
      <c r="E294" s="3" t="s">
        <v>148</v>
      </c>
      <c r="F294" s="19" t="s">
        <v>150</v>
      </c>
      <c r="G294" s="3" t="s">
        <v>148</v>
      </c>
      <c r="H294" s="19" t="s">
        <v>151</v>
      </c>
      <c r="I294" s="19"/>
      <c r="J294" s="3" t="s">
        <v>170</v>
      </c>
      <c r="K294" s="3" t="s">
        <v>148</v>
      </c>
      <c r="L294" s="19" t="s">
        <v>151</v>
      </c>
      <c r="M294" s="19"/>
    </row>
    <row r="295" spans="1:18" ht="33" x14ac:dyDescent="0.3">
      <c r="A295" s="17"/>
      <c r="B295" s="19"/>
      <c r="C295" s="19"/>
      <c r="D295" s="3" t="s">
        <v>146</v>
      </c>
      <c r="E295" s="3" t="s">
        <v>149</v>
      </c>
      <c r="F295" s="19"/>
      <c r="G295" s="3" t="s">
        <v>150</v>
      </c>
      <c r="H295" s="19" t="s">
        <v>152</v>
      </c>
      <c r="I295" s="19"/>
      <c r="J295" s="3" t="s">
        <v>150</v>
      </c>
      <c r="K295" s="3" t="s">
        <v>171</v>
      </c>
      <c r="L295" s="19" t="s">
        <v>172</v>
      </c>
      <c r="M295" s="19"/>
    </row>
    <row r="296" spans="1:18" ht="17.25" thickBot="1" x14ac:dyDescent="0.35">
      <c r="A296" s="6">
        <v>1</v>
      </c>
      <c r="B296" s="11">
        <v>0</v>
      </c>
      <c r="C296" s="2">
        <v>14498</v>
      </c>
      <c r="D296" s="2">
        <v>6695472</v>
      </c>
      <c r="E296" s="2">
        <v>83002</v>
      </c>
      <c r="F296" s="2">
        <v>22.132400000000001</v>
      </c>
      <c r="G296" s="2">
        <v>0.2039</v>
      </c>
      <c r="H296" s="2">
        <v>21.732600000000001</v>
      </c>
      <c r="I296" s="2">
        <v>22.5321</v>
      </c>
      <c r="J296" s="2">
        <v>95.000299999999996</v>
      </c>
      <c r="K296" s="2">
        <v>0.187</v>
      </c>
      <c r="L296" s="2">
        <v>94.633700000000005</v>
      </c>
      <c r="M296" s="2">
        <v>95.367000000000004</v>
      </c>
      <c r="O296" t="str">
        <f t="shared" ref="O296:O297" si="69">TEXT(J296,"0.00")&amp;" ("&amp;TEXT(L296,"0.00")&amp;" to "&amp;TEXT(M296,"0.00")&amp;")"</f>
        <v>95.00 (94.63 to 95.37)</v>
      </c>
      <c r="P296" t="str">
        <f>O299</f>
        <v>89.82 (89.32 to 90.32)</v>
      </c>
      <c r="Q296" t="str">
        <f>O302</f>
        <v>84.60 (83.99 to 85.22)</v>
      </c>
      <c r="R296" t="str">
        <f>O305</f>
        <v>81.37 (80.70 to 82.03)</v>
      </c>
    </row>
    <row r="297" spans="1:18" ht="17.25" thickBot="1" x14ac:dyDescent="0.35">
      <c r="A297" s="6"/>
      <c r="B297" s="11">
        <v>1</v>
      </c>
      <c r="C297" s="2">
        <v>959</v>
      </c>
      <c r="D297" s="2">
        <v>352369</v>
      </c>
      <c r="E297" s="2">
        <v>13714</v>
      </c>
      <c r="F297" s="2">
        <v>1.1648000000000001</v>
      </c>
      <c r="G297" s="2">
        <v>4.4600000000000001E-2</v>
      </c>
      <c r="H297" s="2">
        <v>1.0772999999999999</v>
      </c>
      <c r="I297" s="2">
        <v>1.2523</v>
      </c>
      <c r="J297" s="2">
        <v>4.9996999999999998</v>
      </c>
      <c r="K297" s="2">
        <v>0.187</v>
      </c>
      <c r="L297" s="2">
        <v>4.633</v>
      </c>
      <c r="M297" s="2">
        <v>5.3662999999999998</v>
      </c>
      <c r="O297" t="str">
        <f t="shared" si="69"/>
        <v>5.00 (4.63 to 5.37)</v>
      </c>
      <c r="P297" t="str">
        <f>O300</f>
        <v>10.18 (9.68 to 10.68)</v>
      </c>
      <c r="Q297" t="str">
        <f>O303</f>
        <v>15.40 (14.78 to 16.01)</v>
      </c>
      <c r="R297" t="str">
        <f>O306</f>
        <v>18.63 (17.97 to 19.30)</v>
      </c>
    </row>
    <row r="298" spans="1:18" ht="17.25" thickBot="1" x14ac:dyDescent="0.35">
      <c r="A298" s="6"/>
      <c r="B298" s="11" t="s">
        <v>153</v>
      </c>
      <c r="C298" s="2">
        <v>15457</v>
      </c>
      <c r="D298" s="2">
        <v>7047841</v>
      </c>
      <c r="E298" s="2">
        <v>85770</v>
      </c>
      <c r="F298" s="2">
        <v>23.2972</v>
      </c>
      <c r="G298" s="2">
        <v>0.20880000000000001</v>
      </c>
      <c r="H298" s="2">
        <v>22.887599999999999</v>
      </c>
      <c r="I298" s="2">
        <v>23.706700000000001</v>
      </c>
      <c r="J298" s="2">
        <v>100</v>
      </c>
      <c r="K298" s="2"/>
      <c r="L298" s="2"/>
      <c r="M298" s="2"/>
    </row>
    <row r="299" spans="1:18" ht="17.25" thickBot="1" x14ac:dyDescent="0.35">
      <c r="A299" s="6">
        <v>2</v>
      </c>
      <c r="B299" s="11">
        <v>0</v>
      </c>
      <c r="C299" s="2">
        <v>15173</v>
      </c>
      <c r="D299" s="2">
        <v>6755605</v>
      </c>
      <c r="E299" s="2">
        <v>77720</v>
      </c>
      <c r="F299" s="2">
        <v>22.331099999999999</v>
      </c>
      <c r="G299" s="2">
        <v>0.18509999999999999</v>
      </c>
      <c r="H299" s="2">
        <v>21.9682</v>
      </c>
      <c r="I299" s="2">
        <v>22.694099999999999</v>
      </c>
      <c r="J299" s="2">
        <v>89.815700000000007</v>
      </c>
      <c r="K299" s="2">
        <v>0.25530000000000003</v>
      </c>
      <c r="L299" s="2">
        <v>89.315100000000001</v>
      </c>
      <c r="M299" s="2">
        <v>90.316299999999998</v>
      </c>
      <c r="O299" t="str">
        <f t="shared" ref="O299:O300" si="70">TEXT(J299,"0.00")&amp;" ("&amp;TEXT(L299,"0.00")&amp;" to "&amp;TEXT(M299,"0.00")&amp;")"</f>
        <v>89.82 (89.32 to 90.32)</v>
      </c>
    </row>
    <row r="300" spans="1:18" ht="17.25" thickBot="1" x14ac:dyDescent="0.35">
      <c r="A300" s="6"/>
      <c r="B300" s="11">
        <v>1</v>
      </c>
      <c r="C300" s="2">
        <v>2149</v>
      </c>
      <c r="D300" s="2">
        <v>766028</v>
      </c>
      <c r="E300" s="2">
        <v>20354</v>
      </c>
      <c r="F300" s="2">
        <v>2.5322</v>
      </c>
      <c r="G300" s="2">
        <v>6.5799999999999997E-2</v>
      </c>
      <c r="H300" s="2">
        <v>2.4032</v>
      </c>
      <c r="I300" s="2">
        <v>2.6612</v>
      </c>
      <c r="J300" s="2">
        <v>10.1843</v>
      </c>
      <c r="K300" s="2">
        <v>0.25530000000000003</v>
      </c>
      <c r="L300" s="2">
        <v>9.6837</v>
      </c>
      <c r="M300" s="2">
        <v>10.684900000000001</v>
      </c>
      <c r="O300" t="str">
        <f t="shared" si="70"/>
        <v>10.18 (9.68 to 10.68)</v>
      </c>
    </row>
    <row r="301" spans="1:18" ht="17.25" thickBot="1" x14ac:dyDescent="0.35">
      <c r="A301" s="6"/>
      <c r="B301" s="11" t="s">
        <v>153</v>
      </c>
      <c r="C301" s="2">
        <v>17322</v>
      </c>
      <c r="D301" s="2">
        <v>7521633</v>
      </c>
      <c r="E301" s="2">
        <v>82230</v>
      </c>
      <c r="F301" s="2">
        <v>24.863299999999999</v>
      </c>
      <c r="G301" s="2">
        <v>0.1913</v>
      </c>
      <c r="H301" s="2">
        <v>24.488199999999999</v>
      </c>
      <c r="I301" s="2">
        <v>25.238399999999999</v>
      </c>
      <c r="J301" s="2">
        <v>100</v>
      </c>
      <c r="K301" s="2"/>
      <c r="L301" s="2"/>
      <c r="M301" s="2"/>
    </row>
    <row r="302" spans="1:18" ht="17.25" thickBot="1" x14ac:dyDescent="0.35">
      <c r="A302" s="6">
        <v>3</v>
      </c>
      <c r="B302" s="11">
        <v>0</v>
      </c>
      <c r="C302" s="2">
        <v>14601</v>
      </c>
      <c r="D302" s="2">
        <v>6426194</v>
      </c>
      <c r="E302" s="2">
        <v>74194</v>
      </c>
      <c r="F302" s="2">
        <v>21.2423</v>
      </c>
      <c r="G302" s="2">
        <v>0.18640000000000001</v>
      </c>
      <c r="H302" s="2">
        <v>20.8767</v>
      </c>
      <c r="I302" s="2">
        <v>21.607800000000001</v>
      </c>
      <c r="J302" s="2">
        <v>84.604200000000006</v>
      </c>
      <c r="K302" s="2">
        <v>0.3115</v>
      </c>
      <c r="L302" s="2">
        <v>83.993399999999994</v>
      </c>
      <c r="M302" s="2">
        <v>85.215100000000007</v>
      </c>
      <c r="O302" t="str">
        <f t="shared" ref="O302:O303" si="71">TEXT(J302,"0.00")&amp;" ("&amp;TEXT(L302,"0.00")&amp;" to "&amp;TEXT(M302,"0.00")&amp;")"</f>
        <v>84.60 (83.99 to 85.22)</v>
      </c>
    </row>
    <row r="303" spans="1:18" ht="17.25" thickBot="1" x14ac:dyDescent="0.35">
      <c r="A303" s="6"/>
      <c r="B303" s="11">
        <v>1</v>
      </c>
      <c r="C303" s="2">
        <v>3227</v>
      </c>
      <c r="D303" s="2">
        <v>1169400</v>
      </c>
      <c r="E303" s="2">
        <v>25683</v>
      </c>
      <c r="F303" s="2">
        <v>3.8654999999999999</v>
      </c>
      <c r="G303" s="2">
        <v>8.2199999999999995E-2</v>
      </c>
      <c r="H303" s="2">
        <v>3.7044000000000001</v>
      </c>
      <c r="I303" s="2">
        <v>4.0266999999999999</v>
      </c>
      <c r="J303" s="2">
        <v>15.395799999999999</v>
      </c>
      <c r="K303" s="2">
        <v>0.3115</v>
      </c>
      <c r="L303" s="2">
        <v>14.7849</v>
      </c>
      <c r="M303" s="2">
        <v>16.006599999999999</v>
      </c>
      <c r="O303" t="str">
        <f t="shared" si="71"/>
        <v>15.40 (14.78 to 16.01)</v>
      </c>
    </row>
    <row r="304" spans="1:18" ht="17.25" thickBot="1" x14ac:dyDescent="0.35">
      <c r="A304" s="6"/>
      <c r="B304" s="11" t="s">
        <v>153</v>
      </c>
      <c r="C304" s="2">
        <v>17828</v>
      </c>
      <c r="D304" s="2">
        <v>7595594</v>
      </c>
      <c r="E304" s="2">
        <v>80574</v>
      </c>
      <c r="F304" s="2">
        <v>25.107800000000001</v>
      </c>
      <c r="G304" s="2">
        <v>0.19489999999999999</v>
      </c>
      <c r="H304" s="2">
        <v>24.7257</v>
      </c>
      <c r="I304" s="2">
        <v>25.489899999999999</v>
      </c>
      <c r="J304" s="2">
        <v>100</v>
      </c>
      <c r="K304" s="2"/>
      <c r="L304" s="2"/>
      <c r="M304" s="2"/>
    </row>
    <row r="305" spans="1:18" ht="17.25" thickBot="1" x14ac:dyDescent="0.35">
      <c r="A305" s="6">
        <v>4</v>
      </c>
      <c r="B305" s="11">
        <v>0</v>
      </c>
      <c r="C305" s="2">
        <v>14195</v>
      </c>
      <c r="D305" s="2">
        <v>6579936</v>
      </c>
      <c r="E305" s="2">
        <v>75330</v>
      </c>
      <c r="F305" s="2">
        <v>21.750499999999999</v>
      </c>
      <c r="G305" s="2">
        <v>0.1915</v>
      </c>
      <c r="H305" s="2">
        <v>21.3749</v>
      </c>
      <c r="I305" s="2">
        <v>22.126000000000001</v>
      </c>
      <c r="J305" s="2">
        <v>81.365700000000004</v>
      </c>
      <c r="K305" s="2">
        <v>0.3392</v>
      </c>
      <c r="L305" s="2">
        <v>80.700500000000005</v>
      </c>
      <c r="M305" s="2">
        <v>82.030900000000003</v>
      </c>
      <c r="O305" t="str">
        <f t="shared" ref="O305:O306" si="72">TEXT(J305,"0.00")&amp;" ("&amp;TEXT(L305,"0.00")&amp;" to "&amp;TEXT(M305,"0.00")&amp;")"</f>
        <v>81.37 (80.70 to 82.03)</v>
      </c>
    </row>
    <row r="306" spans="1:18" ht="17.25" thickBot="1" x14ac:dyDescent="0.35">
      <c r="A306" s="6"/>
      <c r="B306" s="11">
        <v>1</v>
      </c>
      <c r="C306" s="2">
        <v>3833</v>
      </c>
      <c r="D306" s="2">
        <v>1506932</v>
      </c>
      <c r="E306" s="2">
        <v>31544</v>
      </c>
      <c r="F306" s="2">
        <v>4.9813000000000001</v>
      </c>
      <c r="G306" s="2">
        <v>0.1003</v>
      </c>
      <c r="H306" s="2">
        <v>4.7846000000000002</v>
      </c>
      <c r="I306" s="2">
        <v>5.1779000000000002</v>
      </c>
      <c r="J306" s="2">
        <v>18.6343</v>
      </c>
      <c r="K306" s="2">
        <v>0.3392</v>
      </c>
      <c r="L306" s="2">
        <v>17.969100000000001</v>
      </c>
      <c r="M306" s="2">
        <v>19.299499999999998</v>
      </c>
      <c r="O306" t="str">
        <f t="shared" si="72"/>
        <v>18.63 (17.97 to 19.30)</v>
      </c>
    </row>
    <row r="307" spans="1:18" ht="17.25" thickBot="1" x14ac:dyDescent="0.35">
      <c r="A307" s="6"/>
      <c r="B307" s="11" t="s">
        <v>153</v>
      </c>
      <c r="C307" s="2">
        <v>18028</v>
      </c>
      <c r="D307" s="2">
        <v>8086868</v>
      </c>
      <c r="E307" s="2">
        <v>85733</v>
      </c>
      <c r="F307" s="2">
        <v>26.7317</v>
      </c>
      <c r="G307" s="2">
        <v>0.2117</v>
      </c>
      <c r="H307" s="2">
        <v>26.316600000000001</v>
      </c>
      <c r="I307" s="2">
        <v>27.146899999999999</v>
      </c>
      <c r="J307" s="2">
        <v>100</v>
      </c>
      <c r="K307" s="2"/>
      <c r="L307" s="2"/>
      <c r="M307" s="2"/>
    </row>
    <row r="308" spans="1:18" ht="17.25" thickBot="1" x14ac:dyDescent="0.35">
      <c r="A308" s="6" t="s">
        <v>153</v>
      </c>
      <c r="B308" s="11">
        <v>0</v>
      </c>
      <c r="C308" s="2">
        <v>58467</v>
      </c>
      <c r="D308" s="2">
        <v>26457207</v>
      </c>
      <c r="E308" s="2">
        <v>211261</v>
      </c>
      <c r="F308" s="2">
        <v>87.456199999999995</v>
      </c>
      <c r="G308" s="2">
        <v>0.1542</v>
      </c>
      <c r="H308" s="2">
        <v>87.153800000000004</v>
      </c>
      <c r="I308" s="2">
        <v>87.758700000000005</v>
      </c>
      <c r="J308" s="2"/>
      <c r="K308" s="2"/>
      <c r="L308" s="2"/>
      <c r="M308" s="2"/>
    </row>
    <row r="309" spans="1:18" ht="17.25" thickBot="1" x14ac:dyDescent="0.35">
      <c r="A309" s="6"/>
      <c r="B309" s="11">
        <v>1</v>
      </c>
      <c r="C309" s="2">
        <v>10168</v>
      </c>
      <c r="D309" s="2">
        <v>3794729</v>
      </c>
      <c r="E309" s="2">
        <v>51502</v>
      </c>
      <c r="F309" s="2">
        <v>12.543799999999999</v>
      </c>
      <c r="G309" s="2">
        <v>0.1542</v>
      </c>
      <c r="H309" s="2">
        <v>12.241300000000001</v>
      </c>
      <c r="I309" s="2">
        <v>12.8462</v>
      </c>
      <c r="J309" s="2"/>
      <c r="K309" s="2"/>
      <c r="L309" s="2"/>
      <c r="M309" s="2"/>
    </row>
    <row r="310" spans="1:18" x14ac:dyDescent="0.3">
      <c r="A310" s="6"/>
      <c r="B310" s="14" t="s">
        <v>153</v>
      </c>
      <c r="C310" s="2">
        <v>68635</v>
      </c>
      <c r="D310" s="2">
        <v>30251936</v>
      </c>
      <c r="E310" s="2">
        <v>228758</v>
      </c>
      <c r="F310" s="2">
        <v>100</v>
      </c>
      <c r="G310" s="2"/>
      <c r="H310" s="2"/>
      <c r="I310" s="2"/>
      <c r="J310" s="2"/>
      <c r="K310" s="2"/>
      <c r="L310" s="2"/>
      <c r="M310" s="2"/>
    </row>
    <row r="311" spans="1:18" ht="17.25" thickBot="1" x14ac:dyDescent="0.35"/>
    <row r="312" spans="1:18" ht="16.5" customHeight="1" x14ac:dyDescent="0.3">
      <c r="A312" s="16" t="s">
        <v>234</v>
      </c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</row>
    <row r="313" spans="1:18" ht="33" customHeight="1" x14ac:dyDescent="0.3">
      <c r="A313" s="17" t="s">
        <v>77</v>
      </c>
      <c r="B313" s="19" t="s">
        <v>18</v>
      </c>
      <c r="C313" s="19" t="s">
        <v>146</v>
      </c>
      <c r="D313" s="3" t="s">
        <v>147</v>
      </c>
      <c r="E313" s="3" t="s">
        <v>148</v>
      </c>
      <c r="F313" s="19" t="s">
        <v>150</v>
      </c>
      <c r="G313" s="3" t="s">
        <v>148</v>
      </c>
      <c r="H313" s="19" t="s">
        <v>151</v>
      </c>
      <c r="I313" s="19"/>
      <c r="J313" s="3" t="s">
        <v>170</v>
      </c>
      <c r="K313" s="3" t="s">
        <v>148</v>
      </c>
      <c r="L313" s="19" t="s">
        <v>151</v>
      </c>
      <c r="M313" s="19"/>
    </row>
    <row r="314" spans="1:18" ht="33" x14ac:dyDescent="0.3">
      <c r="A314" s="17"/>
      <c r="B314" s="19"/>
      <c r="C314" s="19"/>
      <c r="D314" s="3" t="s">
        <v>146</v>
      </c>
      <c r="E314" s="3" t="s">
        <v>149</v>
      </c>
      <c r="F314" s="19"/>
      <c r="G314" s="3" t="s">
        <v>150</v>
      </c>
      <c r="H314" s="19" t="s">
        <v>152</v>
      </c>
      <c r="I314" s="19"/>
      <c r="J314" s="3" t="s">
        <v>150</v>
      </c>
      <c r="K314" s="3" t="s">
        <v>171</v>
      </c>
      <c r="L314" s="19" t="s">
        <v>172</v>
      </c>
      <c r="M314" s="19"/>
    </row>
    <row r="315" spans="1:18" ht="17.25" thickBot="1" x14ac:dyDescent="0.35">
      <c r="A315" s="6">
        <v>1</v>
      </c>
      <c r="B315" s="11">
        <v>0</v>
      </c>
      <c r="C315" s="2">
        <v>15343</v>
      </c>
      <c r="D315" s="2">
        <v>7012565</v>
      </c>
      <c r="E315" s="2">
        <v>85731</v>
      </c>
      <c r="F315" s="2">
        <v>23.180499999999999</v>
      </c>
      <c r="G315" s="2">
        <v>0.20880000000000001</v>
      </c>
      <c r="H315" s="2">
        <v>22.771000000000001</v>
      </c>
      <c r="I315" s="2">
        <v>23.5901</v>
      </c>
      <c r="J315" s="2">
        <v>99.499499999999998</v>
      </c>
      <c r="K315" s="2">
        <v>5.6300000000000003E-2</v>
      </c>
      <c r="L315" s="2">
        <v>99.389099999999999</v>
      </c>
      <c r="M315" s="2">
        <v>99.609899999999996</v>
      </c>
      <c r="O315" t="str">
        <f t="shared" ref="O315:O316" si="73">TEXT(J315,"0.00")&amp;" ("&amp;TEXT(L315,"0.00")&amp;" to "&amp;TEXT(M315,"0.00")&amp;")"</f>
        <v>99.50 (99.39 to 99.61)</v>
      </c>
      <c r="P315" t="str">
        <f>O318</f>
        <v>98.76 (98.59 to 98.94)</v>
      </c>
      <c r="Q315" t="str">
        <f>O321</f>
        <v>98.18 (97.97 to 98.40)</v>
      </c>
      <c r="R315" t="str">
        <f>O324</f>
        <v>98.19 (97.99 to 98.39)</v>
      </c>
    </row>
    <row r="316" spans="1:18" ht="17.25" thickBot="1" x14ac:dyDescent="0.35">
      <c r="A316" s="6"/>
      <c r="B316" s="11">
        <v>1</v>
      </c>
      <c r="C316" s="2">
        <v>114</v>
      </c>
      <c r="D316" s="2">
        <v>35276</v>
      </c>
      <c r="E316" s="2">
        <v>3959</v>
      </c>
      <c r="F316" s="2">
        <v>0.1166</v>
      </c>
      <c r="G316" s="2">
        <v>1.3100000000000001E-2</v>
      </c>
      <c r="H316" s="2">
        <v>9.0899999999999995E-2</v>
      </c>
      <c r="I316" s="2">
        <v>0.14230000000000001</v>
      </c>
      <c r="J316" s="2">
        <v>0.50049999999999994</v>
      </c>
      <c r="K316" s="2">
        <v>5.6300000000000003E-2</v>
      </c>
      <c r="L316" s="2">
        <v>0.3901</v>
      </c>
      <c r="M316" s="2">
        <v>0.6109</v>
      </c>
      <c r="O316" t="str">
        <f t="shared" si="73"/>
        <v>0.50 (0.39 to 0.61)</v>
      </c>
      <c r="P316" t="str">
        <f>O319</f>
        <v>1.24 (1.06 to 1.41)</v>
      </c>
      <c r="Q316" t="str">
        <f>O322</f>
        <v>1.82 (1.60 to 2.03)</v>
      </c>
      <c r="R316" t="str">
        <f>O325</f>
        <v>1.81 (1.61 to 2.01)</v>
      </c>
    </row>
    <row r="317" spans="1:18" ht="17.25" thickBot="1" x14ac:dyDescent="0.35">
      <c r="A317" s="6"/>
      <c r="B317" s="11" t="s">
        <v>153</v>
      </c>
      <c r="C317" s="2">
        <v>15457</v>
      </c>
      <c r="D317" s="2">
        <v>7047841</v>
      </c>
      <c r="E317" s="2">
        <v>85770</v>
      </c>
      <c r="F317" s="2">
        <v>23.2972</v>
      </c>
      <c r="G317" s="2">
        <v>0.20880000000000001</v>
      </c>
      <c r="H317" s="2">
        <v>22.887599999999999</v>
      </c>
      <c r="I317" s="2">
        <v>23.706700000000001</v>
      </c>
      <c r="J317" s="2">
        <v>100</v>
      </c>
      <c r="K317" s="2"/>
      <c r="L317" s="2"/>
      <c r="M317" s="2"/>
    </row>
    <row r="318" spans="1:18" ht="17.25" thickBot="1" x14ac:dyDescent="0.35">
      <c r="A318" s="6">
        <v>2</v>
      </c>
      <c r="B318" s="11">
        <v>0</v>
      </c>
      <c r="C318" s="2">
        <v>17044</v>
      </c>
      <c r="D318" s="2">
        <v>7428480</v>
      </c>
      <c r="E318" s="2">
        <v>81817</v>
      </c>
      <c r="F318" s="2">
        <v>24.555399999999999</v>
      </c>
      <c r="G318" s="2">
        <v>0.19070000000000001</v>
      </c>
      <c r="H318" s="2">
        <v>24.1815</v>
      </c>
      <c r="I318" s="2">
        <v>24.929300000000001</v>
      </c>
      <c r="J318" s="2">
        <v>98.761499999999998</v>
      </c>
      <c r="K318" s="2">
        <v>8.9700000000000002E-2</v>
      </c>
      <c r="L318" s="2">
        <v>98.585700000000003</v>
      </c>
      <c r="M318" s="2">
        <v>98.937399999999997</v>
      </c>
      <c r="O318" t="str">
        <f t="shared" ref="O318:O319" si="74">TEXT(J318,"0.00")&amp;" ("&amp;TEXT(L318,"0.00")&amp;" to "&amp;TEXT(M318,"0.00")&amp;")"</f>
        <v>98.76 (98.59 to 98.94)</v>
      </c>
    </row>
    <row r="319" spans="1:18" ht="17.25" thickBot="1" x14ac:dyDescent="0.35">
      <c r="A319" s="6"/>
      <c r="B319" s="11">
        <v>1</v>
      </c>
      <c r="C319" s="2">
        <v>278</v>
      </c>
      <c r="D319" s="2">
        <v>93153</v>
      </c>
      <c r="E319" s="2">
        <v>6772</v>
      </c>
      <c r="F319" s="2">
        <v>0.30790000000000001</v>
      </c>
      <c r="G319" s="2">
        <v>2.24E-2</v>
      </c>
      <c r="H319" s="2">
        <v>0.2641</v>
      </c>
      <c r="I319" s="2">
        <v>0.3518</v>
      </c>
      <c r="J319" s="2">
        <v>1.2384999999999999</v>
      </c>
      <c r="K319" s="2">
        <v>8.9700000000000002E-2</v>
      </c>
      <c r="L319" s="2">
        <v>1.0626</v>
      </c>
      <c r="M319" s="2">
        <v>1.4142999999999999</v>
      </c>
      <c r="O319" t="str">
        <f t="shared" si="74"/>
        <v>1.24 (1.06 to 1.41)</v>
      </c>
    </row>
    <row r="320" spans="1:18" ht="17.25" thickBot="1" x14ac:dyDescent="0.35">
      <c r="A320" s="6"/>
      <c r="B320" s="11" t="s">
        <v>153</v>
      </c>
      <c r="C320" s="2">
        <v>17322</v>
      </c>
      <c r="D320" s="2">
        <v>7521633</v>
      </c>
      <c r="E320" s="2">
        <v>82230</v>
      </c>
      <c r="F320" s="2">
        <v>24.863299999999999</v>
      </c>
      <c r="G320" s="2">
        <v>0.1913</v>
      </c>
      <c r="H320" s="2">
        <v>24.488199999999999</v>
      </c>
      <c r="I320" s="2">
        <v>25.238399999999999</v>
      </c>
      <c r="J320" s="2">
        <v>100</v>
      </c>
      <c r="K320" s="2"/>
      <c r="L320" s="2"/>
      <c r="M320" s="2"/>
    </row>
    <row r="321" spans="1:18" ht="17.25" thickBot="1" x14ac:dyDescent="0.35">
      <c r="A321" s="6">
        <v>3</v>
      </c>
      <c r="B321" s="11">
        <v>0</v>
      </c>
      <c r="C321" s="2">
        <v>17391</v>
      </c>
      <c r="D321" s="2">
        <v>7457618</v>
      </c>
      <c r="E321" s="2">
        <v>79952</v>
      </c>
      <c r="F321" s="2">
        <v>24.651700000000002</v>
      </c>
      <c r="G321" s="2">
        <v>0.19359999999999999</v>
      </c>
      <c r="H321" s="2">
        <v>24.272099999999998</v>
      </c>
      <c r="I321" s="2">
        <v>25.031400000000001</v>
      </c>
      <c r="J321" s="2">
        <v>98.183499999999995</v>
      </c>
      <c r="K321" s="2">
        <v>0.108</v>
      </c>
      <c r="L321" s="2">
        <v>97.971699999999998</v>
      </c>
      <c r="M321" s="2">
        <v>98.395200000000003</v>
      </c>
      <c r="O321" t="str">
        <f t="shared" ref="O321:O322" si="75">TEXT(J321,"0.00")&amp;" ("&amp;TEXT(L321,"0.00")&amp;" to "&amp;TEXT(M321,"0.00")&amp;")"</f>
        <v>98.18 (97.97 to 98.40)</v>
      </c>
    </row>
    <row r="322" spans="1:18" ht="17.25" thickBot="1" x14ac:dyDescent="0.35">
      <c r="A322" s="6"/>
      <c r="B322" s="11">
        <v>1</v>
      </c>
      <c r="C322" s="2">
        <v>437</v>
      </c>
      <c r="D322" s="2">
        <v>137976</v>
      </c>
      <c r="E322" s="2">
        <v>8259</v>
      </c>
      <c r="F322" s="2">
        <v>0.45610000000000001</v>
      </c>
      <c r="G322" s="2">
        <v>2.7300000000000001E-2</v>
      </c>
      <c r="H322" s="2">
        <v>0.40260000000000001</v>
      </c>
      <c r="I322" s="2">
        <v>0.50960000000000005</v>
      </c>
      <c r="J322" s="2">
        <v>1.8165</v>
      </c>
      <c r="K322" s="2">
        <v>0.108</v>
      </c>
      <c r="L322" s="2">
        <v>1.6048</v>
      </c>
      <c r="M322" s="2">
        <v>2.0283000000000002</v>
      </c>
      <c r="O322" t="str">
        <f t="shared" si="75"/>
        <v>1.82 (1.60 to 2.03)</v>
      </c>
    </row>
    <row r="323" spans="1:18" ht="17.25" thickBot="1" x14ac:dyDescent="0.35">
      <c r="A323" s="6"/>
      <c r="B323" s="11" t="s">
        <v>153</v>
      </c>
      <c r="C323" s="2">
        <v>17828</v>
      </c>
      <c r="D323" s="2">
        <v>7595594</v>
      </c>
      <c r="E323" s="2">
        <v>80574</v>
      </c>
      <c r="F323" s="2">
        <v>25.107800000000001</v>
      </c>
      <c r="G323" s="2">
        <v>0.19489999999999999</v>
      </c>
      <c r="H323" s="2">
        <v>24.7257</v>
      </c>
      <c r="I323" s="2">
        <v>25.489899999999999</v>
      </c>
      <c r="J323" s="2">
        <v>100</v>
      </c>
      <c r="K323" s="2"/>
      <c r="L323" s="2"/>
      <c r="M323" s="2"/>
    </row>
    <row r="324" spans="1:18" ht="17.25" thickBot="1" x14ac:dyDescent="0.35">
      <c r="A324" s="6">
        <v>4</v>
      </c>
      <c r="B324" s="11">
        <v>0</v>
      </c>
      <c r="C324" s="2">
        <v>17566</v>
      </c>
      <c r="D324" s="2">
        <v>7940661</v>
      </c>
      <c r="E324" s="2">
        <v>85043</v>
      </c>
      <c r="F324" s="2">
        <v>26.2484</v>
      </c>
      <c r="G324" s="2">
        <v>0.20960000000000001</v>
      </c>
      <c r="H324" s="2">
        <v>25.837399999999999</v>
      </c>
      <c r="I324" s="2">
        <v>26.659400000000002</v>
      </c>
      <c r="J324" s="2">
        <v>98.191999999999993</v>
      </c>
      <c r="K324" s="2">
        <v>0.10059999999999999</v>
      </c>
      <c r="L324" s="2">
        <v>97.994799999999998</v>
      </c>
      <c r="M324" s="2">
        <v>98.389300000000006</v>
      </c>
      <c r="O324" t="str">
        <f t="shared" ref="O324:O325" si="76">TEXT(J324,"0.00")&amp;" ("&amp;TEXT(L324,"0.00")&amp;" to "&amp;TEXT(M324,"0.00")&amp;")"</f>
        <v>98.19 (97.99 to 98.39)</v>
      </c>
    </row>
    <row r="325" spans="1:18" ht="17.25" thickBot="1" x14ac:dyDescent="0.35">
      <c r="A325" s="6"/>
      <c r="B325" s="11">
        <v>1</v>
      </c>
      <c r="C325" s="2">
        <v>462</v>
      </c>
      <c r="D325" s="2">
        <v>146207</v>
      </c>
      <c r="E325" s="2">
        <v>8194</v>
      </c>
      <c r="F325" s="2">
        <v>0.48330000000000001</v>
      </c>
      <c r="G325" s="2">
        <v>2.7199999999999998E-2</v>
      </c>
      <c r="H325" s="2">
        <v>0.43</v>
      </c>
      <c r="I325" s="2">
        <v>0.53659999999999997</v>
      </c>
      <c r="J325" s="2">
        <v>1.8080000000000001</v>
      </c>
      <c r="K325" s="2">
        <v>0.10059999999999999</v>
      </c>
      <c r="L325" s="2">
        <v>1.6107</v>
      </c>
      <c r="M325" s="2">
        <v>2.0051999999999999</v>
      </c>
      <c r="O325" t="str">
        <f t="shared" si="76"/>
        <v>1.81 (1.61 to 2.01)</v>
      </c>
    </row>
    <row r="326" spans="1:18" ht="17.25" thickBot="1" x14ac:dyDescent="0.35">
      <c r="A326" s="6"/>
      <c r="B326" s="11" t="s">
        <v>153</v>
      </c>
      <c r="C326" s="2">
        <v>18028</v>
      </c>
      <c r="D326" s="2">
        <v>8086868</v>
      </c>
      <c r="E326" s="2">
        <v>85733</v>
      </c>
      <c r="F326" s="2">
        <v>26.7317</v>
      </c>
      <c r="G326" s="2">
        <v>0.2117</v>
      </c>
      <c r="H326" s="2">
        <v>26.316600000000001</v>
      </c>
      <c r="I326" s="2">
        <v>27.146899999999999</v>
      </c>
      <c r="J326" s="2">
        <v>100</v>
      </c>
      <c r="K326" s="2"/>
      <c r="L326" s="2"/>
      <c r="M326" s="2"/>
    </row>
    <row r="327" spans="1:18" ht="17.25" thickBot="1" x14ac:dyDescent="0.35">
      <c r="A327" s="6" t="s">
        <v>153</v>
      </c>
      <c r="B327" s="11">
        <v>0</v>
      </c>
      <c r="C327" s="2">
        <v>67344</v>
      </c>
      <c r="D327" s="2">
        <v>29839323</v>
      </c>
      <c r="E327" s="2">
        <v>227888</v>
      </c>
      <c r="F327" s="2">
        <v>98.636099999999999</v>
      </c>
      <c r="G327" s="2">
        <v>4.7500000000000001E-2</v>
      </c>
      <c r="H327" s="2">
        <v>98.543000000000006</v>
      </c>
      <c r="I327" s="2">
        <v>98.729200000000006</v>
      </c>
      <c r="J327" s="2"/>
      <c r="K327" s="2"/>
      <c r="L327" s="2"/>
      <c r="M327" s="2"/>
    </row>
    <row r="328" spans="1:18" ht="17.25" thickBot="1" x14ac:dyDescent="0.35">
      <c r="A328" s="6"/>
      <c r="B328" s="11">
        <v>1</v>
      </c>
      <c r="C328" s="2">
        <v>1291</v>
      </c>
      <c r="D328" s="2">
        <v>412612</v>
      </c>
      <c r="E328" s="2">
        <v>14314</v>
      </c>
      <c r="F328" s="2">
        <v>1.3638999999999999</v>
      </c>
      <c r="G328" s="2">
        <v>4.7500000000000001E-2</v>
      </c>
      <c r="H328" s="2">
        <v>1.2707999999999999</v>
      </c>
      <c r="I328" s="2">
        <v>1.4570000000000001</v>
      </c>
      <c r="J328" s="2"/>
      <c r="K328" s="2"/>
      <c r="L328" s="2"/>
      <c r="M328" s="2"/>
    </row>
    <row r="329" spans="1:18" x14ac:dyDescent="0.3">
      <c r="A329" s="6"/>
      <c r="B329" s="14" t="s">
        <v>153</v>
      </c>
      <c r="C329" s="2">
        <v>68635</v>
      </c>
      <c r="D329" s="2">
        <v>30251936</v>
      </c>
      <c r="E329" s="2">
        <v>228758</v>
      </c>
      <c r="F329" s="2">
        <v>100</v>
      </c>
      <c r="G329" s="2"/>
      <c r="H329" s="2"/>
      <c r="I329" s="2"/>
      <c r="J329" s="2"/>
      <c r="K329" s="2"/>
      <c r="L329" s="2"/>
      <c r="M329" s="2"/>
    </row>
    <row r="330" spans="1:18" ht="17.25" thickBot="1" x14ac:dyDescent="0.35"/>
    <row r="331" spans="1:18" ht="16.5" customHeight="1" x14ac:dyDescent="0.3">
      <c r="A331" s="16" t="s">
        <v>235</v>
      </c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</row>
    <row r="332" spans="1:18" ht="33" customHeight="1" x14ac:dyDescent="0.3">
      <c r="A332" s="17" t="s">
        <v>77</v>
      </c>
      <c r="B332" s="19" t="s">
        <v>19</v>
      </c>
      <c r="C332" s="19" t="s">
        <v>146</v>
      </c>
      <c r="D332" s="3" t="s">
        <v>147</v>
      </c>
      <c r="E332" s="3" t="s">
        <v>148</v>
      </c>
      <c r="F332" s="19" t="s">
        <v>150</v>
      </c>
      <c r="G332" s="3" t="s">
        <v>148</v>
      </c>
      <c r="H332" s="19" t="s">
        <v>151</v>
      </c>
      <c r="I332" s="19"/>
      <c r="J332" s="3" t="s">
        <v>170</v>
      </c>
      <c r="K332" s="3" t="s">
        <v>148</v>
      </c>
      <c r="L332" s="19" t="s">
        <v>151</v>
      </c>
      <c r="M332" s="19"/>
    </row>
    <row r="333" spans="1:18" ht="33" x14ac:dyDescent="0.3">
      <c r="A333" s="17"/>
      <c r="B333" s="19"/>
      <c r="C333" s="19"/>
      <c r="D333" s="3" t="s">
        <v>146</v>
      </c>
      <c r="E333" s="3" t="s">
        <v>149</v>
      </c>
      <c r="F333" s="19"/>
      <c r="G333" s="3" t="s">
        <v>150</v>
      </c>
      <c r="H333" s="19" t="s">
        <v>152</v>
      </c>
      <c r="I333" s="19"/>
      <c r="J333" s="3" t="s">
        <v>150</v>
      </c>
      <c r="K333" s="3" t="s">
        <v>171</v>
      </c>
      <c r="L333" s="19" t="s">
        <v>172</v>
      </c>
      <c r="M333" s="19"/>
    </row>
    <row r="334" spans="1:18" ht="17.25" thickBot="1" x14ac:dyDescent="0.35">
      <c r="A334" s="6">
        <v>1</v>
      </c>
      <c r="B334" s="11">
        <v>0</v>
      </c>
      <c r="C334" s="2">
        <v>15410</v>
      </c>
      <c r="D334" s="2">
        <v>7035049</v>
      </c>
      <c r="E334" s="2">
        <v>85743</v>
      </c>
      <c r="F334" s="2">
        <v>23.254899999999999</v>
      </c>
      <c r="G334" s="2">
        <v>0.20880000000000001</v>
      </c>
      <c r="H334" s="2">
        <v>22.845600000000001</v>
      </c>
      <c r="I334" s="2">
        <v>23.664200000000001</v>
      </c>
      <c r="J334" s="2">
        <v>99.8185</v>
      </c>
      <c r="K334" s="2">
        <v>2.9700000000000001E-2</v>
      </c>
      <c r="L334" s="2">
        <v>99.760300000000001</v>
      </c>
      <c r="M334" s="2">
        <v>99.8767</v>
      </c>
      <c r="O334" t="str">
        <f t="shared" ref="O334:O335" si="77">TEXT(J334,"0.00")&amp;" ("&amp;TEXT(L334,"0.00")&amp;" to "&amp;TEXT(M334,"0.00")&amp;")"</f>
        <v>99.82 (99.76 to 99.88)</v>
      </c>
      <c r="P334" t="str">
        <f>O337</f>
        <v>99.46 (99.34 to 99.58)</v>
      </c>
      <c r="Q334" t="str">
        <f>O340</f>
        <v>99.10 (98.96 to 99.24)</v>
      </c>
      <c r="R334" t="str">
        <f>O343</f>
        <v>98.98 (98.83 to 99.14)</v>
      </c>
    </row>
    <row r="335" spans="1:18" ht="17.25" thickBot="1" x14ac:dyDescent="0.35">
      <c r="A335" s="6"/>
      <c r="B335" s="11">
        <v>1</v>
      </c>
      <c r="C335" s="2">
        <v>47</v>
      </c>
      <c r="D335" s="2">
        <v>12792</v>
      </c>
      <c r="E335" s="2">
        <v>2091</v>
      </c>
      <c r="F335" s="2">
        <v>4.2299999999999997E-2</v>
      </c>
      <c r="G335" s="2">
        <v>6.8999999999999999E-3</v>
      </c>
      <c r="H335" s="2">
        <v>2.87E-2</v>
      </c>
      <c r="I335" s="2">
        <v>5.5899999999999998E-2</v>
      </c>
      <c r="J335" s="2">
        <v>0.18149999999999999</v>
      </c>
      <c r="K335" s="2">
        <v>2.9700000000000001E-2</v>
      </c>
      <c r="L335" s="2">
        <v>0.12330000000000001</v>
      </c>
      <c r="M335" s="2">
        <v>0.2397</v>
      </c>
      <c r="O335" t="str">
        <f t="shared" si="77"/>
        <v>0.18 (0.12 to 0.24)</v>
      </c>
      <c r="P335" t="str">
        <f>O338</f>
        <v>0.54 (0.42 to 0.66)</v>
      </c>
      <c r="Q335" t="str">
        <f>O341</f>
        <v>0.90 (0.76 to 1.04)</v>
      </c>
      <c r="R335" t="str">
        <f>O344</f>
        <v>1.02 (0.86 to 1.17)</v>
      </c>
    </row>
    <row r="336" spans="1:18" ht="17.25" thickBot="1" x14ac:dyDescent="0.35">
      <c r="A336" s="6"/>
      <c r="B336" s="11" t="s">
        <v>153</v>
      </c>
      <c r="C336" s="2">
        <v>15457</v>
      </c>
      <c r="D336" s="2">
        <v>7047841</v>
      </c>
      <c r="E336" s="2">
        <v>85770</v>
      </c>
      <c r="F336" s="2">
        <v>23.2972</v>
      </c>
      <c r="G336" s="2">
        <v>0.20880000000000001</v>
      </c>
      <c r="H336" s="2">
        <v>22.887599999999999</v>
      </c>
      <c r="I336" s="2">
        <v>23.706700000000001</v>
      </c>
      <c r="J336" s="2">
        <v>100</v>
      </c>
      <c r="K336" s="2"/>
      <c r="L336" s="2"/>
      <c r="M336" s="2"/>
    </row>
    <row r="337" spans="1:15" ht="17.25" thickBot="1" x14ac:dyDescent="0.35">
      <c r="A337" s="6">
        <v>2</v>
      </c>
      <c r="B337" s="11">
        <v>0</v>
      </c>
      <c r="C337" s="2">
        <v>17190</v>
      </c>
      <c r="D337" s="2">
        <v>7481094</v>
      </c>
      <c r="E337" s="2">
        <v>82044</v>
      </c>
      <c r="F337" s="2">
        <v>24.729299999999999</v>
      </c>
      <c r="G337" s="2">
        <v>0.191</v>
      </c>
      <c r="H337" s="2">
        <v>24.354700000000001</v>
      </c>
      <c r="I337" s="2">
        <v>25.103899999999999</v>
      </c>
      <c r="J337" s="2">
        <v>99.460999999999999</v>
      </c>
      <c r="K337" s="2">
        <v>5.9299999999999999E-2</v>
      </c>
      <c r="L337" s="2">
        <v>99.344700000000003</v>
      </c>
      <c r="M337" s="2">
        <v>99.577299999999994</v>
      </c>
      <c r="O337" t="str">
        <f t="shared" ref="O337:O338" si="78">TEXT(J337,"0.00")&amp;" ("&amp;TEXT(L337,"0.00")&amp;" to "&amp;TEXT(M337,"0.00")&amp;")"</f>
        <v>99.46 (99.34 to 99.58)</v>
      </c>
    </row>
    <row r="338" spans="1:15" ht="17.25" thickBot="1" x14ac:dyDescent="0.35">
      <c r="A338" s="6"/>
      <c r="B338" s="11">
        <v>1</v>
      </c>
      <c r="C338" s="2">
        <v>132</v>
      </c>
      <c r="D338" s="2">
        <v>40540</v>
      </c>
      <c r="E338" s="2">
        <v>4469</v>
      </c>
      <c r="F338" s="2">
        <v>0.13400000000000001</v>
      </c>
      <c r="G338" s="2">
        <v>1.4800000000000001E-2</v>
      </c>
      <c r="H338" s="2">
        <v>0.1051</v>
      </c>
      <c r="I338" s="2">
        <v>0.16300000000000001</v>
      </c>
      <c r="J338" s="2">
        <v>0.53900000000000003</v>
      </c>
      <c r="K338" s="2">
        <v>5.9299999999999999E-2</v>
      </c>
      <c r="L338" s="2">
        <v>0.42270000000000002</v>
      </c>
      <c r="M338" s="2">
        <v>0.65529999999999999</v>
      </c>
      <c r="O338" t="str">
        <f t="shared" si="78"/>
        <v>0.54 (0.42 to 0.66)</v>
      </c>
    </row>
    <row r="339" spans="1:15" ht="17.25" thickBot="1" x14ac:dyDescent="0.35">
      <c r="A339" s="6"/>
      <c r="B339" s="11" t="s">
        <v>153</v>
      </c>
      <c r="C339" s="2">
        <v>17322</v>
      </c>
      <c r="D339" s="2">
        <v>7521633</v>
      </c>
      <c r="E339" s="2">
        <v>82230</v>
      </c>
      <c r="F339" s="2">
        <v>24.863299999999999</v>
      </c>
      <c r="G339" s="2">
        <v>0.1913</v>
      </c>
      <c r="H339" s="2">
        <v>24.488199999999999</v>
      </c>
      <c r="I339" s="2">
        <v>25.238399999999999</v>
      </c>
      <c r="J339" s="2">
        <v>100</v>
      </c>
      <c r="K339" s="2"/>
      <c r="L339" s="2"/>
      <c r="M339" s="2"/>
    </row>
    <row r="340" spans="1:15" ht="17.25" thickBot="1" x14ac:dyDescent="0.35">
      <c r="A340" s="6">
        <v>3</v>
      </c>
      <c r="B340" s="11">
        <v>0</v>
      </c>
      <c r="C340" s="2">
        <v>17619</v>
      </c>
      <c r="D340" s="2">
        <v>7527121</v>
      </c>
      <c r="E340" s="2">
        <v>79923</v>
      </c>
      <c r="F340" s="2">
        <v>24.881499999999999</v>
      </c>
      <c r="G340" s="2">
        <v>0.19320000000000001</v>
      </c>
      <c r="H340" s="2">
        <v>24.502600000000001</v>
      </c>
      <c r="I340" s="2">
        <v>25.260300000000001</v>
      </c>
      <c r="J340" s="2">
        <v>99.098500000000001</v>
      </c>
      <c r="K340" s="2">
        <v>7.0099999999999996E-2</v>
      </c>
      <c r="L340" s="2">
        <v>98.961100000000002</v>
      </c>
      <c r="M340" s="2">
        <v>99.235900000000001</v>
      </c>
      <c r="O340" t="str">
        <f t="shared" ref="O340:O341" si="79">TEXT(J340,"0.00")&amp;" ("&amp;TEXT(L340,"0.00")&amp;" to "&amp;TEXT(M340,"0.00")&amp;")"</f>
        <v>99.10 (98.96 to 99.24)</v>
      </c>
    </row>
    <row r="341" spans="1:15" ht="17.25" thickBot="1" x14ac:dyDescent="0.35">
      <c r="A341" s="6"/>
      <c r="B341" s="11">
        <v>1</v>
      </c>
      <c r="C341" s="2">
        <v>209</v>
      </c>
      <c r="D341" s="2">
        <v>68473</v>
      </c>
      <c r="E341" s="2">
        <v>5387</v>
      </c>
      <c r="F341" s="2">
        <v>0.2263</v>
      </c>
      <c r="G341" s="2">
        <v>1.78E-2</v>
      </c>
      <c r="H341" s="2">
        <v>0.1915</v>
      </c>
      <c r="I341" s="2">
        <v>0.26119999999999999</v>
      </c>
      <c r="J341" s="2">
        <v>0.90149999999999997</v>
      </c>
      <c r="K341" s="2">
        <v>7.0099999999999996E-2</v>
      </c>
      <c r="L341" s="2">
        <v>0.7641</v>
      </c>
      <c r="M341" s="2">
        <v>1.0388999999999999</v>
      </c>
      <c r="O341" t="str">
        <f t="shared" si="79"/>
        <v>0.90 (0.76 to 1.04)</v>
      </c>
    </row>
    <row r="342" spans="1:15" ht="17.25" thickBot="1" x14ac:dyDescent="0.35">
      <c r="A342" s="6"/>
      <c r="B342" s="11" t="s">
        <v>153</v>
      </c>
      <c r="C342" s="2">
        <v>17828</v>
      </c>
      <c r="D342" s="2">
        <v>7595594</v>
      </c>
      <c r="E342" s="2">
        <v>80574</v>
      </c>
      <c r="F342" s="2">
        <v>25.107800000000001</v>
      </c>
      <c r="G342" s="2">
        <v>0.19489999999999999</v>
      </c>
      <c r="H342" s="2">
        <v>24.7257</v>
      </c>
      <c r="I342" s="2">
        <v>25.489899999999999</v>
      </c>
      <c r="J342" s="2">
        <v>100</v>
      </c>
      <c r="K342" s="2"/>
      <c r="L342" s="2"/>
      <c r="M342" s="2"/>
    </row>
    <row r="343" spans="1:15" ht="17.25" thickBot="1" x14ac:dyDescent="0.35">
      <c r="A343" s="6">
        <v>4</v>
      </c>
      <c r="B343" s="11">
        <v>0</v>
      </c>
      <c r="C343" s="2">
        <v>17779</v>
      </c>
      <c r="D343" s="2">
        <v>8004526</v>
      </c>
      <c r="E343" s="2">
        <v>85042</v>
      </c>
      <c r="F343" s="2">
        <v>26.459599999999998</v>
      </c>
      <c r="G343" s="2">
        <v>0.2104</v>
      </c>
      <c r="H343" s="2">
        <v>26.0471</v>
      </c>
      <c r="I343" s="2">
        <v>26.872</v>
      </c>
      <c r="J343" s="2">
        <v>98.981800000000007</v>
      </c>
      <c r="K343" s="2">
        <v>7.8299999999999995E-2</v>
      </c>
      <c r="L343" s="2">
        <v>98.828299999999999</v>
      </c>
      <c r="M343" s="2">
        <v>99.135199999999998</v>
      </c>
      <c r="O343" t="str">
        <f t="shared" ref="O343:O344" si="80">TEXT(J343,"0.00")&amp;" ("&amp;TEXT(L343,"0.00")&amp;" to "&amp;TEXT(M343,"0.00")&amp;")"</f>
        <v>98.98 (98.83 to 99.14)</v>
      </c>
    </row>
    <row r="344" spans="1:15" ht="17.25" thickBot="1" x14ac:dyDescent="0.35">
      <c r="A344" s="6"/>
      <c r="B344" s="11">
        <v>1</v>
      </c>
      <c r="C344" s="2">
        <v>249</v>
      </c>
      <c r="D344" s="2">
        <v>82341</v>
      </c>
      <c r="E344" s="2">
        <v>6396</v>
      </c>
      <c r="F344" s="2">
        <v>0.2722</v>
      </c>
      <c r="G344" s="2">
        <v>2.1100000000000001E-2</v>
      </c>
      <c r="H344" s="2">
        <v>0.23089999999999999</v>
      </c>
      <c r="I344" s="2">
        <v>0.3135</v>
      </c>
      <c r="J344" s="2">
        <v>1.0182</v>
      </c>
      <c r="K344" s="2">
        <v>7.8299999999999995E-2</v>
      </c>
      <c r="L344" s="2">
        <v>0.86480000000000001</v>
      </c>
      <c r="M344" s="2">
        <v>1.1717</v>
      </c>
      <c r="O344" t="str">
        <f t="shared" si="80"/>
        <v>1.02 (0.86 to 1.17)</v>
      </c>
    </row>
    <row r="345" spans="1:15" ht="17.25" thickBot="1" x14ac:dyDescent="0.35">
      <c r="A345" s="6"/>
      <c r="B345" s="11" t="s">
        <v>153</v>
      </c>
      <c r="C345" s="2">
        <v>18028</v>
      </c>
      <c r="D345" s="2">
        <v>8086868</v>
      </c>
      <c r="E345" s="2">
        <v>85733</v>
      </c>
      <c r="F345" s="2">
        <v>26.7317</v>
      </c>
      <c r="G345" s="2">
        <v>0.2117</v>
      </c>
      <c r="H345" s="2">
        <v>26.316600000000001</v>
      </c>
      <c r="I345" s="2">
        <v>27.146899999999999</v>
      </c>
      <c r="J345" s="2">
        <v>100</v>
      </c>
      <c r="K345" s="2"/>
      <c r="L345" s="2"/>
      <c r="M345" s="2"/>
    </row>
    <row r="346" spans="1:15" ht="17.25" thickBot="1" x14ac:dyDescent="0.35">
      <c r="A346" s="6" t="s">
        <v>153</v>
      </c>
      <c r="B346" s="11">
        <v>0</v>
      </c>
      <c r="C346" s="2">
        <v>67998</v>
      </c>
      <c r="D346" s="2">
        <v>30047789</v>
      </c>
      <c r="E346" s="2">
        <v>227796</v>
      </c>
      <c r="F346" s="2">
        <v>99.325199999999995</v>
      </c>
      <c r="G346" s="2">
        <v>3.1699999999999999E-2</v>
      </c>
      <c r="H346" s="2">
        <v>99.263000000000005</v>
      </c>
      <c r="I346" s="2">
        <v>99.387299999999996</v>
      </c>
      <c r="J346" s="2"/>
      <c r="K346" s="2"/>
      <c r="L346" s="2"/>
      <c r="M346" s="2"/>
    </row>
    <row r="347" spans="1:15" ht="17.25" thickBot="1" x14ac:dyDescent="0.35">
      <c r="A347" s="6"/>
      <c r="B347" s="11">
        <v>1</v>
      </c>
      <c r="C347" s="2">
        <v>637</v>
      </c>
      <c r="D347" s="2">
        <v>204146</v>
      </c>
      <c r="E347" s="2">
        <v>9654</v>
      </c>
      <c r="F347" s="2">
        <v>0.67479999999999996</v>
      </c>
      <c r="G347" s="2">
        <v>3.1699999999999999E-2</v>
      </c>
      <c r="H347" s="2">
        <v>0.61270000000000002</v>
      </c>
      <c r="I347" s="2">
        <v>0.73699999999999999</v>
      </c>
      <c r="J347" s="2"/>
      <c r="K347" s="2"/>
      <c r="L347" s="2"/>
      <c r="M347" s="2"/>
    </row>
    <row r="348" spans="1:15" x14ac:dyDescent="0.3">
      <c r="A348" s="6"/>
      <c r="B348" s="14" t="s">
        <v>153</v>
      </c>
      <c r="C348" s="2">
        <v>68635</v>
      </c>
      <c r="D348" s="2">
        <v>30251936</v>
      </c>
      <c r="E348" s="2">
        <v>228758</v>
      </c>
      <c r="F348" s="2">
        <v>100</v>
      </c>
      <c r="G348" s="2"/>
      <c r="H348" s="2"/>
      <c r="I348" s="2"/>
      <c r="J348" s="2"/>
      <c r="K348" s="2"/>
      <c r="L348" s="2"/>
      <c r="M348" s="2"/>
    </row>
    <row r="349" spans="1:15" ht="17.25" thickBot="1" x14ac:dyDescent="0.35"/>
    <row r="350" spans="1:15" ht="16.5" customHeight="1" x14ac:dyDescent="0.3">
      <c r="A350" s="16" t="s">
        <v>236</v>
      </c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</row>
    <row r="351" spans="1:15" ht="33" customHeight="1" x14ac:dyDescent="0.3">
      <c r="A351" s="17" t="s">
        <v>77</v>
      </c>
      <c r="B351" s="19" t="s">
        <v>20</v>
      </c>
      <c r="C351" s="19" t="s">
        <v>146</v>
      </c>
      <c r="D351" s="3" t="s">
        <v>147</v>
      </c>
      <c r="E351" s="3" t="s">
        <v>148</v>
      </c>
      <c r="F351" s="19" t="s">
        <v>150</v>
      </c>
      <c r="G351" s="3" t="s">
        <v>148</v>
      </c>
      <c r="H351" s="19" t="s">
        <v>151</v>
      </c>
      <c r="I351" s="19"/>
      <c r="J351" s="3" t="s">
        <v>170</v>
      </c>
      <c r="K351" s="3" t="s">
        <v>148</v>
      </c>
      <c r="L351" s="19" t="s">
        <v>151</v>
      </c>
      <c r="M351" s="19"/>
    </row>
    <row r="352" spans="1:15" ht="33" x14ac:dyDescent="0.3">
      <c r="A352" s="17"/>
      <c r="B352" s="19"/>
      <c r="C352" s="19"/>
      <c r="D352" s="3" t="s">
        <v>146</v>
      </c>
      <c r="E352" s="3" t="s">
        <v>149</v>
      </c>
      <c r="F352" s="19"/>
      <c r="G352" s="3" t="s">
        <v>150</v>
      </c>
      <c r="H352" s="19" t="s">
        <v>152</v>
      </c>
      <c r="I352" s="19"/>
      <c r="J352" s="3" t="s">
        <v>150</v>
      </c>
      <c r="K352" s="3" t="s">
        <v>171</v>
      </c>
      <c r="L352" s="19" t="s">
        <v>172</v>
      </c>
      <c r="M352" s="19"/>
    </row>
    <row r="353" spans="1:18" ht="17.25" thickBot="1" x14ac:dyDescent="0.35">
      <c r="A353" s="6">
        <v>1</v>
      </c>
      <c r="B353" s="11">
        <v>0</v>
      </c>
      <c r="C353" s="2">
        <v>15347</v>
      </c>
      <c r="D353" s="2">
        <v>7012748</v>
      </c>
      <c r="E353" s="2">
        <v>85453</v>
      </c>
      <c r="F353" s="2">
        <v>23.1812</v>
      </c>
      <c r="G353" s="2">
        <v>0.20830000000000001</v>
      </c>
      <c r="H353" s="2">
        <v>22.772600000000001</v>
      </c>
      <c r="I353" s="2">
        <v>23.589700000000001</v>
      </c>
      <c r="J353" s="2">
        <v>99.502099999999999</v>
      </c>
      <c r="K353" s="2">
        <v>5.6300000000000003E-2</v>
      </c>
      <c r="L353" s="2">
        <v>99.3917</v>
      </c>
      <c r="M353" s="2">
        <v>99.612399999999994</v>
      </c>
      <c r="O353" t="str">
        <f t="shared" ref="O353:O354" si="81">TEXT(J353,"0.00")&amp;" ("&amp;TEXT(L353,"0.00")&amp;" to "&amp;TEXT(M353,"0.00")&amp;")"</f>
        <v>99.50 (99.39 to 99.61)</v>
      </c>
      <c r="P353" t="str">
        <f>O356</f>
        <v>98.90 (98.74 to 99.06)</v>
      </c>
      <c r="Q353" t="str">
        <f>O359</f>
        <v>98.43 (98.25 to 98.61)</v>
      </c>
      <c r="R353" t="str">
        <f>O362</f>
        <v>98.26 (98.07 to 98.46)</v>
      </c>
    </row>
    <row r="354" spans="1:18" ht="17.25" thickBot="1" x14ac:dyDescent="0.35">
      <c r="A354" s="6"/>
      <c r="B354" s="11">
        <v>1</v>
      </c>
      <c r="C354" s="2">
        <v>110</v>
      </c>
      <c r="D354" s="2">
        <v>35093</v>
      </c>
      <c r="E354" s="2">
        <v>3988</v>
      </c>
      <c r="F354" s="2">
        <v>0.11600000000000001</v>
      </c>
      <c r="G354" s="2">
        <v>1.3100000000000001E-2</v>
      </c>
      <c r="H354" s="2">
        <v>9.0200000000000002E-2</v>
      </c>
      <c r="I354" s="2">
        <v>0.14180000000000001</v>
      </c>
      <c r="J354" s="2">
        <v>0.49790000000000001</v>
      </c>
      <c r="K354" s="2">
        <v>5.6300000000000003E-2</v>
      </c>
      <c r="L354" s="2">
        <v>0.3876</v>
      </c>
      <c r="M354" s="2">
        <v>0.60829999999999995</v>
      </c>
      <c r="O354" t="str">
        <f t="shared" si="81"/>
        <v>0.50 (0.39 to 0.61)</v>
      </c>
      <c r="P354" t="str">
        <f>O357</f>
        <v>1.10 (0.94 to 1.26)</v>
      </c>
      <c r="Q354" t="str">
        <f>O360</f>
        <v>1.57 (1.39 to 1.75)</v>
      </c>
      <c r="R354" t="str">
        <f>O363</f>
        <v>1.74 (1.54 to 1.93)</v>
      </c>
    </row>
    <row r="355" spans="1:18" ht="17.25" thickBot="1" x14ac:dyDescent="0.35">
      <c r="A355" s="6"/>
      <c r="B355" s="11" t="s">
        <v>153</v>
      </c>
      <c r="C355" s="2">
        <v>15457</v>
      </c>
      <c r="D355" s="2">
        <v>7047841</v>
      </c>
      <c r="E355" s="2">
        <v>85770</v>
      </c>
      <c r="F355" s="2">
        <v>23.2972</v>
      </c>
      <c r="G355" s="2">
        <v>0.20880000000000001</v>
      </c>
      <c r="H355" s="2">
        <v>22.887599999999999</v>
      </c>
      <c r="I355" s="2">
        <v>23.706700000000001</v>
      </c>
      <c r="J355" s="2">
        <v>100</v>
      </c>
      <c r="K355" s="2"/>
      <c r="L355" s="2"/>
      <c r="M355" s="2"/>
    </row>
    <row r="356" spans="1:18" ht="17.25" thickBot="1" x14ac:dyDescent="0.35">
      <c r="A356" s="6">
        <v>2</v>
      </c>
      <c r="B356" s="11">
        <v>0</v>
      </c>
      <c r="C356" s="2">
        <v>17058</v>
      </c>
      <c r="D356" s="2">
        <v>7438764</v>
      </c>
      <c r="E356" s="2">
        <v>81972</v>
      </c>
      <c r="F356" s="2">
        <v>24.589400000000001</v>
      </c>
      <c r="G356" s="2">
        <v>0.191</v>
      </c>
      <c r="H356" s="2">
        <v>24.2149</v>
      </c>
      <c r="I356" s="2">
        <v>24.963799999999999</v>
      </c>
      <c r="J356" s="2">
        <v>98.898300000000006</v>
      </c>
      <c r="K356" s="2">
        <v>8.1500000000000003E-2</v>
      </c>
      <c r="L356" s="2">
        <v>98.738399999999999</v>
      </c>
      <c r="M356" s="2">
        <v>99.058099999999996</v>
      </c>
      <c r="O356" t="str">
        <f t="shared" ref="O356:O357" si="82">TEXT(J356,"0.00")&amp;" ("&amp;TEXT(L356,"0.00")&amp;" to "&amp;TEXT(M356,"0.00")&amp;")"</f>
        <v>98.90 (98.74 to 99.06)</v>
      </c>
    </row>
    <row r="357" spans="1:18" ht="17.25" thickBot="1" x14ac:dyDescent="0.35">
      <c r="A357" s="6"/>
      <c r="B357" s="11">
        <v>1</v>
      </c>
      <c r="C357" s="2">
        <v>264</v>
      </c>
      <c r="D357" s="2">
        <v>82870</v>
      </c>
      <c r="E357" s="2">
        <v>6135</v>
      </c>
      <c r="F357" s="2">
        <v>0.27389999999999998</v>
      </c>
      <c r="G357" s="2">
        <v>2.0299999999999999E-2</v>
      </c>
      <c r="H357" s="2">
        <v>0.2341</v>
      </c>
      <c r="I357" s="2">
        <v>0.31369999999999998</v>
      </c>
      <c r="J357" s="2">
        <v>1.1016999999999999</v>
      </c>
      <c r="K357" s="2">
        <v>8.1500000000000003E-2</v>
      </c>
      <c r="L357" s="2">
        <v>0.94189999999999996</v>
      </c>
      <c r="M357" s="2">
        <v>1.2616000000000001</v>
      </c>
      <c r="O357" t="str">
        <f t="shared" si="82"/>
        <v>1.10 (0.94 to 1.26)</v>
      </c>
    </row>
    <row r="358" spans="1:18" ht="17.25" thickBot="1" x14ac:dyDescent="0.35">
      <c r="A358" s="6"/>
      <c r="B358" s="11" t="s">
        <v>153</v>
      </c>
      <c r="C358" s="2">
        <v>17322</v>
      </c>
      <c r="D358" s="2">
        <v>7521633</v>
      </c>
      <c r="E358" s="2">
        <v>82230</v>
      </c>
      <c r="F358" s="2">
        <v>24.863299999999999</v>
      </c>
      <c r="G358" s="2">
        <v>0.1913</v>
      </c>
      <c r="H358" s="2">
        <v>24.488199999999999</v>
      </c>
      <c r="I358" s="2">
        <v>25.238399999999999</v>
      </c>
      <c r="J358" s="2">
        <v>100</v>
      </c>
      <c r="K358" s="2"/>
      <c r="L358" s="2"/>
      <c r="M358" s="2"/>
    </row>
    <row r="359" spans="1:18" ht="17.25" thickBot="1" x14ac:dyDescent="0.35">
      <c r="A359" s="6">
        <v>3</v>
      </c>
      <c r="B359" s="11">
        <v>0</v>
      </c>
      <c r="C359" s="2">
        <v>17446</v>
      </c>
      <c r="D359" s="2">
        <v>7476144</v>
      </c>
      <c r="E359" s="2">
        <v>80197</v>
      </c>
      <c r="F359" s="2">
        <v>24.712900000000001</v>
      </c>
      <c r="G359" s="2">
        <v>0.19400000000000001</v>
      </c>
      <c r="H359" s="2">
        <v>24.332599999999999</v>
      </c>
      <c r="I359" s="2">
        <v>25.093299999999999</v>
      </c>
      <c r="J359" s="2">
        <v>98.427400000000006</v>
      </c>
      <c r="K359" s="2">
        <v>9.2399999999999996E-2</v>
      </c>
      <c r="L359" s="2">
        <v>98.246200000000002</v>
      </c>
      <c r="M359" s="2">
        <v>98.608599999999996</v>
      </c>
      <c r="O359" t="str">
        <f t="shared" ref="O359:O360" si="83">TEXT(J359,"0.00")&amp;" ("&amp;TEXT(L359,"0.00")&amp;" to "&amp;TEXT(M359,"0.00")&amp;")"</f>
        <v>98.43 (98.25 to 98.61)</v>
      </c>
    </row>
    <row r="360" spans="1:18" ht="17.25" thickBot="1" x14ac:dyDescent="0.35">
      <c r="A360" s="6"/>
      <c r="B360" s="11">
        <v>1</v>
      </c>
      <c r="C360" s="2">
        <v>382</v>
      </c>
      <c r="D360" s="2">
        <v>119450</v>
      </c>
      <c r="E360" s="2">
        <v>7027</v>
      </c>
      <c r="F360" s="2">
        <v>0.39479999999999998</v>
      </c>
      <c r="G360" s="2">
        <v>2.3300000000000001E-2</v>
      </c>
      <c r="H360" s="2">
        <v>0.34920000000000001</v>
      </c>
      <c r="I360" s="2">
        <v>0.4405</v>
      </c>
      <c r="J360" s="2">
        <v>1.5726</v>
      </c>
      <c r="K360" s="2">
        <v>9.2399999999999996E-2</v>
      </c>
      <c r="L360" s="2">
        <v>1.3914</v>
      </c>
      <c r="M360" s="2">
        <v>1.7538</v>
      </c>
      <c r="O360" t="str">
        <f t="shared" si="83"/>
        <v>1.57 (1.39 to 1.75)</v>
      </c>
    </row>
    <row r="361" spans="1:18" ht="17.25" thickBot="1" x14ac:dyDescent="0.35">
      <c r="A361" s="6"/>
      <c r="B361" s="11" t="s">
        <v>153</v>
      </c>
      <c r="C361" s="2">
        <v>17828</v>
      </c>
      <c r="D361" s="2">
        <v>7595594</v>
      </c>
      <c r="E361" s="2">
        <v>80574</v>
      </c>
      <c r="F361" s="2">
        <v>25.107800000000001</v>
      </c>
      <c r="G361" s="2">
        <v>0.19489999999999999</v>
      </c>
      <c r="H361" s="2">
        <v>24.7257</v>
      </c>
      <c r="I361" s="2">
        <v>25.489899999999999</v>
      </c>
      <c r="J361" s="2">
        <v>100</v>
      </c>
      <c r="K361" s="2"/>
      <c r="L361" s="2"/>
      <c r="M361" s="2"/>
    </row>
    <row r="362" spans="1:18" ht="17.25" thickBot="1" x14ac:dyDescent="0.35">
      <c r="A362" s="6">
        <v>4</v>
      </c>
      <c r="B362" s="11">
        <v>0</v>
      </c>
      <c r="C362" s="2">
        <v>17583</v>
      </c>
      <c r="D362" s="2">
        <v>7946535</v>
      </c>
      <c r="E362" s="2">
        <v>84594</v>
      </c>
      <c r="F362" s="2">
        <v>26.267900000000001</v>
      </c>
      <c r="G362" s="2">
        <v>0.2099</v>
      </c>
      <c r="H362" s="2">
        <v>25.856300000000001</v>
      </c>
      <c r="I362" s="2">
        <v>26.679400000000001</v>
      </c>
      <c r="J362" s="2">
        <v>98.264700000000005</v>
      </c>
      <c r="K362" s="2">
        <v>0.1003</v>
      </c>
      <c r="L362" s="2">
        <v>98.067999999999998</v>
      </c>
      <c r="M362" s="2">
        <v>98.461299999999994</v>
      </c>
      <c r="O362" t="str">
        <f t="shared" ref="O362:O363" si="84">TEXT(J362,"0.00")&amp;" ("&amp;TEXT(L362,"0.00")&amp;" to "&amp;TEXT(M362,"0.00")&amp;")"</f>
        <v>98.26 (98.07 to 98.46)</v>
      </c>
    </row>
    <row r="363" spans="1:18" ht="17.25" thickBot="1" x14ac:dyDescent="0.35">
      <c r="A363" s="6"/>
      <c r="B363" s="11">
        <v>1</v>
      </c>
      <c r="C363" s="2">
        <v>445</v>
      </c>
      <c r="D363" s="2">
        <v>140333</v>
      </c>
      <c r="E363" s="2">
        <v>8252</v>
      </c>
      <c r="F363" s="2">
        <v>0.46389999999999998</v>
      </c>
      <c r="G363" s="2">
        <v>2.7E-2</v>
      </c>
      <c r="H363" s="2">
        <v>0.41089999999999999</v>
      </c>
      <c r="I363" s="2">
        <v>0.51690000000000003</v>
      </c>
      <c r="J363" s="2">
        <v>1.7353000000000001</v>
      </c>
      <c r="K363" s="2">
        <v>0.1003</v>
      </c>
      <c r="L363" s="2">
        <v>1.5387</v>
      </c>
      <c r="M363" s="2">
        <v>1.9319999999999999</v>
      </c>
      <c r="O363" t="str">
        <f t="shared" si="84"/>
        <v>1.74 (1.54 to 1.93)</v>
      </c>
    </row>
    <row r="364" spans="1:18" ht="17.25" thickBot="1" x14ac:dyDescent="0.35">
      <c r="A364" s="6"/>
      <c r="B364" s="11" t="s">
        <v>153</v>
      </c>
      <c r="C364" s="2">
        <v>18028</v>
      </c>
      <c r="D364" s="2">
        <v>8086868</v>
      </c>
      <c r="E364" s="2">
        <v>85733</v>
      </c>
      <c r="F364" s="2">
        <v>26.7317</v>
      </c>
      <c r="G364" s="2">
        <v>0.2117</v>
      </c>
      <c r="H364" s="2">
        <v>26.316600000000001</v>
      </c>
      <c r="I364" s="2">
        <v>27.146899999999999</v>
      </c>
      <c r="J364" s="2">
        <v>100</v>
      </c>
      <c r="K364" s="2"/>
      <c r="L364" s="2"/>
      <c r="M364" s="2"/>
    </row>
    <row r="365" spans="1:18" ht="17.25" thickBot="1" x14ac:dyDescent="0.35">
      <c r="A365" s="6" t="s">
        <v>153</v>
      </c>
      <c r="B365" s="11">
        <v>0</v>
      </c>
      <c r="C365" s="2">
        <v>67434</v>
      </c>
      <c r="D365" s="2">
        <v>29874191</v>
      </c>
      <c r="E365" s="2">
        <v>227215</v>
      </c>
      <c r="F365" s="2">
        <v>98.751300000000001</v>
      </c>
      <c r="G365" s="2">
        <v>4.3299999999999998E-2</v>
      </c>
      <c r="H365" s="2">
        <v>98.666499999999999</v>
      </c>
      <c r="I365" s="2">
        <v>98.836200000000005</v>
      </c>
      <c r="J365" s="2"/>
      <c r="K365" s="2"/>
      <c r="L365" s="2"/>
      <c r="M365" s="2"/>
    </row>
    <row r="366" spans="1:18" ht="17.25" thickBot="1" x14ac:dyDescent="0.35">
      <c r="A366" s="6"/>
      <c r="B366" s="11">
        <v>1</v>
      </c>
      <c r="C366" s="2">
        <v>1201</v>
      </c>
      <c r="D366" s="2">
        <v>377745</v>
      </c>
      <c r="E366" s="2">
        <v>13202</v>
      </c>
      <c r="F366" s="2">
        <v>1.2486999999999999</v>
      </c>
      <c r="G366" s="2">
        <v>4.3299999999999998E-2</v>
      </c>
      <c r="H366" s="2">
        <v>1.1637999999999999</v>
      </c>
      <c r="I366" s="2">
        <v>1.3334999999999999</v>
      </c>
      <c r="J366" s="2"/>
      <c r="K366" s="2"/>
      <c r="L366" s="2"/>
      <c r="M366" s="2"/>
    </row>
    <row r="367" spans="1:18" x14ac:dyDescent="0.3">
      <c r="A367" s="6"/>
      <c r="B367" s="14" t="s">
        <v>153</v>
      </c>
      <c r="C367" s="2">
        <v>68635</v>
      </c>
      <c r="D367" s="2">
        <v>30251936</v>
      </c>
      <c r="E367" s="2">
        <v>228758</v>
      </c>
      <c r="F367" s="2">
        <v>100</v>
      </c>
      <c r="G367" s="2"/>
      <c r="H367" s="2"/>
      <c r="I367" s="2"/>
      <c r="J367" s="2"/>
      <c r="K367" s="2"/>
      <c r="L367" s="2"/>
      <c r="M367" s="2"/>
    </row>
  </sheetData>
  <autoFilter ref="B1:B367" xr:uid="{8CF1E065-6782-4D86-B355-59AA10E38420}"/>
  <mergeCells count="146">
    <mergeCell ref="A5:B5"/>
    <mergeCell ref="A11:B11"/>
    <mergeCell ref="A15:M15"/>
    <mergeCell ref="A16:A17"/>
    <mergeCell ref="B16:B17"/>
    <mergeCell ref="C16:C17"/>
    <mergeCell ref="F16:F17"/>
    <mergeCell ref="H16:I16"/>
    <mergeCell ref="L16:M16"/>
    <mergeCell ref="H17:I17"/>
    <mergeCell ref="L17:M17"/>
    <mergeCell ref="A39:M39"/>
    <mergeCell ref="A40:A41"/>
    <mergeCell ref="B40:B41"/>
    <mergeCell ref="C40:C41"/>
    <mergeCell ref="F40:F41"/>
    <mergeCell ref="H40:I40"/>
    <mergeCell ref="L40:M40"/>
    <mergeCell ref="H41:I41"/>
    <mergeCell ref="L41:M41"/>
    <mergeCell ref="A58:M58"/>
    <mergeCell ref="A59:A60"/>
    <mergeCell ref="B59:B60"/>
    <mergeCell ref="C59:C60"/>
    <mergeCell ref="F59:F60"/>
    <mergeCell ref="H59:I59"/>
    <mergeCell ref="L59:M59"/>
    <mergeCell ref="H60:I60"/>
    <mergeCell ref="L60:M60"/>
    <mergeCell ref="A77:M77"/>
    <mergeCell ref="A78:A79"/>
    <mergeCell ref="B78:B79"/>
    <mergeCell ref="C78:C79"/>
    <mergeCell ref="F78:F79"/>
    <mergeCell ref="H78:I78"/>
    <mergeCell ref="L78:M78"/>
    <mergeCell ref="H79:I79"/>
    <mergeCell ref="L79:M79"/>
    <mergeCell ref="A106:M106"/>
    <mergeCell ref="A107:A108"/>
    <mergeCell ref="B107:B108"/>
    <mergeCell ref="C107:C108"/>
    <mergeCell ref="F107:F108"/>
    <mergeCell ref="H107:I107"/>
    <mergeCell ref="L107:M107"/>
    <mergeCell ref="H108:I108"/>
    <mergeCell ref="L108:M108"/>
    <mergeCell ref="A135:M135"/>
    <mergeCell ref="A136:A137"/>
    <mergeCell ref="B136:B137"/>
    <mergeCell ref="C136:C137"/>
    <mergeCell ref="F136:F137"/>
    <mergeCell ref="H136:I136"/>
    <mergeCell ref="L136:M136"/>
    <mergeCell ref="H137:I137"/>
    <mergeCell ref="L137:M137"/>
    <mergeCell ref="A164:M164"/>
    <mergeCell ref="A165:A166"/>
    <mergeCell ref="B165:B166"/>
    <mergeCell ref="C165:C166"/>
    <mergeCell ref="F165:F166"/>
    <mergeCell ref="H165:I165"/>
    <mergeCell ref="L165:M165"/>
    <mergeCell ref="H166:I166"/>
    <mergeCell ref="L166:M166"/>
    <mergeCell ref="A183:M183"/>
    <mergeCell ref="A184:A185"/>
    <mergeCell ref="B184:B185"/>
    <mergeCell ref="C184:C185"/>
    <mergeCell ref="F184:F185"/>
    <mergeCell ref="H184:I184"/>
    <mergeCell ref="L184:M184"/>
    <mergeCell ref="H185:I185"/>
    <mergeCell ref="L185:M185"/>
    <mergeCell ref="A207:M207"/>
    <mergeCell ref="A208:A209"/>
    <mergeCell ref="B208:B209"/>
    <mergeCell ref="C208:C209"/>
    <mergeCell ref="F208:F209"/>
    <mergeCell ref="H208:I208"/>
    <mergeCell ref="L208:M208"/>
    <mergeCell ref="H209:I209"/>
    <mergeCell ref="L209:M209"/>
    <mergeCell ref="A231:M231"/>
    <mergeCell ref="A232:A233"/>
    <mergeCell ref="B232:B233"/>
    <mergeCell ref="C232:C233"/>
    <mergeCell ref="F232:F233"/>
    <mergeCell ref="H232:I232"/>
    <mergeCell ref="L232:M232"/>
    <mergeCell ref="H233:I233"/>
    <mergeCell ref="L233:M233"/>
    <mergeCell ref="A255:M255"/>
    <mergeCell ref="A256:A257"/>
    <mergeCell ref="B256:B257"/>
    <mergeCell ref="C256:C257"/>
    <mergeCell ref="F256:F257"/>
    <mergeCell ref="H256:I256"/>
    <mergeCell ref="L256:M256"/>
    <mergeCell ref="H257:I257"/>
    <mergeCell ref="L257:M257"/>
    <mergeCell ref="A274:M274"/>
    <mergeCell ref="A275:A276"/>
    <mergeCell ref="B275:B276"/>
    <mergeCell ref="C275:C276"/>
    <mergeCell ref="F275:F276"/>
    <mergeCell ref="H275:I275"/>
    <mergeCell ref="L275:M275"/>
    <mergeCell ref="H276:I276"/>
    <mergeCell ref="L276:M276"/>
    <mergeCell ref="A293:M293"/>
    <mergeCell ref="A294:A295"/>
    <mergeCell ref="B294:B295"/>
    <mergeCell ref="C294:C295"/>
    <mergeCell ref="F294:F295"/>
    <mergeCell ref="H294:I294"/>
    <mergeCell ref="L294:M294"/>
    <mergeCell ref="H295:I295"/>
    <mergeCell ref="L295:M295"/>
    <mergeCell ref="A312:M312"/>
    <mergeCell ref="A313:A314"/>
    <mergeCell ref="B313:B314"/>
    <mergeCell ref="C313:C314"/>
    <mergeCell ref="F313:F314"/>
    <mergeCell ref="H313:I313"/>
    <mergeCell ref="L313:M313"/>
    <mergeCell ref="H314:I314"/>
    <mergeCell ref="L314:M314"/>
    <mergeCell ref="A331:M331"/>
    <mergeCell ref="A332:A333"/>
    <mergeCell ref="B332:B333"/>
    <mergeCell ref="C332:C333"/>
    <mergeCell ref="F332:F333"/>
    <mergeCell ref="H332:I332"/>
    <mergeCell ref="L332:M332"/>
    <mergeCell ref="H333:I333"/>
    <mergeCell ref="L333:M333"/>
    <mergeCell ref="A350:M350"/>
    <mergeCell ref="A351:A352"/>
    <mergeCell ref="B351:B352"/>
    <mergeCell ref="C351:C352"/>
    <mergeCell ref="F351:F352"/>
    <mergeCell ref="H351:I351"/>
    <mergeCell ref="L351:M351"/>
    <mergeCell ref="H352:I352"/>
    <mergeCell ref="L352:M352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60099-A9BB-4F3E-A5A2-2E95C9BD13A8}">
  <dimension ref="A1:H36"/>
  <sheetViews>
    <sheetView topLeftCell="A11" workbookViewId="0">
      <selection activeCell="H18" sqref="H18"/>
    </sheetView>
  </sheetViews>
  <sheetFormatPr defaultRowHeight="16.5" x14ac:dyDescent="0.3"/>
  <cols>
    <col min="8" max="8" width="23.875" bestFit="1" customWidth="1"/>
  </cols>
  <sheetData>
    <row r="1" spans="1:6" x14ac:dyDescent="0.3">
      <c r="A1" s="1" t="s">
        <v>237</v>
      </c>
    </row>
    <row r="3" spans="1:6" x14ac:dyDescent="0.3">
      <c r="A3" s="1" t="s">
        <v>21</v>
      </c>
    </row>
    <row r="4" spans="1:6" ht="17.25" thickBot="1" x14ac:dyDescent="0.35"/>
    <row r="5" spans="1:6" ht="16.5" customHeight="1" x14ac:dyDescent="0.3">
      <c r="A5" s="16" t="s">
        <v>135</v>
      </c>
      <c r="B5" s="18"/>
    </row>
    <row r="6" spans="1:6" ht="26.25" thickBot="1" x14ac:dyDescent="0.35">
      <c r="A6" s="12" t="s">
        <v>136</v>
      </c>
      <c r="B6" s="2">
        <v>183</v>
      </c>
    </row>
    <row r="7" spans="1:6" ht="26.25" thickBot="1" x14ac:dyDescent="0.35">
      <c r="A7" s="12" t="s">
        <v>137</v>
      </c>
      <c r="B7" s="2">
        <v>2982</v>
      </c>
    </row>
    <row r="8" spans="1:6" ht="39" thickBot="1" x14ac:dyDescent="0.35">
      <c r="A8" s="12" t="s">
        <v>138</v>
      </c>
      <c r="B8" s="2">
        <v>68635</v>
      </c>
    </row>
    <row r="9" spans="1:6" ht="25.5" x14ac:dyDescent="0.3">
      <c r="A9" s="13" t="s">
        <v>139</v>
      </c>
      <c r="B9" s="2">
        <v>30251935.699999999</v>
      </c>
    </row>
    <row r="10" spans="1:6" ht="17.25" thickBot="1" x14ac:dyDescent="0.35"/>
    <row r="11" spans="1:6" ht="33" customHeight="1" x14ac:dyDescent="0.3">
      <c r="A11" s="16" t="s">
        <v>140</v>
      </c>
      <c r="B11" s="18"/>
    </row>
    <row r="12" spans="1:6" ht="33.75" thickBot="1" x14ac:dyDescent="0.35">
      <c r="A12" s="12" t="s">
        <v>141</v>
      </c>
      <c r="B12" s="2" t="s">
        <v>142</v>
      </c>
    </row>
    <row r="13" spans="1:6" ht="25.5" x14ac:dyDescent="0.3">
      <c r="A13" s="13" t="s">
        <v>143</v>
      </c>
      <c r="B13" s="2" t="s">
        <v>144</v>
      </c>
    </row>
    <row r="14" spans="1:6" ht="17.25" thickBot="1" x14ac:dyDescent="0.35"/>
    <row r="15" spans="1:6" ht="16.5" customHeight="1" x14ac:dyDescent="0.3">
      <c r="A15" s="16" t="s">
        <v>238</v>
      </c>
      <c r="B15" s="18"/>
      <c r="C15" s="18"/>
      <c r="D15" s="18"/>
      <c r="E15" s="18"/>
      <c r="F15" s="18"/>
    </row>
    <row r="16" spans="1:6" x14ac:dyDescent="0.3">
      <c r="A16" s="17" t="s">
        <v>239</v>
      </c>
      <c r="B16" s="19" t="s">
        <v>94</v>
      </c>
      <c r="C16" s="19" t="s">
        <v>240</v>
      </c>
      <c r="D16" s="3" t="s">
        <v>241</v>
      </c>
      <c r="E16" s="19" t="s">
        <v>243</v>
      </c>
      <c r="F16" s="19"/>
    </row>
    <row r="17" spans="1:8" x14ac:dyDescent="0.3">
      <c r="A17" s="17"/>
      <c r="B17" s="19"/>
      <c r="C17" s="19"/>
      <c r="D17" s="3" t="s">
        <v>242</v>
      </c>
      <c r="E17" s="19"/>
      <c r="F17" s="19"/>
    </row>
    <row r="18" spans="1:8" ht="17.25" thickBot="1" x14ac:dyDescent="0.35">
      <c r="A18" s="12" t="s">
        <v>99</v>
      </c>
      <c r="B18" s="2">
        <v>68635</v>
      </c>
      <c r="C18" s="2">
        <v>45.215848999999999</v>
      </c>
      <c r="D18" s="2">
        <v>0.103032</v>
      </c>
      <c r="E18" s="2">
        <v>45.013821999999998</v>
      </c>
      <c r="F18" s="2">
        <v>45.417876</v>
      </c>
      <c r="H18" t="str">
        <f>TEXT(C18,"0.00")&amp;" ("&amp;TEXT(E18,"0.00")&amp;" to "&amp;TEXT(F18,"0.00")&amp;")"</f>
        <v>45.22 (45.01 to 45.42)</v>
      </c>
    </row>
    <row r="19" spans="1:8" ht="17.25" thickBot="1" x14ac:dyDescent="0.35">
      <c r="A19" s="12" t="s">
        <v>100</v>
      </c>
      <c r="B19" s="2">
        <v>68635</v>
      </c>
      <c r="C19" s="2">
        <v>23.906639999999999</v>
      </c>
      <c r="D19" s="2">
        <v>1.8789E-2</v>
      </c>
      <c r="E19" s="2">
        <v>23.869799</v>
      </c>
      <c r="F19" s="2">
        <v>23.943480999999998</v>
      </c>
      <c r="H19" t="str">
        <f t="shared" ref="H19:H36" si="0">TEXT(C19,"0.00")&amp;" ("&amp;TEXT(E19,"0.00")&amp;" to "&amp;TEXT(F19,"0.00")&amp;")"</f>
        <v>23.91 (23.87 to 23.94)</v>
      </c>
    </row>
    <row r="20" spans="1:8" ht="17.25" thickBot="1" x14ac:dyDescent="0.35">
      <c r="A20" s="12" t="s">
        <v>101</v>
      </c>
      <c r="B20" s="2">
        <v>68635</v>
      </c>
      <c r="C20" s="2">
        <v>82.309263999999999</v>
      </c>
      <c r="D20" s="2">
        <v>5.8243999999999997E-2</v>
      </c>
      <c r="E20" s="2">
        <v>82.195058000000003</v>
      </c>
      <c r="F20" s="2">
        <v>82.423469999999995</v>
      </c>
      <c r="H20" t="str">
        <f t="shared" si="0"/>
        <v>82.31 (82.20 to 82.42)</v>
      </c>
    </row>
    <row r="21" spans="1:8" ht="17.25" thickBot="1" x14ac:dyDescent="0.35">
      <c r="A21" s="12" t="s">
        <v>102</v>
      </c>
      <c r="B21" s="2">
        <v>68635</v>
      </c>
      <c r="C21" s="2">
        <v>7.7218999999999996E-2</v>
      </c>
      <c r="D21" s="2">
        <v>3.3868999999999997E-5</v>
      </c>
      <c r="E21" s="2">
        <v>7.7151999999999998E-2</v>
      </c>
      <c r="F21" s="2">
        <v>7.7285000000000006E-2</v>
      </c>
      <c r="H21" t="str">
        <f t="shared" si="0"/>
        <v>0.08 (0.08 to 0.08)</v>
      </c>
    </row>
    <row r="22" spans="1:8" ht="17.25" thickBot="1" x14ac:dyDescent="0.35">
      <c r="A22" s="12" t="s">
        <v>103</v>
      </c>
      <c r="B22" s="2">
        <v>68635</v>
      </c>
      <c r="C22" s="2">
        <v>117.211527</v>
      </c>
      <c r="D22" s="2">
        <v>9.3200000000000005E-2</v>
      </c>
      <c r="E22" s="2">
        <v>117.02878</v>
      </c>
      <c r="F22" s="2">
        <v>117.39427499999999</v>
      </c>
      <c r="H22" t="str">
        <f t="shared" si="0"/>
        <v>117.21 (117.03 to 117.39)</v>
      </c>
    </row>
    <row r="23" spans="1:8" ht="17.25" thickBot="1" x14ac:dyDescent="0.35">
      <c r="A23" s="12" t="s">
        <v>104</v>
      </c>
      <c r="B23" s="2">
        <v>68635</v>
      </c>
      <c r="C23" s="2">
        <v>98.459008999999995</v>
      </c>
      <c r="D23" s="2">
        <v>0.106819</v>
      </c>
      <c r="E23" s="2">
        <v>98.249557999999993</v>
      </c>
      <c r="F23" s="2">
        <v>98.668460999999994</v>
      </c>
      <c r="H23" t="str">
        <f t="shared" si="0"/>
        <v>98.46 (98.25 to 98.67)</v>
      </c>
    </row>
    <row r="24" spans="1:8" ht="17.25" thickBot="1" x14ac:dyDescent="0.35">
      <c r="A24" s="12" t="s">
        <v>105</v>
      </c>
      <c r="B24" s="2">
        <v>68635</v>
      </c>
      <c r="C24" s="2">
        <v>189.97627499999999</v>
      </c>
      <c r="D24" s="2">
        <v>0.19037399999999999</v>
      </c>
      <c r="E24" s="2">
        <v>189.60298700000001</v>
      </c>
      <c r="F24" s="2">
        <v>190.34956299999999</v>
      </c>
      <c r="H24" t="str">
        <f t="shared" si="0"/>
        <v>189.98 (189.60 to 190.35)</v>
      </c>
    </row>
    <row r="25" spans="1:8" ht="26.25" thickBot="1" x14ac:dyDescent="0.35">
      <c r="A25" s="12" t="s">
        <v>106</v>
      </c>
      <c r="B25" s="2">
        <v>68635</v>
      </c>
      <c r="C25" s="2">
        <v>51.295228999999999</v>
      </c>
      <c r="D25" s="2">
        <v>6.8338999999999997E-2</v>
      </c>
      <c r="E25" s="2">
        <v>51.161228000000001</v>
      </c>
      <c r="F25" s="2">
        <v>51.429229999999997</v>
      </c>
      <c r="H25" t="str">
        <f t="shared" si="0"/>
        <v>51.30 (51.16 to 51.43)</v>
      </c>
    </row>
    <row r="26" spans="1:8" ht="17.25" thickBot="1" x14ac:dyDescent="0.35">
      <c r="A26" s="12" t="s">
        <v>107</v>
      </c>
      <c r="B26" s="2">
        <v>68635</v>
      </c>
      <c r="C26" s="2">
        <v>135.18561800000001</v>
      </c>
      <c r="D26" s="2">
        <v>0.58354700000000004</v>
      </c>
      <c r="E26" s="2">
        <v>134.041391</v>
      </c>
      <c r="F26" s="2">
        <v>136.32984400000001</v>
      </c>
      <c r="H26" t="str">
        <f t="shared" si="0"/>
        <v>135.19 (134.04 to 136.33)</v>
      </c>
    </row>
    <row r="27" spans="1:8" ht="17.25" thickBot="1" x14ac:dyDescent="0.35">
      <c r="A27" s="12" t="s">
        <v>108</v>
      </c>
      <c r="B27" s="2">
        <v>68635</v>
      </c>
      <c r="C27" s="2">
        <v>23.221723000000001</v>
      </c>
      <c r="D27" s="2">
        <v>6.7901000000000003E-2</v>
      </c>
      <c r="E27" s="2">
        <v>23.088581999999999</v>
      </c>
      <c r="F27" s="2">
        <v>23.354863000000002</v>
      </c>
      <c r="H27" t="str">
        <f t="shared" si="0"/>
        <v>23.22 (23.09 to 23.35)</v>
      </c>
    </row>
    <row r="28" spans="1:8" ht="17.25" thickBot="1" x14ac:dyDescent="0.35">
      <c r="A28" s="12" t="s">
        <v>109</v>
      </c>
      <c r="B28" s="2">
        <v>68635</v>
      </c>
      <c r="C28" s="2">
        <v>23.406745000000001</v>
      </c>
      <c r="D28" s="2">
        <v>0.100787</v>
      </c>
      <c r="E28" s="2">
        <v>23.209121</v>
      </c>
      <c r="F28" s="2">
        <v>23.604368000000001</v>
      </c>
      <c r="H28" t="str">
        <f t="shared" si="0"/>
        <v>23.41 (23.21 to 23.60)</v>
      </c>
    </row>
    <row r="29" spans="1:8" ht="17.25" thickBot="1" x14ac:dyDescent="0.35">
      <c r="A29" s="12" t="s">
        <v>110</v>
      </c>
      <c r="B29" s="2">
        <v>68635</v>
      </c>
      <c r="C29" s="2">
        <v>14.283529</v>
      </c>
      <c r="D29" s="2">
        <v>7.8530000000000006E-3</v>
      </c>
      <c r="E29" s="2">
        <v>14.268129999999999</v>
      </c>
      <c r="F29" s="2">
        <v>14.298928</v>
      </c>
      <c r="H29" t="str">
        <f t="shared" si="0"/>
        <v>14.28 (14.27 to 14.30)</v>
      </c>
    </row>
    <row r="30" spans="1:8" ht="17.25" thickBot="1" x14ac:dyDescent="0.35">
      <c r="A30" s="12" t="s">
        <v>111</v>
      </c>
      <c r="B30" s="2">
        <v>68635</v>
      </c>
      <c r="C30" s="2">
        <v>14.213467</v>
      </c>
      <c r="D30" s="2">
        <v>2.3168000000000001E-2</v>
      </c>
      <c r="E30" s="2">
        <v>14.16804</v>
      </c>
      <c r="F30" s="2">
        <v>14.258894</v>
      </c>
      <c r="H30" t="str">
        <f t="shared" si="0"/>
        <v>14.21 (14.17 to 14.26)</v>
      </c>
    </row>
    <row r="31" spans="1:8" ht="17.25" thickBot="1" x14ac:dyDescent="0.35">
      <c r="A31" s="12" t="s">
        <v>112</v>
      </c>
      <c r="B31" s="2">
        <v>68635</v>
      </c>
      <c r="C31" s="2">
        <v>0.84737099999999999</v>
      </c>
      <c r="D31" s="2">
        <v>1.214E-3</v>
      </c>
      <c r="E31" s="2">
        <v>0.84499000000000002</v>
      </c>
      <c r="F31" s="2">
        <v>0.84975199999999995</v>
      </c>
      <c r="H31" t="str">
        <f t="shared" si="0"/>
        <v>0.85 (0.84 to 0.85)</v>
      </c>
    </row>
    <row r="32" spans="1:8" ht="17.25" thickBot="1" x14ac:dyDescent="0.35">
      <c r="A32" s="12" t="s">
        <v>113</v>
      </c>
      <c r="B32" s="2">
        <v>68635</v>
      </c>
      <c r="C32" s="2">
        <v>5.7589550000000003</v>
      </c>
      <c r="D32" s="2">
        <v>4.032E-3</v>
      </c>
      <c r="E32" s="2">
        <v>5.7510500000000002</v>
      </c>
      <c r="F32" s="2">
        <v>5.7668609999999996</v>
      </c>
      <c r="H32" t="str">
        <f t="shared" si="0"/>
        <v>5.76 (5.75 to 5.77)</v>
      </c>
    </row>
    <row r="33" spans="1:8" ht="17.25" thickBot="1" x14ac:dyDescent="0.35">
      <c r="A33" s="12" t="s">
        <v>114</v>
      </c>
      <c r="B33" s="2">
        <v>68635</v>
      </c>
      <c r="C33" s="2">
        <v>8.5827570000000009</v>
      </c>
      <c r="D33" s="2">
        <v>3.4259999999999998E-3</v>
      </c>
      <c r="E33" s="2">
        <v>8.5760380000000005</v>
      </c>
      <c r="F33" s="2">
        <v>8.5894750000000002</v>
      </c>
      <c r="H33" t="str">
        <f t="shared" si="0"/>
        <v>8.58 (8.58 to 8.59)</v>
      </c>
    </row>
    <row r="34" spans="1:8" ht="17.25" thickBot="1" x14ac:dyDescent="0.35">
      <c r="A34" s="12" t="s">
        <v>115</v>
      </c>
      <c r="B34" s="2">
        <v>68635</v>
      </c>
      <c r="C34" s="2">
        <v>0.66370899999999999</v>
      </c>
      <c r="D34" s="2">
        <v>4.4099999999999999E-4</v>
      </c>
      <c r="E34" s="2">
        <v>0.66284399999999999</v>
      </c>
      <c r="F34" s="2">
        <v>0.66457299999999997</v>
      </c>
      <c r="H34" t="str">
        <f t="shared" si="0"/>
        <v>0.66 (0.66 to 0.66)</v>
      </c>
    </row>
    <row r="35" spans="1:8" ht="17.25" thickBot="1" x14ac:dyDescent="0.35">
      <c r="A35" s="12" t="s">
        <v>116</v>
      </c>
      <c r="B35" s="2">
        <v>68635</v>
      </c>
      <c r="C35" s="2">
        <v>0.34523599999999999</v>
      </c>
      <c r="D35" s="2">
        <v>1.6490000000000001E-3</v>
      </c>
      <c r="E35" s="2">
        <v>0.34200199999999997</v>
      </c>
      <c r="F35" s="2">
        <v>0.34847</v>
      </c>
      <c r="H35" t="str">
        <f t="shared" si="0"/>
        <v>0.35 (0.34 to 0.35)</v>
      </c>
    </row>
    <row r="36" spans="1:8" x14ac:dyDescent="0.3">
      <c r="A36" s="13" t="s">
        <v>117</v>
      </c>
      <c r="B36" s="2">
        <v>68635</v>
      </c>
      <c r="C36" s="2">
        <v>35.601097000000003</v>
      </c>
      <c r="D36" s="2">
        <v>3.8943999999999999E-2</v>
      </c>
      <c r="E36" s="2">
        <v>35.524735999999997</v>
      </c>
      <c r="F36" s="2">
        <v>35.677458000000001</v>
      </c>
      <c r="H36" t="str">
        <f t="shared" si="0"/>
        <v>35.60 (35.52 to 35.68)</v>
      </c>
    </row>
  </sheetData>
  <mergeCells count="7">
    <mergeCell ref="A5:B5"/>
    <mergeCell ref="A11:B11"/>
    <mergeCell ref="A15:F15"/>
    <mergeCell ref="A16:A17"/>
    <mergeCell ref="B16:B17"/>
    <mergeCell ref="C16:C17"/>
    <mergeCell ref="E16:F17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999E-F8B9-497B-9563-E6FFB4F1C8B3}">
  <dimension ref="A1:I83"/>
  <sheetViews>
    <sheetView topLeftCell="A4" workbookViewId="0">
      <selection activeCell="K14" sqref="K14"/>
    </sheetView>
  </sheetViews>
  <sheetFormatPr defaultRowHeight="16.5" x14ac:dyDescent="0.3"/>
  <cols>
    <col min="9" max="9" width="23.875" bestFit="1" customWidth="1"/>
  </cols>
  <sheetData>
    <row r="1" spans="1:9" x14ac:dyDescent="0.3">
      <c r="A1" s="1" t="s">
        <v>237</v>
      </c>
    </row>
    <row r="3" spans="1:9" x14ac:dyDescent="0.3">
      <c r="A3" s="1" t="s">
        <v>21</v>
      </c>
    </row>
    <row r="4" spans="1:9" ht="17.25" thickBot="1" x14ac:dyDescent="0.35"/>
    <row r="5" spans="1:9" ht="16.5" customHeight="1" x14ac:dyDescent="0.3">
      <c r="A5" s="16" t="s">
        <v>244</v>
      </c>
      <c r="B5" s="18"/>
      <c r="C5" s="18"/>
      <c r="D5" s="18"/>
      <c r="E5" s="18"/>
      <c r="F5" s="18"/>
      <c r="G5" s="18"/>
    </row>
    <row r="6" spans="1:9" x14ac:dyDescent="0.3">
      <c r="A6" s="17" t="s">
        <v>25</v>
      </c>
      <c r="B6" s="19" t="s">
        <v>239</v>
      </c>
      <c r="C6" s="19" t="s">
        <v>94</v>
      </c>
      <c r="D6" s="19" t="s">
        <v>240</v>
      </c>
      <c r="E6" s="3" t="s">
        <v>241</v>
      </c>
      <c r="F6" s="19" t="s">
        <v>243</v>
      </c>
      <c r="G6" s="19"/>
    </row>
    <row r="7" spans="1:9" x14ac:dyDescent="0.3">
      <c r="A7" s="17"/>
      <c r="B7" s="19"/>
      <c r="C7" s="19"/>
      <c r="D7" s="19"/>
      <c r="E7" s="3" t="s">
        <v>242</v>
      </c>
      <c r="F7" s="19"/>
      <c r="G7" s="19"/>
    </row>
    <row r="8" spans="1:9" ht="17.25" thickBot="1" x14ac:dyDescent="0.35">
      <c r="A8" s="6">
        <v>1</v>
      </c>
      <c r="B8" s="11" t="s">
        <v>99</v>
      </c>
      <c r="C8" s="2">
        <v>16281</v>
      </c>
      <c r="D8" s="2">
        <v>38.842078000000001</v>
      </c>
      <c r="E8" s="2">
        <v>0.14375499999999999</v>
      </c>
      <c r="F8" s="2">
        <v>38.560200999999999</v>
      </c>
      <c r="G8" s="2">
        <v>39.123953999999998</v>
      </c>
      <c r="I8" t="str">
        <f>TEXT(D8,"0.00")&amp;" ("&amp;TEXT(F8,"0.00")&amp;" to "&amp;TEXT(G8,"0.00")&amp;")"</f>
        <v>38.84 (38.56 to 39.12)</v>
      </c>
    </row>
    <row r="9" spans="1:9" ht="17.25" thickBot="1" x14ac:dyDescent="0.35">
      <c r="A9" s="6"/>
      <c r="B9" s="11" t="s">
        <v>100</v>
      </c>
      <c r="C9" s="2">
        <v>16281</v>
      </c>
      <c r="D9" s="2">
        <v>21.999523</v>
      </c>
      <c r="E9" s="2">
        <v>2.9989999999999999E-2</v>
      </c>
      <c r="F9" s="2">
        <v>21.940716999999999</v>
      </c>
      <c r="G9" s="2">
        <v>22.058327999999999</v>
      </c>
      <c r="I9" t="str">
        <f t="shared" ref="I9:I72" si="0">TEXT(D9,"0.00")&amp;" ("&amp;TEXT(F9,"0.00")&amp;" to "&amp;TEXT(G9,"0.00")&amp;")"</f>
        <v>22.00 (21.94 to 22.06)</v>
      </c>
    </row>
    <row r="10" spans="1:9" ht="17.25" thickBot="1" x14ac:dyDescent="0.35">
      <c r="A10" s="6"/>
      <c r="B10" s="11" t="s">
        <v>101</v>
      </c>
      <c r="C10" s="2">
        <v>16281</v>
      </c>
      <c r="D10" s="2">
        <v>75.449016999999998</v>
      </c>
      <c r="E10" s="2">
        <v>9.1878000000000001E-2</v>
      </c>
      <c r="F10" s="2">
        <v>75.268861999999999</v>
      </c>
      <c r="G10" s="2">
        <v>75.629170999999999</v>
      </c>
      <c r="I10" t="str">
        <f t="shared" si="0"/>
        <v>75.45 (75.27 to 75.63)</v>
      </c>
    </row>
    <row r="11" spans="1:9" ht="17.25" thickBot="1" x14ac:dyDescent="0.35">
      <c r="A11" s="6"/>
      <c r="B11" s="11" t="s">
        <v>102</v>
      </c>
      <c r="C11" s="2">
        <v>16281</v>
      </c>
      <c r="D11" s="2">
        <v>7.5088000000000002E-2</v>
      </c>
      <c r="E11" s="2">
        <v>4.7676000000000002E-5</v>
      </c>
      <c r="F11" s="2">
        <v>7.4995000000000006E-2</v>
      </c>
      <c r="G11" s="2">
        <v>7.5180999999999998E-2</v>
      </c>
      <c r="I11" t="str">
        <f t="shared" si="0"/>
        <v>0.08 (0.07 to 0.08)</v>
      </c>
    </row>
    <row r="12" spans="1:9" ht="17.25" thickBot="1" x14ac:dyDescent="0.35">
      <c r="A12" s="6"/>
      <c r="B12" s="11" t="s">
        <v>103</v>
      </c>
      <c r="C12" s="2">
        <v>16281</v>
      </c>
      <c r="D12" s="2">
        <v>110.245445</v>
      </c>
      <c r="E12" s="2">
        <v>0.131943</v>
      </c>
      <c r="F12" s="2">
        <v>109.986729</v>
      </c>
      <c r="G12" s="2">
        <v>110.50416</v>
      </c>
      <c r="I12" t="str">
        <f t="shared" si="0"/>
        <v>110.25 (109.99 to 110.50)</v>
      </c>
    </row>
    <row r="13" spans="1:9" ht="17.25" thickBot="1" x14ac:dyDescent="0.35">
      <c r="A13" s="6"/>
      <c r="B13" s="11" t="s">
        <v>104</v>
      </c>
      <c r="C13" s="2">
        <v>16281</v>
      </c>
      <c r="D13" s="2">
        <v>88.849621999999997</v>
      </c>
      <c r="E13" s="2">
        <v>8.1923999999999997E-2</v>
      </c>
      <c r="F13" s="2">
        <v>88.688984000000005</v>
      </c>
      <c r="G13" s="2">
        <v>89.010260000000002</v>
      </c>
      <c r="I13" t="str">
        <f t="shared" si="0"/>
        <v>88.85 (88.69 to 89.01)</v>
      </c>
    </row>
    <row r="14" spans="1:9" ht="17.25" thickBot="1" x14ac:dyDescent="0.35">
      <c r="A14" s="6"/>
      <c r="B14" s="11" t="s">
        <v>105</v>
      </c>
      <c r="C14" s="2">
        <v>16281</v>
      </c>
      <c r="D14" s="2">
        <v>176.14336800000001</v>
      </c>
      <c r="E14" s="2">
        <v>0.30329600000000001</v>
      </c>
      <c r="F14" s="2">
        <v>175.54866100000001</v>
      </c>
      <c r="G14" s="2">
        <v>176.73807400000001</v>
      </c>
      <c r="I14" t="str">
        <f t="shared" si="0"/>
        <v>176.14 (175.55 to 176.74)</v>
      </c>
    </row>
    <row r="15" spans="1:9" ht="26.25" thickBot="1" x14ac:dyDescent="0.35">
      <c r="A15" s="6"/>
      <c r="B15" s="11" t="s">
        <v>106</v>
      </c>
      <c r="C15" s="2">
        <v>16281</v>
      </c>
      <c r="D15" s="2">
        <v>59.098979</v>
      </c>
      <c r="E15" s="2">
        <v>0.126439</v>
      </c>
      <c r="F15" s="2">
        <v>58.851056</v>
      </c>
      <c r="G15" s="2">
        <v>59.346902999999998</v>
      </c>
      <c r="I15" t="str">
        <f t="shared" si="0"/>
        <v>59.10 (58.85 to 59.35)</v>
      </c>
    </row>
    <row r="16" spans="1:9" ht="17.25" thickBot="1" x14ac:dyDescent="0.35">
      <c r="A16" s="6"/>
      <c r="B16" s="11" t="s">
        <v>107</v>
      </c>
      <c r="C16" s="2">
        <v>16281</v>
      </c>
      <c r="D16" s="2">
        <v>55.544635</v>
      </c>
      <c r="E16" s="2">
        <v>0.11718099999999999</v>
      </c>
      <c r="F16" s="2">
        <v>55.314864</v>
      </c>
      <c r="G16" s="2">
        <v>55.774405000000002</v>
      </c>
      <c r="I16" t="str">
        <f t="shared" si="0"/>
        <v>55.54 (55.31 to 55.77)</v>
      </c>
    </row>
    <row r="17" spans="1:9" ht="17.25" thickBot="1" x14ac:dyDescent="0.35">
      <c r="A17" s="6"/>
      <c r="B17" s="11" t="s">
        <v>108</v>
      </c>
      <c r="C17" s="2">
        <v>16281</v>
      </c>
      <c r="D17" s="2">
        <v>20.309172</v>
      </c>
      <c r="E17" s="2">
        <v>0.109959</v>
      </c>
      <c r="F17" s="2">
        <v>20.093564000000001</v>
      </c>
      <c r="G17" s="2">
        <v>20.524781000000001</v>
      </c>
      <c r="I17" t="str">
        <f t="shared" si="0"/>
        <v>20.31 (20.09 to 20.52)</v>
      </c>
    </row>
    <row r="18" spans="1:9" ht="17.25" thickBot="1" x14ac:dyDescent="0.35">
      <c r="A18" s="6"/>
      <c r="B18" s="11" t="s">
        <v>109</v>
      </c>
      <c r="C18" s="2">
        <v>16281</v>
      </c>
      <c r="D18" s="2">
        <v>16.686736</v>
      </c>
      <c r="E18" s="2">
        <v>0.119771</v>
      </c>
      <c r="F18" s="2">
        <v>16.451888</v>
      </c>
      <c r="G18" s="2">
        <v>16.921583999999999</v>
      </c>
      <c r="I18" t="str">
        <f t="shared" si="0"/>
        <v>16.69 (16.45 to 16.92)</v>
      </c>
    </row>
    <row r="19" spans="1:9" ht="17.25" thickBot="1" x14ac:dyDescent="0.35">
      <c r="A19" s="6"/>
      <c r="B19" s="11" t="s">
        <v>110</v>
      </c>
      <c r="C19" s="2">
        <v>16281</v>
      </c>
      <c r="D19" s="2">
        <v>13.653593000000001</v>
      </c>
      <c r="E19" s="2">
        <v>1.5247E-2</v>
      </c>
      <c r="F19" s="2">
        <v>13.623695</v>
      </c>
      <c r="G19" s="2">
        <v>13.683490000000001</v>
      </c>
      <c r="I19" t="str">
        <f t="shared" si="0"/>
        <v>13.65 (13.62 to 13.68)</v>
      </c>
    </row>
    <row r="20" spans="1:9" ht="17.25" thickBot="1" x14ac:dyDescent="0.35">
      <c r="A20" s="6"/>
      <c r="B20" s="11" t="s">
        <v>111</v>
      </c>
      <c r="C20" s="2">
        <v>16281</v>
      </c>
      <c r="D20" s="2">
        <v>13.737614000000001</v>
      </c>
      <c r="E20" s="2">
        <v>4.0069E-2</v>
      </c>
      <c r="F20" s="2">
        <v>13.659046</v>
      </c>
      <c r="G20" s="2">
        <v>13.816181</v>
      </c>
      <c r="I20" t="str">
        <f t="shared" si="0"/>
        <v>13.74 (13.66 to 13.82)</v>
      </c>
    </row>
    <row r="21" spans="1:9" ht="17.25" thickBot="1" x14ac:dyDescent="0.35">
      <c r="A21" s="6"/>
      <c r="B21" s="11" t="s">
        <v>112</v>
      </c>
      <c r="C21" s="2">
        <v>16281</v>
      </c>
      <c r="D21" s="2">
        <v>0.79220800000000002</v>
      </c>
      <c r="E21" s="2">
        <v>2.454E-3</v>
      </c>
      <c r="F21" s="2">
        <v>0.78739599999999998</v>
      </c>
      <c r="G21" s="2">
        <v>0.79701999999999995</v>
      </c>
      <c r="I21" t="str">
        <f t="shared" si="0"/>
        <v>0.79 (0.79 to 0.80)</v>
      </c>
    </row>
    <row r="22" spans="1:9" ht="17.25" thickBot="1" x14ac:dyDescent="0.35">
      <c r="A22" s="6"/>
      <c r="B22" s="11" t="s">
        <v>113</v>
      </c>
      <c r="C22" s="2">
        <v>16281</v>
      </c>
      <c r="D22" s="2">
        <v>5.8123940000000003</v>
      </c>
      <c r="E22" s="2">
        <v>7.3709999999999999E-3</v>
      </c>
      <c r="F22" s="2">
        <v>5.7979409999999998</v>
      </c>
      <c r="G22" s="2">
        <v>5.8268459999999997</v>
      </c>
      <c r="I22" t="str">
        <f t="shared" si="0"/>
        <v>5.81 (5.80 to 5.83)</v>
      </c>
    </row>
    <row r="23" spans="1:9" ht="17.25" thickBot="1" x14ac:dyDescent="0.35">
      <c r="A23" s="6"/>
      <c r="B23" s="11" t="s">
        <v>114</v>
      </c>
      <c r="C23" s="2">
        <v>16281</v>
      </c>
      <c r="D23" s="2">
        <v>7.7801270000000002</v>
      </c>
      <c r="E23" s="2">
        <v>2.3159999999999999E-3</v>
      </c>
      <c r="F23" s="2">
        <v>7.7755850000000004</v>
      </c>
      <c r="G23" s="2">
        <v>7.7846690000000001</v>
      </c>
      <c r="I23" t="str">
        <f t="shared" si="0"/>
        <v>7.78 (7.78 to 7.78)</v>
      </c>
    </row>
    <row r="24" spans="1:9" ht="17.25" thickBot="1" x14ac:dyDescent="0.35">
      <c r="A24" s="6"/>
      <c r="B24" s="11" t="s">
        <v>115</v>
      </c>
      <c r="C24" s="2">
        <v>16281</v>
      </c>
      <c r="D24" s="2">
        <v>0.58435099999999995</v>
      </c>
      <c r="E24" s="2">
        <v>4.2700000000000002E-4</v>
      </c>
      <c r="F24" s="2">
        <v>0.58351500000000001</v>
      </c>
      <c r="G24" s="2">
        <v>0.58518700000000001</v>
      </c>
      <c r="I24" t="str">
        <f t="shared" si="0"/>
        <v>0.58 (0.58 to 0.59)</v>
      </c>
    </row>
    <row r="25" spans="1:9" ht="17.25" thickBot="1" x14ac:dyDescent="0.35">
      <c r="A25" s="6"/>
      <c r="B25" s="11" t="s">
        <v>116</v>
      </c>
      <c r="C25" s="2">
        <v>16281</v>
      </c>
      <c r="D25" s="15">
        <v>-2.8729999999999999E-2</v>
      </c>
      <c r="E25" s="2">
        <v>1.428E-3</v>
      </c>
      <c r="F25" s="15">
        <v>-3.1530000000000002E-2</v>
      </c>
      <c r="G25" s="15">
        <v>-2.5930000000000002E-2</v>
      </c>
      <c r="I25" t="str">
        <f t="shared" si="0"/>
        <v>-0.03 (-0.03 to -0.03)</v>
      </c>
    </row>
    <row r="26" spans="1:9" ht="17.25" thickBot="1" x14ac:dyDescent="0.35">
      <c r="A26" s="6"/>
      <c r="B26" s="11" t="s">
        <v>117</v>
      </c>
      <c r="C26" s="2">
        <v>16281</v>
      </c>
      <c r="D26" s="2">
        <v>29.689802</v>
      </c>
      <c r="E26" s="2">
        <v>4.7718000000000003E-2</v>
      </c>
      <c r="F26" s="2">
        <v>29.596236999999999</v>
      </c>
      <c r="G26" s="2">
        <v>29.783366999999998</v>
      </c>
      <c r="I26" t="str">
        <f t="shared" si="0"/>
        <v>29.69 (29.60 to 29.78)</v>
      </c>
    </row>
    <row r="27" spans="1:9" ht="17.25" thickBot="1" x14ac:dyDescent="0.35">
      <c r="A27" s="6">
        <v>2</v>
      </c>
      <c r="B27" s="11" t="s">
        <v>99</v>
      </c>
      <c r="C27" s="2">
        <v>16807</v>
      </c>
      <c r="D27" s="2">
        <v>44.460450000000002</v>
      </c>
      <c r="E27" s="2">
        <v>0.16448399999999999</v>
      </c>
      <c r="F27" s="2">
        <v>44.137928000000002</v>
      </c>
      <c r="G27" s="2">
        <v>44.782972000000001</v>
      </c>
      <c r="I27" t="str">
        <f t="shared" si="0"/>
        <v>44.46 (44.14 to 44.78)</v>
      </c>
    </row>
    <row r="28" spans="1:9" ht="17.25" thickBot="1" x14ac:dyDescent="0.35">
      <c r="A28" s="6"/>
      <c r="B28" s="11" t="s">
        <v>100</v>
      </c>
      <c r="C28" s="2">
        <v>16807</v>
      </c>
      <c r="D28" s="2">
        <v>23.269884999999999</v>
      </c>
      <c r="E28" s="2">
        <v>3.1795999999999998E-2</v>
      </c>
      <c r="F28" s="2">
        <v>23.207539000000001</v>
      </c>
      <c r="G28" s="2">
        <v>23.332232000000001</v>
      </c>
      <c r="I28" t="str">
        <f t="shared" si="0"/>
        <v>23.27 (23.21 to 23.33)</v>
      </c>
    </row>
    <row r="29" spans="1:9" ht="17.25" thickBot="1" x14ac:dyDescent="0.35">
      <c r="A29" s="6"/>
      <c r="B29" s="11" t="s">
        <v>101</v>
      </c>
      <c r="C29" s="2">
        <v>16807</v>
      </c>
      <c r="D29" s="2">
        <v>80.214067</v>
      </c>
      <c r="E29" s="2">
        <v>9.0736999999999998E-2</v>
      </c>
      <c r="F29" s="2">
        <v>80.036148999999995</v>
      </c>
      <c r="G29" s="2">
        <v>80.391986000000003</v>
      </c>
      <c r="I29" t="str">
        <f t="shared" si="0"/>
        <v>80.21 (80.04 to 80.39)</v>
      </c>
    </row>
    <row r="30" spans="1:9" ht="17.25" thickBot="1" x14ac:dyDescent="0.35">
      <c r="A30" s="6"/>
      <c r="B30" s="11" t="s">
        <v>102</v>
      </c>
      <c r="C30" s="2">
        <v>16807</v>
      </c>
      <c r="D30" s="2">
        <v>7.6758000000000007E-2</v>
      </c>
      <c r="E30" s="2">
        <v>4.5813999999999999E-5</v>
      </c>
      <c r="F30" s="2">
        <v>7.6668E-2</v>
      </c>
      <c r="G30" s="2">
        <v>7.6848E-2</v>
      </c>
      <c r="I30" t="str">
        <f t="shared" si="0"/>
        <v>0.08 (0.08 to 0.08)</v>
      </c>
    </row>
    <row r="31" spans="1:9" ht="17.25" thickBot="1" x14ac:dyDescent="0.35">
      <c r="A31" s="6"/>
      <c r="B31" s="11" t="s">
        <v>103</v>
      </c>
      <c r="C31" s="2">
        <v>16807</v>
      </c>
      <c r="D31" s="2">
        <v>115.410066</v>
      </c>
      <c r="E31" s="2">
        <v>0.14541100000000001</v>
      </c>
      <c r="F31" s="2">
        <v>115.124942</v>
      </c>
      <c r="G31" s="2">
        <v>115.69519</v>
      </c>
      <c r="I31" t="str">
        <f t="shared" si="0"/>
        <v>115.41 (115.12 to 115.70)</v>
      </c>
    </row>
    <row r="32" spans="1:9" ht="17.25" thickBot="1" x14ac:dyDescent="0.35">
      <c r="A32" s="6"/>
      <c r="B32" s="11" t="s">
        <v>104</v>
      </c>
      <c r="C32" s="2">
        <v>16807</v>
      </c>
      <c r="D32" s="2">
        <v>93.652918</v>
      </c>
      <c r="E32" s="2">
        <v>0.101328</v>
      </c>
      <c r="F32" s="2">
        <v>93.454233000000002</v>
      </c>
      <c r="G32" s="2">
        <v>93.851602999999997</v>
      </c>
      <c r="I32" t="str">
        <f t="shared" si="0"/>
        <v>93.65 (93.45 to 93.85)</v>
      </c>
    </row>
    <row r="33" spans="1:9" ht="17.25" thickBot="1" x14ac:dyDescent="0.35">
      <c r="A33" s="6"/>
      <c r="B33" s="11" t="s">
        <v>105</v>
      </c>
      <c r="C33" s="2">
        <v>16807</v>
      </c>
      <c r="D33" s="2">
        <v>185.49780799999999</v>
      </c>
      <c r="E33" s="2">
        <v>0.320853</v>
      </c>
      <c r="F33" s="2">
        <v>184.86867599999999</v>
      </c>
      <c r="G33" s="2">
        <v>186.12693999999999</v>
      </c>
      <c r="I33" t="str">
        <f t="shared" si="0"/>
        <v>185.50 (184.87 to 186.13)</v>
      </c>
    </row>
    <row r="34" spans="1:9" ht="26.25" thickBot="1" x14ac:dyDescent="0.35">
      <c r="A34" s="6"/>
      <c r="B34" s="11" t="s">
        <v>106</v>
      </c>
      <c r="C34" s="2">
        <v>16807</v>
      </c>
      <c r="D34" s="2">
        <v>53.868588000000003</v>
      </c>
      <c r="E34" s="2">
        <v>0.11029899999999999</v>
      </c>
      <c r="F34" s="2">
        <v>53.652312000000002</v>
      </c>
      <c r="G34" s="2">
        <v>54.084864000000003</v>
      </c>
      <c r="I34" t="str">
        <f t="shared" si="0"/>
        <v>53.87 (53.65 to 54.08)</v>
      </c>
    </row>
    <row r="35" spans="1:9" ht="17.25" thickBot="1" x14ac:dyDescent="0.35">
      <c r="A35" s="6"/>
      <c r="B35" s="11" t="s">
        <v>107</v>
      </c>
      <c r="C35" s="2">
        <v>16807</v>
      </c>
      <c r="D35" s="2">
        <v>88.071794999999995</v>
      </c>
      <c r="E35" s="2">
        <v>0.12231300000000001</v>
      </c>
      <c r="F35" s="2">
        <v>87.831961000000007</v>
      </c>
      <c r="G35" s="2">
        <v>88.311627999999999</v>
      </c>
      <c r="I35" t="str">
        <f t="shared" si="0"/>
        <v>88.07 (87.83 to 88.31)</v>
      </c>
    </row>
    <row r="36" spans="1:9" ht="17.25" thickBot="1" x14ac:dyDescent="0.35">
      <c r="A36" s="6"/>
      <c r="B36" s="11" t="s">
        <v>108</v>
      </c>
      <c r="C36" s="2">
        <v>16807</v>
      </c>
      <c r="D36" s="2">
        <v>21.552139</v>
      </c>
      <c r="E36" s="2">
        <v>0.11158800000000001</v>
      </c>
      <c r="F36" s="2">
        <v>21.333335999999999</v>
      </c>
      <c r="G36" s="2">
        <v>21.770942999999999</v>
      </c>
      <c r="I36" t="str">
        <f t="shared" si="0"/>
        <v>21.55 (21.33 to 21.77)</v>
      </c>
    </row>
    <row r="37" spans="1:9" ht="17.25" thickBot="1" x14ac:dyDescent="0.35">
      <c r="A37" s="6"/>
      <c r="B37" s="11" t="s">
        <v>109</v>
      </c>
      <c r="C37" s="2">
        <v>16807</v>
      </c>
      <c r="D37" s="2">
        <v>20.037434000000001</v>
      </c>
      <c r="E37" s="2">
        <v>0.19345100000000001</v>
      </c>
      <c r="F37" s="2">
        <v>19.658114000000001</v>
      </c>
      <c r="G37" s="2">
        <v>20.416754000000001</v>
      </c>
      <c r="I37" t="str">
        <f t="shared" si="0"/>
        <v>20.04 (19.66 to 20.42)</v>
      </c>
    </row>
    <row r="38" spans="1:9" ht="17.25" thickBot="1" x14ac:dyDescent="0.35">
      <c r="A38" s="6"/>
      <c r="B38" s="11" t="s">
        <v>110</v>
      </c>
      <c r="C38" s="2">
        <v>16807</v>
      </c>
      <c r="D38" s="2">
        <v>14.066143</v>
      </c>
      <c r="E38" s="2">
        <v>1.4704E-2</v>
      </c>
      <c r="F38" s="2">
        <v>14.037312</v>
      </c>
      <c r="G38" s="2">
        <v>14.094974000000001</v>
      </c>
      <c r="I38" t="str">
        <f t="shared" si="0"/>
        <v>14.07 (14.04 to 14.09)</v>
      </c>
    </row>
    <row r="39" spans="1:9" ht="17.25" thickBot="1" x14ac:dyDescent="0.35">
      <c r="A39" s="6"/>
      <c r="B39" s="11" t="s">
        <v>111</v>
      </c>
      <c r="C39" s="2">
        <v>16807</v>
      </c>
      <c r="D39" s="2">
        <v>14.130478999999999</v>
      </c>
      <c r="E39" s="2">
        <v>4.2285999999999997E-2</v>
      </c>
      <c r="F39" s="2">
        <v>14.047565000000001</v>
      </c>
      <c r="G39" s="2">
        <v>14.213393</v>
      </c>
      <c r="I39" t="str">
        <f t="shared" si="0"/>
        <v>14.13 (14.05 to 14.21)</v>
      </c>
    </row>
    <row r="40" spans="1:9" ht="17.25" thickBot="1" x14ac:dyDescent="0.35">
      <c r="A40" s="6"/>
      <c r="B40" s="11" t="s">
        <v>112</v>
      </c>
      <c r="C40" s="2">
        <v>16807</v>
      </c>
      <c r="D40" s="2">
        <v>0.83236900000000003</v>
      </c>
      <c r="E40" s="2">
        <v>2.2659999999999998E-3</v>
      </c>
      <c r="F40" s="2">
        <v>0.82792699999999997</v>
      </c>
      <c r="G40" s="2">
        <v>0.836812</v>
      </c>
      <c r="I40" t="str">
        <f t="shared" si="0"/>
        <v>0.83 (0.83 to 0.84)</v>
      </c>
    </row>
    <row r="41" spans="1:9" ht="17.25" thickBot="1" x14ac:dyDescent="0.35">
      <c r="A41" s="6"/>
      <c r="B41" s="11" t="s">
        <v>113</v>
      </c>
      <c r="C41" s="2">
        <v>16807</v>
      </c>
      <c r="D41" s="2">
        <v>5.822635</v>
      </c>
      <c r="E41" s="2">
        <v>7.2839999999999997E-3</v>
      </c>
      <c r="F41" s="2">
        <v>5.8083520000000002</v>
      </c>
      <c r="G41" s="2">
        <v>5.836919</v>
      </c>
      <c r="I41" t="str">
        <f t="shared" si="0"/>
        <v>5.82 (5.81 to 5.84)</v>
      </c>
    </row>
    <row r="42" spans="1:9" ht="17.25" thickBot="1" x14ac:dyDescent="0.35">
      <c r="A42" s="6"/>
      <c r="B42" s="11" t="s">
        <v>114</v>
      </c>
      <c r="C42" s="2">
        <v>16807</v>
      </c>
      <c r="D42" s="2">
        <v>8.3077810000000003</v>
      </c>
      <c r="E42" s="2">
        <v>1.1039999999999999E-3</v>
      </c>
      <c r="F42" s="2">
        <v>8.3056169999999998</v>
      </c>
      <c r="G42" s="2">
        <v>8.3099450000000008</v>
      </c>
      <c r="I42" t="str">
        <f t="shared" si="0"/>
        <v>8.31 (8.31 to 8.31)</v>
      </c>
    </row>
    <row r="43" spans="1:9" ht="17.25" thickBot="1" x14ac:dyDescent="0.35">
      <c r="A43" s="6"/>
      <c r="B43" s="11" t="s">
        <v>115</v>
      </c>
      <c r="C43" s="2">
        <v>16807</v>
      </c>
      <c r="D43" s="2">
        <v>0.63773400000000002</v>
      </c>
      <c r="E43" s="2">
        <v>3.9800000000000002E-4</v>
      </c>
      <c r="F43" s="2">
        <v>0.63695299999999999</v>
      </c>
      <c r="G43" s="2">
        <v>0.63851500000000005</v>
      </c>
      <c r="I43" t="str">
        <f t="shared" si="0"/>
        <v>0.64 (0.64 to 0.64)</v>
      </c>
    </row>
    <row r="44" spans="1:9" ht="17.25" thickBot="1" x14ac:dyDescent="0.35">
      <c r="A44" s="6"/>
      <c r="B44" s="11" t="s">
        <v>116</v>
      </c>
      <c r="C44" s="2">
        <v>16807</v>
      </c>
      <c r="D44" s="2">
        <v>0.21886800000000001</v>
      </c>
      <c r="E44" s="2">
        <v>1.119E-3</v>
      </c>
      <c r="F44" s="2">
        <v>0.216673</v>
      </c>
      <c r="G44" s="2">
        <v>0.22106300000000001</v>
      </c>
      <c r="I44" t="str">
        <f t="shared" si="0"/>
        <v>0.22 (0.22 to 0.22)</v>
      </c>
    </row>
    <row r="45" spans="1:9" ht="17.25" thickBot="1" x14ac:dyDescent="0.35">
      <c r="A45" s="6"/>
      <c r="B45" s="11" t="s">
        <v>117</v>
      </c>
      <c r="C45" s="2">
        <v>16807</v>
      </c>
      <c r="D45" s="2">
        <v>33.132475999999997</v>
      </c>
      <c r="E45" s="2">
        <v>5.2462000000000002E-2</v>
      </c>
      <c r="F45" s="2">
        <v>33.029606999999999</v>
      </c>
      <c r="G45" s="2">
        <v>33.235345000000002</v>
      </c>
      <c r="I45" t="str">
        <f t="shared" si="0"/>
        <v>33.13 (33.03 to 33.24)</v>
      </c>
    </row>
    <row r="46" spans="1:9" ht="17.25" thickBot="1" x14ac:dyDescent="0.35">
      <c r="A46" s="6">
        <v>3</v>
      </c>
      <c r="B46" s="11" t="s">
        <v>99</v>
      </c>
      <c r="C46" s="2">
        <v>17422</v>
      </c>
      <c r="D46" s="2">
        <v>47.970179999999999</v>
      </c>
      <c r="E46" s="2">
        <v>0.159612</v>
      </c>
      <c r="F46" s="2">
        <v>47.657212000000001</v>
      </c>
      <c r="G46" s="2">
        <v>48.283147999999997</v>
      </c>
      <c r="I46" t="str">
        <f t="shared" si="0"/>
        <v>47.97 (47.66 to 48.28)</v>
      </c>
    </row>
    <row r="47" spans="1:9" ht="17.25" thickBot="1" x14ac:dyDescent="0.35">
      <c r="A47" s="6"/>
      <c r="B47" s="11" t="s">
        <v>100</v>
      </c>
      <c r="C47" s="2">
        <v>17422</v>
      </c>
      <c r="D47" s="2">
        <v>24.543890999999999</v>
      </c>
      <c r="E47" s="2">
        <v>3.3554E-2</v>
      </c>
      <c r="F47" s="2">
        <v>24.478097999999999</v>
      </c>
      <c r="G47" s="2">
        <v>24.609683</v>
      </c>
      <c r="I47" t="str">
        <f t="shared" si="0"/>
        <v>24.54 (24.48 to 24.61)</v>
      </c>
    </row>
    <row r="48" spans="1:9" ht="17.25" thickBot="1" x14ac:dyDescent="0.35">
      <c r="A48" s="6"/>
      <c r="B48" s="11" t="s">
        <v>101</v>
      </c>
      <c r="C48" s="2">
        <v>17422</v>
      </c>
      <c r="D48" s="2">
        <v>84.536511000000004</v>
      </c>
      <c r="E48" s="2">
        <v>9.4240000000000004E-2</v>
      </c>
      <c r="F48" s="2">
        <v>84.351723000000007</v>
      </c>
      <c r="G48" s="2">
        <v>84.721298000000004</v>
      </c>
      <c r="I48" t="str">
        <f t="shared" si="0"/>
        <v>84.54 (84.35 to 84.72)</v>
      </c>
    </row>
    <row r="49" spans="1:9" ht="17.25" thickBot="1" x14ac:dyDescent="0.35">
      <c r="A49" s="6"/>
      <c r="B49" s="11" t="s">
        <v>102</v>
      </c>
      <c r="C49" s="2">
        <v>17422</v>
      </c>
      <c r="D49" s="2">
        <v>7.7939999999999995E-2</v>
      </c>
      <c r="E49" s="2">
        <v>4.5958999999999998E-5</v>
      </c>
      <c r="F49" s="2">
        <v>7.7850000000000003E-2</v>
      </c>
      <c r="G49" s="2">
        <v>7.8030000000000002E-2</v>
      </c>
      <c r="I49" t="str">
        <f t="shared" si="0"/>
        <v>0.08 (0.08 to 0.08)</v>
      </c>
    </row>
    <row r="50" spans="1:9" ht="17.25" thickBot="1" x14ac:dyDescent="0.35">
      <c r="A50" s="6"/>
      <c r="B50" s="11" t="s">
        <v>103</v>
      </c>
      <c r="C50" s="2">
        <v>17422</v>
      </c>
      <c r="D50" s="2">
        <v>119.234499</v>
      </c>
      <c r="E50" s="2">
        <v>0.15004999999999999</v>
      </c>
      <c r="F50" s="2">
        <v>118.940279</v>
      </c>
      <c r="G50" s="2">
        <v>119.528719</v>
      </c>
      <c r="I50" t="str">
        <f t="shared" si="0"/>
        <v>119.23 (118.94 to 119.53)</v>
      </c>
    </row>
    <row r="51" spans="1:9" ht="17.25" thickBot="1" x14ac:dyDescent="0.35">
      <c r="A51" s="6"/>
      <c r="B51" s="11" t="s">
        <v>104</v>
      </c>
      <c r="C51" s="2">
        <v>17422</v>
      </c>
      <c r="D51" s="2">
        <v>98.354170999999994</v>
      </c>
      <c r="E51" s="2">
        <v>0.130745</v>
      </c>
      <c r="F51" s="2">
        <v>98.097806000000006</v>
      </c>
      <c r="G51" s="2">
        <v>98.610535999999996</v>
      </c>
      <c r="I51" t="str">
        <f t="shared" si="0"/>
        <v>98.35 (98.10 to 98.61)</v>
      </c>
    </row>
    <row r="52" spans="1:9" ht="17.25" thickBot="1" x14ac:dyDescent="0.35">
      <c r="A52" s="6"/>
      <c r="B52" s="11" t="s">
        <v>105</v>
      </c>
      <c r="C52" s="2">
        <v>17422</v>
      </c>
      <c r="D52" s="2">
        <v>193.13335499999999</v>
      </c>
      <c r="E52" s="2">
        <v>0.327347</v>
      </c>
      <c r="F52" s="2">
        <v>192.491488</v>
      </c>
      <c r="G52" s="2">
        <v>193.77522200000001</v>
      </c>
      <c r="I52" t="str">
        <f t="shared" si="0"/>
        <v>193.13 (192.49 to 193.78)</v>
      </c>
    </row>
    <row r="53" spans="1:9" ht="26.25" thickBot="1" x14ac:dyDescent="0.35">
      <c r="A53" s="6"/>
      <c r="B53" s="11" t="s">
        <v>106</v>
      </c>
      <c r="C53" s="2">
        <v>17422</v>
      </c>
      <c r="D53" s="2">
        <v>49.176589999999997</v>
      </c>
      <c r="E53" s="2">
        <v>0.105008</v>
      </c>
      <c r="F53" s="2">
        <v>48.970689</v>
      </c>
      <c r="G53" s="2">
        <v>49.382491000000002</v>
      </c>
      <c r="I53" t="str">
        <f t="shared" si="0"/>
        <v>49.18 (48.97 to 49.38)</v>
      </c>
    </row>
    <row r="54" spans="1:9" ht="17.25" thickBot="1" x14ac:dyDescent="0.35">
      <c r="A54" s="6"/>
      <c r="B54" s="11" t="s">
        <v>107</v>
      </c>
      <c r="C54" s="2">
        <v>17422</v>
      </c>
      <c r="D54" s="2">
        <v>128.86686399999999</v>
      </c>
      <c r="E54" s="2">
        <v>0.19797999999999999</v>
      </c>
      <c r="F54" s="2">
        <v>128.47866400000001</v>
      </c>
      <c r="G54" s="2">
        <v>129.255065</v>
      </c>
      <c r="I54" t="str">
        <f t="shared" si="0"/>
        <v>128.87 (128.48 to 129.26)</v>
      </c>
    </row>
    <row r="55" spans="1:9" ht="17.25" thickBot="1" x14ac:dyDescent="0.35">
      <c r="A55" s="6"/>
      <c r="B55" s="11" t="s">
        <v>108</v>
      </c>
      <c r="C55" s="2">
        <v>17422</v>
      </c>
      <c r="D55" s="2">
        <v>23.236184000000002</v>
      </c>
      <c r="E55" s="2">
        <v>0.106798</v>
      </c>
      <c r="F55" s="2">
        <v>23.026774</v>
      </c>
      <c r="G55" s="2">
        <v>23.445594</v>
      </c>
      <c r="I55" t="str">
        <f t="shared" si="0"/>
        <v>23.24 (23.03 to 23.45)</v>
      </c>
    </row>
    <row r="56" spans="1:9" ht="17.25" thickBot="1" x14ac:dyDescent="0.35">
      <c r="A56" s="6"/>
      <c r="B56" s="11" t="s">
        <v>109</v>
      </c>
      <c r="C56" s="2">
        <v>17422</v>
      </c>
      <c r="D56" s="2">
        <v>24.184328000000001</v>
      </c>
      <c r="E56" s="2">
        <v>0.181557</v>
      </c>
      <c r="F56" s="2">
        <v>23.828329</v>
      </c>
      <c r="G56" s="2">
        <v>24.540327000000001</v>
      </c>
      <c r="I56" t="str">
        <f t="shared" si="0"/>
        <v>24.18 (23.83 to 24.54)</v>
      </c>
    </row>
    <row r="57" spans="1:9" ht="17.25" thickBot="1" x14ac:dyDescent="0.35">
      <c r="A57" s="6"/>
      <c r="B57" s="11" t="s">
        <v>110</v>
      </c>
      <c r="C57" s="2">
        <v>17422</v>
      </c>
      <c r="D57" s="2">
        <v>14.454745000000001</v>
      </c>
      <c r="E57" s="2">
        <v>1.5299999999999999E-2</v>
      </c>
      <c r="F57" s="2">
        <v>14.424745</v>
      </c>
      <c r="G57" s="2">
        <v>14.484745999999999</v>
      </c>
      <c r="I57" t="str">
        <f t="shared" si="0"/>
        <v>14.45 (14.42 to 14.48)</v>
      </c>
    </row>
    <row r="58" spans="1:9" ht="17.25" thickBot="1" x14ac:dyDescent="0.35">
      <c r="A58" s="6"/>
      <c r="B58" s="11" t="s">
        <v>111</v>
      </c>
      <c r="C58" s="2">
        <v>17422</v>
      </c>
      <c r="D58" s="2">
        <v>14.429798999999999</v>
      </c>
      <c r="E58" s="2">
        <v>4.0967999999999997E-2</v>
      </c>
      <c r="F58" s="2">
        <v>14.349468</v>
      </c>
      <c r="G58" s="2">
        <v>14.51013</v>
      </c>
      <c r="I58" t="str">
        <f t="shared" si="0"/>
        <v>14.43 (14.35 to 14.51)</v>
      </c>
    </row>
    <row r="59" spans="1:9" ht="17.25" thickBot="1" x14ac:dyDescent="0.35">
      <c r="A59" s="6"/>
      <c r="B59" s="11" t="s">
        <v>112</v>
      </c>
      <c r="C59" s="2">
        <v>17422</v>
      </c>
      <c r="D59" s="2">
        <v>0.86869200000000002</v>
      </c>
      <c r="E59" s="2">
        <v>2.3149999999999998E-3</v>
      </c>
      <c r="F59" s="2">
        <v>0.86415299999999995</v>
      </c>
      <c r="G59" s="2">
        <v>0.87322999999999995</v>
      </c>
      <c r="I59" t="str">
        <f t="shared" si="0"/>
        <v>0.87 (0.86 to 0.87)</v>
      </c>
    </row>
    <row r="60" spans="1:9" ht="17.25" thickBot="1" x14ac:dyDescent="0.35">
      <c r="A60" s="6"/>
      <c r="B60" s="11" t="s">
        <v>113</v>
      </c>
      <c r="C60" s="2">
        <v>17422</v>
      </c>
      <c r="D60" s="2">
        <v>5.7641410000000004</v>
      </c>
      <c r="E60" s="2">
        <v>7.0479999999999996E-3</v>
      </c>
      <c r="F60" s="2">
        <v>5.7503209999999996</v>
      </c>
      <c r="G60" s="2">
        <v>5.7779610000000003</v>
      </c>
      <c r="I60" t="str">
        <f t="shared" si="0"/>
        <v>5.76 (5.75 to 5.78)</v>
      </c>
    </row>
    <row r="61" spans="1:9" ht="17.25" thickBot="1" x14ac:dyDescent="0.35">
      <c r="A61" s="6"/>
      <c r="B61" s="11" t="s">
        <v>114</v>
      </c>
      <c r="C61" s="2">
        <v>17422</v>
      </c>
      <c r="D61" s="2">
        <v>8.7306190000000008</v>
      </c>
      <c r="E61" s="2">
        <v>1.1440000000000001E-3</v>
      </c>
      <c r="F61" s="2">
        <v>8.7283770000000001</v>
      </c>
      <c r="G61" s="2">
        <v>8.7328609999999998</v>
      </c>
      <c r="I61" t="str">
        <f t="shared" si="0"/>
        <v>8.73 (8.73 to 8.73)</v>
      </c>
    </row>
    <row r="62" spans="1:9" ht="17.25" thickBot="1" x14ac:dyDescent="0.35">
      <c r="A62" s="6"/>
      <c r="B62" s="11" t="s">
        <v>115</v>
      </c>
      <c r="C62" s="2">
        <v>17422</v>
      </c>
      <c r="D62" s="2">
        <v>0.68051200000000001</v>
      </c>
      <c r="E62" s="2">
        <v>4.17E-4</v>
      </c>
      <c r="F62" s="2">
        <v>0.67969299999999999</v>
      </c>
      <c r="G62" s="2">
        <v>0.68132999999999999</v>
      </c>
      <c r="I62" t="str">
        <f t="shared" si="0"/>
        <v>0.68 (0.68 to 0.68)</v>
      </c>
    </row>
    <row r="63" spans="1:9" ht="17.25" thickBot="1" x14ac:dyDescent="0.35">
      <c r="A63" s="6"/>
      <c r="B63" s="11" t="s">
        <v>116</v>
      </c>
      <c r="C63" s="2">
        <v>17422</v>
      </c>
      <c r="D63" s="2">
        <v>0.422344</v>
      </c>
      <c r="E63" s="2">
        <v>1.1969999999999999E-3</v>
      </c>
      <c r="F63" s="2">
        <v>0.41999700000000001</v>
      </c>
      <c r="G63" s="2">
        <v>0.42469200000000001</v>
      </c>
      <c r="I63" t="str">
        <f t="shared" si="0"/>
        <v>0.42 (0.42 to 0.42)</v>
      </c>
    </row>
    <row r="64" spans="1:9" ht="17.25" thickBot="1" x14ac:dyDescent="0.35">
      <c r="A64" s="6"/>
      <c r="B64" s="11" t="s">
        <v>117</v>
      </c>
      <c r="C64" s="2">
        <v>17422</v>
      </c>
      <c r="D64" s="2">
        <v>36.833748</v>
      </c>
      <c r="E64" s="2">
        <v>5.8110000000000002E-2</v>
      </c>
      <c r="F64" s="2">
        <v>36.719805999999998</v>
      </c>
      <c r="G64" s="2">
        <v>36.947690000000001</v>
      </c>
      <c r="I64" t="str">
        <f t="shared" si="0"/>
        <v>36.83 (36.72 to 36.95)</v>
      </c>
    </row>
    <row r="65" spans="1:9" ht="17.25" thickBot="1" x14ac:dyDescent="0.35">
      <c r="A65" s="6">
        <v>4</v>
      </c>
      <c r="B65" s="11" t="s">
        <v>99</v>
      </c>
      <c r="C65" s="2">
        <v>18125</v>
      </c>
      <c r="D65" s="2">
        <v>49.274206</v>
      </c>
      <c r="E65" s="2">
        <v>0.13716800000000001</v>
      </c>
      <c r="F65" s="2">
        <v>49.005245000000002</v>
      </c>
      <c r="G65" s="2">
        <v>49.543165999999999</v>
      </c>
      <c r="I65" t="str">
        <f t="shared" si="0"/>
        <v>49.27 (49.01 to 49.54)</v>
      </c>
    </row>
    <row r="66" spans="1:9" ht="17.25" thickBot="1" x14ac:dyDescent="0.35">
      <c r="A66" s="6"/>
      <c r="B66" s="11" t="s">
        <v>100</v>
      </c>
      <c r="C66" s="2">
        <v>18125</v>
      </c>
      <c r="D66" s="2">
        <v>25.676957000000002</v>
      </c>
      <c r="E66" s="2">
        <v>3.1612000000000001E-2</v>
      </c>
      <c r="F66" s="2">
        <v>25.614972000000002</v>
      </c>
      <c r="G66" s="2">
        <v>25.738942000000002</v>
      </c>
      <c r="I66" t="str">
        <f t="shared" si="0"/>
        <v>25.68 (25.61 to 25.74)</v>
      </c>
    </row>
    <row r="67" spans="1:9" ht="17.25" thickBot="1" x14ac:dyDescent="0.35">
      <c r="A67" s="6"/>
      <c r="B67" s="11" t="s">
        <v>101</v>
      </c>
      <c r="C67" s="2">
        <v>18125</v>
      </c>
      <c r="D67" s="2">
        <v>88.558128999999994</v>
      </c>
      <c r="E67" s="2">
        <v>8.2397999999999999E-2</v>
      </c>
      <c r="F67" s="2">
        <v>88.396563</v>
      </c>
      <c r="G67" s="2">
        <v>88.719695000000002</v>
      </c>
      <c r="I67" t="str">
        <f t="shared" si="0"/>
        <v>88.56 (88.40 to 88.72)</v>
      </c>
    </row>
    <row r="68" spans="1:9" ht="17.25" thickBot="1" x14ac:dyDescent="0.35">
      <c r="A68" s="6"/>
      <c r="B68" s="11" t="s">
        <v>102</v>
      </c>
      <c r="C68" s="2">
        <v>18125</v>
      </c>
      <c r="D68" s="2">
        <v>7.8955999999999998E-2</v>
      </c>
      <c r="E68" s="2">
        <v>4.4288E-5</v>
      </c>
      <c r="F68" s="2">
        <v>7.8868999999999995E-2</v>
      </c>
      <c r="G68" s="2">
        <v>7.9043000000000002E-2</v>
      </c>
      <c r="I68" t="str">
        <f t="shared" si="0"/>
        <v>0.08 (0.08 to 0.08)</v>
      </c>
    </row>
    <row r="69" spans="1:9" ht="17.25" thickBot="1" x14ac:dyDescent="0.35">
      <c r="A69" s="6"/>
      <c r="B69" s="11" t="s">
        <v>103</v>
      </c>
      <c r="C69" s="2">
        <v>18125</v>
      </c>
      <c r="D69" s="2">
        <v>123.480253</v>
      </c>
      <c r="E69" s="2">
        <v>0.14491299999999999</v>
      </c>
      <c r="F69" s="2">
        <v>123.196106</v>
      </c>
      <c r="G69" s="2">
        <v>123.76439999999999</v>
      </c>
      <c r="I69" t="str">
        <f t="shared" si="0"/>
        <v>123.48 (123.20 to 123.76)</v>
      </c>
    </row>
    <row r="70" spans="1:9" ht="17.25" thickBot="1" x14ac:dyDescent="0.35">
      <c r="A70" s="6"/>
      <c r="B70" s="11" t="s">
        <v>104</v>
      </c>
      <c r="C70" s="2">
        <v>18125</v>
      </c>
      <c r="D70" s="2">
        <v>111.982512</v>
      </c>
      <c r="E70" s="2">
        <v>0.29441200000000001</v>
      </c>
      <c r="F70" s="2">
        <v>111.405224</v>
      </c>
      <c r="G70" s="2">
        <v>112.559799</v>
      </c>
      <c r="I70" t="str">
        <f t="shared" si="0"/>
        <v>111.98 (111.41 to 112.56)</v>
      </c>
    </row>
    <row r="71" spans="1:9" ht="17.25" thickBot="1" x14ac:dyDescent="0.35">
      <c r="A71" s="6"/>
      <c r="B71" s="11" t="s">
        <v>105</v>
      </c>
      <c r="C71" s="2">
        <v>18125</v>
      </c>
      <c r="D71" s="2">
        <v>204.06860599999999</v>
      </c>
      <c r="E71" s="2">
        <v>0.358016</v>
      </c>
      <c r="F71" s="2">
        <v>203.366604</v>
      </c>
      <c r="G71" s="2">
        <v>204.77060800000001</v>
      </c>
      <c r="I71" t="str">
        <f t="shared" si="0"/>
        <v>204.07 (203.37 to 204.77)</v>
      </c>
    </row>
    <row r="72" spans="1:9" ht="26.25" thickBot="1" x14ac:dyDescent="0.35">
      <c r="A72" s="6"/>
      <c r="B72" s="11" t="s">
        <v>106</v>
      </c>
      <c r="C72" s="2">
        <v>18125</v>
      </c>
      <c r="D72" s="2">
        <v>43.620061999999997</v>
      </c>
      <c r="E72" s="2">
        <v>8.7841000000000002E-2</v>
      </c>
      <c r="F72" s="2">
        <v>43.447822000000002</v>
      </c>
      <c r="G72" s="2">
        <v>43.792302999999997</v>
      </c>
      <c r="I72" t="str">
        <f t="shared" si="0"/>
        <v>43.62 (43.45 to 43.79)</v>
      </c>
    </row>
    <row r="73" spans="1:9" ht="17.25" thickBot="1" x14ac:dyDescent="0.35">
      <c r="A73" s="6"/>
      <c r="B73" s="11" t="s">
        <v>107</v>
      </c>
      <c r="C73" s="2">
        <v>18125</v>
      </c>
      <c r="D73" s="2">
        <v>259.13779499999998</v>
      </c>
      <c r="E73" s="2">
        <v>1.551752</v>
      </c>
      <c r="F73" s="2">
        <v>256.095102</v>
      </c>
      <c r="G73" s="2">
        <v>262.18048800000003</v>
      </c>
      <c r="I73" t="str">
        <f t="shared" ref="I73:I83" si="1">TEXT(D73,"0.00")&amp;" ("&amp;TEXT(F73,"0.00")&amp;" to "&amp;TEXT(G73,"0.00")&amp;")"</f>
        <v>259.14 (256.10 to 262.18)</v>
      </c>
    </row>
    <row r="74" spans="1:9" ht="17.25" thickBot="1" x14ac:dyDescent="0.35">
      <c r="A74" s="6"/>
      <c r="B74" s="11" t="s">
        <v>108</v>
      </c>
      <c r="C74" s="2">
        <v>18125</v>
      </c>
      <c r="D74" s="2">
        <v>27.473890999999998</v>
      </c>
      <c r="E74" s="2">
        <v>0.15763199999999999</v>
      </c>
      <c r="F74" s="2">
        <v>27.164804</v>
      </c>
      <c r="G74" s="2">
        <v>27.782978</v>
      </c>
      <c r="I74" t="str">
        <f t="shared" si="1"/>
        <v>27.47 (27.16 to 27.78)</v>
      </c>
    </row>
    <row r="75" spans="1:9" ht="17.25" thickBot="1" x14ac:dyDescent="0.35">
      <c r="A75" s="6"/>
      <c r="B75" s="11" t="s">
        <v>109</v>
      </c>
      <c r="C75" s="2">
        <v>18125</v>
      </c>
      <c r="D75" s="2">
        <v>32.069465999999998</v>
      </c>
      <c r="E75" s="2">
        <v>0.23766300000000001</v>
      </c>
      <c r="F75" s="2">
        <v>31.603452999999998</v>
      </c>
      <c r="G75" s="2">
        <v>32.535479000000002</v>
      </c>
      <c r="I75" t="str">
        <f t="shared" si="1"/>
        <v>32.07 (31.60 to 32.54)</v>
      </c>
    </row>
    <row r="76" spans="1:9" ht="17.25" thickBot="1" x14ac:dyDescent="0.35">
      <c r="A76" s="6"/>
      <c r="B76" s="11" t="s">
        <v>110</v>
      </c>
      <c r="C76" s="2">
        <v>18125</v>
      </c>
      <c r="D76" s="2">
        <v>14.911832</v>
      </c>
      <c r="E76" s="2">
        <v>1.2886999999999999E-2</v>
      </c>
      <c r="F76" s="2">
        <v>14.886563000000001</v>
      </c>
      <c r="G76" s="2">
        <v>14.937101</v>
      </c>
      <c r="I76" t="str">
        <f t="shared" si="1"/>
        <v>14.91 (14.89 to 14.94)</v>
      </c>
    </row>
    <row r="77" spans="1:9" ht="17.25" thickBot="1" x14ac:dyDescent="0.35">
      <c r="A77" s="6"/>
      <c r="B77" s="11" t="s">
        <v>111</v>
      </c>
      <c r="C77" s="2">
        <v>18125</v>
      </c>
      <c r="D77" s="2">
        <v>14.53096</v>
      </c>
      <c r="E77" s="2">
        <v>3.7109999999999997E-2</v>
      </c>
      <c r="F77" s="2">
        <v>14.458194000000001</v>
      </c>
      <c r="G77" s="2">
        <v>14.603726</v>
      </c>
      <c r="I77" t="str">
        <f t="shared" si="1"/>
        <v>14.53 (14.46 to 14.60)</v>
      </c>
    </row>
    <row r="78" spans="1:9" ht="17.25" thickBot="1" x14ac:dyDescent="0.35">
      <c r="A78" s="6"/>
      <c r="B78" s="11" t="s">
        <v>112</v>
      </c>
      <c r="C78" s="2">
        <v>18125</v>
      </c>
      <c r="D78" s="2">
        <v>0.89269399999999999</v>
      </c>
      <c r="E78" s="2">
        <v>1.8749999999999999E-3</v>
      </c>
      <c r="F78" s="2">
        <v>0.88901799999999997</v>
      </c>
      <c r="G78" s="2">
        <v>0.89636899999999997</v>
      </c>
      <c r="I78" t="str">
        <f t="shared" si="1"/>
        <v>0.89 (0.89 to 0.90)</v>
      </c>
    </row>
    <row r="79" spans="1:9" ht="17.25" thickBot="1" x14ac:dyDescent="0.35">
      <c r="A79" s="6"/>
      <c r="B79" s="11" t="s">
        <v>113</v>
      </c>
      <c r="C79" s="2">
        <v>18125</v>
      </c>
      <c r="D79" s="2">
        <v>5.6452390000000001</v>
      </c>
      <c r="E79" s="2">
        <v>6.842E-3</v>
      </c>
      <c r="F79" s="2">
        <v>5.6318229999999998</v>
      </c>
      <c r="G79" s="2">
        <v>5.6586559999999997</v>
      </c>
      <c r="I79" t="str">
        <f t="shared" si="1"/>
        <v>5.65 (5.63 to 5.66)</v>
      </c>
    </row>
    <row r="80" spans="1:9" ht="17.25" thickBot="1" x14ac:dyDescent="0.35">
      <c r="A80" s="6"/>
      <c r="B80" s="11" t="s">
        <v>114</v>
      </c>
      <c r="C80" s="2">
        <v>18125</v>
      </c>
      <c r="D80" s="2">
        <v>9.4477220000000006</v>
      </c>
      <c r="E80" s="2">
        <v>4.006E-3</v>
      </c>
      <c r="F80" s="2">
        <v>9.4398669999999996</v>
      </c>
      <c r="G80" s="2">
        <v>9.4555769999999999</v>
      </c>
      <c r="I80" t="str">
        <f t="shared" si="1"/>
        <v>9.45 (9.44 to 9.46)</v>
      </c>
    </row>
    <row r="81" spans="1:9" ht="17.25" thickBot="1" x14ac:dyDescent="0.35">
      <c r="A81" s="6"/>
      <c r="B81" s="11" t="s">
        <v>115</v>
      </c>
      <c r="C81" s="2">
        <v>18125</v>
      </c>
      <c r="D81" s="2">
        <v>0.74604999999999999</v>
      </c>
      <c r="E81" s="2">
        <v>5.4299999999999997E-4</v>
      </c>
      <c r="F81" s="2">
        <v>0.74498399999999998</v>
      </c>
      <c r="G81" s="2">
        <v>0.74711499999999997</v>
      </c>
      <c r="I81" t="str">
        <f t="shared" si="1"/>
        <v>0.75 (0.74 to 0.75)</v>
      </c>
    </row>
    <row r="82" spans="1:9" ht="17.25" thickBot="1" x14ac:dyDescent="0.35">
      <c r="A82" s="6"/>
      <c r="B82" s="11" t="s">
        <v>116</v>
      </c>
      <c r="C82" s="2">
        <v>18125</v>
      </c>
      <c r="D82" s="2">
        <v>0.73888200000000004</v>
      </c>
      <c r="E82" s="2">
        <v>2.0339999999999998E-3</v>
      </c>
      <c r="F82" s="2">
        <v>0.73489400000000005</v>
      </c>
      <c r="G82" s="2">
        <v>0.74287099999999995</v>
      </c>
      <c r="I82" t="str">
        <f t="shared" si="1"/>
        <v>0.74 (0.73 to 0.74)</v>
      </c>
    </row>
    <row r="83" spans="1:9" x14ac:dyDescent="0.3">
      <c r="A83" s="6"/>
      <c r="B83" s="14" t="s">
        <v>117</v>
      </c>
      <c r="C83" s="2">
        <v>18125</v>
      </c>
      <c r="D83" s="2">
        <v>42.246124999999999</v>
      </c>
      <c r="E83" s="2">
        <v>6.2583E-2</v>
      </c>
      <c r="F83" s="2">
        <v>42.123412000000002</v>
      </c>
      <c r="G83" s="2">
        <v>42.368837999999997</v>
      </c>
      <c r="I83" t="str">
        <f t="shared" si="1"/>
        <v>42.25 (42.12 to 42.37)</v>
      </c>
    </row>
  </sheetData>
  <mergeCells count="6">
    <mergeCell ref="A5:G5"/>
    <mergeCell ref="A6:A7"/>
    <mergeCell ref="B6:B7"/>
    <mergeCell ref="C6:C7"/>
    <mergeCell ref="D6:D7"/>
    <mergeCell ref="F6:G7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73A6A-94D5-4F1F-95CB-E319A7B050AF}">
  <dimension ref="A1:I83"/>
  <sheetViews>
    <sheetView topLeftCell="A57" workbookViewId="0">
      <selection activeCell="I65" sqref="I65:I83"/>
    </sheetView>
  </sheetViews>
  <sheetFormatPr defaultRowHeight="16.5" x14ac:dyDescent="0.3"/>
  <cols>
    <col min="9" max="9" width="23.875" bestFit="1" customWidth="1"/>
  </cols>
  <sheetData>
    <row r="1" spans="1:9" x14ac:dyDescent="0.3">
      <c r="A1" s="1" t="s">
        <v>237</v>
      </c>
    </row>
    <row r="3" spans="1:9" x14ac:dyDescent="0.3">
      <c r="A3" s="1" t="s">
        <v>21</v>
      </c>
    </row>
    <row r="4" spans="1:9" ht="17.25" thickBot="1" x14ac:dyDescent="0.35"/>
    <row r="5" spans="1:9" ht="16.5" customHeight="1" x14ac:dyDescent="0.3">
      <c r="A5" s="16" t="s">
        <v>245</v>
      </c>
      <c r="B5" s="18"/>
      <c r="C5" s="18"/>
      <c r="D5" s="18"/>
      <c r="E5" s="18"/>
      <c r="F5" s="18"/>
      <c r="G5" s="18"/>
    </row>
    <row r="6" spans="1:9" ht="16.5" customHeight="1" x14ac:dyDescent="0.3">
      <c r="A6" s="17" t="s">
        <v>43</v>
      </c>
      <c r="B6" s="19" t="s">
        <v>239</v>
      </c>
      <c r="C6" s="19" t="s">
        <v>94</v>
      </c>
      <c r="D6" s="19" t="s">
        <v>240</v>
      </c>
      <c r="E6" s="3" t="s">
        <v>241</v>
      </c>
      <c r="F6" s="19" t="s">
        <v>243</v>
      </c>
      <c r="G6" s="19"/>
    </row>
    <row r="7" spans="1:9" x14ac:dyDescent="0.3">
      <c r="A7" s="17"/>
      <c r="B7" s="19"/>
      <c r="C7" s="19"/>
      <c r="D7" s="19"/>
      <c r="E7" s="3" t="s">
        <v>242</v>
      </c>
      <c r="F7" s="19"/>
      <c r="G7" s="19"/>
    </row>
    <row r="8" spans="1:9" ht="17.25" thickBot="1" x14ac:dyDescent="0.35">
      <c r="A8" s="6">
        <v>1</v>
      </c>
      <c r="B8" s="11" t="s">
        <v>99</v>
      </c>
      <c r="C8" s="2">
        <v>15514</v>
      </c>
      <c r="D8" s="2">
        <v>35.619235000000003</v>
      </c>
      <c r="E8" s="2">
        <v>0.12573200000000001</v>
      </c>
      <c r="F8" s="2">
        <v>35.372698</v>
      </c>
      <c r="G8" s="2">
        <v>35.865772</v>
      </c>
      <c r="I8" t="str">
        <f>TEXT(D8,"0.00")&amp;" ("&amp;TEXT(F8,"0.00")&amp;" to "&amp;TEXT(G8,"0.00")&amp;")"</f>
        <v>35.62 (35.37 to 35.87)</v>
      </c>
    </row>
    <row r="9" spans="1:9" ht="17.25" thickBot="1" x14ac:dyDescent="0.35">
      <c r="A9" s="6"/>
      <c r="B9" s="11" t="s">
        <v>100</v>
      </c>
      <c r="C9" s="2">
        <v>15514</v>
      </c>
      <c r="D9" s="2">
        <v>21.985970999999999</v>
      </c>
      <c r="E9" s="2">
        <v>3.0466E-2</v>
      </c>
      <c r="F9" s="2">
        <v>21.926234000000001</v>
      </c>
      <c r="G9" s="2">
        <v>22.045708999999999</v>
      </c>
      <c r="I9" t="str">
        <f t="shared" ref="I9:I72" si="0">TEXT(D9,"0.00")&amp;" ("&amp;TEXT(F9,"0.00")&amp;" to "&amp;TEXT(G9,"0.00")&amp;")"</f>
        <v>21.99 (21.93 to 22.05)</v>
      </c>
    </row>
    <row r="10" spans="1:9" ht="17.25" thickBot="1" x14ac:dyDescent="0.35">
      <c r="A10" s="6"/>
      <c r="B10" s="11" t="s">
        <v>101</v>
      </c>
      <c r="C10" s="2">
        <v>15514</v>
      </c>
      <c r="D10" s="2">
        <v>73.078233999999995</v>
      </c>
      <c r="E10" s="2">
        <v>7.6231999999999994E-2</v>
      </c>
      <c r="F10" s="2">
        <v>72.928756000000007</v>
      </c>
      <c r="G10" s="2">
        <v>73.227710999999999</v>
      </c>
      <c r="I10" t="str">
        <f t="shared" si="0"/>
        <v>73.08 (72.93 to 73.23)</v>
      </c>
    </row>
    <row r="11" spans="1:9" ht="17.25" thickBot="1" x14ac:dyDescent="0.35">
      <c r="A11" s="6"/>
      <c r="B11" s="11" t="s">
        <v>102</v>
      </c>
      <c r="C11" s="2">
        <v>15514</v>
      </c>
      <c r="D11" s="2">
        <v>7.2788000000000005E-2</v>
      </c>
      <c r="E11" s="2">
        <v>3.8241999999999997E-5</v>
      </c>
      <c r="F11" s="2">
        <v>7.2713E-2</v>
      </c>
      <c r="G11" s="2">
        <v>7.2862999999999997E-2</v>
      </c>
      <c r="I11" t="str">
        <f t="shared" si="0"/>
        <v>0.07 (0.07 to 0.07)</v>
      </c>
    </row>
    <row r="12" spans="1:9" ht="17.25" thickBot="1" x14ac:dyDescent="0.35">
      <c r="A12" s="6"/>
      <c r="B12" s="11" t="s">
        <v>103</v>
      </c>
      <c r="C12" s="2">
        <v>15514</v>
      </c>
      <c r="D12" s="2">
        <v>109.106196</v>
      </c>
      <c r="E12" s="2">
        <v>0.12411800000000001</v>
      </c>
      <c r="F12" s="2">
        <v>108.862825</v>
      </c>
      <c r="G12" s="2">
        <v>109.349568</v>
      </c>
      <c r="I12" t="str">
        <f t="shared" si="0"/>
        <v>109.11 (108.86 to 109.35)</v>
      </c>
    </row>
    <row r="13" spans="1:9" ht="17.25" thickBot="1" x14ac:dyDescent="0.35">
      <c r="A13" s="6"/>
      <c r="B13" s="11" t="s">
        <v>104</v>
      </c>
      <c r="C13" s="2">
        <v>15514</v>
      </c>
      <c r="D13" s="2">
        <v>88.675019000000006</v>
      </c>
      <c r="E13" s="2">
        <v>8.1612000000000004E-2</v>
      </c>
      <c r="F13" s="2">
        <v>88.514994000000002</v>
      </c>
      <c r="G13" s="2">
        <v>88.835044999999994</v>
      </c>
      <c r="I13" t="str">
        <f t="shared" si="0"/>
        <v>88.68 (88.51 to 88.84)</v>
      </c>
    </row>
    <row r="14" spans="1:9" ht="17.25" thickBot="1" x14ac:dyDescent="0.35">
      <c r="A14" s="6"/>
      <c r="B14" s="11" t="s">
        <v>105</v>
      </c>
      <c r="C14" s="2">
        <v>15514</v>
      </c>
      <c r="D14" s="2">
        <v>177.13987</v>
      </c>
      <c r="E14" s="2">
        <v>0.30707200000000001</v>
      </c>
      <c r="F14" s="2">
        <v>176.53775899999999</v>
      </c>
      <c r="G14" s="2">
        <v>177.74198100000001</v>
      </c>
      <c r="I14" t="str">
        <f t="shared" si="0"/>
        <v>177.14 (176.54 to 177.74)</v>
      </c>
    </row>
    <row r="15" spans="1:9" ht="26.25" thickBot="1" x14ac:dyDescent="0.35">
      <c r="A15" s="6"/>
      <c r="B15" s="11" t="s">
        <v>106</v>
      </c>
      <c r="C15" s="2">
        <v>15514</v>
      </c>
      <c r="D15" s="2">
        <v>58.678215000000002</v>
      </c>
      <c r="E15" s="2">
        <v>0.13145799999999999</v>
      </c>
      <c r="F15" s="2">
        <v>58.420450000000002</v>
      </c>
      <c r="G15" s="2">
        <v>58.935980000000001</v>
      </c>
      <c r="I15" t="str">
        <f t="shared" si="0"/>
        <v>58.68 (58.42 to 58.94)</v>
      </c>
    </row>
    <row r="16" spans="1:9" ht="17.25" thickBot="1" x14ac:dyDescent="0.35">
      <c r="A16" s="6"/>
      <c r="B16" s="11" t="s">
        <v>107</v>
      </c>
      <c r="C16" s="2">
        <v>15514</v>
      </c>
      <c r="D16" s="2">
        <v>63.068033</v>
      </c>
      <c r="E16" s="2">
        <v>0.22473000000000001</v>
      </c>
      <c r="F16" s="2">
        <v>62.627378999999998</v>
      </c>
      <c r="G16" s="2">
        <v>63.508687000000002</v>
      </c>
      <c r="I16" t="str">
        <f t="shared" si="0"/>
        <v>63.07 (62.63 to 63.51)</v>
      </c>
    </row>
    <row r="17" spans="1:9" ht="17.25" thickBot="1" x14ac:dyDescent="0.35">
      <c r="A17" s="6"/>
      <c r="B17" s="11" t="s">
        <v>108</v>
      </c>
      <c r="C17" s="2">
        <v>15514</v>
      </c>
      <c r="D17" s="2">
        <v>19.648683999999999</v>
      </c>
      <c r="E17" s="2">
        <v>0.12052599999999999</v>
      </c>
      <c r="F17" s="2">
        <v>19.412355000000002</v>
      </c>
      <c r="G17" s="2">
        <v>19.885013000000001</v>
      </c>
      <c r="I17" t="str">
        <f t="shared" si="0"/>
        <v>19.65 (19.41 to 19.89)</v>
      </c>
    </row>
    <row r="18" spans="1:9" ht="17.25" thickBot="1" x14ac:dyDescent="0.35">
      <c r="A18" s="6"/>
      <c r="B18" s="11" t="s">
        <v>109</v>
      </c>
      <c r="C18" s="2">
        <v>15514</v>
      </c>
      <c r="D18" s="2">
        <v>16.131404</v>
      </c>
      <c r="E18" s="2">
        <v>0.161132</v>
      </c>
      <c r="F18" s="2">
        <v>15.815454000000001</v>
      </c>
      <c r="G18" s="2">
        <v>16.447354000000001</v>
      </c>
      <c r="I18" t="str">
        <f t="shared" si="0"/>
        <v>16.13 (15.82 to 16.45)</v>
      </c>
    </row>
    <row r="19" spans="1:9" ht="17.25" thickBot="1" x14ac:dyDescent="0.35">
      <c r="A19" s="6"/>
      <c r="B19" s="11" t="s">
        <v>110</v>
      </c>
      <c r="C19" s="2">
        <v>15514</v>
      </c>
      <c r="D19" s="2">
        <v>13.660532</v>
      </c>
      <c r="E19" s="2">
        <v>1.5594E-2</v>
      </c>
      <c r="F19" s="2">
        <v>13.629955000000001</v>
      </c>
      <c r="G19" s="2">
        <v>13.69111</v>
      </c>
      <c r="I19" t="str">
        <f t="shared" si="0"/>
        <v>13.66 (13.63 to 13.69)</v>
      </c>
    </row>
    <row r="20" spans="1:9" ht="17.25" thickBot="1" x14ac:dyDescent="0.35">
      <c r="A20" s="6"/>
      <c r="B20" s="11" t="s">
        <v>111</v>
      </c>
      <c r="C20" s="2">
        <v>15514</v>
      </c>
      <c r="D20" s="2">
        <v>13.238189999999999</v>
      </c>
      <c r="E20" s="2">
        <v>4.0118000000000001E-2</v>
      </c>
      <c r="F20" s="2">
        <v>13.159527000000001</v>
      </c>
      <c r="G20" s="2">
        <v>13.316853</v>
      </c>
      <c r="I20" t="str">
        <f t="shared" si="0"/>
        <v>13.24 (13.16 to 13.32)</v>
      </c>
    </row>
    <row r="21" spans="1:9" ht="17.25" thickBot="1" x14ac:dyDescent="0.35">
      <c r="A21" s="6"/>
      <c r="B21" s="11" t="s">
        <v>112</v>
      </c>
      <c r="C21" s="2">
        <v>15514</v>
      </c>
      <c r="D21" s="2">
        <v>0.79447400000000001</v>
      </c>
      <c r="E21" s="2">
        <v>2.5990000000000002E-3</v>
      </c>
      <c r="F21" s="2">
        <v>0.789377</v>
      </c>
      <c r="G21" s="2">
        <v>0.79957</v>
      </c>
      <c r="I21" t="str">
        <f t="shared" si="0"/>
        <v>0.79 (0.79 to 0.80)</v>
      </c>
    </row>
    <row r="22" spans="1:9" ht="17.25" thickBot="1" x14ac:dyDescent="0.35">
      <c r="A22" s="6"/>
      <c r="B22" s="11" t="s">
        <v>113</v>
      </c>
      <c r="C22" s="2">
        <v>15514</v>
      </c>
      <c r="D22" s="2">
        <v>5.7949919999999997</v>
      </c>
      <c r="E22" s="2">
        <v>7.4139999999999996E-3</v>
      </c>
      <c r="F22" s="2">
        <v>5.7804549999999999</v>
      </c>
      <c r="G22" s="2">
        <v>5.8095280000000002</v>
      </c>
      <c r="I22" t="str">
        <f t="shared" si="0"/>
        <v>5.79 (5.78 to 5.81)</v>
      </c>
    </row>
    <row r="23" spans="1:9" ht="17.25" thickBot="1" x14ac:dyDescent="0.35">
      <c r="A23" s="6"/>
      <c r="B23" s="11" t="s">
        <v>114</v>
      </c>
      <c r="C23" s="2">
        <v>15514</v>
      </c>
      <c r="D23" s="2">
        <v>7.8773429999999998</v>
      </c>
      <c r="E23" s="2">
        <v>3.5200000000000001E-3</v>
      </c>
      <c r="F23" s="2">
        <v>7.8704400000000003</v>
      </c>
      <c r="G23" s="2">
        <v>7.8842460000000001</v>
      </c>
      <c r="I23" t="str">
        <f t="shared" si="0"/>
        <v>7.88 (7.87 to 7.88)</v>
      </c>
    </row>
    <row r="24" spans="1:9" ht="17.25" thickBot="1" x14ac:dyDescent="0.35">
      <c r="A24" s="6"/>
      <c r="B24" s="11" t="s">
        <v>115</v>
      </c>
      <c r="C24" s="2">
        <v>15514</v>
      </c>
      <c r="D24" s="2">
        <v>0.57300899999999999</v>
      </c>
      <c r="E24" s="2">
        <v>2.7999999999999998E-4</v>
      </c>
      <c r="F24" s="2">
        <v>0.57245900000000005</v>
      </c>
      <c r="G24" s="2">
        <v>0.57355800000000001</v>
      </c>
      <c r="I24" t="str">
        <f t="shared" si="0"/>
        <v>0.57 (0.57 to 0.57)</v>
      </c>
    </row>
    <row r="25" spans="1:9" ht="17.25" thickBot="1" x14ac:dyDescent="0.35">
      <c r="A25" s="6"/>
      <c r="B25" s="11" t="s">
        <v>116</v>
      </c>
      <c r="C25" s="2">
        <v>15514</v>
      </c>
      <c r="D25" s="2">
        <v>1.7169E-2</v>
      </c>
      <c r="E25" s="2">
        <v>1.9430000000000001E-3</v>
      </c>
      <c r="F25" s="2">
        <v>1.3358999999999999E-2</v>
      </c>
      <c r="G25" s="2">
        <v>2.0979999999999999E-2</v>
      </c>
      <c r="I25" t="str">
        <f t="shared" si="0"/>
        <v>0.02 (0.01 to 0.02)</v>
      </c>
    </row>
    <row r="26" spans="1:9" ht="17.25" thickBot="1" x14ac:dyDescent="0.35">
      <c r="A26" s="6"/>
      <c r="B26" s="11" t="s">
        <v>117</v>
      </c>
      <c r="C26" s="2">
        <v>15514</v>
      </c>
      <c r="D26" s="2">
        <v>29.887248</v>
      </c>
      <c r="E26" s="2">
        <v>5.0840999999999997E-2</v>
      </c>
      <c r="F26" s="2">
        <v>29.787558000000001</v>
      </c>
      <c r="G26" s="2">
        <v>29.986937999999999</v>
      </c>
      <c r="I26" t="str">
        <f t="shared" si="0"/>
        <v>29.89 (29.79 to 29.99)</v>
      </c>
    </row>
    <row r="27" spans="1:9" ht="17.25" thickBot="1" x14ac:dyDescent="0.35">
      <c r="A27" s="6">
        <v>2</v>
      </c>
      <c r="B27" s="11" t="s">
        <v>99</v>
      </c>
      <c r="C27" s="2">
        <v>17471</v>
      </c>
      <c r="D27" s="2">
        <v>42.822361999999998</v>
      </c>
      <c r="E27" s="2">
        <v>0.147615</v>
      </c>
      <c r="F27" s="2">
        <v>42.532916</v>
      </c>
      <c r="G27" s="2">
        <v>43.111806999999999</v>
      </c>
      <c r="I27" t="str">
        <f t="shared" si="0"/>
        <v>42.82 (42.53 to 43.11)</v>
      </c>
    </row>
    <row r="28" spans="1:9" ht="17.25" thickBot="1" x14ac:dyDescent="0.35">
      <c r="A28" s="6"/>
      <c r="B28" s="11" t="s">
        <v>100</v>
      </c>
      <c r="C28" s="2">
        <v>17471</v>
      </c>
      <c r="D28" s="2">
        <v>23.511583999999999</v>
      </c>
      <c r="E28" s="2">
        <v>3.3432000000000003E-2</v>
      </c>
      <c r="F28" s="2">
        <v>23.446028999999999</v>
      </c>
      <c r="G28" s="2">
        <v>23.577138000000001</v>
      </c>
      <c r="I28" t="str">
        <f t="shared" si="0"/>
        <v>23.51 (23.45 to 23.58)</v>
      </c>
    </row>
    <row r="29" spans="1:9" ht="17.25" thickBot="1" x14ac:dyDescent="0.35">
      <c r="A29" s="6"/>
      <c r="B29" s="11" t="s">
        <v>101</v>
      </c>
      <c r="C29" s="2">
        <v>17471</v>
      </c>
      <c r="D29" s="2">
        <v>80.283029999999997</v>
      </c>
      <c r="E29" s="2">
        <v>7.9804E-2</v>
      </c>
      <c r="F29" s="2">
        <v>80.126548999999997</v>
      </c>
      <c r="G29" s="2">
        <v>80.439510999999996</v>
      </c>
      <c r="I29" t="str">
        <f t="shared" si="0"/>
        <v>80.28 (80.13 to 80.44)</v>
      </c>
    </row>
    <row r="30" spans="1:9" ht="17.25" thickBot="1" x14ac:dyDescent="0.35">
      <c r="A30" s="6"/>
      <c r="B30" s="11" t="s">
        <v>102</v>
      </c>
      <c r="C30" s="2">
        <v>17471</v>
      </c>
      <c r="D30" s="2">
        <v>7.6240000000000002E-2</v>
      </c>
      <c r="E30" s="2">
        <v>3.0772999999999998E-5</v>
      </c>
      <c r="F30" s="2">
        <v>7.6178999999999997E-2</v>
      </c>
      <c r="G30" s="2">
        <v>7.6300000000000007E-2</v>
      </c>
      <c r="I30" t="str">
        <f t="shared" si="0"/>
        <v>0.08 (0.08 to 0.08)</v>
      </c>
    </row>
    <row r="31" spans="1:9" ht="17.25" thickBot="1" x14ac:dyDescent="0.35">
      <c r="A31" s="6"/>
      <c r="B31" s="11" t="s">
        <v>103</v>
      </c>
      <c r="C31" s="2">
        <v>17471</v>
      </c>
      <c r="D31" s="2">
        <v>115.1131</v>
      </c>
      <c r="E31" s="2">
        <v>0.138243</v>
      </c>
      <c r="F31" s="2">
        <v>114.84203100000001</v>
      </c>
      <c r="G31" s="2">
        <v>115.384169</v>
      </c>
      <c r="I31" t="str">
        <f t="shared" si="0"/>
        <v>115.11 (114.84 to 115.38)</v>
      </c>
    </row>
    <row r="32" spans="1:9" ht="17.25" thickBot="1" x14ac:dyDescent="0.35">
      <c r="A32" s="6"/>
      <c r="B32" s="11" t="s">
        <v>104</v>
      </c>
      <c r="C32" s="2">
        <v>17471</v>
      </c>
      <c r="D32" s="2">
        <v>93.533632999999995</v>
      </c>
      <c r="E32" s="2">
        <v>0.102364</v>
      </c>
      <c r="F32" s="2">
        <v>93.332915</v>
      </c>
      <c r="G32" s="2">
        <v>93.734350000000006</v>
      </c>
      <c r="I32" t="str">
        <f t="shared" si="0"/>
        <v>93.53 (93.33 to 93.73)</v>
      </c>
    </row>
    <row r="33" spans="1:9" ht="17.25" thickBot="1" x14ac:dyDescent="0.35">
      <c r="A33" s="6"/>
      <c r="B33" s="11" t="s">
        <v>105</v>
      </c>
      <c r="C33" s="2">
        <v>17471</v>
      </c>
      <c r="D33" s="2">
        <v>187.83996300000001</v>
      </c>
      <c r="E33" s="2">
        <v>0.30843599999999999</v>
      </c>
      <c r="F33" s="2">
        <v>187.23517799999999</v>
      </c>
      <c r="G33" s="2">
        <v>188.44474700000001</v>
      </c>
      <c r="I33" t="str">
        <f t="shared" si="0"/>
        <v>187.84 (187.24 to 188.44)</v>
      </c>
    </row>
    <row r="34" spans="1:9" ht="26.25" thickBot="1" x14ac:dyDescent="0.35">
      <c r="A34" s="6"/>
      <c r="B34" s="11" t="s">
        <v>106</v>
      </c>
      <c r="C34" s="2">
        <v>17471</v>
      </c>
      <c r="D34" s="2">
        <v>53.288795</v>
      </c>
      <c r="E34" s="2">
        <v>0.113243</v>
      </c>
      <c r="F34" s="2">
        <v>53.066746999999999</v>
      </c>
      <c r="G34" s="2">
        <v>53.510843000000001</v>
      </c>
      <c r="I34" t="str">
        <f t="shared" si="0"/>
        <v>53.29 (53.07 to 53.51)</v>
      </c>
    </row>
    <row r="35" spans="1:9" ht="17.25" thickBot="1" x14ac:dyDescent="0.35">
      <c r="A35" s="6"/>
      <c r="B35" s="11" t="s">
        <v>107</v>
      </c>
      <c r="C35" s="2">
        <v>17471</v>
      </c>
      <c r="D35" s="2">
        <v>96.901955999999998</v>
      </c>
      <c r="E35" s="2">
        <v>0.34990700000000002</v>
      </c>
      <c r="F35" s="2">
        <v>96.215852999999996</v>
      </c>
      <c r="G35" s="2">
        <v>97.588058000000004</v>
      </c>
      <c r="I35" t="str">
        <f t="shared" si="0"/>
        <v>96.90 (96.22 to 97.59)</v>
      </c>
    </row>
    <row r="36" spans="1:9" ht="17.25" thickBot="1" x14ac:dyDescent="0.35">
      <c r="A36" s="6"/>
      <c r="B36" s="11" t="s">
        <v>108</v>
      </c>
      <c r="C36" s="2">
        <v>17471</v>
      </c>
      <c r="D36" s="2">
        <v>21.523754</v>
      </c>
      <c r="E36" s="2">
        <v>9.0603000000000003E-2</v>
      </c>
      <c r="F36" s="2">
        <v>21.346097</v>
      </c>
      <c r="G36" s="2">
        <v>21.701409999999999</v>
      </c>
      <c r="I36" t="str">
        <f t="shared" si="0"/>
        <v>21.52 (21.35 to 21.70)</v>
      </c>
    </row>
    <row r="37" spans="1:9" ht="17.25" thickBot="1" x14ac:dyDescent="0.35">
      <c r="A37" s="6"/>
      <c r="B37" s="11" t="s">
        <v>109</v>
      </c>
      <c r="C37" s="2">
        <v>17471</v>
      </c>
      <c r="D37" s="2">
        <v>20.559545</v>
      </c>
      <c r="E37" s="2">
        <v>0.14200299999999999</v>
      </c>
      <c r="F37" s="2">
        <v>20.281103999999999</v>
      </c>
      <c r="G37" s="2">
        <v>20.837986000000001</v>
      </c>
      <c r="I37" t="str">
        <f t="shared" si="0"/>
        <v>20.56 (20.28 to 20.84)</v>
      </c>
    </row>
    <row r="38" spans="1:9" ht="17.25" thickBot="1" x14ac:dyDescent="0.35">
      <c r="A38" s="6"/>
      <c r="B38" s="11" t="s">
        <v>110</v>
      </c>
      <c r="C38" s="2">
        <v>17471</v>
      </c>
      <c r="D38" s="2">
        <v>14.184404000000001</v>
      </c>
      <c r="E38" s="2">
        <v>1.452E-2</v>
      </c>
      <c r="F38" s="2">
        <v>14.155932999999999</v>
      </c>
      <c r="G38" s="2">
        <v>14.212873999999999</v>
      </c>
      <c r="I38" t="str">
        <f t="shared" si="0"/>
        <v>14.18 (14.16 to 14.21)</v>
      </c>
    </row>
    <row r="39" spans="1:9" ht="17.25" thickBot="1" x14ac:dyDescent="0.35">
      <c r="A39" s="6"/>
      <c r="B39" s="11" t="s">
        <v>111</v>
      </c>
      <c r="C39" s="2">
        <v>17471</v>
      </c>
      <c r="D39" s="2">
        <v>13.966998</v>
      </c>
      <c r="E39" s="2">
        <v>3.7425E-2</v>
      </c>
      <c r="F39" s="2">
        <v>13.893613999999999</v>
      </c>
      <c r="G39" s="2">
        <v>14.040381999999999</v>
      </c>
      <c r="I39" t="str">
        <f t="shared" si="0"/>
        <v>13.97 (13.89 to 14.04)</v>
      </c>
    </row>
    <row r="40" spans="1:9" ht="17.25" thickBot="1" x14ac:dyDescent="0.35">
      <c r="A40" s="6"/>
      <c r="B40" s="11" t="s">
        <v>112</v>
      </c>
      <c r="C40" s="2">
        <v>17471</v>
      </c>
      <c r="D40" s="2">
        <v>0.83432499999999998</v>
      </c>
      <c r="E40" s="2">
        <v>2.078E-3</v>
      </c>
      <c r="F40" s="2">
        <v>0.83025099999999996</v>
      </c>
      <c r="G40" s="2">
        <v>0.83839900000000001</v>
      </c>
      <c r="I40" t="str">
        <f t="shared" si="0"/>
        <v>0.83 (0.83 to 0.84)</v>
      </c>
    </row>
    <row r="41" spans="1:9" ht="17.25" thickBot="1" x14ac:dyDescent="0.35">
      <c r="A41" s="6"/>
      <c r="B41" s="11" t="s">
        <v>113</v>
      </c>
      <c r="C41" s="2">
        <v>17471</v>
      </c>
      <c r="D41" s="2">
        <v>5.8041010000000002</v>
      </c>
      <c r="E41" s="2">
        <v>7.1390000000000004E-3</v>
      </c>
      <c r="F41" s="2">
        <v>5.7901040000000004</v>
      </c>
      <c r="G41" s="2">
        <v>5.818098</v>
      </c>
      <c r="I41" t="str">
        <f t="shared" si="0"/>
        <v>5.80 (5.79 to 5.82)</v>
      </c>
    </row>
    <row r="42" spans="1:9" ht="17.25" thickBot="1" x14ac:dyDescent="0.35">
      <c r="A42" s="6"/>
      <c r="B42" s="11" t="s">
        <v>114</v>
      </c>
      <c r="C42" s="2">
        <v>17471</v>
      </c>
      <c r="D42" s="2">
        <v>8.3596979999999999</v>
      </c>
      <c r="E42" s="2">
        <v>3.4099999999999998E-3</v>
      </c>
      <c r="F42" s="2">
        <v>8.3530130000000007</v>
      </c>
      <c r="G42" s="2">
        <v>8.366384</v>
      </c>
      <c r="I42" t="str">
        <f t="shared" si="0"/>
        <v>8.36 (8.35 to 8.37)</v>
      </c>
    </row>
    <row r="43" spans="1:9" ht="17.25" thickBot="1" x14ac:dyDescent="0.35">
      <c r="A43" s="6"/>
      <c r="B43" s="11" t="s">
        <v>115</v>
      </c>
      <c r="C43" s="2">
        <v>17471</v>
      </c>
      <c r="D43" s="2">
        <v>0.63659399999999999</v>
      </c>
      <c r="E43" s="2">
        <v>1.35E-4</v>
      </c>
      <c r="F43" s="2">
        <v>0.63632900000000003</v>
      </c>
      <c r="G43" s="2">
        <v>0.63685999999999998</v>
      </c>
      <c r="I43" t="str">
        <f t="shared" si="0"/>
        <v>0.64 (0.64 to 0.64)</v>
      </c>
    </row>
    <row r="44" spans="1:9" ht="17.25" thickBot="1" x14ac:dyDescent="0.35">
      <c r="A44" s="6"/>
      <c r="B44" s="11" t="s">
        <v>116</v>
      </c>
      <c r="C44" s="2">
        <v>17471</v>
      </c>
      <c r="D44" s="2">
        <v>0.247058</v>
      </c>
      <c r="E44" s="2">
        <v>1.931E-3</v>
      </c>
      <c r="F44" s="2">
        <v>0.24327099999999999</v>
      </c>
      <c r="G44" s="2">
        <v>0.25084499999999998</v>
      </c>
      <c r="I44" t="str">
        <f t="shared" si="0"/>
        <v>0.25 (0.24 to 0.25)</v>
      </c>
    </row>
    <row r="45" spans="1:9" ht="17.25" thickBot="1" x14ac:dyDescent="0.35">
      <c r="A45" s="6"/>
      <c r="B45" s="11" t="s">
        <v>117</v>
      </c>
      <c r="C45" s="2">
        <v>17471</v>
      </c>
      <c r="D45" s="2">
        <v>33.766665000000003</v>
      </c>
      <c r="E45" s="2">
        <v>5.8915000000000002E-2</v>
      </c>
      <c r="F45" s="2">
        <v>33.651144000000002</v>
      </c>
      <c r="G45" s="2">
        <v>33.882185999999997</v>
      </c>
      <c r="I45" t="str">
        <f t="shared" si="0"/>
        <v>33.77 (33.65 to 33.88)</v>
      </c>
    </row>
    <row r="46" spans="1:9" ht="17.25" thickBot="1" x14ac:dyDescent="0.35">
      <c r="A46" s="6">
        <v>3</v>
      </c>
      <c r="B46" s="11" t="s">
        <v>99</v>
      </c>
      <c r="C46" s="2">
        <v>17988</v>
      </c>
      <c r="D46" s="2">
        <v>48.761533999999997</v>
      </c>
      <c r="E46" s="2">
        <v>0.15252599999999999</v>
      </c>
      <c r="F46" s="2">
        <v>48.46246</v>
      </c>
      <c r="G46" s="2">
        <v>49.060608000000002</v>
      </c>
      <c r="I46" t="str">
        <f t="shared" si="0"/>
        <v>48.76 (48.46 to 49.06)</v>
      </c>
    </row>
    <row r="47" spans="1:9" ht="17.25" thickBot="1" x14ac:dyDescent="0.35">
      <c r="A47" s="6"/>
      <c r="B47" s="11" t="s">
        <v>100</v>
      </c>
      <c r="C47" s="2">
        <v>17988</v>
      </c>
      <c r="D47" s="2">
        <v>24.789435000000001</v>
      </c>
      <c r="E47" s="2">
        <v>3.3543999999999997E-2</v>
      </c>
      <c r="F47" s="2">
        <v>24.723662000000001</v>
      </c>
      <c r="G47" s="2">
        <v>24.855208000000001</v>
      </c>
      <c r="I47" t="str">
        <f t="shared" si="0"/>
        <v>24.79 (24.72 to 24.86)</v>
      </c>
    </row>
    <row r="48" spans="1:9" ht="17.25" thickBot="1" x14ac:dyDescent="0.35">
      <c r="A48" s="6"/>
      <c r="B48" s="11" t="s">
        <v>101</v>
      </c>
      <c r="C48" s="2">
        <v>17988</v>
      </c>
      <c r="D48" s="2">
        <v>85.903644999999997</v>
      </c>
      <c r="E48" s="2">
        <v>8.0157999999999993E-2</v>
      </c>
      <c r="F48" s="2">
        <v>85.746469000000005</v>
      </c>
      <c r="G48" s="2">
        <v>86.060820000000007</v>
      </c>
      <c r="I48" t="str">
        <f t="shared" si="0"/>
        <v>85.90 (85.75 to 86.06)</v>
      </c>
    </row>
    <row r="49" spans="1:9" ht="17.25" thickBot="1" x14ac:dyDescent="0.35">
      <c r="A49" s="6"/>
      <c r="B49" s="11" t="s">
        <v>102</v>
      </c>
      <c r="C49" s="2">
        <v>17988</v>
      </c>
      <c r="D49" s="2">
        <v>7.8639000000000001E-2</v>
      </c>
      <c r="E49" s="2">
        <v>3.0488999999999999E-5</v>
      </c>
      <c r="F49" s="2">
        <v>7.8579999999999997E-2</v>
      </c>
      <c r="G49" s="2">
        <v>7.8699000000000005E-2</v>
      </c>
      <c r="I49" t="str">
        <f t="shared" si="0"/>
        <v>0.08 (0.08 to 0.08)</v>
      </c>
    </row>
    <row r="50" spans="1:9" ht="17.25" thickBot="1" x14ac:dyDescent="0.35">
      <c r="A50" s="6"/>
      <c r="B50" s="11" t="s">
        <v>103</v>
      </c>
      <c r="C50" s="2">
        <v>17988</v>
      </c>
      <c r="D50" s="2">
        <v>120.079109</v>
      </c>
      <c r="E50" s="2">
        <v>0.144343</v>
      </c>
      <c r="F50" s="2">
        <v>119.79608</v>
      </c>
      <c r="G50" s="2">
        <v>120.362138</v>
      </c>
      <c r="I50" t="str">
        <f t="shared" si="0"/>
        <v>120.08 (119.80 to 120.36)</v>
      </c>
    </row>
    <row r="51" spans="1:9" ht="17.25" thickBot="1" x14ac:dyDescent="0.35">
      <c r="A51" s="6"/>
      <c r="B51" s="11" t="s">
        <v>104</v>
      </c>
      <c r="C51" s="2">
        <v>17988</v>
      </c>
      <c r="D51" s="2">
        <v>99.127061999999995</v>
      </c>
      <c r="E51" s="2">
        <v>0.146399</v>
      </c>
      <c r="F51" s="2">
        <v>98.840001000000001</v>
      </c>
      <c r="G51" s="2">
        <v>99.414124000000001</v>
      </c>
      <c r="I51" t="str">
        <f t="shared" si="0"/>
        <v>99.13 (98.84 to 99.41)</v>
      </c>
    </row>
    <row r="52" spans="1:9" ht="17.25" thickBot="1" x14ac:dyDescent="0.35">
      <c r="A52" s="6"/>
      <c r="B52" s="11" t="s">
        <v>105</v>
      </c>
      <c r="C52" s="2">
        <v>17988</v>
      </c>
      <c r="D52" s="2">
        <v>194.319289</v>
      </c>
      <c r="E52" s="2">
        <v>0.32672800000000002</v>
      </c>
      <c r="F52" s="2">
        <v>193.67863700000001</v>
      </c>
      <c r="G52" s="2">
        <v>194.95994200000001</v>
      </c>
      <c r="I52" t="str">
        <f t="shared" si="0"/>
        <v>194.32 (193.68 to 194.96)</v>
      </c>
    </row>
    <row r="53" spans="1:9" ht="26.25" thickBot="1" x14ac:dyDescent="0.35">
      <c r="A53" s="6"/>
      <c r="B53" s="11" t="s">
        <v>106</v>
      </c>
      <c r="C53" s="2">
        <v>17988</v>
      </c>
      <c r="D53" s="2">
        <v>48.637624000000002</v>
      </c>
      <c r="E53" s="2">
        <v>0.104739</v>
      </c>
      <c r="F53" s="2">
        <v>48.432251000000001</v>
      </c>
      <c r="G53" s="2">
        <v>48.842996999999997</v>
      </c>
      <c r="I53" t="str">
        <f t="shared" si="0"/>
        <v>48.64 (48.43 to 48.84)</v>
      </c>
    </row>
    <row r="54" spans="1:9" ht="17.25" thickBot="1" x14ac:dyDescent="0.35">
      <c r="A54" s="6"/>
      <c r="B54" s="11" t="s">
        <v>107</v>
      </c>
      <c r="C54" s="2">
        <v>17988</v>
      </c>
      <c r="D54" s="2">
        <v>139.030362</v>
      </c>
      <c r="E54" s="2">
        <v>0.52594700000000005</v>
      </c>
      <c r="F54" s="2">
        <v>137.999078</v>
      </c>
      <c r="G54" s="2">
        <v>140.061645</v>
      </c>
      <c r="I54" t="str">
        <f t="shared" si="0"/>
        <v>139.03 (138.00 to 140.06)</v>
      </c>
    </row>
    <row r="55" spans="1:9" ht="17.25" thickBot="1" x14ac:dyDescent="0.35">
      <c r="A55" s="6"/>
      <c r="B55" s="11" t="s">
        <v>108</v>
      </c>
      <c r="C55" s="2">
        <v>17988</v>
      </c>
      <c r="D55" s="2">
        <v>24.282495999999998</v>
      </c>
      <c r="E55" s="2">
        <v>0.12862899999999999</v>
      </c>
      <c r="F55" s="2">
        <v>24.030280000000001</v>
      </c>
      <c r="G55" s="2">
        <v>24.534713</v>
      </c>
      <c r="I55" t="str">
        <f t="shared" si="0"/>
        <v>24.28 (24.03 to 24.53)</v>
      </c>
    </row>
    <row r="56" spans="1:9" ht="17.25" thickBot="1" x14ac:dyDescent="0.35">
      <c r="A56" s="6"/>
      <c r="B56" s="11" t="s">
        <v>109</v>
      </c>
      <c r="C56" s="2">
        <v>17988</v>
      </c>
      <c r="D56" s="2">
        <v>26.363689000000001</v>
      </c>
      <c r="E56" s="2">
        <v>0.230236</v>
      </c>
      <c r="F56" s="2">
        <v>25.912241000000002</v>
      </c>
      <c r="G56" s="2">
        <v>26.815138000000001</v>
      </c>
      <c r="I56" t="str">
        <f t="shared" si="0"/>
        <v>26.36 (25.91 to 26.82)</v>
      </c>
    </row>
    <row r="57" spans="1:9" ht="17.25" thickBot="1" x14ac:dyDescent="0.35">
      <c r="A57" s="6"/>
      <c r="B57" s="11" t="s">
        <v>110</v>
      </c>
      <c r="C57" s="2">
        <v>17988</v>
      </c>
      <c r="D57" s="2">
        <v>14.543736000000001</v>
      </c>
      <c r="E57" s="2">
        <v>1.4274999999999999E-2</v>
      </c>
      <c r="F57" s="2">
        <v>14.515745000000001</v>
      </c>
      <c r="G57" s="2">
        <v>14.571726999999999</v>
      </c>
      <c r="I57" t="str">
        <f t="shared" si="0"/>
        <v>14.54 (14.52 to 14.57)</v>
      </c>
    </row>
    <row r="58" spans="1:9" ht="17.25" thickBot="1" x14ac:dyDescent="0.35">
      <c r="A58" s="6"/>
      <c r="B58" s="11" t="s">
        <v>111</v>
      </c>
      <c r="C58" s="2">
        <v>17988</v>
      </c>
      <c r="D58" s="2">
        <v>14.662094</v>
      </c>
      <c r="E58" s="2">
        <v>4.0802999999999999E-2</v>
      </c>
      <c r="F58" s="2">
        <v>14.582087</v>
      </c>
      <c r="G58" s="2">
        <v>14.742100000000001</v>
      </c>
      <c r="I58" t="str">
        <f t="shared" si="0"/>
        <v>14.66 (14.58 to 14.74)</v>
      </c>
    </row>
    <row r="59" spans="1:9" ht="17.25" thickBot="1" x14ac:dyDescent="0.35">
      <c r="A59" s="6"/>
      <c r="B59" s="11" t="s">
        <v>112</v>
      </c>
      <c r="C59" s="2">
        <v>17988</v>
      </c>
      <c r="D59" s="2">
        <v>0.872672</v>
      </c>
      <c r="E59" s="2">
        <v>2.0690000000000001E-3</v>
      </c>
      <c r="F59" s="2">
        <v>0.86861500000000003</v>
      </c>
      <c r="G59" s="2">
        <v>0.87672899999999998</v>
      </c>
      <c r="I59" t="str">
        <f t="shared" si="0"/>
        <v>0.87 (0.87 to 0.88)</v>
      </c>
    </row>
    <row r="60" spans="1:9" ht="17.25" thickBot="1" x14ac:dyDescent="0.35">
      <c r="A60" s="6"/>
      <c r="B60" s="11" t="s">
        <v>113</v>
      </c>
      <c r="C60" s="2">
        <v>17988</v>
      </c>
      <c r="D60" s="2">
        <v>5.754086</v>
      </c>
      <c r="E60" s="2">
        <v>7.1500000000000001E-3</v>
      </c>
      <c r="F60" s="2">
        <v>5.7400669999999998</v>
      </c>
      <c r="G60" s="2">
        <v>5.7681060000000004</v>
      </c>
      <c r="I60" t="str">
        <f t="shared" si="0"/>
        <v>5.75 (5.74 to 5.77)</v>
      </c>
    </row>
    <row r="61" spans="1:9" ht="17.25" thickBot="1" x14ac:dyDescent="0.35">
      <c r="A61" s="6"/>
      <c r="B61" s="11" t="s">
        <v>114</v>
      </c>
      <c r="C61" s="2">
        <v>17988</v>
      </c>
      <c r="D61" s="2">
        <v>8.7628799999999991</v>
      </c>
      <c r="E61" s="2">
        <v>3.552E-3</v>
      </c>
      <c r="F61" s="2">
        <v>8.7559159999999991</v>
      </c>
      <c r="G61" s="2">
        <v>8.7698440000000009</v>
      </c>
      <c r="I61" t="str">
        <f t="shared" si="0"/>
        <v>8.76 (8.76 to 8.77)</v>
      </c>
    </row>
    <row r="62" spans="1:9" ht="17.25" thickBot="1" x14ac:dyDescent="0.35">
      <c r="A62" s="6"/>
      <c r="B62" s="11" t="s">
        <v>115</v>
      </c>
      <c r="C62" s="2">
        <v>17988</v>
      </c>
      <c r="D62" s="2">
        <v>0.68820400000000004</v>
      </c>
      <c r="E62" s="2">
        <v>1.3999999999999999E-4</v>
      </c>
      <c r="F62" s="2">
        <v>0.68793000000000004</v>
      </c>
      <c r="G62" s="2">
        <v>0.68847899999999995</v>
      </c>
      <c r="I62" t="str">
        <f t="shared" si="0"/>
        <v>0.69 (0.69 to 0.69)</v>
      </c>
    </row>
    <row r="63" spans="1:9" ht="17.25" thickBot="1" x14ac:dyDescent="0.35">
      <c r="A63" s="6"/>
      <c r="B63" s="11" t="s">
        <v>116</v>
      </c>
      <c r="C63" s="2">
        <v>17988</v>
      </c>
      <c r="D63" s="2">
        <v>0.43869999999999998</v>
      </c>
      <c r="E63" s="2">
        <v>2.0240000000000002E-3</v>
      </c>
      <c r="F63" s="2">
        <v>0.43473000000000001</v>
      </c>
      <c r="G63" s="2">
        <v>0.44266899999999998</v>
      </c>
      <c r="I63" t="str">
        <f t="shared" si="0"/>
        <v>0.44 (0.43 to 0.44)</v>
      </c>
    </row>
    <row r="64" spans="1:9" ht="17.25" thickBot="1" x14ac:dyDescent="0.35">
      <c r="A64" s="6"/>
      <c r="B64" s="11" t="s">
        <v>117</v>
      </c>
      <c r="C64" s="2">
        <v>17988</v>
      </c>
      <c r="D64" s="2">
        <v>37.537565999999998</v>
      </c>
      <c r="E64" s="2">
        <v>6.3436999999999993E-2</v>
      </c>
      <c r="F64" s="2">
        <v>37.413179</v>
      </c>
      <c r="G64" s="2">
        <v>37.661952999999997</v>
      </c>
      <c r="I64" t="str">
        <f t="shared" si="0"/>
        <v>37.54 (37.41 to 37.66)</v>
      </c>
    </row>
    <row r="65" spans="1:9" ht="17.25" thickBot="1" x14ac:dyDescent="0.35">
      <c r="A65" s="6">
        <v>4</v>
      </c>
      <c r="B65" s="11" t="s">
        <v>99</v>
      </c>
      <c r="C65" s="2">
        <v>17662</v>
      </c>
      <c r="D65" s="2">
        <v>54.203865999999998</v>
      </c>
      <c r="E65" s="2">
        <v>0.147451</v>
      </c>
      <c r="F65" s="2">
        <v>53.914743000000001</v>
      </c>
      <c r="G65" s="2">
        <v>54.492989000000001</v>
      </c>
      <c r="I65" t="str">
        <f t="shared" si="0"/>
        <v>54.20 (53.91 to 54.49)</v>
      </c>
    </row>
    <row r="66" spans="1:9" ht="17.25" thickBot="1" x14ac:dyDescent="0.35">
      <c r="A66" s="6"/>
      <c r="B66" s="11" t="s">
        <v>100</v>
      </c>
      <c r="C66" s="2">
        <v>17662</v>
      </c>
      <c r="D66" s="2">
        <v>25.422049000000001</v>
      </c>
      <c r="E66" s="2">
        <v>3.2813000000000002E-2</v>
      </c>
      <c r="F66" s="2">
        <v>25.357709</v>
      </c>
      <c r="G66" s="2">
        <v>25.486388999999999</v>
      </c>
      <c r="I66" t="str">
        <f t="shared" si="0"/>
        <v>25.42 (25.36 to 25.49)</v>
      </c>
    </row>
    <row r="67" spans="1:9" ht="17.25" thickBot="1" x14ac:dyDescent="0.35">
      <c r="A67" s="6"/>
      <c r="B67" s="11" t="s">
        <v>101</v>
      </c>
      <c r="C67" s="2">
        <v>17662</v>
      </c>
      <c r="D67" s="2">
        <v>90.443186999999995</v>
      </c>
      <c r="E67" s="2">
        <v>8.1569000000000003E-2</v>
      </c>
      <c r="F67" s="2">
        <v>90.283244999999994</v>
      </c>
      <c r="G67" s="2">
        <v>90.603127999999998</v>
      </c>
      <c r="I67" t="str">
        <f t="shared" si="0"/>
        <v>90.44 (90.28 to 90.60)</v>
      </c>
    </row>
    <row r="68" spans="1:9" ht="17.25" thickBot="1" x14ac:dyDescent="0.35">
      <c r="A68" s="6"/>
      <c r="B68" s="11" t="s">
        <v>102</v>
      </c>
      <c r="C68" s="2">
        <v>17662</v>
      </c>
      <c r="D68" s="2">
        <v>8.1462999999999994E-2</v>
      </c>
      <c r="E68" s="2">
        <v>3.7252999999999997E-5</v>
      </c>
      <c r="F68" s="2">
        <v>8.1390000000000004E-2</v>
      </c>
      <c r="G68" s="2">
        <v>8.1535999999999997E-2</v>
      </c>
      <c r="I68" t="str">
        <f t="shared" si="0"/>
        <v>0.08 (0.08 to 0.08)</v>
      </c>
    </row>
    <row r="69" spans="1:9" ht="17.25" thickBot="1" x14ac:dyDescent="0.35">
      <c r="A69" s="6"/>
      <c r="B69" s="11" t="s">
        <v>103</v>
      </c>
      <c r="C69" s="2">
        <v>17662</v>
      </c>
      <c r="D69" s="2">
        <v>125.028099</v>
      </c>
      <c r="E69" s="2">
        <v>0.15473799999999999</v>
      </c>
      <c r="F69" s="2">
        <v>124.724687</v>
      </c>
      <c r="G69" s="2">
        <v>125.33151100000001</v>
      </c>
      <c r="I69" t="str">
        <f t="shared" si="0"/>
        <v>125.03 (124.72 to 125.33)</v>
      </c>
    </row>
    <row r="70" spans="1:9" ht="17.25" thickBot="1" x14ac:dyDescent="0.35">
      <c r="A70" s="6"/>
      <c r="B70" s="11" t="s">
        <v>104</v>
      </c>
      <c r="C70" s="2">
        <v>17662</v>
      </c>
      <c r="D70" s="2">
        <v>113.63753699999999</v>
      </c>
      <c r="E70" s="2">
        <v>0.31627699999999997</v>
      </c>
      <c r="F70" s="2">
        <v>113.017377</v>
      </c>
      <c r="G70" s="2">
        <v>114.25769699999999</v>
      </c>
      <c r="I70" t="str">
        <f t="shared" si="0"/>
        <v>113.64 (113.02 to 114.26)</v>
      </c>
    </row>
    <row r="71" spans="1:9" ht="17.25" thickBot="1" x14ac:dyDescent="0.35">
      <c r="A71" s="6"/>
      <c r="B71" s="11" t="s">
        <v>105</v>
      </c>
      <c r="C71" s="2">
        <v>17662</v>
      </c>
      <c r="D71" s="2">
        <v>201.23271399999999</v>
      </c>
      <c r="E71" s="2">
        <v>0.38090400000000002</v>
      </c>
      <c r="F71" s="2">
        <v>200.48583199999999</v>
      </c>
      <c r="G71" s="2">
        <v>201.97959599999999</v>
      </c>
      <c r="I71" t="str">
        <f t="shared" si="0"/>
        <v>201.23 (200.49 to 201.98)</v>
      </c>
    </row>
    <row r="72" spans="1:9" ht="26.25" thickBot="1" x14ac:dyDescent="0.35">
      <c r="A72" s="6"/>
      <c r="B72" s="11" t="s">
        <v>106</v>
      </c>
      <c r="C72" s="2">
        <v>17662</v>
      </c>
      <c r="D72" s="2">
        <v>44.132283999999999</v>
      </c>
      <c r="E72" s="2">
        <v>9.6707000000000001E-2</v>
      </c>
      <c r="F72" s="2">
        <v>43.942659999999997</v>
      </c>
      <c r="G72" s="2">
        <v>44.321908000000001</v>
      </c>
      <c r="I72" t="str">
        <f t="shared" si="0"/>
        <v>44.13 (43.94 to 44.32)</v>
      </c>
    </row>
    <row r="73" spans="1:9" ht="17.25" thickBot="1" x14ac:dyDescent="0.35">
      <c r="A73" s="6"/>
      <c r="B73" s="11" t="s">
        <v>107</v>
      </c>
      <c r="C73" s="2">
        <v>17662</v>
      </c>
      <c r="D73" s="2">
        <v>250.47479799999999</v>
      </c>
      <c r="E73" s="2">
        <v>1.8069249999999999</v>
      </c>
      <c r="F73" s="2">
        <v>246.931757</v>
      </c>
      <c r="G73" s="2">
        <v>254.01783800000001</v>
      </c>
      <c r="I73" t="str">
        <f t="shared" ref="I73:I83" si="1">TEXT(D73,"0.00")&amp;" ("&amp;TEXT(F73,"0.00")&amp;" to "&amp;TEXT(G73,"0.00")&amp;")"</f>
        <v>250.47 (246.93 to 254.02)</v>
      </c>
    </row>
    <row r="74" spans="1:9" ht="17.25" thickBot="1" x14ac:dyDescent="0.35">
      <c r="A74" s="6"/>
      <c r="B74" s="11" t="s">
        <v>108</v>
      </c>
      <c r="C74" s="2">
        <v>17662</v>
      </c>
      <c r="D74" s="2">
        <v>27.760926000000001</v>
      </c>
      <c r="E74" s="2">
        <v>0.15884899999999999</v>
      </c>
      <c r="F74" s="2">
        <v>27.449452999999998</v>
      </c>
      <c r="G74" s="2">
        <v>28.072398</v>
      </c>
      <c r="I74" t="str">
        <f t="shared" si="1"/>
        <v>27.76 (27.45 to 28.07)</v>
      </c>
    </row>
    <row r="75" spans="1:9" ht="17.25" thickBot="1" x14ac:dyDescent="0.35">
      <c r="A75" s="6"/>
      <c r="B75" s="11" t="s">
        <v>109</v>
      </c>
      <c r="C75" s="2">
        <v>17662</v>
      </c>
      <c r="D75" s="2">
        <v>31.092428999999999</v>
      </c>
      <c r="E75" s="2">
        <v>0.22820699999999999</v>
      </c>
      <c r="F75" s="2">
        <v>30.644957000000002</v>
      </c>
      <c r="G75" s="2">
        <v>31.539901</v>
      </c>
      <c r="I75" t="str">
        <f t="shared" si="1"/>
        <v>31.09 (30.64 to 31.54)</v>
      </c>
    </row>
    <row r="76" spans="1:9" ht="17.25" thickBot="1" x14ac:dyDescent="0.35">
      <c r="A76" s="6"/>
      <c r="B76" s="11" t="s">
        <v>110</v>
      </c>
      <c r="C76" s="2">
        <v>17662</v>
      </c>
      <c r="D76" s="2">
        <v>14.770833</v>
      </c>
      <c r="E76" s="2">
        <v>1.4205000000000001E-2</v>
      </c>
      <c r="F76" s="2">
        <v>14.742979999999999</v>
      </c>
      <c r="G76" s="2">
        <v>14.798686</v>
      </c>
      <c r="I76" t="str">
        <f t="shared" si="1"/>
        <v>14.77 (14.74 to 14.80)</v>
      </c>
    </row>
    <row r="77" spans="1:9" ht="17.25" thickBot="1" x14ac:dyDescent="0.35">
      <c r="A77" s="6"/>
      <c r="B77" s="11" t="s">
        <v>111</v>
      </c>
      <c r="C77" s="2">
        <v>17662</v>
      </c>
      <c r="D77" s="2">
        <v>15.034306000000001</v>
      </c>
      <c r="E77" s="2">
        <v>4.1764000000000003E-2</v>
      </c>
      <c r="F77" s="2">
        <v>14.952413999999999</v>
      </c>
      <c r="G77" s="2">
        <v>15.116198000000001</v>
      </c>
      <c r="I77" t="str">
        <f t="shared" si="1"/>
        <v>15.03 (14.95 to 15.12)</v>
      </c>
    </row>
    <row r="78" spans="1:9" ht="17.25" thickBot="1" x14ac:dyDescent="0.35">
      <c r="A78" s="6"/>
      <c r="B78" s="11" t="s">
        <v>112</v>
      </c>
      <c r="C78" s="2">
        <v>17662</v>
      </c>
      <c r="D78" s="2">
        <v>0.89047100000000001</v>
      </c>
      <c r="E78" s="2">
        <v>2.0860000000000002E-3</v>
      </c>
      <c r="F78" s="2">
        <v>0.88638099999999997</v>
      </c>
      <c r="G78" s="2">
        <v>0.89456199999999997</v>
      </c>
      <c r="I78" t="str">
        <f t="shared" si="1"/>
        <v>0.89 (0.89 to 0.89)</v>
      </c>
    </row>
    <row r="79" spans="1:9" ht="17.25" thickBot="1" x14ac:dyDescent="0.35">
      <c r="A79" s="6"/>
      <c r="B79" s="11" t="s">
        <v>113</v>
      </c>
      <c r="C79" s="2">
        <v>17662</v>
      </c>
      <c r="D79" s="2">
        <v>5.6752149999999997</v>
      </c>
      <c r="E79" s="2">
        <v>7.0169999999999998E-3</v>
      </c>
      <c r="F79" s="2">
        <v>5.6614560000000003</v>
      </c>
      <c r="G79" s="2">
        <v>5.688974</v>
      </c>
      <c r="I79" t="str">
        <f t="shared" si="1"/>
        <v>5.68 (5.66 to 5.69)</v>
      </c>
    </row>
    <row r="80" spans="1:9" ht="17.25" thickBot="1" x14ac:dyDescent="0.35">
      <c r="A80" s="6"/>
      <c r="B80" s="11" t="s">
        <v>114</v>
      </c>
      <c r="C80" s="2">
        <v>17662</v>
      </c>
      <c r="D80" s="2">
        <v>9.3843329999999998</v>
      </c>
      <c r="E80" s="2">
        <v>5.2529999999999999E-3</v>
      </c>
      <c r="F80" s="2">
        <v>9.3740330000000007</v>
      </c>
      <c r="G80" s="2">
        <v>9.3946330000000007</v>
      </c>
      <c r="I80" t="str">
        <f t="shared" si="1"/>
        <v>9.38 (9.37 to 9.39)</v>
      </c>
    </row>
    <row r="81" spans="1:9" ht="17.25" thickBot="1" x14ac:dyDescent="0.35">
      <c r="A81" s="6"/>
      <c r="B81" s="11" t="s">
        <v>115</v>
      </c>
      <c r="C81" s="2">
        <v>17662</v>
      </c>
      <c r="D81" s="2">
        <v>0.76355099999999998</v>
      </c>
      <c r="E81" s="2">
        <v>4.0000000000000002E-4</v>
      </c>
      <c r="F81" s="2">
        <v>0.76276699999999997</v>
      </c>
      <c r="G81" s="2">
        <v>0.76433399999999996</v>
      </c>
      <c r="I81" t="str">
        <f t="shared" si="1"/>
        <v>0.76 (0.76 to 0.76)</v>
      </c>
    </row>
    <row r="82" spans="1:9" ht="17.25" thickBot="1" x14ac:dyDescent="0.35">
      <c r="A82" s="6"/>
      <c r="B82" s="11" t="s">
        <v>116</v>
      </c>
      <c r="C82" s="2">
        <v>17662</v>
      </c>
      <c r="D82" s="2">
        <v>0.70118899999999995</v>
      </c>
      <c r="E82" s="2">
        <v>2.6050000000000001E-3</v>
      </c>
      <c r="F82" s="2">
        <v>0.69608099999999995</v>
      </c>
      <c r="G82" s="2">
        <v>0.70629699999999995</v>
      </c>
      <c r="I82" t="str">
        <f t="shared" si="1"/>
        <v>0.70 (0.70 to 0.71)</v>
      </c>
    </row>
    <row r="83" spans="1:9" x14ac:dyDescent="0.3">
      <c r="A83" s="6"/>
      <c r="B83" s="14" t="s">
        <v>117</v>
      </c>
      <c r="C83" s="2">
        <v>17662</v>
      </c>
      <c r="D83" s="2">
        <v>41.604660000000003</v>
      </c>
      <c r="E83" s="2">
        <v>6.8332000000000004E-2</v>
      </c>
      <c r="F83" s="2">
        <v>41.470672999999998</v>
      </c>
      <c r="G83" s="2">
        <v>41.738646000000003</v>
      </c>
      <c r="I83" t="str">
        <f t="shared" si="1"/>
        <v>41.60 (41.47 to 41.74)</v>
      </c>
    </row>
  </sheetData>
  <mergeCells count="6">
    <mergeCell ref="A5:G5"/>
    <mergeCell ref="A6:A7"/>
    <mergeCell ref="B6:B7"/>
    <mergeCell ref="C6:C7"/>
    <mergeCell ref="D6:D7"/>
    <mergeCell ref="F6:G7"/>
  </mergeCells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31AE8-33D1-4B28-B99A-FFEC6BC779E2}">
  <dimension ref="A1:I83"/>
  <sheetViews>
    <sheetView topLeftCell="A57" workbookViewId="0">
      <selection activeCell="I65" sqref="I65:I83"/>
    </sheetView>
  </sheetViews>
  <sheetFormatPr defaultRowHeight="16.5" x14ac:dyDescent="0.3"/>
  <cols>
    <col min="9" max="9" width="23.875" bestFit="1" customWidth="1"/>
  </cols>
  <sheetData>
    <row r="1" spans="1:9" x14ac:dyDescent="0.3">
      <c r="A1" s="1" t="s">
        <v>237</v>
      </c>
    </row>
    <row r="3" spans="1:9" x14ac:dyDescent="0.3">
      <c r="A3" s="1" t="s">
        <v>21</v>
      </c>
    </row>
    <row r="4" spans="1:9" ht="17.25" thickBot="1" x14ac:dyDescent="0.35"/>
    <row r="5" spans="1:9" ht="16.5" customHeight="1" x14ac:dyDescent="0.3">
      <c r="A5" s="16" t="s">
        <v>246</v>
      </c>
      <c r="B5" s="18"/>
      <c r="C5" s="18"/>
      <c r="D5" s="18"/>
      <c r="E5" s="18"/>
      <c r="F5" s="18"/>
      <c r="G5" s="18"/>
    </row>
    <row r="6" spans="1:9" ht="16.5" customHeight="1" x14ac:dyDescent="0.3">
      <c r="A6" s="17" t="s">
        <v>60</v>
      </c>
      <c r="B6" s="19" t="s">
        <v>239</v>
      </c>
      <c r="C6" s="19" t="s">
        <v>94</v>
      </c>
      <c r="D6" s="19" t="s">
        <v>240</v>
      </c>
      <c r="E6" s="3" t="s">
        <v>241</v>
      </c>
      <c r="F6" s="19" t="s">
        <v>243</v>
      </c>
      <c r="G6" s="19"/>
    </row>
    <row r="7" spans="1:9" x14ac:dyDescent="0.3">
      <c r="A7" s="17"/>
      <c r="B7" s="19"/>
      <c r="C7" s="19"/>
      <c r="D7" s="19"/>
      <c r="E7" s="3" t="s">
        <v>242</v>
      </c>
      <c r="F7" s="19"/>
      <c r="G7" s="19"/>
    </row>
    <row r="8" spans="1:9" ht="17.25" thickBot="1" x14ac:dyDescent="0.35">
      <c r="A8" s="6">
        <v>1</v>
      </c>
      <c r="B8" s="11" t="s">
        <v>99</v>
      </c>
      <c r="C8" s="2">
        <v>16647</v>
      </c>
      <c r="D8" s="2">
        <v>40.515948000000002</v>
      </c>
      <c r="E8" s="2">
        <v>0.14705299999999999</v>
      </c>
      <c r="F8" s="2">
        <v>40.227603999999999</v>
      </c>
      <c r="G8" s="2">
        <v>40.804290999999999</v>
      </c>
      <c r="I8" t="str">
        <f>TEXT(D8,"0.00")&amp;" ("&amp;TEXT(F8,"0.00")&amp;" to "&amp;TEXT(G8,"0.00")&amp;")"</f>
        <v>40.52 (40.23 to 40.80)</v>
      </c>
    </row>
    <row r="9" spans="1:9" ht="17.25" thickBot="1" x14ac:dyDescent="0.35">
      <c r="A9" s="6"/>
      <c r="B9" s="11" t="s">
        <v>100</v>
      </c>
      <c r="C9" s="2">
        <v>16647</v>
      </c>
      <c r="D9" s="2">
        <v>21.974768999999998</v>
      </c>
      <c r="E9" s="2">
        <v>2.879E-2</v>
      </c>
      <c r="F9" s="2">
        <v>21.918316999999998</v>
      </c>
      <c r="G9" s="2">
        <v>22.031220999999999</v>
      </c>
      <c r="I9" t="str">
        <f t="shared" ref="I9:I72" si="0">TEXT(D9,"0.00")&amp;" ("&amp;TEXT(F9,"0.00")&amp;" to "&amp;TEXT(G9,"0.00")&amp;")"</f>
        <v>21.97 (21.92 to 22.03)</v>
      </c>
    </row>
    <row r="10" spans="1:9" ht="17.25" thickBot="1" x14ac:dyDescent="0.35">
      <c r="A10" s="6"/>
      <c r="B10" s="11" t="s">
        <v>101</v>
      </c>
      <c r="C10" s="2">
        <v>16647</v>
      </c>
      <c r="D10" s="2">
        <v>75.444315000000003</v>
      </c>
      <c r="E10" s="2">
        <v>8.7672E-2</v>
      </c>
      <c r="F10" s="2">
        <v>75.272407000000001</v>
      </c>
      <c r="G10" s="2">
        <v>75.616224000000003</v>
      </c>
      <c r="I10" t="str">
        <f t="shared" si="0"/>
        <v>75.44 (75.27 to 75.62)</v>
      </c>
    </row>
    <row r="11" spans="1:9" ht="17.25" thickBot="1" x14ac:dyDescent="0.35">
      <c r="A11" s="6"/>
      <c r="B11" s="11" t="s">
        <v>102</v>
      </c>
      <c r="C11" s="2">
        <v>16647</v>
      </c>
      <c r="D11" s="2">
        <v>7.5273999999999994E-2</v>
      </c>
      <c r="E11" s="2">
        <v>4.7122E-5</v>
      </c>
      <c r="F11" s="2">
        <v>7.5180999999999998E-2</v>
      </c>
      <c r="G11" s="2">
        <v>7.5366000000000002E-2</v>
      </c>
      <c r="I11" t="str">
        <f t="shared" si="0"/>
        <v>0.08 (0.08 to 0.08)</v>
      </c>
    </row>
    <row r="12" spans="1:9" ht="17.25" thickBot="1" x14ac:dyDescent="0.35">
      <c r="A12" s="6"/>
      <c r="B12" s="11" t="s">
        <v>103</v>
      </c>
      <c r="C12" s="2">
        <v>16647</v>
      </c>
      <c r="D12" s="2">
        <v>111.43067000000001</v>
      </c>
      <c r="E12" s="2">
        <v>0.13680999999999999</v>
      </c>
      <c r="F12" s="2">
        <v>111.162412</v>
      </c>
      <c r="G12" s="2">
        <v>111.698928</v>
      </c>
      <c r="I12" t="str">
        <f t="shared" si="0"/>
        <v>111.43 (111.16 to 111.70)</v>
      </c>
    </row>
    <row r="13" spans="1:9" ht="17.25" thickBot="1" x14ac:dyDescent="0.35">
      <c r="A13" s="6"/>
      <c r="B13" s="11" t="s">
        <v>104</v>
      </c>
      <c r="C13" s="2">
        <v>16647</v>
      </c>
      <c r="D13" s="2">
        <v>91.840593999999996</v>
      </c>
      <c r="E13" s="2">
        <v>0.12568199999999999</v>
      </c>
      <c r="F13" s="2">
        <v>91.594154000000003</v>
      </c>
      <c r="G13" s="2">
        <v>92.087033000000005</v>
      </c>
      <c r="I13" t="str">
        <f t="shared" si="0"/>
        <v>91.84 (91.59 to 92.09)</v>
      </c>
    </row>
    <row r="14" spans="1:9" ht="17.25" thickBot="1" x14ac:dyDescent="0.35">
      <c r="A14" s="6"/>
      <c r="B14" s="11" t="s">
        <v>105</v>
      </c>
      <c r="C14" s="2">
        <v>16647</v>
      </c>
      <c r="D14" s="2">
        <v>182.119112</v>
      </c>
      <c r="E14" s="2">
        <v>0.31425500000000001</v>
      </c>
      <c r="F14" s="2">
        <v>181.502917</v>
      </c>
      <c r="G14" s="2">
        <v>182.73530700000001</v>
      </c>
      <c r="I14" t="str">
        <f t="shared" si="0"/>
        <v>182.12 (181.50 to 182.74)</v>
      </c>
    </row>
    <row r="15" spans="1:9" ht="26.25" thickBot="1" x14ac:dyDescent="0.35">
      <c r="A15" s="6"/>
      <c r="B15" s="11" t="s">
        <v>106</v>
      </c>
      <c r="C15" s="2">
        <v>16647</v>
      </c>
      <c r="D15" s="2">
        <v>63.581674</v>
      </c>
      <c r="E15" s="2">
        <v>0.117324</v>
      </c>
      <c r="F15" s="2">
        <v>63.351624000000001</v>
      </c>
      <c r="G15" s="2">
        <v>63.811723999999998</v>
      </c>
      <c r="I15" t="str">
        <f t="shared" si="0"/>
        <v>63.58 (63.35 to 63.81)</v>
      </c>
    </row>
    <row r="16" spans="1:9" ht="17.25" thickBot="1" x14ac:dyDescent="0.35">
      <c r="A16" s="6"/>
      <c r="B16" s="11" t="s">
        <v>107</v>
      </c>
      <c r="C16" s="2">
        <v>16647</v>
      </c>
      <c r="D16" s="2">
        <v>57.242412999999999</v>
      </c>
      <c r="E16" s="2">
        <v>0.13441800000000001</v>
      </c>
      <c r="F16" s="2">
        <v>56.978845</v>
      </c>
      <c r="G16" s="2">
        <v>57.505982000000003</v>
      </c>
      <c r="I16" t="str">
        <f t="shared" si="0"/>
        <v>57.24 (56.98 to 57.51)</v>
      </c>
    </row>
    <row r="17" spans="1:9" ht="17.25" thickBot="1" x14ac:dyDescent="0.35">
      <c r="A17" s="6"/>
      <c r="B17" s="11" t="s">
        <v>108</v>
      </c>
      <c r="C17" s="2">
        <v>16647</v>
      </c>
      <c r="D17" s="2">
        <v>20.599710000000002</v>
      </c>
      <c r="E17" s="2">
        <v>0.10770299999999999</v>
      </c>
      <c r="F17" s="2">
        <v>20.388525000000001</v>
      </c>
      <c r="G17" s="2">
        <v>20.810894000000001</v>
      </c>
      <c r="I17" t="str">
        <f t="shared" si="0"/>
        <v>20.60 (20.39 to 20.81)</v>
      </c>
    </row>
    <row r="18" spans="1:9" ht="17.25" thickBot="1" x14ac:dyDescent="0.35">
      <c r="A18" s="6"/>
      <c r="B18" s="11" t="s">
        <v>109</v>
      </c>
      <c r="C18" s="2">
        <v>16647</v>
      </c>
      <c r="D18" s="2">
        <v>16.659769000000001</v>
      </c>
      <c r="E18" s="2">
        <v>0.118477</v>
      </c>
      <c r="F18" s="2">
        <v>16.427458000000001</v>
      </c>
      <c r="G18" s="2">
        <v>16.892078999999999</v>
      </c>
      <c r="I18" t="str">
        <f t="shared" si="0"/>
        <v>16.66 (16.43 to 16.89)</v>
      </c>
    </row>
    <row r="19" spans="1:9" ht="17.25" thickBot="1" x14ac:dyDescent="0.35">
      <c r="A19" s="6"/>
      <c r="B19" s="11" t="s">
        <v>110</v>
      </c>
      <c r="C19" s="2">
        <v>16647</v>
      </c>
      <c r="D19" s="2">
        <v>13.600733999999999</v>
      </c>
      <c r="E19" s="2">
        <v>1.4656000000000001E-2</v>
      </c>
      <c r="F19" s="2">
        <v>13.571997</v>
      </c>
      <c r="G19" s="2">
        <v>13.629471000000001</v>
      </c>
      <c r="I19" t="str">
        <f t="shared" si="0"/>
        <v>13.60 (13.57 to 13.63)</v>
      </c>
    </row>
    <row r="20" spans="1:9" ht="17.25" thickBot="1" x14ac:dyDescent="0.35">
      <c r="A20" s="6"/>
      <c r="B20" s="11" t="s">
        <v>111</v>
      </c>
      <c r="C20" s="2">
        <v>16647</v>
      </c>
      <c r="D20" s="2">
        <v>13.894925000000001</v>
      </c>
      <c r="E20" s="2">
        <v>4.1959999999999997E-2</v>
      </c>
      <c r="F20" s="2">
        <v>13.812647999999999</v>
      </c>
      <c r="G20" s="2">
        <v>13.977202</v>
      </c>
      <c r="I20" t="str">
        <f t="shared" si="0"/>
        <v>13.89 (13.81 to 13.98)</v>
      </c>
    </row>
    <row r="21" spans="1:9" ht="17.25" thickBot="1" x14ac:dyDescent="0.35">
      <c r="A21" s="6"/>
      <c r="B21" s="11" t="s">
        <v>112</v>
      </c>
      <c r="C21" s="2">
        <v>16647</v>
      </c>
      <c r="D21" s="2">
        <v>0.78232800000000002</v>
      </c>
      <c r="E21" s="2">
        <v>2.5270000000000002E-3</v>
      </c>
      <c r="F21" s="2">
        <v>0.77737400000000001</v>
      </c>
      <c r="G21" s="2">
        <v>0.78728299999999996</v>
      </c>
      <c r="I21" t="str">
        <f t="shared" si="0"/>
        <v>0.78 (0.78 to 0.79)</v>
      </c>
    </row>
    <row r="22" spans="1:9" ht="17.25" thickBot="1" x14ac:dyDescent="0.35">
      <c r="A22" s="6"/>
      <c r="B22" s="11" t="s">
        <v>113</v>
      </c>
      <c r="C22" s="2">
        <v>16647</v>
      </c>
      <c r="D22" s="2">
        <v>5.8338229999999998</v>
      </c>
      <c r="E22" s="2">
        <v>7.1830000000000001E-3</v>
      </c>
      <c r="F22" s="2">
        <v>5.8197390000000002</v>
      </c>
      <c r="G22" s="2">
        <v>5.847906</v>
      </c>
      <c r="I22" t="str">
        <f t="shared" si="0"/>
        <v>5.83 (5.82 to 5.85)</v>
      </c>
    </row>
    <row r="23" spans="1:9" ht="17.25" thickBot="1" x14ac:dyDescent="0.35">
      <c r="A23" s="6"/>
      <c r="B23" s="11" t="s">
        <v>114</v>
      </c>
      <c r="C23" s="2">
        <v>16647</v>
      </c>
      <c r="D23" s="2">
        <v>7.8321969999999999</v>
      </c>
      <c r="E23" s="2">
        <v>2.826E-3</v>
      </c>
      <c r="F23" s="2">
        <v>7.8266549999999997</v>
      </c>
      <c r="G23" s="2">
        <v>7.837739</v>
      </c>
      <c r="I23" t="str">
        <f t="shared" si="0"/>
        <v>7.83 (7.83 to 7.84)</v>
      </c>
    </row>
    <row r="24" spans="1:9" ht="17.25" thickBot="1" x14ac:dyDescent="0.35">
      <c r="A24" s="6"/>
      <c r="B24" s="11" t="s">
        <v>115</v>
      </c>
      <c r="C24" s="2">
        <v>16647</v>
      </c>
      <c r="D24" s="2">
        <v>0.58985500000000002</v>
      </c>
      <c r="E24" s="2">
        <v>4.5800000000000002E-4</v>
      </c>
      <c r="F24" s="2">
        <v>0.58895699999999995</v>
      </c>
      <c r="G24" s="2">
        <v>0.59075299999999997</v>
      </c>
      <c r="I24" t="str">
        <f t="shared" si="0"/>
        <v>0.59 (0.59 to 0.59)</v>
      </c>
    </row>
    <row r="25" spans="1:9" ht="17.25" thickBot="1" x14ac:dyDescent="0.35">
      <c r="A25" s="6"/>
      <c r="B25" s="11" t="s">
        <v>116</v>
      </c>
      <c r="C25" s="2">
        <v>16647</v>
      </c>
      <c r="D25" s="15">
        <v>-5.2706999999999997E-2</v>
      </c>
      <c r="E25" s="2">
        <v>1.1069999999999999E-3</v>
      </c>
      <c r="F25" s="15">
        <v>-5.4877000000000002E-2</v>
      </c>
      <c r="G25" s="15">
        <v>-5.0536999999999999E-2</v>
      </c>
      <c r="I25" t="str">
        <f t="shared" si="0"/>
        <v>-0.05 (-0.05 to -0.05)</v>
      </c>
    </row>
    <row r="26" spans="1:9" ht="17.25" thickBot="1" x14ac:dyDescent="0.35">
      <c r="A26" s="6"/>
      <c r="B26" s="11" t="s">
        <v>117</v>
      </c>
      <c r="C26" s="2">
        <v>16647</v>
      </c>
      <c r="D26" s="2">
        <v>29.201740999999998</v>
      </c>
      <c r="E26" s="2">
        <v>4.3394000000000002E-2</v>
      </c>
      <c r="F26" s="2">
        <v>29.116654</v>
      </c>
      <c r="G26" s="2">
        <v>29.286828</v>
      </c>
      <c r="I26" t="str">
        <f t="shared" si="0"/>
        <v>29.20 (29.12 to 29.29)</v>
      </c>
    </row>
    <row r="27" spans="1:9" ht="17.25" thickBot="1" x14ac:dyDescent="0.35">
      <c r="A27" s="6">
        <v>2</v>
      </c>
      <c r="B27" s="11" t="s">
        <v>99</v>
      </c>
      <c r="C27" s="2">
        <v>16779</v>
      </c>
      <c r="D27" s="2">
        <v>44.443528000000001</v>
      </c>
      <c r="E27" s="2">
        <v>0.16314699999999999</v>
      </c>
      <c r="F27" s="2">
        <v>44.123627999999997</v>
      </c>
      <c r="G27" s="2">
        <v>44.763427999999998</v>
      </c>
      <c r="I27" t="str">
        <f t="shared" si="0"/>
        <v>44.44 (44.12 to 44.76)</v>
      </c>
    </row>
    <row r="28" spans="1:9" ht="17.25" thickBot="1" x14ac:dyDescent="0.35">
      <c r="A28" s="6"/>
      <c r="B28" s="11" t="s">
        <v>100</v>
      </c>
      <c r="C28" s="2">
        <v>16779</v>
      </c>
      <c r="D28" s="2">
        <v>23.328191</v>
      </c>
      <c r="E28" s="2">
        <v>3.2245999999999997E-2</v>
      </c>
      <c r="F28" s="2">
        <v>23.264963999999999</v>
      </c>
      <c r="G28" s="2">
        <v>23.391418999999999</v>
      </c>
      <c r="I28" t="str">
        <f t="shared" si="0"/>
        <v>23.33 (23.26 to 23.39)</v>
      </c>
    </row>
    <row r="29" spans="1:9" ht="17.25" thickBot="1" x14ac:dyDescent="0.35">
      <c r="A29" s="6"/>
      <c r="B29" s="11" t="s">
        <v>101</v>
      </c>
      <c r="C29" s="2">
        <v>16779</v>
      </c>
      <c r="D29" s="2">
        <v>80.399637999999996</v>
      </c>
      <c r="E29" s="2">
        <v>9.4350000000000003E-2</v>
      </c>
      <c r="F29" s="2">
        <v>80.214635000000001</v>
      </c>
      <c r="G29" s="2">
        <v>80.584641000000005</v>
      </c>
      <c r="I29" t="str">
        <f t="shared" si="0"/>
        <v>80.40 (80.21 to 80.58)</v>
      </c>
    </row>
    <row r="30" spans="1:9" ht="17.25" thickBot="1" x14ac:dyDescent="0.35">
      <c r="A30" s="6"/>
      <c r="B30" s="11" t="s">
        <v>102</v>
      </c>
      <c r="C30" s="2">
        <v>16779</v>
      </c>
      <c r="D30" s="2">
        <v>7.6813000000000006E-2</v>
      </c>
      <c r="E30" s="2">
        <v>4.7493000000000001E-5</v>
      </c>
      <c r="F30" s="2">
        <v>7.6719999999999997E-2</v>
      </c>
      <c r="G30" s="2">
        <v>7.6906000000000002E-2</v>
      </c>
      <c r="I30" t="str">
        <f t="shared" si="0"/>
        <v>0.08 (0.08 to 0.08)</v>
      </c>
    </row>
    <row r="31" spans="1:9" ht="17.25" thickBot="1" x14ac:dyDescent="0.35">
      <c r="A31" s="6"/>
      <c r="B31" s="11" t="s">
        <v>103</v>
      </c>
      <c r="C31" s="2">
        <v>16779</v>
      </c>
      <c r="D31" s="2">
        <v>115.619783</v>
      </c>
      <c r="E31" s="2">
        <v>0.14552100000000001</v>
      </c>
      <c r="F31" s="2">
        <v>115.334444</v>
      </c>
      <c r="G31" s="2">
        <v>115.90512200000001</v>
      </c>
      <c r="I31" t="str">
        <f t="shared" si="0"/>
        <v>115.62 (115.33 to 115.91)</v>
      </c>
    </row>
    <row r="32" spans="1:9" ht="17.25" thickBot="1" x14ac:dyDescent="0.35">
      <c r="A32" s="6"/>
      <c r="B32" s="11" t="s">
        <v>104</v>
      </c>
      <c r="C32" s="2">
        <v>16779</v>
      </c>
      <c r="D32" s="2">
        <v>95.825250999999994</v>
      </c>
      <c r="E32" s="2">
        <v>0.16679099999999999</v>
      </c>
      <c r="F32" s="2">
        <v>95.498204999999999</v>
      </c>
      <c r="G32" s="2">
        <v>96.152297000000004</v>
      </c>
      <c r="I32" t="str">
        <f t="shared" si="0"/>
        <v>95.83 (95.50 to 96.15)</v>
      </c>
    </row>
    <row r="33" spans="1:9" ht="17.25" thickBot="1" x14ac:dyDescent="0.35">
      <c r="A33" s="6"/>
      <c r="B33" s="11" t="s">
        <v>105</v>
      </c>
      <c r="C33" s="2">
        <v>16779</v>
      </c>
      <c r="D33" s="2">
        <v>185.341104</v>
      </c>
      <c r="E33" s="2">
        <v>0.32123699999999999</v>
      </c>
      <c r="F33" s="2">
        <v>184.711219</v>
      </c>
      <c r="G33" s="2">
        <v>185.97099</v>
      </c>
      <c r="I33" t="str">
        <f t="shared" si="0"/>
        <v>185.34 (184.71 to 185.97)</v>
      </c>
    </row>
    <row r="34" spans="1:9" ht="26.25" thickBot="1" x14ac:dyDescent="0.35">
      <c r="A34" s="6"/>
      <c r="B34" s="11" t="s">
        <v>106</v>
      </c>
      <c r="C34" s="2">
        <v>16779</v>
      </c>
      <c r="D34" s="2">
        <v>53.989609000000002</v>
      </c>
      <c r="E34" s="2">
        <v>9.2666999999999999E-2</v>
      </c>
      <c r="F34" s="2">
        <v>53.807907999999998</v>
      </c>
      <c r="G34" s="2">
        <v>54.171311000000003</v>
      </c>
      <c r="I34" t="str">
        <f t="shared" si="0"/>
        <v>53.99 (53.81 to 54.17)</v>
      </c>
    </row>
    <row r="35" spans="1:9" ht="17.25" thickBot="1" x14ac:dyDescent="0.35">
      <c r="A35" s="6"/>
      <c r="B35" s="11" t="s">
        <v>107</v>
      </c>
      <c r="C35" s="2">
        <v>16779</v>
      </c>
      <c r="D35" s="2">
        <v>88.858818999999997</v>
      </c>
      <c r="E35" s="2">
        <v>0.17541599999999999</v>
      </c>
      <c r="F35" s="2">
        <v>88.514860999999996</v>
      </c>
      <c r="G35" s="2">
        <v>89.202776999999998</v>
      </c>
      <c r="I35" t="str">
        <f t="shared" si="0"/>
        <v>88.86 (88.51 to 89.20)</v>
      </c>
    </row>
    <row r="36" spans="1:9" ht="17.25" thickBot="1" x14ac:dyDescent="0.35">
      <c r="A36" s="6"/>
      <c r="B36" s="11" t="s">
        <v>108</v>
      </c>
      <c r="C36" s="2">
        <v>16779</v>
      </c>
      <c r="D36" s="2">
        <v>21.816282000000001</v>
      </c>
      <c r="E36" s="2">
        <v>0.121744</v>
      </c>
      <c r="F36" s="2">
        <v>21.577565</v>
      </c>
      <c r="G36" s="2">
        <v>22.055</v>
      </c>
      <c r="I36" t="str">
        <f t="shared" si="0"/>
        <v>21.82 (21.58 to 22.06)</v>
      </c>
    </row>
    <row r="37" spans="1:9" ht="17.25" thickBot="1" x14ac:dyDescent="0.35">
      <c r="A37" s="6"/>
      <c r="B37" s="11" t="s">
        <v>109</v>
      </c>
      <c r="C37" s="2">
        <v>16779</v>
      </c>
      <c r="D37" s="2">
        <v>20.290711000000002</v>
      </c>
      <c r="E37" s="2">
        <v>0.18739600000000001</v>
      </c>
      <c r="F37" s="2">
        <v>19.923262000000001</v>
      </c>
      <c r="G37" s="2">
        <v>20.658159999999999</v>
      </c>
      <c r="I37" t="str">
        <f t="shared" si="0"/>
        <v>20.29 (19.92 to 20.66)</v>
      </c>
    </row>
    <row r="38" spans="1:9" ht="17.25" thickBot="1" x14ac:dyDescent="0.35">
      <c r="A38" s="6"/>
      <c r="B38" s="11" t="s">
        <v>110</v>
      </c>
      <c r="C38" s="2">
        <v>16779</v>
      </c>
      <c r="D38" s="2">
        <v>14.094488999999999</v>
      </c>
      <c r="E38" s="2">
        <v>1.4730999999999999E-2</v>
      </c>
      <c r="F38" s="2">
        <v>14.065602999999999</v>
      </c>
      <c r="G38" s="2">
        <v>14.123374999999999</v>
      </c>
      <c r="I38" t="str">
        <f t="shared" si="0"/>
        <v>14.09 (14.07 to 14.12)</v>
      </c>
    </row>
    <row r="39" spans="1:9" ht="17.25" thickBot="1" x14ac:dyDescent="0.35">
      <c r="A39" s="6"/>
      <c r="B39" s="11" t="s">
        <v>111</v>
      </c>
      <c r="C39" s="2">
        <v>16779</v>
      </c>
      <c r="D39" s="2">
        <v>14.146841999999999</v>
      </c>
      <c r="E39" s="2">
        <v>4.0482999999999998E-2</v>
      </c>
      <c r="F39" s="2">
        <v>14.067463</v>
      </c>
      <c r="G39" s="2">
        <v>14.22622</v>
      </c>
      <c r="I39" t="str">
        <f t="shared" si="0"/>
        <v>14.15 (14.07 to 14.23)</v>
      </c>
    </row>
    <row r="40" spans="1:9" ht="17.25" thickBot="1" x14ac:dyDescent="0.35">
      <c r="A40" s="6"/>
      <c r="B40" s="11" t="s">
        <v>112</v>
      </c>
      <c r="C40" s="2">
        <v>16779</v>
      </c>
      <c r="D40" s="2">
        <v>0.82913300000000001</v>
      </c>
      <c r="E40" s="2">
        <v>1.9250000000000001E-3</v>
      </c>
      <c r="F40" s="2">
        <v>0.82535700000000001</v>
      </c>
      <c r="G40" s="2">
        <v>0.83290799999999998</v>
      </c>
      <c r="I40" t="str">
        <f t="shared" si="0"/>
        <v>0.83 (0.83 to 0.83)</v>
      </c>
    </row>
    <row r="41" spans="1:9" ht="17.25" thickBot="1" x14ac:dyDescent="0.35">
      <c r="A41" s="6"/>
      <c r="B41" s="11" t="s">
        <v>113</v>
      </c>
      <c r="C41" s="2">
        <v>16779</v>
      </c>
      <c r="D41" s="2">
        <v>5.8088040000000003</v>
      </c>
      <c r="E41" s="2">
        <v>7.2989999999999999E-3</v>
      </c>
      <c r="F41" s="2">
        <v>5.7944930000000001</v>
      </c>
      <c r="G41" s="2">
        <v>5.8231149999999996</v>
      </c>
      <c r="I41" t="str">
        <f t="shared" si="0"/>
        <v>5.81 (5.79 to 5.82)</v>
      </c>
    </row>
    <row r="42" spans="1:9" ht="17.25" thickBot="1" x14ac:dyDescent="0.35">
      <c r="A42" s="6"/>
      <c r="B42" s="11" t="s">
        <v>114</v>
      </c>
      <c r="C42" s="2">
        <v>16779</v>
      </c>
      <c r="D42" s="2">
        <v>8.324605</v>
      </c>
      <c r="E42" s="2">
        <v>2.5330000000000001E-3</v>
      </c>
      <c r="F42" s="2">
        <v>8.3196379999999994</v>
      </c>
      <c r="G42" s="2">
        <v>8.3295720000000006</v>
      </c>
      <c r="I42" t="str">
        <f t="shared" si="0"/>
        <v>8.32 (8.32 to 8.33)</v>
      </c>
    </row>
    <row r="43" spans="1:9" ht="17.25" thickBot="1" x14ac:dyDescent="0.35">
      <c r="A43" s="6"/>
      <c r="B43" s="11" t="s">
        <v>115</v>
      </c>
      <c r="C43" s="2">
        <v>16779</v>
      </c>
      <c r="D43" s="2">
        <v>0.63965799999999995</v>
      </c>
      <c r="E43" s="2">
        <v>4.7699999999999999E-4</v>
      </c>
      <c r="F43" s="2">
        <v>0.63872399999999996</v>
      </c>
      <c r="G43" s="2">
        <v>0.64059299999999997</v>
      </c>
      <c r="I43" t="str">
        <f t="shared" si="0"/>
        <v>0.64 (0.64 to 0.64)</v>
      </c>
    </row>
    <row r="44" spans="1:9" ht="17.25" thickBot="1" x14ac:dyDescent="0.35">
      <c r="A44" s="6"/>
      <c r="B44" s="11" t="s">
        <v>116</v>
      </c>
      <c r="C44" s="2">
        <v>16779</v>
      </c>
      <c r="D44" s="2">
        <v>0.21429999999999999</v>
      </c>
      <c r="E44" s="2">
        <v>5.3700000000000004E-4</v>
      </c>
      <c r="F44" s="2">
        <v>0.21324799999999999</v>
      </c>
      <c r="G44" s="2">
        <v>0.21535199999999999</v>
      </c>
      <c r="I44" t="str">
        <f t="shared" si="0"/>
        <v>0.21 (0.21 to 0.22)</v>
      </c>
    </row>
    <row r="45" spans="1:9" ht="17.25" thickBot="1" x14ac:dyDescent="0.35">
      <c r="A45" s="6"/>
      <c r="B45" s="11" t="s">
        <v>117</v>
      </c>
      <c r="C45" s="2">
        <v>16779</v>
      </c>
      <c r="D45" s="2">
        <v>33.123961999999999</v>
      </c>
      <c r="E45" s="2">
        <v>5.0185E-2</v>
      </c>
      <c r="F45" s="2">
        <v>33.025559000000001</v>
      </c>
      <c r="G45" s="2">
        <v>33.222365000000003</v>
      </c>
      <c r="I45" t="str">
        <f t="shared" si="0"/>
        <v>33.12 (33.03 to 33.22)</v>
      </c>
    </row>
    <row r="46" spans="1:9" ht="17.25" thickBot="1" x14ac:dyDescent="0.35">
      <c r="A46" s="6">
        <v>3</v>
      </c>
      <c r="B46" s="11" t="s">
        <v>99</v>
      </c>
      <c r="C46" s="2">
        <v>17163</v>
      </c>
      <c r="D46" s="2">
        <v>47.460644000000002</v>
      </c>
      <c r="E46" s="2">
        <v>0.16158900000000001</v>
      </c>
      <c r="F46" s="2">
        <v>47.143797999999997</v>
      </c>
      <c r="G46" s="2">
        <v>47.77749</v>
      </c>
      <c r="I46" t="str">
        <f t="shared" si="0"/>
        <v>47.46 (47.14 to 47.78)</v>
      </c>
    </row>
    <row r="47" spans="1:9" ht="17.25" thickBot="1" x14ac:dyDescent="0.35">
      <c r="A47" s="6"/>
      <c r="B47" s="11" t="s">
        <v>100</v>
      </c>
      <c r="C47" s="2">
        <v>17163</v>
      </c>
      <c r="D47" s="2">
        <v>24.554966</v>
      </c>
      <c r="E47" s="2">
        <v>3.2833000000000001E-2</v>
      </c>
      <c r="F47" s="2">
        <v>24.490587000000001</v>
      </c>
      <c r="G47" s="2">
        <v>24.619346</v>
      </c>
      <c r="I47" t="str">
        <f t="shared" si="0"/>
        <v>24.55 (24.49 to 24.62)</v>
      </c>
    </row>
    <row r="48" spans="1:9" ht="17.25" thickBot="1" x14ac:dyDescent="0.35">
      <c r="A48" s="6"/>
      <c r="B48" s="11" t="s">
        <v>101</v>
      </c>
      <c r="C48" s="2">
        <v>17163</v>
      </c>
      <c r="D48" s="2">
        <v>84.633602999999994</v>
      </c>
      <c r="E48" s="2">
        <v>9.2428999999999997E-2</v>
      </c>
      <c r="F48" s="2">
        <v>84.452365999999998</v>
      </c>
      <c r="G48" s="2">
        <v>84.814840000000004</v>
      </c>
      <c r="I48" t="str">
        <f t="shared" si="0"/>
        <v>84.63 (84.45 to 84.81)</v>
      </c>
    </row>
    <row r="49" spans="1:9" ht="17.25" thickBot="1" x14ac:dyDescent="0.35">
      <c r="A49" s="6"/>
      <c r="B49" s="11" t="s">
        <v>102</v>
      </c>
      <c r="C49" s="2">
        <v>17163</v>
      </c>
      <c r="D49" s="2">
        <v>7.7960000000000002E-2</v>
      </c>
      <c r="E49" s="2">
        <v>4.6292000000000003E-5</v>
      </c>
      <c r="F49" s="2">
        <v>7.7868999999999994E-2</v>
      </c>
      <c r="G49" s="2">
        <v>7.8049999999999994E-2</v>
      </c>
      <c r="I49" t="str">
        <f t="shared" si="0"/>
        <v>0.08 (0.08 to 0.08)</v>
      </c>
    </row>
    <row r="50" spans="1:9" ht="17.25" thickBot="1" x14ac:dyDescent="0.35">
      <c r="A50" s="6"/>
      <c r="B50" s="11" t="s">
        <v>103</v>
      </c>
      <c r="C50" s="2">
        <v>17163</v>
      </c>
      <c r="D50" s="2">
        <v>119.19991</v>
      </c>
      <c r="E50" s="2">
        <v>0.151923</v>
      </c>
      <c r="F50" s="2">
        <v>118.902018</v>
      </c>
      <c r="G50" s="2">
        <v>119.497803</v>
      </c>
      <c r="I50" t="str">
        <f t="shared" si="0"/>
        <v>119.20 (118.90 to 119.50)</v>
      </c>
    </row>
    <row r="51" spans="1:9" ht="17.25" thickBot="1" x14ac:dyDescent="0.35">
      <c r="A51" s="6"/>
      <c r="B51" s="11" t="s">
        <v>104</v>
      </c>
      <c r="C51" s="2">
        <v>17163</v>
      </c>
      <c r="D51" s="2">
        <v>99.819384999999997</v>
      </c>
      <c r="E51" s="2">
        <v>0.19194</v>
      </c>
      <c r="F51" s="2">
        <v>99.443027000000001</v>
      </c>
      <c r="G51" s="2">
        <v>100.19574299999999</v>
      </c>
      <c r="I51" t="str">
        <f t="shared" si="0"/>
        <v>99.82 (99.44 to 100.20)</v>
      </c>
    </row>
    <row r="52" spans="1:9" ht="17.25" thickBot="1" x14ac:dyDescent="0.35">
      <c r="A52" s="6"/>
      <c r="B52" s="11" t="s">
        <v>105</v>
      </c>
      <c r="C52" s="2">
        <v>17163</v>
      </c>
      <c r="D52" s="2">
        <v>190.61246299999999</v>
      </c>
      <c r="E52" s="2">
        <v>0.34853600000000001</v>
      </c>
      <c r="F52" s="2">
        <v>189.92904999999999</v>
      </c>
      <c r="G52" s="2">
        <v>191.29587599999999</v>
      </c>
      <c r="I52" t="str">
        <f t="shared" si="0"/>
        <v>190.61 (189.93 to 191.30)</v>
      </c>
    </row>
    <row r="53" spans="1:9" ht="26.25" thickBot="1" x14ac:dyDescent="0.35">
      <c r="A53" s="6"/>
      <c r="B53" s="11" t="s">
        <v>106</v>
      </c>
      <c r="C53" s="2">
        <v>17163</v>
      </c>
      <c r="D53" s="2">
        <v>47.717804000000001</v>
      </c>
      <c r="E53" s="2">
        <v>7.7784000000000006E-2</v>
      </c>
      <c r="F53" s="2">
        <v>47.565285000000003</v>
      </c>
      <c r="G53" s="2">
        <v>47.870323999999997</v>
      </c>
      <c r="I53" t="str">
        <f t="shared" si="0"/>
        <v>47.72 (47.57 to 47.87)</v>
      </c>
    </row>
    <row r="54" spans="1:9" ht="17.25" thickBot="1" x14ac:dyDescent="0.35">
      <c r="A54" s="6"/>
      <c r="B54" s="11" t="s">
        <v>107</v>
      </c>
      <c r="C54" s="2">
        <v>17163</v>
      </c>
      <c r="D54" s="2">
        <v>127.741921</v>
      </c>
      <c r="E54" s="2">
        <v>0.24526800000000001</v>
      </c>
      <c r="F54" s="2">
        <v>127.260997</v>
      </c>
      <c r="G54" s="2">
        <v>128.22284500000001</v>
      </c>
      <c r="I54" t="str">
        <f t="shared" si="0"/>
        <v>127.74 (127.26 to 128.22)</v>
      </c>
    </row>
    <row r="55" spans="1:9" ht="17.25" thickBot="1" x14ac:dyDescent="0.35">
      <c r="A55" s="6"/>
      <c r="B55" s="11" t="s">
        <v>108</v>
      </c>
      <c r="C55" s="2">
        <v>17163</v>
      </c>
      <c r="D55" s="2">
        <v>23.345517999999998</v>
      </c>
      <c r="E55" s="2">
        <v>0.108655</v>
      </c>
      <c r="F55" s="2">
        <v>23.132465</v>
      </c>
      <c r="G55" s="2">
        <v>23.55857</v>
      </c>
      <c r="I55" t="str">
        <f t="shared" si="0"/>
        <v>23.35 (23.13 to 23.56)</v>
      </c>
    </row>
    <row r="56" spans="1:9" ht="17.25" thickBot="1" x14ac:dyDescent="0.35">
      <c r="A56" s="6"/>
      <c r="B56" s="11" t="s">
        <v>109</v>
      </c>
      <c r="C56" s="2">
        <v>17163</v>
      </c>
      <c r="D56" s="2">
        <v>24.430323999999999</v>
      </c>
      <c r="E56" s="2">
        <v>0.18895200000000001</v>
      </c>
      <c r="F56" s="2">
        <v>24.059825</v>
      </c>
      <c r="G56" s="2">
        <v>24.800823999999999</v>
      </c>
      <c r="I56" t="str">
        <f t="shared" si="0"/>
        <v>24.43 (24.06 to 24.80)</v>
      </c>
    </row>
    <row r="57" spans="1:9" ht="17.25" thickBot="1" x14ac:dyDescent="0.35">
      <c r="A57" s="6"/>
      <c r="B57" s="11" t="s">
        <v>110</v>
      </c>
      <c r="C57" s="2">
        <v>17163</v>
      </c>
      <c r="D57" s="2">
        <v>14.464694</v>
      </c>
      <c r="E57" s="2">
        <v>1.5053E-2</v>
      </c>
      <c r="F57" s="2">
        <v>14.435178000000001</v>
      </c>
      <c r="G57" s="2">
        <v>14.494209</v>
      </c>
      <c r="I57" t="str">
        <f t="shared" si="0"/>
        <v>14.46 (14.44 to 14.49)</v>
      </c>
    </row>
    <row r="58" spans="1:9" ht="17.25" thickBot="1" x14ac:dyDescent="0.35">
      <c r="A58" s="6"/>
      <c r="B58" s="11" t="s">
        <v>111</v>
      </c>
      <c r="C58" s="2">
        <v>17163</v>
      </c>
      <c r="D58" s="2">
        <v>14.395788</v>
      </c>
      <c r="E58" s="2">
        <v>4.0231000000000003E-2</v>
      </c>
      <c r="F58" s="2">
        <v>14.316903</v>
      </c>
      <c r="G58" s="2">
        <v>14.474672999999999</v>
      </c>
      <c r="I58" t="str">
        <f t="shared" si="0"/>
        <v>14.40 (14.32 to 14.47)</v>
      </c>
    </row>
    <row r="59" spans="1:9" ht="17.25" thickBot="1" x14ac:dyDescent="0.35">
      <c r="A59" s="6"/>
      <c r="B59" s="11" t="s">
        <v>112</v>
      </c>
      <c r="C59" s="2">
        <v>17163</v>
      </c>
      <c r="D59" s="2">
        <v>0.86927399999999999</v>
      </c>
      <c r="E59" s="2">
        <v>2.3640000000000002E-3</v>
      </c>
      <c r="F59" s="2">
        <v>0.86463800000000002</v>
      </c>
      <c r="G59" s="2">
        <v>0.87391099999999999</v>
      </c>
      <c r="I59" t="str">
        <f t="shared" si="0"/>
        <v>0.87 (0.86 to 0.87)</v>
      </c>
    </row>
    <row r="60" spans="1:9" ht="17.25" thickBot="1" x14ac:dyDescent="0.35">
      <c r="A60" s="6"/>
      <c r="B60" s="11" t="s">
        <v>113</v>
      </c>
      <c r="C60" s="2">
        <v>17163</v>
      </c>
      <c r="D60" s="2">
        <v>5.7596819999999997</v>
      </c>
      <c r="E60" s="2">
        <v>7.1139999999999997E-3</v>
      </c>
      <c r="F60" s="2">
        <v>5.7457339999999997</v>
      </c>
      <c r="G60" s="2">
        <v>5.773631</v>
      </c>
      <c r="I60" t="str">
        <f t="shared" si="0"/>
        <v>5.76 (5.75 to 5.77)</v>
      </c>
    </row>
    <row r="61" spans="1:9" ht="17.25" thickBot="1" x14ac:dyDescent="0.35">
      <c r="A61" s="6"/>
      <c r="B61" s="11" t="s">
        <v>114</v>
      </c>
      <c r="C61" s="2">
        <v>17163</v>
      </c>
      <c r="D61" s="2">
        <v>8.7236019999999996</v>
      </c>
      <c r="E61" s="2">
        <v>2.513E-3</v>
      </c>
      <c r="F61" s="2">
        <v>8.7186730000000008</v>
      </c>
      <c r="G61" s="2">
        <v>8.7285299999999992</v>
      </c>
      <c r="I61" t="str">
        <f t="shared" si="0"/>
        <v>8.72 (8.72 to 8.73)</v>
      </c>
    </row>
    <row r="62" spans="1:9" ht="17.25" thickBot="1" x14ac:dyDescent="0.35">
      <c r="A62" s="6"/>
      <c r="B62" s="11" t="s">
        <v>115</v>
      </c>
      <c r="C62" s="2">
        <v>17163</v>
      </c>
      <c r="D62" s="2">
        <v>0.68028900000000003</v>
      </c>
      <c r="E62" s="2">
        <v>4.8099999999999998E-4</v>
      </c>
      <c r="F62" s="2">
        <v>0.67934700000000003</v>
      </c>
      <c r="G62" s="2">
        <v>0.68123199999999995</v>
      </c>
      <c r="I62" t="str">
        <f t="shared" si="0"/>
        <v>0.68 (0.68 to 0.68)</v>
      </c>
    </row>
    <row r="63" spans="1:9" ht="17.25" thickBot="1" x14ac:dyDescent="0.35">
      <c r="A63" s="6"/>
      <c r="B63" s="11" t="s">
        <v>116</v>
      </c>
      <c r="C63" s="2">
        <v>17163</v>
      </c>
      <c r="D63" s="2">
        <v>0.42502800000000002</v>
      </c>
      <c r="E63" s="2">
        <v>5.8399999999999999E-4</v>
      </c>
      <c r="F63" s="2">
        <v>0.42388300000000001</v>
      </c>
      <c r="G63" s="2">
        <v>0.426172</v>
      </c>
      <c r="I63" t="str">
        <f t="shared" si="0"/>
        <v>0.43 (0.42 to 0.43)</v>
      </c>
    </row>
    <row r="64" spans="1:9" ht="17.25" thickBot="1" x14ac:dyDescent="0.35">
      <c r="A64" s="6"/>
      <c r="B64" s="11" t="s">
        <v>117</v>
      </c>
      <c r="C64" s="2">
        <v>17163</v>
      </c>
      <c r="D64" s="2">
        <v>36.952969000000003</v>
      </c>
      <c r="E64" s="2">
        <v>5.3601999999999997E-2</v>
      </c>
      <c r="F64" s="2">
        <v>36.847864999999999</v>
      </c>
      <c r="G64" s="2">
        <v>37.058073</v>
      </c>
      <c r="I64" t="str">
        <f t="shared" si="0"/>
        <v>36.95 (36.85 to 37.06)</v>
      </c>
    </row>
    <row r="65" spans="1:9" ht="17.25" thickBot="1" x14ac:dyDescent="0.35">
      <c r="A65" s="6">
        <v>4</v>
      </c>
      <c r="B65" s="11" t="s">
        <v>99</v>
      </c>
      <c r="C65" s="2">
        <v>18046</v>
      </c>
      <c r="D65" s="2">
        <v>48.233162</v>
      </c>
      <c r="E65" s="2">
        <v>0.142878</v>
      </c>
      <c r="F65" s="2">
        <v>47.953004</v>
      </c>
      <c r="G65" s="2">
        <v>48.51332</v>
      </c>
      <c r="I65" t="str">
        <f t="shared" si="0"/>
        <v>48.23 (47.95 to 48.51)</v>
      </c>
    </row>
    <row r="66" spans="1:9" ht="17.25" thickBot="1" x14ac:dyDescent="0.35">
      <c r="A66" s="6"/>
      <c r="B66" s="11" t="s">
        <v>100</v>
      </c>
      <c r="C66" s="2">
        <v>18046</v>
      </c>
      <c r="D66" s="2">
        <v>25.639364</v>
      </c>
      <c r="E66" s="2">
        <v>3.2493000000000001E-2</v>
      </c>
      <c r="F66" s="2">
        <v>25.575651000000001</v>
      </c>
      <c r="G66" s="2">
        <v>25.703078000000001</v>
      </c>
      <c r="I66" t="str">
        <f t="shared" si="0"/>
        <v>25.64 (25.58 to 25.70)</v>
      </c>
    </row>
    <row r="67" spans="1:9" ht="17.25" thickBot="1" x14ac:dyDescent="0.35">
      <c r="A67" s="6"/>
      <c r="B67" s="11" t="s">
        <v>101</v>
      </c>
      <c r="C67" s="2">
        <v>18046</v>
      </c>
      <c r="D67" s="2">
        <v>88.313753000000005</v>
      </c>
      <c r="E67" s="2">
        <v>8.5521E-2</v>
      </c>
      <c r="F67" s="2">
        <v>88.146062000000001</v>
      </c>
      <c r="G67" s="2">
        <v>88.481444999999994</v>
      </c>
      <c r="I67" t="str">
        <f t="shared" si="0"/>
        <v>88.31 (88.15 to 88.48)</v>
      </c>
    </row>
    <row r="68" spans="1:9" ht="17.25" thickBot="1" x14ac:dyDescent="0.35">
      <c r="A68" s="6"/>
      <c r="B68" s="11" t="s">
        <v>102</v>
      </c>
      <c r="C68" s="2">
        <v>18046</v>
      </c>
      <c r="D68" s="2">
        <v>7.8719999999999998E-2</v>
      </c>
      <c r="E68" s="2">
        <v>4.4762000000000003E-5</v>
      </c>
      <c r="F68" s="2">
        <v>7.8632999999999995E-2</v>
      </c>
      <c r="G68" s="2">
        <v>7.8808000000000003E-2</v>
      </c>
      <c r="I68" t="str">
        <f t="shared" si="0"/>
        <v>0.08 (0.08 to 0.08)</v>
      </c>
    </row>
    <row r="69" spans="1:9" ht="17.25" thickBot="1" x14ac:dyDescent="0.35">
      <c r="A69" s="6"/>
      <c r="B69" s="11" t="s">
        <v>103</v>
      </c>
      <c r="C69" s="2">
        <v>18046</v>
      </c>
      <c r="D69" s="2">
        <v>122.224161</v>
      </c>
      <c r="E69" s="2">
        <v>0.14438599999999999</v>
      </c>
      <c r="F69" s="2">
        <v>121.941047</v>
      </c>
      <c r="G69" s="2">
        <v>122.507276</v>
      </c>
      <c r="I69" t="str">
        <f t="shared" si="0"/>
        <v>122.22 (121.94 to 122.51)</v>
      </c>
    </row>
    <row r="70" spans="1:9" ht="17.25" thickBot="1" x14ac:dyDescent="0.35">
      <c r="A70" s="6"/>
      <c r="B70" s="11" t="s">
        <v>104</v>
      </c>
      <c r="C70" s="2">
        <v>18046</v>
      </c>
      <c r="D70" s="2">
        <v>105.787087</v>
      </c>
      <c r="E70" s="2">
        <v>0.24698200000000001</v>
      </c>
      <c r="F70" s="2">
        <v>105.302801</v>
      </c>
      <c r="G70" s="2">
        <v>106.271372</v>
      </c>
      <c r="I70" t="str">
        <f t="shared" si="0"/>
        <v>105.79 (105.30 to 106.27)</v>
      </c>
    </row>
    <row r="71" spans="1:9" ht="17.25" thickBot="1" x14ac:dyDescent="0.35">
      <c r="A71" s="6"/>
      <c r="B71" s="11" t="s">
        <v>105</v>
      </c>
      <c r="C71" s="2">
        <v>18046</v>
      </c>
      <c r="D71" s="2">
        <v>200.96261000000001</v>
      </c>
      <c r="E71" s="2">
        <v>0.35008099999999998</v>
      </c>
      <c r="F71" s="2">
        <v>200.27616699999999</v>
      </c>
      <c r="G71" s="2">
        <v>201.64905200000001</v>
      </c>
      <c r="I71" t="str">
        <f t="shared" si="0"/>
        <v>200.96 (200.28 to 201.65)</v>
      </c>
    </row>
    <row r="72" spans="1:9" ht="26.25" thickBot="1" x14ac:dyDescent="0.35">
      <c r="A72" s="6"/>
      <c r="B72" s="11" t="s">
        <v>106</v>
      </c>
      <c r="C72" s="2">
        <v>18046</v>
      </c>
      <c r="D72" s="2">
        <v>40.675513000000002</v>
      </c>
      <c r="E72" s="2">
        <v>6.9530999999999996E-2</v>
      </c>
      <c r="F72" s="2">
        <v>40.539175</v>
      </c>
      <c r="G72" s="2">
        <v>40.81185</v>
      </c>
      <c r="I72" t="str">
        <f t="shared" si="0"/>
        <v>40.68 (40.54 to 40.81)</v>
      </c>
    </row>
    <row r="73" spans="1:9" ht="17.25" thickBot="1" x14ac:dyDescent="0.35">
      <c r="A73" s="6"/>
      <c r="B73" s="11" t="s">
        <v>107</v>
      </c>
      <c r="C73" s="2">
        <v>18046</v>
      </c>
      <c r="D73" s="2">
        <v>257.16875099999999</v>
      </c>
      <c r="E73" s="2">
        <v>1.551304</v>
      </c>
      <c r="F73" s="2">
        <v>254.126936</v>
      </c>
      <c r="G73" s="2">
        <v>260.21056499999997</v>
      </c>
      <c r="I73" t="str">
        <f t="shared" ref="I73:I83" si="1">TEXT(D73,"0.00")&amp;" ("&amp;TEXT(F73,"0.00")&amp;" to "&amp;TEXT(G73,"0.00")&amp;")"</f>
        <v>257.17 (254.13 to 260.21)</v>
      </c>
    </row>
    <row r="74" spans="1:9" ht="17.25" thickBot="1" x14ac:dyDescent="0.35">
      <c r="A74" s="6"/>
      <c r="B74" s="11" t="s">
        <v>108</v>
      </c>
      <c r="C74" s="2">
        <v>18046</v>
      </c>
      <c r="D74" s="2">
        <v>26.839846999999999</v>
      </c>
      <c r="E74" s="2">
        <v>0.15060100000000001</v>
      </c>
      <c r="F74" s="2">
        <v>26.544546</v>
      </c>
      <c r="G74" s="2">
        <v>27.135147</v>
      </c>
      <c r="I74" t="str">
        <f t="shared" si="1"/>
        <v>26.84 (26.54 to 27.14)</v>
      </c>
    </row>
    <row r="75" spans="1:9" ht="17.25" thickBot="1" x14ac:dyDescent="0.35">
      <c r="A75" s="6"/>
      <c r="B75" s="11" t="s">
        <v>109</v>
      </c>
      <c r="C75" s="2">
        <v>18046</v>
      </c>
      <c r="D75" s="2">
        <v>31.607662999999999</v>
      </c>
      <c r="E75" s="2">
        <v>0.234653</v>
      </c>
      <c r="F75" s="2">
        <v>31.147552000000001</v>
      </c>
      <c r="G75" s="2">
        <v>32.067773000000003</v>
      </c>
      <c r="I75" t="str">
        <f t="shared" si="1"/>
        <v>31.61 (31.15 to 32.07)</v>
      </c>
    </row>
    <row r="76" spans="1:9" ht="17.25" thickBot="1" x14ac:dyDescent="0.35">
      <c r="A76" s="6"/>
      <c r="B76" s="11" t="s">
        <v>110</v>
      </c>
      <c r="C76" s="2">
        <v>18046</v>
      </c>
      <c r="D76" s="2">
        <v>14.926033</v>
      </c>
      <c r="E76" s="2">
        <v>1.3254E-2</v>
      </c>
      <c r="F76" s="2">
        <v>14.900043999999999</v>
      </c>
      <c r="G76" s="2">
        <v>14.952023000000001</v>
      </c>
      <c r="I76" t="str">
        <f t="shared" si="1"/>
        <v>14.93 (14.90 to 14.95)</v>
      </c>
    </row>
    <row r="77" spans="1:9" ht="17.25" thickBot="1" x14ac:dyDescent="0.35">
      <c r="A77" s="6"/>
      <c r="B77" s="11" t="s">
        <v>111</v>
      </c>
      <c r="C77" s="2">
        <v>18046</v>
      </c>
      <c r="D77" s="2">
        <v>14.403252</v>
      </c>
      <c r="E77" s="2">
        <v>3.8064000000000001E-2</v>
      </c>
      <c r="F77" s="2">
        <v>14.328616999999999</v>
      </c>
      <c r="G77" s="2">
        <v>14.477888</v>
      </c>
      <c r="I77" t="str">
        <f t="shared" si="1"/>
        <v>14.40 (14.33 to 14.48)</v>
      </c>
    </row>
    <row r="78" spans="1:9" ht="17.25" thickBot="1" x14ac:dyDescent="0.35">
      <c r="A78" s="6"/>
      <c r="B78" s="11" t="s">
        <v>112</v>
      </c>
      <c r="C78" s="2">
        <v>18046</v>
      </c>
      <c r="D78" s="2">
        <v>0.90450299999999995</v>
      </c>
      <c r="E78" s="2">
        <v>2.0170000000000001E-3</v>
      </c>
      <c r="F78" s="2">
        <v>0.90054900000000004</v>
      </c>
      <c r="G78" s="2">
        <v>0.90845799999999999</v>
      </c>
      <c r="I78" t="str">
        <f t="shared" si="1"/>
        <v>0.90 (0.90 to 0.91)</v>
      </c>
    </row>
    <row r="79" spans="1:9" ht="17.25" thickBot="1" x14ac:dyDescent="0.35">
      <c r="A79" s="6"/>
      <c r="B79" s="11" t="s">
        <v>113</v>
      </c>
      <c r="C79" s="2">
        <v>18046</v>
      </c>
      <c r="D79" s="2">
        <v>5.642798</v>
      </c>
      <c r="E79" s="2">
        <v>6.8649999999999996E-3</v>
      </c>
      <c r="F79" s="2">
        <v>5.6293379999999997</v>
      </c>
      <c r="G79" s="2">
        <v>5.6562590000000004</v>
      </c>
      <c r="I79" t="str">
        <f t="shared" si="1"/>
        <v>5.64 (5.63 to 5.66)</v>
      </c>
    </row>
    <row r="80" spans="1:9" ht="17.25" thickBot="1" x14ac:dyDescent="0.35">
      <c r="A80" s="6"/>
      <c r="B80" s="11" t="s">
        <v>114</v>
      </c>
      <c r="C80" s="2">
        <v>18046</v>
      </c>
      <c r="D80" s="2">
        <v>9.3889829999999996</v>
      </c>
      <c r="E80" s="2">
        <v>4.4619999999999998E-3</v>
      </c>
      <c r="F80" s="2">
        <v>9.3802350000000008</v>
      </c>
      <c r="G80" s="2">
        <v>9.3977319999999995</v>
      </c>
      <c r="I80" t="str">
        <f t="shared" si="1"/>
        <v>9.39 (9.38 to 9.40)</v>
      </c>
    </row>
    <row r="81" spans="1:9" ht="17.25" thickBot="1" x14ac:dyDescent="0.35">
      <c r="A81" s="6"/>
      <c r="B81" s="11" t="s">
        <v>115</v>
      </c>
      <c r="C81" s="2">
        <v>18046</v>
      </c>
      <c r="D81" s="2">
        <v>0.73929100000000003</v>
      </c>
      <c r="E81" s="2">
        <v>5.7700000000000004E-4</v>
      </c>
      <c r="F81" s="2">
        <v>0.73815900000000001</v>
      </c>
      <c r="G81" s="2">
        <v>0.74042200000000002</v>
      </c>
      <c r="I81" t="str">
        <f t="shared" si="1"/>
        <v>0.74 (0.74 to 0.74)</v>
      </c>
    </row>
    <row r="82" spans="1:9" ht="17.25" thickBot="1" x14ac:dyDescent="0.35">
      <c r="A82" s="6"/>
      <c r="B82" s="11" t="s">
        <v>116</v>
      </c>
      <c r="C82" s="2">
        <v>18046</v>
      </c>
      <c r="D82" s="2">
        <v>0.76253099999999996</v>
      </c>
      <c r="E82" s="2">
        <v>1.7910000000000001E-3</v>
      </c>
      <c r="F82" s="2">
        <v>0.759019</v>
      </c>
      <c r="G82" s="2">
        <v>0.76604300000000003</v>
      </c>
      <c r="I82" t="str">
        <f t="shared" si="1"/>
        <v>0.76 (0.76 to 0.77)</v>
      </c>
    </row>
    <row r="83" spans="1:9" x14ac:dyDescent="0.3">
      <c r="A83" s="6"/>
      <c r="B83" s="14" t="s">
        <v>117</v>
      </c>
      <c r="C83" s="2">
        <v>18046</v>
      </c>
      <c r="D83" s="2">
        <v>42.589221999999999</v>
      </c>
      <c r="E83" s="2">
        <v>6.2329000000000002E-2</v>
      </c>
      <c r="F83" s="2">
        <v>42.467007000000002</v>
      </c>
      <c r="G83" s="2">
        <v>42.711438000000001</v>
      </c>
      <c r="I83" t="str">
        <f t="shared" si="1"/>
        <v>42.59 (42.47 to 42.71)</v>
      </c>
    </row>
  </sheetData>
  <mergeCells count="6">
    <mergeCell ref="A5:G5"/>
    <mergeCell ref="A6:A7"/>
    <mergeCell ref="B6:B7"/>
    <mergeCell ref="C6:C7"/>
    <mergeCell ref="D6:D7"/>
    <mergeCell ref="F6:G7"/>
  </mergeCells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F0B32-6B09-4046-A700-AB99DE882AD3}">
  <dimension ref="A1:I83"/>
  <sheetViews>
    <sheetView topLeftCell="A57" workbookViewId="0">
      <selection activeCell="I83" sqref="I83"/>
    </sheetView>
  </sheetViews>
  <sheetFormatPr defaultRowHeight="16.5" x14ac:dyDescent="0.3"/>
  <cols>
    <col min="9" max="9" width="23.875" bestFit="1" customWidth="1"/>
  </cols>
  <sheetData>
    <row r="1" spans="1:9" x14ac:dyDescent="0.3">
      <c r="A1" s="1" t="s">
        <v>237</v>
      </c>
    </row>
    <row r="3" spans="1:9" x14ac:dyDescent="0.3">
      <c r="A3" s="1" t="s">
        <v>21</v>
      </c>
    </row>
    <row r="4" spans="1:9" ht="17.25" thickBot="1" x14ac:dyDescent="0.35"/>
    <row r="5" spans="1:9" ht="16.5" customHeight="1" x14ac:dyDescent="0.3">
      <c r="A5" s="16" t="s">
        <v>247</v>
      </c>
      <c r="B5" s="18"/>
      <c r="C5" s="18"/>
      <c r="D5" s="18"/>
      <c r="E5" s="18"/>
      <c r="F5" s="18"/>
      <c r="G5" s="18"/>
    </row>
    <row r="6" spans="1:9" ht="16.5" customHeight="1" x14ac:dyDescent="0.3">
      <c r="A6" s="17" t="s">
        <v>77</v>
      </c>
      <c r="B6" s="19" t="s">
        <v>239</v>
      </c>
      <c r="C6" s="19" t="s">
        <v>94</v>
      </c>
      <c r="D6" s="19" t="s">
        <v>240</v>
      </c>
      <c r="E6" s="3" t="s">
        <v>241</v>
      </c>
      <c r="F6" s="19" t="s">
        <v>243</v>
      </c>
      <c r="G6" s="19"/>
    </row>
    <row r="7" spans="1:9" x14ac:dyDescent="0.3">
      <c r="A7" s="17"/>
      <c r="B7" s="19"/>
      <c r="C7" s="19"/>
      <c r="D7" s="19"/>
      <c r="E7" s="3" t="s">
        <v>242</v>
      </c>
      <c r="F7" s="19"/>
      <c r="G7" s="19"/>
    </row>
    <row r="8" spans="1:9" ht="17.25" thickBot="1" x14ac:dyDescent="0.35">
      <c r="A8" s="6">
        <v>1</v>
      </c>
      <c r="B8" s="11" t="s">
        <v>99</v>
      </c>
      <c r="C8" s="2">
        <v>15457</v>
      </c>
      <c r="D8" s="2">
        <v>39.297024</v>
      </c>
      <c r="E8" s="2">
        <v>0.147679</v>
      </c>
      <c r="F8" s="2">
        <v>39.007452999999998</v>
      </c>
      <c r="G8" s="2">
        <v>39.586596</v>
      </c>
      <c r="I8" t="str">
        <f>TEXT(D8,"0.00")&amp;" ("&amp;TEXT(F8,"0.00")&amp;" to "&amp;TEXT(G8,"0.00")&amp;")"</f>
        <v>39.30 (39.01 to 39.59)</v>
      </c>
    </row>
    <row r="9" spans="1:9" ht="17.25" thickBot="1" x14ac:dyDescent="0.35">
      <c r="A9" s="6"/>
      <c r="B9" s="11" t="s">
        <v>100</v>
      </c>
      <c r="C9" s="2">
        <v>15457</v>
      </c>
      <c r="D9" s="2">
        <v>19.909758</v>
      </c>
      <c r="E9" s="2">
        <v>1.5468000000000001E-2</v>
      </c>
      <c r="F9" s="2">
        <v>19.879428999999998</v>
      </c>
      <c r="G9" s="2">
        <v>19.940087999999999</v>
      </c>
      <c r="I9" t="str">
        <f t="shared" ref="I9:I72" si="0">TEXT(D9,"0.00")&amp;" ("&amp;TEXT(F9,"0.00")&amp;" to "&amp;TEXT(G9,"0.00")&amp;")"</f>
        <v>19.91 (19.88 to 19.94)</v>
      </c>
    </row>
    <row r="10" spans="1:9" ht="17.25" thickBot="1" x14ac:dyDescent="0.35">
      <c r="A10" s="6"/>
      <c r="B10" s="11" t="s">
        <v>101</v>
      </c>
      <c r="C10" s="2">
        <v>15457</v>
      </c>
      <c r="D10" s="2">
        <v>70.616902999999994</v>
      </c>
      <c r="E10" s="2">
        <v>6.0128000000000001E-2</v>
      </c>
      <c r="F10" s="2">
        <v>70.499003000000002</v>
      </c>
      <c r="G10" s="2">
        <v>70.734802999999999</v>
      </c>
      <c r="I10" t="str">
        <f t="shared" si="0"/>
        <v>70.62 (70.50 to 70.73)</v>
      </c>
    </row>
    <row r="11" spans="1:9" ht="17.25" thickBot="1" x14ac:dyDescent="0.35">
      <c r="A11" s="6"/>
      <c r="B11" s="11" t="s">
        <v>102</v>
      </c>
      <c r="C11" s="2">
        <v>15457</v>
      </c>
      <c r="D11" s="2">
        <v>7.5181999999999999E-2</v>
      </c>
      <c r="E11" s="2">
        <v>4.8053999999999998E-5</v>
      </c>
      <c r="F11" s="2">
        <v>7.5088000000000002E-2</v>
      </c>
      <c r="G11" s="2">
        <v>7.5275999999999996E-2</v>
      </c>
      <c r="I11" t="str">
        <f t="shared" si="0"/>
        <v>0.08 (0.08 to 0.08)</v>
      </c>
    </row>
    <row r="12" spans="1:9" ht="17.25" thickBot="1" x14ac:dyDescent="0.35">
      <c r="A12" s="6"/>
      <c r="B12" s="11" t="s">
        <v>103</v>
      </c>
      <c r="C12" s="2">
        <v>15457</v>
      </c>
      <c r="D12" s="2">
        <v>109.651555</v>
      </c>
      <c r="E12" s="2">
        <v>0.13753899999999999</v>
      </c>
      <c r="F12" s="2">
        <v>109.381868</v>
      </c>
      <c r="G12" s="2">
        <v>109.92124200000001</v>
      </c>
      <c r="I12" t="str">
        <f t="shared" si="0"/>
        <v>109.65 (109.38 to 109.92)</v>
      </c>
    </row>
    <row r="13" spans="1:9" ht="17.25" thickBot="1" x14ac:dyDescent="0.35">
      <c r="A13" s="6"/>
      <c r="B13" s="11" t="s">
        <v>104</v>
      </c>
      <c r="C13" s="2">
        <v>15457</v>
      </c>
      <c r="D13" s="2">
        <v>89.670130999999998</v>
      </c>
      <c r="E13" s="2">
        <v>9.3564999999999995E-2</v>
      </c>
      <c r="F13" s="2">
        <v>89.486666999999997</v>
      </c>
      <c r="G13" s="2">
        <v>89.853594999999999</v>
      </c>
      <c r="I13" t="str">
        <f t="shared" si="0"/>
        <v>89.67 (89.49 to 89.85)</v>
      </c>
    </row>
    <row r="14" spans="1:9" ht="17.25" thickBot="1" x14ac:dyDescent="0.35">
      <c r="A14" s="6"/>
      <c r="B14" s="11" t="s">
        <v>105</v>
      </c>
      <c r="C14" s="2">
        <v>15457</v>
      </c>
      <c r="D14" s="2">
        <v>183.060126</v>
      </c>
      <c r="E14" s="2">
        <v>0.32276300000000002</v>
      </c>
      <c r="F14" s="2">
        <v>182.42724799999999</v>
      </c>
      <c r="G14" s="2">
        <v>183.693004</v>
      </c>
      <c r="I14" t="str">
        <f t="shared" si="0"/>
        <v>183.06 (182.43 to 183.69)</v>
      </c>
    </row>
    <row r="15" spans="1:9" ht="26.25" thickBot="1" x14ac:dyDescent="0.35">
      <c r="A15" s="6"/>
      <c r="B15" s="11" t="s">
        <v>106</v>
      </c>
      <c r="C15" s="2">
        <v>15457</v>
      </c>
      <c r="D15" s="2">
        <v>62.833874999999999</v>
      </c>
      <c r="E15" s="2">
        <v>0.12737499999999999</v>
      </c>
      <c r="F15" s="2">
        <v>62.584116000000002</v>
      </c>
      <c r="G15" s="2">
        <v>63.083632999999999</v>
      </c>
      <c r="I15" t="str">
        <f t="shared" si="0"/>
        <v>62.83 (62.58 to 63.08)</v>
      </c>
    </row>
    <row r="16" spans="1:9" ht="17.25" thickBot="1" x14ac:dyDescent="0.35">
      <c r="A16" s="6"/>
      <c r="B16" s="11" t="s">
        <v>107</v>
      </c>
      <c r="C16" s="2">
        <v>15457</v>
      </c>
      <c r="D16" s="2">
        <v>74.648712000000003</v>
      </c>
      <c r="E16" s="2">
        <v>0.32912999999999998</v>
      </c>
      <c r="F16" s="2">
        <v>74.003349</v>
      </c>
      <c r="G16" s="2">
        <v>75.294075000000007</v>
      </c>
      <c r="I16" t="str">
        <f t="shared" si="0"/>
        <v>74.65 (74.00 to 75.29)</v>
      </c>
    </row>
    <row r="17" spans="1:9" ht="17.25" thickBot="1" x14ac:dyDescent="0.35">
      <c r="A17" s="6"/>
      <c r="B17" s="11" t="s">
        <v>108</v>
      </c>
      <c r="C17" s="2">
        <v>15457</v>
      </c>
      <c r="D17" s="2">
        <v>20.245488999999999</v>
      </c>
      <c r="E17" s="2">
        <v>0.104323</v>
      </c>
      <c r="F17" s="2">
        <v>20.040932000000002</v>
      </c>
      <c r="G17" s="2">
        <v>20.450046</v>
      </c>
      <c r="I17" t="str">
        <f t="shared" si="0"/>
        <v>20.25 (20.04 to 20.45)</v>
      </c>
    </row>
    <row r="18" spans="1:9" ht="17.25" thickBot="1" x14ac:dyDescent="0.35">
      <c r="A18" s="6"/>
      <c r="B18" s="11" t="s">
        <v>109</v>
      </c>
      <c r="C18" s="2">
        <v>15457</v>
      </c>
      <c r="D18" s="2">
        <v>15.434498</v>
      </c>
      <c r="E18" s="2">
        <v>0.100899</v>
      </c>
      <c r="F18" s="2">
        <v>15.236655000000001</v>
      </c>
      <c r="G18" s="2">
        <v>15.632342</v>
      </c>
      <c r="I18" t="str">
        <f t="shared" si="0"/>
        <v>15.43 (15.24 to 15.63)</v>
      </c>
    </row>
    <row r="19" spans="1:9" ht="17.25" thickBot="1" x14ac:dyDescent="0.35">
      <c r="A19" s="6"/>
      <c r="B19" s="11" t="s">
        <v>110</v>
      </c>
      <c r="C19" s="2">
        <v>15457</v>
      </c>
      <c r="D19" s="2">
        <v>13.601652</v>
      </c>
      <c r="E19" s="2">
        <v>1.5890999999999999E-2</v>
      </c>
      <c r="F19" s="2">
        <v>13.570493000000001</v>
      </c>
      <c r="G19" s="2">
        <v>13.632809999999999</v>
      </c>
      <c r="I19" t="str">
        <f t="shared" si="0"/>
        <v>13.60 (13.57 to 13.63)</v>
      </c>
    </row>
    <row r="20" spans="1:9" ht="17.25" thickBot="1" x14ac:dyDescent="0.35">
      <c r="A20" s="6"/>
      <c r="B20" s="11" t="s">
        <v>111</v>
      </c>
      <c r="C20" s="2">
        <v>15457</v>
      </c>
      <c r="D20" s="2">
        <v>13.241277999999999</v>
      </c>
      <c r="E20" s="2">
        <v>4.1175999999999997E-2</v>
      </c>
      <c r="F20" s="2">
        <v>13.160539999999999</v>
      </c>
      <c r="G20" s="2">
        <v>13.322016</v>
      </c>
      <c r="I20" t="str">
        <f t="shared" si="0"/>
        <v>13.24 (13.16 to 13.32)</v>
      </c>
    </row>
    <row r="21" spans="1:9" ht="17.25" thickBot="1" x14ac:dyDescent="0.35">
      <c r="A21" s="6"/>
      <c r="B21" s="11" t="s">
        <v>112</v>
      </c>
      <c r="C21" s="2">
        <v>15457</v>
      </c>
      <c r="D21" s="2">
        <v>0.77746400000000004</v>
      </c>
      <c r="E21" s="2">
        <v>2.1940000000000002E-3</v>
      </c>
      <c r="F21" s="2">
        <v>0.77316099999999999</v>
      </c>
      <c r="G21" s="2">
        <v>0.78176699999999999</v>
      </c>
      <c r="I21" t="str">
        <f t="shared" si="0"/>
        <v>0.78 (0.77 to 0.78)</v>
      </c>
    </row>
    <row r="22" spans="1:9" ht="17.25" thickBot="1" x14ac:dyDescent="0.35">
      <c r="A22" s="6"/>
      <c r="B22" s="11" t="s">
        <v>113</v>
      </c>
      <c r="C22" s="2">
        <v>15457</v>
      </c>
      <c r="D22" s="2">
        <v>5.8156350000000003</v>
      </c>
      <c r="E22" s="2">
        <v>7.3850000000000001E-3</v>
      </c>
      <c r="F22" s="2">
        <v>5.8011530000000002</v>
      </c>
      <c r="G22" s="2">
        <v>5.8301160000000003</v>
      </c>
      <c r="I22" t="str">
        <f t="shared" si="0"/>
        <v>5.82 (5.80 to 5.83)</v>
      </c>
    </row>
    <row r="23" spans="1:9" ht="17.25" thickBot="1" x14ac:dyDescent="0.35">
      <c r="A23" s="6"/>
      <c r="B23" s="11" t="s">
        <v>114</v>
      </c>
      <c r="C23" s="2">
        <v>15457</v>
      </c>
      <c r="D23" s="2">
        <v>8.0237040000000004</v>
      </c>
      <c r="E23" s="2">
        <v>4.1250000000000002E-3</v>
      </c>
      <c r="F23" s="2">
        <v>8.0156150000000004</v>
      </c>
      <c r="G23" s="2">
        <v>8.0317919999999994</v>
      </c>
      <c r="I23" t="str">
        <f t="shared" si="0"/>
        <v>8.02 (8.02 to 8.03)</v>
      </c>
    </row>
    <row r="24" spans="1:9" ht="17.25" thickBot="1" x14ac:dyDescent="0.35">
      <c r="A24" s="6"/>
      <c r="B24" s="11" t="s">
        <v>115</v>
      </c>
      <c r="C24" s="2">
        <v>15457</v>
      </c>
      <c r="D24" s="2">
        <v>0.603711</v>
      </c>
      <c r="E24" s="2">
        <v>5.44E-4</v>
      </c>
      <c r="F24" s="2">
        <v>0.60264600000000002</v>
      </c>
      <c r="G24" s="2">
        <v>0.60477700000000001</v>
      </c>
      <c r="I24" t="str">
        <f t="shared" si="0"/>
        <v>0.60 (0.60 to 0.60)</v>
      </c>
    </row>
    <row r="25" spans="1:9" ht="17.25" thickBot="1" x14ac:dyDescent="0.35">
      <c r="A25" s="6"/>
      <c r="B25" s="11" t="s">
        <v>116</v>
      </c>
      <c r="C25" s="2">
        <v>15457</v>
      </c>
      <c r="D25" s="2">
        <v>4.5407000000000003E-2</v>
      </c>
      <c r="E25" s="2">
        <v>1.9620000000000002E-3</v>
      </c>
      <c r="F25" s="2">
        <v>4.1558999999999999E-2</v>
      </c>
      <c r="G25" s="2">
        <v>4.9255E-2</v>
      </c>
      <c r="I25" t="str">
        <f t="shared" si="0"/>
        <v>0.05 (0.04 to 0.05)</v>
      </c>
    </row>
    <row r="26" spans="1:9" ht="17.25" thickBot="1" x14ac:dyDescent="0.35">
      <c r="A26" s="6"/>
      <c r="B26" s="11" t="s">
        <v>117</v>
      </c>
      <c r="C26" s="2">
        <v>15457</v>
      </c>
      <c r="D26" s="2">
        <v>26.718509999999998</v>
      </c>
      <c r="E26" s="2">
        <v>2.0802000000000001E-2</v>
      </c>
      <c r="F26" s="2">
        <v>26.677721999999999</v>
      </c>
      <c r="G26" s="2">
        <v>26.759298000000001</v>
      </c>
      <c r="I26" t="str">
        <f t="shared" si="0"/>
        <v>26.72 (26.68 to 26.76)</v>
      </c>
    </row>
    <row r="27" spans="1:9" ht="17.25" thickBot="1" x14ac:dyDescent="0.35">
      <c r="A27" s="6">
        <v>2</v>
      </c>
      <c r="B27" s="11" t="s">
        <v>99</v>
      </c>
      <c r="C27" s="2">
        <v>17322</v>
      </c>
      <c r="D27" s="2">
        <v>45.110244000000002</v>
      </c>
      <c r="E27" s="2">
        <v>0.16042699999999999</v>
      </c>
      <c r="F27" s="2">
        <v>44.795678000000002</v>
      </c>
      <c r="G27" s="2">
        <v>45.424810999999998</v>
      </c>
      <c r="I27" t="str">
        <f t="shared" si="0"/>
        <v>45.11 (44.80 to 45.42)</v>
      </c>
    </row>
    <row r="28" spans="1:9" ht="17.25" thickBot="1" x14ac:dyDescent="0.35">
      <c r="A28" s="6"/>
      <c r="B28" s="11" t="s">
        <v>100</v>
      </c>
      <c r="C28" s="2">
        <v>17322</v>
      </c>
      <c r="D28" s="2">
        <v>22.603176000000001</v>
      </c>
      <c r="E28" s="2">
        <v>1.2689000000000001E-2</v>
      </c>
      <c r="F28" s="2">
        <v>22.578296000000002</v>
      </c>
      <c r="G28" s="2">
        <v>22.628056000000001</v>
      </c>
      <c r="I28" t="str">
        <f t="shared" si="0"/>
        <v>22.60 (22.58 to 22.63)</v>
      </c>
    </row>
    <row r="29" spans="1:9" ht="17.25" thickBot="1" x14ac:dyDescent="0.35">
      <c r="A29" s="6"/>
      <c r="B29" s="11" t="s">
        <v>101</v>
      </c>
      <c r="C29" s="2">
        <v>17322</v>
      </c>
      <c r="D29" s="2">
        <v>78.84581</v>
      </c>
      <c r="E29" s="2">
        <v>5.6572999999999998E-2</v>
      </c>
      <c r="F29" s="2">
        <v>78.734880000000004</v>
      </c>
      <c r="G29" s="2">
        <v>78.956739999999996</v>
      </c>
      <c r="I29" t="str">
        <f t="shared" si="0"/>
        <v>78.85 (78.73 to 78.96)</v>
      </c>
    </row>
    <row r="30" spans="1:9" ht="17.25" thickBot="1" x14ac:dyDescent="0.35">
      <c r="A30" s="6"/>
      <c r="B30" s="11" t="s">
        <v>102</v>
      </c>
      <c r="C30" s="2">
        <v>17322</v>
      </c>
      <c r="D30" s="2">
        <v>7.6893000000000003E-2</v>
      </c>
      <c r="E30" s="2">
        <v>4.8395E-5</v>
      </c>
      <c r="F30" s="2">
        <v>7.6799000000000006E-2</v>
      </c>
      <c r="G30" s="2">
        <v>7.6988000000000001E-2</v>
      </c>
      <c r="I30" t="str">
        <f t="shared" si="0"/>
        <v>0.08 (0.08 to 0.08)</v>
      </c>
    </row>
    <row r="31" spans="1:9" ht="17.25" thickBot="1" x14ac:dyDescent="0.35">
      <c r="A31" s="6"/>
      <c r="B31" s="11" t="s">
        <v>103</v>
      </c>
      <c r="C31" s="2">
        <v>17322</v>
      </c>
      <c r="D31" s="2">
        <v>115.305189</v>
      </c>
      <c r="E31" s="2">
        <v>0.14305699999999999</v>
      </c>
      <c r="F31" s="2">
        <v>115.02468</v>
      </c>
      <c r="G31" s="2">
        <v>115.58569799999999</v>
      </c>
      <c r="I31" t="str">
        <f t="shared" si="0"/>
        <v>115.31 (115.02 to 115.59)</v>
      </c>
    </row>
    <row r="32" spans="1:9" ht="17.25" thickBot="1" x14ac:dyDescent="0.35">
      <c r="A32" s="6"/>
      <c r="B32" s="11" t="s">
        <v>104</v>
      </c>
      <c r="C32" s="2">
        <v>17322</v>
      </c>
      <c r="D32" s="2">
        <v>94.535228000000004</v>
      </c>
      <c r="E32" s="2">
        <v>0.13272500000000001</v>
      </c>
      <c r="F32" s="2">
        <v>94.274979999999999</v>
      </c>
      <c r="G32" s="2">
        <v>94.795475999999994</v>
      </c>
      <c r="I32" t="str">
        <f t="shared" si="0"/>
        <v>94.54 (94.27 to 94.80)</v>
      </c>
    </row>
    <row r="33" spans="1:9" ht="17.25" thickBot="1" x14ac:dyDescent="0.35">
      <c r="A33" s="6"/>
      <c r="B33" s="11" t="s">
        <v>105</v>
      </c>
      <c r="C33" s="2">
        <v>17322</v>
      </c>
      <c r="D33" s="2">
        <v>188.04584</v>
      </c>
      <c r="E33" s="2">
        <v>0.33529999999999999</v>
      </c>
      <c r="F33" s="2">
        <v>187.38838000000001</v>
      </c>
      <c r="G33" s="2">
        <v>188.70330100000001</v>
      </c>
      <c r="I33" t="str">
        <f t="shared" si="0"/>
        <v>188.05 (187.39 to 188.70)</v>
      </c>
    </row>
    <row r="34" spans="1:9" ht="26.25" thickBot="1" x14ac:dyDescent="0.35">
      <c r="A34" s="6"/>
      <c r="B34" s="11" t="s">
        <v>106</v>
      </c>
      <c r="C34" s="2">
        <v>17322</v>
      </c>
      <c r="D34" s="2">
        <v>54.043368000000001</v>
      </c>
      <c r="E34" s="2">
        <v>9.4951999999999995E-2</v>
      </c>
      <c r="F34" s="2">
        <v>53.857183999999997</v>
      </c>
      <c r="G34" s="2">
        <v>54.229551999999998</v>
      </c>
      <c r="I34" t="str">
        <f t="shared" si="0"/>
        <v>54.04 (53.86 to 54.23)</v>
      </c>
    </row>
    <row r="35" spans="1:9" ht="17.25" thickBot="1" x14ac:dyDescent="0.35">
      <c r="A35" s="6"/>
      <c r="B35" s="11" t="s">
        <v>107</v>
      </c>
      <c r="C35" s="2">
        <v>17322</v>
      </c>
      <c r="D35" s="2">
        <v>100.52171</v>
      </c>
      <c r="E35" s="2">
        <v>0.45503300000000002</v>
      </c>
      <c r="F35" s="2">
        <v>99.629474999999999</v>
      </c>
      <c r="G35" s="2">
        <v>101.413945</v>
      </c>
      <c r="I35" t="str">
        <f t="shared" si="0"/>
        <v>100.52 (99.63 to 101.41)</v>
      </c>
    </row>
    <row r="36" spans="1:9" ht="17.25" thickBot="1" x14ac:dyDescent="0.35">
      <c r="A36" s="6"/>
      <c r="B36" s="11" t="s">
        <v>108</v>
      </c>
      <c r="C36" s="2">
        <v>17322</v>
      </c>
      <c r="D36" s="2">
        <v>21.792200999999999</v>
      </c>
      <c r="E36" s="2">
        <v>0.13628599999999999</v>
      </c>
      <c r="F36" s="2">
        <v>21.52497</v>
      </c>
      <c r="G36" s="2">
        <v>22.059432000000001</v>
      </c>
      <c r="I36" t="str">
        <f t="shared" si="0"/>
        <v>21.79 (21.52 to 22.06)</v>
      </c>
    </row>
    <row r="37" spans="1:9" ht="17.25" thickBot="1" x14ac:dyDescent="0.35">
      <c r="A37" s="6"/>
      <c r="B37" s="11" t="s">
        <v>109</v>
      </c>
      <c r="C37" s="2">
        <v>17322</v>
      </c>
      <c r="D37" s="2">
        <v>19.390397</v>
      </c>
      <c r="E37" s="2">
        <v>0.17340900000000001</v>
      </c>
      <c r="F37" s="2">
        <v>19.050374999999999</v>
      </c>
      <c r="G37" s="2">
        <v>19.730419000000001</v>
      </c>
      <c r="I37" t="str">
        <f t="shared" si="0"/>
        <v>19.39 (19.05 to 19.73)</v>
      </c>
    </row>
    <row r="38" spans="1:9" ht="17.25" thickBot="1" x14ac:dyDescent="0.35">
      <c r="A38" s="6"/>
      <c r="B38" s="11" t="s">
        <v>110</v>
      </c>
      <c r="C38" s="2">
        <v>17322</v>
      </c>
      <c r="D38" s="2">
        <v>14.078982999999999</v>
      </c>
      <c r="E38" s="2">
        <v>1.4402999999999999E-2</v>
      </c>
      <c r="F38" s="2">
        <v>14.050742</v>
      </c>
      <c r="G38" s="2">
        <v>14.107224</v>
      </c>
      <c r="I38" t="str">
        <f t="shared" si="0"/>
        <v>14.08 (14.05 to 14.11)</v>
      </c>
    </row>
    <row r="39" spans="1:9" ht="17.25" thickBot="1" x14ac:dyDescent="0.35">
      <c r="A39" s="6"/>
      <c r="B39" s="11" t="s">
        <v>111</v>
      </c>
      <c r="C39" s="2">
        <v>17322</v>
      </c>
      <c r="D39" s="2">
        <v>14.179226</v>
      </c>
      <c r="E39" s="2">
        <v>4.1876999999999998E-2</v>
      </c>
      <c r="F39" s="2">
        <v>14.097113</v>
      </c>
      <c r="G39" s="2">
        <v>14.261338</v>
      </c>
      <c r="I39" t="str">
        <f t="shared" si="0"/>
        <v>14.18 (14.10 to 14.26)</v>
      </c>
    </row>
    <row r="40" spans="1:9" ht="17.25" thickBot="1" x14ac:dyDescent="0.35">
      <c r="A40" s="6"/>
      <c r="B40" s="11" t="s">
        <v>112</v>
      </c>
      <c r="C40" s="2">
        <v>17322</v>
      </c>
      <c r="D40" s="2">
        <v>0.83265699999999998</v>
      </c>
      <c r="E40" s="2">
        <v>2.568E-3</v>
      </c>
      <c r="F40" s="2">
        <v>0.82762199999999997</v>
      </c>
      <c r="G40" s="2">
        <v>0.83769099999999996</v>
      </c>
      <c r="I40" t="str">
        <f t="shared" si="0"/>
        <v>0.83 (0.83 to 0.84)</v>
      </c>
    </row>
    <row r="41" spans="1:9" ht="17.25" thickBot="1" x14ac:dyDescent="0.35">
      <c r="A41" s="6"/>
      <c r="B41" s="11" t="s">
        <v>113</v>
      </c>
      <c r="C41" s="2">
        <v>17322</v>
      </c>
      <c r="D41" s="2">
        <v>5.8247020000000003</v>
      </c>
      <c r="E41" s="2">
        <v>7.3559999999999997E-3</v>
      </c>
      <c r="F41" s="2">
        <v>5.8102770000000001</v>
      </c>
      <c r="G41" s="2">
        <v>5.8391260000000003</v>
      </c>
      <c r="I41" t="str">
        <f t="shared" si="0"/>
        <v>5.82 (5.81 to 5.84)</v>
      </c>
    </row>
    <row r="42" spans="1:9" ht="17.25" thickBot="1" x14ac:dyDescent="0.35">
      <c r="A42" s="6"/>
      <c r="B42" s="11" t="s">
        <v>114</v>
      </c>
      <c r="C42" s="2">
        <v>17322</v>
      </c>
      <c r="D42" s="2">
        <v>8.3568859999999994</v>
      </c>
      <c r="E42" s="2">
        <v>4.3839999999999999E-3</v>
      </c>
      <c r="F42" s="2">
        <v>8.3482900000000004</v>
      </c>
      <c r="G42" s="2">
        <v>8.3654820000000001</v>
      </c>
      <c r="I42" t="str">
        <f t="shared" si="0"/>
        <v>8.36 (8.35 to 8.37)</v>
      </c>
    </row>
    <row r="43" spans="1:9" ht="17.25" thickBot="1" x14ac:dyDescent="0.35">
      <c r="A43" s="6"/>
      <c r="B43" s="11" t="s">
        <v>115</v>
      </c>
      <c r="C43" s="2">
        <v>17322</v>
      </c>
      <c r="D43" s="2">
        <v>0.64313500000000001</v>
      </c>
      <c r="E43" s="2">
        <v>5.7899999999999998E-4</v>
      </c>
      <c r="F43" s="2">
        <v>0.64200000000000002</v>
      </c>
      <c r="G43" s="2">
        <v>0.64427000000000001</v>
      </c>
      <c r="I43" t="str">
        <f t="shared" si="0"/>
        <v>0.64 (0.64 to 0.64)</v>
      </c>
    </row>
    <row r="44" spans="1:9" ht="17.25" thickBot="1" x14ac:dyDescent="0.35">
      <c r="A44" s="6"/>
      <c r="B44" s="11" t="s">
        <v>116</v>
      </c>
      <c r="C44" s="2">
        <v>17322</v>
      </c>
      <c r="D44" s="2">
        <v>0.233543</v>
      </c>
      <c r="E44" s="2">
        <v>1.9980000000000002E-3</v>
      </c>
      <c r="F44" s="2">
        <v>0.229625</v>
      </c>
      <c r="G44" s="2">
        <v>0.23746200000000001</v>
      </c>
      <c r="I44" t="str">
        <f t="shared" si="0"/>
        <v>0.23 (0.23 to 0.24)</v>
      </c>
    </row>
    <row r="45" spans="1:9" ht="17.25" thickBot="1" x14ac:dyDescent="0.35">
      <c r="A45" s="6"/>
      <c r="B45" s="11" t="s">
        <v>117</v>
      </c>
      <c r="C45" s="2">
        <v>17322</v>
      </c>
      <c r="D45" s="2">
        <v>32.137430000000002</v>
      </c>
      <c r="E45" s="2">
        <v>1.2246E-2</v>
      </c>
      <c r="F45" s="2">
        <v>32.113419</v>
      </c>
      <c r="G45" s="2">
        <v>32.161442000000001</v>
      </c>
      <c r="I45" t="str">
        <f t="shared" si="0"/>
        <v>32.14 (32.11 to 32.16)</v>
      </c>
    </row>
    <row r="46" spans="1:9" ht="17.25" thickBot="1" x14ac:dyDescent="0.35">
      <c r="A46" s="6">
        <v>3</v>
      </c>
      <c r="B46" s="11" t="s">
        <v>99</v>
      </c>
      <c r="C46" s="2">
        <v>17828</v>
      </c>
      <c r="D46" s="2">
        <v>48.591045999999999</v>
      </c>
      <c r="E46" s="2">
        <v>0.159085</v>
      </c>
      <c r="F46" s="2">
        <v>48.279111</v>
      </c>
      <c r="G46" s="2">
        <v>48.902979999999999</v>
      </c>
      <c r="I46" t="str">
        <f t="shared" si="0"/>
        <v>48.59 (48.28 to 48.90)</v>
      </c>
    </row>
    <row r="47" spans="1:9" ht="17.25" thickBot="1" x14ac:dyDescent="0.35">
      <c r="A47" s="6"/>
      <c r="B47" s="11" t="s">
        <v>100</v>
      </c>
      <c r="C47" s="2">
        <v>17828</v>
      </c>
      <c r="D47" s="2">
        <v>24.622116999999999</v>
      </c>
      <c r="E47" s="2">
        <v>1.4592000000000001E-2</v>
      </c>
      <c r="F47" s="2">
        <v>24.593503999999999</v>
      </c>
      <c r="G47" s="2">
        <v>24.650729999999999</v>
      </c>
      <c r="I47" t="str">
        <f t="shared" si="0"/>
        <v>24.62 (24.59 to 24.65)</v>
      </c>
    </row>
    <row r="48" spans="1:9" ht="17.25" thickBot="1" x14ac:dyDescent="0.35">
      <c r="A48" s="6"/>
      <c r="B48" s="11" t="s">
        <v>101</v>
      </c>
      <c r="C48" s="2">
        <v>17828</v>
      </c>
      <c r="D48" s="2">
        <v>85.015341000000006</v>
      </c>
      <c r="E48" s="2">
        <v>5.7822999999999999E-2</v>
      </c>
      <c r="F48" s="2">
        <v>84.901961</v>
      </c>
      <c r="G48" s="2">
        <v>85.128720000000001</v>
      </c>
      <c r="I48" t="str">
        <f t="shared" si="0"/>
        <v>85.02 (84.90 to 85.13)</v>
      </c>
    </row>
    <row r="49" spans="1:9" ht="17.25" thickBot="1" x14ac:dyDescent="0.35">
      <c r="A49" s="6"/>
      <c r="B49" s="11" t="s">
        <v>102</v>
      </c>
      <c r="C49" s="2">
        <v>17828</v>
      </c>
      <c r="D49" s="2">
        <v>7.8117000000000006E-2</v>
      </c>
      <c r="E49" s="2">
        <v>4.6610000000000003E-5</v>
      </c>
      <c r="F49" s="2">
        <v>7.8024999999999997E-2</v>
      </c>
      <c r="G49" s="2">
        <v>7.8208E-2</v>
      </c>
      <c r="I49" t="str">
        <f t="shared" si="0"/>
        <v>0.08 (0.08 to 0.08)</v>
      </c>
    </row>
    <row r="50" spans="1:9" ht="17.25" thickBot="1" x14ac:dyDescent="0.35">
      <c r="A50" s="6"/>
      <c r="B50" s="11" t="s">
        <v>103</v>
      </c>
      <c r="C50" s="2">
        <v>17828</v>
      </c>
      <c r="D50" s="2">
        <v>119.69829799999999</v>
      </c>
      <c r="E50" s="2">
        <v>0.146622</v>
      </c>
      <c r="F50" s="2">
        <v>119.410799</v>
      </c>
      <c r="G50" s="2">
        <v>119.98579599999999</v>
      </c>
      <c r="I50" t="str">
        <f t="shared" si="0"/>
        <v>119.70 (119.41 to 119.99)</v>
      </c>
    </row>
    <row r="51" spans="1:9" ht="17.25" thickBot="1" x14ac:dyDescent="0.35">
      <c r="A51" s="6"/>
      <c r="B51" s="11" t="s">
        <v>104</v>
      </c>
      <c r="C51" s="2">
        <v>17828</v>
      </c>
      <c r="D51" s="2">
        <v>99.832126000000002</v>
      </c>
      <c r="E51" s="2">
        <v>0.17754900000000001</v>
      </c>
      <c r="F51" s="2">
        <v>99.483986000000002</v>
      </c>
      <c r="G51" s="2">
        <v>100.180267</v>
      </c>
      <c r="I51" t="str">
        <f t="shared" si="0"/>
        <v>99.83 (99.48 to 100.18)</v>
      </c>
    </row>
    <row r="52" spans="1:9" ht="17.25" thickBot="1" x14ac:dyDescent="0.35">
      <c r="A52" s="6"/>
      <c r="B52" s="11" t="s">
        <v>105</v>
      </c>
      <c r="C52" s="2">
        <v>17828</v>
      </c>
      <c r="D52" s="2">
        <v>192.03599299999999</v>
      </c>
      <c r="E52" s="2">
        <v>0.35004200000000002</v>
      </c>
      <c r="F52" s="2">
        <v>191.349627</v>
      </c>
      <c r="G52" s="2">
        <v>192.72236000000001</v>
      </c>
      <c r="I52" t="str">
        <f t="shared" si="0"/>
        <v>192.04 (191.35 to 192.72)</v>
      </c>
    </row>
    <row r="53" spans="1:9" ht="26.25" thickBot="1" x14ac:dyDescent="0.35">
      <c r="A53" s="6"/>
      <c r="B53" s="11" t="s">
        <v>106</v>
      </c>
      <c r="C53" s="2">
        <v>17828</v>
      </c>
      <c r="D53" s="2">
        <v>48.087347999999999</v>
      </c>
      <c r="E53" s="2">
        <v>8.2436999999999996E-2</v>
      </c>
      <c r="F53" s="2">
        <v>47.925704000000003</v>
      </c>
      <c r="G53" s="2">
        <v>48.248990999999997</v>
      </c>
      <c r="I53" t="str">
        <f t="shared" si="0"/>
        <v>48.09 (47.93 to 48.25)</v>
      </c>
    </row>
    <row r="54" spans="1:9" ht="17.25" thickBot="1" x14ac:dyDescent="0.35">
      <c r="A54" s="6"/>
      <c r="B54" s="11" t="s">
        <v>107</v>
      </c>
      <c r="C54" s="2">
        <v>17828</v>
      </c>
      <c r="D54" s="2">
        <v>136.131776</v>
      </c>
      <c r="E54" s="2">
        <v>0.69812600000000002</v>
      </c>
      <c r="F54" s="2">
        <v>134.76288299999999</v>
      </c>
      <c r="G54" s="2">
        <v>137.50066899999999</v>
      </c>
      <c r="I54" t="str">
        <f t="shared" si="0"/>
        <v>136.13 (134.76 to 137.50)</v>
      </c>
    </row>
    <row r="55" spans="1:9" ht="17.25" thickBot="1" x14ac:dyDescent="0.35">
      <c r="A55" s="6"/>
      <c r="B55" s="11" t="s">
        <v>108</v>
      </c>
      <c r="C55" s="2">
        <v>17828</v>
      </c>
      <c r="D55" s="2">
        <v>23.301838</v>
      </c>
      <c r="E55" s="2">
        <v>0.10759000000000001</v>
      </c>
      <c r="F55" s="2">
        <v>23.090875</v>
      </c>
      <c r="G55" s="2">
        <v>23.512799999999999</v>
      </c>
      <c r="I55" t="str">
        <f t="shared" si="0"/>
        <v>23.30 (23.09 to 23.51)</v>
      </c>
    </row>
    <row r="56" spans="1:9" ht="17.25" thickBot="1" x14ac:dyDescent="0.35">
      <c r="A56" s="6"/>
      <c r="B56" s="11" t="s">
        <v>109</v>
      </c>
      <c r="C56" s="2">
        <v>17828</v>
      </c>
      <c r="D56" s="2">
        <v>23.799209999999999</v>
      </c>
      <c r="E56" s="2">
        <v>0.16693</v>
      </c>
      <c r="F56" s="2">
        <v>23.471892</v>
      </c>
      <c r="G56" s="2">
        <v>24.126528</v>
      </c>
      <c r="I56" t="str">
        <f t="shared" si="0"/>
        <v>23.80 (23.47 to 24.13)</v>
      </c>
    </row>
    <row r="57" spans="1:9" ht="17.25" thickBot="1" x14ac:dyDescent="0.35">
      <c r="A57" s="6"/>
      <c r="B57" s="11" t="s">
        <v>110</v>
      </c>
      <c r="C57" s="2">
        <v>17828</v>
      </c>
      <c r="D57" s="2">
        <v>14.492292000000001</v>
      </c>
      <c r="E57" s="2">
        <v>1.4206E-2</v>
      </c>
      <c r="F57" s="2">
        <v>14.464437</v>
      </c>
      <c r="G57" s="2">
        <v>14.520147</v>
      </c>
      <c r="I57" t="str">
        <f t="shared" si="0"/>
        <v>14.49 (14.46 to 14.52)</v>
      </c>
    </row>
    <row r="58" spans="1:9" ht="17.25" thickBot="1" x14ac:dyDescent="0.35">
      <c r="A58" s="6"/>
      <c r="B58" s="11" t="s">
        <v>111</v>
      </c>
      <c r="C58" s="2">
        <v>17828</v>
      </c>
      <c r="D58" s="2">
        <v>14.689197999999999</v>
      </c>
      <c r="E58" s="2">
        <v>4.0111000000000001E-2</v>
      </c>
      <c r="F58" s="2">
        <v>14.610547</v>
      </c>
      <c r="G58" s="2">
        <v>14.767848000000001</v>
      </c>
      <c r="I58" t="str">
        <f t="shared" si="0"/>
        <v>14.69 (14.61 to 14.77)</v>
      </c>
    </row>
    <row r="59" spans="1:9" ht="17.25" thickBot="1" x14ac:dyDescent="0.35">
      <c r="A59" s="6"/>
      <c r="B59" s="11" t="s">
        <v>112</v>
      </c>
      <c r="C59" s="2">
        <v>17828</v>
      </c>
      <c r="D59" s="2">
        <v>0.87328600000000001</v>
      </c>
      <c r="E59" s="2">
        <v>1.9989999999999999E-3</v>
      </c>
      <c r="F59" s="2">
        <v>0.869367</v>
      </c>
      <c r="G59" s="2">
        <v>0.87720600000000004</v>
      </c>
      <c r="I59" t="str">
        <f t="shared" si="0"/>
        <v>0.87 (0.87 to 0.88)</v>
      </c>
    </row>
    <row r="60" spans="1:9" ht="17.25" thickBot="1" x14ac:dyDescent="0.35">
      <c r="A60" s="6"/>
      <c r="B60" s="11" t="s">
        <v>113</v>
      </c>
      <c r="C60" s="2">
        <v>17828</v>
      </c>
      <c r="D60" s="2">
        <v>5.7661740000000004</v>
      </c>
      <c r="E60" s="2">
        <v>7.2769999999999996E-3</v>
      </c>
      <c r="F60" s="2">
        <v>5.7519049999999998</v>
      </c>
      <c r="G60" s="2">
        <v>5.780443</v>
      </c>
      <c r="I60" t="str">
        <f t="shared" si="0"/>
        <v>5.77 (5.75 to 5.78)</v>
      </c>
    </row>
    <row r="61" spans="1:9" ht="17.25" thickBot="1" x14ac:dyDescent="0.35">
      <c r="A61" s="6"/>
      <c r="B61" s="11" t="s">
        <v>114</v>
      </c>
      <c r="C61" s="2">
        <v>17828</v>
      </c>
      <c r="D61" s="2">
        <v>8.6942350000000008</v>
      </c>
      <c r="E61" s="2">
        <v>4.8849999999999996E-3</v>
      </c>
      <c r="F61" s="2">
        <v>8.6846569999999996</v>
      </c>
      <c r="G61" s="2">
        <v>8.7038130000000002</v>
      </c>
      <c r="I61" t="str">
        <f t="shared" si="0"/>
        <v>8.69 (8.68 to 8.70)</v>
      </c>
    </row>
    <row r="62" spans="1:9" ht="17.25" thickBot="1" x14ac:dyDescent="0.35">
      <c r="A62" s="6"/>
      <c r="B62" s="11" t="s">
        <v>115</v>
      </c>
      <c r="C62" s="2">
        <v>17828</v>
      </c>
      <c r="D62" s="2">
        <v>0.67966700000000002</v>
      </c>
      <c r="E62" s="2">
        <v>6.1899999999999998E-4</v>
      </c>
      <c r="F62" s="2">
        <v>0.67845200000000006</v>
      </c>
      <c r="G62" s="2">
        <v>0.68088099999999996</v>
      </c>
      <c r="I62" t="str">
        <f t="shared" si="0"/>
        <v>0.68 (0.68 to 0.68)</v>
      </c>
    </row>
    <row r="63" spans="1:9" ht="17.25" thickBot="1" x14ac:dyDescent="0.35">
      <c r="A63" s="6"/>
      <c r="B63" s="11" t="s">
        <v>116</v>
      </c>
      <c r="C63" s="2">
        <v>17828</v>
      </c>
      <c r="D63" s="2">
        <v>0.409335</v>
      </c>
      <c r="E63" s="2">
        <v>2.1380000000000001E-3</v>
      </c>
      <c r="F63" s="2">
        <v>0.405142</v>
      </c>
      <c r="G63" s="2">
        <v>0.41352800000000001</v>
      </c>
      <c r="I63" t="str">
        <f t="shared" si="0"/>
        <v>0.41 (0.41 to 0.41)</v>
      </c>
    </row>
    <row r="64" spans="1:9" ht="17.25" thickBot="1" x14ac:dyDescent="0.35">
      <c r="A64" s="6"/>
      <c r="B64" s="11" t="s">
        <v>117</v>
      </c>
      <c r="C64" s="2">
        <v>17828</v>
      </c>
      <c r="D64" s="2">
        <v>36.937319000000002</v>
      </c>
      <c r="E64" s="2">
        <v>1.2947E-2</v>
      </c>
      <c r="F64" s="2">
        <v>36.911932999999998</v>
      </c>
      <c r="G64" s="2">
        <v>36.962705</v>
      </c>
      <c r="I64" t="str">
        <f t="shared" si="0"/>
        <v>36.94 (36.91 to 36.96)</v>
      </c>
    </row>
    <row r="65" spans="1:9" ht="17.25" thickBot="1" x14ac:dyDescent="0.35">
      <c r="A65" s="6">
        <v>4</v>
      </c>
      <c r="B65" s="11" t="s">
        <v>99</v>
      </c>
      <c r="C65" s="2">
        <v>18028</v>
      </c>
      <c r="D65" s="2">
        <v>47.302272000000002</v>
      </c>
      <c r="E65" s="2">
        <v>0.14432400000000001</v>
      </c>
      <c r="F65" s="2">
        <v>47.019278999999997</v>
      </c>
      <c r="G65" s="2">
        <v>47.585265</v>
      </c>
      <c r="I65" t="str">
        <f t="shared" si="0"/>
        <v>47.30 (47.02 to 47.59)</v>
      </c>
    </row>
    <row r="66" spans="1:9" ht="17.25" thickBot="1" x14ac:dyDescent="0.35">
      <c r="A66" s="6"/>
      <c r="B66" s="11" t="s">
        <v>100</v>
      </c>
      <c r="C66" s="2">
        <v>18028</v>
      </c>
      <c r="D66" s="2">
        <v>27.930334999999999</v>
      </c>
      <c r="E66" s="2">
        <v>2.9871000000000002E-2</v>
      </c>
      <c r="F66" s="2">
        <v>27.871762</v>
      </c>
      <c r="G66" s="2">
        <v>27.988907000000001</v>
      </c>
      <c r="I66" t="str">
        <f t="shared" si="0"/>
        <v>27.93 (27.87 to 27.99)</v>
      </c>
    </row>
    <row r="67" spans="1:9" ht="17.25" thickBot="1" x14ac:dyDescent="0.35">
      <c r="A67" s="6"/>
      <c r="B67" s="11" t="s">
        <v>101</v>
      </c>
      <c r="C67" s="2">
        <v>18028</v>
      </c>
      <c r="D67" s="2">
        <v>93.179042999999993</v>
      </c>
      <c r="E67" s="2">
        <v>7.8939999999999996E-2</v>
      </c>
      <c r="F67" s="2">
        <v>93.024257000000006</v>
      </c>
      <c r="G67" s="2">
        <v>93.333827999999997</v>
      </c>
      <c r="I67" t="str">
        <f t="shared" si="0"/>
        <v>93.18 (93.02 to 93.33)</v>
      </c>
    </row>
    <row r="68" spans="1:9" ht="17.25" thickBot="1" x14ac:dyDescent="0.35">
      <c r="A68" s="6"/>
      <c r="B68" s="11" t="s">
        <v>102</v>
      </c>
      <c r="C68" s="2">
        <v>18028</v>
      </c>
      <c r="D68" s="2">
        <v>7.8452999999999995E-2</v>
      </c>
      <c r="E68" s="2">
        <v>4.3028000000000002E-5</v>
      </c>
      <c r="F68" s="2">
        <v>7.8368999999999994E-2</v>
      </c>
      <c r="G68" s="2">
        <v>7.8536999999999996E-2</v>
      </c>
      <c r="I68" t="str">
        <f t="shared" si="0"/>
        <v>0.08 (0.08 to 0.08)</v>
      </c>
    </row>
    <row r="69" spans="1:9" ht="17.25" thickBot="1" x14ac:dyDescent="0.35">
      <c r="A69" s="6"/>
      <c r="B69" s="11" t="s">
        <v>103</v>
      </c>
      <c r="C69" s="2">
        <v>18028</v>
      </c>
      <c r="D69" s="2">
        <v>123.23756299999999</v>
      </c>
      <c r="E69" s="2">
        <v>0.13992599999999999</v>
      </c>
      <c r="F69" s="2">
        <v>122.963194</v>
      </c>
      <c r="G69" s="2">
        <v>123.511932</v>
      </c>
      <c r="I69" t="str">
        <f t="shared" si="0"/>
        <v>123.24 (122.96 to 123.51)</v>
      </c>
    </row>
    <row r="70" spans="1:9" ht="17.25" thickBot="1" x14ac:dyDescent="0.35">
      <c r="A70" s="6"/>
      <c r="B70" s="11" t="s">
        <v>104</v>
      </c>
      <c r="C70" s="2">
        <v>18028</v>
      </c>
      <c r="D70" s="2">
        <v>108.47848999999999</v>
      </c>
      <c r="E70" s="2">
        <v>0.26339400000000002</v>
      </c>
      <c r="F70" s="2">
        <v>107.962024</v>
      </c>
      <c r="G70" s="2">
        <v>108.994955</v>
      </c>
      <c r="I70" t="str">
        <f t="shared" si="0"/>
        <v>108.48 (107.96 to 108.99)</v>
      </c>
    </row>
    <row r="71" spans="1:9" ht="17.25" thickBot="1" x14ac:dyDescent="0.35">
      <c r="A71" s="6"/>
      <c r="B71" s="11" t="s">
        <v>105</v>
      </c>
      <c r="C71" s="2">
        <v>18028</v>
      </c>
      <c r="D71" s="2">
        <v>195.86472900000001</v>
      </c>
      <c r="E71" s="2">
        <v>0.36064299999999999</v>
      </c>
      <c r="F71" s="2">
        <v>195.15757600000001</v>
      </c>
      <c r="G71" s="2">
        <v>196.57188300000001</v>
      </c>
      <c r="I71" t="str">
        <f t="shared" si="0"/>
        <v>195.86 (195.16 to 196.57)</v>
      </c>
    </row>
    <row r="72" spans="1:9" ht="26.25" thickBot="1" x14ac:dyDescent="0.35">
      <c r="A72" s="6"/>
      <c r="B72" s="11" t="s">
        <v>106</v>
      </c>
      <c r="C72" s="2">
        <v>18028</v>
      </c>
      <c r="D72" s="2">
        <v>41.696052999999999</v>
      </c>
      <c r="E72" s="2">
        <v>7.621E-2</v>
      </c>
      <c r="F72" s="2">
        <v>41.546619999999997</v>
      </c>
      <c r="G72" s="2">
        <v>41.845486000000001</v>
      </c>
      <c r="I72" t="str">
        <f t="shared" si="0"/>
        <v>41.70 (41.55 to 41.85)</v>
      </c>
    </row>
    <row r="73" spans="1:9" ht="17.25" thickBot="1" x14ac:dyDescent="0.35">
      <c r="A73" s="6"/>
      <c r="B73" s="11" t="s">
        <v>107</v>
      </c>
      <c r="C73" s="2">
        <v>18028</v>
      </c>
      <c r="D73" s="2">
        <v>219.29692499999999</v>
      </c>
      <c r="E73" s="2">
        <v>1.653124</v>
      </c>
      <c r="F73" s="2">
        <v>216.05546000000001</v>
      </c>
      <c r="G73" s="2">
        <v>222.53838999999999</v>
      </c>
      <c r="I73" t="str">
        <f t="shared" ref="I73:I83" si="1">TEXT(D73,"0.00")&amp;" ("&amp;TEXT(F73,"0.00")&amp;" to "&amp;TEXT(G73,"0.00")&amp;")"</f>
        <v>219.30 (216.06 to 222.54)</v>
      </c>
    </row>
    <row r="74" spans="1:9" ht="17.25" thickBot="1" x14ac:dyDescent="0.35">
      <c r="A74" s="6"/>
      <c r="B74" s="11" t="s">
        <v>108</v>
      </c>
      <c r="C74" s="2">
        <v>18028</v>
      </c>
      <c r="D74" s="2">
        <v>27.069917</v>
      </c>
      <c r="E74" s="2">
        <v>0.14349600000000001</v>
      </c>
      <c r="F74" s="2">
        <v>26.788549</v>
      </c>
      <c r="G74" s="2">
        <v>27.351285000000001</v>
      </c>
      <c r="I74" t="str">
        <f t="shared" si="1"/>
        <v>27.07 (26.79 to 27.35)</v>
      </c>
    </row>
    <row r="75" spans="1:9" ht="17.25" thickBot="1" x14ac:dyDescent="0.35">
      <c r="A75" s="6"/>
      <c r="B75" s="11" t="s">
        <v>109</v>
      </c>
      <c r="C75" s="2">
        <v>18028</v>
      </c>
      <c r="D75" s="2">
        <v>33.721691</v>
      </c>
      <c r="E75" s="2">
        <v>0.250884</v>
      </c>
      <c r="F75" s="2">
        <v>33.229754</v>
      </c>
      <c r="G75" s="2">
        <v>34.213628</v>
      </c>
      <c r="I75" t="str">
        <f t="shared" si="1"/>
        <v>33.72 (33.23 to 34.21)</v>
      </c>
    </row>
    <row r="76" spans="1:9" ht="17.25" thickBot="1" x14ac:dyDescent="0.35">
      <c r="A76" s="6"/>
      <c r="B76" s="11" t="s">
        <v>110</v>
      </c>
      <c r="C76" s="2">
        <v>18028</v>
      </c>
      <c r="D76" s="2">
        <v>14.871964</v>
      </c>
      <c r="E76" s="2">
        <v>1.3858000000000001E-2</v>
      </c>
      <c r="F76" s="2">
        <v>14.844791000000001</v>
      </c>
      <c r="G76" s="2">
        <v>14.899137</v>
      </c>
      <c r="I76" t="str">
        <f t="shared" si="1"/>
        <v>14.87 (14.84 to 14.90)</v>
      </c>
    </row>
    <row r="77" spans="1:9" ht="17.25" thickBot="1" x14ac:dyDescent="0.35">
      <c r="A77" s="6"/>
      <c r="B77" s="11" t="s">
        <v>111</v>
      </c>
      <c r="C77" s="2">
        <v>18028</v>
      </c>
      <c r="D77" s="2">
        <v>14.645764</v>
      </c>
      <c r="E77" s="2">
        <v>3.7282000000000003E-2</v>
      </c>
      <c r="F77" s="2">
        <v>14.572661</v>
      </c>
      <c r="G77" s="2">
        <v>14.718868000000001</v>
      </c>
      <c r="I77" t="str">
        <f t="shared" si="1"/>
        <v>14.65 (14.57 to 14.72)</v>
      </c>
    </row>
    <row r="78" spans="1:9" ht="17.25" thickBot="1" x14ac:dyDescent="0.35">
      <c r="A78" s="6"/>
      <c r="B78" s="11" t="s">
        <v>112</v>
      </c>
      <c r="C78" s="2">
        <v>18028</v>
      </c>
      <c r="D78" s="2">
        <v>0.89763999999999999</v>
      </c>
      <c r="E78" s="2">
        <v>2.0270000000000002E-3</v>
      </c>
      <c r="F78" s="2">
        <v>0.89366599999999996</v>
      </c>
      <c r="G78" s="2">
        <v>0.90161400000000003</v>
      </c>
      <c r="I78" t="str">
        <f t="shared" si="1"/>
        <v>0.90 (0.89 to 0.90)</v>
      </c>
    </row>
    <row r="79" spans="1:9" ht="17.25" thickBot="1" x14ac:dyDescent="0.35">
      <c r="A79" s="6"/>
      <c r="B79" s="11" t="s">
        <v>113</v>
      </c>
      <c r="C79" s="2">
        <v>18028</v>
      </c>
      <c r="D79" s="2">
        <v>5.6416279999999999</v>
      </c>
      <c r="E79" s="2">
        <v>6.6750000000000004E-3</v>
      </c>
      <c r="F79" s="2">
        <v>5.6285400000000001</v>
      </c>
      <c r="G79" s="2">
        <v>5.6547159999999996</v>
      </c>
      <c r="I79" t="str">
        <f t="shared" si="1"/>
        <v>5.64 (5.63 to 5.65)</v>
      </c>
    </row>
    <row r="80" spans="1:9" ht="17.25" thickBot="1" x14ac:dyDescent="0.35">
      <c r="A80" s="6"/>
      <c r="B80" s="11" t="s">
        <v>114</v>
      </c>
      <c r="C80" s="2">
        <v>18028</v>
      </c>
      <c r="D80" s="2">
        <v>9.1753579999999992</v>
      </c>
      <c r="E80" s="2">
        <v>5.79E-3</v>
      </c>
      <c r="F80" s="2">
        <v>9.1640049999999995</v>
      </c>
      <c r="G80" s="2">
        <v>9.186712</v>
      </c>
      <c r="I80" t="str">
        <f t="shared" si="1"/>
        <v>9.18 (9.16 to 9.19)</v>
      </c>
    </row>
    <row r="81" spans="1:9" ht="17.25" thickBot="1" x14ac:dyDescent="0.35">
      <c r="A81" s="6"/>
      <c r="B81" s="11" t="s">
        <v>115</v>
      </c>
      <c r="C81" s="2">
        <v>18028</v>
      </c>
      <c r="D81" s="2">
        <v>0.72014500000000004</v>
      </c>
      <c r="E81" s="2">
        <v>6.2600000000000004E-4</v>
      </c>
      <c r="F81" s="2">
        <v>0.71891700000000003</v>
      </c>
      <c r="G81" s="2">
        <v>0.72137200000000001</v>
      </c>
      <c r="I81" t="str">
        <f t="shared" si="1"/>
        <v>0.72 (0.72 to 0.72)</v>
      </c>
    </row>
    <row r="82" spans="1:9" ht="17.25" thickBot="1" x14ac:dyDescent="0.35">
      <c r="A82" s="6"/>
      <c r="B82" s="11" t="s">
        <v>116</v>
      </c>
      <c r="C82" s="2">
        <v>18028</v>
      </c>
      <c r="D82" s="2">
        <v>0.65022400000000002</v>
      </c>
      <c r="E82" s="2">
        <v>2.6280000000000001E-3</v>
      </c>
      <c r="F82" s="2">
        <v>0.64507099999999995</v>
      </c>
      <c r="G82" s="2">
        <v>0.65537599999999996</v>
      </c>
      <c r="I82" t="str">
        <f t="shared" si="1"/>
        <v>0.65 (0.65 to 0.66)</v>
      </c>
    </row>
    <row r="83" spans="1:9" x14ac:dyDescent="0.3">
      <c r="A83" s="6"/>
      <c r="B83" s="14" t="s">
        <v>117</v>
      </c>
      <c r="C83" s="2">
        <v>18028</v>
      </c>
      <c r="D83" s="2">
        <v>45.308945999999999</v>
      </c>
      <c r="E83" s="2">
        <v>5.0050999999999998E-2</v>
      </c>
      <c r="F83" s="2">
        <v>45.210807000000003</v>
      </c>
      <c r="G83" s="2">
        <v>45.407086</v>
      </c>
      <c r="I83" t="str">
        <f t="shared" si="1"/>
        <v>45.31 (45.21 to 45.41)</v>
      </c>
    </row>
  </sheetData>
  <mergeCells count="6">
    <mergeCell ref="A5:G5"/>
    <mergeCell ref="A6:A7"/>
    <mergeCell ref="B6:B7"/>
    <mergeCell ref="C6:C7"/>
    <mergeCell ref="D6:D7"/>
    <mergeCell ref="F6:G7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3A80-AEAC-461B-B368-A9BF34DFE420}">
  <dimension ref="A1:N55"/>
  <sheetViews>
    <sheetView workbookViewId="0">
      <selection activeCell="I8" sqref="I8"/>
    </sheetView>
  </sheetViews>
  <sheetFormatPr defaultRowHeight="16.5" x14ac:dyDescent="0.3"/>
  <cols>
    <col min="9" max="14" width="20.5" bestFit="1" customWidth="1"/>
  </cols>
  <sheetData>
    <row r="1" spans="1:14" x14ac:dyDescent="0.3">
      <c r="A1" s="1" t="s">
        <v>237</v>
      </c>
    </row>
    <row r="3" spans="1:14" x14ac:dyDescent="0.3">
      <c r="A3" s="1" t="s">
        <v>21</v>
      </c>
    </row>
    <row r="4" spans="1:14" ht="17.25" thickBot="1" x14ac:dyDescent="0.35"/>
    <row r="5" spans="1:14" ht="16.5" customHeight="1" x14ac:dyDescent="0.3">
      <c r="A5" s="16" t="s">
        <v>248</v>
      </c>
      <c r="B5" s="18"/>
      <c r="C5" s="18"/>
      <c r="D5" s="18"/>
      <c r="E5" s="18"/>
      <c r="F5" s="18"/>
      <c r="G5" s="18"/>
    </row>
    <row r="6" spans="1:14" x14ac:dyDescent="0.3">
      <c r="A6" s="17" t="s">
        <v>249</v>
      </c>
      <c r="B6" s="19" t="s">
        <v>239</v>
      </c>
      <c r="C6" s="19" t="s">
        <v>94</v>
      </c>
      <c r="D6" s="19" t="s">
        <v>240</v>
      </c>
      <c r="E6" s="3" t="s">
        <v>241</v>
      </c>
      <c r="F6" s="19" t="s">
        <v>243</v>
      </c>
      <c r="G6" s="19"/>
    </row>
    <row r="7" spans="1:14" x14ac:dyDescent="0.3">
      <c r="A7" s="17"/>
      <c r="B7" s="19"/>
      <c r="C7" s="19"/>
      <c r="D7" s="19"/>
      <c r="E7" s="3" t="s">
        <v>242</v>
      </c>
      <c r="F7" s="19"/>
      <c r="G7" s="19"/>
    </row>
    <row r="8" spans="1:14" ht="17.25" thickBot="1" x14ac:dyDescent="0.35">
      <c r="A8" s="6">
        <v>1</v>
      </c>
      <c r="B8" s="11" t="s">
        <v>114</v>
      </c>
      <c r="C8" s="2">
        <v>11915</v>
      </c>
      <c r="D8" s="2">
        <v>8.5550110000000004</v>
      </c>
      <c r="E8" s="2">
        <v>8.2590000000000007E-3</v>
      </c>
      <c r="F8" s="2">
        <v>8.5388156399999993</v>
      </c>
      <c r="G8" s="2">
        <v>8.5712053800000003</v>
      </c>
      <c r="I8" t="str">
        <f t="shared" ref="I8:I13" si="0">TEXT(D8,"0.00")&amp;" ("&amp;TEXT(F8,"0.00")&amp;" to "&amp;TEXT(G8,"0.00")&amp;")"</f>
        <v>8.56 (8.54 to 8.57)</v>
      </c>
      <c r="J8" t="str">
        <f>I9</f>
        <v>8.56 (8.54 to 8.58)</v>
      </c>
      <c r="K8" t="str">
        <f>I10</f>
        <v>8.59 (8.57 to 8.61)</v>
      </c>
      <c r="L8" t="str">
        <f>I11</f>
        <v>8.61 (8.59 to 8.62)</v>
      </c>
      <c r="M8" t="str">
        <f>I12</f>
        <v>8.59 (8.57 to 8.60)</v>
      </c>
      <c r="N8" t="str">
        <f>I13</f>
        <v>8.59 (8.57 to 8.62)</v>
      </c>
    </row>
    <row r="9" spans="1:14" ht="17.25" thickBot="1" x14ac:dyDescent="0.35">
      <c r="A9" s="6">
        <v>2</v>
      </c>
      <c r="B9" s="11" t="s">
        <v>114</v>
      </c>
      <c r="C9" s="2">
        <v>13116</v>
      </c>
      <c r="D9" s="2">
        <v>8.5595350000000003</v>
      </c>
      <c r="E9" s="2">
        <v>8.0199999999999994E-3</v>
      </c>
      <c r="F9" s="2">
        <v>8.5438085699999995</v>
      </c>
      <c r="G9" s="2">
        <v>8.5752606500000006</v>
      </c>
      <c r="I9" t="str">
        <f t="shared" si="0"/>
        <v>8.56 (8.54 to 8.58)</v>
      </c>
    </row>
    <row r="10" spans="1:14" ht="17.25" thickBot="1" x14ac:dyDescent="0.35">
      <c r="A10" s="6">
        <v>3</v>
      </c>
      <c r="B10" s="11" t="s">
        <v>114</v>
      </c>
      <c r="C10" s="2">
        <v>11475</v>
      </c>
      <c r="D10" s="2">
        <v>8.5890520000000006</v>
      </c>
      <c r="E10" s="2">
        <v>8.1969999999999994E-3</v>
      </c>
      <c r="F10" s="2">
        <v>8.5729789000000007</v>
      </c>
      <c r="G10" s="2">
        <v>8.6051257799999998</v>
      </c>
      <c r="I10" t="str">
        <f t="shared" si="0"/>
        <v>8.59 (8.57 to 8.61)</v>
      </c>
    </row>
    <row r="11" spans="1:14" ht="17.25" thickBot="1" x14ac:dyDescent="0.35">
      <c r="A11" s="6">
        <v>4</v>
      </c>
      <c r="B11" s="11" t="s">
        <v>114</v>
      </c>
      <c r="C11" s="2">
        <v>14158</v>
      </c>
      <c r="D11" s="2">
        <v>8.6096950000000003</v>
      </c>
      <c r="E11" s="2">
        <v>7.626E-3</v>
      </c>
      <c r="F11" s="2">
        <v>8.5947409799999992</v>
      </c>
      <c r="G11" s="2">
        <v>8.6246481799999994</v>
      </c>
      <c r="I11" t="str">
        <f t="shared" si="0"/>
        <v>8.61 (8.59 to 8.62)</v>
      </c>
    </row>
    <row r="12" spans="1:14" ht="17.25" thickBot="1" x14ac:dyDescent="0.35">
      <c r="A12" s="6">
        <v>5</v>
      </c>
      <c r="B12" s="11" t="s">
        <v>114</v>
      </c>
      <c r="C12" s="2">
        <v>13555</v>
      </c>
      <c r="D12" s="2">
        <v>8.5859089999999991</v>
      </c>
      <c r="E12" s="2">
        <v>7.7330000000000003E-3</v>
      </c>
      <c r="F12" s="2">
        <v>8.5707469399999994</v>
      </c>
      <c r="G12" s="2">
        <v>8.6010710699999997</v>
      </c>
      <c r="I12" t="str">
        <f t="shared" si="0"/>
        <v>8.59 (8.57 to 8.60)</v>
      </c>
    </row>
    <row r="13" spans="1:14" x14ac:dyDescent="0.3">
      <c r="A13" s="6">
        <v>6</v>
      </c>
      <c r="B13" s="14" t="s">
        <v>114</v>
      </c>
      <c r="C13" s="2">
        <v>4416</v>
      </c>
      <c r="D13" s="2">
        <v>8.5935269999999999</v>
      </c>
      <c r="E13" s="2">
        <v>1.2033E-2</v>
      </c>
      <c r="F13" s="2">
        <v>8.5699317100000005</v>
      </c>
      <c r="G13" s="2">
        <v>8.6171216000000008</v>
      </c>
      <c r="I13" t="str">
        <f t="shared" si="0"/>
        <v>8.59 (8.57 to 8.62)</v>
      </c>
    </row>
    <row r="15" spans="1:14" x14ac:dyDescent="0.3">
      <c r="A15" s="1" t="s">
        <v>237</v>
      </c>
    </row>
    <row r="17" spans="1:14" x14ac:dyDescent="0.3">
      <c r="A17" s="1" t="s">
        <v>21</v>
      </c>
    </row>
    <row r="18" spans="1:14" ht="17.25" thickBot="1" x14ac:dyDescent="0.35"/>
    <row r="19" spans="1:14" ht="16.5" customHeight="1" x14ac:dyDescent="0.3">
      <c r="A19" s="16" t="s">
        <v>248</v>
      </c>
      <c r="B19" s="18"/>
      <c r="C19" s="18"/>
      <c r="D19" s="18"/>
      <c r="E19" s="18"/>
      <c r="F19" s="18"/>
      <c r="G19" s="18"/>
    </row>
    <row r="20" spans="1:14" x14ac:dyDescent="0.3">
      <c r="A20" s="17" t="s">
        <v>249</v>
      </c>
      <c r="B20" s="19" t="s">
        <v>239</v>
      </c>
      <c r="C20" s="19" t="s">
        <v>94</v>
      </c>
      <c r="D20" s="19" t="s">
        <v>240</v>
      </c>
      <c r="E20" s="3" t="s">
        <v>241</v>
      </c>
      <c r="F20" s="19" t="s">
        <v>243</v>
      </c>
      <c r="G20" s="19"/>
    </row>
    <row r="21" spans="1:14" x14ac:dyDescent="0.3">
      <c r="A21" s="17"/>
      <c r="B21" s="19"/>
      <c r="C21" s="19"/>
      <c r="D21" s="19"/>
      <c r="E21" s="3" t="s">
        <v>242</v>
      </c>
      <c r="F21" s="19"/>
      <c r="G21" s="19"/>
    </row>
    <row r="22" spans="1:14" ht="17.25" thickBot="1" x14ac:dyDescent="0.35">
      <c r="A22" s="6">
        <v>1</v>
      </c>
      <c r="B22" s="11" t="s">
        <v>115</v>
      </c>
      <c r="C22" s="2">
        <v>11915</v>
      </c>
      <c r="D22" s="2">
        <v>0.66046199999999999</v>
      </c>
      <c r="E22" s="2">
        <v>1.1969999999999999E-3</v>
      </c>
      <c r="F22" s="2">
        <v>0.65811538000000003</v>
      </c>
      <c r="G22" s="2">
        <v>0.66280810000000001</v>
      </c>
      <c r="I22" t="str">
        <f t="shared" ref="I22:I27" si="1">TEXT(D22,"0.00")&amp;" ("&amp;TEXT(F22,"0.00")&amp;" to "&amp;TEXT(G22,"0.00")&amp;")"</f>
        <v>0.66 (0.66 to 0.66)</v>
      </c>
      <c r="J22" t="str">
        <f>I23</f>
        <v>0.66 (0.66 to 0.66)</v>
      </c>
      <c r="K22" t="str">
        <f>I24</f>
        <v>0.66 (0.66 to 0.66)</v>
      </c>
      <c r="L22" t="str">
        <f>I25</f>
        <v>0.66 (0.66 to 0.67)</v>
      </c>
      <c r="M22" t="str">
        <f>I26</f>
        <v>0.67 (0.67 to 0.67)</v>
      </c>
      <c r="N22" t="str">
        <f>I27</f>
        <v>0.67 (0.67 to 0.67)</v>
      </c>
    </row>
    <row r="23" spans="1:14" ht="17.25" thickBot="1" x14ac:dyDescent="0.35">
      <c r="A23" s="6">
        <v>2</v>
      </c>
      <c r="B23" s="11" t="s">
        <v>115</v>
      </c>
      <c r="C23" s="2">
        <v>13116</v>
      </c>
      <c r="D23" s="2">
        <v>0.65766199999999997</v>
      </c>
      <c r="E23" s="2">
        <v>1.0139999999999999E-3</v>
      </c>
      <c r="F23" s="2">
        <v>0.65567386999999999</v>
      </c>
      <c r="G23" s="2">
        <v>0.65965024999999999</v>
      </c>
      <c r="I23" t="str">
        <f t="shared" si="1"/>
        <v>0.66 (0.66 to 0.66)</v>
      </c>
    </row>
    <row r="24" spans="1:14" ht="17.25" thickBot="1" x14ac:dyDescent="0.35">
      <c r="A24" s="6">
        <v>3</v>
      </c>
      <c r="B24" s="11" t="s">
        <v>115</v>
      </c>
      <c r="C24" s="2">
        <v>11475</v>
      </c>
      <c r="D24" s="2">
        <v>0.658941</v>
      </c>
      <c r="E24" s="2">
        <v>1.0480000000000001E-3</v>
      </c>
      <c r="F24" s="2">
        <v>0.65688597000000004</v>
      </c>
      <c r="G24" s="2">
        <v>0.66099693000000004</v>
      </c>
      <c r="I24" t="str">
        <f t="shared" si="1"/>
        <v>0.66 (0.66 to 0.66)</v>
      </c>
    </row>
    <row r="25" spans="1:14" ht="17.25" thickBot="1" x14ac:dyDescent="0.35">
      <c r="A25" s="6">
        <v>4</v>
      </c>
      <c r="B25" s="11" t="s">
        <v>115</v>
      </c>
      <c r="C25" s="2">
        <v>14158</v>
      </c>
      <c r="D25" s="2">
        <v>0.66454500000000005</v>
      </c>
      <c r="E25" s="2">
        <v>9.7900000000000005E-4</v>
      </c>
      <c r="F25" s="2">
        <v>0.66262564999999995</v>
      </c>
      <c r="G25" s="2">
        <v>0.66646523999999996</v>
      </c>
      <c r="I25" t="str">
        <f t="shared" si="1"/>
        <v>0.66 (0.66 to 0.67)</v>
      </c>
    </row>
    <row r="26" spans="1:14" ht="17.25" thickBot="1" x14ac:dyDescent="0.35">
      <c r="A26" s="6">
        <v>5</v>
      </c>
      <c r="B26" s="11" t="s">
        <v>115</v>
      </c>
      <c r="C26" s="2">
        <v>13555</v>
      </c>
      <c r="D26" s="2">
        <v>0.672315</v>
      </c>
      <c r="E26" s="2">
        <v>9.4399999999999996E-4</v>
      </c>
      <c r="F26" s="2">
        <v>0.67046388999999995</v>
      </c>
      <c r="G26" s="2">
        <v>0.67416699999999996</v>
      </c>
      <c r="I26" t="str">
        <f t="shared" si="1"/>
        <v>0.67 (0.67 to 0.67)</v>
      </c>
    </row>
    <row r="27" spans="1:14" x14ac:dyDescent="0.3">
      <c r="A27" s="6">
        <v>6</v>
      </c>
      <c r="B27" s="14" t="s">
        <v>115</v>
      </c>
      <c r="C27" s="2">
        <v>4416</v>
      </c>
      <c r="D27" s="2">
        <v>0.66892600000000002</v>
      </c>
      <c r="E27" s="2">
        <v>1.6199999999999999E-3</v>
      </c>
      <c r="F27" s="2">
        <v>0.66574979999999995</v>
      </c>
      <c r="G27" s="2">
        <v>0.67210287000000002</v>
      </c>
      <c r="I27" t="str">
        <f t="shared" si="1"/>
        <v>0.67 (0.67 to 0.67)</v>
      </c>
    </row>
    <row r="29" spans="1:14" x14ac:dyDescent="0.3">
      <c r="A29" s="1" t="s">
        <v>237</v>
      </c>
    </row>
    <row r="31" spans="1:14" x14ac:dyDescent="0.3">
      <c r="A31" s="1" t="s">
        <v>21</v>
      </c>
    </row>
    <row r="32" spans="1:14" ht="17.25" thickBot="1" x14ac:dyDescent="0.35"/>
    <row r="33" spans="1:14" ht="16.5" customHeight="1" x14ac:dyDescent="0.3">
      <c r="A33" s="16" t="s">
        <v>248</v>
      </c>
      <c r="B33" s="18"/>
      <c r="C33" s="18"/>
      <c r="D33" s="18"/>
      <c r="E33" s="18"/>
      <c r="F33" s="18"/>
      <c r="G33" s="18"/>
    </row>
    <row r="34" spans="1:14" x14ac:dyDescent="0.3">
      <c r="A34" s="17" t="s">
        <v>249</v>
      </c>
      <c r="B34" s="19" t="s">
        <v>239</v>
      </c>
      <c r="C34" s="19" t="s">
        <v>94</v>
      </c>
      <c r="D34" s="19" t="s">
        <v>240</v>
      </c>
      <c r="E34" s="3" t="s">
        <v>241</v>
      </c>
      <c r="F34" s="19" t="s">
        <v>243</v>
      </c>
      <c r="G34" s="19"/>
    </row>
    <row r="35" spans="1:14" x14ac:dyDescent="0.3">
      <c r="A35" s="17"/>
      <c r="B35" s="19"/>
      <c r="C35" s="19"/>
      <c r="D35" s="19"/>
      <c r="E35" s="3" t="s">
        <v>242</v>
      </c>
      <c r="F35" s="19"/>
      <c r="G35" s="19"/>
    </row>
    <row r="36" spans="1:14" ht="17.25" thickBot="1" x14ac:dyDescent="0.35">
      <c r="A36" s="6">
        <v>1</v>
      </c>
      <c r="B36" s="11" t="s">
        <v>116</v>
      </c>
      <c r="C36" s="2">
        <v>11915</v>
      </c>
      <c r="D36" s="2">
        <v>0.36789899999999998</v>
      </c>
      <c r="E36" s="2">
        <v>3.81E-3</v>
      </c>
      <c r="F36" s="2">
        <v>0.36042751000000001</v>
      </c>
      <c r="G36" s="2">
        <v>0.37537023000000003</v>
      </c>
      <c r="I36" t="str">
        <f t="shared" ref="I36:I41" si="2">TEXT(D36,"0.00")&amp;" ("&amp;TEXT(F36,"0.00")&amp;" to "&amp;TEXT(G36,"0.00")&amp;")"</f>
        <v>0.37 (0.36 to 0.38)</v>
      </c>
      <c r="J36" t="str">
        <f>I37</f>
        <v>0.36 (0.35 to 0.36)</v>
      </c>
      <c r="K36" t="str">
        <f>I38</f>
        <v>0.35 (0.34 to 0.36)</v>
      </c>
      <c r="L36" t="str">
        <f>I39</f>
        <v>0.35 (0.35 to 0.36)</v>
      </c>
      <c r="M36" t="str">
        <f>I40</f>
        <v>0.33 (0.32 to 0.34)</v>
      </c>
      <c r="N36" t="str">
        <f>I41</f>
        <v>0.29 (0.28 to 0.30)</v>
      </c>
    </row>
    <row r="37" spans="1:14" ht="17.25" thickBot="1" x14ac:dyDescent="0.35">
      <c r="A37" s="6">
        <v>2</v>
      </c>
      <c r="B37" s="11" t="s">
        <v>116</v>
      </c>
      <c r="C37" s="2">
        <v>13116</v>
      </c>
      <c r="D37" s="2">
        <v>0.35673300000000002</v>
      </c>
      <c r="E37" s="2">
        <v>3.735E-3</v>
      </c>
      <c r="F37" s="2">
        <v>0.34940968</v>
      </c>
      <c r="G37" s="2">
        <v>0.36405664999999998</v>
      </c>
      <c r="I37" t="str">
        <f t="shared" si="2"/>
        <v>0.36 (0.35 to 0.36)</v>
      </c>
    </row>
    <row r="38" spans="1:14" ht="17.25" thickBot="1" x14ac:dyDescent="0.35">
      <c r="A38" s="6">
        <v>3</v>
      </c>
      <c r="B38" s="11" t="s">
        <v>116</v>
      </c>
      <c r="C38" s="2">
        <v>11475</v>
      </c>
      <c r="D38" s="2">
        <v>0.34841</v>
      </c>
      <c r="E38" s="2">
        <v>3.8019999999999998E-3</v>
      </c>
      <c r="F38" s="2">
        <v>0.34095491999999999</v>
      </c>
      <c r="G38" s="2">
        <v>0.35586430000000002</v>
      </c>
      <c r="I38" t="str">
        <f t="shared" si="2"/>
        <v>0.35 (0.34 to 0.36)</v>
      </c>
    </row>
    <row r="39" spans="1:14" ht="17.25" thickBot="1" x14ac:dyDescent="0.35">
      <c r="A39" s="6">
        <v>4</v>
      </c>
      <c r="B39" s="11" t="s">
        <v>116</v>
      </c>
      <c r="C39" s="2">
        <v>14158</v>
      </c>
      <c r="D39" s="2">
        <v>0.35297299999999998</v>
      </c>
      <c r="E39" s="2">
        <v>3.7030000000000001E-3</v>
      </c>
      <c r="F39" s="2">
        <v>0.34571236999999999</v>
      </c>
      <c r="G39" s="2">
        <v>0.36023306999999999</v>
      </c>
      <c r="I39" t="str">
        <f t="shared" si="2"/>
        <v>0.35 (0.35 to 0.36)</v>
      </c>
    </row>
    <row r="40" spans="1:14" ht="17.25" thickBot="1" x14ac:dyDescent="0.35">
      <c r="A40" s="6">
        <v>5</v>
      </c>
      <c r="B40" s="11" t="s">
        <v>116</v>
      </c>
      <c r="C40" s="2">
        <v>13555</v>
      </c>
      <c r="D40" s="2">
        <v>0.32832600000000001</v>
      </c>
      <c r="E40" s="2">
        <v>3.8110000000000002E-3</v>
      </c>
      <c r="F40" s="2">
        <v>0.32085353999999999</v>
      </c>
      <c r="G40" s="2">
        <v>0.33579903999999999</v>
      </c>
      <c r="I40" t="str">
        <f t="shared" si="2"/>
        <v>0.33 (0.32 to 0.34)</v>
      </c>
    </row>
    <row r="41" spans="1:14" x14ac:dyDescent="0.3">
      <c r="A41" s="6">
        <v>6</v>
      </c>
      <c r="B41" s="14" t="s">
        <v>116</v>
      </c>
      <c r="C41" s="2">
        <v>4416</v>
      </c>
      <c r="D41" s="2">
        <v>0.29083900000000001</v>
      </c>
      <c r="E41" s="2">
        <v>6.3699999999999998E-3</v>
      </c>
      <c r="F41" s="2">
        <v>0.27834913999999999</v>
      </c>
      <c r="G41" s="2">
        <v>0.30332974000000001</v>
      </c>
      <c r="I41" t="str">
        <f t="shared" si="2"/>
        <v>0.29 (0.28 to 0.30)</v>
      </c>
    </row>
    <row r="43" spans="1:14" x14ac:dyDescent="0.3">
      <c r="A43" s="1" t="s">
        <v>237</v>
      </c>
    </row>
    <row r="45" spans="1:14" x14ac:dyDescent="0.3">
      <c r="A45" s="1" t="s">
        <v>21</v>
      </c>
    </row>
    <row r="46" spans="1:14" ht="17.25" thickBot="1" x14ac:dyDescent="0.35"/>
    <row r="47" spans="1:14" ht="16.5" customHeight="1" x14ac:dyDescent="0.3">
      <c r="A47" s="16" t="s">
        <v>248</v>
      </c>
      <c r="B47" s="18"/>
      <c r="C47" s="18"/>
      <c r="D47" s="18"/>
      <c r="E47" s="18"/>
      <c r="F47" s="18"/>
      <c r="G47" s="18"/>
    </row>
    <row r="48" spans="1:14" x14ac:dyDescent="0.3">
      <c r="A48" s="17" t="s">
        <v>249</v>
      </c>
      <c r="B48" s="19" t="s">
        <v>239</v>
      </c>
      <c r="C48" s="19" t="s">
        <v>94</v>
      </c>
      <c r="D48" s="19" t="s">
        <v>240</v>
      </c>
      <c r="E48" s="3" t="s">
        <v>241</v>
      </c>
      <c r="F48" s="19" t="s">
        <v>243</v>
      </c>
      <c r="G48" s="19"/>
    </row>
    <row r="49" spans="1:14" x14ac:dyDescent="0.3">
      <c r="A49" s="17"/>
      <c r="B49" s="19"/>
      <c r="C49" s="19"/>
      <c r="D49" s="19"/>
      <c r="E49" s="3" t="s">
        <v>242</v>
      </c>
      <c r="F49" s="19"/>
      <c r="G49" s="19"/>
    </row>
    <row r="50" spans="1:14" ht="17.25" thickBot="1" x14ac:dyDescent="0.35">
      <c r="A50" s="6">
        <v>1</v>
      </c>
      <c r="B50" s="11" t="s">
        <v>117</v>
      </c>
      <c r="C50" s="2">
        <v>11915</v>
      </c>
      <c r="D50" s="2">
        <v>35.576841999999999</v>
      </c>
      <c r="E50" s="2">
        <v>8.5183999999999996E-2</v>
      </c>
      <c r="F50" s="2">
        <v>35.409812100000003</v>
      </c>
      <c r="G50" s="2">
        <v>35.743872699999997</v>
      </c>
      <c r="I50" t="str">
        <f t="shared" ref="I50:I55" si="3">TEXT(D50,"0.00")&amp;" ("&amp;TEXT(F50,"0.00")&amp;" to "&amp;TEXT(G50,"0.00")&amp;")"</f>
        <v>35.58 (35.41 to 35.74)</v>
      </c>
      <c r="J50" t="str">
        <f>I51</f>
        <v>35.55 (35.37 to 35.73)</v>
      </c>
      <c r="K50" t="str">
        <f>I52</f>
        <v>35.39 (35.22 to 35.55)</v>
      </c>
      <c r="L50" t="str">
        <f>I53</f>
        <v>35.74 (35.57 to 35.91)</v>
      </c>
      <c r="M50" t="str">
        <f>I54</f>
        <v>35.81 (35.63 to 35.99)</v>
      </c>
      <c r="N50" t="str">
        <f>I55</f>
        <v>35.28 (34.95 to 35.62)</v>
      </c>
    </row>
    <row r="51" spans="1:14" ht="17.25" thickBot="1" x14ac:dyDescent="0.35">
      <c r="A51" s="6">
        <v>2</v>
      </c>
      <c r="B51" s="11" t="s">
        <v>117</v>
      </c>
      <c r="C51" s="2">
        <v>13116</v>
      </c>
      <c r="D51" s="2">
        <v>35.547840000000001</v>
      </c>
      <c r="E51" s="2">
        <v>9.0675000000000006E-2</v>
      </c>
      <c r="F51" s="2">
        <v>35.370044399999998</v>
      </c>
      <c r="G51" s="2">
        <v>35.7256365</v>
      </c>
      <c r="I51" t="str">
        <f t="shared" si="3"/>
        <v>35.55 (35.37 to 35.73)</v>
      </c>
    </row>
    <row r="52" spans="1:14" ht="17.25" thickBot="1" x14ac:dyDescent="0.35">
      <c r="A52" s="6">
        <v>3</v>
      </c>
      <c r="B52" s="11" t="s">
        <v>117</v>
      </c>
      <c r="C52" s="2">
        <v>11475</v>
      </c>
      <c r="D52" s="2">
        <v>35.389527999999999</v>
      </c>
      <c r="E52" s="2">
        <v>8.4156999999999996E-2</v>
      </c>
      <c r="F52" s="2">
        <v>35.224511999999997</v>
      </c>
      <c r="G52" s="2">
        <v>35.554544800000002</v>
      </c>
      <c r="I52" t="str">
        <f t="shared" si="3"/>
        <v>35.39 (35.22 to 35.55)</v>
      </c>
    </row>
    <row r="53" spans="1:14" ht="17.25" thickBot="1" x14ac:dyDescent="0.35">
      <c r="A53" s="6">
        <v>4</v>
      </c>
      <c r="B53" s="11" t="s">
        <v>117</v>
      </c>
      <c r="C53" s="2">
        <v>14158</v>
      </c>
      <c r="D53" s="2">
        <v>35.740164999999998</v>
      </c>
      <c r="E53" s="2">
        <v>8.6733000000000005E-2</v>
      </c>
      <c r="F53" s="2">
        <v>35.570097699999998</v>
      </c>
      <c r="G53" s="2">
        <v>35.910232899999997</v>
      </c>
      <c r="I53" t="str">
        <f t="shared" si="3"/>
        <v>35.74 (35.57 to 35.91)</v>
      </c>
    </row>
    <row r="54" spans="1:14" ht="17.25" thickBot="1" x14ac:dyDescent="0.35">
      <c r="A54" s="6">
        <v>5</v>
      </c>
      <c r="B54" s="11" t="s">
        <v>117</v>
      </c>
      <c r="C54" s="2">
        <v>13555</v>
      </c>
      <c r="D54" s="2">
        <v>35.805607999999999</v>
      </c>
      <c r="E54" s="2">
        <v>9.1490000000000002E-2</v>
      </c>
      <c r="F54" s="2">
        <v>35.626212600000002</v>
      </c>
      <c r="G54" s="2">
        <v>35.985003599999999</v>
      </c>
      <c r="I54" t="str">
        <f t="shared" si="3"/>
        <v>35.81 (35.63 to 35.99)</v>
      </c>
    </row>
    <row r="55" spans="1:14" x14ac:dyDescent="0.3">
      <c r="A55" s="6">
        <v>6</v>
      </c>
      <c r="B55" s="14" t="s">
        <v>117</v>
      </c>
      <c r="C55" s="2">
        <v>4416</v>
      </c>
      <c r="D55" s="2">
        <v>35.284289999999999</v>
      </c>
      <c r="E55" s="2">
        <v>0.172564</v>
      </c>
      <c r="F55" s="2">
        <v>34.945924699999999</v>
      </c>
      <c r="G55" s="2">
        <v>35.622654500000003</v>
      </c>
      <c r="I55" t="str">
        <f t="shared" si="3"/>
        <v>35.28 (34.95 to 35.62)</v>
      </c>
    </row>
  </sheetData>
  <mergeCells count="24">
    <mergeCell ref="A5:G5"/>
    <mergeCell ref="A6:A7"/>
    <mergeCell ref="B6:B7"/>
    <mergeCell ref="C6:C7"/>
    <mergeCell ref="D6:D7"/>
    <mergeCell ref="F6:G7"/>
    <mergeCell ref="A19:G19"/>
    <mergeCell ref="A20:A21"/>
    <mergeCell ref="B20:B21"/>
    <mergeCell ref="C20:C21"/>
    <mergeCell ref="D20:D21"/>
    <mergeCell ref="F20:G21"/>
    <mergeCell ref="A33:G33"/>
    <mergeCell ref="A34:A35"/>
    <mergeCell ref="B34:B35"/>
    <mergeCell ref="C34:C35"/>
    <mergeCell ref="D34:D35"/>
    <mergeCell ref="F34:G35"/>
    <mergeCell ref="A47:G47"/>
    <mergeCell ref="A48:A49"/>
    <mergeCell ref="B48:B49"/>
    <mergeCell ref="C48:C49"/>
    <mergeCell ref="D48:D49"/>
    <mergeCell ref="F48:G49"/>
  </mergeCells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A643-ED7E-4B46-AA3C-9F0EE7167C92}">
  <dimension ref="A1:O1554"/>
  <sheetViews>
    <sheetView workbookViewId="0">
      <selection activeCell="J1543" sqref="J1543:O1544"/>
    </sheetView>
  </sheetViews>
  <sheetFormatPr defaultRowHeight="16.5" x14ac:dyDescent="0.3"/>
  <cols>
    <col min="10" max="15" width="17.25" bestFit="1" customWidth="1"/>
  </cols>
  <sheetData>
    <row r="1" spans="1:6" x14ac:dyDescent="0.3">
      <c r="A1" s="1" t="s">
        <v>237</v>
      </c>
    </row>
    <row r="3" spans="1:6" x14ac:dyDescent="0.3">
      <c r="A3" s="1" t="s">
        <v>1</v>
      </c>
    </row>
    <row r="4" spans="1:6" ht="17.25" thickBot="1" x14ac:dyDescent="0.35"/>
    <row r="5" spans="1:6" ht="16.5" customHeight="1" x14ac:dyDescent="0.3">
      <c r="A5" s="16" t="s">
        <v>135</v>
      </c>
      <c r="B5" s="18"/>
    </row>
    <row r="6" spans="1:6" ht="26.25" thickBot="1" x14ac:dyDescent="0.35">
      <c r="A6" s="12" t="s">
        <v>136</v>
      </c>
      <c r="B6" s="2">
        <v>183</v>
      </c>
    </row>
    <row r="7" spans="1:6" ht="26.25" thickBot="1" x14ac:dyDescent="0.35">
      <c r="A7" s="12" t="s">
        <v>137</v>
      </c>
      <c r="B7" s="2">
        <v>2949</v>
      </c>
    </row>
    <row r="8" spans="1:6" ht="39" thickBot="1" x14ac:dyDescent="0.35">
      <c r="A8" s="12" t="s">
        <v>138</v>
      </c>
      <c r="B8" s="2">
        <v>23222</v>
      </c>
    </row>
    <row r="9" spans="1:6" ht="25.5" x14ac:dyDescent="0.3">
      <c r="A9" s="13" t="s">
        <v>139</v>
      </c>
      <c r="B9" s="2">
        <v>9036880.5199999996</v>
      </c>
    </row>
    <row r="10" spans="1:6" ht="17.25" thickBot="1" x14ac:dyDescent="0.35"/>
    <row r="11" spans="1:6" ht="33" customHeight="1" x14ac:dyDescent="0.3">
      <c r="A11" s="16" t="s">
        <v>140</v>
      </c>
      <c r="B11" s="18"/>
    </row>
    <row r="12" spans="1:6" ht="33.75" thickBot="1" x14ac:dyDescent="0.35">
      <c r="A12" s="12" t="s">
        <v>141</v>
      </c>
      <c r="B12" s="2" t="s">
        <v>142</v>
      </c>
    </row>
    <row r="13" spans="1:6" ht="25.5" x14ac:dyDescent="0.3">
      <c r="A13" s="13" t="s">
        <v>143</v>
      </c>
      <c r="B13" s="2" t="s">
        <v>144</v>
      </c>
    </row>
    <row r="14" spans="1:6" ht="17.25" thickBot="1" x14ac:dyDescent="0.35"/>
    <row r="15" spans="1:6" ht="16.5" customHeight="1" x14ac:dyDescent="0.3">
      <c r="A15" s="16" t="s">
        <v>238</v>
      </c>
      <c r="B15" s="18"/>
      <c r="C15" s="18"/>
      <c r="D15" s="18"/>
      <c r="E15" s="18"/>
      <c r="F15" s="18"/>
    </row>
    <row r="16" spans="1:6" x14ac:dyDescent="0.3">
      <c r="A16" s="17" t="s">
        <v>239</v>
      </c>
      <c r="B16" s="19" t="s">
        <v>94</v>
      </c>
      <c r="C16" s="19" t="s">
        <v>240</v>
      </c>
      <c r="D16" s="3" t="s">
        <v>241</v>
      </c>
      <c r="E16" s="19" t="s">
        <v>243</v>
      </c>
      <c r="F16" s="19"/>
    </row>
    <row r="17" spans="1:8" x14ac:dyDescent="0.3">
      <c r="A17" s="17"/>
      <c r="B17" s="19"/>
      <c r="C17" s="19"/>
      <c r="D17" s="3" t="s">
        <v>242</v>
      </c>
      <c r="E17" s="19"/>
      <c r="F17" s="19"/>
    </row>
    <row r="18" spans="1:8" x14ac:dyDescent="0.3">
      <c r="A18" s="13" t="s">
        <v>114</v>
      </c>
      <c r="B18" s="2">
        <v>23222</v>
      </c>
      <c r="C18" s="2">
        <v>8.4582850000000001</v>
      </c>
      <c r="D18" s="2">
        <v>5.8770000000000003E-3</v>
      </c>
      <c r="E18" s="2">
        <v>8.4467599599999996</v>
      </c>
      <c r="F18" s="2">
        <v>8.4698092999999997</v>
      </c>
    </row>
    <row r="22" spans="1:8" x14ac:dyDescent="0.3">
      <c r="A22" s="1" t="s">
        <v>237</v>
      </c>
    </row>
    <row r="24" spans="1:8" x14ac:dyDescent="0.3">
      <c r="A24" s="1" t="s">
        <v>1</v>
      </c>
    </row>
    <row r="25" spans="1:8" ht="17.25" thickBot="1" x14ac:dyDescent="0.35"/>
    <row r="26" spans="1:8" ht="16.5" customHeight="1" x14ac:dyDescent="0.3">
      <c r="A26" s="16" t="s">
        <v>250</v>
      </c>
      <c r="B26" s="18"/>
      <c r="C26" s="18"/>
      <c r="D26" s="18"/>
      <c r="E26" s="18"/>
      <c r="F26" s="18"/>
      <c r="G26" s="18"/>
      <c r="H26" s="18"/>
    </row>
    <row r="27" spans="1:8" x14ac:dyDescent="0.3">
      <c r="A27" s="17" t="s">
        <v>249</v>
      </c>
      <c r="B27" s="19" t="s">
        <v>2</v>
      </c>
      <c r="C27" s="19" t="s">
        <v>239</v>
      </c>
      <c r="D27" s="19" t="s">
        <v>94</v>
      </c>
      <c r="E27" s="19" t="s">
        <v>240</v>
      </c>
      <c r="F27" s="3" t="s">
        <v>241</v>
      </c>
      <c r="G27" s="19" t="s">
        <v>243</v>
      </c>
      <c r="H27" s="19"/>
    </row>
    <row r="28" spans="1:8" x14ac:dyDescent="0.3">
      <c r="A28" s="17"/>
      <c r="B28" s="19"/>
      <c r="C28" s="19"/>
      <c r="D28" s="19"/>
      <c r="E28" s="19"/>
      <c r="F28" s="3" t="s">
        <v>242</v>
      </c>
      <c r="G28" s="19"/>
      <c r="H28" s="19"/>
    </row>
    <row r="29" spans="1:8" ht="17.25" thickBot="1" x14ac:dyDescent="0.35">
      <c r="A29" s="6">
        <v>1</v>
      </c>
      <c r="B29" s="3">
        <v>1</v>
      </c>
      <c r="C29" s="11" t="s">
        <v>114</v>
      </c>
      <c r="D29" s="2">
        <v>484</v>
      </c>
      <c r="E29" s="2">
        <v>8.4346580000000007</v>
      </c>
      <c r="F29" s="2">
        <v>3.2412999999999997E-2</v>
      </c>
      <c r="G29" s="2">
        <v>8.3711029499999992</v>
      </c>
      <c r="H29" s="2">
        <v>8.4982136199999996</v>
      </c>
    </row>
    <row r="30" spans="1:8" ht="17.25" thickBot="1" x14ac:dyDescent="0.35">
      <c r="A30" s="6"/>
      <c r="B30" s="3">
        <v>2</v>
      </c>
      <c r="C30" s="11" t="s">
        <v>114</v>
      </c>
      <c r="D30" s="2">
        <v>1151</v>
      </c>
      <c r="E30" s="2">
        <v>8.6998650000000008</v>
      </c>
      <c r="F30" s="2">
        <v>2.4233000000000001E-2</v>
      </c>
      <c r="G30" s="2">
        <v>8.6523487800000005</v>
      </c>
      <c r="H30" s="2">
        <v>8.7473814999999995</v>
      </c>
    </row>
    <row r="31" spans="1:8" ht="17.25" thickBot="1" x14ac:dyDescent="0.35">
      <c r="A31" s="6"/>
      <c r="B31" s="3">
        <v>3</v>
      </c>
      <c r="C31" s="11" t="s">
        <v>114</v>
      </c>
      <c r="D31" s="2">
        <v>1105</v>
      </c>
      <c r="E31" s="2">
        <v>8.8146920000000009</v>
      </c>
      <c r="F31" s="2">
        <v>2.3276999999999999E-2</v>
      </c>
      <c r="G31" s="2">
        <v>8.76904927</v>
      </c>
      <c r="H31" s="2">
        <v>8.86033516</v>
      </c>
    </row>
    <row r="32" spans="1:8" ht="17.25" thickBot="1" x14ac:dyDescent="0.35">
      <c r="A32" s="6"/>
      <c r="B32" s="3">
        <v>8</v>
      </c>
      <c r="C32" s="11" t="s">
        <v>114</v>
      </c>
      <c r="D32" s="2">
        <v>1000</v>
      </c>
      <c r="E32" s="2">
        <v>8.1302570000000003</v>
      </c>
      <c r="F32" s="2">
        <v>2.1416000000000001E-2</v>
      </c>
      <c r="G32" s="2">
        <v>8.0882628099999998</v>
      </c>
      <c r="H32" s="2">
        <v>8.1722504699999998</v>
      </c>
    </row>
    <row r="33" spans="1:8" ht="17.25" thickBot="1" x14ac:dyDescent="0.35">
      <c r="A33" s="6">
        <v>2</v>
      </c>
      <c r="B33" s="3">
        <v>1</v>
      </c>
      <c r="C33" s="11" t="s">
        <v>114</v>
      </c>
      <c r="D33" s="2">
        <v>344</v>
      </c>
      <c r="E33" s="2">
        <v>8.3876819999999999</v>
      </c>
      <c r="F33" s="2">
        <v>3.9684999999999998E-2</v>
      </c>
      <c r="G33" s="2">
        <v>8.3098659799999997</v>
      </c>
      <c r="H33" s="2">
        <v>8.4654970200000008</v>
      </c>
    </row>
    <row r="34" spans="1:8" ht="17.25" thickBot="1" x14ac:dyDescent="0.35">
      <c r="A34" s="6"/>
      <c r="B34" s="3">
        <v>2</v>
      </c>
      <c r="C34" s="11" t="s">
        <v>114</v>
      </c>
      <c r="D34" s="2">
        <v>1133</v>
      </c>
      <c r="E34" s="2">
        <v>8.6532640000000001</v>
      </c>
      <c r="F34" s="2">
        <v>2.4225E-2</v>
      </c>
      <c r="G34" s="2">
        <v>8.6057638399999998</v>
      </c>
      <c r="H34" s="2">
        <v>8.7007649199999992</v>
      </c>
    </row>
    <row r="35" spans="1:8" ht="17.25" thickBot="1" x14ac:dyDescent="0.35">
      <c r="A35" s="6"/>
      <c r="B35" s="3">
        <v>3</v>
      </c>
      <c r="C35" s="11" t="s">
        <v>114</v>
      </c>
      <c r="D35" s="2">
        <v>1142</v>
      </c>
      <c r="E35" s="2">
        <v>8.7691079999999992</v>
      </c>
      <c r="F35" s="2">
        <v>2.205E-2</v>
      </c>
      <c r="G35" s="2">
        <v>8.7258707500000003</v>
      </c>
      <c r="H35" s="2">
        <v>8.8123442900000004</v>
      </c>
    </row>
    <row r="36" spans="1:8" ht="17.25" thickBot="1" x14ac:dyDescent="0.35">
      <c r="A36" s="6"/>
      <c r="B36" s="3">
        <v>8</v>
      </c>
      <c r="C36" s="11" t="s">
        <v>114</v>
      </c>
      <c r="D36" s="2">
        <v>2113</v>
      </c>
      <c r="E36" s="2">
        <v>8.0893800000000002</v>
      </c>
      <c r="F36" s="2">
        <v>1.5605000000000001E-2</v>
      </c>
      <c r="G36" s="2">
        <v>8.0587806700000009</v>
      </c>
      <c r="H36" s="2">
        <v>8.1199785299999991</v>
      </c>
    </row>
    <row r="37" spans="1:8" ht="17.25" thickBot="1" x14ac:dyDescent="0.35">
      <c r="A37" s="6">
        <v>3</v>
      </c>
      <c r="B37" s="3">
        <v>1</v>
      </c>
      <c r="C37" s="11" t="s">
        <v>114</v>
      </c>
      <c r="D37" s="2">
        <v>385</v>
      </c>
      <c r="E37" s="2">
        <v>8.4957650000000005</v>
      </c>
      <c r="F37" s="2">
        <v>4.4270999999999998E-2</v>
      </c>
      <c r="G37" s="2">
        <v>8.4089568700000008</v>
      </c>
      <c r="H37" s="2">
        <v>8.5825735400000003</v>
      </c>
    </row>
    <row r="38" spans="1:8" ht="17.25" thickBot="1" x14ac:dyDescent="0.35">
      <c r="A38" s="6"/>
      <c r="B38" s="3">
        <v>2</v>
      </c>
      <c r="C38" s="11" t="s">
        <v>114</v>
      </c>
      <c r="D38" s="2">
        <v>1194</v>
      </c>
      <c r="E38" s="2">
        <v>8.7063360000000003</v>
      </c>
      <c r="F38" s="2">
        <v>2.5246000000000001E-2</v>
      </c>
      <c r="G38" s="2">
        <v>8.65683224</v>
      </c>
      <c r="H38" s="2">
        <v>8.7558393100000007</v>
      </c>
    </row>
    <row r="39" spans="1:8" ht="17.25" thickBot="1" x14ac:dyDescent="0.35">
      <c r="A39" s="6"/>
      <c r="B39" s="3">
        <v>3</v>
      </c>
      <c r="C39" s="11" t="s">
        <v>114</v>
      </c>
      <c r="D39" s="2">
        <v>1058</v>
      </c>
      <c r="E39" s="2">
        <v>8.7679600000000004</v>
      </c>
      <c r="F39" s="2">
        <v>2.1412E-2</v>
      </c>
      <c r="G39" s="2">
        <v>8.7259740200000007</v>
      </c>
      <c r="H39" s="2">
        <v>8.8099453699999994</v>
      </c>
    </row>
    <row r="40" spans="1:8" ht="17.25" thickBot="1" x14ac:dyDescent="0.35">
      <c r="A40" s="6"/>
      <c r="B40" s="3">
        <v>8</v>
      </c>
      <c r="C40" s="11" t="s">
        <v>114</v>
      </c>
      <c r="D40" s="2">
        <v>1620</v>
      </c>
      <c r="E40" s="2">
        <v>8.1393730000000009</v>
      </c>
      <c r="F40" s="2">
        <v>1.5723999999999998E-2</v>
      </c>
      <c r="G40" s="2">
        <v>8.1085407800000002</v>
      </c>
      <c r="H40" s="2">
        <v>8.1702054999999998</v>
      </c>
    </row>
    <row r="41" spans="1:8" ht="17.25" thickBot="1" x14ac:dyDescent="0.35">
      <c r="A41" s="6">
        <v>4</v>
      </c>
      <c r="B41" s="3">
        <v>1</v>
      </c>
      <c r="C41" s="11" t="s">
        <v>114</v>
      </c>
      <c r="D41" s="2">
        <v>415</v>
      </c>
      <c r="E41" s="2">
        <v>8.5087089999999996</v>
      </c>
      <c r="F41" s="2">
        <v>4.2195000000000003E-2</v>
      </c>
      <c r="G41" s="2">
        <v>8.4259711999999993</v>
      </c>
      <c r="H41" s="2">
        <v>8.5914458899999993</v>
      </c>
    </row>
    <row r="42" spans="1:8" ht="17.25" thickBot="1" x14ac:dyDescent="0.35">
      <c r="A42" s="6"/>
      <c r="B42" s="3">
        <v>2</v>
      </c>
      <c r="C42" s="11" t="s">
        <v>114</v>
      </c>
      <c r="D42" s="2">
        <v>1156</v>
      </c>
      <c r="E42" s="2">
        <v>8.7406970000000008</v>
      </c>
      <c r="F42" s="2">
        <v>2.4013E-2</v>
      </c>
      <c r="G42" s="2">
        <v>8.6936117700000004</v>
      </c>
      <c r="H42" s="2">
        <v>8.7877821699999998</v>
      </c>
    </row>
    <row r="43" spans="1:8" ht="17.25" thickBot="1" x14ac:dyDescent="0.35">
      <c r="A43" s="6"/>
      <c r="B43" s="3">
        <v>3</v>
      </c>
      <c r="C43" s="11" t="s">
        <v>114</v>
      </c>
      <c r="D43" s="2">
        <v>1264</v>
      </c>
      <c r="E43" s="2">
        <v>8.7817589999999992</v>
      </c>
      <c r="F43" s="2">
        <v>2.0143999999999999E-2</v>
      </c>
      <c r="G43" s="2">
        <v>8.7422596299999995</v>
      </c>
      <c r="H43" s="2">
        <v>8.8212574900000007</v>
      </c>
    </row>
    <row r="44" spans="1:8" ht="17.25" thickBot="1" x14ac:dyDescent="0.35">
      <c r="A44" s="6"/>
      <c r="B44" s="3">
        <v>8</v>
      </c>
      <c r="C44" s="11" t="s">
        <v>114</v>
      </c>
      <c r="D44" s="2">
        <v>1721</v>
      </c>
      <c r="E44" s="2">
        <v>8.1576029999999999</v>
      </c>
      <c r="F44" s="2">
        <v>1.4978999999999999E-2</v>
      </c>
      <c r="G44" s="2">
        <v>8.1282309399999999</v>
      </c>
      <c r="H44" s="2">
        <v>8.1869747999999998</v>
      </c>
    </row>
    <row r="45" spans="1:8" ht="17.25" thickBot="1" x14ac:dyDescent="0.35">
      <c r="A45" s="6">
        <v>5</v>
      </c>
      <c r="B45" s="3">
        <v>1</v>
      </c>
      <c r="C45" s="11" t="s">
        <v>114</v>
      </c>
      <c r="D45" s="2">
        <v>353</v>
      </c>
      <c r="E45" s="2">
        <v>8.4506060000000005</v>
      </c>
      <c r="F45" s="2">
        <v>4.2875000000000003E-2</v>
      </c>
      <c r="G45" s="2">
        <v>8.3665350499999995</v>
      </c>
      <c r="H45" s="2">
        <v>8.53467719</v>
      </c>
    </row>
    <row r="46" spans="1:8" ht="17.25" thickBot="1" x14ac:dyDescent="0.35">
      <c r="A46" s="6"/>
      <c r="B46" s="3">
        <v>2</v>
      </c>
      <c r="C46" s="11" t="s">
        <v>114</v>
      </c>
      <c r="D46" s="2">
        <v>984</v>
      </c>
      <c r="E46" s="2">
        <v>8.7234210000000001</v>
      </c>
      <c r="F46" s="2">
        <v>2.5873E-2</v>
      </c>
      <c r="G46" s="2">
        <v>8.6726890099999991</v>
      </c>
      <c r="H46" s="2">
        <v>8.7741526400000005</v>
      </c>
    </row>
    <row r="47" spans="1:8" ht="17.25" thickBot="1" x14ac:dyDescent="0.35">
      <c r="A47" s="6"/>
      <c r="B47" s="3">
        <v>3</v>
      </c>
      <c r="C47" s="11" t="s">
        <v>114</v>
      </c>
      <c r="D47" s="2">
        <v>1617</v>
      </c>
      <c r="E47" s="2">
        <v>8.6776499999999999</v>
      </c>
      <c r="F47" s="2">
        <v>1.6278999999999998E-2</v>
      </c>
      <c r="G47" s="2">
        <v>8.6457307500000002</v>
      </c>
      <c r="H47" s="2">
        <v>8.7095702100000008</v>
      </c>
    </row>
    <row r="48" spans="1:8" ht="17.25" thickBot="1" x14ac:dyDescent="0.35">
      <c r="A48" s="6"/>
      <c r="B48" s="3">
        <v>8</v>
      </c>
      <c r="C48" s="11" t="s">
        <v>114</v>
      </c>
      <c r="D48" s="2">
        <v>1547</v>
      </c>
      <c r="E48" s="2">
        <v>8.1847239999999992</v>
      </c>
      <c r="F48" s="2">
        <v>1.7679E-2</v>
      </c>
      <c r="G48" s="2">
        <v>8.1500586699999999</v>
      </c>
      <c r="H48" s="2">
        <v>8.2193883999999997</v>
      </c>
    </row>
    <row r="49" spans="1:8" ht="17.25" thickBot="1" x14ac:dyDescent="0.35">
      <c r="A49" s="6">
        <v>6</v>
      </c>
      <c r="B49" s="3">
        <v>1</v>
      </c>
      <c r="C49" s="11" t="s">
        <v>114</v>
      </c>
      <c r="D49" s="2">
        <v>129</v>
      </c>
      <c r="E49" s="2">
        <v>8.4240019999999998</v>
      </c>
      <c r="F49" s="2">
        <v>7.0246000000000003E-2</v>
      </c>
      <c r="G49" s="2">
        <v>8.2862623000000006</v>
      </c>
      <c r="H49" s="2">
        <v>8.5617426499999993</v>
      </c>
    </row>
    <row r="50" spans="1:8" ht="17.25" thickBot="1" x14ac:dyDescent="0.35">
      <c r="A50" s="6"/>
      <c r="B50" s="3">
        <v>2</v>
      </c>
      <c r="C50" s="11" t="s">
        <v>114</v>
      </c>
      <c r="D50" s="2">
        <v>346</v>
      </c>
      <c r="E50" s="2">
        <v>8.7432619999999996</v>
      </c>
      <c r="F50" s="2">
        <v>3.1501000000000001E-2</v>
      </c>
      <c r="G50" s="2">
        <v>8.6814930500000003</v>
      </c>
      <c r="H50" s="2">
        <v>8.8050305499999997</v>
      </c>
    </row>
    <row r="51" spans="1:8" ht="17.25" thickBot="1" x14ac:dyDescent="0.35">
      <c r="A51" s="6"/>
      <c r="B51" s="3">
        <v>3</v>
      </c>
      <c r="C51" s="11" t="s">
        <v>114</v>
      </c>
      <c r="D51" s="2">
        <v>523</v>
      </c>
      <c r="E51" s="2">
        <v>8.6671180000000003</v>
      </c>
      <c r="F51" s="2">
        <v>2.3997999999999998E-2</v>
      </c>
      <c r="G51" s="2">
        <v>8.6200616100000005</v>
      </c>
      <c r="H51" s="2">
        <v>8.7141745799999999</v>
      </c>
    </row>
    <row r="52" spans="1:8" x14ac:dyDescent="0.3">
      <c r="A52" s="6"/>
      <c r="B52" s="3">
        <v>8</v>
      </c>
      <c r="C52" s="14" t="s">
        <v>114</v>
      </c>
      <c r="D52" s="2">
        <v>438</v>
      </c>
      <c r="E52" s="2">
        <v>8.1808899999999998</v>
      </c>
      <c r="F52" s="2">
        <v>2.6211999999999999E-2</v>
      </c>
      <c r="G52" s="2">
        <v>8.1294919700000001</v>
      </c>
      <c r="H52" s="2">
        <v>8.2322880200000004</v>
      </c>
    </row>
    <row r="56" spans="1:8" x14ac:dyDescent="0.3">
      <c r="A56" s="1" t="s">
        <v>237</v>
      </c>
    </row>
    <row r="58" spans="1:8" x14ac:dyDescent="0.3">
      <c r="A58" s="1" t="s">
        <v>21</v>
      </c>
    </row>
    <row r="59" spans="1:8" ht="17.25" thickBot="1" x14ac:dyDescent="0.35"/>
    <row r="60" spans="1:8" ht="16.5" customHeight="1" x14ac:dyDescent="0.3">
      <c r="A60" s="16" t="s">
        <v>135</v>
      </c>
      <c r="B60" s="18"/>
    </row>
    <row r="61" spans="1:8" ht="26.25" thickBot="1" x14ac:dyDescent="0.35">
      <c r="A61" s="12" t="s">
        <v>136</v>
      </c>
      <c r="B61" s="2">
        <v>183</v>
      </c>
    </row>
    <row r="62" spans="1:8" ht="26.25" thickBot="1" x14ac:dyDescent="0.35">
      <c r="A62" s="12" t="s">
        <v>137</v>
      </c>
      <c r="B62" s="2">
        <v>2982</v>
      </c>
    </row>
    <row r="63" spans="1:8" ht="39" thickBot="1" x14ac:dyDescent="0.35">
      <c r="A63" s="12" t="s">
        <v>138</v>
      </c>
      <c r="B63" s="2">
        <v>68635</v>
      </c>
    </row>
    <row r="64" spans="1:8" ht="25.5" x14ac:dyDescent="0.3">
      <c r="A64" s="13" t="s">
        <v>139</v>
      </c>
      <c r="B64" s="2">
        <v>30251935.699999999</v>
      </c>
    </row>
    <row r="65" spans="1:6" ht="17.25" thickBot="1" x14ac:dyDescent="0.35"/>
    <row r="66" spans="1:6" ht="33" customHeight="1" x14ac:dyDescent="0.3">
      <c r="A66" s="16" t="s">
        <v>140</v>
      </c>
      <c r="B66" s="18"/>
    </row>
    <row r="67" spans="1:6" ht="33.75" thickBot="1" x14ac:dyDescent="0.35">
      <c r="A67" s="12" t="s">
        <v>141</v>
      </c>
      <c r="B67" s="2" t="s">
        <v>142</v>
      </c>
    </row>
    <row r="68" spans="1:6" ht="25.5" x14ac:dyDescent="0.3">
      <c r="A68" s="13" t="s">
        <v>143</v>
      </c>
      <c r="B68" s="2" t="s">
        <v>144</v>
      </c>
    </row>
    <row r="69" spans="1:6" ht="17.25" thickBot="1" x14ac:dyDescent="0.35"/>
    <row r="70" spans="1:6" ht="16.5" customHeight="1" x14ac:dyDescent="0.3">
      <c r="A70" s="16" t="s">
        <v>238</v>
      </c>
      <c r="B70" s="18"/>
      <c r="C70" s="18"/>
      <c r="D70" s="18"/>
      <c r="E70" s="18"/>
      <c r="F70" s="18"/>
    </row>
    <row r="71" spans="1:6" x14ac:dyDescent="0.3">
      <c r="A71" s="17" t="s">
        <v>239</v>
      </c>
      <c r="B71" s="19" t="s">
        <v>94</v>
      </c>
      <c r="C71" s="19" t="s">
        <v>240</v>
      </c>
      <c r="D71" s="3" t="s">
        <v>241</v>
      </c>
      <c r="E71" s="19" t="s">
        <v>243</v>
      </c>
      <c r="F71" s="19"/>
    </row>
    <row r="72" spans="1:6" x14ac:dyDescent="0.3">
      <c r="A72" s="17"/>
      <c r="B72" s="19"/>
      <c r="C72" s="19"/>
      <c r="D72" s="3" t="s">
        <v>242</v>
      </c>
      <c r="E72" s="19"/>
      <c r="F72" s="19"/>
    </row>
    <row r="73" spans="1:6" x14ac:dyDescent="0.3">
      <c r="A73" s="13" t="s">
        <v>114</v>
      </c>
      <c r="B73" s="2">
        <v>68635</v>
      </c>
      <c r="C73" s="2">
        <v>8.5827570000000009</v>
      </c>
      <c r="D73" s="2">
        <v>3.4259999999999998E-3</v>
      </c>
      <c r="E73" s="2">
        <v>8.5760384700000003</v>
      </c>
      <c r="F73" s="2">
        <v>8.58947489</v>
      </c>
    </row>
    <row r="77" spans="1:6" x14ac:dyDescent="0.3">
      <c r="A77" s="1" t="s">
        <v>237</v>
      </c>
    </row>
    <row r="79" spans="1:6" x14ac:dyDescent="0.3">
      <c r="A79" s="1" t="s">
        <v>21</v>
      </c>
    </row>
    <row r="80" spans="1:6" ht="17.25" thickBot="1" x14ac:dyDescent="0.35"/>
    <row r="81" spans="1:15" ht="16.5" customHeight="1" x14ac:dyDescent="0.3">
      <c r="A81" s="16" t="s">
        <v>250</v>
      </c>
      <c r="B81" s="18"/>
      <c r="C81" s="18"/>
      <c r="D81" s="18"/>
      <c r="E81" s="18"/>
      <c r="F81" s="18"/>
      <c r="G81" s="18"/>
      <c r="H81" s="18"/>
    </row>
    <row r="82" spans="1:15" x14ac:dyDescent="0.3">
      <c r="A82" s="17" t="s">
        <v>249</v>
      </c>
      <c r="B82" s="19" t="s">
        <v>2</v>
      </c>
      <c r="C82" s="19" t="s">
        <v>239</v>
      </c>
      <c r="D82" s="19" t="s">
        <v>94</v>
      </c>
      <c r="E82" s="19" t="s">
        <v>240</v>
      </c>
      <c r="F82" s="3" t="s">
        <v>241</v>
      </c>
      <c r="G82" s="19" t="s">
        <v>243</v>
      </c>
      <c r="H82" s="19"/>
    </row>
    <row r="83" spans="1:15" x14ac:dyDescent="0.3">
      <c r="A83" s="17"/>
      <c r="B83" s="19"/>
      <c r="C83" s="19"/>
      <c r="D83" s="19"/>
      <c r="E83" s="19"/>
      <c r="F83" s="3" t="s">
        <v>242</v>
      </c>
      <c r="G83" s="19"/>
      <c r="H83" s="19"/>
    </row>
    <row r="84" spans="1:15" ht="17.25" thickBot="1" x14ac:dyDescent="0.35">
      <c r="A84" s="6">
        <v>1</v>
      </c>
      <c r="B84" s="3">
        <v>1</v>
      </c>
      <c r="C84" s="11" t="s">
        <v>114</v>
      </c>
      <c r="D84" s="2">
        <v>4203</v>
      </c>
      <c r="E84" s="2">
        <v>8.3564520000000009</v>
      </c>
      <c r="F84" s="2">
        <v>1.1246000000000001E-2</v>
      </c>
      <c r="G84" s="2">
        <v>8.3343998999999993</v>
      </c>
      <c r="H84" s="2">
        <v>8.3785036700000006</v>
      </c>
      <c r="J84" t="str">
        <f t="shared" ref="J84:J101" si="0">TEXT(E84,"0.00")&amp;" ("&amp;TEXT(G84,"0.00")&amp;" to "&amp;TEXT(H84,"0.00")&amp;")"</f>
        <v>8.36 (8.33 to 8.38)</v>
      </c>
      <c r="K84" t="str">
        <f>J87</f>
        <v>8.35 (8.33 to 8.38)</v>
      </c>
      <c r="L84" t="str">
        <f>J90</f>
        <v>8.38 (8.35 to 8.40)</v>
      </c>
      <c r="M84" t="str">
        <f>J93</f>
        <v>8.41 (8.38 to 8.43)</v>
      </c>
      <c r="N84" t="str">
        <f>J96</f>
        <v>8.38 (8.36 to 8.41)</v>
      </c>
      <c r="O84" t="str">
        <f>J99</f>
        <v>8.43 (8.38 to 8.47)</v>
      </c>
    </row>
    <row r="85" spans="1:15" ht="17.25" thickBot="1" x14ac:dyDescent="0.35">
      <c r="A85" s="6"/>
      <c r="B85" s="3">
        <v>2</v>
      </c>
      <c r="C85" s="11" t="s">
        <v>114</v>
      </c>
      <c r="D85" s="2">
        <v>5539</v>
      </c>
      <c r="E85" s="2">
        <v>8.7051049999999996</v>
      </c>
      <c r="F85" s="2">
        <v>1.1077E-2</v>
      </c>
      <c r="G85" s="2">
        <v>8.6833851499999994</v>
      </c>
      <c r="H85" s="2">
        <v>8.7268244599999996</v>
      </c>
      <c r="J85" t="str">
        <f t="shared" si="0"/>
        <v>8.71 (8.68 to 8.73)</v>
      </c>
      <c r="K85" t="str">
        <f t="shared" ref="K85:K86" si="1">J88</f>
        <v>8.71 (8.69 to 8.73)</v>
      </c>
      <c r="L85" t="str">
        <f t="shared" ref="L85:L86" si="2">J91</f>
        <v>8.73 (8.71 to 8.75)</v>
      </c>
      <c r="M85" t="str">
        <f t="shared" ref="M85:M86" si="3">J94</f>
        <v>8.74 (8.72 to 8.76)</v>
      </c>
      <c r="N85" t="str">
        <f t="shared" ref="N85:N86" si="4">J97</f>
        <v>8.70 (8.68 to 8.72)</v>
      </c>
      <c r="O85" t="str">
        <f t="shared" ref="O85:O86" si="5">J100</f>
        <v>8.68 (8.66 to 8.71)</v>
      </c>
    </row>
    <row r="86" spans="1:15" ht="17.25" thickBot="1" x14ac:dyDescent="0.35">
      <c r="A86" s="6"/>
      <c r="B86" s="3">
        <v>3</v>
      </c>
      <c r="C86" s="11" t="s">
        <v>114</v>
      </c>
      <c r="D86" s="2">
        <v>2173</v>
      </c>
      <c r="E86" s="2">
        <v>8.7517119999999995</v>
      </c>
      <c r="F86" s="2">
        <v>1.6463999999999999E-2</v>
      </c>
      <c r="G86" s="2">
        <v>8.7194294499999998</v>
      </c>
      <c r="H86" s="2">
        <v>8.7839949300000004</v>
      </c>
      <c r="J86" t="str">
        <f t="shared" si="0"/>
        <v>8.75 (8.72 to 8.78)</v>
      </c>
      <c r="K86" t="str">
        <f t="shared" si="1"/>
        <v>8.70 (8.67 to 8.73)</v>
      </c>
      <c r="L86" t="str">
        <f t="shared" si="2"/>
        <v>8.74 (8.71 to 8.77)</v>
      </c>
      <c r="M86" t="str">
        <f t="shared" si="3"/>
        <v>8.72 (8.69 to 8.75)</v>
      </c>
      <c r="N86" t="str">
        <f t="shared" si="4"/>
        <v>8.69 (8.66 to 8.71)</v>
      </c>
      <c r="O86" t="str">
        <f t="shared" si="5"/>
        <v>8.66 (8.62 to 8.69)</v>
      </c>
    </row>
    <row r="87" spans="1:15" ht="17.25" thickBot="1" x14ac:dyDescent="0.35">
      <c r="A87" s="6">
        <v>2</v>
      </c>
      <c r="B87" s="3">
        <v>1</v>
      </c>
      <c r="C87" s="11" t="s">
        <v>114</v>
      </c>
      <c r="D87" s="2">
        <v>4179</v>
      </c>
      <c r="E87" s="2">
        <v>8.3522890000000007</v>
      </c>
      <c r="F87" s="2">
        <v>1.2217E-2</v>
      </c>
      <c r="G87" s="2">
        <v>8.3283329699999999</v>
      </c>
      <c r="H87" s="2">
        <v>8.3762448200000001</v>
      </c>
      <c r="J87" t="str">
        <f t="shared" si="0"/>
        <v>8.35 (8.33 to 8.38)</v>
      </c>
    </row>
    <row r="88" spans="1:15" ht="17.25" thickBot="1" x14ac:dyDescent="0.35">
      <c r="A88" s="6"/>
      <c r="B88" s="3">
        <v>2</v>
      </c>
      <c r="C88" s="11" t="s">
        <v>114</v>
      </c>
      <c r="D88" s="2">
        <v>6402</v>
      </c>
      <c r="E88" s="2">
        <v>8.7080520000000003</v>
      </c>
      <c r="F88" s="2">
        <v>1.0848E-2</v>
      </c>
      <c r="G88" s="2">
        <v>8.6867818700000008</v>
      </c>
      <c r="H88" s="2">
        <v>8.7293224800000004</v>
      </c>
      <c r="J88" t="str">
        <f t="shared" si="0"/>
        <v>8.71 (8.69 to 8.73)</v>
      </c>
    </row>
    <row r="89" spans="1:15" ht="17.25" thickBot="1" x14ac:dyDescent="0.35">
      <c r="A89" s="6"/>
      <c r="B89" s="3">
        <v>3</v>
      </c>
      <c r="C89" s="11" t="s">
        <v>114</v>
      </c>
      <c r="D89" s="2">
        <v>2535</v>
      </c>
      <c r="E89" s="2">
        <v>8.7011660000000006</v>
      </c>
      <c r="F89" s="2">
        <v>1.4836E-2</v>
      </c>
      <c r="G89" s="2">
        <v>8.6720745899999994</v>
      </c>
      <c r="H89" s="2">
        <v>8.7302573900000002</v>
      </c>
      <c r="J89" t="str">
        <f t="shared" si="0"/>
        <v>8.70 (8.67 to 8.73)</v>
      </c>
    </row>
    <row r="90" spans="1:15" ht="17.25" thickBot="1" x14ac:dyDescent="0.35">
      <c r="A90" s="6">
        <v>3</v>
      </c>
      <c r="B90" s="3">
        <v>1</v>
      </c>
      <c r="C90" s="11" t="s">
        <v>114</v>
      </c>
      <c r="D90" s="2">
        <v>3520</v>
      </c>
      <c r="E90" s="2">
        <v>8.3777980000000003</v>
      </c>
      <c r="F90" s="2">
        <v>1.2746E-2</v>
      </c>
      <c r="G90" s="2">
        <v>8.3528053500000006</v>
      </c>
      <c r="H90" s="2">
        <v>8.4027896900000005</v>
      </c>
      <c r="J90" t="str">
        <f t="shared" si="0"/>
        <v>8.38 (8.35 to 8.40)</v>
      </c>
    </row>
    <row r="91" spans="1:15" ht="17.25" thickBot="1" x14ac:dyDescent="0.35">
      <c r="A91" s="6"/>
      <c r="B91" s="3">
        <v>2</v>
      </c>
      <c r="C91" s="11" t="s">
        <v>114</v>
      </c>
      <c r="D91" s="2">
        <v>5743</v>
      </c>
      <c r="E91" s="2">
        <v>8.7276279999999993</v>
      </c>
      <c r="F91" s="2">
        <v>1.0957E-2</v>
      </c>
      <c r="G91" s="2">
        <v>8.70614314</v>
      </c>
      <c r="H91" s="2">
        <v>8.7491126300000008</v>
      </c>
      <c r="J91" t="str">
        <f t="shared" si="0"/>
        <v>8.73 (8.71 to 8.75)</v>
      </c>
    </row>
    <row r="92" spans="1:15" ht="17.25" thickBot="1" x14ac:dyDescent="0.35">
      <c r="A92" s="6"/>
      <c r="B92" s="3">
        <v>3</v>
      </c>
      <c r="C92" s="11" t="s">
        <v>114</v>
      </c>
      <c r="D92" s="2">
        <v>2212</v>
      </c>
      <c r="E92" s="2">
        <v>8.7396220000000007</v>
      </c>
      <c r="F92" s="2">
        <v>1.4689000000000001E-2</v>
      </c>
      <c r="G92" s="2">
        <v>8.7108194000000001</v>
      </c>
      <c r="H92" s="2">
        <v>8.7684242000000001</v>
      </c>
      <c r="J92" t="str">
        <f t="shared" si="0"/>
        <v>8.74 (8.71 to 8.77)</v>
      </c>
    </row>
    <row r="93" spans="1:15" ht="17.25" thickBot="1" x14ac:dyDescent="0.35">
      <c r="A93" s="6">
        <v>4</v>
      </c>
      <c r="B93" s="3">
        <v>1</v>
      </c>
      <c r="C93" s="11" t="s">
        <v>114</v>
      </c>
      <c r="D93" s="2">
        <v>4230</v>
      </c>
      <c r="E93" s="2">
        <v>8.4065779999999997</v>
      </c>
      <c r="F93" s="2">
        <v>1.1351999999999999E-2</v>
      </c>
      <c r="G93" s="2">
        <v>8.3843194400000005</v>
      </c>
      <c r="H93" s="2">
        <v>8.4288361500000004</v>
      </c>
      <c r="J93" t="str">
        <f t="shared" si="0"/>
        <v>8.41 (8.38 to 8.43)</v>
      </c>
    </row>
    <row r="94" spans="1:15" ht="17.25" thickBot="1" x14ac:dyDescent="0.35">
      <c r="A94" s="6"/>
      <c r="B94" s="3">
        <v>2</v>
      </c>
      <c r="C94" s="11" t="s">
        <v>114</v>
      </c>
      <c r="D94" s="2">
        <v>6950</v>
      </c>
      <c r="E94" s="2">
        <v>8.7359969999999993</v>
      </c>
      <c r="F94" s="2">
        <v>1.0430999999999999E-2</v>
      </c>
      <c r="G94" s="2">
        <v>8.7155435600000004</v>
      </c>
      <c r="H94" s="2">
        <v>8.7564506600000005</v>
      </c>
      <c r="J94" t="str">
        <f t="shared" si="0"/>
        <v>8.74 (8.72 to 8.76)</v>
      </c>
    </row>
    <row r="95" spans="1:15" ht="17.25" thickBot="1" x14ac:dyDescent="0.35">
      <c r="A95" s="6"/>
      <c r="B95" s="3">
        <v>3</v>
      </c>
      <c r="C95" s="11" t="s">
        <v>114</v>
      </c>
      <c r="D95" s="2">
        <v>2978</v>
      </c>
      <c r="E95" s="2">
        <v>8.720288</v>
      </c>
      <c r="F95" s="2">
        <v>1.3313999999999999E-2</v>
      </c>
      <c r="G95" s="2">
        <v>8.6941818800000004</v>
      </c>
      <c r="H95" s="2">
        <v>8.7463951000000009</v>
      </c>
      <c r="J95" t="str">
        <f t="shared" si="0"/>
        <v>8.72 (8.69 to 8.75)</v>
      </c>
    </row>
    <row r="96" spans="1:15" ht="17.25" thickBot="1" x14ac:dyDescent="0.35">
      <c r="A96" s="6">
        <v>5</v>
      </c>
      <c r="B96" s="3">
        <v>1</v>
      </c>
      <c r="C96" s="11" t="s">
        <v>114</v>
      </c>
      <c r="D96" s="2">
        <v>3857</v>
      </c>
      <c r="E96" s="2">
        <v>8.384525</v>
      </c>
      <c r="F96" s="2">
        <v>1.2222E-2</v>
      </c>
      <c r="G96" s="2">
        <v>8.3605589600000005</v>
      </c>
      <c r="H96" s="2">
        <v>8.4084901399999996</v>
      </c>
      <c r="J96" t="str">
        <f t="shared" si="0"/>
        <v>8.38 (8.36 to 8.41)</v>
      </c>
    </row>
    <row r="97" spans="1:10" ht="17.25" thickBot="1" x14ac:dyDescent="0.35">
      <c r="A97" s="6"/>
      <c r="B97" s="3">
        <v>2</v>
      </c>
      <c r="C97" s="11" t="s">
        <v>114</v>
      </c>
      <c r="D97" s="2">
        <v>6693</v>
      </c>
      <c r="E97" s="2">
        <v>8.7041439999999994</v>
      </c>
      <c r="F97" s="2">
        <v>1.0224E-2</v>
      </c>
      <c r="G97" s="2">
        <v>8.6840963200000001</v>
      </c>
      <c r="H97" s="2">
        <v>8.7241920099999994</v>
      </c>
      <c r="J97" t="str">
        <f t="shared" si="0"/>
        <v>8.70 (8.68 to 8.72)</v>
      </c>
    </row>
    <row r="98" spans="1:10" ht="17.25" thickBot="1" x14ac:dyDescent="0.35">
      <c r="A98" s="6"/>
      <c r="B98" s="3">
        <v>3</v>
      </c>
      <c r="C98" s="11" t="s">
        <v>114</v>
      </c>
      <c r="D98" s="2">
        <v>3005</v>
      </c>
      <c r="E98" s="2">
        <v>8.6868560000000006</v>
      </c>
      <c r="F98" s="2">
        <v>1.2359999999999999E-2</v>
      </c>
      <c r="G98" s="2">
        <v>8.6626191000000006</v>
      </c>
      <c r="H98" s="2">
        <v>8.7110919599999992</v>
      </c>
      <c r="J98" t="str">
        <f t="shared" si="0"/>
        <v>8.69 (8.66 to 8.71)</v>
      </c>
    </row>
    <row r="99" spans="1:10" ht="17.25" thickBot="1" x14ac:dyDescent="0.35">
      <c r="A99" s="6">
        <v>6</v>
      </c>
      <c r="B99" s="3">
        <v>1</v>
      </c>
      <c r="C99" s="11" t="s">
        <v>114</v>
      </c>
      <c r="D99" s="2">
        <v>1090</v>
      </c>
      <c r="E99" s="2">
        <v>8.4264309999999991</v>
      </c>
      <c r="F99" s="2">
        <v>2.3064999999999999E-2</v>
      </c>
      <c r="G99" s="2">
        <v>8.38120391</v>
      </c>
      <c r="H99" s="2">
        <v>8.4716572499999998</v>
      </c>
      <c r="J99" t="str">
        <f t="shared" si="0"/>
        <v>8.43 (8.38 to 8.47)</v>
      </c>
    </row>
    <row r="100" spans="1:10" ht="17.25" thickBot="1" x14ac:dyDescent="0.35">
      <c r="A100" s="6"/>
      <c r="B100" s="3">
        <v>2</v>
      </c>
      <c r="C100" s="11" t="s">
        <v>114</v>
      </c>
      <c r="D100" s="2">
        <v>2143</v>
      </c>
      <c r="E100" s="2">
        <v>8.6827629999999996</v>
      </c>
      <c r="F100" s="2">
        <v>1.3743E-2</v>
      </c>
      <c r="G100" s="2">
        <v>8.6558152600000007</v>
      </c>
      <c r="H100" s="2">
        <v>8.7097112299999999</v>
      </c>
      <c r="J100" t="str">
        <f t="shared" si="0"/>
        <v>8.68 (8.66 to 8.71)</v>
      </c>
    </row>
    <row r="101" spans="1:10" x14ac:dyDescent="0.3">
      <c r="A101" s="6"/>
      <c r="B101" s="3">
        <v>3</v>
      </c>
      <c r="C101" s="14" t="s">
        <v>114</v>
      </c>
      <c r="D101" s="2">
        <v>1183</v>
      </c>
      <c r="E101" s="2">
        <v>8.6553920000000009</v>
      </c>
      <c r="F101" s="2">
        <v>1.6424000000000001E-2</v>
      </c>
      <c r="G101" s="2">
        <v>8.6231870199999996</v>
      </c>
      <c r="H101" s="2">
        <v>8.6875966400000006</v>
      </c>
      <c r="J101" t="str">
        <f t="shared" si="0"/>
        <v>8.66 (8.62 to 8.69)</v>
      </c>
    </row>
    <row r="105" spans="1:10" x14ac:dyDescent="0.3">
      <c r="A105" s="1" t="s">
        <v>237</v>
      </c>
    </row>
    <row r="107" spans="1:10" x14ac:dyDescent="0.3">
      <c r="A107" s="1" t="s">
        <v>1</v>
      </c>
    </row>
    <row r="108" spans="1:10" ht="17.25" thickBot="1" x14ac:dyDescent="0.35"/>
    <row r="109" spans="1:10" ht="16.5" customHeight="1" x14ac:dyDescent="0.3">
      <c r="A109" s="16" t="s">
        <v>135</v>
      </c>
      <c r="B109" s="18"/>
    </row>
    <row r="110" spans="1:10" ht="26.25" thickBot="1" x14ac:dyDescent="0.35">
      <c r="A110" s="12" t="s">
        <v>136</v>
      </c>
      <c r="B110" s="2">
        <v>183</v>
      </c>
    </row>
    <row r="111" spans="1:10" ht="26.25" thickBot="1" x14ac:dyDescent="0.35">
      <c r="A111" s="12" t="s">
        <v>137</v>
      </c>
      <c r="B111" s="2">
        <v>2949</v>
      </c>
    </row>
    <row r="112" spans="1:10" ht="39" thickBot="1" x14ac:dyDescent="0.35">
      <c r="A112" s="12" t="s">
        <v>138</v>
      </c>
      <c r="B112" s="2">
        <v>23222</v>
      </c>
    </row>
    <row r="113" spans="1:6" ht="25.5" x14ac:dyDescent="0.3">
      <c r="A113" s="13" t="s">
        <v>139</v>
      </c>
      <c r="B113" s="2">
        <v>9036880.5199999996</v>
      </c>
    </row>
    <row r="114" spans="1:6" ht="17.25" thickBot="1" x14ac:dyDescent="0.35"/>
    <row r="115" spans="1:6" ht="33" customHeight="1" x14ac:dyDescent="0.3">
      <c r="A115" s="16" t="s">
        <v>140</v>
      </c>
      <c r="B115" s="18"/>
    </row>
    <row r="116" spans="1:6" ht="33.75" thickBot="1" x14ac:dyDescent="0.35">
      <c r="A116" s="12" t="s">
        <v>141</v>
      </c>
      <c r="B116" s="2" t="s">
        <v>142</v>
      </c>
    </row>
    <row r="117" spans="1:6" ht="25.5" x14ac:dyDescent="0.3">
      <c r="A117" s="13" t="s">
        <v>143</v>
      </c>
      <c r="B117" s="2" t="s">
        <v>144</v>
      </c>
    </row>
    <row r="118" spans="1:6" ht="17.25" thickBot="1" x14ac:dyDescent="0.35"/>
    <row r="119" spans="1:6" ht="16.5" customHeight="1" x14ac:dyDescent="0.3">
      <c r="A119" s="16" t="s">
        <v>238</v>
      </c>
      <c r="B119" s="18"/>
      <c r="C119" s="18"/>
      <c r="D119" s="18"/>
      <c r="E119" s="18"/>
      <c r="F119" s="18"/>
    </row>
    <row r="120" spans="1:6" x14ac:dyDescent="0.3">
      <c r="A120" s="17" t="s">
        <v>239</v>
      </c>
      <c r="B120" s="19" t="s">
        <v>94</v>
      </c>
      <c r="C120" s="19" t="s">
        <v>240</v>
      </c>
      <c r="D120" s="3" t="s">
        <v>241</v>
      </c>
      <c r="E120" s="19" t="s">
        <v>243</v>
      </c>
      <c r="F120" s="19"/>
    </row>
    <row r="121" spans="1:6" x14ac:dyDescent="0.3">
      <c r="A121" s="17"/>
      <c r="B121" s="19"/>
      <c r="C121" s="19"/>
      <c r="D121" s="3" t="s">
        <v>242</v>
      </c>
      <c r="E121" s="19"/>
      <c r="F121" s="19"/>
    </row>
    <row r="122" spans="1:6" x14ac:dyDescent="0.3">
      <c r="A122" s="13" t="s">
        <v>114</v>
      </c>
      <c r="B122" s="2">
        <v>23222</v>
      </c>
      <c r="C122" s="2">
        <v>8.4582850000000001</v>
      </c>
      <c r="D122" s="2">
        <v>5.8770000000000003E-3</v>
      </c>
      <c r="E122" s="2">
        <v>8.4467599599999996</v>
      </c>
      <c r="F122" s="2">
        <v>8.4698092999999997</v>
      </c>
    </row>
    <row r="126" spans="1:6" x14ac:dyDescent="0.3">
      <c r="A126" s="1" t="s">
        <v>237</v>
      </c>
    </row>
    <row r="128" spans="1:6" x14ac:dyDescent="0.3">
      <c r="A128" s="1" t="s">
        <v>1</v>
      </c>
    </row>
    <row r="129" spans="1:8" ht="17.25" thickBot="1" x14ac:dyDescent="0.35"/>
    <row r="130" spans="1:8" ht="16.5" customHeight="1" x14ac:dyDescent="0.3">
      <c r="A130" s="16" t="s">
        <v>251</v>
      </c>
      <c r="B130" s="18"/>
      <c r="C130" s="18"/>
      <c r="D130" s="18"/>
      <c r="E130" s="18"/>
      <c r="F130" s="18"/>
      <c r="G130" s="18"/>
      <c r="H130" s="18"/>
    </row>
    <row r="131" spans="1:8" x14ac:dyDescent="0.3">
      <c r="A131" s="17" t="s">
        <v>249</v>
      </c>
      <c r="B131" s="19" t="s">
        <v>6</v>
      </c>
      <c r="C131" s="19" t="s">
        <v>239</v>
      </c>
      <c r="D131" s="19" t="s">
        <v>94</v>
      </c>
      <c r="E131" s="19" t="s">
        <v>240</v>
      </c>
      <c r="F131" s="3" t="s">
        <v>241</v>
      </c>
      <c r="G131" s="19" t="s">
        <v>243</v>
      </c>
      <c r="H131" s="19"/>
    </row>
    <row r="132" spans="1:8" x14ac:dyDescent="0.3">
      <c r="A132" s="17"/>
      <c r="B132" s="19"/>
      <c r="C132" s="19"/>
      <c r="D132" s="19"/>
      <c r="E132" s="19"/>
      <c r="F132" s="3" t="s">
        <v>242</v>
      </c>
      <c r="G132" s="19"/>
      <c r="H132" s="19"/>
    </row>
    <row r="133" spans="1:8" ht="17.25" thickBot="1" x14ac:dyDescent="0.35">
      <c r="A133" s="6">
        <v>1</v>
      </c>
      <c r="B133" s="3">
        <v>1</v>
      </c>
      <c r="C133" s="11" t="s">
        <v>114</v>
      </c>
      <c r="D133" s="2">
        <v>1181</v>
      </c>
      <c r="E133" s="2">
        <v>8.4985689999999998</v>
      </c>
      <c r="F133" s="2">
        <v>2.8167999999999999E-2</v>
      </c>
      <c r="G133" s="2">
        <v>8.4433357099999995</v>
      </c>
      <c r="H133" s="2">
        <v>8.5538016399999997</v>
      </c>
    </row>
    <row r="134" spans="1:8" ht="17.25" thickBot="1" x14ac:dyDescent="0.35">
      <c r="A134" s="6"/>
      <c r="B134" s="3">
        <v>2</v>
      </c>
      <c r="C134" s="11" t="s">
        <v>114</v>
      </c>
      <c r="D134" s="2">
        <v>2559</v>
      </c>
      <c r="E134" s="2">
        <v>8.5277270000000005</v>
      </c>
      <c r="F134" s="2">
        <v>1.7006E-2</v>
      </c>
      <c r="G134" s="2">
        <v>8.4943808700000005</v>
      </c>
      <c r="H134" s="2">
        <v>8.5610734700000002</v>
      </c>
    </row>
    <row r="135" spans="1:8" ht="17.25" thickBot="1" x14ac:dyDescent="0.35">
      <c r="A135" s="6">
        <v>2</v>
      </c>
      <c r="B135" s="3">
        <v>1</v>
      </c>
      <c r="C135" s="11" t="s">
        <v>114</v>
      </c>
      <c r="D135" s="2">
        <v>1777</v>
      </c>
      <c r="E135" s="2">
        <v>8.2859110000000005</v>
      </c>
      <c r="F135" s="2">
        <v>1.8526000000000001E-2</v>
      </c>
      <c r="G135" s="2">
        <v>8.2495841999999993</v>
      </c>
      <c r="H135" s="2">
        <v>8.32223793</v>
      </c>
    </row>
    <row r="136" spans="1:8" ht="17.25" thickBot="1" x14ac:dyDescent="0.35">
      <c r="A136" s="6"/>
      <c r="B136" s="3">
        <v>2</v>
      </c>
      <c r="C136" s="11" t="s">
        <v>114</v>
      </c>
      <c r="D136" s="2">
        <v>2955</v>
      </c>
      <c r="E136" s="2">
        <v>8.4170420000000004</v>
      </c>
      <c r="F136" s="2">
        <v>1.4735E-2</v>
      </c>
      <c r="G136" s="2">
        <v>8.38814818</v>
      </c>
      <c r="H136" s="2">
        <v>8.4459349699999997</v>
      </c>
    </row>
    <row r="137" spans="1:8" ht="17.25" thickBot="1" x14ac:dyDescent="0.35">
      <c r="A137" s="6">
        <v>3</v>
      </c>
      <c r="B137" s="3">
        <v>1</v>
      </c>
      <c r="C137" s="11" t="s">
        <v>114</v>
      </c>
      <c r="D137" s="2">
        <v>1694</v>
      </c>
      <c r="E137" s="2">
        <v>8.4783629999999999</v>
      </c>
      <c r="F137" s="2">
        <v>2.3841999999999999E-2</v>
      </c>
      <c r="G137" s="2">
        <v>8.4316127000000005</v>
      </c>
      <c r="H137" s="2">
        <v>8.5251128099999995</v>
      </c>
    </row>
    <row r="138" spans="1:8" ht="17.25" thickBot="1" x14ac:dyDescent="0.35">
      <c r="A138" s="6"/>
      <c r="B138" s="3">
        <v>2</v>
      </c>
      <c r="C138" s="11" t="s">
        <v>114</v>
      </c>
      <c r="D138" s="2">
        <v>2563</v>
      </c>
      <c r="E138" s="2">
        <v>8.4483250000000005</v>
      </c>
      <c r="F138" s="2">
        <v>1.5129999999999999E-2</v>
      </c>
      <c r="G138" s="2">
        <v>8.4186574600000004</v>
      </c>
      <c r="H138" s="2">
        <v>8.4779931800000004</v>
      </c>
    </row>
    <row r="139" spans="1:8" ht="17.25" thickBot="1" x14ac:dyDescent="0.35">
      <c r="A139" s="6">
        <v>4</v>
      </c>
      <c r="B139" s="3">
        <v>1</v>
      </c>
      <c r="C139" s="11" t="s">
        <v>114</v>
      </c>
      <c r="D139" s="2">
        <v>1776</v>
      </c>
      <c r="E139" s="2">
        <v>8.4996930000000006</v>
      </c>
      <c r="F139" s="2">
        <v>2.0355000000000002E-2</v>
      </c>
      <c r="G139" s="2">
        <v>8.4597808099999998</v>
      </c>
      <c r="H139" s="2">
        <v>8.53960425</v>
      </c>
    </row>
    <row r="140" spans="1:8" ht="17.25" thickBot="1" x14ac:dyDescent="0.35">
      <c r="A140" s="6"/>
      <c r="B140" s="3">
        <v>2</v>
      </c>
      <c r="C140" s="11" t="s">
        <v>114</v>
      </c>
      <c r="D140" s="2">
        <v>2780</v>
      </c>
      <c r="E140" s="2">
        <v>8.4721510000000002</v>
      </c>
      <c r="F140" s="2">
        <v>1.4827E-2</v>
      </c>
      <c r="G140" s="2">
        <v>8.4430783999999992</v>
      </c>
      <c r="H140" s="2">
        <v>8.5012243200000004</v>
      </c>
    </row>
    <row r="141" spans="1:8" ht="17.25" thickBot="1" x14ac:dyDescent="0.35">
      <c r="A141" s="6">
        <v>5</v>
      </c>
      <c r="B141" s="3">
        <v>1</v>
      </c>
      <c r="C141" s="11" t="s">
        <v>114</v>
      </c>
      <c r="D141" s="2">
        <v>1748</v>
      </c>
      <c r="E141" s="2">
        <v>8.5199359999999995</v>
      </c>
      <c r="F141" s="2">
        <v>2.1984E-2</v>
      </c>
      <c r="G141" s="2">
        <v>8.47682818</v>
      </c>
      <c r="H141" s="2">
        <v>8.5630429100000001</v>
      </c>
    </row>
    <row r="142" spans="1:8" ht="17.25" thickBot="1" x14ac:dyDescent="0.35">
      <c r="A142" s="6"/>
      <c r="B142" s="3">
        <v>2</v>
      </c>
      <c r="C142" s="11" t="s">
        <v>114</v>
      </c>
      <c r="D142" s="2">
        <v>2753</v>
      </c>
      <c r="E142" s="2">
        <v>8.4429029999999994</v>
      </c>
      <c r="F142" s="2">
        <v>1.4082000000000001E-2</v>
      </c>
      <c r="G142" s="2">
        <v>8.4152893399999993</v>
      </c>
      <c r="H142" s="2">
        <v>8.4705157900000003</v>
      </c>
    </row>
    <row r="143" spans="1:8" ht="17.25" thickBot="1" x14ac:dyDescent="0.35">
      <c r="A143" s="6">
        <v>6</v>
      </c>
      <c r="B143" s="3">
        <v>1</v>
      </c>
      <c r="C143" s="11" t="s">
        <v>114</v>
      </c>
      <c r="D143" s="2">
        <v>565</v>
      </c>
      <c r="E143" s="2">
        <v>8.5447889999999997</v>
      </c>
      <c r="F143" s="2">
        <v>3.0370999999999999E-2</v>
      </c>
      <c r="G143" s="2">
        <v>8.4852378399999999</v>
      </c>
      <c r="H143" s="2">
        <v>8.6043404500000005</v>
      </c>
    </row>
    <row r="144" spans="1:8" x14ac:dyDescent="0.3">
      <c r="A144" s="6"/>
      <c r="B144" s="3">
        <v>2</v>
      </c>
      <c r="C144" s="14" t="s">
        <v>114</v>
      </c>
      <c r="D144" s="2">
        <v>871</v>
      </c>
      <c r="E144" s="2">
        <v>8.4361630000000005</v>
      </c>
      <c r="F144" s="2">
        <v>2.0955000000000001E-2</v>
      </c>
      <c r="G144" s="2">
        <v>8.3950740899999996</v>
      </c>
      <c r="H144" s="2">
        <v>8.4772527899999996</v>
      </c>
    </row>
    <row r="148" spans="1:2" x14ac:dyDescent="0.3">
      <c r="A148" s="1" t="s">
        <v>237</v>
      </c>
    </row>
    <row r="150" spans="1:2" x14ac:dyDescent="0.3">
      <c r="A150" s="1" t="s">
        <v>21</v>
      </c>
    </row>
    <row r="151" spans="1:2" ht="17.25" thickBot="1" x14ac:dyDescent="0.35"/>
    <row r="152" spans="1:2" ht="16.5" customHeight="1" x14ac:dyDescent="0.3">
      <c r="A152" s="16" t="s">
        <v>135</v>
      </c>
      <c r="B152" s="18"/>
    </row>
    <row r="153" spans="1:2" ht="26.25" thickBot="1" x14ac:dyDescent="0.35">
      <c r="A153" s="12" t="s">
        <v>136</v>
      </c>
      <c r="B153" s="2">
        <v>183</v>
      </c>
    </row>
    <row r="154" spans="1:2" ht="26.25" thickBot="1" x14ac:dyDescent="0.35">
      <c r="A154" s="12" t="s">
        <v>137</v>
      </c>
      <c r="B154" s="2">
        <v>2982</v>
      </c>
    </row>
    <row r="155" spans="1:2" ht="39" thickBot="1" x14ac:dyDescent="0.35">
      <c r="A155" s="12" t="s">
        <v>138</v>
      </c>
      <c r="B155" s="2">
        <v>68635</v>
      </c>
    </row>
    <row r="156" spans="1:2" ht="25.5" x14ac:dyDescent="0.3">
      <c r="A156" s="13" t="s">
        <v>139</v>
      </c>
      <c r="B156" s="2">
        <v>30251935.699999999</v>
      </c>
    </row>
    <row r="157" spans="1:2" ht="17.25" thickBot="1" x14ac:dyDescent="0.35"/>
    <row r="158" spans="1:2" ht="33" customHeight="1" x14ac:dyDescent="0.3">
      <c r="A158" s="16" t="s">
        <v>140</v>
      </c>
      <c r="B158" s="18"/>
    </row>
    <row r="159" spans="1:2" ht="33.75" thickBot="1" x14ac:dyDescent="0.35">
      <c r="A159" s="12" t="s">
        <v>141</v>
      </c>
      <c r="B159" s="2" t="s">
        <v>142</v>
      </c>
    </row>
    <row r="160" spans="1:2" ht="25.5" x14ac:dyDescent="0.3">
      <c r="A160" s="13" t="s">
        <v>143</v>
      </c>
      <c r="B160" s="2" t="s">
        <v>144</v>
      </c>
    </row>
    <row r="161" spans="1:15" ht="17.25" thickBot="1" x14ac:dyDescent="0.35"/>
    <row r="162" spans="1:15" ht="16.5" customHeight="1" x14ac:dyDescent="0.3">
      <c r="A162" s="16" t="s">
        <v>238</v>
      </c>
      <c r="B162" s="18"/>
      <c r="C162" s="18"/>
      <c r="D162" s="18"/>
      <c r="E162" s="18"/>
      <c r="F162" s="18"/>
    </row>
    <row r="163" spans="1:15" x14ac:dyDescent="0.3">
      <c r="A163" s="17" t="s">
        <v>239</v>
      </c>
      <c r="B163" s="19" t="s">
        <v>94</v>
      </c>
      <c r="C163" s="19" t="s">
        <v>240</v>
      </c>
      <c r="D163" s="3" t="s">
        <v>241</v>
      </c>
      <c r="E163" s="19" t="s">
        <v>243</v>
      </c>
      <c r="F163" s="19"/>
    </row>
    <row r="164" spans="1:15" x14ac:dyDescent="0.3">
      <c r="A164" s="17"/>
      <c r="B164" s="19"/>
      <c r="C164" s="19"/>
      <c r="D164" s="3" t="s">
        <v>242</v>
      </c>
      <c r="E164" s="19"/>
      <c r="F164" s="19"/>
    </row>
    <row r="165" spans="1:15" x14ac:dyDescent="0.3">
      <c r="A165" s="13" t="s">
        <v>114</v>
      </c>
      <c r="B165" s="2">
        <v>68635</v>
      </c>
      <c r="C165" s="2">
        <v>8.5827570000000009</v>
      </c>
      <c r="D165" s="2">
        <v>3.4259999999999998E-3</v>
      </c>
      <c r="E165" s="2">
        <v>8.5760384700000003</v>
      </c>
      <c r="F165" s="2">
        <v>8.58947489</v>
      </c>
    </row>
    <row r="169" spans="1:15" x14ac:dyDescent="0.3">
      <c r="A169" s="1" t="s">
        <v>237</v>
      </c>
    </row>
    <row r="171" spans="1:15" x14ac:dyDescent="0.3">
      <c r="A171" s="1" t="s">
        <v>21</v>
      </c>
    </row>
    <row r="172" spans="1:15" ht="17.25" thickBot="1" x14ac:dyDescent="0.35"/>
    <row r="173" spans="1:15" ht="16.5" customHeight="1" x14ac:dyDescent="0.3">
      <c r="A173" s="16" t="s">
        <v>251</v>
      </c>
      <c r="B173" s="18"/>
      <c r="C173" s="18"/>
      <c r="D173" s="18"/>
      <c r="E173" s="18"/>
      <c r="F173" s="18"/>
      <c r="G173" s="18"/>
      <c r="H173" s="18"/>
    </row>
    <row r="174" spans="1:15" x14ac:dyDescent="0.3">
      <c r="A174" s="17" t="s">
        <v>249</v>
      </c>
      <c r="B174" s="19" t="s">
        <v>6</v>
      </c>
      <c r="C174" s="19" t="s">
        <v>239</v>
      </c>
      <c r="D174" s="19" t="s">
        <v>94</v>
      </c>
      <c r="E174" s="19" t="s">
        <v>240</v>
      </c>
      <c r="F174" s="3" t="s">
        <v>241</v>
      </c>
      <c r="G174" s="19" t="s">
        <v>243</v>
      </c>
      <c r="H174" s="19"/>
    </row>
    <row r="175" spans="1:15" x14ac:dyDescent="0.3">
      <c r="A175" s="17"/>
      <c r="B175" s="19"/>
      <c r="C175" s="19"/>
      <c r="D175" s="19"/>
      <c r="E175" s="19"/>
      <c r="F175" s="3" t="s">
        <v>242</v>
      </c>
      <c r="G175" s="19"/>
      <c r="H175" s="19"/>
    </row>
    <row r="176" spans="1:15" ht="17.25" thickBot="1" x14ac:dyDescent="0.35">
      <c r="A176" s="6">
        <v>1</v>
      </c>
      <c r="B176" s="3">
        <v>1</v>
      </c>
      <c r="C176" s="11" t="s">
        <v>114</v>
      </c>
      <c r="D176" s="2">
        <v>5831</v>
      </c>
      <c r="E176" s="2">
        <v>8.7163620000000002</v>
      </c>
      <c r="F176" s="2">
        <v>1.0794E-2</v>
      </c>
      <c r="G176" s="2">
        <v>8.6951975000000008</v>
      </c>
      <c r="H176" s="2">
        <v>8.7375260299999997</v>
      </c>
      <c r="J176" t="str">
        <f t="shared" ref="J176:J187" si="6">TEXT(E176,"0.00")&amp;" ("&amp;TEXT(G176,"0.00")&amp;" to "&amp;TEXT(H176,"0.00")&amp;")"</f>
        <v>8.72 (8.70 to 8.74)</v>
      </c>
      <c r="K176" t="str">
        <f>J178</f>
        <v>8.71 (8.69 to 8.73)</v>
      </c>
      <c r="L176" t="str">
        <f>J180</f>
        <v>8.77 (8.75 to 8.79)</v>
      </c>
      <c r="M176" t="str">
        <f>J182</f>
        <v>8.79 (8.77 to 8.81)</v>
      </c>
      <c r="N176" t="str">
        <f>J184</f>
        <v>8.76 (8.74 to 8.78)</v>
      </c>
      <c r="O176" t="str">
        <f>J186</f>
        <v>8.77 (8.74 to 8.81)</v>
      </c>
    </row>
    <row r="177" spans="1:15" ht="17.25" thickBot="1" x14ac:dyDescent="0.35">
      <c r="A177" s="6"/>
      <c r="B177" s="3">
        <v>2</v>
      </c>
      <c r="C177" s="11" t="s">
        <v>114</v>
      </c>
      <c r="D177" s="2">
        <v>6084</v>
      </c>
      <c r="E177" s="2">
        <v>8.3523580000000006</v>
      </c>
      <c r="F177" s="2">
        <v>1.0460000000000001E-2</v>
      </c>
      <c r="G177" s="2">
        <v>8.3318486400000005</v>
      </c>
      <c r="H177" s="2">
        <v>8.3728671499999994</v>
      </c>
      <c r="J177" t="str">
        <f t="shared" si="6"/>
        <v>8.35 (8.33 to 8.37)</v>
      </c>
      <c r="K177" t="str">
        <f>J179</f>
        <v>8.37 (8.35 to 8.39)</v>
      </c>
      <c r="L177" t="str">
        <f>J181</f>
        <v>8.37 (8.35 to 8.39)</v>
      </c>
      <c r="M177" t="str">
        <f>J183</f>
        <v>8.40 (8.38 to 8.42)</v>
      </c>
      <c r="N177" t="str">
        <f>J185</f>
        <v>8.39 (8.37 to 8.41)</v>
      </c>
      <c r="O177" t="str">
        <f>J187</f>
        <v>8.39 (8.37 to 8.42)</v>
      </c>
    </row>
    <row r="178" spans="1:15" ht="17.25" thickBot="1" x14ac:dyDescent="0.35">
      <c r="A178" s="6">
        <v>2</v>
      </c>
      <c r="B178" s="3">
        <v>1</v>
      </c>
      <c r="C178" s="11" t="s">
        <v>114</v>
      </c>
      <c r="D178" s="2">
        <v>6484</v>
      </c>
      <c r="E178" s="2">
        <v>8.7105300000000003</v>
      </c>
      <c r="F178" s="2">
        <v>1.1338000000000001E-2</v>
      </c>
      <c r="G178" s="2">
        <v>8.68829837</v>
      </c>
      <c r="H178" s="2">
        <v>8.7327606400000004</v>
      </c>
      <c r="J178" t="str">
        <f t="shared" si="6"/>
        <v>8.71 (8.69 to 8.73)</v>
      </c>
    </row>
    <row r="179" spans="1:15" ht="17.25" thickBot="1" x14ac:dyDescent="0.35">
      <c r="A179" s="6"/>
      <c r="B179" s="3">
        <v>2</v>
      </c>
      <c r="C179" s="11" t="s">
        <v>114</v>
      </c>
      <c r="D179" s="2">
        <v>6632</v>
      </c>
      <c r="E179" s="2">
        <v>8.3677030000000006</v>
      </c>
      <c r="F179" s="2">
        <v>1.0392999999999999E-2</v>
      </c>
      <c r="G179" s="2">
        <v>8.3473242699999997</v>
      </c>
      <c r="H179" s="2">
        <v>8.3880823899999992</v>
      </c>
      <c r="J179" t="str">
        <f t="shared" si="6"/>
        <v>8.37 (8.35 to 8.39)</v>
      </c>
    </row>
    <row r="180" spans="1:15" ht="17.25" thickBot="1" x14ac:dyDescent="0.35">
      <c r="A180" s="6">
        <v>3</v>
      </c>
      <c r="B180" s="3">
        <v>1</v>
      </c>
      <c r="C180" s="11" t="s">
        <v>114</v>
      </c>
      <c r="D180" s="2">
        <v>5508</v>
      </c>
      <c r="E180" s="2">
        <v>8.7713029999999996</v>
      </c>
      <c r="F180" s="2">
        <v>1.1235999999999999E-2</v>
      </c>
      <c r="G180" s="2">
        <v>8.74927134</v>
      </c>
      <c r="H180" s="2">
        <v>8.7933352800000009</v>
      </c>
      <c r="J180" t="str">
        <f t="shared" si="6"/>
        <v>8.77 (8.75 to 8.79)</v>
      </c>
    </row>
    <row r="181" spans="1:15" ht="17.25" thickBot="1" x14ac:dyDescent="0.35">
      <c r="A181" s="6"/>
      <c r="B181" s="3">
        <v>2</v>
      </c>
      <c r="C181" s="11" t="s">
        <v>114</v>
      </c>
      <c r="D181" s="2">
        <v>5967</v>
      </c>
      <c r="E181" s="2">
        <v>8.3712510000000009</v>
      </c>
      <c r="F181" s="2">
        <v>9.8069999999999997E-3</v>
      </c>
      <c r="G181" s="2">
        <v>8.3520215899999997</v>
      </c>
      <c r="H181" s="2">
        <v>8.3904800999999996</v>
      </c>
      <c r="J181" t="str">
        <f t="shared" si="6"/>
        <v>8.37 (8.35 to 8.39)</v>
      </c>
    </row>
    <row r="182" spans="1:15" ht="17.25" thickBot="1" x14ac:dyDescent="0.35">
      <c r="A182" s="6">
        <v>4</v>
      </c>
      <c r="B182" s="3">
        <v>1</v>
      </c>
      <c r="C182" s="11" t="s">
        <v>114</v>
      </c>
      <c r="D182" s="2">
        <v>6783</v>
      </c>
      <c r="E182" s="2">
        <v>8.7910109999999992</v>
      </c>
      <c r="F182" s="2">
        <v>1.0312E-2</v>
      </c>
      <c r="G182" s="2">
        <v>8.7707919800000003</v>
      </c>
      <c r="H182" s="2">
        <v>8.8112308099999996</v>
      </c>
      <c r="J182" t="str">
        <f t="shared" si="6"/>
        <v>8.79 (8.77 to 8.81)</v>
      </c>
    </row>
    <row r="183" spans="1:15" ht="17.25" thickBot="1" x14ac:dyDescent="0.35">
      <c r="A183" s="6"/>
      <c r="B183" s="3">
        <v>2</v>
      </c>
      <c r="C183" s="11" t="s">
        <v>114</v>
      </c>
      <c r="D183" s="2">
        <v>7375</v>
      </c>
      <c r="E183" s="2">
        <v>8.3998629999999999</v>
      </c>
      <c r="F183" s="2">
        <v>9.3699999999999999E-3</v>
      </c>
      <c r="G183" s="2">
        <v>8.3814907999999999</v>
      </c>
      <c r="H183" s="2">
        <v>8.4182349900000002</v>
      </c>
      <c r="J183" t="str">
        <f t="shared" si="6"/>
        <v>8.40 (8.38 to 8.42)</v>
      </c>
    </row>
    <row r="184" spans="1:15" ht="17.25" thickBot="1" x14ac:dyDescent="0.35">
      <c r="A184" s="6">
        <v>5</v>
      </c>
      <c r="B184" s="3">
        <v>1</v>
      </c>
      <c r="C184" s="11" t="s">
        <v>114</v>
      </c>
      <c r="D184" s="2">
        <v>6570</v>
      </c>
      <c r="E184" s="2">
        <v>8.7575350000000007</v>
      </c>
      <c r="F184" s="2">
        <v>1.0612E-2</v>
      </c>
      <c r="G184" s="2">
        <v>8.7367268100000004</v>
      </c>
      <c r="H184" s="2">
        <v>8.7783441799999995</v>
      </c>
      <c r="J184" t="str">
        <f t="shared" si="6"/>
        <v>8.76 (8.74 to 8.78)</v>
      </c>
    </row>
    <row r="185" spans="1:15" ht="17.25" thickBot="1" x14ac:dyDescent="0.35">
      <c r="A185" s="6"/>
      <c r="B185" s="3">
        <v>2</v>
      </c>
      <c r="C185" s="11" t="s">
        <v>114</v>
      </c>
      <c r="D185" s="2">
        <v>6985</v>
      </c>
      <c r="E185" s="2">
        <v>8.389564</v>
      </c>
      <c r="F185" s="2">
        <v>9.2049999999999996E-3</v>
      </c>
      <c r="G185" s="2">
        <v>8.3715149400000008</v>
      </c>
      <c r="H185" s="2">
        <v>8.4076131600000004</v>
      </c>
      <c r="J185" t="str">
        <f t="shared" si="6"/>
        <v>8.39 (8.37 to 8.41)</v>
      </c>
    </row>
    <row r="186" spans="1:15" ht="17.25" thickBot="1" x14ac:dyDescent="0.35">
      <c r="A186" s="6">
        <v>6</v>
      </c>
      <c r="B186" s="3">
        <v>1</v>
      </c>
      <c r="C186" s="11" t="s">
        <v>114</v>
      </c>
      <c r="D186" s="2">
        <v>2024</v>
      </c>
      <c r="E186" s="2">
        <v>8.7733150000000002</v>
      </c>
      <c r="F186" s="2">
        <v>1.695E-2</v>
      </c>
      <c r="G186" s="2">
        <v>8.7400800299999997</v>
      </c>
      <c r="H186" s="2">
        <v>8.8065506399999993</v>
      </c>
      <c r="J186" t="str">
        <f t="shared" si="6"/>
        <v>8.77 (8.74 to 8.81)</v>
      </c>
    </row>
    <row r="187" spans="1:15" x14ac:dyDescent="0.3">
      <c r="A187" s="6"/>
      <c r="B187" s="3">
        <v>2</v>
      </c>
      <c r="C187" s="14" t="s">
        <v>114</v>
      </c>
      <c r="D187" s="2">
        <v>2392</v>
      </c>
      <c r="E187" s="2">
        <v>8.3926949999999998</v>
      </c>
      <c r="F187" s="2">
        <v>1.2605E-2</v>
      </c>
      <c r="G187" s="2">
        <v>8.3679788800000008</v>
      </c>
      <c r="H187" s="2">
        <v>8.4174111000000007</v>
      </c>
      <c r="J187" t="str">
        <f t="shared" si="6"/>
        <v>8.39 (8.37 to 8.42)</v>
      </c>
    </row>
    <row r="191" spans="1:15" x14ac:dyDescent="0.3">
      <c r="A191" s="1" t="s">
        <v>237</v>
      </c>
    </row>
    <row r="193" spans="1:6" x14ac:dyDescent="0.3">
      <c r="A193" s="1" t="s">
        <v>1</v>
      </c>
    </row>
    <row r="194" spans="1:6" ht="17.25" thickBot="1" x14ac:dyDescent="0.35"/>
    <row r="195" spans="1:6" ht="16.5" customHeight="1" x14ac:dyDescent="0.3">
      <c r="A195" s="16" t="s">
        <v>135</v>
      </c>
      <c r="B195" s="18"/>
    </row>
    <row r="196" spans="1:6" ht="26.25" thickBot="1" x14ac:dyDescent="0.35">
      <c r="A196" s="12" t="s">
        <v>136</v>
      </c>
      <c r="B196" s="2">
        <v>183</v>
      </c>
    </row>
    <row r="197" spans="1:6" ht="26.25" thickBot="1" x14ac:dyDescent="0.35">
      <c r="A197" s="12" t="s">
        <v>137</v>
      </c>
      <c r="B197" s="2">
        <v>2949</v>
      </c>
    </row>
    <row r="198" spans="1:6" ht="39" thickBot="1" x14ac:dyDescent="0.35">
      <c r="A198" s="12" t="s">
        <v>138</v>
      </c>
      <c r="B198" s="2">
        <v>23222</v>
      </c>
    </row>
    <row r="199" spans="1:6" ht="25.5" x14ac:dyDescent="0.3">
      <c r="A199" s="13" t="s">
        <v>139</v>
      </c>
      <c r="B199" s="2">
        <v>9036880.5199999996</v>
      </c>
    </row>
    <row r="200" spans="1:6" ht="17.25" thickBot="1" x14ac:dyDescent="0.35"/>
    <row r="201" spans="1:6" ht="33" customHeight="1" x14ac:dyDescent="0.3">
      <c r="A201" s="16" t="s">
        <v>140</v>
      </c>
      <c r="B201" s="18"/>
    </row>
    <row r="202" spans="1:6" ht="33.75" thickBot="1" x14ac:dyDescent="0.35">
      <c r="A202" s="12" t="s">
        <v>141</v>
      </c>
      <c r="B202" s="2" t="s">
        <v>142</v>
      </c>
    </row>
    <row r="203" spans="1:6" ht="25.5" x14ac:dyDescent="0.3">
      <c r="A203" s="13" t="s">
        <v>143</v>
      </c>
      <c r="B203" s="2" t="s">
        <v>144</v>
      </c>
    </row>
    <row r="204" spans="1:6" ht="17.25" thickBot="1" x14ac:dyDescent="0.35"/>
    <row r="205" spans="1:6" ht="16.5" customHeight="1" x14ac:dyDescent="0.3">
      <c r="A205" s="16" t="s">
        <v>238</v>
      </c>
      <c r="B205" s="18"/>
      <c r="C205" s="18"/>
      <c r="D205" s="18"/>
      <c r="E205" s="18"/>
      <c r="F205" s="18"/>
    </row>
    <row r="206" spans="1:6" x14ac:dyDescent="0.3">
      <c r="A206" s="17" t="s">
        <v>239</v>
      </c>
      <c r="B206" s="19" t="s">
        <v>94</v>
      </c>
      <c r="C206" s="19" t="s">
        <v>240</v>
      </c>
      <c r="D206" s="3" t="s">
        <v>241</v>
      </c>
      <c r="E206" s="19" t="s">
        <v>243</v>
      </c>
      <c r="F206" s="19"/>
    </row>
    <row r="207" spans="1:6" x14ac:dyDescent="0.3">
      <c r="A207" s="17"/>
      <c r="B207" s="19"/>
      <c r="C207" s="19"/>
      <c r="D207" s="3" t="s">
        <v>242</v>
      </c>
      <c r="E207" s="19"/>
      <c r="F207" s="19"/>
    </row>
    <row r="208" spans="1:6" x14ac:dyDescent="0.3">
      <c r="A208" s="13" t="s">
        <v>114</v>
      </c>
      <c r="B208" s="2">
        <v>23222</v>
      </c>
      <c r="C208" s="2">
        <v>8.4582850000000001</v>
      </c>
      <c r="D208" s="2">
        <v>5.8770000000000003E-3</v>
      </c>
      <c r="E208" s="2">
        <v>8.4467599599999996</v>
      </c>
      <c r="F208" s="2">
        <v>8.4698092999999997</v>
      </c>
    </row>
    <row r="212" spans="1:8" x14ac:dyDescent="0.3">
      <c r="A212" s="1" t="s">
        <v>237</v>
      </c>
    </row>
    <row r="214" spans="1:8" x14ac:dyDescent="0.3">
      <c r="A214" s="1" t="s">
        <v>1</v>
      </c>
    </row>
    <row r="215" spans="1:8" ht="17.25" thickBot="1" x14ac:dyDescent="0.35"/>
    <row r="216" spans="1:8" ht="16.5" customHeight="1" x14ac:dyDescent="0.3">
      <c r="A216" s="16" t="s">
        <v>252</v>
      </c>
      <c r="B216" s="18"/>
      <c r="C216" s="18"/>
      <c r="D216" s="18"/>
      <c r="E216" s="18"/>
      <c r="F216" s="18"/>
      <c r="G216" s="18"/>
      <c r="H216" s="18"/>
    </row>
    <row r="217" spans="1:8" x14ac:dyDescent="0.3">
      <c r="A217" s="17" t="s">
        <v>249</v>
      </c>
      <c r="B217" s="19" t="s">
        <v>7</v>
      </c>
      <c r="C217" s="19" t="s">
        <v>239</v>
      </c>
      <c r="D217" s="19" t="s">
        <v>94</v>
      </c>
      <c r="E217" s="19" t="s">
        <v>240</v>
      </c>
      <c r="F217" s="3" t="s">
        <v>241</v>
      </c>
      <c r="G217" s="19" t="s">
        <v>243</v>
      </c>
      <c r="H217" s="19"/>
    </row>
    <row r="218" spans="1:8" x14ac:dyDescent="0.3">
      <c r="A218" s="17"/>
      <c r="B218" s="19"/>
      <c r="C218" s="19"/>
      <c r="D218" s="19"/>
      <c r="E218" s="19"/>
      <c r="F218" s="3" t="s">
        <v>242</v>
      </c>
      <c r="G218" s="19"/>
      <c r="H218" s="19"/>
    </row>
    <row r="219" spans="1:8" ht="17.25" thickBot="1" x14ac:dyDescent="0.35">
      <c r="A219" s="6">
        <v>1</v>
      </c>
      <c r="B219" s="3">
        <v>1</v>
      </c>
      <c r="C219" s="11" t="s">
        <v>114</v>
      </c>
      <c r="D219" s="2">
        <v>2642</v>
      </c>
      <c r="E219" s="2">
        <v>8.5032820000000005</v>
      </c>
      <c r="F219" s="2">
        <v>1.8363999999999998E-2</v>
      </c>
      <c r="G219" s="2">
        <v>8.4672734300000005</v>
      </c>
      <c r="H219" s="2">
        <v>8.5392896799999995</v>
      </c>
    </row>
    <row r="220" spans="1:8" ht="17.25" thickBot="1" x14ac:dyDescent="0.35">
      <c r="A220" s="6"/>
      <c r="B220" s="3">
        <v>2</v>
      </c>
      <c r="C220" s="11" t="s">
        <v>114</v>
      </c>
      <c r="D220" s="2">
        <v>1098</v>
      </c>
      <c r="E220" s="2">
        <v>8.5685420000000008</v>
      </c>
      <c r="F220" s="2">
        <v>2.9638000000000001E-2</v>
      </c>
      <c r="G220" s="2">
        <v>8.5104263299999996</v>
      </c>
      <c r="H220" s="2">
        <v>8.6266571899999995</v>
      </c>
    </row>
    <row r="221" spans="1:8" ht="17.25" thickBot="1" x14ac:dyDescent="0.35">
      <c r="A221" s="6">
        <v>2</v>
      </c>
      <c r="B221" s="3">
        <v>1</v>
      </c>
      <c r="C221" s="11" t="s">
        <v>114</v>
      </c>
      <c r="D221" s="2">
        <v>3727</v>
      </c>
      <c r="E221" s="2">
        <v>8.3477870000000003</v>
      </c>
      <c r="F221" s="2">
        <v>1.3417999999999999E-2</v>
      </c>
      <c r="G221" s="2">
        <v>8.32147741</v>
      </c>
      <c r="H221" s="2">
        <v>8.3740960700000002</v>
      </c>
    </row>
    <row r="222" spans="1:8" ht="17.25" thickBot="1" x14ac:dyDescent="0.35">
      <c r="A222" s="6"/>
      <c r="B222" s="3">
        <v>2</v>
      </c>
      <c r="C222" s="11" t="s">
        <v>114</v>
      </c>
      <c r="D222" s="2">
        <v>1005</v>
      </c>
      <c r="E222" s="2">
        <v>8.4017990000000005</v>
      </c>
      <c r="F222" s="2">
        <v>3.0623999999999998E-2</v>
      </c>
      <c r="G222" s="2">
        <v>8.3417501600000001</v>
      </c>
      <c r="H222" s="2">
        <v>8.4618482499999992</v>
      </c>
    </row>
    <row r="223" spans="1:8" ht="17.25" thickBot="1" x14ac:dyDescent="0.35">
      <c r="A223" s="6">
        <v>3</v>
      </c>
      <c r="B223" s="3">
        <v>1</v>
      </c>
      <c r="C223" s="11" t="s">
        <v>114</v>
      </c>
      <c r="D223" s="2">
        <v>3330</v>
      </c>
      <c r="E223" s="2">
        <v>8.4449609999999993</v>
      </c>
      <c r="F223" s="2">
        <v>1.5695000000000001E-2</v>
      </c>
      <c r="G223" s="2">
        <v>8.4141864500000008</v>
      </c>
      <c r="H223" s="2">
        <v>8.4757356099999992</v>
      </c>
    </row>
    <row r="224" spans="1:8" ht="17.25" thickBot="1" x14ac:dyDescent="0.35">
      <c r="A224" s="6"/>
      <c r="B224" s="3">
        <v>2</v>
      </c>
      <c r="C224" s="11" t="s">
        <v>114</v>
      </c>
      <c r="D224" s="2">
        <v>927</v>
      </c>
      <c r="E224" s="2">
        <v>8.5288540000000008</v>
      </c>
      <c r="F224" s="2">
        <v>3.0299E-2</v>
      </c>
      <c r="G224" s="2">
        <v>8.4694421700000007</v>
      </c>
      <c r="H224" s="2">
        <v>8.5882649400000002</v>
      </c>
    </row>
    <row r="225" spans="1:8" ht="17.25" thickBot="1" x14ac:dyDescent="0.35">
      <c r="A225" s="6">
        <v>4</v>
      </c>
      <c r="B225" s="3">
        <v>1</v>
      </c>
      <c r="C225" s="11" t="s">
        <v>114</v>
      </c>
      <c r="D225" s="2">
        <v>3631</v>
      </c>
      <c r="E225" s="2">
        <v>8.4625330000000005</v>
      </c>
      <c r="F225" s="2">
        <v>1.5017000000000001E-2</v>
      </c>
      <c r="G225" s="2">
        <v>8.4330878699999996</v>
      </c>
      <c r="H225" s="2">
        <v>8.4919791</v>
      </c>
    </row>
    <row r="226" spans="1:8" ht="17.25" thickBot="1" x14ac:dyDescent="0.35">
      <c r="A226" s="6"/>
      <c r="B226" s="3">
        <v>2</v>
      </c>
      <c r="C226" s="11" t="s">
        <v>114</v>
      </c>
      <c r="D226" s="2">
        <v>925</v>
      </c>
      <c r="E226" s="2">
        <v>8.5852179999999993</v>
      </c>
      <c r="F226" s="2">
        <v>2.8702999999999999E-2</v>
      </c>
      <c r="G226" s="2">
        <v>8.5289355800000006</v>
      </c>
      <c r="H226" s="2">
        <v>8.6414997200000006</v>
      </c>
    </row>
    <row r="227" spans="1:8" ht="17.25" thickBot="1" x14ac:dyDescent="0.35">
      <c r="A227" s="6">
        <v>5</v>
      </c>
      <c r="B227" s="3">
        <v>1</v>
      </c>
      <c r="C227" s="11" t="s">
        <v>114</v>
      </c>
      <c r="D227" s="2">
        <v>3388</v>
      </c>
      <c r="E227" s="2">
        <v>8.4578089999999992</v>
      </c>
      <c r="F227" s="2">
        <v>1.5139E-2</v>
      </c>
      <c r="G227" s="2">
        <v>8.42812378</v>
      </c>
      <c r="H227" s="2">
        <v>8.4874950200000008</v>
      </c>
    </row>
    <row r="228" spans="1:8" ht="17.25" thickBot="1" x14ac:dyDescent="0.35">
      <c r="A228" s="6"/>
      <c r="B228" s="3">
        <v>2</v>
      </c>
      <c r="C228" s="11" t="s">
        <v>114</v>
      </c>
      <c r="D228" s="2">
        <v>1113</v>
      </c>
      <c r="E228" s="2">
        <v>8.553903</v>
      </c>
      <c r="F228" s="2">
        <v>3.2802999999999999E-2</v>
      </c>
      <c r="G228" s="2">
        <v>8.4895830300000004</v>
      </c>
      <c r="H228" s="2">
        <v>8.6182237199999996</v>
      </c>
    </row>
    <row r="229" spans="1:8" ht="17.25" thickBot="1" x14ac:dyDescent="0.35">
      <c r="A229" s="6">
        <v>6</v>
      </c>
      <c r="B229" s="3">
        <v>1</v>
      </c>
      <c r="C229" s="11" t="s">
        <v>114</v>
      </c>
      <c r="D229" s="2">
        <v>1051</v>
      </c>
      <c r="E229" s="2">
        <v>8.4499089999999999</v>
      </c>
      <c r="F229" s="2">
        <v>1.9375E-2</v>
      </c>
      <c r="G229" s="2">
        <v>8.4119178100000003</v>
      </c>
      <c r="H229" s="2">
        <v>8.4879001699999996</v>
      </c>
    </row>
    <row r="230" spans="1:8" x14ac:dyDescent="0.3">
      <c r="A230" s="6"/>
      <c r="B230" s="3">
        <v>2</v>
      </c>
      <c r="C230" s="14" t="s">
        <v>114</v>
      </c>
      <c r="D230" s="2">
        <v>385</v>
      </c>
      <c r="E230" s="2">
        <v>8.5989170000000001</v>
      </c>
      <c r="F230" s="2">
        <v>5.0534000000000003E-2</v>
      </c>
      <c r="G230" s="2">
        <v>8.49982829</v>
      </c>
      <c r="H230" s="2">
        <v>8.6980055200000006</v>
      </c>
    </row>
    <row r="234" spans="1:8" x14ac:dyDescent="0.3">
      <c r="A234" s="1" t="s">
        <v>237</v>
      </c>
    </row>
    <row r="236" spans="1:8" x14ac:dyDescent="0.3">
      <c r="A236" s="1" t="s">
        <v>21</v>
      </c>
    </row>
    <row r="237" spans="1:8" ht="17.25" thickBot="1" x14ac:dyDescent="0.35"/>
    <row r="238" spans="1:8" ht="16.5" customHeight="1" x14ac:dyDescent="0.3">
      <c r="A238" s="16" t="s">
        <v>135</v>
      </c>
      <c r="B238" s="18"/>
    </row>
    <row r="239" spans="1:8" ht="26.25" thickBot="1" x14ac:dyDescent="0.35">
      <c r="A239" s="12" t="s">
        <v>136</v>
      </c>
      <c r="B239" s="2">
        <v>183</v>
      </c>
    </row>
    <row r="240" spans="1:8" ht="26.25" thickBot="1" x14ac:dyDescent="0.35">
      <c r="A240" s="12" t="s">
        <v>137</v>
      </c>
      <c r="B240" s="2">
        <v>2982</v>
      </c>
    </row>
    <row r="241" spans="1:6" ht="39" thickBot="1" x14ac:dyDescent="0.35">
      <c r="A241" s="12" t="s">
        <v>138</v>
      </c>
      <c r="B241" s="2">
        <v>68635</v>
      </c>
    </row>
    <row r="242" spans="1:6" ht="25.5" x14ac:dyDescent="0.3">
      <c r="A242" s="13" t="s">
        <v>139</v>
      </c>
      <c r="B242" s="2">
        <v>30251935.699999999</v>
      </c>
    </row>
    <row r="243" spans="1:6" ht="17.25" thickBot="1" x14ac:dyDescent="0.35"/>
    <row r="244" spans="1:6" ht="33" customHeight="1" x14ac:dyDescent="0.3">
      <c r="A244" s="16" t="s">
        <v>140</v>
      </c>
      <c r="B244" s="18"/>
    </row>
    <row r="245" spans="1:6" ht="33.75" thickBot="1" x14ac:dyDescent="0.35">
      <c r="A245" s="12" t="s">
        <v>141</v>
      </c>
      <c r="B245" s="2" t="s">
        <v>142</v>
      </c>
    </row>
    <row r="246" spans="1:6" ht="25.5" x14ac:dyDescent="0.3">
      <c r="A246" s="13" t="s">
        <v>143</v>
      </c>
      <c r="B246" s="2" t="s">
        <v>144</v>
      </c>
    </row>
    <row r="247" spans="1:6" ht="17.25" thickBot="1" x14ac:dyDescent="0.35"/>
    <row r="248" spans="1:6" ht="16.5" customHeight="1" x14ac:dyDescent="0.3">
      <c r="A248" s="16" t="s">
        <v>238</v>
      </c>
      <c r="B248" s="18"/>
      <c r="C248" s="18"/>
      <c r="D248" s="18"/>
      <c r="E248" s="18"/>
      <c r="F248" s="18"/>
    </row>
    <row r="249" spans="1:6" x14ac:dyDescent="0.3">
      <c r="A249" s="17" t="s">
        <v>239</v>
      </c>
      <c r="B249" s="19" t="s">
        <v>94</v>
      </c>
      <c r="C249" s="19" t="s">
        <v>240</v>
      </c>
      <c r="D249" s="3" t="s">
        <v>241</v>
      </c>
      <c r="E249" s="19" t="s">
        <v>243</v>
      </c>
      <c r="F249" s="19"/>
    </row>
    <row r="250" spans="1:6" x14ac:dyDescent="0.3">
      <c r="A250" s="17"/>
      <c r="B250" s="19"/>
      <c r="C250" s="19"/>
      <c r="D250" s="3" t="s">
        <v>242</v>
      </c>
      <c r="E250" s="19"/>
      <c r="F250" s="19"/>
    </row>
    <row r="251" spans="1:6" x14ac:dyDescent="0.3">
      <c r="A251" s="13" t="s">
        <v>114</v>
      </c>
      <c r="B251" s="2">
        <v>68635</v>
      </c>
      <c r="C251" s="2">
        <v>8.5827570000000009</v>
      </c>
      <c r="D251" s="2">
        <v>3.4259999999999998E-3</v>
      </c>
      <c r="E251" s="2">
        <v>8.5760384700000003</v>
      </c>
      <c r="F251" s="2">
        <v>8.58947489</v>
      </c>
    </row>
    <row r="255" spans="1:6" x14ac:dyDescent="0.3">
      <c r="A255" s="1" t="s">
        <v>237</v>
      </c>
    </row>
    <row r="257" spans="1:15" x14ac:dyDescent="0.3">
      <c r="A257" s="1" t="s">
        <v>21</v>
      </c>
    </row>
    <row r="258" spans="1:15" ht="17.25" thickBot="1" x14ac:dyDescent="0.35"/>
    <row r="259" spans="1:15" ht="16.5" customHeight="1" x14ac:dyDescent="0.3">
      <c r="A259" s="16" t="s">
        <v>252</v>
      </c>
      <c r="B259" s="18"/>
      <c r="C259" s="18"/>
      <c r="D259" s="18"/>
      <c r="E259" s="18"/>
      <c r="F259" s="18"/>
      <c r="G259" s="18"/>
      <c r="H259" s="18"/>
    </row>
    <row r="260" spans="1:15" x14ac:dyDescent="0.3">
      <c r="A260" s="17" t="s">
        <v>249</v>
      </c>
      <c r="B260" s="19" t="s">
        <v>7</v>
      </c>
      <c r="C260" s="19" t="s">
        <v>239</v>
      </c>
      <c r="D260" s="19" t="s">
        <v>94</v>
      </c>
      <c r="E260" s="19" t="s">
        <v>240</v>
      </c>
      <c r="F260" s="3" t="s">
        <v>241</v>
      </c>
      <c r="G260" s="19" t="s">
        <v>243</v>
      </c>
      <c r="H260" s="19"/>
    </row>
    <row r="261" spans="1:15" x14ac:dyDescent="0.3">
      <c r="A261" s="17"/>
      <c r="B261" s="19"/>
      <c r="C261" s="19"/>
      <c r="D261" s="19"/>
      <c r="E261" s="19"/>
      <c r="F261" s="3" t="s">
        <v>242</v>
      </c>
      <c r="G261" s="19"/>
      <c r="H261" s="19"/>
    </row>
    <row r="262" spans="1:15" ht="17.25" thickBot="1" x14ac:dyDescent="0.35">
      <c r="A262" s="6">
        <v>1</v>
      </c>
      <c r="B262" s="3">
        <v>1</v>
      </c>
      <c r="C262" s="11" t="s">
        <v>114</v>
      </c>
      <c r="D262" s="2">
        <v>8842</v>
      </c>
      <c r="E262" s="2">
        <v>8.5383150000000008</v>
      </c>
      <c r="F262" s="2">
        <v>9.3539999999999995E-3</v>
      </c>
      <c r="G262" s="2">
        <v>8.5199748199999998</v>
      </c>
      <c r="H262" s="2">
        <v>8.5566558500000003</v>
      </c>
      <c r="J262" t="str">
        <f t="shared" ref="J262:J273" si="7">TEXT(E262,"0.00")&amp;" ("&amp;TEXT(G262,"0.00")&amp;" to "&amp;TEXT(H262,"0.00")&amp;")"</f>
        <v>8.54 (8.52 to 8.56)</v>
      </c>
      <c r="K262" t="str">
        <f>J264</f>
        <v>8.54 (8.52 to 8.56)</v>
      </c>
      <c r="L262" t="str">
        <f>J266</f>
        <v>8.57 (8.55 to 8.58)</v>
      </c>
      <c r="M262" t="str">
        <f>J268</f>
        <v>8.60 (8.58 to 8.61)</v>
      </c>
      <c r="N262" t="str">
        <f>J270</f>
        <v>8.57 (8.56 to 8.59)</v>
      </c>
      <c r="O262" t="str">
        <f>J272</f>
        <v>8.58 (8.56 to 8.61)</v>
      </c>
    </row>
    <row r="263" spans="1:15" ht="17.25" thickBot="1" x14ac:dyDescent="0.35">
      <c r="A263" s="6"/>
      <c r="B263" s="3">
        <v>2</v>
      </c>
      <c r="C263" s="11" t="s">
        <v>114</v>
      </c>
      <c r="D263" s="2">
        <v>3073</v>
      </c>
      <c r="E263" s="2">
        <v>8.6306180000000001</v>
      </c>
      <c r="F263" s="2">
        <v>1.7401E-2</v>
      </c>
      <c r="G263" s="2">
        <v>8.5964984799999993</v>
      </c>
      <c r="H263" s="2">
        <v>8.6647383999999992</v>
      </c>
      <c r="J263" t="str">
        <f t="shared" si="7"/>
        <v>8.63 (8.60 to 8.66)</v>
      </c>
      <c r="K263" t="str">
        <f>J265</f>
        <v>8.64 (8.60 to 8.67)</v>
      </c>
      <c r="L263" t="str">
        <f>J267</f>
        <v>8.71 (8.67 to 8.75)</v>
      </c>
      <c r="M263" t="str">
        <f>J269</f>
        <v>8.68 (8.64 to 8.72)</v>
      </c>
      <c r="N263" t="str">
        <f>J271</f>
        <v>8.65 (8.62 to 8.69)</v>
      </c>
      <c r="O263" t="str">
        <f>J273</f>
        <v>8.65 (8.59 to 8.71)</v>
      </c>
    </row>
    <row r="264" spans="1:15" ht="17.25" thickBot="1" x14ac:dyDescent="0.35">
      <c r="A264" s="6">
        <v>2</v>
      </c>
      <c r="B264" s="3">
        <v>1</v>
      </c>
      <c r="C264" s="11" t="s">
        <v>114</v>
      </c>
      <c r="D264" s="2">
        <v>10502</v>
      </c>
      <c r="E264" s="2">
        <v>8.5408810000000006</v>
      </c>
      <c r="F264" s="2">
        <v>8.9639999999999997E-3</v>
      </c>
      <c r="G264" s="2">
        <v>8.5233036000000002</v>
      </c>
      <c r="H264" s="2">
        <v>8.5584583199999997</v>
      </c>
      <c r="J264" t="str">
        <f t="shared" si="7"/>
        <v>8.54 (8.52 to 8.56)</v>
      </c>
    </row>
    <row r="265" spans="1:15" ht="17.25" thickBot="1" x14ac:dyDescent="0.35">
      <c r="A265" s="6"/>
      <c r="B265" s="3">
        <v>2</v>
      </c>
      <c r="C265" s="11" t="s">
        <v>114</v>
      </c>
      <c r="D265" s="2">
        <v>2614</v>
      </c>
      <c r="E265" s="2">
        <v>8.6369179999999997</v>
      </c>
      <c r="F265" s="2">
        <v>1.8135999999999999E-2</v>
      </c>
      <c r="G265" s="2">
        <v>8.6013572000000007</v>
      </c>
      <c r="H265" s="2">
        <v>8.6724778400000009</v>
      </c>
      <c r="J265" t="str">
        <f t="shared" si="7"/>
        <v>8.64 (8.60 to 8.67)</v>
      </c>
    </row>
    <row r="266" spans="1:15" ht="17.25" thickBot="1" x14ac:dyDescent="0.35">
      <c r="A266" s="6">
        <v>3</v>
      </c>
      <c r="B266" s="3">
        <v>1</v>
      </c>
      <c r="C266" s="11" t="s">
        <v>114</v>
      </c>
      <c r="D266" s="2">
        <v>9470</v>
      </c>
      <c r="E266" s="2">
        <v>8.5662249999999993</v>
      </c>
      <c r="F266" s="2">
        <v>8.8170000000000002E-3</v>
      </c>
      <c r="G266" s="2">
        <v>8.5489372400000008</v>
      </c>
      <c r="H266" s="2">
        <v>8.5835125199999993</v>
      </c>
      <c r="J266" t="str">
        <f t="shared" si="7"/>
        <v>8.57 (8.55 to 8.58)</v>
      </c>
    </row>
    <row r="267" spans="1:15" ht="17.25" thickBot="1" x14ac:dyDescent="0.35">
      <c r="A267" s="6"/>
      <c r="B267" s="3">
        <v>2</v>
      </c>
      <c r="C267" s="11" t="s">
        <v>114</v>
      </c>
      <c r="D267" s="2">
        <v>2005</v>
      </c>
      <c r="E267" s="2">
        <v>8.7092770000000002</v>
      </c>
      <c r="F267" s="2">
        <v>2.1486000000000002E-2</v>
      </c>
      <c r="G267" s="2">
        <v>8.6671470100000008</v>
      </c>
      <c r="H267" s="2">
        <v>8.7514071999999992</v>
      </c>
      <c r="J267" t="str">
        <f t="shared" si="7"/>
        <v>8.71 (8.67 to 8.75)</v>
      </c>
    </row>
    <row r="268" spans="1:15" ht="17.25" thickBot="1" x14ac:dyDescent="0.35">
      <c r="A268" s="6">
        <v>4</v>
      </c>
      <c r="B268" s="3">
        <v>1</v>
      </c>
      <c r="C268" s="11" t="s">
        <v>114</v>
      </c>
      <c r="D268" s="2">
        <v>11734</v>
      </c>
      <c r="E268" s="2">
        <v>8.5983909999999995</v>
      </c>
      <c r="F268" s="2">
        <v>8.1949999999999992E-3</v>
      </c>
      <c r="G268" s="2">
        <v>8.5823230299999995</v>
      </c>
      <c r="H268" s="2">
        <v>8.6144592200000005</v>
      </c>
      <c r="J268" t="str">
        <f t="shared" si="7"/>
        <v>8.60 (8.58 to 8.61)</v>
      </c>
    </row>
    <row r="269" spans="1:15" ht="17.25" thickBot="1" x14ac:dyDescent="0.35">
      <c r="A269" s="6"/>
      <c r="B269" s="3">
        <v>2</v>
      </c>
      <c r="C269" s="11" t="s">
        <v>114</v>
      </c>
      <c r="D269" s="2">
        <v>2424</v>
      </c>
      <c r="E269" s="2">
        <v>8.6810419999999997</v>
      </c>
      <c r="F269" s="2">
        <v>2.2175E-2</v>
      </c>
      <c r="G269" s="2">
        <v>8.6375621999999996</v>
      </c>
      <c r="H269" s="2">
        <v>8.7245224300000004</v>
      </c>
      <c r="J269" t="str">
        <f t="shared" si="7"/>
        <v>8.68 (8.64 to 8.72)</v>
      </c>
    </row>
    <row r="270" spans="1:15" ht="17.25" thickBot="1" x14ac:dyDescent="0.35">
      <c r="A270" s="6">
        <v>5</v>
      </c>
      <c r="B270" s="3">
        <v>1</v>
      </c>
      <c r="C270" s="11" t="s">
        <v>114</v>
      </c>
      <c r="D270" s="2">
        <v>10990</v>
      </c>
      <c r="E270" s="2">
        <v>8.5743939999999998</v>
      </c>
      <c r="F270" s="2">
        <v>8.5389999999999997E-3</v>
      </c>
      <c r="G270" s="2">
        <v>8.5576510599999995</v>
      </c>
      <c r="H270" s="2">
        <v>8.5911372999999998</v>
      </c>
      <c r="J270" t="str">
        <f t="shared" si="7"/>
        <v>8.57 (8.56 to 8.59)</v>
      </c>
    </row>
    <row r="271" spans="1:15" ht="17.25" thickBot="1" x14ac:dyDescent="0.35">
      <c r="A271" s="6"/>
      <c r="B271" s="3">
        <v>2</v>
      </c>
      <c r="C271" s="11" t="s">
        <v>114</v>
      </c>
      <c r="D271" s="2">
        <v>2565</v>
      </c>
      <c r="E271" s="2">
        <v>8.6527949999999993</v>
      </c>
      <c r="F271" s="2">
        <v>1.7226000000000002E-2</v>
      </c>
      <c r="G271" s="2">
        <v>8.6190192900000007</v>
      </c>
      <c r="H271" s="2">
        <v>8.6865714000000001</v>
      </c>
      <c r="J271" t="str">
        <f t="shared" si="7"/>
        <v>8.65 (8.62 to 8.69)</v>
      </c>
    </row>
    <row r="272" spans="1:15" ht="17.25" thickBot="1" x14ac:dyDescent="0.35">
      <c r="A272" s="6">
        <v>6</v>
      </c>
      <c r="B272" s="3">
        <v>1</v>
      </c>
      <c r="C272" s="11" t="s">
        <v>114</v>
      </c>
      <c r="D272" s="2">
        <v>3638</v>
      </c>
      <c r="E272" s="2">
        <v>8.5836699999999997</v>
      </c>
      <c r="F272" s="2">
        <v>1.2836999999999999E-2</v>
      </c>
      <c r="G272" s="2">
        <v>8.5584982800000002</v>
      </c>
      <c r="H272" s="2">
        <v>8.6088417400000008</v>
      </c>
      <c r="J272" t="str">
        <f t="shared" si="7"/>
        <v>8.58 (8.56 to 8.61)</v>
      </c>
    </row>
    <row r="273" spans="1:10" x14ac:dyDescent="0.3">
      <c r="A273" s="6"/>
      <c r="B273" s="3">
        <v>2</v>
      </c>
      <c r="C273" s="14" t="s">
        <v>114</v>
      </c>
      <c r="D273" s="2">
        <v>778</v>
      </c>
      <c r="E273" s="2">
        <v>8.6497620000000008</v>
      </c>
      <c r="F273" s="2">
        <v>3.1375E-2</v>
      </c>
      <c r="G273" s="2">
        <v>8.5882417400000008</v>
      </c>
      <c r="H273" s="2">
        <v>8.7112819899999998</v>
      </c>
      <c r="J273" t="str">
        <f t="shared" si="7"/>
        <v>8.65 (8.59 to 8.71)</v>
      </c>
    </row>
    <row r="277" spans="1:10" x14ac:dyDescent="0.3">
      <c r="A277" s="1" t="s">
        <v>237</v>
      </c>
    </row>
    <row r="279" spans="1:10" x14ac:dyDescent="0.3">
      <c r="A279" s="1" t="s">
        <v>1</v>
      </c>
    </row>
    <row r="280" spans="1:10" ht="17.25" thickBot="1" x14ac:dyDescent="0.35"/>
    <row r="281" spans="1:10" ht="16.5" customHeight="1" x14ac:dyDescent="0.3">
      <c r="A281" s="16" t="s">
        <v>135</v>
      </c>
      <c r="B281" s="18"/>
    </row>
    <row r="282" spans="1:10" ht="26.25" thickBot="1" x14ac:dyDescent="0.35">
      <c r="A282" s="12" t="s">
        <v>136</v>
      </c>
      <c r="B282" s="2">
        <v>183</v>
      </c>
    </row>
    <row r="283" spans="1:10" ht="26.25" thickBot="1" x14ac:dyDescent="0.35">
      <c r="A283" s="12" t="s">
        <v>137</v>
      </c>
      <c r="B283" s="2">
        <v>2949</v>
      </c>
    </row>
    <row r="284" spans="1:10" ht="39" thickBot="1" x14ac:dyDescent="0.35">
      <c r="A284" s="12" t="s">
        <v>138</v>
      </c>
      <c r="B284" s="2">
        <v>23222</v>
      </c>
    </row>
    <row r="285" spans="1:10" ht="25.5" x14ac:dyDescent="0.3">
      <c r="A285" s="13" t="s">
        <v>139</v>
      </c>
      <c r="B285" s="2">
        <v>9036880.5199999996</v>
      </c>
    </row>
    <row r="286" spans="1:10" ht="17.25" thickBot="1" x14ac:dyDescent="0.35"/>
    <row r="287" spans="1:10" ht="33" customHeight="1" x14ac:dyDescent="0.3">
      <c r="A287" s="16" t="s">
        <v>140</v>
      </c>
      <c r="B287" s="18"/>
    </row>
    <row r="288" spans="1:10" ht="33.75" thickBot="1" x14ac:dyDescent="0.35">
      <c r="A288" s="12" t="s">
        <v>141</v>
      </c>
      <c r="B288" s="2" t="s">
        <v>142</v>
      </c>
    </row>
    <row r="289" spans="1:8" ht="25.5" x14ac:dyDescent="0.3">
      <c r="A289" s="13" t="s">
        <v>143</v>
      </c>
      <c r="B289" s="2" t="s">
        <v>144</v>
      </c>
    </row>
    <row r="290" spans="1:8" ht="17.25" thickBot="1" x14ac:dyDescent="0.35"/>
    <row r="291" spans="1:8" ht="16.5" customHeight="1" x14ac:dyDescent="0.3">
      <c r="A291" s="16" t="s">
        <v>238</v>
      </c>
      <c r="B291" s="18"/>
      <c r="C291" s="18"/>
      <c r="D291" s="18"/>
      <c r="E291" s="18"/>
      <c r="F291" s="18"/>
    </row>
    <row r="292" spans="1:8" x14ac:dyDescent="0.3">
      <c r="A292" s="17" t="s">
        <v>239</v>
      </c>
      <c r="B292" s="19" t="s">
        <v>94</v>
      </c>
      <c r="C292" s="19" t="s">
        <v>240</v>
      </c>
      <c r="D292" s="3" t="s">
        <v>241</v>
      </c>
      <c r="E292" s="19" t="s">
        <v>243</v>
      </c>
      <c r="F292" s="19"/>
    </row>
    <row r="293" spans="1:8" x14ac:dyDescent="0.3">
      <c r="A293" s="17"/>
      <c r="B293" s="19"/>
      <c r="C293" s="19"/>
      <c r="D293" s="3" t="s">
        <v>242</v>
      </c>
      <c r="E293" s="19"/>
      <c r="F293" s="19"/>
    </row>
    <row r="294" spans="1:8" x14ac:dyDescent="0.3">
      <c r="A294" s="13" t="s">
        <v>114</v>
      </c>
      <c r="B294" s="2">
        <v>23222</v>
      </c>
      <c r="C294" s="2">
        <v>8.4582850000000001</v>
      </c>
      <c r="D294" s="2">
        <v>5.8770000000000003E-3</v>
      </c>
      <c r="E294" s="2">
        <v>8.4467599599999996</v>
      </c>
      <c r="F294" s="2">
        <v>8.4698092999999997</v>
      </c>
    </row>
    <row r="298" spans="1:8" x14ac:dyDescent="0.3">
      <c r="A298" s="1" t="s">
        <v>237</v>
      </c>
    </row>
    <row r="300" spans="1:8" x14ac:dyDescent="0.3">
      <c r="A300" s="1" t="s">
        <v>1</v>
      </c>
    </row>
    <row r="301" spans="1:8" ht="17.25" thickBot="1" x14ac:dyDescent="0.35"/>
    <row r="302" spans="1:8" ht="16.5" customHeight="1" x14ac:dyDescent="0.3">
      <c r="A302" s="16" t="s">
        <v>253</v>
      </c>
      <c r="B302" s="18"/>
      <c r="C302" s="18"/>
      <c r="D302" s="18"/>
      <c r="E302" s="18"/>
      <c r="F302" s="18"/>
      <c r="G302" s="18"/>
      <c r="H302" s="18"/>
    </row>
    <row r="303" spans="1:8" x14ac:dyDescent="0.3">
      <c r="A303" s="17" t="s">
        <v>249</v>
      </c>
      <c r="B303" s="19" t="s">
        <v>8</v>
      </c>
      <c r="C303" s="19" t="s">
        <v>239</v>
      </c>
      <c r="D303" s="19" t="s">
        <v>94</v>
      </c>
      <c r="E303" s="19" t="s">
        <v>240</v>
      </c>
      <c r="F303" s="3" t="s">
        <v>241</v>
      </c>
      <c r="G303" s="19" t="s">
        <v>243</v>
      </c>
      <c r="H303" s="19"/>
    </row>
    <row r="304" spans="1:8" x14ac:dyDescent="0.3">
      <c r="A304" s="17"/>
      <c r="B304" s="19"/>
      <c r="C304" s="19"/>
      <c r="D304" s="19"/>
      <c r="E304" s="19"/>
      <c r="F304" s="3" t="s">
        <v>242</v>
      </c>
      <c r="G304" s="19"/>
      <c r="H304" s="19"/>
    </row>
    <row r="305" spans="1:8" ht="17.25" thickBot="1" x14ac:dyDescent="0.35">
      <c r="A305" s="6">
        <v>1</v>
      </c>
      <c r="B305" s="3">
        <v>1</v>
      </c>
      <c r="C305" s="11" t="s">
        <v>114</v>
      </c>
      <c r="D305" s="2">
        <v>463</v>
      </c>
      <c r="E305" s="2">
        <v>8.8413090000000008</v>
      </c>
      <c r="F305" s="2">
        <v>3.3999000000000001E-2</v>
      </c>
      <c r="G305" s="2">
        <v>8.7746437700000008</v>
      </c>
      <c r="H305" s="2">
        <v>8.9079748799999994</v>
      </c>
    </row>
    <row r="306" spans="1:8" ht="17.25" thickBot="1" x14ac:dyDescent="0.35">
      <c r="A306" s="6"/>
      <c r="B306" s="3">
        <v>2</v>
      </c>
      <c r="C306" s="11" t="s">
        <v>114</v>
      </c>
      <c r="D306" s="2">
        <v>920</v>
      </c>
      <c r="E306" s="2">
        <v>8.7362369999999991</v>
      </c>
      <c r="F306" s="2">
        <v>2.8579E-2</v>
      </c>
      <c r="G306" s="2">
        <v>8.6801993500000005</v>
      </c>
      <c r="H306" s="2">
        <v>8.7922755899999991</v>
      </c>
    </row>
    <row r="307" spans="1:8" ht="17.25" thickBot="1" x14ac:dyDescent="0.35">
      <c r="A307" s="6"/>
      <c r="B307" s="3">
        <v>3</v>
      </c>
      <c r="C307" s="11" t="s">
        <v>114</v>
      </c>
      <c r="D307" s="2">
        <v>688</v>
      </c>
      <c r="E307" s="2">
        <v>8.401465</v>
      </c>
      <c r="F307" s="2">
        <v>3.1905999999999997E-2</v>
      </c>
      <c r="G307" s="2">
        <v>8.3389037899999998</v>
      </c>
      <c r="H307" s="2">
        <v>8.4640259400000009</v>
      </c>
    </row>
    <row r="308" spans="1:8" ht="17.25" thickBot="1" x14ac:dyDescent="0.35">
      <c r="A308" s="6"/>
      <c r="B308" s="3">
        <v>4</v>
      </c>
      <c r="C308" s="11" t="s">
        <v>114</v>
      </c>
      <c r="D308" s="2">
        <v>1429</v>
      </c>
      <c r="E308" s="2">
        <v>8.4472360000000002</v>
      </c>
      <c r="F308" s="2">
        <v>2.0124E-2</v>
      </c>
      <c r="G308" s="2">
        <v>8.4077771699999992</v>
      </c>
      <c r="H308" s="2">
        <v>8.4866944499999999</v>
      </c>
    </row>
    <row r="309" spans="1:8" ht="17.25" thickBot="1" x14ac:dyDescent="0.35">
      <c r="A309" s="6"/>
      <c r="B309" s="3">
        <v>8</v>
      </c>
      <c r="C309" s="11" t="s">
        <v>114</v>
      </c>
      <c r="D309" s="2">
        <v>240</v>
      </c>
      <c r="E309" s="2">
        <v>8.2443690000000007</v>
      </c>
      <c r="F309" s="2">
        <v>4.8891999999999998E-2</v>
      </c>
      <c r="G309" s="2">
        <v>8.1485009099999992</v>
      </c>
      <c r="H309" s="2">
        <v>8.3402369800000002</v>
      </c>
    </row>
    <row r="310" spans="1:8" ht="17.25" thickBot="1" x14ac:dyDescent="0.35">
      <c r="A310" s="6">
        <v>2</v>
      </c>
      <c r="B310" s="3">
        <v>1</v>
      </c>
      <c r="C310" s="11" t="s">
        <v>114</v>
      </c>
      <c r="D310" s="2">
        <v>1280</v>
      </c>
      <c r="E310" s="2">
        <v>8.6661280000000005</v>
      </c>
      <c r="F310" s="2">
        <v>2.2823E-2</v>
      </c>
      <c r="G310" s="2">
        <v>8.6213761800000004</v>
      </c>
      <c r="H310" s="2">
        <v>8.7108793000000002</v>
      </c>
    </row>
    <row r="311" spans="1:8" ht="17.25" thickBot="1" x14ac:dyDescent="0.35">
      <c r="A311" s="6"/>
      <c r="B311" s="3">
        <v>2</v>
      </c>
      <c r="C311" s="11" t="s">
        <v>114</v>
      </c>
      <c r="D311" s="2">
        <v>1127</v>
      </c>
      <c r="E311" s="2">
        <v>8.2485929999999996</v>
      </c>
      <c r="F311" s="2">
        <v>2.3140999999999998E-2</v>
      </c>
      <c r="G311" s="2">
        <v>8.2032169699999997</v>
      </c>
      <c r="H311" s="2">
        <v>8.2939682099999992</v>
      </c>
    </row>
    <row r="312" spans="1:8" ht="17.25" thickBot="1" x14ac:dyDescent="0.35">
      <c r="A312" s="6"/>
      <c r="B312" s="3">
        <v>3</v>
      </c>
      <c r="C312" s="11" t="s">
        <v>114</v>
      </c>
      <c r="D312" s="2">
        <v>1129</v>
      </c>
      <c r="E312" s="2">
        <v>8.2785430000000009</v>
      </c>
      <c r="F312" s="2">
        <v>2.095E-2</v>
      </c>
      <c r="G312" s="2">
        <v>8.2374628699999999</v>
      </c>
      <c r="H312" s="2">
        <v>8.31962285</v>
      </c>
    </row>
    <row r="313" spans="1:8" ht="17.25" thickBot="1" x14ac:dyDescent="0.35">
      <c r="A313" s="6"/>
      <c r="B313" s="3">
        <v>4</v>
      </c>
      <c r="C313" s="11" t="s">
        <v>114</v>
      </c>
      <c r="D313" s="2">
        <v>551</v>
      </c>
      <c r="E313" s="2">
        <v>8.4180399999999995</v>
      </c>
      <c r="F313" s="2">
        <v>3.3216000000000002E-2</v>
      </c>
      <c r="G313" s="2">
        <v>8.3529091700000002</v>
      </c>
      <c r="H313" s="2">
        <v>8.4831704499999994</v>
      </c>
    </row>
    <row r="314" spans="1:8" ht="17.25" thickBot="1" x14ac:dyDescent="0.35">
      <c r="A314" s="6"/>
      <c r="B314" s="3">
        <v>8</v>
      </c>
      <c r="C314" s="11" t="s">
        <v>114</v>
      </c>
      <c r="D314" s="2">
        <v>645</v>
      </c>
      <c r="E314" s="2">
        <v>8.1992229999999999</v>
      </c>
      <c r="F314" s="2">
        <v>2.7335999999999999E-2</v>
      </c>
      <c r="G314" s="2">
        <v>8.1456225599999996</v>
      </c>
      <c r="H314" s="2">
        <v>8.2528243700000008</v>
      </c>
    </row>
    <row r="315" spans="1:8" ht="17.25" thickBot="1" x14ac:dyDescent="0.35">
      <c r="A315" s="6">
        <v>3</v>
      </c>
      <c r="B315" s="3">
        <v>1</v>
      </c>
      <c r="C315" s="11" t="s">
        <v>114</v>
      </c>
      <c r="D315" s="2">
        <v>911</v>
      </c>
      <c r="E315" s="2">
        <v>8.6832069999999995</v>
      </c>
      <c r="F315" s="2">
        <v>2.8746000000000001E-2</v>
      </c>
      <c r="G315" s="2">
        <v>8.6268417799999995</v>
      </c>
      <c r="H315" s="2">
        <v>8.7395728800000008</v>
      </c>
    </row>
    <row r="316" spans="1:8" ht="17.25" thickBot="1" x14ac:dyDescent="0.35">
      <c r="A316" s="6"/>
      <c r="B316" s="3">
        <v>2</v>
      </c>
      <c r="C316" s="11" t="s">
        <v>114</v>
      </c>
      <c r="D316" s="2">
        <v>853</v>
      </c>
      <c r="E316" s="2">
        <v>8.3175799999999995</v>
      </c>
      <c r="F316" s="2">
        <v>2.4375000000000001E-2</v>
      </c>
      <c r="G316" s="2">
        <v>8.2697846199999994</v>
      </c>
      <c r="H316" s="2">
        <v>8.3653756399999999</v>
      </c>
    </row>
    <row r="317" spans="1:8" ht="17.25" thickBot="1" x14ac:dyDescent="0.35">
      <c r="A317" s="6"/>
      <c r="B317" s="3">
        <v>3</v>
      </c>
      <c r="C317" s="11" t="s">
        <v>114</v>
      </c>
      <c r="D317" s="2">
        <v>1008</v>
      </c>
      <c r="E317" s="2">
        <v>8.3522400000000001</v>
      </c>
      <c r="F317" s="2">
        <v>2.3189999999999999E-2</v>
      </c>
      <c r="G317" s="2">
        <v>8.3067685400000002</v>
      </c>
      <c r="H317" s="2">
        <v>8.3977110600000007</v>
      </c>
    </row>
    <row r="318" spans="1:8" ht="17.25" thickBot="1" x14ac:dyDescent="0.35">
      <c r="A318" s="6"/>
      <c r="B318" s="3">
        <v>4</v>
      </c>
      <c r="C318" s="11" t="s">
        <v>114</v>
      </c>
      <c r="D318" s="2">
        <v>467</v>
      </c>
      <c r="E318" s="2">
        <v>8.4760369999999998</v>
      </c>
      <c r="F318" s="2">
        <v>3.5013000000000002E-2</v>
      </c>
      <c r="G318" s="2">
        <v>8.4073820999999995</v>
      </c>
      <c r="H318" s="2">
        <v>8.5446920500000001</v>
      </c>
    </row>
    <row r="319" spans="1:8" ht="17.25" thickBot="1" x14ac:dyDescent="0.35">
      <c r="A319" s="6"/>
      <c r="B319" s="3">
        <v>8</v>
      </c>
      <c r="C319" s="11" t="s">
        <v>114</v>
      </c>
      <c r="D319" s="2">
        <v>1018</v>
      </c>
      <c r="E319" s="2">
        <v>8.5327850000000005</v>
      </c>
      <c r="F319" s="2">
        <v>2.8875999999999999E-2</v>
      </c>
      <c r="G319" s="2">
        <v>8.4761638399999999</v>
      </c>
      <c r="H319" s="2">
        <v>8.5894069599999998</v>
      </c>
    </row>
    <row r="320" spans="1:8" ht="17.25" thickBot="1" x14ac:dyDescent="0.35">
      <c r="A320" s="6">
        <v>4</v>
      </c>
      <c r="B320" s="3">
        <v>1</v>
      </c>
      <c r="C320" s="11" t="s">
        <v>114</v>
      </c>
      <c r="D320" s="2">
        <v>968</v>
      </c>
      <c r="E320" s="2">
        <v>8.7311549999999993</v>
      </c>
      <c r="F320" s="2">
        <v>2.4670000000000001E-2</v>
      </c>
      <c r="G320" s="2">
        <v>8.68278164</v>
      </c>
      <c r="H320" s="2">
        <v>8.7795288800000009</v>
      </c>
    </row>
    <row r="321" spans="1:8" ht="17.25" thickBot="1" x14ac:dyDescent="0.35">
      <c r="A321" s="6"/>
      <c r="B321" s="3">
        <v>2</v>
      </c>
      <c r="C321" s="11" t="s">
        <v>114</v>
      </c>
      <c r="D321" s="2">
        <v>910</v>
      </c>
      <c r="E321" s="2">
        <v>8.336214</v>
      </c>
      <c r="F321" s="2">
        <v>2.5184000000000002E-2</v>
      </c>
      <c r="G321" s="2">
        <v>8.2868330199999996</v>
      </c>
      <c r="H321" s="2">
        <v>8.3855943600000007</v>
      </c>
    </row>
    <row r="322" spans="1:8" ht="17.25" thickBot="1" x14ac:dyDescent="0.35">
      <c r="A322" s="6"/>
      <c r="B322" s="3">
        <v>3</v>
      </c>
      <c r="C322" s="11" t="s">
        <v>114</v>
      </c>
      <c r="D322" s="2">
        <v>1017</v>
      </c>
      <c r="E322" s="2">
        <v>8.35426</v>
      </c>
      <c r="F322" s="2">
        <v>2.4114E-2</v>
      </c>
      <c r="G322" s="2">
        <v>8.3069761300000007</v>
      </c>
      <c r="H322" s="2">
        <v>8.4015440100000003</v>
      </c>
    </row>
    <row r="323" spans="1:8" ht="17.25" thickBot="1" x14ac:dyDescent="0.35">
      <c r="A323" s="6"/>
      <c r="B323" s="3">
        <v>4</v>
      </c>
      <c r="C323" s="11" t="s">
        <v>114</v>
      </c>
      <c r="D323" s="2">
        <v>588</v>
      </c>
      <c r="E323" s="2">
        <v>8.5422200000000004</v>
      </c>
      <c r="F323" s="2">
        <v>3.1372999999999998E-2</v>
      </c>
      <c r="G323" s="2">
        <v>8.4807029600000003</v>
      </c>
      <c r="H323" s="2">
        <v>8.6037376299999995</v>
      </c>
    </row>
    <row r="324" spans="1:8" ht="17.25" thickBot="1" x14ac:dyDescent="0.35">
      <c r="A324" s="6"/>
      <c r="B324" s="3">
        <v>8</v>
      </c>
      <c r="C324" s="11" t="s">
        <v>114</v>
      </c>
      <c r="D324" s="2">
        <v>1073</v>
      </c>
      <c r="E324" s="2">
        <v>8.5353729999999999</v>
      </c>
      <c r="F324" s="2">
        <v>2.4362999999999999E-2</v>
      </c>
      <c r="G324" s="2">
        <v>8.4876022500000001</v>
      </c>
      <c r="H324" s="2">
        <v>8.5831447399999998</v>
      </c>
    </row>
    <row r="325" spans="1:8" ht="17.25" thickBot="1" x14ac:dyDescent="0.35">
      <c r="A325" s="6">
        <v>5</v>
      </c>
      <c r="B325" s="3">
        <v>1</v>
      </c>
      <c r="C325" s="11" t="s">
        <v>114</v>
      </c>
      <c r="D325" s="2">
        <v>899</v>
      </c>
      <c r="E325" s="2">
        <v>8.6089850000000006</v>
      </c>
      <c r="F325" s="2">
        <v>2.5457E-2</v>
      </c>
      <c r="G325" s="2">
        <v>8.5590684899999996</v>
      </c>
      <c r="H325" s="2">
        <v>8.6589018499999995</v>
      </c>
    </row>
    <row r="326" spans="1:8" ht="17.25" thickBot="1" x14ac:dyDescent="0.35">
      <c r="A326" s="6"/>
      <c r="B326" s="3">
        <v>2</v>
      </c>
      <c r="C326" s="11" t="s">
        <v>114</v>
      </c>
      <c r="D326" s="2">
        <v>838</v>
      </c>
      <c r="E326" s="2">
        <v>8.3460420000000006</v>
      </c>
      <c r="F326" s="2">
        <v>2.6095E-2</v>
      </c>
      <c r="G326" s="2">
        <v>8.2948738800000008</v>
      </c>
      <c r="H326" s="2">
        <v>8.3972109499999998</v>
      </c>
    </row>
    <row r="327" spans="1:8" ht="17.25" thickBot="1" x14ac:dyDescent="0.35">
      <c r="A327" s="6"/>
      <c r="B327" s="3">
        <v>3</v>
      </c>
      <c r="C327" s="11" t="s">
        <v>114</v>
      </c>
      <c r="D327" s="2">
        <v>930</v>
      </c>
      <c r="E327" s="2">
        <v>8.3748149999999999</v>
      </c>
      <c r="F327" s="2">
        <v>2.4674999999999999E-2</v>
      </c>
      <c r="G327" s="2">
        <v>8.3264310699999999</v>
      </c>
      <c r="H327" s="2">
        <v>8.4231995699999995</v>
      </c>
    </row>
    <row r="328" spans="1:8" ht="17.25" thickBot="1" x14ac:dyDescent="0.35">
      <c r="A328" s="6"/>
      <c r="B328" s="3">
        <v>4</v>
      </c>
      <c r="C328" s="11" t="s">
        <v>114</v>
      </c>
      <c r="D328" s="2">
        <v>548</v>
      </c>
      <c r="E328" s="2">
        <v>8.5176599999999993</v>
      </c>
      <c r="F328" s="2">
        <v>3.7002E-2</v>
      </c>
      <c r="G328" s="2">
        <v>8.4451060699999996</v>
      </c>
      <c r="H328" s="2">
        <v>8.5902147099999997</v>
      </c>
    </row>
    <row r="329" spans="1:8" ht="17.25" thickBot="1" x14ac:dyDescent="0.35">
      <c r="A329" s="6"/>
      <c r="B329" s="3">
        <v>8</v>
      </c>
      <c r="C329" s="11" t="s">
        <v>114</v>
      </c>
      <c r="D329" s="2">
        <v>1286</v>
      </c>
      <c r="E329" s="2">
        <v>8.5520689999999995</v>
      </c>
      <c r="F329" s="2">
        <v>2.3053000000000001E-2</v>
      </c>
      <c r="G329" s="2">
        <v>8.50686681</v>
      </c>
      <c r="H329" s="2">
        <v>8.59727146</v>
      </c>
    </row>
    <row r="330" spans="1:8" ht="17.25" thickBot="1" x14ac:dyDescent="0.35">
      <c r="A330" s="6">
        <v>6</v>
      </c>
      <c r="B330" s="3">
        <v>1</v>
      </c>
      <c r="C330" s="11" t="s">
        <v>114</v>
      </c>
      <c r="D330" s="2">
        <v>279</v>
      </c>
      <c r="E330" s="2">
        <v>8.6530869999999993</v>
      </c>
      <c r="F330" s="2">
        <v>3.2251000000000002E-2</v>
      </c>
      <c r="G330" s="2">
        <v>8.5898485099999995</v>
      </c>
      <c r="H330" s="2">
        <v>8.7163249</v>
      </c>
    </row>
    <row r="331" spans="1:8" ht="17.25" thickBot="1" x14ac:dyDescent="0.35">
      <c r="A331" s="6"/>
      <c r="B331" s="3">
        <v>2</v>
      </c>
      <c r="C331" s="11" t="s">
        <v>114</v>
      </c>
      <c r="D331" s="2">
        <v>309</v>
      </c>
      <c r="E331" s="2">
        <v>8.3470840000000006</v>
      </c>
      <c r="F331" s="2">
        <v>3.8481000000000001E-2</v>
      </c>
      <c r="G331" s="2">
        <v>8.2716291900000005</v>
      </c>
      <c r="H331" s="2">
        <v>8.4225396299999993</v>
      </c>
    </row>
    <row r="332" spans="1:8" ht="17.25" thickBot="1" x14ac:dyDescent="0.35">
      <c r="A332" s="6"/>
      <c r="B332" s="3">
        <v>3</v>
      </c>
      <c r="C332" s="11" t="s">
        <v>114</v>
      </c>
      <c r="D332" s="2">
        <v>358</v>
      </c>
      <c r="E332" s="2">
        <v>8.4225560000000002</v>
      </c>
      <c r="F332" s="2">
        <v>3.7328E-2</v>
      </c>
      <c r="G332" s="2">
        <v>8.34936379</v>
      </c>
      <c r="H332" s="2">
        <v>8.4957492000000006</v>
      </c>
    </row>
    <row r="333" spans="1:8" ht="17.25" thickBot="1" x14ac:dyDescent="0.35">
      <c r="A333" s="6"/>
      <c r="B333" s="3">
        <v>4</v>
      </c>
      <c r="C333" s="11" t="s">
        <v>114</v>
      </c>
      <c r="D333" s="2">
        <v>284</v>
      </c>
      <c r="E333" s="2">
        <v>8.6096419999999991</v>
      </c>
      <c r="F333" s="2">
        <v>4.2125999999999997E-2</v>
      </c>
      <c r="G333" s="2">
        <v>8.5270400899999999</v>
      </c>
      <c r="H333" s="2">
        <v>8.6922429999999995</v>
      </c>
    </row>
    <row r="334" spans="1:8" x14ac:dyDescent="0.3">
      <c r="A334" s="6"/>
      <c r="B334" s="3">
        <v>8</v>
      </c>
      <c r="C334" s="14" t="s">
        <v>114</v>
      </c>
      <c r="D334" s="2">
        <v>206</v>
      </c>
      <c r="E334" s="2">
        <v>8.43093</v>
      </c>
      <c r="F334" s="2">
        <v>4.3529999999999999E-2</v>
      </c>
      <c r="G334" s="2">
        <v>8.3455746699999995</v>
      </c>
      <c r="H334" s="2">
        <v>8.5162844500000006</v>
      </c>
    </row>
    <row r="338" spans="1:6" x14ac:dyDescent="0.3">
      <c r="A338" s="1" t="s">
        <v>237</v>
      </c>
    </row>
    <row r="340" spans="1:6" x14ac:dyDescent="0.3">
      <c r="A340" s="1" t="s">
        <v>21</v>
      </c>
    </row>
    <row r="341" spans="1:6" ht="17.25" thickBot="1" x14ac:dyDescent="0.35"/>
    <row r="342" spans="1:6" ht="16.5" customHeight="1" x14ac:dyDescent="0.3">
      <c r="A342" s="16" t="s">
        <v>135</v>
      </c>
      <c r="B342" s="18"/>
    </row>
    <row r="343" spans="1:6" ht="26.25" thickBot="1" x14ac:dyDescent="0.35">
      <c r="A343" s="12" t="s">
        <v>136</v>
      </c>
      <c r="B343" s="2">
        <v>183</v>
      </c>
    </row>
    <row r="344" spans="1:6" ht="26.25" thickBot="1" x14ac:dyDescent="0.35">
      <c r="A344" s="12" t="s">
        <v>137</v>
      </c>
      <c r="B344" s="2">
        <v>2982</v>
      </c>
    </row>
    <row r="345" spans="1:6" ht="39" thickBot="1" x14ac:dyDescent="0.35">
      <c r="A345" s="12" t="s">
        <v>138</v>
      </c>
      <c r="B345" s="2">
        <v>68635</v>
      </c>
    </row>
    <row r="346" spans="1:6" ht="25.5" x14ac:dyDescent="0.3">
      <c r="A346" s="13" t="s">
        <v>139</v>
      </c>
      <c r="B346" s="2">
        <v>30251935.699999999</v>
      </c>
    </row>
    <row r="347" spans="1:6" ht="17.25" thickBot="1" x14ac:dyDescent="0.35"/>
    <row r="348" spans="1:6" ht="33" customHeight="1" x14ac:dyDescent="0.3">
      <c r="A348" s="16" t="s">
        <v>140</v>
      </c>
      <c r="B348" s="18"/>
    </row>
    <row r="349" spans="1:6" ht="33.75" thickBot="1" x14ac:dyDescent="0.35">
      <c r="A349" s="12" t="s">
        <v>141</v>
      </c>
      <c r="B349" s="2" t="s">
        <v>142</v>
      </c>
    </row>
    <row r="350" spans="1:6" ht="25.5" x14ac:dyDescent="0.3">
      <c r="A350" s="13" t="s">
        <v>143</v>
      </c>
      <c r="B350" s="2" t="s">
        <v>144</v>
      </c>
    </row>
    <row r="351" spans="1:6" ht="17.25" thickBot="1" x14ac:dyDescent="0.35"/>
    <row r="352" spans="1:6" ht="16.5" customHeight="1" x14ac:dyDescent="0.3">
      <c r="A352" s="16" t="s">
        <v>238</v>
      </c>
      <c r="B352" s="18"/>
      <c r="C352" s="18"/>
      <c r="D352" s="18"/>
      <c r="E352" s="18"/>
      <c r="F352" s="18"/>
    </row>
    <row r="353" spans="1:15" x14ac:dyDescent="0.3">
      <c r="A353" s="17" t="s">
        <v>239</v>
      </c>
      <c r="B353" s="19" t="s">
        <v>94</v>
      </c>
      <c r="C353" s="19" t="s">
        <v>240</v>
      </c>
      <c r="D353" s="3" t="s">
        <v>241</v>
      </c>
      <c r="E353" s="19" t="s">
        <v>243</v>
      </c>
      <c r="F353" s="19"/>
    </row>
    <row r="354" spans="1:15" x14ac:dyDescent="0.3">
      <c r="A354" s="17"/>
      <c r="B354" s="19"/>
      <c r="C354" s="19"/>
      <c r="D354" s="3" t="s">
        <v>242</v>
      </c>
      <c r="E354" s="19"/>
      <c r="F354" s="19"/>
    </row>
    <row r="355" spans="1:15" x14ac:dyDescent="0.3">
      <c r="A355" s="13" t="s">
        <v>114</v>
      </c>
      <c r="B355" s="2">
        <v>68635</v>
      </c>
      <c r="C355" s="2">
        <v>8.5827570000000009</v>
      </c>
      <c r="D355" s="2">
        <v>3.4259999999999998E-3</v>
      </c>
      <c r="E355" s="2">
        <v>8.5760384700000003</v>
      </c>
      <c r="F355" s="2">
        <v>8.58947489</v>
      </c>
    </row>
    <row r="359" spans="1:15" x14ac:dyDescent="0.3">
      <c r="A359" s="1" t="s">
        <v>237</v>
      </c>
    </row>
    <row r="361" spans="1:15" x14ac:dyDescent="0.3">
      <c r="A361" s="1" t="s">
        <v>21</v>
      </c>
    </row>
    <row r="362" spans="1:15" ht="17.25" thickBot="1" x14ac:dyDescent="0.35"/>
    <row r="363" spans="1:15" ht="16.5" customHeight="1" x14ac:dyDescent="0.3">
      <c r="A363" s="16" t="s">
        <v>253</v>
      </c>
      <c r="B363" s="18"/>
      <c r="C363" s="18"/>
      <c r="D363" s="18"/>
      <c r="E363" s="18"/>
      <c r="F363" s="18"/>
      <c r="G363" s="18"/>
      <c r="H363" s="18"/>
    </row>
    <row r="364" spans="1:15" x14ac:dyDescent="0.3">
      <c r="A364" s="17" t="s">
        <v>249</v>
      </c>
      <c r="B364" s="19" t="s">
        <v>8</v>
      </c>
      <c r="C364" s="19" t="s">
        <v>239</v>
      </c>
      <c r="D364" s="19" t="s">
        <v>94</v>
      </c>
      <c r="E364" s="19" t="s">
        <v>240</v>
      </c>
      <c r="F364" s="3" t="s">
        <v>241</v>
      </c>
      <c r="G364" s="19" t="s">
        <v>243</v>
      </c>
      <c r="H364" s="19"/>
    </row>
    <row r="365" spans="1:15" x14ac:dyDescent="0.3">
      <c r="A365" s="17"/>
      <c r="B365" s="19"/>
      <c r="C365" s="19"/>
      <c r="D365" s="19"/>
      <c r="E365" s="19"/>
      <c r="F365" s="3" t="s">
        <v>242</v>
      </c>
      <c r="G365" s="19"/>
      <c r="H365" s="19"/>
    </row>
    <row r="366" spans="1:15" ht="17.25" thickBot="1" x14ac:dyDescent="0.35">
      <c r="A366" s="6">
        <v>1</v>
      </c>
      <c r="B366" s="3">
        <v>1</v>
      </c>
      <c r="C366" s="11" t="s">
        <v>114</v>
      </c>
      <c r="D366" s="2">
        <v>704</v>
      </c>
      <c r="E366" s="2">
        <v>8.809075</v>
      </c>
      <c r="F366" s="2">
        <v>2.5114999999999998E-2</v>
      </c>
      <c r="G366" s="2">
        <v>8.7598294800000005</v>
      </c>
      <c r="H366" s="2">
        <v>8.8583213199999999</v>
      </c>
      <c r="J366" t="str">
        <f t="shared" ref="J366:J389" si="8">TEXT(E366,"0.00")&amp;" ("&amp;TEXT(G366,"0.00")&amp;" to "&amp;TEXT(H366,"0.00")&amp;")"</f>
        <v>8.81 (8.76 to 8.86)</v>
      </c>
      <c r="K366" t="str">
        <f>J370</f>
        <v>8.72 (8.68 to 8.75)</v>
      </c>
      <c r="L366" t="str">
        <f>J374</f>
        <v>8.79 (8.75 to 8.83)</v>
      </c>
      <c r="M366" t="str">
        <f>J378</f>
        <v>8.75 (8.72 to 8.79)</v>
      </c>
      <c r="N366" t="str">
        <f>J382</f>
        <v>8.72 (8.69 to 8.76)</v>
      </c>
      <c r="O366" t="str">
        <f>J386</f>
        <v>8.67 (8.62 to 8.72)</v>
      </c>
    </row>
    <row r="367" spans="1:15" ht="17.25" thickBot="1" x14ac:dyDescent="0.35">
      <c r="A367" s="6"/>
      <c r="B367" s="3">
        <v>2</v>
      </c>
      <c r="C367" s="11" t="s">
        <v>114</v>
      </c>
      <c r="D367" s="2">
        <v>2055</v>
      </c>
      <c r="E367" s="2">
        <v>8.7544830000000005</v>
      </c>
      <c r="F367" s="2">
        <v>1.8447999999999999E-2</v>
      </c>
      <c r="G367" s="2">
        <v>8.7183088000000009</v>
      </c>
      <c r="H367" s="2">
        <v>8.79065634</v>
      </c>
      <c r="J367" t="str">
        <f t="shared" si="8"/>
        <v>8.75 (8.72 to 8.79)</v>
      </c>
      <c r="K367" t="str">
        <f t="shared" ref="K367:K369" si="9">J371</f>
        <v>8.73 (8.68 to 8.77)</v>
      </c>
      <c r="L367" t="str">
        <f t="shared" ref="L367:L369" si="10">J375</f>
        <v>8.77 (8.72 to 8.81)</v>
      </c>
      <c r="M367" t="str">
        <f t="shared" ref="M367:M369" si="11">J379</f>
        <v>8.77 (8.73 to 8.82)</v>
      </c>
      <c r="N367" t="str">
        <f t="shared" ref="N367:N369" si="12">J383</f>
        <v>8.73 (8.69 to 8.77)</v>
      </c>
      <c r="O367" t="str">
        <f t="shared" ref="O367:O369" si="13">J387</f>
        <v>8.69 (8.64 to 8.74)</v>
      </c>
    </row>
    <row r="368" spans="1:15" ht="17.25" thickBot="1" x14ac:dyDescent="0.35">
      <c r="A368" s="6"/>
      <c r="B368" s="3">
        <v>3</v>
      </c>
      <c r="C368" s="11" t="s">
        <v>114</v>
      </c>
      <c r="D368" s="2">
        <v>1494</v>
      </c>
      <c r="E368" s="2">
        <v>8.6949500000000004</v>
      </c>
      <c r="F368" s="2">
        <v>2.1190000000000001E-2</v>
      </c>
      <c r="G368" s="2">
        <v>8.6534013900000009</v>
      </c>
      <c r="H368" s="2">
        <v>8.7364989400000006</v>
      </c>
      <c r="J368" t="str">
        <f t="shared" si="8"/>
        <v>8.69 (8.65 to 8.74)</v>
      </c>
      <c r="K368" t="str">
        <f t="shared" si="9"/>
        <v>8.60 (8.58 to 8.63)</v>
      </c>
      <c r="L368" t="str">
        <f t="shared" si="10"/>
        <v>8.65 (8.63 to 8.68)</v>
      </c>
      <c r="M368" t="str">
        <f t="shared" si="11"/>
        <v>8.68 (8.66 to 8.71)</v>
      </c>
      <c r="N368" t="str">
        <f t="shared" si="12"/>
        <v>8.67 (8.65 to 8.70)</v>
      </c>
      <c r="O368" t="str">
        <f t="shared" si="13"/>
        <v>8.68 (8.64 to 8.72)</v>
      </c>
    </row>
    <row r="369" spans="1:15" ht="17.25" thickBot="1" x14ac:dyDescent="0.35">
      <c r="A369" s="6"/>
      <c r="B369" s="3">
        <v>4</v>
      </c>
      <c r="C369" s="11" t="s">
        <v>114</v>
      </c>
      <c r="D369" s="2">
        <v>7662</v>
      </c>
      <c r="E369" s="2">
        <v>8.4896340000000006</v>
      </c>
      <c r="F369" s="2">
        <v>8.9200000000000008E-3</v>
      </c>
      <c r="G369" s="2">
        <v>8.4721431299999992</v>
      </c>
      <c r="H369" s="2">
        <v>8.5071248900000001</v>
      </c>
      <c r="J369" t="str">
        <f t="shared" si="8"/>
        <v>8.49 (8.47 to 8.51)</v>
      </c>
      <c r="K369" t="str">
        <f t="shared" si="9"/>
        <v>8.44 (8.42 to 8.47)</v>
      </c>
      <c r="L369" t="str">
        <f t="shared" si="10"/>
        <v>8.48 (8.45 to 8.50)</v>
      </c>
      <c r="M369" t="str">
        <f t="shared" si="11"/>
        <v>8.52 (8.50 to 8.54)</v>
      </c>
      <c r="N369" t="str">
        <f t="shared" si="12"/>
        <v>8.50 (8.49 to 8.52)</v>
      </c>
      <c r="O369" t="str">
        <f t="shared" si="13"/>
        <v>8.53 (8.50 to 8.56)</v>
      </c>
    </row>
    <row r="370" spans="1:15" ht="17.25" thickBot="1" x14ac:dyDescent="0.35">
      <c r="A370" s="6">
        <v>2</v>
      </c>
      <c r="B370" s="3">
        <v>1</v>
      </c>
      <c r="C370" s="11" t="s">
        <v>114</v>
      </c>
      <c r="D370" s="2">
        <v>2505</v>
      </c>
      <c r="E370" s="2">
        <v>8.7160189999999993</v>
      </c>
      <c r="F370" s="2">
        <v>1.6754999999999999E-2</v>
      </c>
      <c r="G370" s="2">
        <v>8.6831664600000007</v>
      </c>
      <c r="H370" s="2">
        <v>8.7488714900000009</v>
      </c>
      <c r="J370" t="str">
        <f t="shared" si="8"/>
        <v>8.72 (8.68 to 8.75)</v>
      </c>
    </row>
    <row r="371" spans="1:15" ht="17.25" thickBot="1" x14ac:dyDescent="0.35">
      <c r="A371" s="6"/>
      <c r="B371" s="3">
        <v>2</v>
      </c>
      <c r="C371" s="11" t="s">
        <v>114</v>
      </c>
      <c r="D371" s="2">
        <v>1481</v>
      </c>
      <c r="E371" s="2">
        <v>8.7265999999999995</v>
      </c>
      <c r="F371" s="2">
        <v>2.2617999999999999E-2</v>
      </c>
      <c r="G371" s="2">
        <v>8.68225026</v>
      </c>
      <c r="H371" s="2">
        <v>8.7709494699999997</v>
      </c>
      <c r="J371" t="str">
        <f t="shared" si="8"/>
        <v>8.73 (8.68 to 8.77)</v>
      </c>
    </row>
    <row r="372" spans="1:15" ht="17.25" thickBot="1" x14ac:dyDescent="0.35">
      <c r="A372" s="6"/>
      <c r="B372" s="3">
        <v>3</v>
      </c>
      <c r="C372" s="11" t="s">
        <v>114</v>
      </c>
      <c r="D372" s="2">
        <v>3868</v>
      </c>
      <c r="E372" s="2">
        <v>8.6030820000000006</v>
      </c>
      <c r="F372" s="2">
        <v>1.3723000000000001E-2</v>
      </c>
      <c r="G372" s="2">
        <v>8.5761724400000006</v>
      </c>
      <c r="H372" s="2">
        <v>8.6299908100000007</v>
      </c>
      <c r="J372" t="str">
        <f t="shared" si="8"/>
        <v>8.60 (8.58 to 8.63)</v>
      </c>
    </row>
    <row r="373" spans="1:15" ht="17.25" thickBot="1" x14ac:dyDescent="0.35">
      <c r="A373" s="6"/>
      <c r="B373" s="3">
        <v>4</v>
      </c>
      <c r="C373" s="11" t="s">
        <v>114</v>
      </c>
      <c r="D373" s="2">
        <v>5262</v>
      </c>
      <c r="E373" s="2">
        <v>8.4449629999999996</v>
      </c>
      <c r="F373" s="2">
        <v>1.1283E-2</v>
      </c>
      <c r="G373" s="2">
        <v>8.4228399599999992</v>
      </c>
      <c r="H373" s="2">
        <v>8.4670863199999999</v>
      </c>
      <c r="J373" t="str">
        <f t="shared" si="8"/>
        <v>8.44 (8.42 to 8.47)</v>
      </c>
    </row>
    <row r="374" spans="1:15" ht="17.25" thickBot="1" x14ac:dyDescent="0.35">
      <c r="A374" s="6">
        <v>3</v>
      </c>
      <c r="B374" s="3">
        <v>1</v>
      </c>
      <c r="C374" s="11" t="s">
        <v>114</v>
      </c>
      <c r="D374" s="2">
        <v>1862</v>
      </c>
      <c r="E374" s="2">
        <v>8.7918210000000006</v>
      </c>
      <c r="F374" s="2">
        <v>1.9557999999999999E-2</v>
      </c>
      <c r="G374" s="2">
        <v>8.75347176</v>
      </c>
      <c r="H374" s="2">
        <v>8.8301698500000008</v>
      </c>
      <c r="J374" t="str">
        <f t="shared" si="8"/>
        <v>8.79 (8.75 to 8.83)</v>
      </c>
    </row>
    <row r="375" spans="1:15" ht="17.25" thickBot="1" x14ac:dyDescent="0.35">
      <c r="A375" s="6"/>
      <c r="B375" s="3">
        <v>2</v>
      </c>
      <c r="C375" s="11" t="s">
        <v>114</v>
      </c>
      <c r="D375" s="2">
        <v>1253</v>
      </c>
      <c r="E375" s="2">
        <v>8.7668870000000005</v>
      </c>
      <c r="F375" s="2">
        <v>2.3338000000000001E-2</v>
      </c>
      <c r="G375" s="2">
        <v>8.7211259699999992</v>
      </c>
      <c r="H375" s="2">
        <v>8.8126476999999994</v>
      </c>
      <c r="J375" t="str">
        <f t="shared" si="8"/>
        <v>8.77 (8.72 to 8.81)</v>
      </c>
    </row>
    <row r="376" spans="1:15" ht="17.25" thickBot="1" x14ac:dyDescent="0.35">
      <c r="A376" s="6"/>
      <c r="B376" s="3">
        <v>3</v>
      </c>
      <c r="C376" s="11" t="s">
        <v>114</v>
      </c>
      <c r="D376" s="2">
        <v>3362</v>
      </c>
      <c r="E376" s="2">
        <v>8.6523769999999995</v>
      </c>
      <c r="F376" s="2">
        <v>1.3606999999999999E-2</v>
      </c>
      <c r="G376" s="2">
        <v>8.6256962999999995</v>
      </c>
      <c r="H376" s="2">
        <v>8.6790572699999995</v>
      </c>
      <c r="J376" t="str">
        <f t="shared" si="8"/>
        <v>8.65 (8.63 to 8.68)</v>
      </c>
    </row>
    <row r="377" spans="1:15" ht="17.25" thickBot="1" x14ac:dyDescent="0.35">
      <c r="A377" s="6"/>
      <c r="B377" s="3">
        <v>4</v>
      </c>
      <c r="C377" s="11" t="s">
        <v>114</v>
      </c>
      <c r="D377" s="2">
        <v>4998</v>
      </c>
      <c r="E377" s="2">
        <v>8.4760399999999994</v>
      </c>
      <c r="F377" s="2">
        <v>1.0959E-2</v>
      </c>
      <c r="G377" s="2">
        <v>8.4545517500000003</v>
      </c>
      <c r="H377" s="2">
        <v>8.4975274699999996</v>
      </c>
      <c r="J377" t="str">
        <f t="shared" si="8"/>
        <v>8.48 (8.45 to 8.50)</v>
      </c>
    </row>
    <row r="378" spans="1:15" ht="17.25" thickBot="1" x14ac:dyDescent="0.35">
      <c r="A378" s="6">
        <v>4</v>
      </c>
      <c r="B378" s="3">
        <v>1</v>
      </c>
      <c r="C378" s="11" t="s">
        <v>114</v>
      </c>
      <c r="D378" s="2">
        <v>2027</v>
      </c>
      <c r="E378" s="2">
        <v>8.7533759999999994</v>
      </c>
      <c r="F378" s="2">
        <v>1.8199E-2</v>
      </c>
      <c r="G378" s="2">
        <v>8.7176918000000008</v>
      </c>
      <c r="H378" s="2">
        <v>8.7890598099999995</v>
      </c>
      <c r="J378" t="str">
        <f t="shared" si="8"/>
        <v>8.75 (8.72 to 8.79)</v>
      </c>
    </row>
    <row r="379" spans="1:15" ht="17.25" thickBot="1" x14ac:dyDescent="0.35">
      <c r="A379" s="6"/>
      <c r="B379" s="3">
        <v>2</v>
      </c>
      <c r="C379" s="11" t="s">
        <v>114</v>
      </c>
      <c r="D379" s="2">
        <v>1440</v>
      </c>
      <c r="E379" s="2">
        <v>8.7749500000000005</v>
      </c>
      <c r="F379" s="2">
        <v>2.1048000000000001E-2</v>
      </c>
      <c r="G379" s="2">
        <v>8.7336790099999995</v>
      </c>
      <c r="H379" s="2">
        <v>8.8162201200000005</v>
      </c>
      <c r="J379" t="str">
        <f t="shared" si="8"/>
        <v>8.77 (8.73 to 8.82)</v>
      </c>
    </row>
    <row r="380" spans="1:15" ht="17.25" thickBot="1" x14ac:dyDescent="0.35">
      <c r="A380" s="6"/>
      <c r="B380" s="3">
        <v>3</v>
      </c>
      <c r="C380" s="11" t="s">
        <v>114</v>
      </c>
      <c r="D380" s="2">
        <v>3929</v>
      </c>
      <c r="E380" s="2">
        <v>8.6838870000000004</v>
      </c>
      <c r="F380" s="2">
        <v>1.3946999999999999E-2</v>
      </c>
      <c r="G380" s="2">
        <v>8.6565393499999992</v>
      </c>
      <c r="H380" s="2">
        <v>8.7112354399999994</v>
      </c>
      <c r="J380" t="str">
        <f t="shared" si="8"/>
        <v>8.68 (8.66 to 8.71)</v>
      </c>
    </row>
    <row r="381" spans="1:15" ht="17.25" thickBot="1" x14ac:dyDescent="0.35">
      <c r="A381" s="6"/>
      <c r="B381" s="3">
        <v>4</v>
      </c>
      <c r="C381" s="11" t="s">
        <v>114</v>
      </c>
      <c r="D381" s="2">
        <v>6762</v>
      </c>
      <c r="E381" s="2">
        <v>8.5205870000000008</v>
      </c>
      <c r="F381" s="2">
        <v>9.8150000000000008E-3</v>
      </c>
      <c r="G381" s="2">
        <v>8.5013417499999999</v>
      </c>
      <c r="H381" s="2">
        <v>8.5398327799999993</v>
      </c>
      <c r="J381" t="str">
        <f t="shared" si="8"/>
        <v>8.52 (8.50 to 8.54)</v>
      </c>
    </row>
    <row r="382" spans="1:15" ht="17.25" thickBot="1" x14ac:dyDescent="0.35">
      <c r="A382" s="6">
        <v>5</v>
      </c>
      <c r="B382" s="3">
        <v>1</v>
      </c>
      <c r="C382" s="11" t="s">
        <v>114</v>
      </c>
      <c r="D382" s="2">
        <v>1623</v>
      </c>
      <c r="E382" s="2">
        <v>8.7232710000000004</v>
      </c>
      <c r="F382" s="2">
        <v>1.8343999999999999E-2</v>
      </c>
      <c r="G382" s="2">
        <v>8.6873012599999999</v>
      </c>
      <c r="H382" s="2">
        <v>8.7592410800000007</v>
      </c>
      <c r="J382" t="str">
        <f t="shared" si="8"/>
        <v>8.72 (8.69 to 8.76)</v>
      </c>
    </row>
    <row r="383" spans="1:15" ht="17.25" thickBot="1" x14ac:dyDescent="0.35">
      <c r="A383" s="6"/>
      <c r="B383" s="3">
        <v>2</v>
      </c>
      <c r="C383" s="11" t="s">
        <v>114</v>
      </c>
      <c r="D383" s="2">
        <v>1268</v>
      </c>
      <c r="E383" s="2">
        <v>8.7289600000000007</v>
      </c>
      <c r="F383" s="2">
        <v>2.1749999999999999E-2</v>
      </c>
      <c r="G383" s="2">
        <v>8.6863119300000005</v>
      </c>
      <c r="H383" s="2">
        <v>8.7716086299999994</v>
      </c>
      <c r="J383" t="str">
        <f t="shared" si="8"/>
        <v>8.73 (8.69 to 8.77)</v>
      </c>
    </row>
    <row r="384" spans="1:15" ht="17.25" thickBot="1" x14ac:dyDescent="0.35">
      <c r="A384" s="6"/>
      <c r="B384" s="3">
        <v>3</v>
      </c>
      <c r="C384" s="11" t="s">
        <v>114</v>
      </c>
      <c r="D384" s="2">
        <v>3878</v>
      </c>
      <c r="E384" s="2">
        <v>8.6747540000000001</v>
      </c>
      <c r="F384" s="2">
        <v>1.358E-2</v>
      </c>
      <c r="G384" s="2">
        <v>8.6481264800000002</v>
      </c>
      <c r="H384" s="2">
        <v>8.7013806500000008</v>
      </c>
      <c r="J384" t="str">
        <f t="shared" si="8"/>
        <v>8.67 (8.65 to 8.70)</v>
      </c>
    </row>
    <row r="385" spans="1:10" ht="17.25" thickBot="1" x14ac:dyDescent="0.35">
      <c r="A385" s="6"/>
      <c r="B385" s="3">
        <v>4</v>
      </c>
      <c r="C385" s="11" t="s">
        <v>114</v>
      </c>
      <c r="D385" s="2">
        <v>6786</v>
      </c>
      <c r="E385" s="2">
        <v>8.5042609999999996</v>
      </c>
      <c r="F385" s="2">
        <v>9.5049999999999996E-3</v>
      </c>
      <c r="G385" s="2">
        <v>8.4856243399999993</v>
      </c>
      <c r="H385" s="2">
        <v>8.5228976000000003</v>
      </c>
      <c r="J385" t="str">
        <f t="shared" si="8"/>
        <v>8.50 (8.49 to 8.52)</v>
      </c>
    </row>
    <row r="386" spans="1:10" ht="17.25" thickBot="1" x14ac:dyDescent="0.35">
      <c r="A386" s="6">
        <v>6</v>
      </c>
      <c r="B386" s="3">
        <v>1</v>
      </c>
      <c r="C386" s="11" t="s">
        <v>114</v>
      </c>
      <c r="D386" s="2">
        <v>478</v>
      </c>
      <c r="E386" s="2">
        <v>8.6696860000000004</v>
      </c>
      <c r="F386" s="2">
        <v>2.7323E-2</v>
      </c>
      <c r="G386" s="2">
        <v>8.6161111399999992</v>
      </c>
      <c r="H386" s="2">
        <v>8.7232605400000001</v>
      </c>
      <c r="J386" t="str">
        <f t="shared" si="8"/>
        <v>8.67 (8.62 to 8.72)</v>
      </c>
    </row>
    <row r="387" spans="1:10" ht="17.25" thickBot="1" x14ac:dyDescent="0.35">
      <c r="A387" s="6"/>
      <c r="B387" s="3">
        <v>2</v>
      </c>
      <c r="C387" s="11" t="s">
        <v>114</v>
      </c>
      <c r="D387" s="2">
        <v>440</v>
      </c>
      <c r="E387" s="2">
        <v>8.6874040000000008</v>
      </c>
      <c r="F387" s="2">
        <v>2.6061000000000001E-2</v>
      </c>
      <c r="G387" s="2">
        <v>8.6363039300000004</v>
      </c>
      <c r="H387" s="2">
        <v>8.7385047900000004</v>
      </c>
      <c r="J387" t="str">
        <f t="shared" si="8"/>
        <v>8.69 (8.64 to 8.74)</v>
      </c>
    </row>
    <row r="388" spans="1:10" ht="17.25" thickBot="1" x14ac:dyDescent="0.35">
      <c r="A388" s="6"/>
      <c r="B388" s="3">
        <v>3</v>
      </c>
      <c r="C388" s="11" t="s">
        <v>114</v>
      </c>
      <c r="D388" s="2">
        <v>1227</v>
      </c>
      <c r="E388" s="2">
        <v>8.6814999999999998</v>
      </c>
      <c r="F388" s="2">
        <v>1.8859000000000001E-2</v>
      </c>
      <c r="G388" s="2">
        <v>8.6445216800000004</v>
      </c>
      <c r="H388" s="2">
        <v>8.7184778999999999</v>
      </c>
      <c r="J388" t="str">
        <f t="shared" si="8"/>
        <v>8.68 (8.64 to 8.72)</v>
      </c>
    </row>
    <row r="389" spans="1:10" x14ac:dyDescent="0.3">
      <c r="A389" s="6"/>
      <c r="B389" s="3">
        <v>4</v>
      </c>
      <c r="C389" s="14" t="s">
        <v>114</v>
      </c>
      <c r="D389" s="2">
        <v>2271</v>
      </c>
      <c r="E389" s="2">
        <v>8.5337080000000007</v>
      </c>
      <c r="F389" s="2">
        <v>1.5751000000000001E-2</v>
      </c>
      <c r="G389" s="2">
        <v>8.5028229</v>
      </c>
      <c r="H389" s="2">
        <v>8.5645925399999996</v>
      </c>
      <c r="J389" t="str">
        <f t="shared" si="8"/>
        <v>8.53 (8.50 to 8.56)</v>
      </c>
    </row>
    <row r="393" spans="1:10" x14ac:dyDescent="0.3">
      <c r="A393" s="1" t="s">
        <v>237</v>
      </c>
    </row>
    <row r="395" spans="1:10" x14ac:dyDescent="0.3">
      <c r="A395" s="1" t="s">
        <v>1</v>
      </c>
    </row>
    <row r="396" spans="1:10" ht="17.25" thickBot="1" x14ac:dyDescent="0.35"/>
    <row r="397" spans="1:10" ht="16.5" customHeight="1" x14ac:dyDescent="0.3">
      <c r="A397" s="16" t="s">
        <v>135</v>
      </c>
      <c r="B397" s="18"/>
    </row>
    <row r="398" spans="1:10" ht="26.25" thickBot="1" x14ac:dyDescent="0.35">
      <c r="A398" s="12" t="s">
        <v>136</v>
      </c>
      <c r="B398" s="2">
        <v>183</v>
      </c>
    </row>
    <row r="399" spans="1:10" ht="26.25" thickBot="1" x14ac:dyDescent="0.35">
      <c r="A399" s="12" t="s">
        <v>137</v>
      </c>
      <c r="B399" s="2">
        <v>2949</v>
      </c>
    </row>
    <row r="400" spans="1:10" ht="39" thickBot="1" x14ac:dyDescent="0.35">
      <c r="A400" s="12" t="s">
        <v>138</v>
      </c>
      <c r="B400" s="2">
        <v>23222</v>
      </c>
    </row>
    <row r="401" spans="1:6" ht="25.5" x14ac:dyDescent="0.3">
      <c r="A401" s="13" t="s">
        <v>139</v>
      </c>
      <c r="B401" s="2">
        <v>9036880.5199999996</v>
      </c>
    </row>
    <row r="402" spans="1:6" ht="17.25" thickBot="1" x14ac:dyDescent="0.35"/>
    <row r="403" spans="1:6" ht="33" customHeight="1" x14ac:dyDescent="0.3">
      <c r="A403" s="16" t="s">
        <v>140</v>
      </c>
      <c r="B403" s="18"/>
    </row>
    <row r="404" spans="1:6" ht="33.75" thickBot="1" x14ac:dyDescent="0.35">
      <c r="A404" s="12" t="s">
        <v>141</v>
      </c>
      <c r="B404" s="2" t="s">
        <v>142</v>
      </c>
    </row>
    <row r="405" spans="1:6" ht="25.5" x14ac:dyDescent="0.3">
      <c r="A405" s="13" t="s">
        <v>143</v>
      </c>
      <c r="B405" s="2" t="s">
        <v>144</v>
      </c>
    </row>
    <row r="406" spans="1:6" ht="17.25" thickBot="1" x14ac:dyDescent="0.35"/>
    <row r="407" spans="1:6" ht="16.5" customHeight="1" x14ac:dyDescent="0.3">
      <c r="A407" s="16" t="s">
        <v>238</v>
      </c>
      <c r="B407" s="18"/>
      <c r="C407" s="18"/>
      <c r="D407" s="18"/>
      <c r="E407" s="18"/>
      <c r="F407" s="18"/>
    </row>
    <row r="408" spans="1:6" x14ac:dyDescent="0.3">
      <c r="A408" s="17" t="s">
        <v>239</v>
      </c>
      <c r="B408" s="19" t="s">
        <v>94</v>
      </c>
      <c r="C408" s="19" t="s">
        <v>240</v>
      </c>
      <c r="D408" s="3" t="s">
        <v>241</v>
      </c>
      <c r="E408" s="19" t="s">
        <v>243</v>
      </c>
      <c r="F408" s="19"/>
    </row>
    <row r="409" spans="1:6" x14ac:dyDescent="0.3">
      <c r="A409" s="17"/>
      <c r="B409" s="19"/>
      <c r="C409" s="19"/>
      <c r="D409" s="3" t="s">
        <v>242</v>
      </c>
      <c r="E409" s="19"/>
      <c r="F409" s="19"/>
    </row>
    <row r="410" spans="1:6" x14ac:dyDescent="0.3">
      <c r="A410" s="13" t="s">
        <v>114</v>
      </c>
      <c r="B410" s="2">
        <v>23222</v>
      </c>
      <c r="C410" s="2">
        <v>8.4582850000000001</v>
      </c>
      <c r="D410" s="2">
        <v>5.8770000000000003E-3</v>
      </c>
      <c r="E410" s="2">
        <v>8.4467599599999996</v>
      </c>
      <c r="F410" s="2">
        <v>8.4698092999999997</v>
      </c>
    </row>
    <row r="414" spans="1:6" x14ac:dyDescent="0.3">
      <c r="A414" s="1" t="s">
        <v>237</v>
      </c>
    </row>
    <row r="416" spans="1:6" x14ac:dyDescent="0.3">
      <c r="A416" s="1" t="s">
        <v>1</v>
      </c>
    </row>
    <row r="417" spans="1:8" ht="17.25" thickBot="1" x14ac:dyDescent="0.35"/>
    <row r="418" spans="1:8" ht="16.5" customHeight="1" x14ac:dyDescent="0.3">
      <c r="A418" s="16" t="s">
        <v>254</v>
      </c>
      <c r="B418" s="18"/>
      <c r="C418" s="18"/>
      <c r="D418" s="18"/>
      <c r="E418" s="18"/>
      <c r="F418" s="18"/>
      <c r="G418" s="18"/>
      <c r="H418" s="18"/>
    </row>
    <row r="419" spans="1:8" x14ac:dyDescent="0.3">
      <c r="A419" s="17" t="s">
        <v>249</v>
      </c>
      <c r="B419" s="19" t="s">
        <v>9</v>
      </c>
      <c r="C419" s="19" t="s">
        <v>239</v>
      </c>
      <c r="D419" s="19" t="s">
        <v>94</v>
      </c>
      <c r="E419" s="19" t="s">
        <v>240</v>
      </c>
      <c r="F419" s="3" t="s">
        <v>241</v>
      </c>
      <c r="G419" s="19" t="s">
        <v>243</v>
      </c>
      <c r="H419" s="19"/>
    </row>
    <row r="420" spans="1:8" x14ac:dyDescent="0.3">
      <c r="A420" s="17"/>
      <c r="B420" s="19"/>
      <c r="C420" s="19"/>
      <c r="D420" s="19"/>
      <c r="E420" s="19"/>
      <c r="F420" s="3" t="s">
        <v>242</v>
      </c>
      <c r="G420" s="19"/>
      <c r="H420" s="19"/>
    </row>
    <row r="421" spans="1:8" ht="17.25" thickBot="1" x14ac:dyDescent="0.35">
      <c r="A421" s="6">
        <v>1</v>
      </c>
      <c r="B421" s="3">
        <v>1</v>
      </c>
      <c r="C421" s="11" t="s">
        <v>114</v>
      </c>
      <c r="D421" s="2">
        <v>1012</v>
      </c>
      <c r="E421" s="2">
        <v>8.6680510000000002</v>
      </c>
      <c r="F421" s="2">
        <v>2.8310999999999999E-2</v>
      </c>
      <c r="G421" s="2">
        <v>8.6125377200000006</v>
      </c>
      <c r="H421" s="2">
        <v>8.7235636900000006</v>
      </c>
    </row>
    <row r="422" spans="1:8" ht="17.25" thickBot="1" x14ac:dyDescent="0.35">
      <c r="A422" s="6"/>
      <c r="B422" s="3">
        <v>2</v>
      </c>
      <c r="C422" s="11" t="s">
        <v>114</v>
      </c>
      <c r="D422" s="2">
        <v>954</v>
      </c>
      <c r="E422" s="2">
        <v>8.5352960000000007</v>
      </c>
      <c r="F422" s="2">
        <v>3.0119E-2</v>
      </c>
      <c r="G422" s="2">
        <v>8.4762385299999998</v>
      </c>
      <c r="H422" s="2">
        <v>8.5943527100000008</v>
      </c>
    </row>
    <row r="423" spans="1:8" ht="17.25" thickBot="1" x14ac:dyDescent="0.35">
      <c r="A423" s="6"/>
      <c r="B423" s="3">
        <v>3</v>
      </c>
      <c r="C423" s="11" t="s">
        <v>114</v>
      </c>
      <c r="D423" s="2">
        <v>933</v>
      </c>
      <c r="E423" s="2">
        <v>8.4671690000000002</v>
      </c>
      <c r="F423" s="2">
        <v>2.6574E-2</v>
      </c>
      <c r="G423" s="2">
        <v>8.4150622599999991</v>
      </c>
      <c r="H423" s="2">
        <v>8.5192754399999995</v>
      </c>
    </row>
    <row r="424" spans="1:8" ht="17.25" thickBot="1" x14ac:dyDescent="0.35">
      <c r="A424" s="6"/>
      <c r="B424" s="3">
        <v>4</v>
      </c>
      <c r="C424" s="11" t="s">
        <v>114</v>
      </c>
      <c r="D424" s="2">
        <v>841</v>
      </c>
      <c r="E424" s="2">
        <v>8.4162850000000002</v>
      </c>
      <c r="F424" s="2">
        <v>2.7473999999999998E-2</v>
      </c>
      <c r="G424" s="2">
        <v>8.3624139100000008</v>
      </c>
      <c r="H424" s="2">
        <v>8.4701552499999995</v>
      </c>
    </row>
    <row r="425" spans="1:8" ht="17.25" thickBot="1" x14ac:dyDescent="0.35">
      <c r="A425" s="6">
        <v>2</v>
      </c>
      <c r="B425" s="3">
        <v>1</v>
      </c>
      <c r="C425" s="11" t="s">
        <v>114</v>
      </c>
      <c r="D425" s="2">
        <v>1063</v>
      </c>
      <c r="E425" s="2">
        <v>8.4774239999999992</v>
      </c>
      <c r="F425" s="2">
        <v>2.7326E-2</v>
      </c>
      <c r="G425" s="2">
        <v>8.4238426200000003</v>
      </c>
      <c r="H425" s="2">
        <v>8.5310062999999996</v>
      </c>
    </row>
    <row r="426" spans="1:8" ht="17.25" thickBot="1" x14ac:dyDescent="0.35">
      <c r="A426" s="6"/>
      <c r="B426" s="3">
        <v>2</v>
      </c>
      <c r="C426" s="11" t="s">
        <v>114</v>
      </c>
      <c r="D426" s="2">
        <v>1221</v>
      </c>
      <c r="E426" s="2">
        <v>8.366422</v>
      </c>
      <c r="F426" s="2">
        <v>2.3525000000000001E-2</v>
      </c>
      <c r="G426" s="2">
        <v>8.3202946699999991</v>
      </c>
      <c r="H426" s="2">
        <v>8.4125494199999995</v>
      </c>
    </row>
    <row r="427" spans="1:8" ht="17.25" thickBot="1" x14ac:dyDescent="0.35">
      <c r="A427" s="6"/>
      <c r="B427" s="3">
        <v>3</v>
      </c>
      <c r="C427" s="11" t="s">
        <v>114</v>
      </c>
      <c r="D427" s="2">
        <v>1211</v>
      </c>
      <c r="E427" s="2">
        <v>8.3296729999999997</v>
      </c>
      <c r="F427" s="2">
        <v>2.4655E-2</v>
      </c>
      <c r="G427" s="2">
        <v>8.2813288600000003</v>
      </c>
      <c r="H427" s="2">
        <v>8.3780176300000004</v>
      </c>
    </row>
    <row r="428" spans="1:8" ht="17.25" thickBot="1" x14ac:dyDescent="0.35">
      <c r="A428" s="6"/>
      <c r="B428" s="3">
        <v>4</v>
      </c>
      <c r="C428" s="11" t="s">
        <v>114</v>
      </c>
      <c r="D428" s="2">
        <v>1237</v>
      </c>
      <c r="E428" s="2">
        <v>8.2842389999999995</v>
      </c>
      <c r="F428" s="2">
        <v>2.3723000000000001E-2</v>
      </c>
      <c r="G428" s="2">
        <v>8.2377226700000001</v>
      </c>
      <c r="H428" s="2">
        <v>8.3307555099999995</v>
      </c>
    </row>
    <row r="429" spans="1:8" ht="17.25" thickBot="1" x14ac:dyDescent="0.35">
      <c r="A429" s="6">
        <v>3</v>
      </c>
      <c r="B429" s="3">
        <v>1</v>
      </c>
      <c r="C429" s="11" t="s">
        <v>114</v>
      </c>
      <c r="D429" s="2">
        <v>947</v>
      </c>
      <c r="E429" s="2">
        <v>8.6694680000000002</v>
      </c>
      <c r="F429" s="2">
        <v>2.8511000000000002E-2</v>
      </c>
      <c r="G429" s="2">
        <v>8.6135630299999999</v>
      </c>
      <c r="H429" s="2">
        <v>8.7253724600000009</v>
      </c>
    </row>
    <row r="430" spans="1:8" ht="17.25" thickBot="1" x14ac:dyDescent="0.35">
      <c r="A430" s="6"/>
      <c r="B430" s="3">
        <v>2</v>
      </c>
      <c r="C430" s="11" t="s">
        <v>114</v>
      </c>
      <c r="D430" s="2">
        <v>1133</v>
      </c>
      <c r="E430" s="2">
        <v>8.4475420000000003</v>
      </c>
      <c r="F430" s="2">
        <v>2.4105999999999999E-2</v>
      </c>
      <c r="G430" s="2">
        <v>8.4002751100000008</v>
      </c>
      <c r="H430" s="2">
        <v>8.4948097899999997</v>
      </c>
    </row>
    <row r="431" spans="1:8" ht="17.25" thickBot="1" x14ac:dyDescent="0.35">
      <c r="A431" s="6"/>
      <c r="B431" s="3">
        <v>3</v>
      </c>
      <c r="C431" s="11" t="s">
        <v>114</v>
      </c>
      <c r="D431" s="2">
        <v>1170</v>
      </c>
      <c r="E431" s="2">
        <v>8.4178540000000002</v>
      </c>
      <c r="F431" s="2">
        <v>2.4523E-2</v>
      </c>
      <c r="G431" s="2">
        <v>8.36976795</v>
      </c>
      <c r="H431" s="2">
        <v>8.4659398800000005</v>
      </c>
    </row>
    <row r="432" spans="1:8" ht="17.25" thickBot="1" x14ac:dyDescent="0.35">
      <c r="A432" s="6"/>
      <c r="B432" s="3">
        <v>4</v>
      </c>
      <c r="C432" s="11" t="s">
        <v>114</v>
      </c>
      <c r="D432" s="2">
        <v>1007</v>
      </c>
      <c r="E432" s="2">
        <v>8.3754609999999996</v>
      </c>
      <c r="F432" s="2">
        <v>2.5957000000000001E-2</v>
      </c>
      <c r="G432" s="2">
        <v>8.3245635700000005</v>
      </c>
      <c r="H432" s="2">
        <v>8.4263585800000005</v>
      </c>
    </row>
    <row r="433" spans="1:8" ht="17.25" thickBot="1" x14ac:dyDescent="0.35">
      <c r="A433" s="6">
        <v>4</v>
      </c>
      <c r="B433" s="3">
        <v>1</v>
      </c>
      <c r="C433" s="11" t="s">
        <v>114</v>
      </c>
      <c r="D433" s="2">
        <v>1066</v>
      </c>
      <c r="E433" s="2">
        <v>8.6720570000000006</v>
      </c>
      <c r="F433" s="2">
        <v>2.8052000000000001E-2</v>
      </c>
      <c r="G433" s="2">
        <v>8.6170527900000007</v>
      </c>
      <c r="H433" s="2">
        <v>8.7270616499999996</v>
      </c>
    </row>
    <row r="434" spans="1:8" ht="17.25" thickBot="1" x14ac:dyDescent="0.35">
      <c r="A434" s="6"/>
      <c r="B434" s="3">
        <v>2</v>
      </c>
      <c r="C434" s="11" t="s">
        <v>114</v>
      </c>
      <c r="D434" s="2">
        <v>1087</v>
      </c>
      <c r="E434" s="2">
        <v>8.5163320000000002</v>
      </c>
      <c r="F434" s="2">
        <v>2.5354000000000002E-2</v>
      </c>
      <c r="G434" s="2">
        <v>8.4666166300000008</v>
      </c>
      <c r="H434" s="2">
        <v>8.5660477999999998</v>
      </c>
    </row>
    <row r="435" spans="1:8" ht="17.25" thickBot="1" x14ac:dyDescent="0.35">
      <c r="A435" s="6"/>
      <c r="B435" s="3">
        <v>3</v>
      </c>
      <c r="C435" s="11" t="s">
        <v>114</v>
      </c>
      <c r="D435" s="2">
        <v>1178</v>
      </c>
      <c r="E435" s="2">
        <v>8.4072680000000002</v>
      </c>
      <c r="F435" s="2">
        <v>2.2723E-2</v>
      </c>
      <c r="G435" s="2">
        <v>8.3627132500000005</v>
      </c>
      <c r="H435" s="2">
        <v>8.4518232999999992</v>
      </c>
    </row>
    <row r="436" spans="1:8" ht="17.25" thickBot="1" x14ac:dyDescent="0.35">
      <c r="A436" s="6"/>
      <c r="B436" s="3">
        <v>4</v>
      </c>
      <c r="C436" s="11" t="s">
        <v>114</v>
      </c>
      <c r="D436" s="2">
        <v>1225</v>
      </c>
      <c r="E436" s="2">
        <v>8.3974340000000005</v>
      </c>
      <c r="F436" s="2">
        <v>2.5755E-2</v>
      </c>
      <c r="G436" s="2">
        <v>8.3469340499999998</v>
      </c>
      <c r="H436" s="2">
        <v>8.4479343</v>
      </c>
    </row>
    <row r="437" spans="1:8" ht="17.25" thickBot="1" x14ac:dyDescent="0.35">
      <c r="A437" s="6">
        <v>5</v>
      </c>
      <c r="B437" s="3">
        <v>1</v>
      </c>
      <c r="C437" s="11" t="s">
        <v>114</v>
      </c>
      <c r="D437" s="2">
        <v>1217</v>
      </c>
      <c r="E437" s="2">
        <v>8.6041519999999991</v>
      </c>
      <c r="F437" s="2">
        <v>2.4523E-2</v>
      </c>
      <c r="G437" s="2">
        <v>8.5560663600000009</v>
      </c>
      <c r="H437" s="2">
        <v>8.6522385499999999</v>
      </c>
    </row>
    <row r="438" spans="1:8" ht="17.25" thickBot="1" x14ac:dyDescent="0.35">
      <c r="A438" s="6"/>
      <c r="B438" s="3">
        <v>2</v>
      </c>
      <c r="C438" s="11" t="s">
        <v>114</v>
      </c>
      <c r="D438" s="2">
        <v>1235</v>
      </c>
      <c r="E438" s="2">
        <v>8.4881440000000001</v>
      </c>
      <c r="F438" s="2">
        <v>2.4416E-2</v>
      </c>
      <c r="G438" s="2">
        <v>8.4402690600000003</v>
      </c>
      <c r="H438" s="2">
        <v>8.5360197499999995</v>
      </c>
    </row>
    <row r="439" spans="1:8" ht="17.25" thickBot="1" x14ac:dyDescent="0.35">
      <c r="A439" s="6"/>
      <c r="B439" s="3">
        <v>3</v>
      </c>
      <c r="C439" s="11" t="s">
        <v>114</v>
      </c>
      <c r="D439" s="2">
        <v>1075</v>
      </c>
      <c r="E439" s="2">
        <v>8.430555</v>
      </c>
      <c r="F439" s="2">
        <v>2.3682999999999999E-2</v>
      </c>
      <c r="G439" s="2">
        <v>8.3841170799999993</v>
      </c>
      <c r="H439" s="2">
        <v>8.4769936399999999</v>
      </c>
    </row>
    <row r="440" spans="1:8" ht="17.25" thickBot="1" x14ac:dyDescent="0.35">
      <c r="A440" s="6"/>
      <c r="B440" s="3">
        <v>4</v>
      </c>
      <c r="C440" s="11" t="s">
        <v>114</v>
      </c>
      <c r="D440" s="2">
        <v>974</v>
      </c>
      <c r="E440" s="2">
        <v>8.3996289999999991</v>
      </c>
      <c r="F440" s="2">
        <v>2.6206E-2</v>
      </c>
      <c r="G440" s="2">
        <v>8.3482438200000004</v>
      </c>
      <c r="H440" s="2">
        <v>8.4510148699999998</v>
      </c>
    </row>
    <row r="441" spans="1:8" ht="17.25" thickBot="1" x14ac:dyDescent="0.35">
      <c r="A441" s="6">
        <v>6</v>
      </c>
      <c r="B441" s="3">
        <v>1</v>
      </c>
      <c r="C441" s="11" t="s">
        <v>114</v>
      </c>
      <c r="D441" s="2">
        <v>351</v>
      </c>
      <c r="E441" s="2">
        <v>8.6321589999999997</v>
      </c>
      <c r="F441" s="2">
        <v>3.8764E-2</v>
      </c>
      <c r="G441" s="2">
        <v>8.5561495700000005</v>
      </c>
      <c r="H441" s="2">
        <v>8.7081675399999998</v>
      </c>
    </row>
    <row r="442" spans="1:8" ht="17.25" thickBot="1" x14ac:dyDescent="0.35">
      <c r="A442" s="6"/>
      <c r="B442" s="3">
        <v>2</v>
      </c>
      <c r="C442" s="11" t="s">
        <v>114</v>
      </c>
      <c r="D442" s="2">
        <v>371</v>
      </c>
      <c r="E442" s="2">
        <v>8.4873849999999997</v>
      </c>
      <c r="F442" s="2">
        <v>3.8254999999999997E-2</v>
      </c>
      <c r="G442" s="2">
        <v>8.4123737500000004</v>
      </c>
      <c r="H442" s="2">
        <v>8.5623970200000006</v>
      </c>
    </row>
    <row r="443" spans="1:8" ht="17.25" thickBot="1" x14ac:dyDescent="0.35">
      <c r="A443" s="6"/>
      <c r="B443" s="3">
        <v>3</v>
      </c>
      <c r="C443" s="11" t="s">
        <v>114</v>
      </c>
      <c r="D443" s="2">
        <v>377</v>
      </c>
      <c r="E443" s="2">
        <v>8.4143570000000008</v>
      </c>
      <c r="F443" s="2">
        <v>2.9166000000000001E-2</v>
      </c>
      <c r="G443" s="2">
        <v>8.3571678400000007</v>
      </c>
      <c r="H443" s="2">
        <v>8.4715461699999999</v>
      </c>
    </row>
    <row r="444" spans="1:8" x14ac:dyDescent="0.3">
      <c r="A444" s="6"/>
      <c r="B444" s="3">
        <v>4</v>
      </c>
      <c r="C444" s="14" t="s">
        <v>114</v>
      </c>
      <c r="D444" s="2">
        <v>337</v>
      </c>
      <c r="E444" s="2">
        <v>8.4563880000000005</v>
      </c>
      <c r="F444" s="2">
        <v>3.6438999999999999E-2</v>
      </c>
      <c r="G444" s="2">
        <v>8.3849378600000009</v>
      </c>
      <c r="H444" s="2">
        <v>8.5278377899999995</v>
      </c>
    </row>
    <row r="448" spans="1:8" x14ac:dyDescent="0.3">
      <c r="A448" s="1" t="s">
        <v>237</v>
      </c>
    </row>
    <row r="450" spans="1:6" x14ac:dyDescent="0.3">
      <c r="A450" s="1" t="s">
        <v>21</v>
      </c>
    </row>
    <row r="451" spans="1:6" ht="17.25" thickBot="1" x14ac:dyDescent="0.35"/>
    <row r="452" spans="1:6" ht="16.5" customHeight="1" x14ac:dyDescent="0.3">
      <c r="A452" s="16" t="s">
        <v>135</v>
      </c>
      <c r="B452" s="18"/>
    </row>
    <row r="453" spans="1:6" ht="26.25" thickBot="1" x14ac:dyDescent="0.35">
      <c r="A453" s="12" t="s">
        <v>136</v>
      </c>
      <c r="B453" s="2">
        <v>183</v>
      </c>
    </row>
    <row r="454" spans="1:6" ht="26.25" thickBot="1" x14ac:dyDescent="0.35">
      <c r="A454" s="12" t="s">
        <v>137</v>
      </c>
      <c r="B454" s="2">
        <v>2982</v>
      </c>
    </row>
    <row r="455" spans="1:6" ht="39" thickBot="1" x14ac:dyDescent="0.35">
      <c r="A455" s="12" t="s">
        <v>138</v>
      </c>
      <c r="B455" s="2">
        <v>68635</v>
      </c>
    </row>
    <row r="456" spans="1:6" ht="25.5" x14ac:dyDescent="0.3">
      <c r="A456" s="13" t="s">
        <v>139</v>
      </c>
      <c r="B456" s="2">
        <v>30251935.699999999</v>
      </c>
    </row>
    <row r="457" spans="1:6" ht="17.25" thickBot="1" x14ac:dyDescent="0.35"/>
    <row r="458" spans="1:6" ht="33" customHeight="1" x14ac:dyDescent="0.3">
      <c r="A458" s="16" t="s">
        <v>140</v>
      </c>
      <c r="B458" s="18"/>
    </row>
    <row r="459" spans="1:6" ht="33.75" thickBot="1" x14ac:dyDescent="0.35">
      <c r="A459" s="12" t="s">
        <v>141</v>
      </c>
      <c r="B459" s="2" t="s">
        <v>142</v>
      </c>
    </row>
    <row r="460" spans="1:6" ht="25.5" x14ac:dyDescent="0.3">
      <c r="A460" s="13" t="s">
        <v>143</v>
      </c>
      <c r="B460" s="2" t="s">
        <v>144</v>
      </c>
    </row>
    <row r="461" spans="1:6" ht="17.25" thickBot="1" x14ac:dyDescent="0.35"/>
    <row r="462" spans="1:6" ht="16.5" customHeight="1" x14ac:dyDescent="0.3">
      <c r="A462" s="16" t="s">
        <v>238</v>
      </c>
      <c r="B462" s="18"/>
      <c r="C462" s="18"/>
      <c r="D462" s="18"/>
      <c r="E462" s="18"/>
      <c r="F462" s="18"/>
    </row>
    <row r="463" spans="1:6" x14ac:dyDescent="0.3">
      <c r="A463" s="17" t="s">
        <v>239</v>
      </c>
      <c r="B463" s="19" t="s">
        <v>94</v>
      </c>
      <c r="C463" s="19" t="s">
        <v>240</v>
      </c>
      <c r="D463" s="3" t="s">
        <v>241</v>
      </c>
      <c r="E463" s="19" t="s">
        <v>243</v>
      </c>
      <c r="F463" s="19"/>
    </row>
    <row r="464" spans="1:6" x14ac:dyDescent="0.3">
      <c r="A464" s="17"/>
      <c r="B464" s="19"/>
      <c r="C464" s="19"/>
      <c r="D464" s="3" t="s">
        <v>242</v>
      </c>
      <c r="E464" s="19"/>
      <c r="F464" s="19"/>
    </row>
    <row r="465" spans="1:15" x14ac:dyDescent="0.3">
      <c r="A465" s="13" t="s">
        <v>114</v>
      </c>
      <c r="B465" s="2">
        <v>68635</v>
      </c>
      <c r="C465" s="2">
        <v>8.5827570000000009</v>
      </c>
      <c r="D465" s="2">
        <v>3.4259999999999998E-3</v>
      </c>
      <c r="E465" s="2">
        <v>8.5760384700000003</v>
      </c>
      <c r="F465" s="2">
        <v>8.58947489</v>
      </c>
    </row>
    <row r="469" spans="1:15" x14ac:dyDescent="0.3">
      <c r="A469" s="1" t="s">
        <v>237</v>
      </c>
    </row>
    <row r="471" spans="1:15" x14ac:dyDescent="0.3">
      <c r="A471" s="1" t="s">
        <v>21</v>
      </c>
    </row>
    <row r="472" spans="1:15" ht="17.25" thickBot="1" x14ac:dyDescent="0.35"/>
    <row r="473" spans="1:15" ht="16.5" customHeight="1" x14ac:dyDescent="0.3">
      <c r="A473" s="16" t="s">
        <v>254</v>
      </c>
      <c r="B473" s="18"/>
      <c r="C473" s="18"/>
      <c r="D473" s="18"/>
      <c r="E473" s="18"/>
      <c r="F473" s="18"/>
      <c r="G473" s="18"/>
      <c r="H473" s="18"/>
    </row>
    <row r="474" spans="1:15" x14ac:dyDescent="0.3">
      <c r="A474" s="17" t="s">
        <v>249</v>
      </c>
      <c r="B474" s="19" t="s">
        <v>9</v>
      </c>
      <c r="C474" s="19" t="s">
        <v>239</v>
      </c>
      <c r="D474" s="19" t="s">
        <v>94</v>
      </c>
      <c r="E474" s="19" t="s">
        <v>240</v>
      </c>
      <c r="F474" s="3" t="s">
        <v>241</v>
      </c>
      <c r="G474" s="19" t="s">
        <v>243</v>
      </c>
      <c r="H474" s="19"/>
    </row>
    <row r="475" spans="1:15" x14ac:dyDescent="0.3">
      <c r="A475" s="17"/>
      <c r="B475" s="19"/>
      <c r="C475" s="19"/>
      <c r="D475" s="19"/>
      <c r="E475" s="19"/>
      <c r="F475" s="3" t="s">
        <v>242</v>
      </c>
      <c r="G475" s="19"/>
      <c r="H475" s="19"/>
    </row>
    <row r="476" spans="1:15" ht="17.25" thickBot="1" x14ac:dyDescent="0.35">
      <c r="A476" s="6">
        <v>1</v>
      </c>
      <c r="B476" s="3">
        <v>1</v>
      </c>
      <c r="C476" s="11" t="s">
        <v>114</v>
      </c>
      <c r="D476" s="2">
        <v>2306</v>
      </c>
      <c r="E476" s="2">
        <v>8.6395160000000004</v>
      </c>
      <c r="F476" s="2">
        <v>1.8317E-2</v>
      </c>
      <c r="G476" s="2">
        <v>8.6035999899999993</v>
      </c>
      <c r="H476" s="2">
        <v>8.6754312200000001</v>
      </c>
      <c r="J476" t="str">
        <f t="shared" ref="J476:J499" si="14">TEXT(E476,"0.00")&amp;" ("&amp;TEXT(G476,"0.00")&amp;" to "&amp;TEXT(H476,"0.00")&amp;")"</f>
        <v>8.64 (8.60 to 8.68)</v>
      </c>
      <c r="K476" t="str">
        <f>J480</f>
        <v>8.64 (8.60 to 8.68)</v>
      </c>
      <c r="L476" t="str">
        <f>J484</f>
        <v>8.72 (8.68 to 8.77)</v>
      </c>
      <c r="M476" t="str">
        <f>J488</f>
        <v>8.71 (8.66 to 8.75)</v>
      </c>
      <c r="N476" t="str">
        <f>J492</f>
        <v>8.65 (8.60 to 8.69)</v>
      </c>
      <c r="O476" t="str">
        <f>J496</f>
        <v>8.60 (8.54 to 8.65)</v>
      </c>
    </row>
    <row r="477" spans="1:15" ht="17.25" thickBot="1" x14ac:dyDescent="0.35">
      <c r="A477" s="6"/>
      <c r="B477" s="3">
        <v>2</v>
      </c>
      <c r="C477" s="11" t="s">
        <v>114</v>
      </c>
      <c r="D477" s="2">
        <v>2964</v>
      </c>
      <c r="E477" s="2">
        <v>8.5930979999999995</v>
      </c>
      <c r="F477" s="2">
        <v>1.6833999999999998E-2</v>
      </c>
      <c r="G477" s="2">
        <v>8.5600905399999991</v>
      </c>
      <c r="H477" s="2">
        <v>8.6261055399999993</v>
      </c>
      <c r="J477" t="str">
        <f t="shared" si="14"/>
        <v>8.59 (8.56 to 8.63)</v>
      </c>
      <c r="K477" t="str">
        <f t="shared" ref="K477:K479" si="15">J481</f>
        <v>8.56 (8.53 to 8.59)</v>
      </c>
      <c r="L477" t="str">
        <f t="shared" ref="L477:L479" si="16">J485</f>
        <v>8.59 (8.55 to 8.62)</v>
      </c>
      <c r="M477" t="str">
        <f t="shared" ref="M477:M479" si="17">J489</f>
        <v>8.63 (8.60 to 8.66)</v>
      </c>
      <c r="N477" t="str">
        <f t="shared" ref="N477:N479" si="18">J493</f>
        <v>8.61 (8.58 to 8.64)</v>
      </c>
      <c r="O477" t="str">
        <f t="shared" ref="O477:O479" si="19">J497</f>
        <v>8.65 (8.61 to 8.69)</v>
      </c>
    </row>
    <row r="478" spans="1:15" ht="17.25" thickBot="1" x14ac:dyDescent="0.35">
      <c r="A478" s="6"/>
      <c r="B478" s="3">
        <v>3</v>
      </c>
      <c r="C478" s="11" t="s">
        <v>114</v>
      </c>
      <c r="D478" s="2">
        <v>3319</v>
      </c>
      <c r="E478" s="2">
        <v>8.5279159999999994</v>
      </c>
      <c r="F478" s="2">
        <v>1.434E-2</v>
      </c>
      <c r="G478" s="2">
        <v>8.4997980700000006</v>
      </c>
      <c r="H478" s="2">
        <v>8.5560337200000003</v>
      </c>
      <c r="J478" t="str">
        <f t="shared" si="14"/>
        <v>8.53 (8.50 to 8.56)</v>
      </c>
      <c r="K478" t="str">
        <f t="shared" si="15"/>
        <v>8.54 (8.51 to 8.57)</v>
      </c>
      <c r="L478" t="str">
        <f t="shared" si="16"/>
        <v>8.58 (8.56 to 8.61)</v>
      </c>
      <c r="M478" t="str">
        <f t="shared" si="17"/>
        <v>8.60 (8.57 to 8.62)</v>
      </c>
      <c r="N478" t="str">
        <f t="shared" si="18"/>
        <v>8.58 (8.56 to 8.61)</v>
      </c>
      <c r="O478" t="str">
        <f t="shared" si="19"/>
        <v>8.60 (8.56 to 8.63)</v>
      </c>
    </row>
    <row r="479" spans="1:15" ht="17.25" thickBot="1" x14ac:dyDescent="0.35">
      <c r="A479" s="6"/>
      <c r="B479" s="3">
        <v>4</v>
      </c>
      <c r="C479" s="11" t="s">
        <v>114</v>
      </c>
      <c r="D479" s="2">
        <v>3326</v>
      </c>
      <c r="E479" s="2">
        <v>8.5099979999999995</v>
      </c>
      <c r="F479" s="2">
        <v>1.3481E-2</v>
      </c>
      <c r="G479" s="2">
        <v>8.4835637100000003</v>
      </c>
      <c r="H479" s="2">
        <v>8.5364313500000009</v>
      </c>
      <c r="J479" t="str">
        <f t="shared" si="14"/>
        <v>8.51 (8.48 to 8.54)</v>
      </c>
      <c r="K479" t="str">
        <f t="shared" si="15"/>
        <v>8.54 (8.51 to 8.57)</v>
      </c>
      <c r="L479" t="str">
        <f t="shared" si="16"/>
        <v>8.54 (8.52 to 8.57)</v>
      </c>
      <c r="M479" t="str">
        <f t="shared" si="17"/>
        <v>8.57 (8.54 to 8.59)</v>
      </c>
      <c r="N479" t="str">
        <f t="shared" si="18"/>
        <v>8.56 (8.53 to 8.58)</v>
      </c>
      <c r="O479" t="str">
        <f t="shared" si="19"/>
        <v>8.55 (8.52 to 8.59)</v>
      </c>
    </row>
    <row r="480" spans="1:15" ht="17.25" thickBot="1" x14ac:dyDescent="0.35">
      <c r="A480" s="6">
        <v>2</v>
      </c>
      <c r="B480" s="3">
        <v>1</v>
      </c>
      <c r="C480" s="11" t="s">
        <v>114</v>
      </c>
      <c r="D480" s="2">
        <v>2174</v>
      </c>
      <c r="E480" s="2">
        <v>8.6385799999999993</v>
      </c>
      <c r="F480" s="2">
        <v>2.0278999999999998E-2</v>
      </c>
      <c r="G480" s="2">
        <v>8.5988179000000002</v>
      </c>
      <c r="H480" s="2">
        <v>8.6783427900000003</v>
      </c>
      <c r="J480" t="str">
        <f t="shared" si="14"/>
        <v>8.64 (8.60 to 8.68)</v>
      </c>
    </row>
    <row r="481" spans="1:10" ht="17.25" thickBot="1" x14ac:dyDescent="0.35">
      <c r="A481" s="6"/>
      <c r="B481" s="3">
        <v>2</v>
      </c>
      <c r="C481" s="11" t="s">
        <v>114</v>
      </c>
      <c r="D481" s="2">
        <v>3356</v>
      </c>
      <c r="E481" s="2">
        <v>8.5641320000000007</v>
      </c>
      <c r="F481" s="2">
        <v>1.5472E-2</v>
      </c>
      <c r="G481" s="2">
        <v>8.5337952300000008</v>
      </c>
      <c r="H481" s="2">
        <v>8.5944697100000003</v>
      </c>
      <c r="J481" t="str">
        <f t="shared" si="14"/>
        <v>8.56 (8.53 to 8.59)</v>
      </c>
    </row>
    <row r="482" spans="1:10" ht="17.25" thickBot="1" x14ac:dyDescent="0.35">
      <c r="A482" s="6"/>
      <c r="B482" s="3">
        <v>3</v>
      </c>
      <c r="C482" s="11" t="s">
        <v>114</v>
      </c>
      <c r="D482" s="2">
        <v>3737</v>
      </c>
      <c r="E482" s="2">
        <v>8.5394279999999991</v>
      </c>
      <c r="F482" s="2">
        <v>1.4185E-2</v>
      </c>
      <c r="G482" s="2">
        <v>8.5116130900000009</v>
      </c>
      <c r="H482" s="2">
        <v>8.5672421599999993</v>
      </c>
      <c r="J482" t="str">
        <f t="shared" si="14"/>
        <v>8.54 (8.51 to 8.57)</v>
      </c>
    </row>
    <row r="483" spans="1:10" ht="17.25" thickBot="1" x14ac:dyDescent="0.35">
      <c r="A483" s="6"/>
      <c r="B483" s="3">
        <v>4</v>
      </c>
      <c r="C483" s="11" t="s">
        <v>114</v>
      </c>
      <c r="D483" s="2">
        <v>3849</v>
      </c>
      <c r="E483" s="2">
        <v>8.5385880000000007</v>
      </c>
      <c r="F483" s="2">
        <v>1.5351999999999999E-2</v>
      </c>
      <c r="G483" s="2">
        <v>8.5084859300000009</v>
      </c>
      <c r="H483" s="2">
        <v>8.5686900799999997</v>
      </c>
      <c r="J483" t="str">
        <f t="shared" si="14"/>
        <v>8.54 (8.51 to 8.57)</v>
      </c>
    </row>
    <row r="484" spans="1:10" ht="17.25" thickBot="1" x14ac:dyDescent="0.35">
      <c r="A484" s="6">
        <v>3</v>
      </c>
      <c r="B484" s="3">
        <v>1</v>
      </c>
      <c r="C484" s="11" t="s">
        <v>114</v>
      </c>
      <c r="D484" s="2">
        <v>1765</v>
      </c>
      <c r="E484" s="2">
        <v>8.7242379999999997</v>
      </c>
      <c r="F484" s="2">
        <v>2.1665E-2</v>
      </c>
      <c r="G484" s="2">
        <v>8.6817557799999996</v>
      </c>
      <c r="H484" s="2">
        <v>8.7667192499999995</v>
      </c>
      <c r="J484" t="str">
        <f t="shared" si="14"/>
        <v>8.72 (8.68 to 8.77)</v>
      </c>
    </row>
    <row r="485" spans="1:10" ht="17.25" thickBot="1" x14ac:dyDescent="0.35">
      <c r="A485" s="6"/>
      <c r="B485" s="3">
        <v>2</v>
      </c>
      <c r="C485" s="11" t="s">
        <v>114</v>
      </c>
      <c r="D485" s="2">
        <v>2863</v>
      </c>
      <c r="E485" s="2">
        <v>8.5871189999999995</v>
      </c>
      <c r="F485" s="2">
        <v>1.6830999999999999E-2</v>
      </c>
      <c r="G485" s="2">
        <v>8.55411666</v>
      </c>
      <c r="H485" s="2">
        <v>8.6201213699999997</v>
      </c>
      <c r="J485" t="str">
        <f t="shared" si="14"/>
        <v>8.59 (8.55 to 8.62)</v>
      </c>
    </row>
    <row r="486" spans="1:10" ht="17.25" thickBot="1" x14ac:dyDescent="0.35">
      <c r="A486" s="6"/>
      <c r="B486" s="3">
        <v>3</v>
      </c>
      <c r="C486" s="11" t="s">
        <v>114</v>
      </c>
      <c r="D486" s="2">
        <v>3314</v>
      </c>
      <c r="E486" s="2">
        <v>8.5840440000000005</v>
      </c>
      <c r="F486" s="2">
        <v>1.3819E-2</v>
      </c>
      <c r="G486" s="2">
        <v>8.5569473800000004</v>
      </c>
      <c r="H486" s="2">
        <v>8.6111399300000002</v>
      </c>
      <c r="J486" t="str">
        <f t="shared" si="14"/>
        <v>8.58 (8.56 to 8.61)</v>
      </c>
    </row>
    <row r="487" spans="1:10" ht="17.25" thickBot="1" x14ac:dyDescent="0.35">
      <c r="A487" s="6"/>
      <c r="B487" s="3">
        <v>4</v>
      </c>
      <c r="C487" s="11" t="s">
        <v>114</v>
      </c>
      <c r="D487" s="2">
        <v>3533</v>
      </c>
      <c r="E487" s="2">
        <v>8.5444200000000006</v>
      </c>
      <c r="F487" s="2">
        <v>1.3998999999999999E-2</v>
      </c>
      <c r="G487" s="2">
        <v>8.5169714400000007</v>
      </c>
      <c r="H487" s="2">
        <v>8.5718685499999996</v>
      </c>
      <c r="J487" t="str">
        <f t="shared" si="14"/>
        <v>8.54 (8.52 to 8.57)</v>
      </c>
    </row>
    <row r="488" spans="1:10" ht="17.25" thickBot="1" x14ac:dyDescent="0.35">
      <c r="A488" s="6">
        <v>4</v>
      </c>
      <c r="B488" s="3">
        <v>1</v>
      </c>
      <c r="C488" s="11" t="s">
        <v>114</v>
      </c>
      <c r="D488" s="2">
        <v>2304</v>
      </c>
      <c r="E488" s="2">
        <v>8.707217</v>
      </c>
      <c r="F488" s="2">
        <v>2.1923000000000002E-2</v>
      </c>
      <c r="G488" s="2">
        <v>8.6642302000000004</v>
      </c>
      <c r="H488" s="2">
        <v>8.7502047100000002</v>
      </c>
      <c r="J488" t="str">
        <f t="shared" si="14"/>
        <v>8.71 (8.66 to 8.75)</v>
      </c>
    </row>
    <row r="489" spans="1:10" ht="17.25" thickBot="1" x14ac:dyDescent="0.35">
      <c r="A489" s="6"/>
      <c r="B489" s="3">
        <v>2</v>
      </c>
      <c r="C489" s="11" t="s">
        <v>114</v>
      </c>
      <c r="D489" s="2">
        <v>3403</v>
      </c>
      <c r="E489" s="2">
        <v>8.6272260000000003</v>
      </c>
      <c r="F489" s="2">
        <v>1.4818E-2</v>
      </c>
      <c r="G489" s="2">
        <v>8.5981707899999993</v>
      </c>
      <c r="H489" s="2">
        <v>8.6562816900000001</v>
      </c>
      <c r="J489" t="str">
        <f t="shared" si="14"/>
        <v>8.63 (8.60 to 8.66)</v>
      </c>
    </row>
    <row r="490" spans="1:10" ht="17.25" thickBot="1" x14ac:dyDescent="0.35">
      <c r="A490" s="6"/>
      <c r="B490" s="3">
        <v>3</v>
      </c>
      <c r="C490" s="11" t="s">
        <v>114</v>
      </c>
      <c r="D490" s="2">
        <v>4062</v>
      </c>
      <c r="E490" s="2">
        <v>8.5966249999999995</v>
      </c>
      <c r="F490" s="2">
        <v>1.2586999999999999E-2</v>
      </c>
      <c r="G490" s="2">
        <v>8.5719434999999997</v>
      </c>
      <c r="H490" s="2">
        <v>8.6213055099999991</v>
      </c>
      <c r="J490" t="str">
        <f t="shared" si="14"/>
        <v>8.60 (8.57 to 8.62)</v>
      </c>
    </row>
    <row r="491" spans="1:10" ht="17.25" thickBot="1" x14ac:dyDescent="0.35">
      <c r="A491" s="6"/>
      <c r="B491" s="3">
        <v>4</v>
      </c>
      <c r="C491" s="11" t="s">
        <v>114</v>
      </c>
      <c r="D491" s="2">
        <v>4389</v>
      </c>
      <c r="E491" s="2">
        <v>8.5689840000000004</v>
      </c>
      <c r="F491" s="2">
        <v>1.2345E-2</v>
      </c>
      <c r="G491" s="2">
        <v>8.5447780899999994</v>
      </c>
      <c r="H491" s="2">
        <v>8.5931892800000007</v>
      </c>
      <c r="J491" t="str">
        <f t="shared" si="14"/>
        <v>8.57 (8.54 to 8.59)</v>
      </c>
    </row>
    <row r="492" spans="1:10" ht="17.25" thickBot="1" x14ac:dyDescent="0.35">
      <c r="A492" s="6">
        <v>5</v>
      </c>
      <c r="B492" s="3">
        <v>1</v>
      </c>
      <c r="C492" s="11" t="s">
        <v>114</v>
      </c>
      <c r="D492" s="2">
        <v>2058</v>
      </c>
      <c r="E492" s="2">
        <v>8.6472339999999992</v>
      </c>
      <c r="F492" s="2">
        <v>2.1575E-2</v>
      </c>
      <c r="G492" s="2">
        <v>8.6049294599999993</v>
      </c>
      <c r="H492" s="2">
        <v>8.6895378300000008</v>
      </c>
      <c r="J492" t="str">
        <f t="shared" si="14"/>
        <v>8.65 (8.60 to 8.69)</v>
      </c>
    </row>
    <row r="493" spans="1:10" ht="17.25" thickBot="1" x14ac:dyDescent="0.35">
      <c r="A493" s="6"/>
      <c r="B493" s="3">
        <v>2</v>
      </c>
      <c r="C493" s="11" t="s">
        <v>114</v>
      </c>
      <c r="D493" s="2">
        <v>3220</v>
      </c>
      <c r="E493" s="2">
        <v>8.6073869999999992</v>
      </c>
      <c r="F493" s="2">
        <v>1.4799E-2</v>
      </c>
      <c r="G493" s="2">
        <v>8.57836906</v>
      </c>
      <c r="H493" s="2">
        <v>8.6364053500000004</v>
      </c>
      <c r="J493" t="str">
        <f t="shared" si="14"/>
        <v>8.61 (8.58 to 8.64)</v>
      </c>
    </row>
    <row r="494" spans="1:10" ht="17.25" thickBot="1" x14ac:dyDescent="0.35">
      <c r="A494" s="6"/>
      <c r="B494" s="3">
        <v>3</v>
      </c>
      <c r="C494" s="11" t="s">
        <v>114</v>
      </c>
      <c r="D494" s="2">
        <v>3860</v>
      </c>
      <c r="E494" s="2">
        <v>8.5824409999999993</v>
      </c>
      <c r="F494" s="2">
        <v>1.3006E-2</v>
      </c>
      <c r="G494" s="2">
        <v>8.5569377600000003</v>
      </c>
      <c r="H494" s="2">
        <v>8.6079437500000004</v>
      </c>
      <c r="J494" t="str">
        <f t="shared" si="14"/>
        <v>8.58 (8.56 to 8.61)</v>
      </c>
    </row>
    <row r="495" spans="1:10" ht="17.25" thickBot="1" x14ac:dyDescent="0.35">
      <c r="A495" s="6"/>
      <c r="B495" s="3">
        <v>4</v>
      </c>
      <c r="C495" s="11" t="s">
        <v>114</v>
      </c>
      <c r="D495" s="2">
        <v>4417</v>
      </c>
      <c r="E495" s="2">
        <v>8.5553050000000006</v>
      </c>
      <c r="F495" s="2">
        <v>1.2377000000000001E-2</v>
      </c>
      <c r="G495" s="2">
        <v>8.5310354700000008</v>
      </c>
      <c r="H495" s="2">
        <v>8.5795743299999998</v>
      </c>
      <c r="J495" t="str">
        <f t="shared" si="14"/>
        <v>8.56 (8.53 to 8.58)</v>
      </c>
    </row>
    <row r="496" spans="1:10" ht="17.25" thickBot="1" x14ac:dyDescent="0.35">
      <c r="A496" s="6">
        <v>6</v>
      </c>
      <c r="B496" s="3">
        <v>1</v>
      </c>
      <c r="C496" s="11" t="s">
        <v>114</v>
      </c>
      <c r="D496" s="2">
        <v>658</v>
      </c>
      <c r="E496" s="2">
        <v>8.5972570000000008</v>
      </c>
      <c r="F496" s="2">
        <v>2.7642E-2</v>
      </c>
      <c r="G496" s="2">
        <v>8.5430571499999992</v>
      </c>
      <c r="H496" s="2">
        <v>8.6514569100000003</v>
      </c>
      <c r="J496" t="str">
        <f t="shared" si="14"/>
        <v>8.60 (8.54 to 8.65)</v>
      </c>
    </row>
    <row r="497" spans="1:10" ht="17.25" thickBot="1" x14ac:dyDescent="0.35">
      <c r="A497" s="6"/>
      <c r="B497" s="3">
        <v>2</v>
      </c>
      <c r="C497" s="11" t="s">
        <v>114</v>
      </c>
      <c r="D497" s="2">
        <v>1028</v>
      </c>
      <c r="E497" s="2">
        <v>8.6499780000000008</v>
      </c>
      <c r="F497" s="2">
        <v>2.1734E-2</v>
      </c>
      <c r="G497" s="2">
        <v>8.6073611900000007</v>
      </c>
      <c r="H497" s="2">
        <v>8.6925954300000008</v>
      </c>
      <c r="J497" t="str">
        <f t="shared" si="14"/>
        <v>8.65 (8.61 to 8.69)</v>
      </c>
    </row>
    <row r="498" spans="1:10" ht="17.25" thickBot="1" x14ac:dyDescent="0.35">
      <c r="A498" s="6"/>
      <c r="B498" s="3">
        <v>3</v>
      </c>
      <c r="C498" s="11" t="s">
        <v>114</v>
      </c>
      <c r="D498" s="2">
        <v>1294</v>
      </c>
      <c r="E498" s="2">
        <v>8.5954870000000003</v>
      </c>
      <c r="F498" s="2">
        <v>1.9605999999999998E-2</v>
      </c>
      <c r="G498" s="2">
        <v>8.55704216</v>
      </c>
      <c r="H498" s="2">
        <v>8.6339314599999994</v>
      </c>
      <c r="J498" t="str">
        <f t="shared" si="14"/>
        <v>8.60 (8.56 to 8.63)</v>
      </c>
    </row>
    <row r="499" spans="1:10" x14ac:dyDescent="0.3">
      <c r="A499" s="6"/>
      <c r="B499" s="3">
        <v>4</v>
      </c>
      <c r="C499" s="14" t="s">
        <v>114</v>
      </c>
      <c r="D499" s="2">
        <v>1436</v>
      </c>
      <c r="E499" s="2">
        <v>8.5543739999999993</v>
      </c>
      <c r="F499" s="2">
        <v>1.8516000000000001E-2</v>
      </c>
      <c r="G499" s="2">
        <v>8.5180664999999998</v>
      </c>
      <c r="H499" s="2">
        <v>8.5906807100000009</v>
      </c>
      <c r="J499" t="str">
        <f t="shared" si="14"/>
        <v>8.55 (8.52 to 8.59)</v>
      </c>
    </row>
    <row r="503" spans="1:10" x14ac:dyDescent="0.3">
      <c r="A503" s="1" t="s">
        <v>237</v>
      </c>
    </row>
    <row r="505" spans="1:10" x14ac:dyDescent="0.3">
      <c r="A505" s="1" t="s">
        <v>1</v>
      </c>
    </row>
    <row r="506" spans="1:10" ht="17.25" thickBot="1" x14ac:dyDescent="0.35"/>
    <row r="507" spans="1:10" ht="16.5" customHeight="1" x14ac:dyDescent="0.3">
      <c r="A507" s="16" t="s">
        <v>135</v>
      </c>
      <c r="B507" s="18"/>
    </row>
    <row r="508" spans="1:10" ht="26.25" thickBot="1" x14ac:dyDescent="0.35">
      <c r="A508" s="12" t="s">
        <v>136</v>
      </c>
      <c r="B508" s="2">
        <v>183</v>
      </c>
    </row>
    <row r="509" spans="1:10" ht="26.25" thickBot="1" x14ac:dyDescent="0.35">
      <c r="A509" s="12" t="s">
        <v>137</v>
      </c>
      <c r="B509" s="2">
        <v>2949</v>
      </c>
    </row>
    <row r="510" spans="1:10" ht="39" thickBot="1" x14ac:dyDescent="0.35">
      <c r="A510" s="12" t="s">
        <v>138</v>
      </c>
      <c r="B510" s="2">
        <v>23222</v>
      </c>
    </row>
    <row r="511" spans="1:10" ht="25.5" x14ac:dyDescent="0.3">
      <c r="A511" s="13" t="s">
        <v>139</v>
      </c>
      <c r="B511" s="2">
        <v>9036880.5199999996</v>
      </c>
    </row>
    <row r="512" spans="1:10" ht="17.25" thickBot="1" x14ac:dyDescent="0.35"/>
    <row r="513" spans="1:8" ht="33" customHeight="1" x14ac:dyDescent="0.3">
      <c r="A513" s="16" t="s">
        <v>140</v>
      </c>
      <c r="B513" s="18"/>
    </row>
    <row r="514" spans="1:8" ht="33.75" thickBot="1" x14ac:dyDescent="0.35">
      <c r="A514" s="12" t="s">
        <v>141</v>
      </c>
      <c r="B514" s="2" t="s">
        <v>142</v>
      </c>
    </row>
    <row r="515" spans="1:8" ht="25.5" x14ac:dyDescent="0.3">
      <c r="A515" s="13" t="s">
        <v>143</v>
      </c>
      <c r="B515" s="2" t="s">
        <v>144</v>
      </c>
    </row>
    <row r="516" spans="1:8" ht="17.25" thickBot="1" x14ac:dyDescent="0.35"/>
    <row r="517" spans="1:8" ht="16.5" customHeight="1" x14ac:dyDescent="0.3">
      <c r="A517" s="16" t="s">
        <v>238</v>
      </c>
      <c r="B517" s="18"/>
      <c r="C517" s="18"/>
      <c r="D517" s="18"/>
      <c r="E517" s="18"/>
      <c r="F517" s="18"/>
    </row>
    <row r="518" spans="1:8" x14ac:dyDescent="0.3">
      <c r="A518" s="17" t="s">
        <v>239</v>
      </c>
      <c r="B518" s="19" t="s">
        <v>94</v>
      </c>
      <c r="C518" s="19" t="s">
        <v>240</v>
      </c>
      <c r="D518" s="3" t="s">
        <v>241</v>
      </c>
      <c r="E518" s="19" t="s">
        <v>243</v>
      </c>
      <c r="F518" s="19"/>
    </row>
    <row r="519" spans="1:8" x14ac:dyDescent="0.3">
      <c r="A519" s="17"/>
      <c r="B519" s="19"/>
      <c r="C519" s="19"/>
      <c r="D519" s="3" t="s">
        <v>242</v>
      </c>
      <c r="E519" s="19"/>
      <c r="F519" s="19"/>
    </row>
    <row r="520" spans="1:8" x14ac:dyDescent="0.3">
      <c r="A520" s="13" t="s">
        <v>114</v>
      </c>
      <c r="B520" s="2">
        <v>23222</v>
      </c>
      <c r="C520" s="2">
        <v>8.4582850000000001</v>
      </c>
      <c r="D520" s="2">
        <v>5.8770000000000003E-3</v>
      </c>
      <c r="E520" s="2">
        <v>8.4467599599999996</v>
      </c>
      <c r="F520" s="2">
        <v>8.4698092999999997</v>
      </c>
    </row>
    <row r="524" spans="1:8" x14ac:dyDescent="0.3">
      <c r="A524" s="1" t="s">
        <v>237</v>
      </c>
    </row>
    <row r="526" spans="1:8" x14ac:dyDescent="0.3">
      <c r="A526" s="1" t="s">
        <v>1</v>
      </c>
    </row>
    <row r="527" spans="1:8" ht="17.25" thickBot="1" x14ac:dyDescent="0.35"/>
    <row r="528" spans="1:8" ht="16.5" customHeight="1" x14ac:dyDescent="0.3">
      <c r="A528" s="16" t="s">
        <v>255</v>
      </c>
      <c r="B528" s="18"/>
      <c r="C528" s="18"/>
      <c r="D528" s="18"/>
      <c r="E528" s="18"/>
      <c r="F528" s="18"/>
      <c r="G528" s="18"/>
      <c r="H528" s="18"/>
    </row>
    <row r="529" spans="1:8" x14ac:dyDescent="0.3">
      <c r="A529" s="17" t="s">
        <v>249</v>
      </c>
      <c r="B529" s="19" t="s">
        <v>10</v>
      </c>
      <c r="C529" s="19" t="s">
        <v>239</v>
      </c>
      <c r="D529" s="19" t="s">
        <v>94</v>
      </c>
      <c r="E529" s="19" t="s">
        <v>240</v>
      </c>
      <c r="F529" s="3" t="s">
        <v>241</v>
      </c>
      <c r="G529" s="19" t="s">
        <v>243</v>
      </c>
      <c r="H529" s="19"/>
    </row>
    <row r="530" spans="1:8" x14ac:dyDescent="0.3">
      <c r="A530" s="17"/>
      <c r="B530" s="19"/>
      <c r="C530" s="19"/>
      <c r="D530" s="19"/>
      <c r="E530" s="19"/>
      <c r="F530" s="3" t="s">
        <v>242</v>
      </c>
      <c r="G530" s="19"/>
      <c r="H530" s="19"/>
    </row>
    <row r="531" spans="1:8" ht="17.25" thickBot="1" x14ac:dyDescent="0.35">
      <c r="A531" s="6">
        <v>1</v>
      </c>
      <c r="B531" s="3">
        <v>1</v>
      </c>
      <c r="C531" s="11" t="s">
        <v>114</v>
      </c>
      <c r="D531" s="2">
        <v>425</v>
      </c>
      <c r="E531" s="2">
        <v>8.0755060000000007</v>
      </c>
      <c r="F531" s="2">
        <v>2.6043E-2</v>
      </c>
      <c r="G531" s="2">
        <v>8.0244405299999997</v>
      </c>
      <c r="H531" s="2">
        <v>8.1265720199999993</v>
      </c>
    </row>
    <row r="532" spans="1:8" ht="17.25" thickBot="1" x14ac:dyDescent="0.35">
      <c r="A532" s="6"/>
      <c r="B532" s="3">
        <v>2</v>
      </c>
      <c r="C532" s="11" t="s">
        <v>114</v>
      </c>
      <c r="D532" s="2">
        <v>1532</v>
      </c>
      <c r="E532" s="2">
        <v>8.3387530000000005</v>
      </c>
      <c r="F532" s="2">
        <v>1.7964999999999998E-2</v>
      </c>
      <c r="G532" s="2">
        <v>8.3035265000000003</v>
      </c>
      <c r="H532" s="2">
        <v>8.3739798800000003</v>
      </c>
    </row>
    <row r="533" spans="1:8" ht="17.25" thickBot="1" x14ac:dyDescent="0.35">
      <c r="A533" s="6"/>
      <c r="B533" s="3">
        <v>3</v>
      </c>
      <c r="C533" s="11" t="s">
        <v>114</v>
      </c>
      <c r="D533" s="2">
        <v>735</v>
      </c>
      <c r="E533" s="2">
        <v>8.634487</v>
      </c>
      <c r="F533" s="2">
        <v>3.0693999999999999E-2</v>
      </c>
      <c r="G533" s="2">
        <v>8.5743011300000003</v>
      </c>
      <c r="H533" s="2">
        <v>8.6946719199999993</v>
      </c>
    </row>
    <row r="534" spans="1:8" ht="17.25" thickBot="1" x14ac:dyDescent="0.35">
      <c r="A534" s="6"/>
      <c r="B534" s="3">
        <v>4</v>
      </c>
      <c r="C534" s="11" t="s">
        <v>114</v>
      </c>
      <c r="D534" s="2">
        <v>1048</v>
      </c>
      <c r="E534" s="2">
        <v>8.8822720000000004</v>
      </c>
      <c r="F534" s="2">
        <v>2.6089000000000001E-2</v>
      </c>
      <c r="G534" s="2">
        <v>8.8311152400000008</v>
      </c>
      <c r="H534" s="2">
        <v>8.9334288199999996</v>
      </c>
    </row>
    <row r="535" spans="1:8" ht="17.25" thickBot="1" x14ac:dyDescent="0.35">
      <c r="A535" s="6">
        <v>2</v>
      </c>
      <c r="B535" s="3">
        <v>1</v>
      </c>
      <c r="C535" s="11" t="s">
        <v>114</v>
      </c>
      <c r="D535" s="2">
        <v>810</v>
      </c>
      <c r="E535" s="2">
        <v>8.0029800000000009</v>
      </c>
      <c r="F535" s="2">
        <v>1.9514E-2</v>
      </c>
      <c r="G535" s="2">
        <v>7.9647160799999996</v>
      </c>
      <c r="H535" s="2">
        <v>8.0412437699999995</v>
      </c>
    </row>
    <row r="536" spans="1:8" ht="17.25" thickBot="1" x14ac:dyDescent="0.35">
      <c r="A536" s="6"/>
      <c r="B536" s="3">
        <v>2</v>
      </c>
      <c r="C536" s="11" t="s">
        <v>114</v>
      </c>
      <c r="D536" s="2">
        <v>1935</v>
      </c>
      <c r="E536" s="2">
        <v>8.2312519999999996</v>
      </c>
      <c r="F536" s="2">
        <v>1.5799000000000001E-2</v>
      </c>
      <c r="G536" s="2">
        <v>8.2002721399999992</v>
      </c>
      <c r="H536" s="2">
        <v>8.2622315099999994</v>
      </c>
    </row>
    <row r="537" spans="1:8" ht="17.25" thickBot="1" x14ac:dyDescent="0.35">
      <c r="A537" s="6"/>
      <c r="B537" s="3">
        <v>3</v>
      </c>
      <c r="C537" s="11" t="s">
        <v>114</v>
      </c>
      <c r="D537" s="2">
        <v>864</v>
      </c>
      <c r="E537" s="2">
        <v>8.4991869999999992</v>
      </c>
      <c r="F537" s="2">
        <v>2.8999E-2</v>
      </c>
      <c r="G537" s="2">
        <v>8.4423260599999992</v>
      </c>
      <c r="H537" s="2">
        <v>8.5560484500000005</v>
      </c>
    </row>
    <row r="538" spans="1:8" ht="17.25" thickBot="1" x14ac:dyDescent="0.35">
      <c r="A538" s="6"/>
      <c r="B538" s="3">
        <v>4</v>
      </c>
      <c r="C538" s="11" t="s">
        <v>114</v>
      </c>
      <c r="D538" s="2">
        <v>1123</v>
      </c>
      <c r="E538" s="2">
        <v>8.7494549999999993</v>
      </c>
      <c r="F538" s="2">
        <v>2.5649000000000002E-2</v>
      </c>
      <c r="G538" s="2">
        <v>8.6991617600000009</v>
      </c>
      <c r="H538" s="2">
        <v>8.7997487999999997</v>
      </c>
    </row>
    <row r="539" spans="1:8" ht="17.25" thickBot="1" x14ac:dyDescent="0.35">
      <c r="A539" s="6">
        <v>3</v>
      </c>
      <c r="B539" s="3">
        <v>1</v>
      </c>
      <c r="C539" s="11" t="s">
        <v>114</v>
      </c>
      <c r="D539" s="2">
        <v>522</v>
      </c>
      <c r="E539" s="2">
        <v>8.0772589999999997</v>
      </c>
      <c r="F539" s="2">
        <v>2.5700000000000001E-2</v>
      </c>
      <c r="G539" s="2">
        <v>8.0268653200000006</v>
      </c>
      <c r="H539" s="2">
        <v>8.1276518699999993</v>
      </c>
    </row>
    <row r="540" spans="1:8" ht="17.25" thickBot="1" x14ac:dyDescent="0.35">
      <c r="A540" s="6"/>
      <c r="B540" s="3">
        <v>2</v>
      </c>
      <c r="C540" s="11" t="s">
        <v>114</v>
      </c>
      <c r="D540" s="2">
        <v>1728</v>
      </c>
      <c r="E540" s="2">
        <v>8.2829069999999998</v>
      </c>
      <c r="F540" s="2">
        <v>1.8620000000000001E-2</v>
      </c>
      <c r="G540" s="2">
        <v>8.2463957499999996</v>
      </c>
      <c r="H540" s="2">
        <v>8.3194178799999996</v>
      </c>
    </row>
    <row r="541" spans="1:8" ht="17.25" thickBot="1" x14ac:dyDescent="0.35">
      <c r="A541" s="6"/>
      <c r="B541" s="3">
        <v>3</v>
      </c>
      <c r="C541" s="11" t="s">
        <v>114</v>
      </c>
      <c r="D541" s="2">
        <v>831</v>
      </c>
      <c r="E541" s="2">
        <v>8.5523699999999998</v>
      </c>
      <c r="F541" s="2">
        <v>2.6148000000000001E-2</v>
      </c>
      <c r="G541" s="2">
        <v>8.50109812</v>
      </c>
      <c r="H541" s="2">
        <v>8.6036414600000004</v>
      </c>
    </row>
    <row r="542" spans="1:8" ht="17.25" thickBot="1" x14ac:dyDescent="0.35">
      <c r="A542" s="6"/>
      <c r="B542" s="3">
        <v>4</v>
      </c>
      <c r="C542" s="11" t="s">
        <v>114</v>
      </c>
      <c r="D542" s="2">
        <v>1176</v>
      </c>
      <c r="E542" s="2">
        <v>8.8323959999999992</v>
      </c>
      <c r="F542" s="2">
        <v>2.613E-2</v>
      </c>
      <c r="G542" s="2">
        <v>8.7811591799999995</v>
      </c>
      <c r="H542" s="2">
        <v>8.8836318599999995</v>
      </c>
    </row>
    <row r="543" spans="1:8" ht="17.25" thickBot="1" x14ac:dyDescent="0.35">
      <c r="A543" s="6">
        <v>4</v>
      </c>
      <c r="B543" s="3">
        <v>1</v>
      </c>
      <c r="C543" s="11" t="s">
        <v>114</v>
      </c>
      <c r="D543" s="2">
        <v>622</v>
      </c>
      <c r="E543" s="2">
        <v>8.0572940000000006</v>
      </c>
      <c r="F543" s="2">
        <v>2.2467999999999998E-2</v>
      </c>
      <c r="G543" s="2">
        <v>8.0132384900000009</v>
      </c>
      <c r="H543" s="2">
        <v>8.10134927</v>
      </c>
    </row>
    <row r="544" spans="1:8" ht="17.25" thickBot="1" x14ac:dyDescent="0.35">
      <c r="A544" s="6"/>
      <c r="B544" s="3">
        <v>2</v>
      </c>
      <c r="C544" s="11" t="s">
        <v>114</v>
      </c>
      <c r="D544" s="2">
        <v>1798</v>
      </c>
      <c r="E544" s="2">
        <v>8.3062839999999998</v>
      </c>
      <c r="F544" s="2">
        <v>1.7642999999999999E-2</v>
      </c>
      <c r="G544" s="2">
        <v>8.2716896599999998</v>
      </c>
      <c r="H544" s="2">
        <v>8.3408786700000004</v>
      </c>
    </row>
    <row r="545" spans="1:8" ht="17.25" thickBot="1" x14ac:dyDescent="0.35">
      <c r="A545" s="6"/>
      <c r="B545" s="3">
        <v>3</v>
      </c>
      <c r="C545" s="11" t="s">
        <v>114</v>
      </c>
      <c r="D545" s="2">
        <v>828</v>
      </c>
      <c r="E545" s="2">
        <v>8.6441269999999992</v>
      </c>
      <c r="F545" s="2">
        <v>2.9978999999999999E-2</v>
      </c>
      <c r="G545" s="2">
        <v>8.5853439199999997</v>
      </c>
      <c r="H545" s="2">
        <v>8.7029092499999994</v>
      </c>
    </row>
    <row r="546" spans="1:8" ht="17.25" thickBot="1" x14ac:dyDescent="0.35">
      <c r="A546" s="6"/>
      <c r="B546" s="3">
        <v>4</v>
      </c>
      <c r="C546" s="11" t="s">
        <v>114</v>
      </c>
      <c r="D546" s="2">
        <v>1308</v>
      </c>
      <c r="E546" s="2">
        <v>8.8436679999999992</v>
      </c>
      <c r="F546" s="2">
        <v>2.1558999999999998E-2</v>
      </c>
      <c r="G546" s="2">
        <v>8.8013957999999999</v>
      </c>
      <c r="H546" s="2">
        <v>8.8859411399999999</v>
      </c>
    </row>
    <row r="547" spans="1:8" ht="17.25" thickBot="1" x14ac:dyDescent="0.35">
      <c r="A547" s="6">
        <v>5</v>
      </c>
      <c r="B547" s="3">
        <v>1</v>
      </c>
      <c r="C547" s="11" t="s">
        <v>114</v>
      </c>
      <c r="D547" s="2">
        <v>506</v>
      </c>
      <c r="E547" s="2">
        <v>8.0628700000000002</v>
      </c>
      <c r="F547" s="2">
        <v>2.4235E-2</v>
      </c>
      <c r="G547" s="2">
        <v>8.0153499799999999</v>
      </c>
      <c r="H547" s="2">
        <v>8.1103897899999993</v>
      </c>
    </row>
    <row r="548" spans="1:8" ht="17.25" thickBot="1" x14ac:dyDescent="0.35">
      <c r="A548" s="6"/>
      <c r="B548" s="3">
        <v>2</v>
      </c>
      <c r="C548" s="11" t="s">
        <v>114</v>
      </c>
      <c r="D548" s="2">
        <v>1782</v>
      </c>
      <c r="E548" s="2">
        <v>8.3228369999999998</v>
      </c>
      <c r="F548" s="2">
        <v>1.7163000000000001E-2</v>
      </c>
      <c r="G548" s="2">
        <v>8.2891835799999996</v>
      </c>
      <c r="H548" s="2">
        <v>8.3564896500000003</v>
      </c>
    </row>
    <row r="549" spans="1:8" ht="17.25" thickBot="1" x14ac:dyDescent="0.35">
      <c r="A549" s="6"/>
      <c r="B549" s="3">
        <v>3</v>
      </c>
      <c r="C549" s="11" t="s">
        <v>114</v>
      </c>
      <c r="D549" s="2">
        <v>837</v>
      </c>
      <c r="E549" s="2">
        <v>8.5902890000000003</v>
      </c>
      <c r="F549" s="2">
        <v>2.4823000000000001E-2</v>
      </c>
      <c r="G549" s="2">
        <v>8.54161459</v>
      </c>
      <c r="H549" s="2">
        <v>8.6389624900000008</v>
      </c>
    </row>
    <row r="550" spans="1:8" ht="17.25" thickBot="1" x14ac:dyDescent="0.35">
      <c r="A550" s="6"/>
      <c r="B550" s="3">
        <v>4</v>
      </c>
      <c r="C550" s="11" t="s">
        <v>114</v>
      </c>
      <c r="D550" s="2">
        <v>1376</v>
      </c>
      <c r="E550" s="2">
        <v>8.7747910000000005</v>
      </c>
      <c r="F550" s="2">
        <v>2.3026000000000001E-2</v>
      </c>
      <c r="G550" s="2">
        <v>8.7296415199999995</v>
      </c>
      <c r="H550" s="2">
        <v>8.8199400299999997</v>
      </c>
    </row>
    <row r="551" spans="1:8" ht="17.25" thickBot="1" x14ac:dyDescent="0.35">
      <c r="A551" s="6">
        <v>6</v>
      </c>
      <c r="B551" s="3">
        <v>1</v>
      </c>
      <c r="C551" s="11" t="s">
        <v>114</v>
      </c>
      <c r="D551" s="2">
        <v>176</v>
      </c>
      <c r="E551" s="2">
        <v>8.0993460000000006</v>
      </c>
      <c r="F551" s="2">
        <v>3.3501999999999997E-2</v>
      </c>
      <c r="G551" s="2">
        <v>8.0336545099999999</v>
      </c>
      <c r="H551" s="2">
        <v>8.1650373199999997</v>
      </c>
    </row>
    <row r="552" spans="1:8" ht="17.25" thickBot="1" x14ac:dyDescent="0.35">
      <c r="A552" s="6"/>
      <c r="B552" s="3">
        <v>2</v>
      </c>
      <c r="C552" s="11" t="s">
        <v>114</v>
      </c>
      <c r="D552" s="2">
        <v>549</v>
      </c>
      <c r="E552" s="2">
        <v>8.2898219999999991</v>
      </c>
      <c r="F552" s="2">
        <v>2.2813E-2</v>
      </c>
      <c r="G552" s="2">
        <v>8.2450905300000006</v>
      </c>
      <c r="H552" s="2">
        <v>8.3345541399999998</v>
      </c>
    </row>
    <row r="553" spans="1:8" ht="17.25" thickBot="1" x14ac:dyDescent="0.35">
      <c r="A553" s="6"/>
      <c r="B553" s="3">
        <v>3</v>
      </c>
      <c r="C553" s="11" t="s">
        <v>114</v>
      </c>
      <c r="D553" s="2">
        <v>286</v>
      </c>
      <c r="E553" s="2">
        <v>8.6052909999999994</v>
      </c>
      <c r="F553" s="2">
        <v>4.0178999999999999E-2</v>
      </c>
      <c r="G553" s="2">
        <v>8.5265075699999997</v>
      </c>
      <c r="H553" s="2">
        <v>8.6840746899999992</v>
      </c>
    </row>
    <row r="554" spans="1:8" x14ac:dyDescent="0.3">
      <c r="A554" s="6"/>
      <c r="B554" s="3">
        <v>4</v>
      </c>
      <c r="C554" s="14" t="s">
        <v>114</v>
      </c>
      <c r="D554" s="2">
        <v>425</v>
      </c>
      <c r="E554" s="2">
        <v>8.8142779999999998</v>
      </c>
      <c r="F554" s="2">
        <v>3.1510999999999997E-2</v>
      </c>
      <c r="G554" s="2">
        <v>8.75249086</v>
      </c>
      <c r="H554" s="2">
        <v>8.8760655800000006</v>
      </c>
    </row>
    <row r="558" spans="1:8" x14ac:dyDescent="0.3">
      <c r="A558" s="1" t="s">
        <v>237</v>
      </c>
    </row>
    <row r="560" spans="1:8" x14ac:dyDescent="0.3">
      <c r="A560" s="1" t="s">
        <v>21</v>
      </c>
    </row>
    <row r="561" spans="1:6" ht="17.25" thickBot="1" x14ac:dyDescent="0.35"/>
    <row r="562" spans="1:6" ht="16.5" customHeight="1" x14ac:dyDescent="0.3">
      <c r="A562" s="16" t="s">
        <v>135</v>
      </c>
      <c r="B562" s="18"/>
    </row>
    <row r="563" spans="1:6" ht="26.25" thickBot="1" x14ac:dyDescent="0.35">
      <c r="A563" s="12" t="s">
        <v>136</v>
      </c>
      <c r="B563" s="2">
        <v>183</v>
      </c>
    </row>
    <row r="564" spans="1:6" ht="26.25" thickBot="1" x14ac:dyDescent="0.35">
      <c r="A564" s="12" t="s">
        <v>137</v>
      </c>
      <c r="B564" s="2">
        <v>2982</v>
      </c>
    </row>
    <row r="565" spans="1:6" ht="39" thickBot="1" x14ac:dyDescent="0.35">
      <c r="A565" s="12" t="s">
        <v>138</v>
      </c>
      <c r="B565" s="2">
        <v>68635</v>
      </c>
    </row>
    <row r="566" spans="1:6" ht="25.5" x14ac:dyDescent="0.3">
      <c r="A566" s="13" t="s">
        <v>139</v>
      </c>
      <c r="B566" s="2">
        <v>30251935.699999999</v>
      </c>
    </row>
    <row r="567" spans="1:6" ht="17.25" thickBot="1" x14ac:dyDescent="0.35"/>
    <row r="568" spans="1:6" ht="33" customHeight="1" x14ac:dyDescent="0.3">
      <c r="A568" s="16" t="s">
        <v>140</v>
      </c>
      <c r="B568" s="18"/>
    </row>
    <row r="569" spans="1:6" ht="33.75" thickBot="1" x14ac:dyDescent="0.35">
      <c r="A569" s="12" t="s">
        <v>141</v>
      </c>
      <c r="B569" s="2" t="s">
        <v>142</v>
      </c>
    </row>
    <row r="570" spans="1:6" ht="25.5" x14ac:dyDescent="0.3">
      <c r="A570" s="13" t="s">
        <v>143</v>
      </c>
      <c r="B570" s="2" t="s">
        <v>144</v>
      </c>
    </row>
    <row r="571" spans="1:6" ht="17.25" thickBot="1" x14ac:dyDescent="0.35"/>
    <row r="572" spans="1:6" ht="16.5" customHeight="1" x14ac:dyDescent="0.3">
      <c r="A572" s="16" t="s">
        <v>238</v>
      </c>
      <c r="B572" s="18"/>
      <c r="C572" s="18"/>
      <c r="D572" s="18"/>
      <c r="E572" s="18"/>
      <c r="F572" s="18"/>
    </row>
    <row r="573" spans="1:6" x14ac:dyDescent="0.3">
      <c r="A573" s="17" t="s">
        <v>239</v>
      </c>
      <c r="B573" s="19" t="s">
        <v>94</v>
      </c>
      <c r="C573" s="19" t="s">
        <v>240</v>
      </c>
      <c r="D573" s="3" t="s">
        <v>241</v>
      </c>
      <c r="E573" s="19" t="s">
        <v>243</v>
      </c>
      <c r="F573" s="19"/>
    </row>
    <row r="574" spans="1:6" x14ac:dyDescent="0.3">
      <c r="A574" s="17"/>
      <c r="B574" s="19"/>
      <c r="C574" s="19"/>
      <c r="D574" s="3" t="s">
        <v>242</v>
      </c>
      <c r="E574" s="19"/>
      <c r="F574" s="19"/>
    </row>
    <row r="575" spans="1:6" x14ac:dyDescent="0.3">
      <c r="A575" s="13" t="s">
        <v>114</v>
      </c>
      <c r="B575" s="2">
        <v>68635</v>
      </c>
      <c r="C575" s="2">
        <v>8.5827570000000009</v>
      </c>
      <c r="D575" s="2">
        <v>3.4259999999999998E-3</v>
      </c>
      <c r="E575" s="2">
        <v>8.5760384700000003</v>
      </c>
      <c r="F575" s="2">
        <v>8.58947489</v>
      </c>
    </row>
    <row r="579" spans="1:15" x14ac:dyDescent="0.3">
      <c r="A579" s="1" t="s">
        <v>237</v>
      </c>
    </row>
    <row r="581" spans="1:15" x14ac:dyDescent="0.3">
      <c r="A581" s="1" t="s">
        <v>21</v>
      </c>
    </row>
    <row r="582" spans="1:15" ht="17.25" thickBot="1" x14ac:dyDescent="0.35"/>
    <row r="583" spans="1:15" ht="16.5" customHeight="1" x14ac:dyDescent="0.3">
      <c r="A583" s="16" t="s">
        <v>255</v>
      </c>
      <c r="B583" s="18"/>
      <c r="C583" s="18"/>
      <c r="D583" s="18"/>
      <c r="E583" s="18"/>
      <c r="F583" s="18"/>
      <c r="G583" s="18"/>
      <c r="H583" s="18"/>
    </row>
    <row r="584" spans="1:15" x14ac:dyDescent="0.3">
      <c r="A584" s="17" t="s">
        <v>249</v>
      </c>
      <c r="B584" s="19" t="s">
        <v>10</v>
      </c>
      <c r="C584" s="19" t="s">
        <v>239</v>
      </c>
      <c r="D584" s="19" t="s">
        <v>94</v>
      </c>
      <c r="E584" s="19" t="s">
        <v>240</v>
      </c>
      <c r="F584" s="3" t="s">
        <v>241</v>
      </c>
      <c r="G584" s="19" t="s">
        <v>243</v>
      </c>
      <c r="H584" s="19"/>
    </row>
    <row r="585" spans="1:15" x14ac:dyDescent="0.3">
      <c r="A585" s="17"/>
      <c r="B585" s="19"/>
      <c r="C585" s="19"/>
      <c r="D585" s="19"/>
      <c r="E585" s="19"/>
      <c r="F585" s="3" t="s">
        <v>242</v>
      </c>
      <c r="G585" s="19"/>
      <c r="H585" s="19"/>
    </row>
    <row r="586" spans="1:15" ht="17.25" thickBot="1" x14ac:dyDescent="0.35">
      <c r="A586" s="6">
        <v>1</v>
      </c>
      <c r="B586" s="3">
        <v>1</v>
      </c>
      <c r="C586" s="11" t="s">
        <v>114</v>
      </c>
      <c r="D586" s="2">
        <v>533</v>
      </c>
      <c r="E586" s="2">
        <v>8.0694280000000003</v>
      </c>
      <c r="F586" s="2">
        <v>2.3795E-2</v>
      </c>
      <c r="G586" s="2">
        <v>8.0227709899999997</v>
      </c>
      <c r="H586" s="2">
        <v>8.1160844300000008</v>
      </c>
      <c r="J586" t="str">
        <f t="shared" ref="J586:J609" si="20">TEXT(E586,"0.00")&amp;" ("&amp;TEXT(G586,"0.00")&amp;" to "&amp;TEXT(H586,"0.00")&amp;")"</f>
        <v>8.07 (8.02 to 8.12)</v>
      </c>
      <c r="K586" t="str">
        <f>J590</f>
        <v>8.06 (8.01 to 8.11)</v>
      </c>
      <c r="L586" t="str">
        <f>J594</f>
        <v>8.06 (8.01 to 8.11)</v>
      </c>
      <c r="M586" t="str">
        <f>J598</f>
        <v>8.11 (8.07 to 8.15)</v>
      </c>
      <c r="N586" t="str">
        <f>J602</f>
        <v>8.07 (8.02 to 8.11)</v>
      </c>
      <c r="O586" t="str">
        <f>J606</f>
        <v>8.14 (8.08 to 8.20)</v>
      </c>
    </row>
    <row r="587" spans="1:15" ht="17.25" thickBot="1" x14ac:dyDescent="0.35">
      <c r="A587" s="6"/>
      <c r="B587" s="3">
        <v>2</v>
      </c>
      <c r="C587" s="11" t="s">
        <v>114</v>
      </c>
      <c r="D587" s="2">
        <v>4653</v>
      </c>
      <c r="E587" s="2">
        <v>8.3253170000000001</v>
      </c>
      <c r="F587" s="2">
        <v>1.0999999999999999E-2</v>
      </c>
      <c r="G587" s="2">
        <v>8.3037483000000005</v>
      </c>
      <c r="H587" s="2">
        <v>8.3468855899999994</v>
      </c>
      <c r="J587" t="str">
        <f t="shared" si="20"/>
        <v>8.33 (8.30 to 8.35)</v>
      </c>
      <c r="K587" t="str">
        <f t="shared" ref="K587:K589" si="21">J591</f>
        <v>8.32 (8.30 to 8.34)</v>
      </c>
      <c r="L587" t="str">
        <f t="shared" ref="L587:L589" si="22">J595</f>
        <v>8.34 (8.32 to 8.36)</v>
      </c>
      <c r="M587" t="str">
        <f t="shared" ref="M587:M589" si="23">J599</f>
        <v>8.36 (8.34 to 8.38)</v>
      </c>
      <c r="N587" t="str">
        <f t="shared" ref="N587:N589" si="24">J603</f>
        <v>8.34 (8.32 to 8.36)</v>
      </c>
      <c r="O587" t="str">
        <f t="shared" ref="O587:O589" si="25">J607</f>
        <v>8.35 (8.32 to 8.38)</v>
      </c>
    </row>
    <row r="588" spans="1:15" ht="17.25" thickBot="1" x14ac:dyDescent="0.35">
      <c r="A588" s="6"/>
      <c r="B588" s="3">
        <v>3</v>
      </c>
      <c r="C588" s="11" t="s">
        <v>114</v>
      </c>
      <c r="D588" s="2">
        <v>2958</v>
      </c>
      <c r="E588" s="2">
        <v>8.6240059999999996</v>
      </c>
      <c r="F588" s="2">
        <v>1.3216E-2</v>
      </c>
      <c r="G588" s="2">
        <v>8.5980913300000008</v>
      </c>
      <c r="H588" s="2">
        <v>8.6499204600000006</v>
      </c>
      <c r="J588" t="str">
        <f t="shared" si="20"/>
        <v>8.62 (8.60 to 8.65)</v>
      </c>
      <c r="K588" t="str">
        <f t="shared" si="21"/>
        <v>8.63 (8.60 to 8.66)</v>
      </c>
      <c r="L588" t="str">
        <f t="shared" si="22"/>
        <v>8.66 (8.63 to 8.69)</v>
      </c>
      <c r="M588" t="str">
        <f t="shared" si="23"/>
        <v>8.67 (8.64 to 8.70)</v>
      </c>
      <c r="N588" t="str">
        <f t="shared" si="24"/>
        <v>8.62 (8.59 to 8.64)</v>
      </c>
      <c r="O588" t="str">
        <f t="shared" si="25"/>
        <v>8.60 (8.56 to 8.64)</v>
      </c>
    </row>
    <row r="589" spans="1:15" ht="17.25" thickBot="1" x14ac:dyDescent="0.35">
      <c r="A589" s="6"/>
      <c r="B589" s="3">
        <v>4</v>
      </c>
      <c r="C589" s="11" t="s">
        <v>114</v>
      </c>
      <c r="D589" s="2">
        <v>3771</v>
      </c>
      <c r="E589" s="2">
        <v>8.8578519999999994</v>
      </c>
      <c r="F589" s="2">
        <v>1.3162E-2</v>
      </c>
      <c r="G589" s="2">
        <v>8.8320446399999994</v>
      </c>
      <c r="H589" s="2">
        <v>8.8836602800000009</v>
      </c>
      <c r="J589" t="str">
        <f t="shared" si="20"/>
        <v>8.86 (8.83 to 8.88)</v>
      </c>
      <c r="K589" t="str">
        <f t="shared" si="21"/>
        <v>8.87 (8.84 to 8.89)</v>
      </c>
      <c r="L589" t="str">
        <f t="shared" si="22"/>
        <v>8.92 (8.89 to 8.95)</v>
      </c>
      <c r="M589" t="str">
        <f t="shared" si="23"/>
        <v>8.90 (8.88 to 8.92)</v>
      </c>
      <c r="N589" t="str">
        <f t="shared" si="24"/>
        <v>8.87 (8.84 to 8.89)</v>
      </c>
      <c r="O589" t="str">
        <f t="shared" si="25"/>
        <v>8.86 (8.83 to 8.89)</v>
      </c>
    </row>
    <row r="590" spans="1:15" ht="17.25" thickBot="1" x14ac:dyDescent="0.35">
      <c r="A590" s="6">
        <v>2</v>
      </c>
      <c r="B590" s="3">
        <v>1</v>
      </c>
      <c r="C590" s="11" t="s">
        <v>114</v>
      </c>
      <c r="D590" s="2">
        <v>525</v>
      </c>
      <c r="E590" s="2">
        <v>8.0562740000000002</v>
      </c>
      <c r="F590" s="2">
        <v>2.5468000000000001E-2</v>
      </c>
      <c r="G590" s="2">
        <v>8.0063354800000006</v>
      </c>
      <c r="H590" s="2">
        <v>8.10621306</v>
      </c>
      <c r="J590" t="str">
        <f t="shared" si="20"/>
        <v>8.06 (8.01 to 8.11)</v>
      </c>
    </row>
    <row r="591" spans="1:15" ht="17.25" thickBot="1" x14ac:dyDescent="0.35">
      <c r="A591" s="6"/>
      <c r="B591" s="3">
        <v>2</v>
      </c>
      <c r="C591" s="11" t="s">
        <v>114</v>
      </c>
      <c r="D591" s="2">
        <v>5258</v>
      </c>
      <c r="E591" s="2">
        <v>8.3174469999999996</v>
      </c>
      <c r="F591" s="2">
        <v>1.1032999999999999E-2</v>
      </c>
      <c r="G591" s="2">
        <v>8.2958132300000003</v>
      </c>
      <c r="H591" s="2">
        <v>8.3390811599999992</v>
      </c>
      <c r="J591" t="str">
        <f t="shared" si="20"/>
        <v>8.32 (8.30 to 8.34)</v>
      </c>
    </row>
    <row r="592" spans="1:15" ht="17.25" thickBot="1" x14ac:dyDescent="0.35">
      <c r="A592" s="6"/>
      <c r="B592" s="3">
        <v>3</v>
      </c>
      <c r="C592" s="11" t="s">
        <v>114</v>
      </c>
      <c r="D592" s="2">
        <v>3114</v>
      </c>
      <c r="E592" s="2">
        <v>8.6296440000000008</v>
      </c>
      <c r="F592" s="2">
        <v>1.6E-2</v>
      </c>
      <c r="G592" s="2">
        <v>8.5982713400000002</v>
      </c>
      <c r="H592" s="2">
        <v>8.6610165400000003</v>
      </c>
      <c r="J592" t="str">
        <f t="shared" si="20"/>
        <v>8.63 (8.60 to 8.66)</v>
      </c>
    </row>
    <row r="593" spans="1:10" ht="17.25" thickBot="1" x14ac:dyDescent="0.35">
      <c r="A593" s="6"/>
      <c r="B593" s="3">
        <v>4</v>
      </c>
      <c r="C593" s="11" t="s">
        <v>114</v>
      </c>
      <c r="D593" s="2">
        <v>4219</v>
      </c>
      <c r="E593" s="2">
        <v>8.8692530000000005</v>
      </c>
      <c r="F593" s="2">
        <v>1.273E-2</v>
      </c>
      <c r="G593" s="2">
        <v>8.8442919</v>
      </c>
      <c r="H593" s="2">
        <v>8.8942134900000003</v>
      </c>
      <c r="J593" t="str">
        <f t="shared" si="20"/>
        <v>8.87 (8.84 to 8.89)</v>
      </c>
    </row>
    <row r="594" spans="1:10" ht="17.25" thickBot="1" x14ac:dyDescent="0.35">
      <c r="A594" s="6">
        <v>3</v>
      </c>
      <c r="B594" s="3">
        <v>1</v>
      </c>
      <c r="C594" s="11" t="s">
        <v>114</v>
      </c>
      <c r="D594" s="2">
        <v>454</v>
      </c>
      <c r="E594" s="2">
        <v>8.0612259999999996</v>
      </c>
      <c r="F594" s="2">
        <v>2.5856000000000001E-2</v>
      </c>
      <c r="G594" s="2">
        <v>8.0105283899999993</v>
      </c>
      <c r="H594" s="2">
        <v>8.1119245000000006</v>
      </c>
      <c r="J594" t="str">
        <f t="shared" si="20"/>
        <v>8.06 (8.01 to 8.11)</v>
      </c>
    </row>
    <row r="595" spans="1:10" ht="17.25" thickBot="1" x14ac:dyDescent="0.35">
      <c r="A595" s="6"/>
      <c r="B595" s="3">
        <v>2</v>
      </c>
      <c r="C595" s="11" t="s">
        <v>114</v>
      </c>
      <c r="D595" s="2">
        <v>4525</v>
      </c>
      <c r="E595" s="2">
        <v>8.3398529999999997</v>
      </c>
      <c r="F595" s="2">
        <v>1.0935E-2</v>
      </c>
      <c r="G595" s="2">
        <v>8.3184128899999994</v>
      </c>
      <c r="H595" s="2">
        <v>8.3612941000000003</v>
      </c>
      <c r="J595" t="str">
        <f t="shared" si="20"/>
        <v>8.34 (8.32 to 8.36)</v>
      </c>
    </row>
    <row r="596" spans="1:10" ht="17.25" thickBot="1" x14ac:dyDescent="0.35">
      <c r="A596" s="6"/>
      <c r="B596" s="3">
        <v>3</v>
      </c>
      <c r="C596" s="11" t="s">
        <v>114</v>
      </c>
      <c r="D596" s="2">
        <v>2758</v>
      </c>
      <c r="E596" s="2">
        <v>8.6585599999999996</v>
      </c>
      <c r="F596" s="2">
        <v>1.5103999999999999E-2</v>
      </c>
      <c r="G596" s="2">
        <v>8.6289440899999992</v>
      </c>
      <c r="H596" s="2">
        <v>8.6881766000000002</v>
      </c>
      <c r="J596" t="str">
        <f t="shared" si="20"/>
        <v>8.66 (8.63 to 8.69)</v>
      </c>
    </row>
    <row r="597" spans="1:10" ht="17.25" thickBot="1" x14ac:dyDescent="0.35">
      <c r="A597" s="6"/>
      <c r="B597" s="3">
        <v>4</v>
      </c>
      <c r="C597" s="11" t="s">
        <v>114</v>
      </c>
      <c r="D597" s="2">
        <v>3738</v>
      </c>
      <c r="E597" s="2">
        <v>8.9204019999999993</v>
      </c>
      <c r="F597" s="2">
        <v>1.2992999999999999E-2</v>
      </c>
      <c r="G597" s="2">
        <v>8.8949251399999998</v>
      </c>
      <c r="H597" s="2">
        <v>8.9458796899999999</v>
      </c>
      <c r="J597" t="str">
        <f t="shared" si="20"/>
        <v>8.92 (8.89 to 8.95)</v>
      </c>
    </row>
    <row r="598" spans="1:10" ht="17.25" thickBot="1" x14ac:dyDescent="0.35">
      <c r="A598" s="6">
        <v>4</v>
      </c>
      <c r="B598" s="3">
        <v>1</v>
      </c>
      <c r="C598" s="11" t="s">
        <v>114</v>
      </c>
      <c r="D598" s="2">
        <v>531</v>
      </c>
      <c r="E598" s="2">
        <v>8.1091119999999997</v>
      </c>
      <c r="F598" s="2">
        <v>2.2203000000000001E-2</v>
      </c>
      <c r="G598" s="2">
        <v>8.0655759200000006</v>
      </c>
      <c r="H598" s="2">
        <v>8.1526488199999996</v>
      </c>
      <c r="J598" t="str">
        <f t="shared" si="20"/>
        <v>8.11 (8.07 to 8.15)</v>
      </c>
    </row>
    <row r="599" spans="1:10" ht="17.25" thickBot="1" x14ac:dyDescent="0.35">
      <c r="A599" s="6"/>
      <c r="B599" s="3">
        <v>2</v>
      </c>
      <c r="C599" s="11" t="s">
        <v>114</v>
      </c>
      <c r="D599" s="2">
        <v>5470</v>
      </c>
      <c r="E599" s="2">
        <v>8.3618199999999998</v>
      </c>
      <c r="F599" s="2">
        <v>1.009E-2</v>
      </c>
      <c r="G599" s="2">
        <v>8.3420363200000001</v>
      </c>
      <c r="H599" s="2">
        <v>8.3816039900000003</v>
      </c>
      <c r="J599" t="str">
        <f t="shared" si="20"/>
        <v>8.36 (8.34 to 8.38)</v>
      </c>
    </row>
    <row r="600" spans="1:10" ht="17.25" thickBot="1" x14ac:dyDescent="0.35">
      <c r="A600" s="6"/>
      <c r="B600" s="3">
        <v>3</v>
      </c>
      <c r="C600" s="11" t="s">
        <v>114</v>
      </c>
      <c r="D600" s="2">
        <v>3265</v>
      </c>
      <c r="E600" s="2">
        <v>8.671011</v>
      </c>
      <c r="F600" s="2">
        <v>1.4914999999999999E-2</v>
      </c>
      <c r="G600" s="2">
        <v>8.6417658799999995</v>
      </c>
      <c r="H600" s="2">
        <v>8.7002566199999993</v>
      </c>
      <c r="J600" t="str">
        <f t="shared" si="20"/>
        <v>8.67 (8.64 to 8.70)</v>
      </c>
    </row>
    <row r="601" spans="1:10" ht="17.25" thickBot="1" x14ac:dyDescent="0.35">
      <c r="A601" s="6"/>
      <c r="B601" s="3">
        <v>4</v>
      </c>
      <c r="C601" s="11" t="s">
        <v>114</v>
      </c>
      <c r="D601" s="2">
        <v>4892</v>
      </c>
      <c r="E601" s="2">
        <v>8.9016850000000005</v>
      </c>
      <c r="F601" s="2">
        <v>1.1597E-2</v>
      </c>
      <c r="G601" s="2">
        <v>8.8789458000000003</v>
      </c>
      <c r="H601" s="2">
        <v>8.9244239800000003</v>
      </c>
      <c r="J601" t="str">
        <f t="shared" si="20"/>
        <v>8.90 (8.88 to 8.92)</v>
      </c>
    </row>
    <row r="602" spans="1:10" ht="17.25" thickBot="1" x14ac:dyDescent="0.35">
      <c r="A602" s="6">
        <v>5</v>
      </c>
      <c r="B602" s="3">
        <v>1</v>
      </c>
      <c r="C602" s="11" t="s">
        <v>114</v>
      </c>
      <c r="D602" s="2">
        <v>522</v>
      </c>
      <c r="E602" s="2">
        <v>8.0663210000000003</v>
      </c>
      <c r="F602" s="2">
        <v>2.4726000000000001E-2</v>
      </c>
      <c r="G602" s="2">
        <v>8.0178381400000003</v>
      </c>
      <c r="H602" s="2">
        <v>8.11480405</v>
      </c>
      <c r="J602" t="str">
        <f t="shared" si="20"/>
        <v>8.07 (8.02 to 8.11)</v>
      </c>
    </row>
    <row r="603" spans="1:10" ht="17.25" thickBot="1" x14ac:dyDescent="0.35">
      <c r="A603" s="6"/>
      <c r="B603" s="3">
        <v>2</v>
      </c>
      <c r="C603" s="11" t="s">
        <v>114</v>
      </c>
      <c r="D603" s="2">
        <v>4948</v>
      </c>
      <c r="E603" s="2">
        <v>8.3380539999999996</v>
      </c>
      <c r="F603" s="2">
        <v>1.0385E-2</v>
      </c>
      <c r="G603" s="2">
        <v>8.3176909299999995</v>
      </c>
      <c r="H603" s="2">
        <v>8.3584163399999998</v>
      </c>
      <c r="J603" t="str">
        <f t="shared" si="20"/>
        <v>8.34 (8.32 to 8.36)</v>
      </c>
    </row>
    <row r="604" spans="1:10" ht="17.25" thickBot="1" x14ac:dyDescent="0.35">
      <c r="A604" s="6"/>
      <c r="B604" s="3">
        <v>3</v>
      </c>
      <c r="C604" s="11" t="s">
        <v>114</v>
      </c>
      <c r="D604" s="2">
        <v>3184</v>
      </c>
      <c r="E604" s="2">
        <v>8.6174680000000006</v>
      </c>
      <c r="F604" s="2">
        <v>1.3096E-2</v>
      </c>
      <c r="G604" s="2">
        <v>8.5917883899999996</v>
      </c>
      <c r="H604" s="2">
        <v>8.6431471799999997</v>
      </c>
      <c r="J604" t="str">
        <f t="shared" si="20"/>
        <v>8.62 (8.59 to 8.64)</v>
      </c>
    </row>
    <row r="605" spans="1:10" ht="17.25" thickBot="1" x14ac:dyDescent="0.35">
      <c r="A605" s="6"/>
      <c r="B605" s="3">
        <v>4</v>
      </c>
      <c r="C605" s="11" t="s">
        <v>114</v>
      </c>
      <c r="D605" s="2">
        <v>4901</v>
      </c>
      <c r="E605" s="2">
        <v>8.8660359999999994</v>
      </c>
      <c r="F605" s="2">
        <v>1.0914E-2</v>
      </c>
      <c r="G605" s="2">
        <v>8.8446356300000009</v>
      </c>
      <c r="H605" s="2">
        <v>8.8874364799999999</v>
      </c>
      <c r="J605" t="str">
        <f t="shared" si="20"/>
        <v>8.87 (8.84 to 8.89)</v>
      </c>
    </row>
    <row r="606" spans="1:10" ht="17.25" thickBot="1" x14ac:dyDescent="0.35">
      <c r="A606" s="6">
        <v>6</v>
      </c>
      <c r="B606" s="3">
        <v>1</v>
      </c>
      <c r="C606" s="11" t="s">
        <v>114</v>
      </c>
      <c r="D606" s="2">
        <v>212</v>
      </c>
      <c r="E606" s="2">
        <v>8.1400489999999994</v>
      </c>
      <c r="F606" s="2">
        <v>3.0949999999999998E-2</v>
      </c>
      <c r="G606" s="2">
        <v>8.0793619499999991</v>
      </c>
      <c r="H606" s="2">
        <v>8.2007350799999994</v>
      </c>
      <c r="J606" t="str">
        <f t="shared" si="20"/>
        <v>8.14 (8.08 to 8.20)</v>
      </c>
    </row>
    <row r="607" spans="1:10" ht="17.25" thickBot="1" x14ac:dyDescent="0.35">
      <c r="A607" s="6"/>
      <c r="B607" s="3">
        <v>2</v>
      </c>
      <c r="C607" s="11" t="s">
        <v>114</v>
      </c>
      <c r="D607" s="2">
        <v>1581</v>
      </c>
      <c r="E607" s="2">
        <v>8.3532469999999996</v>
      </c>
      <c r="F607" s="2">
        <v>1.6097E-2</v>
      </c>
      <c r="G607" s="2">
        <v>8.3216841299999995</v>
      </c>
      <c r="H607" s="2">
        <v>8.3848101499999999</v>
      </c>
      <c r="J607" t="str">
        <f t="shared" si="20"/>
        <v>8.35 (8.32 to 8.38)</v>
      </c>
    </row>
    <row r="608" spans="1:10" ht="17.25" thickBot="1" x14ac:dyDescent="0.35">
      <c r="A608" s="6"/>
      <c r="B608" s="3">
        <v>3</v>
      </c>
      <c r="C608" s="11" t="s">
        <v>114</v>
      </c>
      <c r="D608" s="2">
        <v>986</v>
      </c>
      <c r="E608" s="2">
        <v>8.6035400000000006</v>
      </c>
      <c r="F608" s="2">
        <v>2.1117E-2</v>
      </c>
      <c r="G608" s="2">
        <v>8.5621328200000004</v>
      </c>
      <c r="H608" s="2">
        <v>8.6449470099999992</v>
      </c>
      <c r="J608" t="str">
        <f t="shared" si="20"/>
        <v>8.60 (8.56 to 8.64)</v>
      </c>
    </row>
    <row r="609" spans="1:10" x14ac:dyDescent="0.3">
      <c r="A609" s="6"/>
      <c r="B609" s="3">
        <v>4</v>
      </c>
      <c r="C609" s="14" t="s">
        <v>114</v>
      </c>
      <c r="D609" s="2">
        <v>1637</v>
      </c>
      <c r="E609" s="2">
        <v>8.8591560000000005</v>
      </c>
      <c r="F609" s="2">
        <v>1.7389999999999999E-2</v>
      </c>
      <c r="G609" s="2">
        <v>8.8250575100000006</v>
      </c>
      <c r="H609" s="2">
        <v>8.8932542199999993</v>
      </c>
      <c r="J609" t="str">
        <f t="shared" si="20"/>
        <v>8.86 (8.83 to 8.89)</v>
      </c>
    </row>
    <row r="613" spans="1:10" x14ac:dyDescent="0.3">
      <c r="A613" s="1" t="s">
        <v>237</v>
      </c>
    </row>
    <row r="615" spans="1:10" x14ac:dyDescent="0.3">
      <c r="A615" s="1" t="s">
        <v>1</v>
      </c>
    </row>
    <row r="616" spans="1:10" ht="17.25" thickBot="1" x14ac:dyDescent="0.35"/>
    <row r="617" spans="1:10" ht="16.5" customHeight="1" x14ac:dyDescent="0.3">
      <c r="A617" s="16" t="s">
        <v>135</v>
      </c>
      <c r="B617" s="18"/>
    </row>
    <row r="618" spans="1:10" ht="26.25" thickBot="1" x14ac:dyDescent="0.35">
      <c r="A618" s="12" t="s">
        <v>136</v>
      </c>
      <c r="B618" s="2">
        <v>183</v>
      </c>
    </row>
    <row r="619" spans="1:10" ht="26.25" thickBot="1" x14ac:dyDescent="0.35">
      <c r="A619" s="12" t="s">
        <v>137</v>
      </c>
      <c r="B619" s="2">
        <v>2949</v>
      </c>
    </row>
    <row r="620" spans="1:10" ht="39" thickBot="1" x14ac:dyDescent="0.35">
      <c r="A620" s="12" t="s">
        <v>138</v>
      </c>
      <c r="B620" s="2">
        <v>23222</v>
      </c>
    </row>
    <row r="621" spans="1:10" ht="25.5" x14ac:dyDescent="0.3">
      <c r="A621" s="13" t="s">
        <v>139</v>
      </c>
      <c r="B621" s="2">
        <v>9036880.5199999996</v>
      </c>
    </row>
    <row r="622" spans="1:10" ht="17.25" thickBot="1" x14ac:dyDescent="0.35"/>
    <row r="623" spans="1:10" ht="33" customHeight="1" x14ac:dyDescent="0.3">
      <c r="A623" s="16" t="s">
        <v>140</v>
      </c>
      <c r="B623" s="18"/>
    </row>
    <row r="624" spans="1:10" ht="33.75" thickBot="1" x14ac:dyDescent="0.35">
      <c r="A624" s="12" t="s">
        <v>141</v>
      </c>
      <c r="B624" s="2" t="s">
        <v>142</v>
      </c>
    </row>
    <row r="625" spans="1:8" ht="25.5" x14ac:dyDescent="0.3">
      <c r="A625" s="13" t="s">
        <v>143</v>
      </c>
      <c r="B625" s="2" t="s">
        <v>144</v>
      </c>
    </row>
    <row r="626" spans="1:8" ht="17.25" thickBot="1" x14ac:dyDescent="0.35"/>
    <row r="627" spans="1:8" ht="16.5" customHeight="1" x14ac:dyDescent="0.3">
      <c r="A627" s="16" t="s">
        <v>238</v>
      </c>
      <c r="B627" s="18"/>
      <c r="C627" s="18"/>
      <c r="D627" s="18"/>
      <c r="E627" s="18"/>
      <c r="F627" s="18"/>
    </row>
    <row r="628" spans="1:8" x14ac:dyDescent="0.3">
      <c r="A628" s="17" t="s">
        <v>239</v>
      </c>
      <c r="B628" s="19" t="s">
        <v>94</v>
      </c>
      <c r="C628" s="19" t="s">
        <v>240</v>
      </c>
      <c r="D628" s="3" t="s">
        <v>241</v>
      </c>
      <c r="E628" s="19" t="s">
        <v>243</v>
      </c>
      <c r="F628" s="19"/>
    </row>
    <row r="629" spans="1:8" x14ac:dyDescent="0.3">
      <c r="A629" s="17"/>
      <c r="B629" s="19"/>
      <c r="C629" s="19"/>
      <c r="D629" s="3" t="s">
        <v>242</v>
      </c>
      <c r="E629" s="19"/>
      <c r="F629" s="19"/>
    </row>
    <row r="630" spans="1:8" x14ac:dyDescent="0.3">
      <c r="A630" s="13" t="s">
        <v>114</v>
      </c>
      <c r="B630" s="2">
        <v>23222</v>
      </c>
      <c r="C630" s="2">
        <v>8.4582850000000001</v>
      </c>
      <c r="D630" s="2">
        <v>5.8770000000000003E-3</v>
      </c>
      <c r="E630" s="2">
        <v>8.4467599599999996</v>
      </c>
      <c r="F630" s="2">
        <v>8.4698092999999997</v>
      </c>
    </row>
    <row r="634" spans="1:8" x14ac:dyDescent="0.3">
      <c r="A634" s="1" t="s">
        <v>237</v>
      </c>
    </row>
    <row r="636" spans="1:8" x14ac:dyDescent="0.3">
      <c r="A636" s="1" t="s">
        <v>1</v>
      </c>
    </row>
    <row r="637" spans="1:8" ht="17.25" thickBot="1" x14ac:dyDescent="0.35"/>
    <row r="638" spans="1:8" ht="16.5" customHeight="1" x14ac:dyDescent="0.3">
      <c r="A638" s="16" t="s">
        <v>256</v>
      </c>
      <c r="B638" s="18"/>
      <c r="C638" s="18"/>
      <c r="D638" s="18"/>
      <c r="E638" s="18"/>
      <c r="F638" s="18"/>
      <c r="G638" s="18"/>
      <c r="H638" s="18"/>
    </row>
    <row r="639" spans="1:8" x14ac:dyDescent="0.3">
      <c r="A639" s="17" t="s">
        <v>249</v>
      </c>
      <c r="B639" s="19" t="s">
        <v>11</v>
      </c>
      <c r="C639" s="19" t="s">
        <v>239</v>
      </c>
      <c r="D639" s="19" t="s">
        <v>94</v>
      </c>
      <c r="E639" s="19" t="s">
        <v>240</v>
      </c>
      <c r="F639" s="3" t="s">
        <v>241</v>
      </c>
      <c r="G639" s="19" t="s">
        <v>243</v>
      </c>
      <c r="H639" s="19"/>
    </row>
    <row r="640" spans="1:8" x14ac:dyDescent="0.3">
      <c r="A640" s="17"/>
      <c r="B640" s="19"/>
      <c r="C640" s="19"/>
      <c r="D640" s="19"/>
      <c r="E640" s="19"/>
      <c r="F640" s="3" t="s">
        <v>242</v>
      </c>
      <c r="G640" s="19"/>
      <c r="H640" s="19"/>
    </row>
    <row r="641" spans="1:8" ht="17.25" thickBot="1" x14ac:dyDescent="0.35">
      <c r="A641" s="6">
        <v>1</v>
      </c>
      <c r="B641" s="3">
        <v>1</v>
      </c>
      <c r="C641" s="11" t="s">
        <v>114</v>
      </c>
      <c r="D641" s="2">
        <v>2539</v>
      </c>
      <c r="E641" s="2">
        <v>8.7066649999999992</v>
      </c>
      <c r="F641" s="2">
        <v>1.6635E-2</v>
      </c>
      <c r="G641" s="2">
        <v>8.6740466099999995</v>
      </c>
      <c r="H641" s="2">
        <v>8.7392839099999993</v>
      </c>
    </row>
    <row r="642" spans="1:8" ht="17.25" thickBot="1" x14ac:dyDescent="0.35">
      <c r="A642" s="6"/>
      <c r="B642" s="3">
        <v>2</v>
      </c>
      <c r="C642" s="11" t="s">
        <v>114</v>
      </c>
      <c r="D642" s="2">
        <v>1165</v>
      </c>
      <c r="E642" s="2">
        <v>8.1690489999999993</v>
      </c>
      <c r="F642" s="2">
        <v>2.1107000000000001E-2</v>
      </c>
      <c r="G642" s="2">
        <v>8.1276624700000006</v>
      </c>
      <c r="H642" s="2">
        <v>8.2104359599999999</v>
      </c>
    </row>
    <row r="643" spans="1:8" ht="17.25" thickBot="1" x14ac:dyDescent="0.35">
      <c r="A643" s="6"/>
      <c r="B643" s="3">
        <v>8</v>
      </c>
      <c r="C643" s="11" t="s">
        <v>114</v>
      </c>
      <c r="D643" s="2">
        <v>36</v>
      </c>
      <c r="E643" s="2">
        <v>8.5928419999999992</v>
      </c>
      <c r="F643" s="2">
        <v>9.2673000000000005E-2</v>
      </c>
      <c r="G643" s="2">
        <v>8.4111261000000006</v>
      </c>
      <c r="H643" s="2">
        <v>8.7745577600000004</v>
      </c>
    </row>
    <row r="644" spans="1:8" ht="17.25" thickBot="1" x14ac:dyDescent="0.35">
      <c r="A644" s="6">
        <v>2</v>
      </c>
      <c r="B644" s="3">
        <v>1</v>
      </c>
      <c r="C644" s="11" t="s">
        <v>114</v>
      </c>
      <c r="D644" s="2">
        <v>2480</v>
      </c>
      <c r="E644" s="2">
        <v>8.6594320000000007</v>
      </c>
      <c r="F644" s="2">
        <v>1.6771999999999999E-2</v>
      </c>
      <c r="G644" s="2">
        <v>8.6265457699999999</v>
      </c>
      <c r="H644" s="2">
        <v>8.6923181100000004</v>
      </c>
    </row>
    <row r="645" spans="1:8" ht="17.25" thickBot="1" x14ac:dyDescent="0.35">
      <c r="A645" s="6"/>
      <c r="B645" s="3">
        <v>2</v>
      </c>
      <c r="C645" s="11" t="s">
        <v>114</v>
      </c>
      <c r="D645" s="2">
        <v>2247</v>
      </c>
      <c r="E645" s="2">
        <v>8.1191089999999999</v>
      </c>
      <c r="F645" s="2">
        <v>1.5402000000000001E-2</v>
      </c>
      <c r="G645" s="2">
        <v>8.0889079400000004</v>
      </c>
      <c r="H645" s="2">
        <v>8.1493099000000004</v>
      </c>
    </row>
    <row r="646" spans="1:8" ht="17.25" thickBot="1" x14ac:dyDescent="0.35">
      <c r="A646" s="6"/>
      <c r="B646" s="3">
        <v>8</v>
      </c>
      <c r="C646" s="11" t="s">
        <v>114</v>
      </c>
      <c r="D646" s="2">
        <v>5</v>
      </c>
      <c r="E646" s="2">
        <v>8.2121189999999995</v>
      </c>
      <c r="F646" s="2">
        <v>0.27968399999999999</v>
      </c>
      <c r="G646" s="2">
        <v>7.6637091699999997</v>
      </c>
      <c r="H646" s="2">
        <v>8.7605295499999993</v>
      </c>
    </row>
    <row r="647" spans="1:8" ht="17.25" thickBot="1" x14ac:dyDescent="0.35">
      <c r="A647" s="6">
        <v>3</v>
      </c>
      <c r="B647" s="3">
        <v>1</v>
      </c>
      <c r="C647" s="11" t="s">
        <v>114</v>
      </c>
      <c r="D647" s="2">
        <v>2430</v>
      </c>
      <c r="E647" s="2">
        <v>8.706467</v>
      </c>
      <c r="F647" s="2">
        <v>1.7247999999999999E-2</v>
      </c>
      <c r="G647" s="2">
        <v>8.6726465499999996</v>
      </c>
      <c r="H647" s="2">
        <v>8.7402876000000003</v>
      </c>
    </row>
    <row r="648" spans="1:8" ht="17.25" thickBot="1" x14ac:dyDescent="0.35">
      <c r="A648" s="6"/>
      <c r="B648" s="3">
        <v>2</v>
      </c>
      <c r="C648" s="11" t="s">
        <v>114</v>
      </c>
      <c r="D648" s="2">
        <v>1824</v>
      </c>
      <c r="E648" s="2">
        <v>8.1917720000000003</v>
      </c>
      <c r="F648" s="2">
        <v>1.7024999999999998E-2</v>
      </c>
      <c r="G648" s="2">
        <v>8.1583891299999998</v>
      </c>
      <c r="H648" s="2">
        <v>8.2251556699999995</v>
      </c>
    </row>
    <row r="649" spans="1:8" ht="17.25" thickBot="1" x14ac:dyDescent="0.35">
      <c r="A649" s="6"/>
      <c r="B649" s="3">
        <v>8</v>
      </c>
      <c r="C649" s="11" t="s">
        <v>114</v>
      </c>
      <c r="D649" s="2">
        <v>3</v>
      </c>
      <c r="E649" s="2">
        <v>7.6859520000000003</v>
      </c>
      <c r="F649" s="2">
        <v>1.1871E-2</v>
      </c>
      <c r="G649" s="2">
        <v>7.6626756599999997</v>
      </c>
      <c r="H649" s="2">
        <v>7.7092275600000004</v>
      </c>
    </row>
    <row r="650" spans="1:8" ht="17.25" thickBot="1" x14ac:dyDescent="0.35">
      <c r="A650" s="6">
        <v>4</v>
      </c>
      <c r="B650" s="3">
        <v>1</v>
      </c>
      <c r="C650" s="11" t="s">
        <v>114</v>
      </c>
      <c r="D650" s="2">
        <v>2588</v>
      </c>
      <c r="E650" s="2">
        <v>8.7197929999999992</v>
      </c>
      <c r="F650" s="2">
        <v>1.6514000000000001E-2</v>
      </c>
      <c r="G650" s="2">
        <v>8.6874128200000005</v>
      </c>
      <c r="H650" s="2">
        <v>8.7521729300000004</v>
      </c>
    </row>
    <row r="651" spans="1:8" ht="17.25" thickBot="1" x14ac:dyDescent="0.35">
      <c r="A651" s="6"/>
      <c r="B651" s="3">
        <v>2</v>
      </c>
      <c r="C651" s="11" t="s">
        <v>114</v>
      </c>
      <c r="D651" s="2">
        <v>1968</v>
      </c>
      <c r="E651" s="2">
        <v>8.2353570000000005</v>
      </c>
      <c r="F651" s="2">
        <v>1.7274999999999999E-2</v>
      </c>
      <c r="G651" s="2">
        <v>8.2014840099999997</v>
      </c>
      <c r="H651" s="2">
        <v>8.2692297999999997</v>
      </c>
    </row>
    <row r="652" spans="1:8" ht="17.25" thickBot="1" x14ac:dyDescent="0.35">
      <c r="A652" s="6">
        <v>5</v>
      </c>
      <c r="B652" s="3">
        <v>1</v>
      </c>
      <c r="C652" s="11" t="s">
        <v>114</v>
      </c>
      <c r="D652" s="2">
        <v>2684</v>
      </c>
      <c r="E652" s="2">
        <v>8.6792069999999999</v>
      </c>
      <c r="F652" s="2">
        <v>1.5664000000000001E-2</v>
      </c>
      <c r="G652" s="2">
        <v>8.6484913199999998</v>
      </c>
      <c r="H652" s="2">
        <v>8.7099218100000009</v>
      </c>
    </row>
    <row r="653" spans="1:8" ht="17.25" thickBot="1" x14ac:dyDescent="0.35">
      <c r="A653" s="6"/>
      <c r="B653" s="3">
        <v>2</v>
      </c>
      <c r="C653" s="11" t="s">
        <v>114</v>
      </c>
      <c r="D653" s="2">
        <v>1815</v>
      </c>
      <c r="E653" s="2">
        <v>8.2440899999999999</v>
      </c>
      <c r="F653" s="2">
        <v>1.7871999999999999E-2</v>
      </c>
      <c r="G653" s="2">
        <v>8.2090458399999999</v>
      </c>
      <c r="H653" s="2">
        <v>8.2791341099999993</v>
      </c>
    </row>
    <row r="654" spans="1:8" ht="17.25" thickBot="1" x14ac:dyDescent="0.35">
      <c r="A654" s="6"/>
      <c r="B654" s="3">
        <v>8</v>
      </c>
      <c r="C654" s="11" t="s">
        <v>114</v>
      </c>
      <c r="D654" s="2">
        <v>2</v>
      </c>
      <c r="E654" s="2">
        <v>7.7249619999999997</v>
      </c>
      <c r="F654" s="2">
        <v>0</v>
      </c>
      <c r="G654" s="2">
        <v>7.7249617099999996</v>
      </c>
      <c r="H654" s="2">
        <v>7.7249617099999996</v>
      </c>
    </row>
    <row r="655" spans="1:8" ht="17.25" thickBot="1" x14ac:dyDescent="0.35">
      <c r="A655" s="6">
        <v>6</v>
      </c>
      <c r="B655" s="3">
        <v>1</v>
      </c>
      <c r="C655" s="11" t="s">
        <v>114</v>
      </c>
      <c r="D655" s="2">
        <v>895</v>
      </c>
      <c r="E655" s="2">
        <v>8.677187</v>
      </c>
      <c r="F655" s="2">
        <v>2.2343999999999999E-2</v>
      </c>
      <c r="G655" s="2">
        <v>8.6333743599999995</v>
      </c>
      <c r="H655" s="2">
        <v>8.7209988299999992</v>
      </c>
    </row>
    <row r="656" spans="1:8" x14ac:dyDescent="0.3">
      <c r="A656" s="6"/>
      <c r="B656" s="3">
        <v>2</v>
      </c>
      <c r="C656" s="14" t="s">
        <v>114</v>
      </c>
      <c r="D656" s="2">
        <v>541</v>
      </c>
      <c r="E656" s="2">
        <v>8.2412240000000008</v>
      </c>
      <c r="F656" s="2">
        <v>2.6783000000000001E-2</v>
      </c>
      <c r="G656" s="2">
        <v>8.1887070200000007</v>
      </c>
      <c r="H656" s="2">
        <v>8.2937409199999994</v>
      </c>
    </row>
    <row r="660" spans="1:2" x14ac:dyDescent="0.3">
      <c r="A660" s="1" t="s">
        <v>237</v>
      </c>
    </row>
    <row r="662" spans="1:2" x14ac:dyDescent="0.3">
      <c r="A662" s="1" t="s">
        <v>21</v>
      </c>
    </row>
    <row r="663" spans="1:2" ht="17.25" thickBot="1" x14ac:dyDescent="0.35"/>
    <row r="664" spans="1:2" ht="16.5" customHeight="1" x14ac:dyDescent="0.3">
      <c r="A664" s="16" t="s">
        <v>135</v>
      </c>
      <c r="B664" s="18"/>
    </row>
    <row r="665" spans="1:2" ht="26.25" thickBot="1" x14ac:dyDescent="0.35">
      <c r="A665" s="12" t="s">
        <v>136</v>
      </c>
      <c r="B665" s="2">
        <v>183</v>
      </c>
    </row>
    <row r="666" spans="1:2" ht="26.25" thickBot="1" x14ac:dyDescent="0.35">
      <c r="A666" s="12" t="s">
        <v>137</v>
      </c>
      <c r="B666" s="2">
        <v>2982</v>
      </c>
    </row>
    <row r="667" spans="1:2" ht="39" thickBot="1" x14ac:dyDescent="0.35">
      <c r="A667" s="12" t="s">
        <v>138</v>
      </c>
      <c r="B667" s="2">
        <v>68635</v>
      </c>
    </row>
    <row r="668" spans="1:2" ht="25.5" x14ac:dyDescent="0.3">
      <c r="A668" s="13" t="s">
        <v>139</v>
      </c>
      <c r="B668" s="2">
        <v>30251935.699999999</v>
      </c>
    </row>
    <row r="669" spans="1:2" ht="17.25" thickBot="1" x14ac:dyDescent="0.35"/>
    <row r="670" spans="1:2" ht="33" customHeight="1" x14ac:dyDescent="0.3">
      <c r="A670" s="16" t="s">
        <v>140</v>
      </c>
      <c r="B670" s="18"/>
    </row>
    <row r="671" spans="1:2" ht="33.75" thickBot="1" x14ac:dyDescent="0.35">
      <c r="A671" s="12" t="s">
        <v>141</v>
      </c>
      <c r="B671" s="2" t="s">
        <v>142</v>
      </c>
    </row>
    <row r="672" spans="1:2" ht="25.5" x14ac:dyDescent="0.3">
      <c r="A672" s="13" t="s">
        <v>143</v>
      </c>
      <c r="B672" s="2" t="s">
        <v>144</v>
      </c>
    </row>
    <row r="673" spans="1:15" ht="17.25" thickBot="1" x14ac:dyDescent="0.35"/>
    <row r="674" spans="1:15" ht="16.5" customHeight="1" x14ac:dyDescent="0.3">
      <c r="A674" s="16" t="s">
        <v>238</v>
      </c>
      <c r="B674" s="18"/>
      <c r="C674" s="18"/>
      <c r="D674" s="18"/>
      <c r="E674" s="18"/>
      <c r="F674" s="18"/>
    </row>
    <row r="675" spans="1:15" x14ac:dyDescent="0.3">
      <c r="A675" s="17" t="s">
        <v>239</v>
      </c>
      <c r="B675" s="19" t="s">
        <v>94</v>
      </c>
      <c r="C675" s="19" t="s">
        <v>240</v>
      </c>
      <c r="D675" s="3" t="s">
        <v>241</v>
      </c>
      <c r="E675" s="19" t="s">
        <v>243</v>
      </c>
      <c r="F675" s="19"/>
    </row>
    <row r="676" spans="1:15" x14ac:dyDescent="0.3">
      <c r="A676" s="17"/>
      <c r="B676" s="19"/>
      <c r="C676" s="19"/>
      <c r="D676" s="3" t="s">
        <v>242</v>
      </c>
      <c r="E676" s="19"/>
      <c r="F676" s="19"/>
    </row>
    <row r="677" spans="1:15" x14ac:dyDescent="0.3">
      <c r="A677" s="13" t="s">
        <v>114</v>
      </c>
      <c r="B677" s="2">
        <v>68635</v>
      </c>
      <c r="C677" s="2">
        <v>8.5827570000000009</v>
      </c>
      <c r="D677" s="2">
        <v>3.4259999999999998E-3</v>
      </c>
      <c r="E677" s="2">
        <v>8.5760384700000003</v>
      </c>
      <c r="F677" s="2">
        <v>8.58947489</v>
      </c>
    </row>
    <row r="681" spans="1:15" x14ac:dyDescent="0.3">
      <c r="A681" s="1" t="s">
        <v>237</v>
      </c>
    </row>
    <row r="683" spans="1:15" x14ac:dyDescent="0.3">
      <c r="A683" s="1" t="s">
        <v>21</v>
      </c>
    </row>
    <row r="684" spans="1:15" ht="17.25" thickBot="1" x14ac:dyDescent="0.35"/>
    <row r="685" spans="1:15" ht="16.5" customHeight="1" x14ac:dyDescent="0.3">
      <c r="A685" s="16" t="s">
        <v>256</v>
      </c>
      <c r="B685" s="18"/>
      <c r="C685" s="18"/>
      <c r="D685" s="18"/>
      <c r="E685" s="18"/>
      <c r="F685" s="18"/>
      <c r="G685" s="18"/>
      <c r="H685" s="18"/>
    </row>
    <row r="686" spans="1:15" x14ac:dyDescent="0.3">
      <c r="A686" s="17" t="s">
        <v>249</v>
      </c>
      <c r="B686" s="19" t="s">
        <v>11</v>
      </c>
      <c r="C686" s="19" t="s">
        <v>239</v>
      </c>
      <c r="D686" s="19" t="s">
        <v>94</v>
      </c>
      <c r="E686" s="19" t="s">
        <v>240</v>
      </c>
      <c r="F686" s="3" t="s">
        <v>241</v>
      </c>
      <c r="G686" s="19" t="s">
        <v>243</v>
      </c>
      <c r="H686" s="19"/>
    </row>
    <row r="687" spans="1:15" x14ac:dyDescent="0.3">
      <c r="A687" s="17"/>
      <c r="B687" s="19"/>
      <c r="C687" s="19"/>
      <c r="D687" s="19"/>
      <c r="E687" s="19"/>
      <c r="F687" s="3" t="s">
        <v>242</v>
      </c>
      <c r="G687" s="19"/>
      <c r="H687" s="19"/>
    </row>
    <row r="688" spans="1:15" ht="17.25" thickBot="1" x14ac:dyDescent="0.35">
      <c r="A688" s="6">
        <v>1</v>
      </c>
      <c r="B688" s="3">
        <v>1</v>
      </c>
      <c r="C688" s="11" t="s">
        <v>114</v>
      </c>
      <c r="D688" s="2">
        <v>10177</v>
      </c>
      <c r="E688" s="2">
        <v>8.6253010000000003</v>
      </c>
      <c r="F688" s="2">
        <v>8.8570000000000003E-3</v>
      </c>
      <c r="G688" s="2">
        <v>8.6079336000000009</v>
      </c>
      <c r="H688" s="2">
        <v>8.6426693199999995</v>
      </c>
      <c r="J688" t="str">
        <f t="shared" ref="J688:J699" si="26">TEXT(E688,"0.00")&amp;" ("&amp;TEXT(G688,"0.00")&amp;" to "&amp;TEXT(H688,"0.00")&amp;")"</f>
        <v>8.63 (8.61 to 8.64)</v>
      </c>
      <c r="K688" t="str">
        <f>J690</f>
        <v>8.64 (8.62 to 8.65)</v>
      </c>
      <c r="L688" t="str">
        <f>J692</f>
        <v>8.66 (8.65 to 8.68)</v>
      </c>
      <c r="M688" t="str">
        <f>J694</f>
        <v>8.68 (8.66 to 8.69)</v>
      </c>
      <c r="N688" t="str">
        <f>J696</f>
        <v>8.65 (8.64 to 8.67)</v>
      </c>
      <c r="O688" t="str">
        <f>J698</f>
        <v>8.65 (8.63 to 8.67)</v>
      </c>
    </row>
    <row r="689" spans="1:15" ht="17.25" thickBot="1" x14ac:dyDescent="0.35">
      <c r="A689" s="6"/>
      <c r="B689" s="3">
        <v>2</v>
      </c>
      <c r="C689" s="11" t="s">
        <v>114</v>
      </c>
      <c r="D689" s="2">
        <v>1738</v>
      </c>
      <c r="E689" s="2">
        <v>8.2991620000000008</v>
      </c>
      <c r="F689" s="2">
        <v>1.7259E-2</v>
      </c>
      <c r="G689" s="2">
        <v>8.2653214800000008</v>
      </c>
      <c r="H689" s="2">
        <v>8.3330029299999993</v>
      </c>
      <c r="J689" t="str">
        <f t="shared" si="26"/>
        <v>8.30 (8.27 to 8.33)</v>
      </c>
      <c r="K689" t="str">
        <f>J691</f>
        <v>8.30 (8.27 to 8.34)</v>
      </c>
      <c r="L689" t="str">
        <f>J693</f>
        <v>8.35 (8.32 to 8.38)</v>
      </c>
      <c r="M689" t="str">
        <f>J695</f>
        <v>8.41 (8.38 to 8.44)</v>
      </c>
      <c r="N689" t="str">
        <f>J697</f>
        <v>8.40 (8.37 to 8.44)</v>
      </c>
      <c r="O689" t="str">
        <f>J699</f>
        <v>8.44 (8.38 to 8.49)</v>
      </c>
    </row>
    <row r="690" spans="1:15" ht="17.25" thickBot="1" x14ac:dyDescent="0.35">
      <c r="A690" s="6">
        <v>2</v>
      </c>
      <c r="B690" s="3">
        <v>1</v>
      </c>
      <c r="C690" s="11" t="s">
        <v>114</v>
      </c>
      <c r="D690" s="2">
        <v>11190</v>
      </c>
      <c r="E690" s="2">
        <v>8.6369799999999994</v>
      </c>
      <c r="F690" s="2">
        <v>8.0669999999999995E-3</v>
      </c>
      <c r="G690" s="2">
        <v>8.6211624400000009</v>
      </c>
      <c r="H690" s="2">
        <v>8.6527970799999991</v>
      </c>
      <c r="J690" t="str">
        <f t="shared" si="26"/>
        <v>8.64 (8.62 to 8.65)</v>
      </c>
    </row>
    <row r="691" spans="1:15" ht="17.25" thickBot="1" x14ac:dyDescent="0.35">
      <c r="A691" s="6"/>
      <c r="B691" s="3">
        <v>2</v>
      </c>
      <c r="C691" s="11" t="s">
        <v>114</v>
      </c>
      <c r="D691" s="2">
        <v>1926</v>
      </c>
      <c r="E691" s="2">
        <v>8.3049389999999992</v>
      </c>
      <c r="F691" s="2">
        <v>1.8173000000000002E-2</v>
      </c>
      <c r="G691" s="2">
        <v>8.2693057499999991</v>
      </c>
      <c r="H691" s="2">
        <v>8.3405717799999994</v>
      </c>
      <c r="J691" t="str">
        <f t="shared" si="26"/>
        <v>8.30 (8.27 to 8.34)</v>
      </c>
    </row>
    <row r="692" spans="1:15" ht="17.25" thickBot="1" x14ac:dyDescent="0.35">
      <c r="A692" s="6">
        <v>3</v>
      </c>
      <c r="B692" s="3">
        <v>1</v>
      </c>
      <c r="C692" s="11" t="s">
        <v>114</v>
      </c>
      <c r="D692" s="2">
        <v>9576</v>
      </c>
      <c r="E692" s="2">
        <v>8.6630690000000001</v>
      </c>
      <c r="F692" s="2">
        <v>8.8210000000000007E-3</v>
      </c>
      <c r="G692" s="2">
        <v>8.6457733300000008</v>
      </c>
      <c r="H692" s="2">
        <v>8.6803649899999993</v>
      </c>
      <c r="J692" t="str">
        <f t="shared" si="26"/>
        <v>8.66 (8.65 to 8.68)</v>
      </c>
    </row>
    <row r="693" spans="1:15" ht="17.25" thickBot="1" x14ac:dyDescent="0.35">
      <c r="A693" s="6"/>
      <c r="B693" s="3">
        <v>2</v>
      </c>
      <c r="C693" s="11" t="s">
        <v>114</v>
      </c>
      <c r="D693" s="2">
        <v>1899</v>
      </c>
      <c r="E693" s="2">
        <v>8.3496919999999992</v>
      </c>
      <c r="F693" s="2">
        <v>1.6625000000000001E-2</v>
      </c>
      <c r="G693" s="2">
        <v>8.3170939700000002</v>
      </c>
      <c r="H693" s="2">
        <v>8.3822909699999997</v>
      </c>
      <c r="J693" t="str">
        <f t="shared" si="26"/>
        <v>8.35 (8.32 to 8.38)</v>
      </c>
    </row>
    <row r="694" spans="1:15" ht="17.25" thickBot="1" x14ac:dyDescent="0.35">
      <c r="A694" s="6">
        <v>4</v>
      </c>
      <c r="B694" s="3">
        <v>1</v>
      </c>
      <c r="C694" s="11" t="s">
        <v>114</v>
      </c>
      <c r="D694" s="2">
        <v>11608</v>
      </c>
      <c r="E694" s="2">
        <v>8.6762619999999995</v>
      </c>
      <c r="F694" s="2">
        <v>8.2430000000000003E-3</v>
      </c>
      <c r="G694" s="2">
        <v>8.6600995100000002</v>
      </c>
      <c r="H694" s="2">
        <v>8.6924249299999996</v>
      </c>
      <c r="J694" t="str">
        <f t="shared" si="26"/>
        <v>8.68 (8.66 to 8.69)</v>
      </c>
    </row>
    <row r="695" spans="1:15" ht="17.25" thickBot="1" x14ac:dyDescent="0.35">
      <c r="A695" s="6"/>
      <c r="B695" s="3">
        <v>2</v>
      </c>
      <c r="C695" s="11" t="s">
        <v>114</v>
      </c>
      <c r="D695" s="2">
        <v>2550</v>
      </c>
      <c r="E695" s="2">
        <v>8.4064449999999997</v>
      </c>
      <c r="F695" s="2">
        <v>1.5173000000000001E-2</v>
      </c>
      <c r="G695" s="2">
        <v>8.3766927800000008</v>
      </c>
      <c r="H695" s="2">
        <v>8.4361970100000008</v>
      </c>
      <c r="J695" t="str">
        <f t="shared" si="26"/>
        <v>8.41 (8.38 to 8.44)</v>
      </c>
    </row>
    <row r="696" spans="1:15" ht="17.25" thickBot="1" x14ac:dyDescent="0.35">
      <c r="A696" s="6">
        <v>5</v>
      </c>
      <c r="B696" s="3">
        <v>1</v>
      </c>
      <c r="C696" s="11" t="s">
        <v>114</v>
      </c>
      <c r="D696" s="2">
        <v>10769</v>
      </c>
      <c r="E696" s="2">
        <v>8.6514530000000001</v>
      </c>
      <c r="F696" s="2">
        <v>7.7739999999999997E-3</v>
      </c>
      <c r="G696" s="2">
        <v>8.6362091299999992</v>
      </c>
      <c r="H696" s="2">
        <v>8.6666975199999996</v>
      </c>
      <c r="J696" t="str">
        <f t="shared" si="26"/>
        <v>8.65 (8.64 to 8.67)</v>
      </c>
    </row>
    <row r="697" spans="1:15" ht="17.25" thickBot="1" x14ac:dyDescent="0.35">
      <c r="A697" s="6"/>
      <c r="B697" s="3">
        <v>2</v>
      </c>
      <c r="C697" s="11" t="s">
        <v>114</v>
      </c>
      <c r="D697" s="2">
        <v>2786</v>
      </c>
      <c r="E697" s="2">
        <v>8.4030690000000003</v>
      </c>
      <c r="F697" s="2">
        <v>1.6462999999999998E-2</v>
      </c>
      <c r="G697" s="2">
        <v>8.3707876500000005</v>
      </c>
      <c r="H697" s="2">
        <v>8.4353509899999999</v>
      </c>
      <c r="J697" t="str">
        <f t="shared" si="26"/>
        <v>8.40 (8.37 to 8.44)</v>
      </c>
    </row>
    <row r="698" spans="1:15" ht="17.25" thickBot="1" x14ac:dyDescent="0.35">
      <c r="A698" s="6">
        <v>6</v>
      </c>
      <c r="B698" s="3">
        <v>1</v>
      </c>
      <c r="C698" s="11" t="s">
        <v>114</v>
      </c>
      <c r="D698" s="2">
        <v>3494</v>
      </c>
      <c r="E698" s="2">
        <v>8.6509440000000009</v>
      </c>
      <c r="F698" s="2">
        <v>1.1461000000000001E-2</v>
      </c>
      <c r="G698" s="2">
        <v>8.6284715599999995</v>
      </c>
      <c r="H698" s="2">
        <v>8.6734165700000005</v>
      </c>
      <c r="J698" t="str">
        <f t="shared" si="26"/>
        <v>8.65 (8.63 to 8.67)</v>
      </c>
    </row>
    <row r="699" spans="1:15" x14ac:dyDescent="0.3">
      <c r="A699" s="6"/>
      <c r="B699" s="3">
        <v>2</v>
      </c>
      <c r="C699" s="14" t="s">
        <v>114</v>
      </c>
      <c r="D699" s="2">
        <v>922</v>
      </c>
      <c r="E699" s="2">
        <v>8.4359249999999992</v>
      </c>
      <c r="F699" s="2">
        <v>2.5974000000000001E-2</v>
      </c>
      <c r="G699" s="2">
        <v>8.38499455</v>
      </c>
      <c r="H699" s="2">
        <v>8.4868546400000007</v>
      </c>
      <c r="J699" t="str">
        <f t="shared" si="26"/>
        <v>8.44 (8.38 to 8.49)</v>
      </c>
    </row>
    <row r="703" spans="1:15" x14ac:dyDescent="0.3">
      <c r="A703" s="1" t="s">
        <v>237</v>
      </c>
    </row>
    <row r="705" spans="1:6" x14ac:dyDescent="0.3">
      <c r="A705" s="1" t="s">
        <v>1</v>
      </c>
    </row>
    <row r="706" spans="1:6" ht="17.25" thickBot="1" x14ac:dyDescent="0.35"/>
    <row r="707" spans="1:6" ht="16.5" customHeight="1" x14ac:dyDescent="0.3">
      <c r="A707" s="16" t="s">
        <v>135</v>
      </c>
      <c r="B707" s="18"/>
    </row>
    <row r="708" spans="1:6" ht="26.25" thickBot="1" x14ac:dyDescent="0.35">
      <c r="A708" s="12" t="s">
        <v>136</v>
      </c>
      <c r="B708" s="2">
        <v>183</v>
      </c>
    </row>
    <row r="709" spans="1:6" ht="26.25" thickBot="1" x14ac:dyDescent="0.35">
      <c r="A709" s="12" t="s">
        <v>137</v>
      </c>
      <c r="B709" s="2">
        <v>2949</v>
      </c>
    </row>
    <row r="710" spans="1:6" ht="39" thickBot="1" x14ac:dyDescent="0.35">
      <c r="A710" s="12" t="s">
        <v>138</v>
      </c>
      <c r="B710" s="2">
        <v>23222</v>
      </c>
    </row>
    <row r="711" spans="1:6" ht="25.5" x14ac:dyDescent="0.3">
      <c r="A711" s="13" t="s">
        <v>139</v>
      </c>
      <c r="B711" s="2">
        <v>9036880.5199999996</v>
      </c>
    </row>
    <row r="712" spans="1:6" ht="17.25" thickBot="1" x14ac:dyDescent="0.35"/>
    <row r="713" spans="1:6" ht="33" customHeight="1" x14ac:dyDescent="0.3">
      <c r="A713" s="16" t="s">
        <v>140</v>
      </c>
      <c r="B713" s="18"/>
    </row>
    <row r="714" spans="1:6" ht="33.75" thickBot="1" x14ac:dyDescent="0.35">
      <c r="A714" s="12" t="s">
        <v>141</v>
      </c>
      <c r="B714" s="2" t="s">
        <v>142</v>
      </c>
    </row>
    <row r="715" spans="1:6" ht="25.5" x14ac:dyDescent="0.3">
      <c r="A715" s="13" t="s">
        <v>143</v>
      </c>
      <c r="B715" s="2" t="s">
        <v>144</v>
      </c>
    </row>
    <row r="716" spans="1:6" ht="17.25" thickBot="1" x14ac:dyDescent="0.35"/>
    <row r="717" spans="1:6" ht="16.5" customHeight="1" x14ac:dyDescent="0.3">
      <c r="A717" s="16" t="s">
        <v>238</v>
      </c>
      <c r="B717" s="18"/>
      <c r="C717" s="18"/>
      <c r="D717" s="18"/>
      <c r="E717" s="18"/>
      <c r="F717" s="18"/>
    </row>
    <row r="718" spans="1:6" x14ac:dyDescent="0.3">
      <c r="A718" s="17" t="s">
        <v>239</v>
      </c>
      <c r="B718" s="19" t="s">
        <v>94</v>
      </c>
      <c r="C718" s="19" t="s">
        <v>240</v>
      </c>
      <c r="D718" s="3" t="s">
        <v>241</v>
      </c>
      <c r="E718" s="19" t="s">
        <v>243</v>
      </c>
      <c r="F718" s="19"/>
    </row>
    <row r="719" spans="1:6" x14ac:dyDescent="0.3">
      <c r="A719" s="17"/>
      <c r="B719" s="19"/>
      <c r="C719" s="19"/>
      <c r="D719" s="3" t="s">
        <v>242</v>
      </c>
      <c r="E719" s="19"/>
      <c r="F719" s="19"/>
    </row>
    <row r="720" spans="1:6" x14ac:dyDescent="0.3">
      <c r="A720" s="13" t="s">
        <v>114</v>
      </c>
      <c r="B720" s="2">
        <v>23222</v>
      </c>
      <c r="C720" s="2">
        <v>8.4582850000000001</v>
      </c>
      <c r="D720" s="2">
        <v>5.8770000000000003E-3</v>
      </c>
      <c r="E720" s="2">
        <v>8.4467599599999996</v>
      </c>
      <c r="F720" s="2">
        <v>8.4698092999999997</v>
      </c>
    </row>
    <row r="724" spans="1:8" x14ac:dyDescent="0.3">
      <c r="A724" s="1" t="s">
        <v>237</v>
      </c>
    </row>
    <row r="726" spans="1:8" x14ac:dyDescent="0.3">
      <c r="A726" s="1" t="s">
        <v>1</v>
      </c>
    </row>
    <row r="727" spans="1:8" ht="17.25" thickBot="1" x14ac:dyDescent="0.35"/>
    <row r="728" spans="1:8" ht="16.5" customHeight="1" x14ac:dyDescent="0.3">
      <c r="A728" s="16" t="s">
        <v>257</v>
      </c>
      <c r="B728" s="18"/>
      <c r="C728" s="18"/>
      <c r="D728" s="18"/>
      <c r="E728" s="18"/>
      <c r="F728" s="18"/>
      <c r="G728" s="18"/>
      <c r="H728" s="18"/>
    </row>
    <row r="729" spans="1:8" x14ac:dyDescent="0.3">
      <c r="A729" s="17" t="s">
        <v>249</v>
      </c>
      <c r="B729" s="19" t="s">
        <v>12</v>
      </c>
      <c r="C729" s="19" t="s">
        <v>239</v>
      </c>
      <c r="D729" s="19" t="s">
        <v>94</v>
      </c>
      <c r="E729" s="19" t="s">
        <v>240</v>
      </c>
      <c r="F729" s="3" t="s">
        <v>241</v>
      </c>
      <c r="G729" s="19" t="s">
        <v>243</v>
      </c>
      <c r="H729" s="19"/>
    </row>
    <row r="730" spans="1:8" x14ac:dyDescent="0.3">
      <c r="A730" s="17"/>
      <c r="B730" s="19"/>
      <c r="C730" s="19"/>
      <c r="D730" s="19"/>
      <c r="E730" s="19"/>
      <c r="F730" s="3" t="s">
        <v>242</v>
      </c>
      <c r="G730" s="19"/>
      <c r="H730" s="19"/>
    </row>
    <row r="731" spans="1:8" ht="17.25" thickBot="1" x14ac:dyDescent="0.35">
      <c r="A731" s="6">
        <v>1</v>
      </c>
      <c r="B731" s="3">
        <v>1</v>
      </c>
      <c r="C731" s="11" t="s">
        <v>114</v>
      </c>
      <c r="D731" s="2">
        <v>1680</v>
      </c>
      <c r="E731" s="2">
        <v>8.4079739999999994</v>
      </c>
      <c r="F731" s="2">
        <v>1.9893000000000001E-2</v>
      </c>
      <c r="G731" s="2">
        <v>8.3689672599999998</v>
      </c>
      <c r="H731" s="2">
        <v>8.4469803500000005</v>
      </c>
    </row>
    <row r="732" spans="1:8" ht="17.25" thickBot="1" x14ac:dyDescent="0.35">
      <c r="A732" s="6"/>
      <c r="B732" s="3">
        <v>2</v>
      </c>
      <c r="C732" s="11" t="s">
        <v>114</v>
      </c>
      <c r="D732" s="2">
        <v>1059</v>
      </c>
      <c r="E732" s="2">
        <v>8.5259739999999997</v>
      </c>
      <c r="F732" s="2">
        <v>2.639E-2</v>
      </c>
      <c r="G732" s="2">
        <v>8.4742278399999993</v>
      </c>
      <c r="H732" s="2">
        <v>8.5777193399999998</v>
      </c>
    </row>
    <row r="733" spans="1:8" ht="17.25" thickBot="1" x14ac:dyDescent="0.35">
      <c r="A733" s="6"/>
      <c r="B733" s="3">
        <v>3</v>
      </c>
      <c r="C733" s="11" t="s">
        <v>114</v>
      </c>
      <c r="D733" s="2">
        <v>979</v>
      </c>
      <c r="E733" s="2">
        <v>8.7217590000000005</v>
      </c>
      <c r="F733" s="2">
        <v>3.0852000000000001E-2</v>
      </c>
      <c r="G733" s="2">
        <v>8.6612640699999996</v>
      </c>
      <c r="H733" s="2">
        <v>8.7822544499999999</v>
      </c>
    </row>
    <row r="734" spans="1:8" ht="17.25" thickBot="1" x14ac:dyDescent="0.35">
      <c r="A734" s="6"/>
      <c r="B734" s="3">
        <v>8</v>
      </c>
      <c r="C734" s="11" t="s">
        <v>114</v>
      </c>
      <c r="D734" s="2">
        <v>22</v>
      </c>
      <c r="E734" s="2">
        <v>8.9442710000000005</v>
      </c>
      <c r="F734" s="2">
        <v>0.21873899999999999</v>
      </c>
      <c r="G734" s="2">
        <v>8.5153627800000002</v>
      </c>
      <c r="H734" s="2">
        <v>9.3731798499999996</v>
      </c>
    </row>
    <row r="735" spans="1:8" ht="17.25" thickBot="1" x14ac:dyDescent="0.35">
      <c r="A735" s="6">
        <v>2</v>
      </c>
      <c r="B735" s="3">
        <v>1</v>
      </c>
      <c r="C735" s="11" t="s">
        <v>114</v>
      </c>
      <c r="D735" s="2">
        <v>2102</v>
      </c>
      <c r="E735" s="2">
        <v>8.2273189999999996</v>
      </c>
      <c r="F735" s="2">
        <v>1.6954E-2</v>
      </c>
      <c r="G735" s="2">
        <v>8.1940749099999994</v>
      </c>
      <c r="H735" s="2">
        <v>8.2605637499999993</v>
      </c>
    </row>
    <row r="736" spans="1:8" ht="17.25" thickBot="1" x14ac:dyDescent="0.35">
      <c r="A736" s="6"/>
      <c r="B736" s="3">
        <v>2</v>
      </c>
      <c r="C736" s="11" t="s">
        <v>114</v>
      </c>
      <c r="D736" s="2">
        <v>1750</v>
      </c>
      <c r="E736" s="2">
        <v>8.4207710000000002</v>
      </c>
      <c r="F736" s="2">
        <v>1.9636000000000001E-2</v>
      </c>
      <c r="G736" s="2">
        <v>8.38226841</v>
      </c>
      <c r="H736" s="2">
        <v>8.4592737000000007</v>
      </c>
    </row>
    <row r="737" spans="1:8" ht="17.25" thickBot="1" x14ac:dyDescent="0.35">
      <c r="A737" s="6"/>
      <c r="B737" s="3">
        <v>3</v>
      </c>
      <c r="C737" s="11" t="s">
        <v>114</v>
      </c>
      <c r="D737" s="2">
        <v>790</v>
      </c>
      <c r="E737" s="2">
        <v>8.6106090000000002</v>
      </c>
      <c r="F737" s="2">
        <v>3.2467999999999997E-2</v>
      </c>
      <c r="G737" s="2">
        <v>8.5469456000000008</v>
      </c>
      <c r="H737" s="2">
        <v>8.6742726999999995</v>
      </c>
    </row>
    <row r="738" spans="1:8" ht="17.25" thickBot="1" x14ac:dyDescent="0.35">
      <c r="A738" s="6"/>
      <c r="B738" s="3">
        <v>8</v>
      </c>
      <c r="C738" s="11" t="s">
        <v>114</v>
      </c>
      <c r="D738" s="2">
        <v>90</v>
      </c>
      <c r="E738" s="2">
        <v>8.4495970000000007</v>
      </c>
      <c r="F738" s="2">
        <v>6.5307000000000004E-2</v>
      </c>
      <c r="G738" s="2">
        <v>8.3215410300000006</v>
      </c>
      <c r="H738" s="2">
        <v>8.5776529200000002</v>
      </c>
    </row>
    <row r="739" spans="1:8" ht="17.25" thickBot="1" x14ac:dyDescent="0.35">
      <c r="A739" s="6">
        <v>3</v>
      </c>
      <c r="B739" s="3">
        <v>1</v>
      </c>
      <c r="C739" s="11" t="s">
        <v>114</v>
      </c>
      <c r="D739" s="2">
        <v>1521</v>
      </c>
      <c r="E739" s="2">
        <v>8.2511329999999994</v>
      </c>
      <c r="F739" s="2">
        <v>1.9771E-2</v>
      </c>
      <c r="G739" s="2">
        <v>8.2123661400000003</v>
      </c>
      <c r="H739" s="2">
        <v>8.2898991599999992</v>
      </c>
    </row>
    <row r="740" spans="1:8" ht="17.25" thickBot="1" x14ac:dyDescent="0.35">
      <c r="A740" s="6"/>
      <c r="B740" s="3">
        <v>2</v>
      </c>
      <c r="C740" s="11" t="s">
        <v>114</v>
      </c>
      <c r="D740" s="2">
        <v>1523</v>
      </c>
      <c r="E740" s="2">
        <v>8.4955079999999992</v>
      </c>
      <c r="F740" s="2">
        <v>2.0570000000000001E-2</v>
      </c>
      <c r="G740" s="2">
        <v>8.4551747800000001</v>
      </c>
      <c r="H740" s="2">
        <v>8.5358410500000002</v>
      </c>
    </row>
    <row r="741" spans="1:8" ht="17.25" thickBot="1" x14ac:dyDescent="0.35">
      <c r="A741" s="6"/>
      <c r="B741" s="3">
        <v>3</v>
      </c>
      <c r="C741" s="11" t="s">
        <v>114</v>
      </c>
      <c r="D741" s="2">
        <v>619</v>
      </c>
      <c r="E741" s="2">
        <v>8.6766240000000003</v>
      </c>
      <c r="F741" s="2">
        <v>3.2606000000000003E-2</v>
      </c>
      <c r="G741" s="2">
        <v>8.6126894299999996</v>
      </c>
      <c r="H741" s="2">
        <v>8.7405595100000006</v>
      </c>
    </row>
    <row r="742" spans="1:8" ht="17.25" thickBot="1" x14ac:dyDescent="0.35">
      <c r="A742" s="6"/>
      <c r="B742" s="3">
        <v>8</v>
      </c>
      <c r="C742" s="11" t="s">
        <v>114</v>
      </c>
      <c r="D742" s="2">
        <v>594</v>
      </c>
      <c r="E742" s="2">
        <v>8.6884200000000007</v>
      </c>
      <c r="F742" s="2">
        <v>4.0446999999999997E-2</v>
      </c>
      <c r="G742" s="2">
        <v>8.6091101699999992</v>
      </c>
      <c r="H742" s="2">
        <v>8.7677294099999994</v>
      </c>
    </row>
    <row r="743" spans="1:8" ht="17.25" thickBot="1" x14ac:dyDescent="0.35">
      <c r="A743" s="6">
        <v>4</v>
      </c>
      <c r="B743" s="3">
        <v>1</v>
      </c>
      <c r="C743" s="11" t="s">
        <v>114</v>
      </c>
      <c r="D743" s="2">
        <v>1596</v>
      </c>
      <c r="E743" s="2">
        <v>8.2777750000000001</v>
      </c>
      <c r="F743" s="2">
        <v>1.7025999999999999E-2</v>
      </c>
      <c r="G743" s="2">
        <v>8.2443903800000005</v>
      </c>
      <c r="H743" s="2">
        <v>8.311159</v>
      </c>
    </row>
    <row r="744" spans="1:8" ht="17.25" thickBot="1" x14ac:dyDescent="0.35">
      <c r="A744" s="6"/>
      <c r="B744" s="3">
        <v>2</v>
      </c>
      <c r="C744" s="11" t="s">
        <v>114</v>
      </c>
      <c r="D744" s="2">
        <v>1673</v>
      </c>
      <c r="E744" s="2">
        <v>8.503546</v>
      </c>
      <c r="F744" s="2">
        <v>1.9140000000000001E-2</v>
      </c>
      <c r="G744" s="2">
        <v>8.4660166100000005</v>
      </c>
      <c r="H744" s="2">
        <v>8.5410755100000006</v>
      </c>
    </row>
    <row r="745" spans="1:8" ht="17.25" thickBot="1" x14ac:dyDescent="0.35">
      <c r="A745" s="6"/>
      <c r="B745" s="3">
        <v>3</v>
      </c>
      <c r="C745" s="11" t="s">
        <v>114</v>
      </c>
      <c r="D745" s="2">
        <v>679</v>
      </c>
      <c r="E745" s="2">
        <v>8.7608669999999993</v>
      </c>
      <c r="F745" s="2">
        <v>3.8501000000000001E-2</v>
      </c>
      <c r="G745" s="2">
        <v>8.6853730200000001</v>
      </c>
      <c r="H745" s="2">
        <v>8.8363619799999995</v>
      </c>
    </row>
    <row r="746" spans="1:8" ht="17.25" thickBot="1" x14ac:dyDescent="0.35">
      <c r="A746" s="6"/>
      <c r="B746" s="3">
        <v>8</v>
      </c>
      <c r="C746" s="11" t="s">
        <v>114</v>
      </c>
      <c r="D746" s="2">
        <v>608</v>
      </c>
      <c r="E746" s="2">
        <v>8.6891490000000005</v>
      </c>
      <c r="F746" s="2">
        <v>3.3029999999999997E-2</v>
      </c>
      <c r="G746" s="2">
        <v>8.6243827900000003</v>
      </c>
      <c r="H746" s="2">
        <v>8.7539157400000001</v>
      </c>
    </row>
    <row r="747" spans="1:8" ht="17.25" thickBot="1" x14ac:dyDescent="0.35">
      <c r="A747" s="6">
        <v>5</v>
      </c>
      <c r="B747" s="3">
        <v>1</v>
      </c>
      <c r="C747" s="11" t="s">
        <v>114</v>
      </c>
      <c r="D747" s="2">
        <v>1505</v>
      </c>
      <c r="E747" s="2">
        <v>8.2984749999999998</v>
      </c>
      <c r="F747" s="2">
        <v>2.0115000000000001E-2</v>
      </c>
      <c r="G747" s="2">
        <v>8.2590333000000005</v>
      </c>
      <c r="H747" s="2">
        <v>8.3379159699999992</v>
      </c>
    </row>
    <row r="748" spans="1:8" ht="17.25" thickBot="1" x14ac:dyDescent="0.35">
      <c r="A748" s="6"/>
      <c r="B748" s="3">
        <v>2</v>
      </c>
      <c r="C748" s="11" t="s">
        <v>114</v>
      </c>
      <c r="D748" s="2">
        <v>1506</v>
      </c>
      <c r="E748" s="2">
        <v>8.4930160000000008</v>
      </c>
      <c r="F748" s="2">
        <v>2.1818000000000001E-2</v>
      </c>
      <c r="G748" s="2">
        <v>8.4502343300000007</v>
      </c>
      <c r="H748" s="2">
        <v>8.5357970000000005</v>
      </c>
    </row>
    <row r="749" spans="1:8" ht="17.25" thickBot="1" x14ac:dyDescent="0.35">
      <c r="A749" s="6"/>
      <c r="B749" s="3">
        <v>3</v>
      </c>
      <c r="C749" s="11" t="s">
        <v>114</v>
      </c>
      <c r="D749" s="2">
        <v>636</v>
      </c>
      <c r="E749" s="2">
        <v>8.6138130000000004</v>
      </c>
      <c r="F749" s="2">
        <v>3.0584E-2</v>
      </c>
      <c r="G749" s="2">
        <v>8.5538433900000008</v>
      </c>
      <c r="H749" s="2">
        <v>8.6737816999999993</v>
      </c>
    </row>
    <row r="750" spans="1:8" ht="17.25" thickBot="1" x14ac:dyDescent="0.35">
      <c r="A750" s="6"/>
      <c r="B750" s="3">
        <v>8</v>
      </c>
      <c r="C750" s="11" t="s">
        <v>114</v>
      </c>
      <c r="D750" s="2">
        <v>854</v>
      </c>
      <c r="E750" s="2">
        <v>8.6862429999999993</v>
      </c>
      <c r="F750" s="2">
        <v>2.8875000000000001E-2</v>
      </c>
      <c r="G750" s="2">
        <v>8.6296254099999992</v>
      </c>
      <c r="H750" s="2">
        <v>8.7428615300000008</v>
      </c>
    </row>
    <row r="751" spans="1:8" ht="17.25" thickBot="1" x14ac:dyDescent="0.35">
      <c r="A751" s="6">
        <v>6</v>
      </c>
      <c r="B751" s="3">
        <v>1</v>
      </c>
      <c r="C751" s="11" t="s">
        <v>114</v>
      </c>
      <c r="D751" s="2">
        <v>447</v>
      </c>
      <c r="E751" s="2">
        <v>8.2948789999999999</v>
      </c>
      <c r="F751" s="2">
        <v>2.9020000000000001E-2</v>
      </c>
      <c r="G751" s="2">
        <v>8.2379762599999999</v>
      </c>
      <c r="H751" s="2">
        <v>8.3517821300000001</v>
      </c>
    </row>
    <row r="752" spans="1:8" ht="17.25" thickBot="1" x14ac:dyDescent="0.35">
      <c r="A752" s="6"/>
      <c r="B752" s="3">
        <v>2</v>
      </c>
      <c r="C752" s="11" t="s">
        <v>114</v>
      </c>
      <c r="D752" s="2">
        <v>474</v>
      </c>
      <c r="E752" s="2">
        <v>8.5318919999999991</v>
      </c>
      <c r="F752" s="2">
        <v>3.0502999999999999E-2</v>
      </c>
      <c r="G752" s="2">
        <v>8.4720800900000004</v>
      </c>
      <c r="H752" s="2">
        <v>8.5917036200000005</v>
      </c>
    </row>
    <row r="753" spans="1:8" ht="17.25" thickBot="1" x14ac:dyDescent="0.35">
      <c r="A753" s="6"/>
      <c r="B753" s="3">
        <v>3</v>
      </c>
      <c r="C753" s="11" t="s">
        <v>114</v>
      </c>
      <c r="D753" s="2">
        <v>180</v>
      </c>
      <c r="E753" s="2">
        <v>8.6257350000000006</v>
      </c>
      <c r="F753" s="2">
        <v>5.1421000000000001E-2</v>
      </c>
      <c r="G753" s="2">
        <v>8.5249069500000001</v>
      </c>
      <c r="H753" s="2">
        <v>8.7265637399999996</v>
      </c>
    </row>
    <row r="754" spans="1:8" x14ac:dyDescent="0.3">
      <c r="A754" s="6"/>
      <c r="B754" s="3">
        <v>8</v>
      </c>
      <c r="C754" s="14" t="s">
        <v>114</v>
      </c>
      <c r="D754" s="2">
        <v>335</v>
      </c>
      <c r="E754" s="2">
        <v>8.6149690000000003</v>
      </c>
      <c r="F754" s="2">
        <v>3.4450000000000001E-2</v>
      </c>
      <c r="G754" s="2">
        <v>8.5474182699999997</v>
      </c>
      <c r="H754" s="2">
        <v>8.6825188200000003</v>
      </c>
    </row>
    <row r="758" spans="1:8" x14ac:dyDescent="0.3">
      <c r="A758" s="1" t="s">
        <v>237</v>
      </c>
    </row>
    <row r="760" spans="1:8" x14ac:dyDescent="0.3">
      <c r="A760" s="1" t="s">
        <v>21</v>
      </c>
    </row>
    <row r="761" spans="1:8" ht="17.25" thickBot="1" x14ac:dyDescent="0.35"/>
    <row r="762" spans="1:8" ht="16.5" customHeight="1" x14ac:dyDescent="0.3">
      <c r="A762" s="16" t="s">
        <v>135</v>
      </c>
      <c r="B762" s="18"/>
    </row>
    <row r="763" spans="1:8" ht="26.25" thickBot="1" x14ac:dyDescent="0.35">
      <c r="A763" s="12" t="s">
        <v>136</v>
      </c>
      <c r="B763" s="2">
        <v>183</v>
      </c>
    </row>
    <row r="764" spans="1:8" ht="26.25" thickBot="1" x14ac:dyDescent="0.35">
      <c r="A764" s="12" t="s">
        <v>137</v>
      </c>
      <c r="B764" s="2">
        <v>2982</v>
      </c>
    </row>
    <row r="765" spans="1:8" ht="39" thickBot="1" x14ac:dyDescent="0.35">
      <c r="A765" s="12" t="s">
        <v>138</v>
      </c>
      <c r="B765" s="2">
        <v>68635</v>
      </c>
    </row>
    <row r="766" spans="1:8" ht="25.5" x14ac:dyDescent="0.3">
      <c r="A766" s="13" t="s">
        <v>139</v>
      </c>
      <c r="B766" s="2">
        <v>30251935.699999999</v>
      </c>
    </row>
    <row r="767" spans="1:8" ht="17.25" thickBot="1" x14ac:dyDescent="0.35"/>
    <row r="768" spans="1:8" ht="33" customHeight="1" x14ac:dyDescent="0.3">
      <c r="A768" s="16" t="s">
        <v>140</v>
      </c>
      <c r="B768" s="18"/>
    </row>
    <row r="769" spans="1:8" ht="33.75" thickBot="1" x14ac:dyDescent="0.35">
      <c r="A769" s="12" t="s">
        <v>141</v>
      </c>
      <c r="B769" s="2" t="s">
        <v>142</v>
      </c>
    </row>
    <row r="770" spans="1:8" ht="25.5" x14ac:dyDescent="0.3">
      <c r="A770" s="13" t="s">
        <v>143</v>
      </c>
      <c r="B770" s="2" t="s">
        <v>144</v>
      </c>
    </row>
    <row r="771" spans="1:8" ht="17.25" thickBot="1" x14ac:dyDescent="0.35"/>
    <row r="772" spans="1:8" ht="16.5" customHeight="1" x14ac:dyDescent="0.3">
      <c r="A772" s="16" t="s">
        <v>238</v>
      </c>
      <c r="B772" s="18"/>
      <c r="C772" s="18"/>
      <c r="D772" s="18"/>
      <c r="E772" s="18"/>
      <c r="F772" s="18"/>
    </row>
    <row r="773" spans="1:8" x14ac:dyDescent="0.3">
      <c r="A773" s="17" t="s">
        <v>239</v>
      </c>
      <c r="B773" s="19" t="s">
        <v>94</v>
      </c>
      <c r="C773" s="19" t="s">
        <v>240</v>
      </c>
      <c r="D773" s="3" t="s">
        <v>241</v>
      </c>
      <c r="E773" s="19" t="s">
        <v>243</v>
      </c>
      <c r="F773" s="19"/>
    </row>
    <row r="774" spans="1:8" x14ac:dyDescent="0.3">
      <c r="A774" s="17"/>
      <c r="B774" s="19"/>
      <c r="C774" s="19"/>
      <c r="D774" s="3" t="s">
        <v>242</v>
      </c>
      <c r="E774" s="19"/>
      <c r="F774" s="19"/>
    </row>
    <row r="775" spans="1:8" x14ac:dyDescent="0.3">
      <c r="A775" s="13" t="s">
        <v>114</v>
      </c>
      <c r="B775" s="2">
        <v>68635</v>
      </c>
      <c r="C775" s="2">
        <v>8.5827570000000009</v>
      </c>
      <c r="D775" s="2">
        <v>3.4259999999999998E-3</v>
      </c>
      <c r="E775" s="2">
        <v>8.5760384700000003</v>
      </c>
      <c r="F775" s="2">
        <v>8.58947489</v>
      </c>
    </row>
    <row r="779" spans="1:8" x14ac:dyDescent="0.3">
      <c r="A779" s="1" t="s">
        <v>237</v>
      </c>
    </row>
    <row r="781" spans="1:8" x14ac:dyDescent="0.3">
      <c r="A781" s="1" t="s">
        <v>21</v>
      </c>
    </row>
    <row r="782" spans="1:8" ht="17.25" thickBot="1" x14ac:dyDescent="0.35"/>
    <row r="783" spans="1:8" ht="16.5" customHeight="1" x14ac:dyDescent="0.3">
      <c r="A783" s="16" t="s">
        <v>257</v>
      </c>
      <c r="B783" s="18"/>
      <c r="C783" s="18"/>
      <c r="D783" s="18"/>
      <c r="E783" s="18"/>
      <c r="F783" s="18"/>
      <c r="G783" s="18"/>
      <c r="H783" s="18"/>
    </row>
    <row r="784" spans="1:8" x14ac:dyDescent="0.3">
      <c r="A784" s="17" t="s">
        <v>249</v>
      </c>
      <c r="B784" s="19" t="s">
        <v>12</v>
      </c>
      <c r="C784" s="19" t="s">
        <v>239</v>
      </c>
      <c r="D784" s="19" t="s">
        <v>94</v>
      </c>
      <c r="E784" s="19" t="s">
        <v>240</v>
      </c>
      <c r="F784" s="3" t="s">
        <v>241</v>
      </c>
      <c r="G784" s="19" t="s">
        <v>243</v>
      </c>
      <c r="H784" s="19"/>
    </row>
    <row r="785" spans="1:15" x14ac:dyDescent="0.3">
      <c r="A785" s="17"/>
      <c r="B785" s="19"/>
      <c r="C785" s="19"/>
      <c r="D785" s="19"/>
      <c r="E785" s="19"/>
      <c r="F785" s="3" t="s">
        <v>242</v>
      </c>
      <c r="G785" s="19"/>
      <c r="H785" s="19"/>
    </row>
    <row r="786" spans="1:15" ht="17.25" thickBot="1" x14ac:dyDescent="0.35">
      <c r="A786" s="6">
        <v>1</v>
      </c>
      <c r="B786" s="3">
        <v>1</v>
      </c>
      <c r="C786" s="11" t="s">
        <v>114</v>
      </c>
      <c r="D786" s="2">
        <v>4828</v>
      </c>
      <c r="E786" s="2">
        <v>8.5030049999999999</v>
      </c>
      <c r="F786" s="2">
        <v>1.2163999999999999E-2</v>
      </c>
      <c r="G786" s="2">
        <v>8.47915259</v>
      </c>
      <c r="H786" s="2">
        <v>8.5268569799999998</v>
      </c>
      <c r="J786" t="str">
        <f t="shared" ref="J786:J803" si="27">TEXT(E786,"0.00")&amp;" ("&amp;TEXT(G786,"0.00")&amp;" to "&amp;TEXT(H786,"0.00")&amp;")"</f>
        <v>8.50 (8.48 to 8.53)</v>
      </c>
      <c r="K786" t="str">
        <f>J789</f>
        <v>8.47 (8.45 to 8.50)</v>
      </c>
      <c r="L786" t="str">
        <f>J792</f>
        <v>8.49 (8.46 to 8.51)</v>
      </c>
      <c r="M786" t="str">
        <f>J795</f>
        <v>8.50 (8.47 to 8.52)</v>
      </c>
      <c r="N786" t="str">
        <f>J798</f>
        <v>8.49 (8.46 to 8.51)</v>
      </c>
      <c r="O786" t="str">
        <f>J801</f>
        <v>8.48 (8.45 to 8.52)</v>
      </c>
    </row>
    <row r="787" spans="1:15" ht="17.25" thickBot="1" x14ac:dyDescent="0.35">
      <c r="A787" s="6"/>
      <c r="B787" s="3">
        <v>2</v>
      </c>
      <c r="C787" s="11" t="s">
        <v>114</v>
      </c>
      <c r="D787" s="2">
        <v>4408</v>
      </c>
      <c r="E787" s="2">
        <v>8.5557680000000005</v>
      </c>
      <c r="F787" s="2">
        <v>1.2194E-2</v>
      </c>
      <c r="G787" s="2">
        <v>8.5318571300000006</v>
      </c>
      <c r="H787" s="2">
        <v>8.5796787099999996</v>
      </c>
      <c r="J787" t="str">
        <f t="shared" si="27"/>
        <v>8.56 (8.53 to 8.58)</v>
      </c>
      <c r="K787" t="str">
        <f t="shared" ref="K787:K788" si="28">J790</f>
        <v>8.59 (8.57 to 8.61)</v>
      </c>
      <c r="L787" t="str">
        <f t="shared" ref="L787:L788" si="29">J793</f>
        <v>8.62 (8.60 to 8.64)</v>
      </c>
      <c r="M787" t="str">
        <f t="shared" ref="M787:M788" si="30">J796</f>
        <v>8.64 (8.62 to 8.66)</v>
      </c>
      <c r="N787" t="str">
        <f t="shared" ref="N787:N788" si="31">J799</f>
        <v>8.61 (8.59 to 8.63)</v>
      </c>
      <c r="O787" t="str">
        <f t="shared" ref="O787:O788" si="32">J802</f>
        <v>8.62 (8.59 to 8.65)</v>
      </c>
    </row>
    <row r="788" spans="1:15" ht="17.25" thickBot="1" x14ac:dyDescent="0.35">
      <c r="A788" s="6"/>
      <c r="B788" s="3">
        <v>3</v>
      </c>
      <c r="C788" s="11" t="s">
        <v>114</v>
      </c>
      <c r="D788" s="2">
        <v>2679</v>
      </c>
      <c r="E788" s="2">
        <v>8.669079</v>
      </c>
      <c r="F788" s="2">
        <v>1.6471E-2</v>
      </c>
      <c r="G788" s="2">
        <v>8.6367815500000003</v>
      </c>
      <c r="H788" s="2">
        <v>8.7013761499999998</v>
      </c>
      <c r="J788" t="str">
        <f t="shared" si="27"/>
        <v>8.67 (8.64 to 8.70)</v>
      </c>
      <c r="K788" t="str">
        <f t="shared" si="28"/>
        <v>8.65 (8.61 to 8.69)</v>
      </c>
      <c r="L788" t="str">
        <f t="shared" si="29"/>
        <v>8.70 (8.66 to 8.74)</v>
      </c>
      <c r="M788" t="str">
        <f t="shared" si="30"/>
        <v>8.71 (8.68 to 8.75)</v>
      </c>
      <c r="N788" t="str">
        <f t="shared" si="31"/>
        <v>8.71 (8.68 to 8.75)</v>
      </c>
      <c r="O788" t="str">
        <f t="shared" si="32"/>
        <v>8.73 (8.68 to 8.79)</v>
      </c>
    </row>
    <row r="789" spans="1:15" ht="17.25" thickBot="1" x14ac:dyDescent="0.35">
      <c r="A789" s="6">
        <v>2</v>
      </c>
      <c r="B789" s="3">
        <v>1</v>
      </c>
      <c r="C789" s="11" t="s">
        <v>114</v>
      </c>
      <c r="D789" s="2">
        <v>4474</v>
      </c>
      <c r="E789" s="2">
        <v>8.4729019999999995</v>
      </c>
      <c r="F789" s="2">
        <v>1.265E-2</v>
      </c>
      <c r="G789" s="2">
        <v>8.4480988700000008</v>
      </c>
      <c r="H789" s="2">
        <v>8.4977060699999996</v>
      </c>
      <c r="J789" t="str">
        <f t="shared" si="27"/>
        <v>8.47 (8.45 to 8.50)</v>
      </c>
    </row>
    <row r="790" spans="1:15" ht="17.25" thickBot="1" x14ac:dyDescent="0.35">
      <c r="A790" s="6"/>
      <c r="B790" s="3">
        <v>2</v>
      </c>
      <c r="C790" s="11" t="s">
        <v>114</v>
      </c>
      <c r="D790" s="2">
        <v>6326</v>
      </c>
      <c r="E790" s="2">
        <v>8.5920489999999994</v>
      </c>
      <c r="F790" s="2">
        <v>1.1054E-2</v>
      </c>
      <c r="G790" s="2">
        <v>8.5703756000000002</v>
      </c>
      <c r="H790" s="2">
        <v>8.61372334</v>
      </c>
      <c r="J790" t="str">
        <f t="shared" si="27"/>
        <v>8.59 (8.57 to 8.61)</v>
      </c>
    </row>
    <row r="791" spans="1:15" ht="17.25" thickBot="1" x14ac:dyDescent="0.35">
      <c r="A791" s="6"/>
      <c r="B791" s="3">
        <v>3</v>
      </c>
      <c r="C791" s="11" t="s">
        <v>114</v>
      </c>
      <c r="D791" s="2">
        <v>2316</v>
      </c>
      <c r="E791" s="2">
        <v>8.6499360000000003</v>
      </c>
      <c r="F791" s="2">
        <v>1.8707999999999999E-2</v>
      </c>
      <c r="G791" s="2">
        <v>8.6132520899999996</v>
      </c>
      <c r="H791" s="2">
        <v>8.6866193200000001</v>
      </c>
      <c r="J791" t="str">
        <f t="shared" si="27"/>
        <v>8.65 (8.61 to 8.69)</v>
      </c>
    </row>
    <row r="792" spans="1:15" ht="17.25" thickBot="1" x14ac:dyDescent="0.35">
      <c r="A792" s="6">
        <v>3</v>
      </c>
      <c r="B792" s="3">
        <v>1</v>
      </c>
      <c r="C792" s="11" t="s">
        <v>114</v>
      </c>
      <c r="D792" s="2">
        <v>3613</v>
      </c>
      <c r="E792" s="2">
        <v>8.4858709999999995</v>
      </c>
      <c r="F792" s="2">
        <v>1.325E-2</v>
      </c>
      <c r="G792" s="2">
        <v>8.4598900199999996</v>
      </c>
      <c r="H792" s="2">
        <v>8.5118516799999995</v>
      </c>
      <c r="J792" t="str">
        <f t="shared" si="27"/>
        <v>8.49 (8.46 to 8.51)</v>
      </c>
    </row>
    <row r="793" spans="1:15" ht="17.25" thickBot="1" x14ac:dyDescent="0.35">
      <c r="A793" s="6"/>
      <c r="B793" s="3">
        <v>2</v>
      </c>
      <c r="C793" s="11" t="s">
        <v>114</v>
      </c>
      <c r="D793" s="2">
        <v>5912</v>
      </c>
      <c r="E793" s="2">
        <v>8.6218909999999997</v>
      </c>
      <c r="F793" s="2">
        <v>1.0788000000000001E-2</v>
      </c>
      <c r="G793" s="2">
        <v>8.6007371599999995</v>
      </c>
      <c r="H793" s="2">
        <v>8.6430444499999997</v>
      </c>
      <c r="J793" t="str">
        <f t="shared" si="27"/>
        <v>8.62 (8.60 to 8.64)</v>
      </c>
    </row>
    <row r="794" spans="1:15" ht="17.25" thickBot="1" x14ac:dyDescent="0.35">
      <c r="A794" s="6"/>
      <c r="B794" s="3">
        <v>3</v>
      </c>
      <c r="C794" s="11" t="s">
        <v>114</v>
      </c>
      <c r="D794" s="2">
        <v>1950</v>
      </c>
      <c r="E794" s="2">
        <v>8.7030399999999997</v>
      </c>
      <c r="F794" s="2">
        <v>2.0965000000000001E-2</v>
      </c>
      <c r="G794" s="2">
        <v>8.6619319400000006</v>
      </c>
      <c r="H794" s="2">
        <v>8.7441475400000002</v>
      </c>
      <c r="J794" t="str">
        <f t="shared" si="27"/>
        <v>8.70 (8.66 to 8.74)</v>
      </c>
    </row>
    <row r="795" spans="1:15" ht="17.25" thickBot="1" x14ac:dyDescent="0.35">
      <c r="A795" s="6">
        <v>4</v>
      </c>
      <c r="B795" s="3">
        <v>1</v>
      </c>
      <c r="C795" s="11" t="s">
        <v>114</v>
      </c>
      <c r="D795" s="2">
        <v>4138</v>
      </c>
      <c r="E795" s="2">
        <v>8.4958100000000005</v>
      </c>
      <c r="F795" s="2">
        <v>1.2111E-2</v>
      </c>
      <c r="G795" s="2">
        <v>8.4720624099999995</v>
      </c>
      <c r="H795" s="2">
        <v>8.51955858</v>
      </c>
      <c r="J795" t="str">
        <f t="shared" si="27"/>
        <v>8.50 (8.47 to 8.52)</v>
      </c>
    </row>
    <row r="796" spans="1:15" ht="17.25" thickBot="1" x14ac:dyDescent="0.35">
      <c r="A796" s="6"/>
      <c r="B796" s="3">
        <v>2</v>
      </c>
      <c r="C796" s="11" t="s">
        <v>114</v>
      </c>
      <c r="D796" s="2">
        <v>7449</v>
      </c>
      <c r="E796" s="2">
        <v>8.6431500000000003</v>
      </c>
      <c r="F796" s="2">
        <v>9.5989999999999999E-3</v>
      </c>
      <c r="G796" s="2">
        <v>8.6243278599999993</v>
      </c>
      <c r="H796" s="2">
        <v>8.6619712900000003</v>
      </c>
      <c r="J796" t="str">
        <f t="shared" si="27"/>
        <v>8.64 (8.62 to 8.66)</v>
      </c>
    </row>
    <row r="797" spans="1:15" ht="17.25" thickBot="1" x14ac:dyDescent="0.35">
      <c r="A797" s="6"/>
      <c r="B797" s="3">
        <v>3</v>
      </c>
      <c r="C797" s="11" t="s">
        <v>114</v>
      </c>
      <c r="D797" s="2">
        <v>2571</v>
      </c>
      <c r="E797" s="2">
        <v>8.7141760000000001</v>
      </c>
      <c r="F797" s="2">
        <v>1.7232999999999998E-2</v>
      </c>
      <c r="G797" s="2">
        <v>8.6803863700000008</v>
      </c>
      <c r="H797" s="2">
        <v>8.7479661100000001</v>
      </c>
      <c r="J797" t="str">
        <f t="shared" si="27"/>
        <v>8.71 (8.68 to 8.75)</v>
      </c>
    </row>
    <row r="798" spans="1:15" ht="17.25" thickBot="1" x14ac:dyDescent="0.35">
      <c r="A798" s="6">
        <v>5</v>
      </c>
      <c r="B798" s="3">
        <v>1</v>
      </c>
      <c r="C798" s="11" t="s">
        <v>114</v>
      </c>
      <c r="D798" s="2">
        <v>4399</v>
      </c>
      <c r="E798" s="2">
        <v>8.4882779999999993</v>
      </c>
      <c r="F798" s="2">
        <v>1.1882E-2</v>
      </c>
      <c r="G798" s="2">
        <v>8.4649793500000001</v>
      </c>
      <c r="H798" s="2">
        <v>8.5115765900000007</v>
      </c>
      <c r="J798" t="str">
        <f t="shared" si="27"/>
        <v>8.49 (8.46 to 8.51)</v>
      </c>
    </row>
    <row r="799" spans="1:15" ht="17.25" thickBot="1" x14ac:dyDescent="0.35">
      <c r="A799" s="6"/>
      <c r="B799" s="3">
        <v>2</v>
      </c>
      <c r="C799" s="11" t="s">
        <v>114</v>
      </c>
      <c r="D799" s="2">
        <v>6843</v>
      </c>
      <c r="E799" s="2">
        <v>8.6123949999999994</v>
      </c>
      <c r="F799" s="2">
        <v>9.7649999999999994E-3</v>
      </c>
      <c r="G799" s="2">
        <v>8.5932467500000005</v>
      </c>
      <c r="H799" s="2">
        <v>8.6315427699999994</v>
      </c>
      <c r="J799" t="str">
        <f t="shared" si="27"/>
        <v>8.61 (8.59 to 8.63)</v>
      </c>
    </row>
    <row r="800" spans="1:15" ht="17.25" thickBot="1" x14ac:dyDescent="0.35">
      <c r="A800" s="6"/>
      <c r="B800" s="3">
        <v>3</v>
      </c>
      <c r="C800" s="11" t="s">
        <v>114</v>
      </c>
      <c r="D800" s="2">
        <v>2313</v>
      </c>
      <c r="E800" s="2">
        <v>8.7116369999999996</v>
      </c>
      <c r="F800" s="2">
        <v>1.8304000000000001E-2</v>
      </c>
      <c r="G800" s="2">
        <v>8.6757460799999997</v>
      </c>
      <c r="H800" s="2">
        <v>8.7475281500000008</v>
      </c>
      <c r="J800" t="str">
        <f t="shared" si="27"/>
        <v>8.71 (8.68 to 8.75)</v>
      </c>
    </row>
    <row r="801" spans="1:10" ht="17.25" thickBot="1" x14ac:dyDescent="0.35">
      <c r="A801" s="6">
        <v>6</v>
      </c>
      <c r="B801" s="3">
        <v>1</v>
      </c>
      <c r="C801" s="11" t="s">
        <v>114</v>
      </c>
      <c r="D801" s="2">
        <v>1424</v>
      </c>
      <c r="E801" s="2">
        <v>8.4848909999999993</v>
      </c>
      <c r="F801" s="2">
        <v>1.9515999999999999E-2</v>
      </c>
      <c r="G801" s="2">
        <v>8.4466244400000008</v>
      </c>
      <c r="H801" s="2">
        <v>8.5231575399999997</v>
      </c>
      <c r="J801" t="str">
        <f t="shared" si="27"/>
        <v>8.48 (8.45 to 8.52)</v>
      </c>
    </row>
    <row r="802" spans="1:10" ht="17.25" thickBot="1" x14ac:dyDescent="0.35">
      <c r="A802" s="6"/>
      <c r="B802" s="3">
        <v>2</v>
      </c>
      <c r="C802" s="11" t="s">
        <v>114</v>
      </c>
      <c r="D802" s="2">
        <v>2272</v>
      </c>
      <c r="E802" s="2">
        <v>8.6232190000000006</v>
      </c>
      <c r="F802" s="2">
        <v>1.6143999999999999E-2</v>
      </c>
      <c r="G802" s="2">
        <v>8.5915628700000006</v>
      </c>
      <c r="H802" s="2">
        <v>8.6548755199999992</v>
      </c>
      <c r="J802" t="str">
        <f t="shared" si="27"/>
        <v>8.62 (8.59 to 8.65)</v>
      </c>
    </row>
    <row r="803" spans="1:10" x14ac:dyDescent="0.3">
      <c r="A803" s="6"/>
      <c r="B803" s="3">
        <v>3</v>
      </c>
      <c r="C803" s="14" t="s">
        <v>114</v>
      </c>
      <c r="D803" s="2">
        <v>720</v>
      </c>
      <c r="E803" s="2">
        <v>8.7313949999999991</v>
      </c>
      <c r="F803" s="2">
        <v>2.7899E-2</v>
      </c>
      <c r="G803" s="2">
        <v>8.67669012</v>
      </c>
      <c r="H803" s="2">
        <v>8.7860992000000007</v>
      </c>
      <c r="J803" t="str">
        <f t="shared" si="27"/>
        <v>8.73 (8.68 to 8.79)</v>
      </c>
    </row>
    <row r="807" spans="1:10" x14ac:dyDescent="0.3">
      <c r="A807" s="1" t="s">
        <v>237</v>
      </c>
    </row>
    <row r="809" spans="1:10" x14ac:dyDescent="0.3">
      <c r="A809" s="1" t="s">
        <v>1</v>
      </c>
    </row>
    <row r="810" spans="1:10" ht="17.25" thickBot="1" x14ac:dyDescent="0.35"/>
    <row r="811" spans="1:10" ht="16.5" customHeight="1" x14ac:dyDescent="0.3">
      <c r="A811" s="16" t="s">
        <v>135</v>
      </c>
      <c r="B811" s="18"/>
    </row>
    <row r="812" spans="1:10" ht="26.25" thickBot="1" x14ac:dyDescent="0.35">
      <c r="A812" s="12" t="s">
        <v>136</v>
      </c>
      <c r="B812" s="2">
        <v>183</v>
      </c>
    </row>
    <row r="813" spans="1:10" ht="26.25" thickBot="1" x14ac:dyDescent="0.35">
      <c r="A813" s="12" t="s">
        <v>137</v>
      </c>
      <c r="B813" s="2">
        <v>2949</v>
      </c>
    </row>
    <row r="814" spans="1:10" ht="39" thickBot="1" x14ac:dyDescent="0.35">
      <c r="A814" s="12" t="s">
        <v>138</v>
      </c>
      <c r="B814" s="2">
        <v>23222</v>
      </c>
    </row>
    <row r="815" spans="1:10" ht="25.5" x14ac:dyDescent="0.3">
      <c r="A815" s="13" t="s">
        <v>139</v>
      </c>
      <c r="B815" s="2">
        <v>9036880.5199999996</v>
      </c>
    </row>
    <row r="816" spans="1:10" ht="17.25" thickBot="1" x14ac:dyDescent="0.35"/>
    <row r="817" spans="1:8" ht="33" customHeight="1" x14ac:dyDescent="0.3">
      <c r="A817" s="16" t="s">
        <v>140</v>
      </c>
      <c r="B817" s="18"/>
    </row>
    <row r="818" spans="1:8" ht="33.75" thickBot="1" x14ac:dyDescent="0.35">
      <c r="A818" s="12" t="s">
        <v>141</v>
      </c>
      <c r="B818" s="2" t="s">
        <v>142</v>
      </c>
    </row>
    <row r="819" spans="1:8" ht="25.5" x14ac:dyDescent="0.3">
      <c r="A819" s="13" t="s">
        <v>143</v>
      </c>
      <c r="B819" s="2" t="s">
        <v>144</v>
      </c>
    </row>
    <row r="820" spans="1:8" ht="17.25" thickBot="1" x14ac:dyDescent="0.35"/>
    <row r="821" spans="1:8" ht="16.5" customHeight="1" x14ac:dyDescent="0.3">
      <c r="A821" s="16" t="s">
        <v>238</v>
      </c>
      <c r="B821" s="18"/>
      <c r="C821" s="18"/>
      <c r="D821" s="18"/>
      <c r="E821" s="18"/>
      <c r="F821" s="18"/>
    </row>
    <row r="822" spans="1:8" x14ac:dyDescent="0.3">
      <c r="A822" s="17" t="s">
        <v>239</v>
      </c>
      <c r="B822" s="19" t="s">
        <v>94</v>
      </c>
      <c r="C822" s="19" t="s">
        <v>240</v>
      </c>
      <c r="D822" s="3" t="s">
        <v>241</v>
      </c>
      <c r="E822" s="19" t="s">
        <v>243</v>
      </c>
      <c r="F822" s="19"/>
    </row>
    <row r="823" spans="1:8" x14ac:dyDescent="0.3">
      <c r="A823" s="17"/>
      <c r="B823" s="19"/>
      <c r="C823" s="19"/>
      <c r="D823" s="3" t="s">
        <v>242</v>
      </c>
      <c r="E823" s="19"/>
      <c r="F823" s="19"/>
    </row>
    <row r="824" spans="1:8" x14ac:dyDescent="0.3">
      <c r="A824" s="13" t="s">
        <v>114</v>
      </c>
      <c r="B824" s="2">
        <v>23222</v>
      </c>
      <c r="C824" s="2">
        <v>8.4582850000000001</v>
      </c>
      <c r="D824" s="2">
        <v>5.8770000000000003E-3</v>
      </c>
      <c r="E824" s="2">
        <v>8.4467599599999996</v>
      </c>
      <c r="F824" s="2">
        <v>8.4698092999999997</v>
      </c>
    </row>
    <row r="828" spans="1:8" x14ac:dyDescent="0.3">
      <c r="A828" s="1" t="s">
        <v>237</v>
      </c>
    </row>
    <row r="830" spans="1:8" x14ac:dyDescent="0.3">
      <c r="A830" s="1" t="s">
        <v>1</v>
      </c>
    </row>
    <row r="831" spans="1:8" ht="17.25" thickBot="1" x14ac:dyDescent="0.35"/>
    <row r="832" spans="1:8" ht="16.5" customHeight="1" x14ac:dyDescent="0.3">
      <c r="A832" s="16" t="s">
        <v>258</v>
      </c>
      <c r="B832" s="18"/>
      <c r="C832" s="18"/>
      <c r="D832" s="18"/>
      <c r="E832" s="18"/>
      <c r="F832" s="18"/>
      <c r="G832" s="18"/>
      <c r="H832" s="18"/>
    </row>
    <row r="833" spans="1:8" x14ac:dyDescent="0.3">
      <c r="A833" s="17" t="s">
        <v>249</v>
      </c>
      <c r="B833" s="19" t="s">
        <v>13</v>
      </c>
      <c r="C833" s="19" t="s">
        <v>239</v>
      </c>
      <c r="D833" s="19" t="s">
        <v>94</v>
      </c>
      <c r="E833" s="19" t="s">
        <v>240</v>
      </c>
      <c r="F833" s="3" t="s">
        <v>241</v>
      </c>
      <c r="G833" s="19" t="s">
        <v>243</v>
      </c>
      <c r="H833" s="19"/>
    </row>
    <row r="834" spans="1:8" x14ac:dyDescent="0.3">
      <c r="A834" s="17"/>
      <c r="B834" s="19"/>
      <c r="C834" s="19"/>
      <c r="D834" s="19"/>
      <c r="E834" s="19"/>
      <c r="F834" s="3" t="s">
        <v>242</v>
      </c>
      <c r="G834" s="19"/>
      <c r="H834" s="19"/>
    </row>
    <row r="835" spans="1:8" ht="17.25" thickBot="1" x14ac:dyDescent="0.35">
      <c r="A835" s="6">
        <v>1</v>
      </c>
      <c r="B835" s="3">
        <v>1</v>
      </c>
      <c r="C835" s="11" t="s">
        <v>114</v>
      </c>
      <c r="D835" s="2">
        <v>949</v>
      </c>
      <c r="E835" s="2">
        <v>8.5351459999999992</v>
      </c>
      <c r="F835" s="2">
        <v>3.0336999999999999E-2</v>
      </c>
      <c r="G835" s="2">
        <v>8.4756603399999992</v>
      </c>
      <c r="H835" s="2">
        <v>8.5946324300000008</v>
      </c>
    </row>
    <row r="836" spans="1:8" ht="17.25" thickBot="1" x14ac:dyDescent="0.35">
      <c r="A836" s="6"/>
      <c r="B836" s="3">
        <v>2</v>
      </c>
      <c r="C836" s="11" t="s">
        <v>114</v>
      </c>
      <c r="D836" s="2">
        <v>1781</v>
      </c>
      <c r="E836" s="2">
        <v>8.5012100000000004</v>
      </c>
      <c r="F836" s="2">
        <v>1.9354E-2</v>
      </c>
      <c r="G836" s="2">
        <v>8.4632599499999994</v>
      </c>
      <c r="H836" s="2">
        <v>8.5391596500000002</v>
      </c>
    </row>
    <row r="837" spans="1:8" ht="17.25" thickBot="1" x14ac:dyDescent="0.35">
      <c r="A837" s="6"/>
      <c r="B837" s="3">
        <v>3</v>
      </c>
      <c r="C837" s="11" t="s">
        <v>114</v>
      </c>
      <c r="D837" s="2">
        <v>776</v>
      </c>
      <c r="E837" s="2">
        <v>8.6231249999999999</v>
      </c>
      <c r="F837" s="2">
        <v>3.1038E-2</v>
      </c>
      <c r="G837" s="2">
        <v>8.5622643600000004</v>
      </c>
      <c r="H837" s="2">
        <v>8.6839855700000008</v>
      </c>
    </row>
    <row r="838" spans="1:8" ht="17.25" thickBot="1" x14ac:dyDescent="0.35">
      <c r="A838" s="6"/>
      <c r="B838" s="3">
        <v>8</v>
      </c>
      <c r="C838" s="11" t="s">
        <v>114</v>
      </c>
      <c r="D838" s="2">
        <v>234</v>
      </c>
      <c r="E838" s="2">
        <v>8.2071330000000007</v>
      </c>
      <c r="F838" s="2">
        <v>4.7447000000000003E-2</v>
      </c>
      <c r="G838" s="2">
        <v>8.1140968900000008</v>
      </c>
      <c r="H838" s="2">
        <v>8.3001681699999992</v>
      </c>
    </row>
    <row r="839" spans="1:8" ht="17.25" thickBot="1" x14ac:dyDescent="0.35">
      <c r="A839" s="6">
        <v>2</v>
      </c>
      <c r="B839" s="3">
        <v>1</v>
      </c>
      <c r="C839" s="11" t="s">
        <v>114</v>
      </c>
      <c r="D839" s="2">
        <v>950</v>
      </c>
      <c r="E839" s="2">
        <v>8.4102870000000003</v>
      </c>
      <c r="F839" s="2">
        <v>2.7581000000000001E-2</v>
      </c>
      <c r="G839" s="2">
        <v>8.3562044800000006</v>
      </c>
      <c r="H839" s="2">
        <v>8.4643688899999994</v>
      </c>
    </row>
    <row r="840" spans="1:8" ht="17.25" thickBot="1" x14ac:dyDescent="0.35">
      <c r="A840" s="6"/>
      <c r="B840" s="3">
        <v>2</v>
      </c>
      <c r="C840" s="11" t="s">
        <v>114</v>
      </c>
      <c r="D840" s="2">
        <v>2378</v>
      </c>
      <c r="E840" s="2">
        <v>8.3592040000000001</v>
      </c>
      <c r="F840" s="2">
        <v>1.6584000000000002E-2</v>
      </c>
      <c r="G840" s="2">
        <v>8.3266853899999997</v>
      </c>
      <c r="H840" s="2">
        <v>8.3917220399999994</v>
      </c>
    </row>
    <row r="841" spans="1:8" ht="17.25" thickBot="1" x14ac:dyDescent="0.35">
      <c r="A841" s="6"/>
      <c r="B841" s="3">
        <v>3</v>
      </c>
      <c r="C841" s="11" t="s">
        <v>114</v>
      </c>
      <c r="D841" s="2">
        <v>775</v>
      </c>
      <c r="E841" s="2">
        <v>8.4351389999999995</v>
      </c>
      <c r="F841" s="2">
        <v>3.1454999999999997E-2</v>
      </c>
      <c r="G841" s="2">
        <v>8.3734605999999996</v>
      </c>
      <c r="H841" s="2">
        <v>8.4968170000000001</v>
      </c>
    </row>
    <row r="842" spans="1:8" ht="17.25" thickBot="1" x14ac:dyDescent="0.35">
      <c r="A842" s="6"/>
      <c r="B842" s="3">
        <v>8</v>
      </c>
      <c r="C842" s="11" t="s">
        <v>114</v>
      </c>
      <c r="D842" s="2">
        <v>629</v>
      </c>
      <c r="E842" s="2">
        <v>8.1745669999999997</v>
      </c>
      <c r="F842" s="2">
        <v>2.7413E-2</v>
      </c>
      <c r="G842" s="2">
        <v>8.1208149600000006</v>
      </c>
      <c r="H842" s="2">
        <v>8.2283194599999998</v>
      </c>
    </row>
    <row r="843" spans="1:8" ht="17.25" thickBot="1" x14ac:dyDescent="0.35">
      <c r="A843" s="6">
        <v>3</v>
      </c>
      <c r="B843" s="3">
        <v>1</v>
      </c>
      <c r="C843" s="11" t="s">
        <v>114</v>
      </c>
      <c r="D843" s="2">
        <v>849</v>
      </c>
      <c r="E843" s="2">
        <v>8.4655470000000008</v>
      </c>
      <c r="F843" s="2">
        <v>2.8494999999999999E-2</v>
      </c>
      <c r="G843" s="2">
        <v>8.4096740699999994</v>
      </c>
      <c r="H843" s="2">
        <v>8.5214204999999996</v>
      </c>
    </row>
    <row r="844" spans="1:8" ht="17.25" thickBot="1" x14ac:dyDescent="0.35">
      <c r="A844" s="6"/>
      <c r="B844" s="3">
        <v>2</v>
      </c>
      <c r="C844" s="11" t="s">
        <v>114</v>
      </c>
      <c r="D844" s="2">
        <v>2043</v>
      </c>
      <c r="E844" s="2">
        <v>8.4575790000000008</v>
      </c>
      <c r="F844" s="2">
        <v>1.7922E-2</v>
      </c>
      <c r="G844" s="2">
        <v>8.4224373900000007</v>
      </c>
      <c r="H844" s="2">
        <v>8.4927212799999996</v>
      </c>
    </row>
    <row r="845" spans="1:8" ht="17.25" thickBot="1" x14ac:dyDescent="0.35">
      <c r="A845" s="6"/>
      <c r="B845" s="3">
        <v>3</v>
      </c>
      <c r="C845" s="11" t="s">
        <v>114</v>
      </c>
      <c r="D845" s="2">
        <v>698</v>
      </c>
      <c r="E845" s="2">
        <v>8.5024080000000009</v>
      </c>
      <c r="F845" s="2">
        <v>3.4536999999999998E-2</v>
      </c>
      <c r="G845" s="2">
        <v>8.4346881299999996</v>
      </c>
      <c r="H845" s="2">
        <v>8.5701281399999996</v>
      </c>
    </row>
    <row r="846" spans="1:8" ht="17.25" thickBot="1" x14ac:dyDescent="0.35">
      <c r="A846" s="6"/>
      <c r="B846" s="3">
        <v>8</v>
      </c>
      <c r="C846" s="11" t="s">
        <v>114</v>
      </c>
      <c r="D846" s="2">
        <v>667</v>
      </c>
      <c r="E846" s="2">
        <v>8.4293669999999992</v>
      </c>
      <c r="F846" s="2">
        <v>3.2092000000000002E-2</v>
      </c>
      <c r="G846" s="2">
        <v>8.3664412000000006</v>
      </c>
      <c r="H846" s="2">
        <v>8.4922933900000004</v>
      </c>
    </row>
    <row r="847" spans="1:8" ht="17.25" thickBot="1" x14ac:dyDescent="0.35">
      <c r="A847" s="6">
        <v>4</v>
      </c>
      <c r="B847" s="3">
        <v>1</v>
      </c>
      <c r="C847" s="11" t="s">
        <v>114</v>
      </c>
      <c r="D847" s="2">
        <v>1040</v>
      </c>
      <c r="E847" s="2">
        <v>8.4975299999999994</v>
      </c>
      <c r="F847" s="2">
        <v>2.7893999999999999E-2</v>
      </c>
      <c r="G847" s="2">
        <v>8.4428336599999998</v>
      </c>
      <c r="H847" s="2">
        <v>8.5522255499999993</v>
      </c>
    </row>
    <row r="848" spans="1:8" ht="17.25" thickBot="1" x14ac:dyDescent="0.35">
      <c r="A848" s="6"/>
      <c r="B848" s="3">
        <v>2</v>
      </c>
      <c r="C848" s="11" t="s">
        <v>114</v>
      </c>
      <c r="D848" s="2">
        <v>2189</v>
      </c>
      <c r="E848" s="2">
        <v>8.4812709999999996</v>
      </c>
      <c r="F848" s="2">
        <v>1.6489E-2</v>
      </c>
      <c r="G848" s="2">
        <v>8.4489396699999997</v>
      </c>
      <c r="H848" s="2">
        <v>8.5136017099999997</v>
      </c>
    </row>
    <row r="849" spans="1:8" ht="17.25" thickBot="1" x14ac:dyDescent="0.35">
      <c r="A849" s="6"/>
      <c r="B849" s="3">
        <v>3</v>
      </c>
      <c r="C849" s="11" t="s">
        <v>114</v>
      </c>
      <c r="D849" s="2">
        <v>811</v>
      </c>
      <c r="E849" s="2">
        <v>8.5605879999999992</v>
      </c>
      <c r="F849" s="2">
        <v>2.6499999999999999E-2</v>
      </c>
      <c r="G849" s="2">
        <v>8.5086255899999994</v>
      </c>
      <c r="H849" s="2">
        <v>8.6125500299999995</v>
      </c>
    </row>
    <row r="850" spans="1:8" ht="17.25" thickBot="1" x14ac:dyDescent="0.35">
      <c r="A850" s="6"/>
      <c r="B850" s="3">
        <v>8</v>
      </c>
      <c r="C850" s="11" t="s">
        <v>114</v>
      </c>
      <c r="D850" s="2">
        <v>516</v>
      </c>
      <c r="E850" s="2">
        <v>8.3510910000000003</v>
      </c>
      <c r="F850" s="2">
        <v>3.4263000000000002E-2</v>
      </c>
      <c r="G850" s="2">
        <v>8.2839084100000004</v>
      </c>
      <c r="H850" s="2">
        <v>8.4182744500000002</v>
      </c>
    </row>
    <row r="851" spans="1:8" ht="17.25" thickBot="1" x14ac:dyDescent="0.35">
      <c r="A851" s="6">
        <v>5</v>
      </c>
      <c r="B851" s="3">
        <v>1</v>
      </c>
      <c r="C851" s="11" t="s">
        <v>114</v>
      </c>
      <c r="D851" s="2">
        <v>951</v>
      </c>
      <c r="E851" s="2">
        <v>8.4547100000000004</v>
      </c>
      <c r="F851" s="2">
        <v>2.6835000000000001E-2</v>
      </c>
      <c r="G851" s="2">
        <v>8.4020918800000004</v>
      </c>
      <c r="H851" s="2">
        <v>8.5073280800000006</v>
      </c>
    </row>
    <row r="852" spans="1:8" ht="17.25" thickBot="1" x14ac:dyDescent="0.35">
      <c r="A852" s="6"/>
      <c r="B852" s="3">
        <v>2</v>
      </c>
      <c r="C852" s="11" t="s">
        <v>114</v>
      </c>
      <c r="D852" s="2">
        <v>2215</v>
      </c>
      <c r="E852" s="2">
        <v>8.4885750000000009</v>
      </c>
      <c r="F852" s="2">
        <v>1.7772E-2</v>
      </c>
      <c r="G852" s="2">
        <v>8.45372828</v>
      </c>
      <c r="H852" s="2">
        <v>8.5234226900000003</v>
      </c>
    </row>
    <row r="853" spans="1:8" ht="17.25" thickBot="1" x14ac:dyDescent="0.35">
      <c r="A853" s="6"/>
      <c r="B853" s="3">
        <v>3</v>
      </c>
      <c r="C853" s="11" t="s">
        <v>114</v>
      </c>
      <c r="D853" s="2">
        <v>861</v>
      </c>
      <c r="E853" s="2">
        <v>8.5707190000000004</v>
      </c>
      <c r="F853" s="2">
        <v>2.9732999999999999E-2</v>
      </c>
      <c r="G853" s="2">
        <v>8.5124176899999995</v>
      </c>
      <c r="H853" s="2">
        <v>8.6290211600000006</v>
      </c>
    </row>
    <row r="854" spans="1:8" ht="17.25" thickBot="1" x14ac:dyDescent="0.35">
      <c r="A854" s="6"/>
      <c r="B854" s="3">
        <v>8</v>
      </c>
      <c r="C854" s="11" t="s">
        <v>114</v>
      </c>
      <c r="D854" s="2">
        <v>474</v>
      </c>
      <c r="E854" s="2">
        <v>8.2947360000000003</v>
      </c>
      <c r="F854" s="2">
        <v>3.4973999999999998E-2</v>
      </c>
      <c r="G854" s="2">
        <v>8.2261590600000005</v>
      </c>
      <c r="H854" s="2">
        <v>8.3633129299999993</v>
      </c>
    </row>
    <row r="855" spans="1:8" ht="17.25" thickBot="1" x14ac:dyDescent="0.35">
      <c r="A855" s="6">
        <v>6</v>
      </c>
      <c r="B855" s="3">
        <v>1</v>
      </c>
      <c r="C855" s="11" t="s">
        <v>114</v>
      </c>
      <c r="D855" s="2">
        <v>261</v>
      </c>
      <c r="E855" s="2">
        <v>8.4741049999999998</v>
      </c>
      <c r="F855" s="2">
        <v>4.3117000000000003E-2</v>
      </c>
      <c r="G855" s="2">
        <v>8.3895603100000002</v>
      </c>
      <c r="H855" s="2">
        <v>8.5586488299999992</v>
      </c>
    </row>
    <row r="856" spans="1:8" ht="17.25" thickBot="1" x14ac:dyDescent="0.35">
      <c r="A856" s="6"/>
      <c r="B856" s="3">
        <v>2</v>
      </c>
      <c r="C856" s="11" t="s">
        <v>114</v>
      </c>
      <c r="D856" s="2">
        <v>676</v>
      </c>
      <c r="E856" s="2">
        <v>8.4926100000000009</v>
      </c>
      <c r="F856" s="2">
        <v>2.6436000000000001E-2</v>
      </c>
      <c r="G856" s="2">
        <v>8.4407744000000005</v>
      </c>
      <c r="H856" s="2">
        <v>8.5444450399999994</v>
      </c>
    </row>
    <row r="857" spans="1:8" ht="17.25" thickBot="1" x14ac:dyDescent="0.35">
      <c r="A857" s="6"/>
      <c r="B857" s="3">
        <v>3</v>
      </c>
      <c r="C857" s="11" t="s">
        <v>114</v>
      </c>
      <c r="D857" s="2">
        <v>295</v>
      </c>
      <c r="E857" s="2">
        <v>8.5138920000000002</v>
      </c>
      <c r="F857" s="2">
        <v>3.8560999999999998E-2</v>
      </c>
      <c r="G857" s="2">
        <v>8.4382796599999992</v>
      </c>
      <c r="H857" s="2">
        <v>8.5895033999999999</v>
      </c>
    </row>
    <row r="858" spans="1:8" x14ac:dyDescent="0.3">
      <c r="A858" s="6"/>
      <c r="B858" s="3">
        <v>8</v>
      </c>
      <c r="C858" s="14" t="s">
        <v>114</v>
      </c>
      <c r="D858" s="2">
        <v>204</v>
      </c>
      <c r="E858" s="2">
        <v>8.4301999999999992</v>
      </c>
      <c r="F858" s="2">
        <v>4.4469000000000002E-2</v>
      </c>
      <c r="G858" s="2">
        <v>8.3430031299999996</v>
      </c>
      <c r="H858" s="2">
        <v>8.5173962200000002</v>
      </c>
    </row>
    <row r="862" spans="1:8" x14ac:dyDescent="0.3">
      <c r="A862" s="1" t="s">
        <v>237</v>
      </c>
    </row>
    <row r="864" spans="1:8" x14ac:dyDescent="0.3">
      <c r="A864" s="1" t="s">
        <v>21</v>
      </c>
    </row>
    <row r="865" spans="1:6" ht="17.25" thickBot="1" x14ac:dyDescent="0.35"/>
    <row r="866" spans="1:6" ht="16.5" customHeight="1" x14ac:dyDescent="0.3">
      <c r="A866" s="16" t="s">
        <v>135</v>
      </c>
      <c r="B866" s="18"/>
    </row>
    <row r="867" spans="1:6" ht="26.25" thickBot="1" x14ac:dyDescent="0.35">
      <c r="A867" s="12" t="s">
        <v>136</v>
      </c>
      <c r="B867" s="2">
        <v>183</v>
      </c>
    </row>
    <row r="868" spans="1:6" ht="26.25" thickBot="1" x14ac:dyDescent="0.35">
      <c r="A868" s="12" t="s">
        <v>137</v>
      </c>
      <c r="B868" s="2">
        <v>2982</v>
      </c>
    </row>
    <row r="869" spans="1:6" ht="39" thickBot="1" x14ac:dyDescent="0.35">
      <c r="A869" s="12" t="s">
        <v>138</v>
      </c>
      <c r="B869" s="2">
        <v>68635</v>
      </c>
    </row>
    <row r="870" spans="1:6" ht="25.5" x14ac:dyDescent="0.3">
      <c r="A870" s="13" t="s">
        <v>139</v>
      </c>
      <c r="B870" s="2">
        <v>30251935.699999999</v>
      </c>
    </row>
    <row r="871" spans="1:6" ht="17.25" thickBot="1" x14ac:dyDescent="0.35"/>
    <row r="872" spans="1:6" ht="33" customHeight="1" x14ac:dyDescent="0.3">
      <c r="A872" s="16" t="s">
        <v>140</v>
      </c>
      <c r="B872" s="18"/>
    </row>
    <row r="873" spans="1:6" ht="33.75" thickBot="1" x14ac:dyDescent="0.35">
      <c r="A873" s="12" t="s">
        <v>141</v>
      </c>
      <c r="B873" s="2" t="s">
        <v>142</v>
      </c>
    </row>
    <row r="874" spans="1:6" ht="25.5" x14ac:dyDescent="0.3">
      <c r="A874" s="13" t="s">
        <v>143</v>
      </c>
      <c r="B874" s="2" t="s">
        <v>144</v>
      </c>
    </row>
    <row r="875" spans="1:6" ht="17.25" thickBot="1" x14ac:dyDescent="0.35"/>
    <row r="876" spans="1:6" ht="16.5" customHeight="1" x14ac:dyDescent="0.3">
      <c r="A876" s="16" t="s">
        <v>238</v>
      </c>
      <c r="B876" s="18"/>
      <c r="C876" s="18"/>
      <c r="D876" s="18"/>
      <c r="E876" s="18"/>
      <c r="F876" s="18"/>
    </row>
    <row r="877" spans="1:6" x14ac:dyDescent="0.3">
      <c r="A877" s="17" t="s">
        <v>239</v>
      </c>
      <c r="B877" s="19" t="s">
        <v>94</v>
      </c>
      <c r="C877" s="19" t="s">
        <v>240</v>
      </c>
      <c r="D877" s="3" t="s">
        <v>241</v>
      </c>
      <c r="E877" s="19" t="s">
        <v>243</v>
      </c>
      <c r="F877" s="19"/>
    </row>
    <row r="878" spans="1:6" x14ac:dyDescent="0.3">
      <c r="A878" s="17"/>
      <c r="B878" s="19"/>
      <c r="C878" s="19"/>
      <c r="D878" s="3" t="s">
        <v>242</v>
      </c>
      <c r="E878" s="19"/>
      <c r="F878" s="19"/>
    </row>
    <row r="879" spans="1:6" x14ac:dyDescent="0.3">
      <c r="A879" s="13" t="s">
        <v>114</v>
      </c>
      <c r="B879" s="2">
        <v>68635</v>
      </c>
      <c r="C879" s="2">
        <v>8.5827570000000009</v>
      </c>
      <c r="D879" s="2">
        <v>3.4259999999999998E-3</v>
      </c>
      <c r="E879" s="2">
        <v>8.5760384700000003</v>
      </c>
      <c r="F879" s="2">
        <v>8.58947489</v>
      </c>
    </row>
    <row r="883" spans="1:15" x14ac:dyDescent="0.3">
      <c r="A883" s="1" t="s">
        <v>237</v>
      </c>
    </row>
    <row r="885" spans="1:15" x14ac:dyDescent="0.3">
      <c r="A885" s="1" t="s">
        <v>21</v>
      </c>
    </row>
    <row r="886" spans="1:15" ht="17.25" thickBot="1" x14ac:dyDescent="0.35"/>
    <row r="887" spans="1:15" ht="16.5" customHeight="1" x14ac:dyDescent="0.3">
      <c r="A887" s="16" t="s">
        <v>258</v>
      </c>
      <c r="B887" s="18"/>
      <c r="C887" s="18"/>
      <c r="D887" s="18"/>
      <c r="E887" s="18"/>
      <c r="F887" s="18"/>
      <c r="G887" s="18"/>
      <c r="H887" s="18"/>
    </row>
    <row r="888" spans="1:15" x14ac:dyDescent="0.3">
      <c r="A888" s="17" t="s">
        <v>249</v>
      </c>
      <c r="B888" s="19" t="s">
        <v>13</v>
      </c>
      <c r="C888" s="19" t="s">
        <v>239</v>
      </c>
      <c r="D888" s="19" t="s">
        <v>94</v>
      </c>
      <c r="E888" s="19" t="s">
        <v>240</v>
      </c>
      <c r="F888" s="3" t="s">
        <v>241</v>
      </c>
      <c r="G888" s="19" t="s">
        <v>243</v>
      </c>
      <c r="H888" s="19"/>
    </row>
    <row r="889" spans="1:15" x14ac:dyDescent="0.3">
      <c r="A889" s="17"/>
      <c r="B889" s="19"/>
      <c r="C889" s="19"/>
      <c r="D889" s="19"/>
      <c r="E889" s="19"/>
      <c r="F889" s="3" t="s">
        <v>242</v>
      </c>
      <c r="G889" s="19"/>
      <c r="H889" s="19"/>
    </row>
    <row r="890" spans="1:15" ht="17.25" thickBot="1" x14ac:dyDescent="0.35">
      <c r="A890" s="6">
        <v>1</v>
      </c>
      <c r="B890" s="3">
        <v>1</v>
      </c>
      <c r="C890" s="11" t="s">
        <v>114</v>
      </c>
      <c r="D890" s="2">
        <v>3399</v>
      </c>
      <c r="E890" s="2">
        <v>8.5594900000000003</v>
      </c>
      <c r="F890" s="2">
        <v>1.3939E-2</v>
      </c>
      <c r="G890" s="2">
        <v>8.5321595699999992</v>
      </c>
      <c r="H890" s="2">
        <v>8.5868211999999993</v>
      </c>
      <c r="J890" t="str">
        <f t="shared" ref="J890:J907" si="33">TEXT(E890,"0.00")&amp;" ("&amp;TEXT(G890,"0.00")&amp;" to "&amp;TEXT(H890,"0.00")&amp;")"</f>
        <v>8.56 (8.53 to 8.59)</v>
      </c>
      <c r="K890" t="str">
        <f>J893</f>
        <v>8.55 (8.52 to 8.58)</v>
      </c>
      <c r="L890" t="str">
        <f>J896</f>
        <v>8.61 (8.58 to 8.65)</v>
      </c>
      <c r="M890" t="str">
        <f>J899</f>
        <v>8.60 (8.57 to 8.63)</v>
      </c>
      <c r="N890" t="str">
        <f>J902</f>
        <v>8.60 (8.57 to 8.62)</v>
      </c>
      <c r="O890" t="str">
        <f>J905</f>
        <v>8.60 (8.56 to 8.64)</v>
      </c>
    </row>
    <row r="891" spans="1:15" ht="17.25" thickBot="1" x14ac:dyDescent="0.35">
      <c r="A891" s="6"/>
      <c r="B891" s="3">
        <v>2</v>
      </c>
      <c r="C891" s="11" t="s">
        <v>114</v>
      </c>
      <c r="D891" s="2">
        <v>6638</v>
      </c>
      <c r="E891" s="2">
        <v>8.5256349999999994</v>
      </c>
      <c r="F891" s="2">
        <v>1.0319E-2</v>
      </c>
      <c r="G891" s="2">
        <v>8.5054025499999995</v>
      </c>
      <c r="H891" s="2">
        <v>8.5458681999999992</v>
      </c>
      <c r="J891" t="str">
        <f t="shared" si="33"/>
        <v>8.53 (8.51 to 8.55)</v>
      </c>
      <c r="K891" t="str">
        <f t="shared" ref="K891:K892" si="34">J894</f>
        <v>8.55 (8.53 to 8.57)</v>
      </c>
      <c r="L891" t="str">
        <f t="shared" ref="L891:L892" si="35">J897</f>
        <v>8.57 (8.55 to 8.59)</v>
      </c>
      <c r="M891" t="str">
        <f t="shared" ref="M891:M892" si="36">J900</f>
        <v>8.60 (8.58 to 8.62)</v>
      </c>
      <c r="N891" t="str">
        <f t="shared" ref="N891:N892" si="37">J903</f>
        <v>8.58 (8.56 to 8.60)</v>
      </c>
      <c r="O891" t="str">
        <f t="shared" ref="O891:O892" si="38">J906</f>
        <v>8.59 (8.55 to 8.62)</v>
      </c>
    </row>
    <row r="892" spans="1:15" ht="17.25" thickBot="1" x14ac:dyDescent="0.35">
      <c r="A892" s="6"/>
      <c r="B892" s="3">
        <v>3</v>
      </c>
      <c r="C892" s="11" t="s">
        <v>114</v>
      </c>
      <c r="D892" s="2">
        <v>1878</v>
      </c>
      <c r="E892" s="2">
        <v>8.6692260000000001</v>
      </c>
      <c r="F892" s="2">
        <v>2.0570999999999999E-2</v>
      </c>
      <c r="G892" s="2">
        <v>8.6288904300000002</v>
      </c>
      <c r="H892" s="2">
        <v>8.7095610499999996</v>
      </c>
      <c r="J892" t="str">
        <f t="shared" si="33"/>
        <v>8.67 (8.63 to 8.71)</v>
      </c>
      <c r="K892" t="str">
        <f t="shared" si="34"/>
        <v>8.62 (8.59 to 8.66)</v>
      </c>
      <c r="L892" t="str">
        <f t="shared" si="35"/>
        <v>8.62 (8.59 to 8.66)</v>
      </c>
      <c r="M892" t="str">
        <f t="shared" si="36"/>
        <v>8.66 (8.62 to 8.69)</v>
      </c>
      <c r="N892" t="str">
        <f t="shared" si="37"/>
        <v>8.60 (8.56 to 8.63)</v>
      </c>
      <c r="O892" t="str">
        <f t="shared" si="38"/>
        <v>8.60 (8.56 to 8.65)</v>
      </c>
    </row>
    <row r="893" spans="1:15" ht="17.25" thickBot="1" x14ac:dyDescent="0.35">
      <c r="A893" s="6">
        <v>2</v>
      </c>
      <c r="B893" s="3">
        <v>1</v>
      </c>
      <c r="C893" s="11" t="s">
        <v>114</v>
      </c>
      <c r="D893" s="2">
        <v>3498</v>
      </c>
      <c r="E893" s="2">
        <v>8.5525889999999993</v>
      </c>
      <c r="F893" s="2">
        <v>1.5419E-2</v>
      </c>
      <c r="G893" s="2">
        <v>8.5223552399999996</v>
      </c>
      <c r="H893" s="2">
        <v>8.5828230300000001</v>
      </c>
      <c r="J893" t="str">
        <f t="shared" si="33"/>
        <v>8.55 (8.52 to 8.58)</v>
      </c>
    </row>
    <row r="894" spans="1:15" ht="17.25" thickBot="1" x14ac:dyDescent="0.35">
      <c r="A894" s="6"/>
      <c r="B894" s="3">
        <v>2</v>
      </c>
      <c r="C894" s="11" t="s">
        <v>114</v>
      </c>
      <c r="D894" s="2">
        <v>7682</v>
      </c>
      <c r="E894" s="2">
        <v>8.5493749999999995</v>
      </c>
      <c r="F894" s="2">
        <v>9.8960000000000003E-3</v>
      </c>
      <c r="G894" s="2">
        <v>8.5299709000000004</v>
      </c>
      <c r="H894" s="2">
        <v>8.5687796699999996</v>
      </c>
      <c r="J894" t="str">
        <f t="shared" si="33"/>
        <v>8.55 (8.53 to 8.57)</v>
      </c>
    </row>
    <row r="895" spans="1:15" ht="17.25" thickBot="1" x14ac:dyDescent="0.35">
      <c r="A895" s="6"/>
      <c r="B895" s="3">
        <v>3</v>
      </c>
      <c r="C895" s="11" t="s">
        <v>114</v>
      </c>
      <c r="D895" s="2">
        <v>1936</v>
      </c>
      <c r="E895" s="2">
        <v>8.6229289999999992</v>
      </c>
      <c r="F895" s="2">
        <v>1.8998999999999999E-2</v>
      </c>
      <c r="G895" s="2">
        <v>8.5856741599999999</v>
      </c>
      <c r="H895" s="2">
        <v>8.6601829099999996</v>
      </c>
      <c r="J895" t="str">
        <f t="shared" si="33"/>
        <v>8.62 (8.59 to 8.66)</v>
      </c>
    </row>
    <row r="896" spans="1:15" ht="17.25" thickBot="1" x14ac:dyDescent="0.35">
      <c r="A896" s="6">
        <v>3</v>
      </c>
      <c r="B896" s="3">
        <v>1</v>
      </c>
      <c r="C896" s="11" t="s">
        <v>114</v>
      </c>
      <c r="D896" s="2">
        <v>2810</v>
      </c>
      <c r="E896" s="2">
        <v>8.6141740000000002</v>
      </c>
      <c r="F896" s="2">
        <v>1.6556999999999999E-2</v>
      </c>
      <c r="G896" s="2">
        <v>8.5817095499999994</v>
      </c>
      <c r="H896" s="2">
        <v>8.6466384600000001</v>
      </c>
      <c r="J896" t="str">
        <f t="shared" si="33"/>
        <v>8.61 (8.58 to 8.65)</v>
      </c>
    </row>
    <row r="897" spans="1:10" ht="17.25" thickBot="1" x14ac:dyDescent="0.35">
      <c r="A897" s="6"/>
      <c r="B897" s="3">
        <v>2</v>
      </c>
      <c r="C897" s="11" t="s">
        <v>114</v>
      </c>
      <c r="D897" s="2">
        <v>6806</v>
      </c>
      <c r="E897" s="2">
        <v>8.5693579999999994</v>
      </c>
      <c r="F897" s="2">
        <v>1.0422000000000001E-2</v>
      </c>
      <c r="G897" s="2">
        <v>8.5489227200000002</v>
      </c>
      <c r="H897" s="2">
        <v>8.5897933500000008</v>
      </c>
      <c r="J897" t="str">
        <f t="shared" si="33"/>
        <v>8.57 (8.55 to 8.59)</v>
      </c>
    </row>
    <row r="898" spans="1:10" ht="17.25" thickBot="1" x14ac:dyDescent="0.35">
      <c r="A898" s="6"/>
      <c r="B898" s="3">
        <v>3</v>
      </c>
      <c r="C898" s="11" t="s">
        <v>114</v>
      </c>
      <c r="D898" s="2">
        <v>1859</v>
      </c>
      <c r="E898" s="2">
        <v>8.6241690000000002</v>
      </c>
      <c r="F898" s="2">
        <v>1.8615E-2</v>
      </c>
      <c r="G898" s="2">
        <v>8.5876684799999996</v>
      </c>
      <c r="H898" s="2">
        <v>8.6606690900000007</v>
      </c>
      <c r="J898" t="str">
        <f t="shared" si="33"/>
        <v>8.62 (8.59 to 8.66)</v>
      </c>
    </row>
    <row r="899" spans="1:10" ht="17.25" thickBot="1" x14ac:dyDescent="0.35">
      <c r="A899" s="6">
        <v>4</v>
      </c>
      <c r="B899" s="3">
        <v>1</v>
      </c>
      <c r="C899" s="11" t="s">
        <v>114</v>
      </c>
      <c r="D899" s="2">
        <v>3813</v>
      </c>
      <c r="E899" s="2">
        <v>8.6002170000000007</v>
      </c>
      <c r="F899" s="2">
        <v>1.3247E-2</v>
      </c>
      <c r="G899" s="2">
        <v>8.5742428700000008</v>
      </c>
      <c r="H899" s="2">
        <v>8.6261912699999996</v>
      </c>
      <c r="J899" t="str">
        <f t="shared" si="33"/>
        <v>8.60 (8.57 to 8.63)</v>
      </c>
    </row>
    <row r="900" spans="1:10" ht="17.25" thickBot="1" x14ac:dyDescent="0.35">
      <c r="A900" s="6"/>
      <c r="B900" s="3">
        <v>2</v>
      </c>
      <c r="C900" s="11" t="s">
        <v>114</v>
      </c>
      <c r="D900" s="2">
        <v>8069</v>
      </c>
      <c r="E900" s="2">
        <v>8.6029809999999998</v>
      </c>
      <c r="F900" s="2">
        <v>9.5919999999999998E-3</v>
      </c>
      <c r="G900" s="2">
        <v>8.5841727500000005</v>
      </c>
      <c r="H900" s="2">
        <v>8.6217883400000002</v>
      </c>
      <c r="J900" t="str">
        <f t="shared" si="33"/>
        <v>8.60 (8.58 to 8.62)</v>
      </c>
    </row>
    <row r="901" spans="1:10" ht="17.25" thickBot="1" x14ac:dyDescent="0.35">
      <c r="A901" s="6"/>
      <c r="B901" s="3">
        <v>3</v>
      </c>
      <c r="C901" s="11" t="s">
        <v>114</v>
      </c>
      <c r="D901" s="2">
        <v>2276</v>
      </c>
      <c r="E901" s="2">
        <v>8.6561299999999992</v>
      </c>
      <c r="F901" s="2">
        <v>1.7446E-2</v>
      </c>
      <c r="G901" s="2">
        <v>8.6219206800000006</v>
      </c>
      <c r="H901" s="2">
        <v>8.6903388400000008</v>
      </c>
      <c r="J901" t="str">
        <f t="shared" si="33"/>
        <v>8.66 (8.62 to 8.69)</v>
      </c>
    </row>
    <row r="902" spans="1:10" ht="17.25" thickBot="1" x14ac:dyDescent="0.35">
      <c r="A902" s="6">
        <v>5</v>
      </c>
      <c r="B902" s="3">
        <v>1</v>
      </c>
      <c r="C902" s="11" t="s">
        <v>114</v>
      </c>
      <c r="D902" s="2">
        <v>3630</v>
      </c>
      <c r="E902" s="2">
        <v>8.5974129999999995</v>
      </c>
      <c r="F902" s="2">
        <v>1.379E-2</v>
      </c>
      <c r="G902" s="2">
        <v>8.57037418</v>
      </c>
      <c r="H902" s="2">
        <v>8.6244527699999995</v>
      </c>
      <c r="J902" t="str">
        <f t="shared" si="33"/>
        <v>8.60 (8.57 to 8.62)</v>
      </c>
    </row>
    <row r="903" spans="1:10" ht="17.25" thickBot="1" x14ac:dyDescent="0.35">
      <c r="A903" s="6"/>
      <c r="B903" s="3">
        <v>2</v>
      </c>
      <c r="C903" s="11" t="s">
        <v>114</v>
      </c>
      <c r="D903" s="2">
        <v>7918</v>
      </c>
      <c r="E903" s="2">
        <v>8.5776810000000001</v>
      </c>
      <c r="F903" s="2">
        <v>9.7990000000000004E-3</v>
      </c>
      <c r="G903" s="2">
        <v>8.5584679799999996</v>
      </c>
      <c r="H903" s="2">
        <v>8.5968942699999999</v>
      </c>
      <c r="J903" t="str">
        <f t="shared" si="33"/>
        <v>8.58 (8.56 to 8.60)</v>
      </c>
    </row>
    <row r="904" spans="1:10" ht="17.25" thickBot="1" x14ac:dyDescent="0.35">
      <c r="A904" s="6"/>
      <c r="B904" s="3">
        <v>3</v>
      </c>
      <c r="C904" s="11" t="s">
        <v>114</v>
      </c>
      <c r="D904" s="2">
        <v>2007</v>
      </c>
      <c r="E904" s="2">
        <v>8.5977010000000007</v>
      </c>
      <c r="F904" s="2">
        <v>1.8504E-2</v>
      </c>
      <c r="G904" s="2">
        <v>8.5614192399999993</v>
      </c>
      <c r="H904" s="2">
        <v>8.6339832600000008</v>
      </c>
      <c r="J904" t="str">
        <f t="shared" si="33"/>
        <v>8.60 (8.56 to 8.63)</v>
      </c>
    </row>
    <row r="905" spans="1:10" ht="17.25" thickBot="1" x14ac:dyDescent="0.35">
      <c r="A905" s="6">
        <v>6</v>
      </c>
      <c r="B905" s="3">
        <v>1</v>
      </c>
      <c r="C905" s="11" t="s">
        <v>114</v>
      </c>
      <c r="D905" s="2">
        <v>1107</v>
      </c>
      <c r="E905" s="2">
        <v>8.6012649999999997</v>
      </c>
      <c r="F905" s="2">
        <v>2.2138000000000001E-2</v>
      </c>
      <c r="G905" s="2">
        <v>8.5578559999999992</v>
      </c>
      <c r="H905" s="2">
        <v>8.6446737099999993</v>
      </c>
      <c r="J905" t="str">
        <f t="shared" si="33"/>
        <v>8.60 (8.56 to 8.64)</v>
      </c>
    </row>
    <row r="906" spans="1:10" ht="17.25" thickBot="1" x14ac:dyDescent="0.35">
      <c r="A906" s="6"/>
      <c r="B906" s="3">
        <v>2</v>
      </c>
      <c r="C906" s="11" t="s">
        <v>114</v>
      </c>
      <c r="D906" s="2">
        <v>2438</v>
      </c>
      <c r="E906" s="2">
        <v>8.5872220000000006</v>
      </c>
      <c r="F906" s="2">
        <v>1.6482E-2</v>
      </c>
      <c r="G906" s="2">
        <v>8.5549039199999992</v>
      </c>
      <c r="H906" s="2">
        <v>8.61953952</v>
      </c>
      <c r="J906" t="str">
        <f t="shared" si="33"/>
        <v>8.59 (8.55 to 8.62)</v>
      </c>
    </row>
    <row r="907" spans="1:10" x14ac:dyDescent="0.3">
      <c r="A907" s="6"/>
      <c r="B907" s="3">
        <v>3</v>
      </c>
      <c r="C907" s="14" t="s">
        <v>114</v>
      </c>
      <c r="D907" s="2">
        <v>871</v>
      </c>
      <c r="E907" s="2">
        <v>8.6017109999999999</v>
      </c>
      <c r="F907" s="2">
        <v>2.2114999999999999E-2</v>
      </c>
      <c r="G907" s="2">
        <v>8.5583471600000003</v>
      </c>
      <c r="H907" s="2">
        <v>8.6450745199999997</v>
      </c>
      <c r="J907" t="str">
        <f t="shared" si="33"/>
        <v>8.60 (8.56 to 8.65)</v>
      </c>
    </row>
    <row r="911" spans="1:10" x14ac:dyDescent="0.3">
      <c r="A911" s="1" t="s">
        <v>237</v>
      </c>
    </row>
    <row r="913" spans="1:6" x14ac:dyDescent="0.3">
      <c r="A913" s="1" t="s">
        <v>1</v>
      </c>
    </row>
    <row r="914" spans="1:6" ht="17.25" thickBot="1" x14ac:dyDescent="0.35"/>
    <row r="915" spans="1:6" ht="16.5" customHeight="1" x14ac:dyDescent="0.3">
      <c r="A915" s="16" t="s">
        <v>135</v>
      </c>
      <c r="B915" s="18"/>
    </row>
    <row r="916" spans="1:6" ht="26.25" thickBot="1" x14ac:dyDescent="0.35">
      <c r="A916" s="12" t="s">
        <v>136</v>
      </c>
      <c r="B916" s="2">
        <v>183</v>
      </c>
    </row>
    <row r="917" spans="1:6" ht="26.25" thickBot="1" x14ac:dyDescent="0.35">
      <c r="A917" s="12" t="s">
        <v>137</v>
      </c>
      <c r="B917" s="2">
        <v>2949</v>
      </c>
    </row>
    <row r="918" spans="1:6" ht="39" thickBot="1" x14ac:dyDescent="0.35">
      <c r="A918" s="12" t="s">
        <v>138</v>
      </c>
      <c r="B918" s="2">
        <v>23222</v>
      </c>
    </row>
    <row r="919" spans="1:6" ht="25.5" x14ac:dyDescent="0.3">
      <c r="A919" s="13" t="s">
        <v>139</v>
      </c>
      <c r="B919" s="2">
        <v>9036880.5199999996</v>
      </c>
    </row>
    <row r="920" spans="1:6" ht="17.25" thickBot="1" x14ac:dyDescent="0.35"/>
    <row r="921" spans="1:6" ht="33" customHeight="1" x14ac:dyDescent="0.3">
      <c r="A921" s="16" t="s">
        <v>140</v>
      </c>
      <c r="B921" s="18"/>
    </row>
    <row r="922" spans="1:6" ht="33.75" thickBot="1" x14ac:dyDescent="0.35">
      <c r="A922" s="12" t="s">
        <v>141</v>
      </c>
      <c r="B922" s="2" t="s">
        <v>142</v>
      </c>
    </row>
    <row r="923" spans="1:6" ht="25.5" x14ac:dyDescent="0.3">
      <c r="A923" s="13" t="s">
        <v>143</v>
      </c>
      <c r="B923" s="2" t="s">
        <v>144</v>
      </c>
    </row>
    <row r="924" spans="1:6" ht="17.25" thickBot="1" x14ac:dyDescent="0.35"/>
    <row r="925" spans="1:6" ht="16.5" customHeight="1" x14ac:dyDescent="0.3">
      <c r="A925" s="16" t="s">
        <v>238</v>
      </c>
      <c r="B925" s="18"/>
      <c r="C925" s="18"/>
      <c r="D925" s="18"/>
      <c r="E925" s="18"/>
      <c r="F925" s="18"/>
    </row>
    <row r="926" spans="1:6" x14ac:dyDescent="0.3">
      <c r="A926" s="17" t="s">
        <v>239</v>
      </c>
      <c r="B926" s="19" t="s">
        <v>94</v>
      </c>
      <c r="C926" s="19" t="s">
        <v>240</v>
      </c>
      <c r="D926" s="3" t="s">
        <v>241</v>
      </c>
      <c r="E926" s="19" t="s">
        <v>243</v>
      </c>
      <c r="F926" s="19"/>
    </row>
    <row r="927" spans="1:6" x14ac:dyDescent="0.3">
      <c r="A927" s="17"/>
      <c r="B927" s="19"/>
      <c r="C927" s="19"/>
      <c r="D927" s="3" t="s">
        <v>242</v>
      </c>
      <c r="E927" s="19"/>
      <c r="F927" s="19"/>
    </row>
    <row r="928" spans="1:6" x14ac:dyDescent="0.3">
      <c r="A928" s="13" t="s">
        <v>114</v>
      </c>
      <c r="B928" s="2">
        <v>23222</v>
      </c>
      <c r="C928" s="2">
        <v>8.4582850000000001</v>
      </c>
      <c r="D928" s="2">
        <v>5.8770000000000003E-3</v>
      </c>
      <c r="E928" s="2">
        <v>8.4467599599999996</v>
      </c>
      <c r="F928" s="2">
        <v>8.4698092999999997</v>
      </c>
    </row>
    <row r="932" spans="1:8" x14ac:dyDescent="0.3">
      <c r="A932" s="1" t="s">
        <v>237</v>
      </c>
    </row>
    <row r="934" spans="1:8" x14ac:dyDescent="0.3">
      <c r="A934" s="1" t="s">
        <v>1</v>
      </c>
    </row>
    <row r="935" spans="1:8" ht="17.25" thickBot="1" x14ac:dyDescent="0.35"/>
    <row r="936" spans="1:8" ht="16.5" customHeight="1" x14ac:dyDescent="0.3">
      <c r="A936" s="16" t="s">
        <v>259</v>
      </c>
      <c r="B936" s="18"/>
      <c r="C936" s="18"/>
      <c r="D936" s="18"/>
      <c r="E936" s="18"/>
      <c r="F936" s="18"/>
      <c r="G936" s="18"/>
      <c r="H936" s="18"/>
    </row>
    <row r="937" spans="1:8" ht="16.5" customHeight="1" x14ac:dyDescent="0.3">
      <c r="A937" s="17" t="s">
        <v>249</v>
      </c>
      <c r="B937" s="19" t="s">
        <v>14</v>
      </c>
      <c r="C937" s="19" t="s">
        <v>239</v>
      </c>
      <c r="D937" s="19" t="s">
        <v>94</v>
      </c>
      <c r="E937" s="19" t="s">
        <v>240</v>
      </c>
      <c r="F937" s="3" t="s">
        <v>241</v>
      </c>
      <c r="G937" s="19" t="s">
        <v>243</v>
      </c>
      <c r="H937" s="19"/>
    </row>
    <row r="938" spans="1:8" x14ac:dyDescent="0.3">
      <c r="A938" s="17"/>
      <c r="B938" s="19"/>
      <c r="C938" s="19"/>
      <c r="D938" s="19"/>
      <c r="E938" s="19"/>
      <c r="F938" s="3" t="s">
        <v>242</v>
      </c>
      <c r="G938" s="19"/>
      <c r="H938" s="19"/>
    </row>
    <row r="939" spans="1:8" ht="17.25" thickBot="1" x14ac:dyDescent="0.35">
      <c r="A939" s="6">
        <v>1</v>
      </c>
      <c r="B939" s="3">
        <v>1</v>
      </c>
      <c r="C939" s="11" t="s">
        <v>114</v>
      </c>
      <c r="D939" s="2">
        <v>424</v>
      </c>
      <c r="E939" s="2">
        <v>8.4342939999999995</v>
      </c>
      <c r="F939" s="2">
        <v>3.7620000000000001E-2</v>
      </c>
      <c r="G939" s="2">
        <v>8.36052851</v>
      </c>
      <c r="H939" s="2">
        <v>8.5080591600000002</v>
      </c>
    </row>
    <row r="940" spans="1:8" ht="17.25" thickBot="1" x14ac:dyDescent="0.35">
      <c r="A940" s="6"/>
      <c r="B940" s="3">
        <v>2</v>
      </c>
      <c r="C940" s="11" t="s">
        <v>114</v>
      </c>
      <c r="D940" s="2">
        <v>246</v>
      </c>
      <c r="E940" s="2">
        <v>8.4213539999999991</v>
      </c>
      <c r="F940" s="2">
        <v>4.9513000000000001E-2</v>
      </c>
      <c r="G940" s="2">
        <v>8.3242670499999996</v>
      </c>
      <c r="H940" s="2">
        <v>8.5184412900000002</v>
      </c>
    </row>
    <row r="941" spans="1:8" ht="17.25" thickBot="1" x14ac:dyDescent="0.35">
      <c r="A941" s="6"/>
      <c r="B941" s="3">
        <v>3</v>
      </c>
      <c r="C941" s="11" t="s">
        <v>114</v>
      </c>
      <c r="D941" s="2">
        <v>177</v>
      </c>
      <c r="E941" s="2">
        <v>8.8818140000000003</v>
      </c>
      <c r="F941" s="2">
        <v>7.1021000000000001E-2</v>
      </c>
      <c r="G941" s="2">
        <v>8.7425546099999991</v>
      </c>
      <c r="H941" s="2">
        <v>9.0210742600000007</v>
      </c>
    </row>
    <row r="942" spans="1:8" ht="17.25" thickBot="1" x14ac:dyDescent="0.35">
      <c r="A942" s="6"/>
      <c r="B942" s="3">
        <v>8</v>
      </c>
      <c r="C942" s="11" t="s">
        <v>114</v>
      </c>
      <c r="D942" s="2">
        <v>2893</v>
      </c>
      <c r="E942" s="2">
        <v>8.5090310000000002</v>
      </c>
      <c r="F942" s="2">
        <v>1.6528999999999999E-2</v>
      </c>
      <c r="G942" s="2">
        <v>8.4766192799999995</v>
      </c>
      <c r="H942" s="2">
        <v>8.5414417999999994</v>
      </c>
    </row>
    <row r="943" spans="1:8" ht="17.25" thickBot="1" x14ac:dyDescent="0.35">
      <c r="A943" s="6">
        <v>2</v>
      </c>
      <c r="B943" s="3">
        <v>1</v>
      </c>
      <c r="C943" s="11" t="s">
        <v>114</v>
      </c>
      <c r="D943" s="2">
        <v>443</v>
      </c>
      <c r="E943" s="2">
        <v>8.2044870000000003</v>
      </c>
      <c r="F943" s="2">
        <v>3.5233E-2</v>
      </c>
      <c r="G943" s="2">
        <v>8.1354007199999998</v>
      </c>
      <c r="H943" s="2">
        <v>8.27357327</v>
      </c>
    </row>
    <row r="944" spans="1:8" ht="17.25" thickBot="1" x14ac:dyDescent="0.35">
      <c r="A944" s="6"/>
      <c r="B944" s="3">
        <v>2</v>
      </c>
      <c r="C944" s="11" t="s">
        <v>114</v>
      </c>
      <c r="D944" s="2">
        <v>258</v>
      </c>
      <c r="E944" s="2">
        <v>8.3283939999999994</v>
      </c>
      <c r="F944" s="2">
        <v>4.5719000000000003E-2</v>
      </c>
      <c r="G944" s="2">
        <v>8.2387466400000005</v>
      </c>
      <c r="H944" s="2">
        <v>8.4180412199999992</v>
      </c>
    </row>
    <row r="945" spans="1:8" ht="17.25" thickBot="1" x14ac:dyDescent="0.35">
      <c r="A945" s="6"/>
      <c r="B945" s="3">
        <v>3</v>
      </c>
      <c r="C945" s="11" t="s">
        <v>114</v>
      </c>
      <c r="D945" s="2">
        <v>116</v>
      </c>
      <c r="E945" s="2">
        <v>8.7307539999999992</v>
      </c>
      <c r="F945" s="2">
        <v>7.0253999999999997E-2</v>
      </c>
      <c r="G945" s="2">
        <v>8.5929982099999993</v>
      </c>
      <c r="H945" s="2">
        <v>8.8685098799999995</v>
      </c>
    </row>
    <row r="946" spans="1:8" ht="17.25" thickBot="1" x14ac:dyDescent="0.35">
      <c r="A946" s="6"/>
      <c r="B946" s="3">
        <v>8</v>
      </c>
      <c r="C946" s="11" t="s">
        <v>114</v>
      </c>
      <c r="D946" s="2">
        <v>3915</v>
      </c>
      <c r="E946" s="2">
        <v>8.3699060000000003</v>
      </c>
      <c r="F946" s="2">
        <v>1.3084E-2</v>
      </c>
      <c r="G946" s="2">
        <v>8.3442510500000004</v>
      </c>
      <c r="H946" s="2">
        <v>8.3955602900000006</v>
      </c>
    </row>
    <row r="947" spans="1:8" ht="17.25" thickBot="1" x14ac:dyDescent="0.35">
      <c r="A947" s="6">
        <v>3</v>
      </c>
      <c r="B947" s="3">
        <v>1</v>
      </c>
      <c r="C947" s="11" t="s">
        <v>114</v>
      </c>
      <c r="D947" s="2">
        <v>538</v>
      </c>
      <c r="E947" s="2">
        <v>8.3286099999999994</v>
      </c>
      <c r="F947" s="2">
        <v>2.9694999999999999E-2</v>
      </c>
      <c r="G947" s="2">
        <v>8.2703830299999996</v>
      </c>
      <c r="H947" s="2">
        <v>8.3868373700000003</v>
      </c>
    </row>
    <row r="948" spans="1:8" ht="17.25" thickBot="1" x14ac:dyDescent="0.35">
      <c r="A948" s="6"/>
      <c r="B948" s="3">
        <v>2</v>
      </c>
      <c r="C948" s="11" t="s">
        <v>114</v>
      </c>
      <c r="D948" s="2">
        <v>351</v>
      </c>
      <c r="E948" s="2">
        <v>8.5191440000000007</v>
      </c>
      <c r="F948" s="2">
        <v>4.1255E-2</v>
      </c>
      <c r="G948" s="2">
        <v>8.4382493899999993</v>
      </c>
      <c r="H948" s="2">
        <v>8.6000378200000007</v>
      </c>
    </row>
    <row r="949" spans="1:8" ht="17.25" thickBot="1" x14ac:dyDescent="0.35">
      <c r="A949" s="6"/>
      <c r="B949" s="3">
        <v>3</v>
      </c>
      <c r="C949" s="11" t="s">
        <v>114</v>
      </c>
      <c r="D949" s="2">
        <v>201</v>
      </c>
      <c r="E949" s="2">
        <v>8.8775870000000001</v>
      </c>
      <c r="F949" s="2">
        <v>7.6835000000000001E-2</v>
      </c>
      <c r="G949" s="2">
        <v>8.7269260000000006</v>
      </c>
      <c r="H949" s="2">
        <v>9.0282473099999994</v>
      </c>
    </row>
    <row r="950" spans="1:8" ht="17.25" thickBot="1" x14ac:dyDescent="0.35">
      <c r="A950" s="6"/>
      <c r="B950" s="3">
        <v>8</v>
      </c>
      <c r="C950" s="11" t="s">
        <v>114</v>
      </c>
      <c r="D950" s="2">
        <v>3167</v>
      </c>
      <c r="E950" s="2">
        <v>8.4426489999999994</v>
      </c>
      <c r="F950" s="2">
        <v>1.4683999999999999E-2</v>
      </c>
      <c r="G950" s="2">
        <v>8.41385687</v>
      </c>
      <c r="H950" s="2">
        <v>8.4714419799999998</v>
      </c>
    </row>
    <row r="951" spans="1:8" ht="17.25" thickBot="1" x14ac:dyDescent="0.35">
      <c r="A951" s="6">
        <v>4</v>
      </c>
      <c r="B951" s="3">
        <v>1</v>
      </c>
      <c r="C951" s="11" t="s">
        <v>114</v>
      </c>
      <c r="D951" s="2">
        <v>582</v>
      </c>
      <c r="E951" s="2">
        <v>8.4320989999999991</v>
      </c>
      <c r="F951" s="2">
        <v>3.3959999999999997E-2</v>
      </c>
      <c r="G951" s="2">
        <v>8.3655087600000009</v>
      </c>
      <c r="H951" s="2">
        <v>8.4986885999999995</v>
      </c>
    </row>
    <row r="952" spans="1:8" ht="17.25" thickBot="1" x14ac:dyDescent="0.35">
      <c r="A952" s="6"/>
      <c r="B952" s="3">
        <v>2</v>
      </c>
      <c r="C952" s="11" t="s">
        <v>114</v>
      </c>
      <c r="D952" s="2">
        <v>417</v>
      </c>
      <c r="E952" s="2">
        <v>8.5374940000000006</v>
      </c>
      <c r="F952" s="2">
        <v>3.6309000000000001E-2</v>
      </c>
      <c r="G952" s="2">
        <v>8.4662988000000006</v>
      </c>
      <c r="H952" s="2">
        <v>8.6086885199999994</v>
      </c>
    </row>
    <row r="953" spans="1:8" ht="17.25" thickBot="1" x14ac:dyDescent="0.35">
      <c r="A953" s="6"/>
      <c r="B953" s="3">
        <v>3</v>
      </c>
      <c r="C953" s="11" t="s">
        <v>114</v>
      </c>
      <c r="D953" s="2">
        <v>261</v>
      </c>
      <c r="E953" s="2">
        <v>8.8591569999999997</v>
      </c>
      <c r="F953" s="2">
        <v>5.5037000000000003E-2</v>
      </c>
      <c r="G953" s="2">
        <v>8.7512386400000004</v>
      </c>
      <c r="H953" s="2">
        <v>8.9670752500000006</v>
      </c>
    </row>
    <row r="954" spans="1:8" ht="17.25" thickBot="1" x14ac:dyDescent="0.35">
      <c r="A954" s="6"/>
      <c r="B954" s="3">
        <v>8</v>
      </c>
      <c r="C954" s="11" t="s">
        <v>114</v>
      </c>
      <c r="D954" s="2">
        <v>3296</v>
      </c>
      <c r="E954" s="2">
        <v>8.4433550000000004</v>
      </c>
      <c r="F954" s="2">
        <v>1.4194E-2</v>
      </c>
      <c r="G954" s="2">
        <v>8.4155240800000009</v>
      </c>
      <c r="H954" s="2">
        <v>8.4711867499999993</v>
      </c>
    </row>
    <row r="955" spans="1:8" ht="17.25" thickBot="1" x14ac:dyDescent="0.35">
      <c r="A955" s="6">
        <v>5</v>
      </c>
      <c r="B955" s="3">
        <v>1</v>
      </c>
      <c r="C955" s="11" t="s">
        <v>114</v>
      </c>
      <c r="D955" s="2">
        <v>641</v>
      </c>
      <c r="E955" s="2">
        <v>8.4776799999999994</v>
      </c>
      <c r="F955" s="2">
        <v>3.0852000000000001E-2</v>
      </c>
      <c r="G955" s="2">
        <v>8.4171847799999995</v>
      </c>
      <c r="H955" s="2">
        <v>8.5381754799999996</v>
      </c>
    </row>
    <row r="956" spans="1:8" ht="17.25" thickBot="1" x14ac:dyDescent="0.35">
      <c r="A956" s="6"/>
      <c r="B956" s="3">
        <v>2</v>
      </c>
      <c r="C956" s="11" t="s">
        <v>114</v>
      </c>
      <c r="D956" s="2">
        <v>383</v>
      </c>
      <c r="E956" s="2">
        <v>8.5381009999999993</v>
      </c>
      <c r="F956" s="2">
        <v>3.8873999999999999E-2</v>
      </c>
      <c r="G956" s="2">
        <v>8.4618750299999999</v>
      </c>
      <c r="H956" s="2">
        <v>8.6143269599999996</v>
      </c>
    </row>
    <row r="957" spans="1:8" ht="17.25" thickBot="1" x14ac:dyDescent="0.35">
      <c r="A957" s="6"/>
      <c r="B957" s="3">
        <v>3</v>
      </c>
      <c r="C957" s="11" t="s">
        <v>114</v>
      </c>
      <c r="D957" s="2">
        <v>253</v>
      </c>
      <c r="E957" s="2">
        <v>8.9453379999999996</v>
      </c>
      <c r="F957" s="2">
        <v>5.6460999999999997E-2</v>
      </c>
      <c r="G957" s="2">
        <v>8.8346278399999996</v>
      </c>
      <c r="H957" s="2">
        <v>9.0560477000000006</v>
      </c>
    </row>
    <row r="958" spans="1:8" ht="17.25" thickBot="1" x14ac:dyDescent="0.35">
      <c r="A958" s="6"/>
      <c r="B958" s="3">
        <v>8</v>
      </c>
      <c r="C958" s="11" t="s">
        <v>114</v>
      </c>
      <c r="D958" s="2">
        <v>3224</v>
      </c>
      <c r="E958" s="2">
        <v>8.417389</v>
      </c>
      <c r="F958" s="2">
        <v>1.5015000000000001E-2</v>
      </c>
      <c r="G958" s="2">
        <v>8.3879478299999999</v>
      </c>
      <c r="H958" s="2">
        <v>8.44683049</v>
      </c>
    </row>
    <row r="959" spans="1:8" ht="17.25" thickBot="1" x14ac:dyDescent="0.35">
      <c r="A959" s="6">
        <v>6</v>
      </c>
      <c r="B959" s="3">
        <v>1</v>
      </c>
      <c r="C959" s="11" t="s">
        <v>114</v>
      </c>
      <c r="D959" s="2">
        <v>173</v>
      </c>
      <c r="E959" s="2">
        <v>8.559412</v>
      </c>
      <c r="F959" s="2">
        <v>5.6411000000000003E-2</v>
      </c>
      <c r="G959" s="2">
        <v>8.4488012000000001</v>
      </c>
      <c r="H959" s="2">
        <v>8.6700236200000003</v>
      </c>
    </row>
    <row r="960" spans="1:8" ht="17.25" thickBot="1" x14ac:dyDescent="0.35">
      <c r="A960" s="6"/>
      <c r="B960" s="3">
        <v>2</v>
      </c>
      <c r="C960" s="11" t="s">
        <v>114</v>
      </c>
      <c r="D960" s="2">
        <v>144</v>
      </c>
      <c r="E960" s="2">
        <v>8.5938359999999996</v>
      </c>
      <c r="F960" s="2">
        <v>5.2378000000000001E-2</v>
      </c>
      <c r="G960" s="2">
        <v>8.4911325699999995</v>
      </c>
      <c r="H960" s="2">
        <v>8.6965396300000002</v>
      </c>
    </row>
    <row r="961" spans="1:8" ht="17.25" thickBot="1" x14ac:dyDescent="0.35">
      <c r="A961" s="6"/>
      <c r="B961" s="3">
        <v>3</v>
      </c>
      <c r="C961" s="11" t="s">
        <v>114</v>
      </c>
      <c r="D961" s="2">
        <v>93</v>
      </c>
      <c r="E961" s="2">
        <v>8.7446920000000006</v>
      </c>
      <c r="F961" s="2">
        <v>9.0056999999999998E-2</v>
      </c>
      <c r="G961" s="2">
        <v>8.5681057799999998</v>
      </c>
      <c r="H961" s="2">
        <v>8.9212779900000001</v>
      </c>
    </row>
    <row r="962" spans="1:8" x14ac:dyDescent="0.3">
      <c r="A962" s="6"/>
      <c r="B962" s="3">
        <v>8</v>
      </c>
      <c r="C962" s="14" t="s">
        <v>114</v>
      </c>
      <c r="D962" s="2">
        <v>1026</v>
      </c>
      <c r="E962" s="2">
        <v>8.4214000000000002</v>
      </c>
      <c r="F962" s="2">
        <v>1.9906E-2</v>
      </c>
      <c r="G962" s="2">
        <v>8.3823669200000008</v>
      </c>
      <c r="H962" s="2">
        <v>8.4604329000000007</v>
      </c>
    </row>
    <row r="966" spans="1:8" x14ac:dyDescent="0.3">
      <c r="A966" s="1" t="s">
        <v>237</v>
      </c>
    </row>
    <row r="968" spans="1:8" x14ac:dyDescent="0.3">
      <c r="A968" s="1" t="s">
        <v>21</v>
      </c>
    </row>
    <row r="969" spans="1:8" ht="17.25" thickBot="1" x14ac:dyDescent="0.35"/>
    <row r="970" spans="1:8" ht="16.5" customHeight="1" x14ac:dyDescent="0.3">
      <c r="A970" s="16" t="s">
        <v>135</v>
      </c>
      <c r="B970" s="18"/>
    </row>
    <row r="971" spans="1:8" ht="26.25" thickBot="1" x14ac:dyDescent="0.35">
      <c r="A971" s="12" t="s">
        <v>136</v>
      </c>
      <c r="B971" s="2">
        <v>183</v>
      </c>
    </row>
    <row r="972" spans="1:8" ht="26.25" thickBot="1" x14ac:dyDescent="0.35">
      <c r="A972" s="12" t="s">
        <v>137</v>
      </c>
      <c r="B972" s="2">
        <v>2982</v>
      </c>
    </row>
    <row r="973" spans="1:8" ht="39" thickBot="1" x14ac:dyDescent="0.35">
      <c r="A973" s="12" t="s">
        <v>138</v>
      </c>
      <c r="B973" s="2">
        <v>68635</v>
      </c>
    </row>
    <row r="974" spans="1:8" ht="25.5" x14ac:dyDescent="0.3">
      <c r="A974" s="13" t="s">
        <v>139</v>
      </c>
      <c r="B974" s="2">
        <v>30251935.699999999</v>
      </c>
    </row>
    <row r="975" spans="1:8" ht="17.25" thickBot="1" x14ac:dyDescent="0.35"/>
    <row r="976" spans="1:8" ht="33" customHeight="1" x14ac:dyDescent="0.3">
      <c r="A976" s="16" t="s">
        <v>140</v>
      </c>
      <c r="B976" s="18"/>
    </row>
    <row r="977" spans="1:8" ht="33.75" thickBot="1" x14ac:dyDescent="0.35">
      <c r="A977" s="12" t="s">
        <v>141</v>
      </c>
      <c r="B977" s="2" t="s">
        <v>142</v>
      </c>
    </row>
    <row r="978" spans="1:8" ht="25.5" x14ac:dyDescent="0.3">
      <c r="A978" s="13" t="s">
        <v>143</v>
      </c>
      <c r="B978" s="2" t="s">
        <v>144</v>
      </c>
    </row>
    <row r="979" spans="1:8" ht="17.25" thickBot="1" x14ac:dyDescent="0.35"/>
    <row r="980" spans="1:8" ht="16.5" customHeight="1" x14ac:dyDescent="0.3">
      <c r="A980" s="16" t="s">
        <v>238</v>
      </c>
      <c r="B980" s="18"/>
      <c r="C980" s="18"/>
      <c r="D980" s="18"/>
      <c r="E980" s="18"/>
      <c r="F980" s="18"/>
    </row>
    <row r="981" spans="1:8" x14ac:dyDescent="0.3">
      <c r="A981" s="17" t="s">
        <v>239</v>
      </c>
      <c r="B981" s="19" t="s">
        <v>94</v>
      </c>
      <c r="C981" s="19" t="s">
        <v>240</v>
      </c>
      <c r="D981" s="3" t="s">
        <v>241</v>
      </c>
      <c r="E981" s="19" t="s">
        <v>243</v>
      </c>
      <c r="F981" s="19"/>
    </row>
    <row r="982" spans="1:8" x14ac:dyDescent="0.3">
      <c r="A982" s="17"/>
      <c r="B982" s="19"/>
      <c r="C982" s="19"/>
      <c r="D982" s="3" t="s">
        <v>242</v>
      </c>
      <c r="E982" s="19"/>
      <c r="F982" s="19"/>
    </row>
    <row r="983" spans="1:8" x14ac:dyDescent="0.3">
      <c r="A983" s="13" t="s">
        <v>114</v>
      </c>
      <c r="B983" s="2">
        <v>68635</v>
      </c>
      <c r="C983" s="2">
        <v>8.5827570000000009</v>
      </c>
      <c r="D983" s="2">
        <v>3.4259999999999998E-3</v>
      </c>
      <c r="E983" s="2">
        <v>8.5760384700000003</v>
      </c>
      <c r="F983" s="2">
        <v>8.58947489</v>
      </c>
    </row>
    <row r="987" spans="1:8" x14ac:dyDescent="0.3">
      <c r="A987" s="1" t="s">
        <v>237</v>
      </c>
    </row>
    <row r="989" spans="1:8" x14ac:dyDescent="0.3">
      <c r="A989" s="1" t="s">
        <v>21</v>
      </c>
    </row>
    <row r="990" spans="1:8" ht="17.25" thickBot="1" x14ac:dyDescent="0.35"/>
    <row r="991" spans="1:8" ht="16.5" customHeight="1" x14ac:dyDescent="0.3">
      <c r="A991" s="16" t="s">
        <v>259</v>
      </c>
      <c r="B991" s="18"/>
      <c r="C991" s="18"/>
      <c r="D991" s="18"/>
      <c r="E991" s="18"/>
      <c r="F991" s="18"/>
      <c r="G991" s="18"/>
      <c r="H991" s="18"/>
    </row>
    <row r="992" spans="1:8" ht="16.5" customHeight="1" x14ac:dyDescent="0.3">
      <c r="A992" s="17" t="s">
        <v>249</v>
      </c>
      <c r="B992" s="19" t="s">
        <v>14</v>
      </c>
      <c r="C992" s="19" t="s">
        <v>239</v>
      </c>
      <c r="D992" s="19" t="s">
        <v>94</v>
      </c>
      <c r="E992" s="19" t="s">
        <v>240</v>
      </c>
      <c r="F992" s="3" t="s">
        <v>241</v>
      </c>
      <c r="G992" s="19" t="s">
        <v>243</v>
      </c>
      <c r="H992" s="19"/>
    </row>
    <row r="993" spans="1:15" x14ac:dyDescent="0.3">
      <c r="A993" s="17"/>
      <c r="B993" s="19"/>
      <c r="C993" s="19"/>
      <c r="D993" s="19"/>
      <c r="E993" s="19"/>
      <c r="F993" s="3" t="s">
        <v>242</v>
      </c>
      <c r="G993" s="19"/>
      <c r="H993" s="19"/>
    </row>
    <row r="994" spans="1:15" ht="17.25" thickBot="1" x14ac:dyDescent="0.35">
      <c r="A994" s="6">
        <v>1</v>
      </c>
      <c r="B994" s="3">
        <v>1</v>
      </c>
      <c r="C994" s="11" t="s">
        <v>114</v>
      </c>
      <c r="D994" s="2">
        <v>4479</v>
      </c>
      <c r="E994" s="2">
        <v>8.4760100000000005</v>
      </c>
      <c r="F994" s="2">
        <v>1.2482999999999999E-2</v>
      </c>
      <c r="G994" s="2">
        <v>8.4515322000000008</v>
      </c>
      <c r="H994" s="2">
        <v>8.5004868800000004</v>
      </c>
      <c r="J994" t="str">
        <f t="shared" ref="J994:J1011" si="39">TEXT(E994,"0.00")&amp;" ("&amp;TEXT(G994,"0.00")&amp;" to "&amp;TEXT(H994,"0.00")&amp;")"</f>
        <v>8.48 (8.45 to 8.50)</v>
      </c>
      <c r="K994" t="str">
        <f>J997</f>
        <v>8.45 (8.43 to 8.47)</v>
      </c>
      <c r="L994" t="str">
        <f>J1000</f>
        <v>8.50 (8.48 to 8.52)</v>
      </c>
      <c r="M994" t="str">
        <f>J1003</f>
        <v>8.54 (8.52 to 8.57)</v>
      </c>
      <c r="N994" t="str">
        <f>J1006</f>
        <v>8.52 (8.50 to 8.54)</v>
      </c>
      <c r="O994" t="str">
        <f>J1009</f>
        <v>8.55 (8.51 to 8.58)</v>
      </c>
    </row>
    <row r="995" spans="1:15" ht="17.25" thickBot="1" x14ac:dyDescent="0.35">
      <c r="A995" s="6"/>
      <c r="B995" s="3">
        <v>2</v>
      </c>
      <c r="C995" s="11" t="s">
        <v>114</v>
      </c>
      <c r="D995" s="2">
        <v>4351</v>
      </c>
      <c r="E995" s="2">
        <v>8.4726800000000004</v>
      </c>
      <c r="F995" s="2">
        <v>1.1261E-2</v>
      </c>
      <c r="G995" s="2">
        <v>8.4505997599999993</v>
      </c>
      <c r="H995" s="2">
        <v>8.4947603800000007</v>
      </c>
      <c r="J995" t="str">
        <f t="shared" si="39"/>
        <v>8.47 (8.45 to 8.49)</v>
      </c>
      <c r="K995" t="str">
        <f t="shared" ref="K995:K996" si="40">J998</f>
        <v>8.50 (8.48 to 8.53)</v>
      </c>
      <c r="L995" t="str">
        <f t="shared" ref="L995:L996" si="41">J1001</f>
        <v>8.50 (8.48 to 8.53)</v>
      </c>
      <c r="M995" t="str">
        <f t="shared" ref="M995:M996" si="42">J1004</f>
        <v>8.53 (8.51 to 8.55)</v>
      </c>
      <c r="N995" t="str">
        <f t="shared" ref="N995:N996" si="43">J1007</f>
        <v>8.53 (8.51 to 8.55)</v>
      </c>
      <c r="O995" t="str">
        <f t="shared" ref="O995:O996" si="44">J1010</f>
        <v>8.55 (8.51 to 8.59)</v>
      </c>
    </row>
    <row r="996" spans="1:15" ht="17.25" thickBot="1" x14ac:dyDescent="0.35">
      <c r="A996" s="6"/>
      <c r="B996" s="3">
        <v>3</v>
      </c>
      <c r="C996" s="11" t="s">
        <v>114</v>
      </c>
      <c r="D996" s="2">
        <v>3085</v>
      </c>
      <c r="E996" s="2">
        <v>8.7702989999999996</v>
      </c>
      <c r="F996" s="2">
        <v>1.4133E-2</v>
      </c>
      <c r="G996" s="2">
        <v>8.7425867299999993</v>
      </c>
      <c r="H996" s="2">
        <v>8.7980118399999991</v>
      </c>
      <c r="J996" t="str">
        <f t="shared" si="39"/>
        <v>8.77 (8.74 to 8.80)</v>
      </c>
      <c r="K996" t="str">
        <f t="shared" si="40"/>
        <v>8.78 (8.74 to 8.81)</v>
      </c>
      <c r="L996" t="str">
        <f t="shared" si="41"/>
        <v>8.84 (8.81 to 8.87)</v>
      </c>
      <c r="M996" t="str">
        <f t="shared" si="42"/>
        <v>8.81 (8.78 to 8.84)</v>
      </c>
      <c r="N996" t="str">
        <f t="shared" si="43"/>
        <v>8.78 (8.75 to 8.81)</v>
      </c>
      <c r="O996" t="str">
        <f t="shared" si="44"/>
        <v>8.75 (8.69 to 8.80)</v>
      </c>
    </row>
    <row r="997" spans="1:15" ht="17.25" thickBot="1" x14ac:dyDescent="0.35">
      <c r="A997" s="6">
        <v>2</v>
      </c>
      <c r="B997" s="3">
        <v>1</v>
      </c>
      <c r="C997" s="11" t="s">
        <v>114</v>
      </c>
      <c r="D997" s="2">
        <v>5052</v>
      </c>
      <c r="E997" s="2">
        <v>8.4515119999999992</v>
      </c>
      <c r="F997" s="2">
        <v>1.1455E-2</v>
      </c>
      <c r="G997" s="2">
        <v>8.42905032</v>
      </c>
      <c r="H997" s="2">
        <v>8.4739728799999998</v>
      </c>
      <c r="J997" t="str">
        <f t="shared" si="39"/>
        <v>8.45 (8.43 to 8.47)</v>
      </c>
    </row>
    <row r="998" spans="1:15" ht="17.25" thickBot="1" x14ac:dyDescent="0.35">
      <c r="A998" s="6"/>
      <c r="B998" s="3">
        <v>2</v>
      </c>
      <c r="C998" s="11" t="s">
        <v>114</v>
      </c>
      <c r="D998" s="2">
        <v>4786</v>
      </c>
      <c r="E998" s="2">
        <v>8.5017600000000009</v>
      </c>
      <c r="F998" s="2">
        <v>1.2678999999999999E-2</v>
      </c>
      <c r="G998" s="2">
        <v>8.4768984799999991</v>
      </c>
      <c r="H998" s="2">
        <v>8.5266215200000008</v>
      </c>
      <c r="J998" t="str">
        <f t="shared" si="39"/>
        <v>8.50 (8.48 to 8.53)</v>
      </c>
    </row>
    <row r="999" spans="1:15" ht="17.25" thickBot="1" x14ac:dyDescent="0.35">
      <c r="A999" s="6"/>
      <c r="B999" s="3">
        <v>3</v>
      </c>
      <c r="C999" s="11" t="s">
        <v>114</v>
      </c>
      <c r="D999" s="2">
        <v>3278</v>
      </c>
      <c r="E999" s="2">
        <v>8.7754799999999999</v>
      </c>
      <c r="F999" s="2">
        <v>1.6174999999999998E-2</v>
      </c>
      <c r="G999" s="2">
        <v>8.7437646400000002</v>
      </c>
      <c r="H999" s="2">
        <v>8.8071951300000002</v>
      </c>
      <c r="J999" t="str">
        <f t="shared" si="39"/>
        <v>8.78 (8.74 to 8.81)</v>
      </c>
    </row>
    <row r="1000" spans="1:15" ht="17.25" thickBot="1" x14ac:dyDescent="0.35">
      <c r="A1000" s="6">
        <v>3</v>
      </c>
      <c r="B1000" s="3">
        <v>1</v>
      </c>
      <c r="C1000" s="11" t="s">
        <v>114</v>
      </c>
      <c r="D1000" s="2">
        <v>4399</v>
      </c>
      <c r="E1000" s="2">
        <v>8.4996259999999992</v>
      </c>
      <c r="F1000" s="2">
        <v>1.2075000000000001E-2</v>
      </c>
      <c r="G1000" s="2">
        <v>8.4759495699999992</v>
      </c>
      <c r="H1000" s="2">
        <v>8.5233018200000004</v>
      </c>
      <c r="J1000" t="str">
        <f t="shared" si="39"/>
        <v>8.50 (8.48 to 8.52)</v>
      </c>
    </row>
    <row r="1001" spans="1:15" ht="17.25" thickBot="1" x14ac:dyDescent="0.35">
      <c r="A1001" s="6"/>
      <c r="B1001" s="3">
        <v>2</v>
      </c>
      <c r="C1001" s="11" t="s">
        <v>114</v>
      </c>
      <c r="D1001" s="2">
        <v>4275</v>
      </c>
      <c r="E1001" s="2">
        <v>8.5041820000000001</v>
      </c>
      <c r="F1001" s="2">
        <v>1.2004000000000001E-2</v>
      </c>
      <c r="G1001" s="2">
        <v>8.4806454900000006</v>
      </c>
      <c r="H1001" s="2">
        <v>8.5277190699999998</v>
      </c>
      <c r="J1001" t="str">
        <f t="shared" si="39"/>
        <v>8.50 (8.48 to 8.53)</v>
      </c>
    </row>
    <row r="1002" spans="1:15" ht="17.25" thickBot="1" x14ac:dyDescent="0.35">
      <c r="A1002" s="6"/>
      <c r="B1002" s="3">
        <v>3</v>
      </c>
      <c r="C1002" s="11" t="s">
        <v>114</v>
      </c>
      <c r="D1002" s="2">
        <v>2801</v>
      </c>
      <c r="E1002" s="2">
        <v>8.8392730000000004</v>
      </c>
      <c r="F1002" s="2">
        <v>1.7291000000000001E-2</v>
      </c>
      <c r="G1002" s="2">
        <v>8.8053694199999999</v>
      </c>
      <c r="H1002" s="2">
        <v>8.8731765899999999</v>
      </c>
      <c r="J1002" t="str">
        <f t="shared" si="39"/>
        <v>8.84 (8.81 to 8.87)</v>
      </c>
    </row>
    <row r="1003" spans="1:15" ht="17.25" thickBot="1" x14ac:dyDescent="0.35">
      <c r="A1003" s="6">
        <v>4</v>
      </c>
      <c r="B1003" s="3">
        <v>1</v>
      </c>
      <c r="C1003" s="11" t="s">
        <v>114</v>
      </c>
      <c r="D1003" s="2">
        <v>5475</v>
      </c>
      <c r="E1003" s="2">
        <v>8.5440950000000004</v>
      </c>
      <c r="F1003" s="2">
        <v>1.0975E-2</v>
      </c>
      <c r="G1003" s="2">
        <v>8.5225757899999994</v>
      </c>
      <c r="H1003" s="2">
        <v>8.5656151699999992</v>
      </c>
      <c r="J1003" t="str">
        <f t="shared" si="39"/>
        <v>8.54 (8.52 to 8.57)</v>
      </c>
    </row>
    <row r="1004" spans="1:15" ht="17.25" thickBot="1" x14ac:dyDescent="0.35">
      <c r="A1004" s="6"/>
      <c r="B1004" s="3">
        <v>2</v>
      </c>
      <c r="C1004" s="11" t="s">
        <v>114</v>
      </c>
      <c r="D1004" s="2">
        <v>5105</v>
      </c>
      <c r="E1004" s="2">
        <v>8.5326989999999991</v>
      </c>
      <c r="F1004" s="2">
        <v>1.0692999999999999E-2</v>
      </c>
      <c r="G1004" s="2">
        <v>8.5117321700000002</v>
      </c>
      <c r="H1004" s="2">
        <v>8.5536651399999997</v>
      </c>
      <c r="J1004" t="str">
        <f t="shared" si="39"/>
        <v>8.53 (8.51 to 8.55)</v>
      </c>
    </row>
    <row r="1005" spans="1:15" ht="17.25" thickBot="1" x14ac:dyDescent="0.35">
      <c r="A1005" s="6"/>
      <c r="B1005" s="3">
        <v>3</v>
      </c>
      <c r="C1005" s="11" t="s">
        <v>114</v>
      </c>
      <c r="D1005" s="2">
        <v>3578</v>
      </c>
      <c r="E1005" s="2">
        <v>8.8083539999999996</v>
      </c>
      <c r="F1005" s="2">
        <v>1.5211000000000001E-2</v>
      </c>
      <c r="G1005" s="2">
        <v>8.77852867</v>
      </c>
      <c r="H1005" s="2">
        <v>8.8381800699999999</v>
      </c>
      <c r="J1005" t="str">
        <f t="shared" si="39"/>
        <v>8.81 (8.78 to 8.84)</v>
      </c>
    </row>
    <row r="1006" spans="1:15" ht="17.25" thickBot="1" x14ac:dyDescent="0.35">
      <c r="A1006" s="6">
        <v>5</v>
      </c>
      <c r="B1006" s="3">
        <v>1</v>
      </c>
      <c r="C1006" s="11" t="s">
        <v>114</v>
      </c>
      <c r="D1006" s="2">
        <v>5622</v>
      </c>
      <c r="E1006" s="2">
        <v>8.519171</v>
      </c>
      <c r="F1006" s="2">
        <v>1.1516E-2</v>
      </c>
      <c r="G1006" s="2">
        <v>8.4965909600000007</v>
      </c>
      <c r="H1006" s="2">
        <v>8.5417509099999993</v>
      </c>
      <c r="J1006" t="str">
        <f t="shared" si="39"/>
        <v>8.52 (8.50 to 8.54)</v>
      </c>
    </row>
    <row r="1007" spans="1:15" ht="17.25" thickBot="1" x14ac:dyDescent="0.35">
      <c r="A1007" s="6"/>
      <c r="B1007" s="3">
        <v>2</v>
      </c>
      <c r="C1007" s="11" t="s">
        <v>114</v>
      </c>
      <c r="D1007" s="2">
        <v>4873</v>
      </c>
      <c r="E1007" s="2">
        <v>8.5316939999999999</v>
      </c>
      <c r="F1007" s="2">
        <v>1.1766E-2</v>
      </c>
      <c r="G1007" s="2">
        <v>8.5086228699999999</v>
      </c>
      <c r="H1007" s="2">
        <v>8.5547643400000002</v>
      </c>
      <c r="J1007" t="str">
        <f t="shared" si="39"/>
        <v>8.53 (8.51 to 8.55)</v>
      </c>
    </row>
    <row r="1008" spans="1:15" ht="17.25" thickBot="1" x14ac:dyDescent="0.35">
      <c r="A1008" s="6"/>
      <c r="B1008" s="3">
        <v>3</v>
      </c>
      <c r="C1008" s="11" t="s">
        <v>114</v>
      </c>
      <c r="D1008" s="2">
        <v>3060</v>
      </c>
      <c r="E1008" s="2">
        <v>8.7845790000000008</v>
      </c>
      <c r="F1008" s="2">
        <v>1.5306E-2</v>
      </c>
      <c r="G1008" s="2">
        <v>8.7545668499999998</v>
      </c>
      <c r="H1008" s="2">
        <v>8.8145915899999991</v>
      </c>
      <c r="J1008" t="str">
        <f t="shared" si="39"/>
        <v>8.78 (8.75 to 8.81)</v>
      </c>
    </row>
    <row r="1009" spans="1:10" ht="17.25" thickBot="1" x14ac:dyDescent="0.35">
      <c r="A1009" s="6">
        <v>6</v>
      </c>
      <c r="B1009" s="3">
        <v>1</v>
      </c>
      <c r="C1009" s="11" t="s">
        <v>114</v>
      </c>
      <c r="D1009" s="2">
        <v>1881</v>
      </c>
      <c r="E1009" s="2">
        <v>8.5470380000000006</v>
      </c>
      <c r="F1009" s="2">
        <v>1.7183E-2</v>
      </c>
      <c r="G1009" s="2">
        <v>8.5133454499999992</v>
      </c>
      <c r="H1009" s="2">
        <v>8.5807313300000008</v>
      </c>
      <c r="J1009" t="str">
        <f t="shared" si="39"/>
        <v>8.55 (8.51 to 8.58)</v>
      </c>
    </row>
    <row r="1010" spans="1:10" ht="17.25" thickBot="1" x14ac:dyDescent="0.35">
      <c r="A1010" s="6"/>
      <c r="B1010" s="3">
        <v>2</v>
      </c>
      <c r="C1010" s="11" t="s">
        <v>114</v>
      </c>
      <c r="D1010" s="2">
        <v>1609</v>
      </c>
      <c r="E1010" s="2">
        <v>8.5505790000000008</v>
      </c>
      <c r="F1010" s="2">
        <v>1.8617999999999999E-2</v>
      </c>
      <c r="G1010" s="2">
        <v>8.5140731200000008</v>
      </c>
      <c r="H1010" s="2">
        <v>8.5870849600000003</v>
      </c>
      <c r="J1010" t="str">
        <f t="shared" si="39"/>
        <v>8.55 (8.51 to 8.59)</v>
      </c>
    </row>
    <row r="1011" spans="1:10" x14ac:dyDescent="0.3">
      <c r="A1011" s="6"/>
      <c r="B1011" s="3">
        <v>3</v>
      </c>
      <c r="C1011" s="14" t="s">
        <v>114</v>
      </c>
      <c r="D1011" s="2">
        <v>926</v>
      </c>
      <c r="E1011" s="2">
        <v>8.7450550000000007</v>
      </c>
      <c r="F1011" s="2">
        <v>2.5772E-2</v>
      </c>
      <c r="G1011" s="2">
        <v>8.6945212900000008</v>
      </c>
      <c r="H1011" s="2">
        <v>8.7955878799999994</v>
      </c>
      <c r="J1011" t="str">
        <f t="shared" si="39"/>
        <v>8.75 (8.69 to 8.80)</v>
      </c>
    </row>
    <row r="1015" spans="1:10" x14ac:dyDescent="0.3">
      <c r="A1015" s="1" t="s">
        <v>237</v>
      </c>
    </row>
    <row r="1017" spans="1:10" x14ac:dyDescent="0.3">
      <c r="A1017" s="1" t="s">
        <v>1</v>
      </c>
    </row>
    <row r="1018" spans="1:10" ht="17.25" thickBot="1" x14ac:dyDescent="0.35"/>
    <row r="1019" spans="1:10" ht="16.5" customHeight="1" x14ac:dyDescent="0.3">
      <c r="A1019" s="16" t="s">
        <v>135</v>
      </c>
      <c r="B1019" s="18"/>
    </row>
    <row r="1020" spans="1:10" ht="26.25" thickBot="1" x14ac:dyDescent="0.35">
      <c r="A1020" s="12" t="s">
        <v>136</v>
      </c>
      <c r="B1020" s="2">
        <v>183</v>
      </c>
    </row>
    <row r="1021" spans="1:10" ht="26.25" thickBot="1" x14ac:dyDescent="0.35">
      <c r="A1021" s="12" t="s">
        <v>137</v>
      </c>
      <c r="B1021" s="2">
        <v>2949</v>
      </c>
    </row>
    <row r="1022" spans="1:10" ht="39" thickBot="1" x14ac:dyDescent="0.35">
      <c r="A1022" s="12" t="s">
        <v>138</v>
      </c>
      <c r="B1022" s="2">
        <v>23222</v>
      </c>
    </row>
    <row r="1023" spans="1:10" ht="25.5" x14ac:dyDescent="0.3">
      <c r="A1023" s="13" t="s">
        <v>139</v>
      </c>
      <c r="B1023" s="2">
        <v>9036880.5199999996</v>
      </c>
    </row>
    <row r="1024" spans="1:10" ht="17.25" thickBot="1" x14ac:dyDescent="0.35"/>
    <row r="1025" spans="1:8" ht="33" customHeight="1" x14ac:dyDescent="0.3">
      <c r="A1025" s="16" t="s">
        <v>140</v>
      </c>
      <c r="B1025" s="18"/>
    </row>
    <row r="1026" spans="1:8" ht="33.75" thickBot="1" x14ac:dyDescent="0.35">
      <c r="A1026" s="12" t="s">
        <v>141</v>
      </c>
      <c r="B1026" s="2" t="s">
        <v>142</v>
      </c>
    </row>
    <row r="1027" spans="1:8" ht="25.5" x14ac:dyDescent="0.3">
      <c r="A1027" s="13" t="s">
        <v>143</v>
      </c>
      <c r="B1027" s="2" t="s">
        <v>144</v>
      </c>
    </row>
    <row r="1028" spans="1:8" ht="17.25" thickBot="1" x14ac:dyDescent="0.35"/>
    <row r="1029" spans="1:8" ht="16.5" customHeight="1" x14ac:dyDescent="0.3">
      <c r="A1029" s="16" t="s">
        <v>238</v>
      </c>
      <c r="B1029" s="18"/>
      <c r="C1029" s="18"/>
      <c r="D1029" s="18"/>
      <c r="E1029" s="18"/>
      <c r="F1029" s="18"/>
    </row>
    <row r="1030" spans="1:8" x14ac:dyDescent="0.3">
      <c r="A1030" s="17" t="s">
        <v>239</v>
      </c>
      <c r="B1030" s="19" t="s">
        <v>94</v>
      </c>
      <c r="C1030" s="19" t="s">
        <v>240</v>
      </c>
      <c r="D1030" s="3" t="s">
        <v>241</v>
      </c>
      <c r="E1030" s="19" t="s">
        <v>243</v>
      </c>
      <c r="F1030" s="19"/>
    </row>
    <row r="1031" spans="1:8" x14ac:dyDescent="0.3">
      <c r="A1031" s="17"/>
      <c r="B1031" s="19"/>
      <c r="C1031" s="19"/>
      <c r="D1031" s="3" t="s">
        <v>242</v>
      </c>
      <c r="E1031" s="19"/>
      <c r="F1031" s="19"/>
    </row>
    <row r="1032" spans="1:8" x14ac:dyDescent="0.3">
      <c r="A1032" s="13" t="s">
        <v>114</v>
      </c>
      <c r="B1032" s="2">
        <v>23222</v>
      </c>
      <c r="C1032" s="2">
        <v>8.4582850000000001</v>
      </c>
      <c r="D1032" s="2">
        <v>5.8770000000000003E-3</v>
      </c>
      <c r="E1032" s="2">
        <v>8.4467599599999996</v>
      </c>
      <c r="F1032" s="2">
        <v>8.4698092999999997</v>
      </c>
    </row>
    <row r="1036" spans="1:8" x14ac:dyDescent="0.3">
      <c r="A1036" s="1" t="s">
        <v>237</v>
      </c>
    </row>
    <row r="1038" spans="1:8" x14ac:dyDescent="0.3">
      <c r="A1038" s="1" t="s">
        <v>1</v>
      </c>
    </row>
    <row r="1039" spans="1:8" ht="17.25" thickBot="1" x14ac:dyDescent="0.35"/>
    <row r="1040" spans="1:8" ht="16.5" customHeight="1" x14ac:dyDescent="0.3">
      <c r="A1040" s="16" t="s">
        <v>260</v>
      </c>
      <c r="B1040" s="18"/>
      <c r="C1040" s="18"/>
      <c r="D1040" s="18"/>
      <c r="E1040" s="18"/>
      <c r="F1040" s="18"/>
      <c r="G1040" s="18"/>
      <c r="H1040" s="18"/>
    </row>
    <row r="1041" spans="1:8" ht="16.5" customHeight="1" x14ac:dyDescent="0.3">
      <c r="A1041" s="17" t="s">
        <v>249</v>
      </c>
      <c r="B1041" s="19" t="s">
        <v>15</v>
      </c>
      <c r="C1041" s="19" t="s">
        <v>239</v>
      </c>
      <c r="D1041" s="19" t="s">
        <v>94</v>
      </c>
      <c r="E1041" s="19" t="s">
        <v>240</v>
      </c>
      <c r="F1041" s="3" t="s">
        <v>241</v>
      </c>
      <c r="G1041" s="19" t="s">
        <v>243</v>
      </c>
      <c r="H1041" s="19"/>
    </row>
    <row r="1042" spans="1:8" x14ac:dyDescent="0.3">
      <c r="A1042" s="17"/>
      <c r="B1042" s="19"/>
      <c r="C1042" s="19"/>
      <c r="D1042" s="19"/>
      <c r="E1042" s="19"/>
      <c r="F1042" s="3" t="s">
        <v>242</v>
      </c>
      <c r="G1042" s="19"/>
      <c r="H1042" s="19"/>
    </row>
    <row r="1043" spans="1:8" ht="17.25" thickBot="1" x14ac:dyDescent="0.35">
      <c r="A1043" s="6">
        <v>1</v>
      </c>
      <c r="B1043" s="3">
        <v>0</v>
      </c>
      <c r="C1043" s="11" t="s">
        <v>114</v>
      </c>
      <c r="D1043" s="2">
        <v>2157</v>
      </c>
      <c r="E1043" s="2">
        <v>8.6120079999999994</v>
      </c>
      <c r="F1043" s="2">
        <v>1.7128000000000001E-2</v>
      </c>
      <c r="G1043" s="2">
        <v>8.5784218899999996</v>
      </c>
      <c r="H1043" s="2">
        <v>8.6455934499999998</v>
      </c>
    </row>
    <row r="1044" spans="1:8" ht="17.25" thickBot="1" x14ac:dyDescent="0.35">
      <c r="A1044" s="6"/>
      <c r="B1044" s="3">
        <v>1</v>
      </c>
      <c r="C1044" s="11" t="s">
        <v>114</v>
      </c>
      <c r="D1044" s="2">
        <v>556</v>
      </c>
      <c r="E1044" s="2">
        <v>8.7950619999999997</v>
      </c>
      <c r="F1044" s="2">
        <v>3.7067000000000003E-2</v>
      </c>
      <c r="G1044" s="2">
        <v>8.7223797800000007</v>
      </c>
      <c r="H1044" s="2">
        <v>8.8677448999999999</v>
      </c>
    </row>
    <row r="1045" spans="1:8" ht="17.25" thickBot="1" x14ac:dyDescent="0.35">
      <c r="A1045" s="6"/>
      <c r="B1045" s="3">
        <v>8</v>
      </c>
      <c r="C1045" s="11" t="s">
        <v>114</v>
      </c>
      <c r="D1045" s="2">
        <v>1027</v>
      </c>
      <c r="E1045" s="2">
        <v>8.1474200000000003</v>
      </c>
      <c r="F1045" s="2">
        <v>2.1686E-2</v>
      </c>
      <c r="G1045" s="2">
        <v>8.1048984599999994</v>
      </c>
      <c r="H1045" s="2">
        <v>8.1899415599999994</v>
      </c>
    </row>
    <row r="1046" spans="1:8" ht="17.25" thickBot="1" x14ac:dyDescent="0.35">
      <c r="A1046" s="6">
        <v>2</v>
      </c>
      <c r="B1046" s="3">
        <v>0</v>
      </c>
      <c r="C1046" s="11" t="s">
        <v>114</v>
      </c>
      <c r="D1046" s="2">
        <v>2295</v>
      </c>
      <c r="E1046" s="2">
        <v>8.6153110000000002</v>
      </c>
      <c r="F1046" s="2">
        <v>1.7807E-2</v>
      </c>
      <c r="G1046" s="2">
        <v>8.5803944399999992</v>
      </c>
      <c r="H1046" s="2">
        <v>8.6502278599999993</v>
      </c>
    </row>
    <row r="1047" spans="1:8" ht="17.25" thickBot="1" x14ac:dyDescent="0.35">
      <c r="A1047" s="6"/>
      <c r="B1047" s="3">
        <v>1</v>
      </c>
      <c r="C1047" s="11" t="s">
        <v>114</v>
      </c>
      <c r="D1047" s="2">
        <v>237</v>
      </c>
      <c r="E1047" s="2">
        <v>8.7838419999999999</v>
      </c>
      <c r="F1047" s="2">
        <v>4.9700000000000001E-2</v>
      </c>
      <c r="G1047" s="2">
        <v>8.6863897800000007</v>
      </c>
      <c r="H1047" s="2">
        <v>8.88129378</v>
      </c>
    </row>
    <row r="1048" spans="1:8" ht="17.25" thickBot="1" x14ac:dyDescent="0.35">
      <c r="A1048" s="6"/>
      <c r="B1048" s="3">
        <v>8</v>
      </c>
      <c r="C1048" s="11" t="s">
        <v>114</v>
      </c>
      <c r="D1048" s="2">
        <v>2200</v>
      </c>
      <c r="E1048" s="2">
        <v>8.1036940000000008</v>
      </c>
      <c r="F1048" s="2">
        <v>1.5236E-2</v>
      </c>
      <c r="G1048" s="2">
        <v>8.0738183100000001</v>
      </c>
      <c r="H1048" s="2">
        <v>8.1335688699999995</v>
      </c>
    </row>
    <row r="1049" spans="1:8" ht="17.25" thickBot="1" x14ac:dyDescent="0.35">
      <c r="A1049" s="6">
        <v>3</v>
      </c>
      <c r="B1049" s="3">
        <v>0</v>
      </c>
      <c r="C1049" s="11" t="s">
        <v>114</v>
      </c>
      <c r="D1049" s="2">
        <v>2055</v>
      </c>
      <c r="E1049" s="2">
        <v>8.6318900000000003</v>
      </c>
      <c r="F1049" s="2">
        <v>1.9227999999999999E-2</v>
      </c>
      <c r="G1049" s="2">
        <v>8.5941874299999998</v>
      </c>
      <c r="H1049" s="2">
        <v>8.6695917100000006</v>
      </c>
    </row>
    <row r="1050" spans="1:8" ht="17.25" thickBot="1" x14ac:dyDescent="0.35">
      <c r="A1050" s="6"/>
      <c r="B1050" s="3">
        <v>1</v>
      </c>
      <c r="C1050" s="11" t="s">
        <v>114</v>
      </c>
      <c r="D1050" s="2">
        <v>277</v>
      </c>
      <c r="E1050" s="2">
        <v>8.8724919999999994</v>
      </c>
      <c r="F1050" s="2">
        <v>5.7072999999999999E-2</v>
      </c>
      <c r="G1050" s="2">
        <v>8.7605822900000003</v>
      </c>
      <c r="H1050" s="2">
        <v>8.9844020800000006</v>
      </c>
    </row>
    <row r="1051" spans="1:8" ht="17.25" thickBot="1" x14ac:dyDescent="0.35">
      <c r="A1051" s="6"/>
      <c r="B1051" s="3">
        <v>8</v>
      </c>
      <c r="C1051" s="11" t="s">
        <v>114</v>
      </c>
      <c r="D1051" s="2">
        <v>1925</v>
      </c>
      <c r="E1051" s="2">
        <v>8.2338889999999996</v>
      </c>
      <c r="F1051" s="2">
        <v>1.6777E-2</v>
      </c>
      <c r="G1051" s="2">
        <v>8.2009916500000006</v>
      </c>
      <c r="H1051" s="2">
        <v>8.2667860300000005</v>
      </c>
    </row>
    <row r="1052" spans="1:8" ht="17.25" thickBot="1" x14ac:dyDescent="0.35">
      <c r="A1052" s="6">
        <v>4</v>
      </c>
      <c r="B1052" s="3">
        <v>0</v>
      </c>
      <c r="C1052" s="11" t="s">
        <v>114</v>
      </c>
      <c r="D1052" s="2">
        <v>2406</v>
      </c>
      <c r="E1052" s="2">
        <v>8.6579490000000003</v>
      </c>
      <c r="F1052" s="2">
        <v>1.5932000000000002E-2</v>
      </c>
      <c r="G1052" s="2">
        <v>8.6267083200000005</v>
      </c>
      <c r="H1052" s="2">
        <v>8.6891887400000005</v>
      </c>
    </row>
    <row r="1053" spans="1:8" ht="17.25" thickBot="1" x14ac:dyDescent="0.35">
      <c r="A1053" s="6"/>
      <c r="B1053" s="3">
        <v>1</v>
      </c>
      <c r="C1053" s="11" t="s">
        <v>114</v>
      </c>
      <c r="D1053" s="2">
        <v>305</v>
      </c>
      <c r="E1053" s="2">
        <v>8.9352009999999993</v>
      </c>
      <c r="F1053" s="2">
        <v>4.8391999999999998E-2</v>
      </c>
      <c r="G1053" s="2">
        <v>8.8403133599999997</v>
      </c>
      <c r="H1053" s="2">
        <v>9.03008861</v>
      </c>
    </row>
    <row r="1054" spans="1:8" ht="17.25" thickBot="1" x14ac:dyDescent="0.35">
      <c r="A1054" s="6"/>
      <c r="B1054" s="3">
        <v>8</v>
      </c>
      <c r="C1054" s="11" t="s">
        <v>114</v>
      </c>
      <c r="D1054" s="2">
        <v>1845</v>
      </c>
      <c r="E1054" s="2">
        <v>8.199287</v>
      </c>
      <c r="F1054" s="2">
        <v>1.6029000000000002E-2</v>
      </c>
      <c r="G1054" s="2">
        <v>8.1678570700000002</v>
      </c>
      <c r="H1054" s="2">
        <v>8.2307165100000006</v>
      </c>
    </row>
    <row r="1055" spans="1:8" ht="17.25" thickBot="1" x14ac:dyDescent="0.35">
      <c r="A1055" s="6">
        <v>5</v>
      </c>
      <c r="B1055" s="3">
        <v>0</v>
      </c>
      <c r="C1055" s="11" t="s">
        <v>114</v>
      </c>
      <c r="D1055" s="2">
        <v>2533</v>
      </c>
      <c r="E1055" s="2">
        <v>8.6061329999999998</v>
      </c>
      <c r="F1055" s="2">
        <v>1.5551000000000001E-2</v>
      </c>
      <c r="G1055" s="2">
        <v>8.5756399200000004</v>
      </c>
      <c r="H1055" s="2">
        <v>8.63662639</v>
      </c>
    </row>
    <row r="1056" spans="1:8" ht="17.25" thickBot="1" x14ac:dyDescent="0.35">
      <c r="A1056" s="6"/>
      <c r="B1056" s="3">
        <v>1</v>
      </c>
      <c r="C1056" s="11" t="s">
        <v>114</v>
      </c>
      <c r="D1056" s="2">
        <v>316</v>
      </c>
      <c r="E1056" s="2">
        <v>8.924849</v>
      </c>
      <c r="F1056" s="2">
        <v>5.4906000000000003E-2</v>
      </c>
      <c r="G1056" s="2">
        <v>8.81718929</v>
      </c>
      <c r="H1056" s="2">
        <v>9.0325094000000004</v>
      </c>
    </row>
    <row r="1057" spans="1:8" ht="17.25" thickBot="1" x14ac:dyDescent="0.35">
      <c r="A1057" s="6"/>
      <c r="B1057" s="3">
        <v>8</v>
      </c>
      <c r="C1057" s="11" t="s">
        <v>114</v>
      </c>
      <c r="D1057" s="2">
        <v>1652</v>
      </c>
      <c r="E1057" s="2">
        <v>8.2132559999999994</v>
      </c>
      <c r="F1057" s="2">
        <v>1.7496999999999999E-2</v>
      </c>
      <c r="G1057" s="2">
        <v>8.1789472100000005</v>
      </c>
      <c r="H1057" s="2">
        <v>8.24756453</v>
      </c>
    </row>
    <row r="1058" spans="1:8" ht="17.25" thickBot="1" x14ac:dyDescent="0.35">
      <c r="A1058" s="6">
        <v>6</v>
      </c>
      <c r="B1058" s="3">
        <v>0</v>
      </c>
      <c r="C1058" s="11" t="s">
        <v>114</v>
      </c>
      <c r="D1058" s="2">
        <v>804</v>
      </c>
      <c r="E1058" s="2">
        <v>8.6007879999999997</v>
      </c>
      <c r="F1058" s="2">
        <v>2.513E-2</v>
      </c>
      <c r="G1058" s="2">
        <v>8.5515125300000001</v>
      </c>
      <c r="H1058" s="2">
        <v>8.6500640299999993</v>
      </c>
    </row>
    <row r="1059" spans="1:8" ht="17.25" thickBot="1" x14ac:dyDescent="0.35">
      <c r="A1059" s="6"/>
      <c r="B1059" s="3">
        <v>1</v>
      </c>
      <c r="C1059" s="11" t="s">
        <v>114</v>
      </c>
      <c r="D1059" s="2">
        <v>92</v>
      </c>
      <c r="E1059" s="2">
        <v>9.0040250000000004</v>
      </c>
      <c r="F1059" s="2">
        <v>7.9340999999999995E-2</v>
      </c>
      <c r="G1059" s="2">
        <v>8.8484514700000005</v>
      </c>
      <c r="H1059" s="2">
        <v>9.1595991100000003</v>
      </c>
    </row>
    <row r="1060" spans="1:8" x14ac:dyDescent="0.3">
      <c r="A1060" s="6"/>
      <c r="B1060" s="3">
        <v>8</v>
      </c>
      <c r="C1060" s="14" t="s">
        <v>114</v>
      </c>
      <c r="D1060" s="2">
        <v>540</v>
      </c>
      <c r="E1060" s="2">
        <v>8.2477269999999994</v>
      </c>
      <c r="F1060" s="2">
        <v>2.3928000000000001E-2</v>
      </c>
      <c r="G1060" s="2">
        <v>8.2008080099999994</v>
      </c>
      <c r="H1060" s="2">
        <v>8.2946468899999992</v>
      </c>
    </row>
    <row r="1064" spans="1:8" x14ac:dyDescent="0.3">
      <c r="A1064" s="1" t="s">
        <v>237</v>
      </c>
    </row>
    <row r="1066" spans="1:8" x14ac:dyDescent="0.3">
      <c r="A1066" s="1" t="s">
        <v>21</v>
      </c>
    </row>
    <row r="1067" spans="1:8" ht="17.25" thickBot="1" x14ac:dyDescent="0.35"/>
    <row r="1068" spans="1:8" ht="16.5" customHeight="1" x14ac:dyDescent="0.3">
      <c r="A1068" s="16" t="s">
        <v>135</v>
      </c>
      <c r="B1068" s="18"/>
    </row>
    <row r="1069" spans="1:8" ht="26.25" thickBot="1" x14ac:dyDescent="0.35">
      <c r="A1069" s="12" t="s">
        <v>136</v>
      </c>
      <c r="B1069" s="2">
        <v>183</v>
      </c>
    </row>
    <row r="1070" spans="1:8" ht="26.25" thickBot="1" x14ac:dyDescent="0.35">
      <c r="A1070" s="12" t="s">
        <v>137</v>
      </c>
      <c r="B1070" s="2">
        <v>2982</v>
      </c>
    </row>
    <row r="1071" spans="1:8" ht="39" thickBot="1" x14ac:dyDescent="0.35">
      <c r="A1071" s="12" t="s">
        <v>138</v>
      </c>
      <c r="B1071" s="2">
        <v>68635</v>
      </c>
    </row>
    <row r="1072" spans="1:8" ht="25.5" x14ac:dyDescent="0.3">
      <c r="A1072" s="13" t="s">
        <v>139</v>
      </c>
      <c r="B1072" s="2">
        <v>30251935.699999999</v>
      </c>
    </row>
    <row r="1073" spans="1:6" ht="17.25" thickBot="1" x14ac:dyDescent="0.35"/>
    <row r="1074" spans="1:6" ht="33" customHeight="1" x14ac:dyDescent="0.3">
      <c r="A1074" s="16" t="s">
        <v>140</v>
      </c>
      <c r="B1074" s="18"/>
    </row>
    <row r="1075" spans="1:6" ht="33.75" thickBot="1" x14ac:dyDescent="0.35">
      <c r="A1075" s="12" t="s">
        <v>141</v>
      </c>
      <c r="B1075" s="2" t="s">
        <v>142</v>
      </c>
    </row>
    <row r="1076" spans="1:6" ht="25.5" x14ac:dyDescent="0.3">
      <c r="A1076" s="13" t="s">
        <v>143</v>
      </c>
      <c r="B1076" s="2" t="s">
        <v>144</v>
      </c>
    </row>
    <row r="1077" spans="1:6" ht="17.25" thickBot="1" x14ac:dyDescent="0.35"/>
    <row r="1078" spans="1:6" ht="16.5" customHeight="1" x14ac:dyDescent="0.3">
      <c r="A1078" s="16" t="s">
        <v>238</v>
      </c>
      <c r="B1078" s="18"/>
      <c r="C1078" s="18"/>
      <c r="D1078" s="18"/>
      <c r="E1078" s="18"/>
      <c r="F1078" s="18"/>
    </row>
    <row r="1079" spans="1:6" x14ac:dyDescent="0.3">
      <c r="A1079" s="17" t="s">
        <v>239</v>
      </c>
      <c r="B1079" s="19" t="s">
        <v>94</v>
      </c>
      <c r="C1079" s="19" t="s">
        <v>240</v>
      </c>
      <c r="D1079" s="3" t="s">
        <v>241</v>
      </c>
      <c r="E1079" s="19" t="s">
        <v>243</v>
      </c>
      <c r="F1079" s="19"/>
    </row>
    <row r="1080" spans="1:6" x14ac:dyDescent="0.3">
      <c r="A1080" s="17"/>
      <c r="B1080" s="19"/>
      <c r="C1080" s="19"/>
      <c r="D1080" s="3" t="s">
        <v>242</v>
      </c>
      <c r="E1080" s="19"/>
      <c r="F1080" s="19"/>
    </row>
    <row r="1081" spans="1:6" x14ac:dyDescent="0.3">
      <c r="A1081" s="13" t="s">
        <v>114</v>
      </c>
      <c r="B1081" s="2">
        <v>68635</v>
      </c>
      <c r="C1081" s="2">
        <v>8.5827570000000009</v>
      </c>
      <c r="D1081" s="2">
        <v>3.4259999999999998E-3</v>
      </c>
      <c r="E1081" s="2">
        <v>8.5760384700000003</v>
      </c>
      <c r="F1081" s="2">
        <v>8.58947489</v>
      </c>
    </row>
    <row r="1085" spans="1:6" x14ac:dyDescent="0.3">
      <c r="A1085" s="1" t="s">
        <v>237</v>
      </c>
    </row>
    <row r="1087" spans="1:6" x14ac:dyDescent="0.3">
      <c r="A1087" s="1" t="s">
        <v>21</v>
      </c>
    </row>
    <row r="1088" spans="1:6" ht="17.25" thickBot="1" x14ac:dyDescent="0.35"/>
    <row r="1089" spans="1:15" ht="16.5" customHeight="1" x14ac:dyDescent="0.3">
      <c r="A1089" s="16" t="s">
        <v>260</v>
      </c>
      <c r="B1089" s="18"/>
      <c r="C1089" s="18"/>
      <c r="D1089" s="18"/>
      <c r="E1089" s="18"/>
      <c r="F1089" s="18"/>
      <c r="G1089" s="18"/>
      <c r="H1089" s="18"/>
    </row>
    <row r="1090" spans="1:15" ht="16.5" customHeight="1" x14ac:dyDescent="0.3">
      <c r="A1090" s="17" t="s">
        <v>249</v>
      </c>
      <c r="B1090" s="19" t="s">
        <v>15</v>
      </c>
      <c r="C1090" s="19" t="s">
        <v>239</v>
      </c>
      <c r="D1090" s="19" t="s">
        <v>94</v>
      </c>
      <c r="E1090" s="19" t="s">
        <v>240</v>
      </c>
      <c r="F1090" s="3" t="s">
        <v>241</v>
      </c>
      <c r="G1090" s="19" t="s">
        <v>243</v>
      </c>
      <c r="H1090" s="19"/>
    </row>
    <row r="1091" spans="1:15" x14ac:dyDescent="0.3">
      <c r="A1091" s="17"/>
      <c r="B1091" s="19"/>
      <c r="C1091" s="19"/>
      <c r="D1091" s="19"/>
      <c r="E1091" s="19"/>
      <c r="F1091" s="3" t="s">
        <v>242</v>
      </c>
      <c r="G1091" s="19"/>
      <c r="H1091" s="19"/>
    </row>
    <row r="1092" spans="1:15" ht="17.25" thickBot="1" x14ac:dyDescent="0.35">
      <c r="A1092" s="6">
        <v>1</v>
      </c>
      <c r="B1092" s="3">
        <v>0</v>
      </c>
      <c r="C1092" s="11" t="s">
        <v>114</v>
      </c>
      <c r="D1092" s="2">
        <v>6591</v>
      </c>
      <c r="E1092" s="2">
        <v>8.383267</v>
      </c>
      <c r="F1092" s="2">
        <v>1.0018000000000001E-2</v>
      </c>
      <c r="G1092" s="2">
        <v>8.3636236700000008</v>
      </c>
      <c r="H1092" s="2">
        <v>8.4029101799999992</v>
      </c>
      <c r="J1092" t="str">
        <f t="shared" ref="J1092:J1103" si="45">TEXT(E1092,"0.00")&amp;" ("&amp;TEXT(G1092,"0.00")&amp;" to "&amp;TEXT(H1092,"0.00")&amp;")"</f>
        <v>8.38 (8.36 to 8.40)</v>
      </c>
      <c r="K1092" t="str">
        <f>J1094</f>
        <v>8.48 (8.46 to 8.49)</v>
      </c>
      <c r="L1092" t="str">
        <f>J1096</f>
        <v>8.50 (8.48 to 8.52)</v>
      </c>
      <c r="M1092" t="str">
        <f>J1098</f>
        <v>8.53 (8.52 to 8.55)</v>
      </c>
      <c r="N1092" t="str">
        <f>J1100</f>
        <v>8.53 (8.51 to 8.54)</v>
      </c>
      <c r="O1092" t="str">
        <f>J1102</f>
        <v>8.54 (8.52 to 8.56)</v>
      </c>
    </row>
    <row r="1093" spans="1:15" ht="17.25" thickBot="1" x14ac:dyDescent="0.35">
      <c r="A1093" s="6"/>
      <c r="B1093" s="3">
        <v>1</v>
      </c>
      <c r="C1093" s="11" t="s">
        <v>114</v>
      </c>
      <c r="D1093" s="2">
        <v>5324</v>
      </c>
      <c r="E1093" s="2">
        <v>8.7319940000000003</v>
      </c>
      <c r="F1093" s="2">
        <v>1.1010000000000001E-2</v>
      </c>
      <c r="G1093" s="2">
        <v>8.71040569</v>
      </c>
      <c r="H1093" s="2">
        <v>8.7535824600000005</v>
      </c>
      <c r="J1093" t="str">
        <f t="shared" si="45"/>
        <v>8.73 (8.71 to 8.75)</v>
      </c>
      <c r="K1093" t="str">
        <f>J1095</f>
        <v>8.76 (8.73 to 8.79)</v>
      </c>
      <c r="L1093" t="str">
        <f>J1097</f>
        <v>8.86 (8.83 to 8.90)</v>
      </c>
      <c r="M1093" t="str">
        <f>J1099</f>
        <v>8.87 (8.84 to 8.90)</v>
      </c>
      <c r="N1093" t="str">
        <f>J1101</f>
        <v>8.83 (8.79 to 8.86)</v>
      </c>
      <c r="O1093" t="str">
        <f>J1103</f>
        <v>8.87 (8.81 to 8.93)</v>
      </c>
    </row>
    <row r="1094" spans="1:15" ht="17.25" thickBot="1" x14ac:dyDescent="0.35">
      <c r="A1094" s="6">
        <v>2</v>
      </c>
      <c r="B1094" s="3">
        <v>0</v>
      </c>
      <c r="C1094" s="11" t="s">
        <v>114</v>
      </c>
      <c r="D1094" s="2">
        <v>10072</v>
      </c>
      <c r="E1094" s="2">
        <v>8.4779739999999997</v>
      </c>
      <c r="F1094" s="2">
        <v>8.3149999999999995E-3</v>
      </c>
      <c r="G1094" s="2">
        <v>8.4616709500000002</v>
      </c>
      <c r="H1094" s="2">
        <v>8.4942773799999998</v>
      </c>
      <c r="J1094" t="str">
        <f t="shared" si="45"/>
        <v>8.48 (8.46 to 8.49)</v>
      </c>
    </row>
    <row r="1095" spans="1:15" ht="17.25" thickBot="1" x14ac:dyDescent="0.35">
      <c r="A1095" s="6"/>
      <c r="B1095" s="3">
        <v>1</v>
      </c>
      <c r="C1095" s="11" t="s">
        <v>114</v>
      </c>
      <c r="D1095" s="2">
        <v>3044</v>
      </c>
      <c r="E1095" s="2">
        <v>8.7579370000000001</v>
      </c>
      <c r="F1095" s="2">
        <v>1.5543E-2</v>
      </c>
      <c r="G1095" s="2">
        <v>8.7274602600000009</v>
      </c>
      <c r="H1095" s="2">
        <v>8.7884138499999995</v>
      </c>
      <c r="J1095" t="str">
        <f t="shared" si="45"/>
        <v>8.76 (8.73 to 8.79)</v>
      </c>
    </row>
    <row r="1096" spans="1:15" ht="17.25" thickBot="1" x14ac:dyDescent="0.35">
      <c r="A1096" s="6">
        <v>3</v>
      </c>
      <c r="B1096" s="3">
        <v>0</v>
      </c>
      <c r="C1096" s="11" t="s">
        <v>114</v>
      </c>
      <c r="D1096" s="2">
        <v>9105</v>
      </c>
      <c r="E1096" s="2">
        <v>8.4998989999999992</v>
      </c>
      <c r="F1096" s="2">
        <v>9.0589999999999993E-3</v>
      </c>
      <c r="G1096" s="2">
        <v>8.4821368600000007</v>
      </c>
      <c r="H1096" s="2">
        <v>8.5176612200000008</v>
      </c>
      <c r="J1096" t="str">
        <f t="shared" si="45"/>
        <v>8.50 (8.48 to 8.52)</v>
      </c>
    </row>
    <row r="1097" spans="1:15" ht="17.25" thickBot="1" x14ac:dyDescent="0.35">
      <c r="A1097" s="6"/>
      <c r="B1097" s="3">
        <v>1</v>
      </c>
      <c r="C1097" s="11" t="s">
        <v>114</v>
      </c>
      <c r="D1097" s="2">
        <v>2370</v>
      </c>
      <c r="E1097" s="2">
        <v>8.8641349999999992</v>
      </c>
      <c r="F1097" s="2">
        <v>1.6553999999999999E-2</v>
      </c>
      <c r="G1097" s="2">
        <v>8.8316748700000005</v>
      </c>
      <c r="H1097" s="2">
        <v>8.8965953199999994</v>
      </c>
      <c r="J1097" t="str">
        <f t="shared" si="45"/>
        <v>8.86 (8.83 to 8.90)</v>
      </c>
    </row>
    <row r="1098" spans="1:15" ht="17.25" thickBot="1" x14ac:dyDescent="0.35">
      <c r="A1098" s="6">
        <v>4</v>
      </c>
      <c r="B1098" s="3">
        <v>0</v>
      </c>
      <c r="C1098" s="11" t="s">
        <v>114</v>
      </c>
      <c r="D1098" s="2">
        <v>11360</v>
      </c>
      <c r="E1098" s="2">
        <v>8.5310500000000005</v>
      </c>
      <c r="F1098" s="2">
        <v>8.0800000000000004E-3</v>
      </c>
      <c r="G1098" s="2">
        <v>8.5152060899999995</v>
      </c>
      <c r="H1098" s="2">
        <v>8.5468937999999994</v>
      </c>
      <c r="J1098" t="str">
        <f t="shared" si="45"/>
        <v>8.53 (8.52 to 8.55)</v>
      </c>
    </row>
    <row r="1099" spans="1:15" ht="17.25" thickBot="1" x14ac:dyDescent="0.35">
      <c r="A1099" s="6"/>
      <c r="B1099" s="3">
        <v>1</v>
      </c>
      <c r="C1099" s="11" t="s">
        <v>114</v>
      </c>
      <c r="D1099" s="2">
        <v>2798</v>
      </c>
      <c r="E1099" s="2">
        <v>8.8736180000000004</v>
      </c>
      <c r="F1099" s="2">
        <v>1.5058999999999999E-2</v>
      </c>
      <c r="G1099" s="2">
        <v>8.84409022</v>
      </c>
      <c r="H1099" s="2">
        <v>8.9031448999999991</v>
      </c>
      <c r="J1099" t="str">
        <f t="shared" si="45"/>
        <v>8.87 (8.84 to 8.90)</v>
      </c>
    </row>
    <row r="1100" spans="1:15" ht="17.25" thickBot="1" x14ac:dyDescent="0.35">
      <c r="A1100" s="6">
        <v>5</v>
      </c>
      <c r="B1100" s="3">
        <v>0</v>
      </c>
      <c r="C1100" s="11" t="s">
        <v>114</v>
      </c>
      <c r="D1100" s="2">
        <v>11154</v>
      </c>
      <c r="E1100" s="2">
        <v>8.5251789999999996</v>
      </c>
      <c r="F1100" s="2">
        <v>8.3770000000000008E-3</v>
      </c>
      <c r="G1100" s="2">
        <v>8.5087535800000005</v>
      </c>
      <c r="H1100" s="2">
        <v>8.5416045500000006</v>
      </c>
      <c r="J1100" t="str">
        <f t="shared" si="45"/>
        <v>8.53 (8.51 to 8.54)</v>
      </c>
    </row>
    <row r="1101" spans="1:15" ht="17.25" thickBot="1" x14ac:dyDescent="0.35">
      <c r="A1101" s="6"/>
      <c r="B1101" s="3">
        <v>1</v>
      </c>
      <c r="C1101" s="11" t="s">
        <v>114</v>
      </c>
      <c r="D1101" s="2">
        <v>2401</v>
      </c>
      <c r="E1101" s="2">
        <v>8.8274869999999996</v>
      </c>
      <c r="F1101" s="2">
        <v>1.6726000000000001E-2</v>
      </c>
      <c r="G1101" s="2">
        <v>8.7946892400000003</v>
      </c>
      <c r="H1101" s="2">
        <v>8.8602841899999998</v>
      </c>
      <c r="J1101" t="str">
        <f t="shared" si="45"/>
        <v>8.83 (8.79 to 8.86)</v>
      </c>
    </row>
    <row r="1102" spans="1:15" ht="17.25" thickBot="1" x14ac:dyDescent="0.35">
      <c r="A1102" s="6">
        <v>6</v>
      </c>
      <c r="B1102" s="3">
        <v>0</v>
      </c>
      <c r="C1102" s="11" t="s">
        <v>114</v>
      </c>
      <c r="D1102" s="2">
        <v>3782</v>
      </c>
      <c r="E1102" s="2">
        <v>8.5392170000000007</v>
      </c>
      <c r="F1102" s="2">
        <v>1.2245000000000001E-2</v>
      </c>
      <c r="G1102" s="2">
        <v>8.5152065500000003</v>
      </c>
      <c r="H1102" s="2">
        <v>8.5632283000000005</v>
      </c>
      <c r="J1102" t="str">
        <f t="shared" si="45"/>
        <v>8.54 (8.52 to 8.56)</v>
      </c>
    </row>
    <row r="1103" spans="1:15" x14ac:dyDescent="0.3">
      <c r="A1103" s="6"/>
      <c r="B1103" s="3">
        <v>1</v>
      </c>
      <c r="C1103" s="14" t="s">
        <v>114</v>
      </c>
      <c r="D1103" s="2">
        <v>634</v>
      </c>
      <c r="E1103" s="2">
        <v>8.8707069999999995</v>
      </c>
      <c r="F1103" s="2">
        <v>3.0540999999999999E-2</v>
      </c>
      <c r="G1103" s="2">
        <v>8.8108219699999992</v>
      </c>
      <c r="H1103" s="2">
        <v>8.9305914800000004</v>
      </c>
      <c r="J1103" t="str">
        <f t="shared" si="45"/>
        <v>8.87 (8.81 to 8.93)</v>
      </c>
    </row>
    <row r="1107" spans="1:2" x14ac:dyDescent="0.3">
      <c r="A1107" s="1" t="s">
        <v>237</v>
      </c>
    </row>
    <row r="1109" spans="1:2" x14ac:dyDescent="0.3">
      <c r="A1109" s="1" t="s">
        <v>1</v>
      </c>
    </row>
    <row r="1110" spans="1:2" ht="17.25" thickBot="1" x14ac:dyDescent="0.35"/>
    <row r="1111" spans="1:2" ht="16.5" customHeight="1" x14ac:dyDescent="0.3">
      <c r="A1111" s="16" t="s">
        <v>135</v>
      </c>
      <c r="B1111" s="18"/>
    </row>
    <row r="1112" spans="1:2" ht="26.25" thickBot="1" x14ac:dyDescent="0.35">
      <c r="A1112" s="12" t="s">
        <v>136</v>
      </c>
      <c r="B1112" s="2">
        <v>183</v>
      </c>
    </row>
    <row r="1113" spans="1:2" ht="26.25" thickBot="1" x14ac:dyDescent="0.35">
      <c r="A1113" s="12" t="s">
        <v>137</v>
      </c>
      <c r="B1113" s="2">
        <v>2949</v>
      </c>
    </row>
    <row r="1114" spans="1:2" ht="39" thickBot="1" x14ac:dyDescent="0.35">
      <c r="A1114" s="12" t="s">
        <v>138</v>
      </c>
      <c r="B1114" s="2">
        <v>23222</v>
      </c>
    </row>
    <row r="1115" spans="1:2" ht="25.5" x14ac:dyDescent="0.3">
      <c r="A1115" s="13" t="s">
        <v>139</v>
      </c>
      <c r="B1115" s="2">
        <v>9036880.5199999996</v>
      </c>
    </row>
    <row r="1116" spans="1:2" ht="17.25" thickBot="1" x14ac:dyDescent="0.35"/>
    <row r="1117" spans="1:2" ht="33" customHeight="1" x14ac:dyDescent="0.3">
      <c r="A1117" s="16" t="s">
        <v>140</v>
      </c>
      <c r="B1117" s="18"/>
    </row>
    <row r="1118" spans="1:2" ht="33.75" thickBot="1" x14ac:dyDescent="0.35">
      <c r="A1118" s="12" t="s">
        <v>141</v>
      </c>
      <c r="B1118" s="2" t="s">
        <v>142</v>
      </c>
    </row>
    <row r="1119" spans="1:2" ht="25.5" x14ac:dyDescent="0.3">
      <c r="A1119" s="13" t="s">
        <v>143</v>
      </c>
      <c r="B1119" s="2" t="s">
        <v>144</v>
      </c>
    </row>
    <row r="1120" spans="1:2" ht="17.25" thickBot="1" x14ac:dyDescent="0.35"/>
    <row r="1121" spans="1:8" ht="16.5" customHeight="1" x14ac:dyDescent="0.3">
      <c r="A1121" s="16" t="s">
        <v>238</v>
      </c>
      <c r="B1121" s="18"/>
      <c r="C1121" s="18"/>
      <c r="D1121" s="18"/>
      <c r="E1121" s="18"/>
      <c r="F1121" s="18"/>
    </row>
    <row r="1122" spans="1:8" x14ac:dyDescent="0.3">
      <c r="A1122" s="17" t="s">
        <v>239</v>
      </c>
      <c r="B1122" s="19" t="s">
        <v>94</v>
      </c>
      <c r="C1122" s="19" t="s">
        <v>240</v>
      </c>
      <c r="D1122" s="3" t="s">
        <v>241</v>
      </c>
      <c r="E1122" s="19" t="s">
        <v>243</v>
      </c>
      <c r="F1122" s="19"/>
    </row>
    <row r="1123" spans="1:8" x14ac:dyDescent="0.3">
      <c r="A1123" s="17"/>
      <c r="B1123" s="19"/>
      <c r="C1123" s="19"/>
      <c r="D1123" s="3" t="s">
        <v>242</v>
      </c>
      <c r="E1123" s="19"/>
      <c r="F1123" s="19"/>
    </row>
    <row r="1124" spans="1:8" x14ac:dyDescent="0.3">
      <c r="A1124" s="13" t="s">
        <v>114</v>
      </c>
      <c r="B1124" s="2">
        <v>23222</v>
      </c>
      <c r="C1124" s="2">
        <v>8.4582850000000001</v>
      </c>
      <c r="D1124" s="2">
        <v>5.8770000000000003E-3</v>
      </c>
      <c r="E1124" s="2">
        <v>8.4467599599999996</v>
      </c>
      <c r="F1124" s="2">
        <v>8.4698092999999997</v>
      </c>
    </row>
    <row r="1128" spans="1:8" x14ac:dyDescent="0.3">
      <c r="A1128" s="1" t="s">
        <v>237</v>
      </c>
    </row>
    <row r="1130" spans="1:8" x14ac:dyDescent="0.3">
      <c r="A1130" s="1" t="s">
        <v>1</v>
      </c>
    </row>
    <row r="1131" spans="1:8" ht="17.25" thickBot="1" x14ac:dyDescent="0.35"/>
    <row r="1132" spans="1:8" ht="16.5" customHeight="1" x14ac:dyDescent="0.3">
      <c r="A1132" s="16" t="s">
        <v>261</v>
      </c>
      <c r="B1132" s="18"/>
      <c r="C1132" s="18"/>
      <c r="D1132" s="18"/>
      <c r="E1132" s="18"/>
      <c r="F1132" s="18"/>
      <c r="G1132" s="18"/>
      <c r="H1132" s="18"/>
    </row>
    <row r="1133" spans="1:8" ht="16.5" customHeight="1" x14ac:dyDescent="0.3">
      <c r="A1133" s="17" t="s">
        <v>249</v>
      </c>
      <c r="B1133" s="19" t="s">
        <v>16</v>
      </c>
      <c r="C1133" s="19" t="s">
        <v>239</v>
      </c>
      <c r="D1133" s="19" t="s">
        <v>94</v>
      </c>
      <c r="E1133" s="19" t="s">
        <v>240</v>
      </c>
      <c r="F1133" s="3" t="s">
        <v>241</v>
      </c>
      <c r="G1133" s="19" t="s">
        <v>243</v>
      </c>
      <c r="H1133" s="19"/>
    </row>
    <row r="1134" spans="1:8" x14ac:dyDescent="0.3">
      <c r="A1134" s="17"/>
      <c r="B1134" s="19"/>
      <c r="C1134" s="19"/>
      <c r="D1134" s="19"/>
      <c r="E1134" s="19"/>
      <c r="F1134" s="3" t="s">
        <v>242</v>
      </c>
      <c r="G1134" s="19"/>
      <c r="H1134" s="19"/>
    </row>
    <row r="1135" spans="1:8" ht="17.25" thickBot="1" x14ac:dyDescent="0.35">
      <c r="A1135" s="6">
        <v>1</v>
      </c>
      <c r="B1135" s="3">
        <v>0</v>
      </c>
      <c r="C1135" s="11" t="s">
        <v>114</v>
      </c>
      <c r="D1135" s="2">
        <v>2942</v>
      </c>
      <c r="E1135" s="2">
        <v>8.4318650000000002</v>
      </c>
      <c r="F1135" s="2">
        <v>1.6886999999999999E-2</v>
      </c>
      <c r="G1135" s="2">
        <v>8.3987530100000001</v>
      </c>
      <c r="H1135" s="2">
        <v>8.4649763500000006</v>
      </c>
    </row>
    <row r="1136" spans="1:8" ht="17.25" thickBot="1" x14ac:dyDescent="0.35">
      <c r="A1136" s="6"/>
      <c r="B1136" s="3">
        <v>1</v>
      </c>
      <c r="C1136" s="11" t="s">
        <v>114</v>
      </c>
      <c r="D1136" s="2">
        <v>798</v>
      </c>
      <c r="E1136" s="2">
        <v>8.9207199999999993</v>
      </c>
      <c r="F1136" s="2">
        <v>2.8809000000000001E-2</v>
      </c>
      <c r="G1136" s="2">
        <v>8.8642301700000008</v>
      </c>
      <c r="H1136" s="2">
        <v>8.9772092400000005</v>
      </c>
    </row>
    <row r="1137" spans="1:8" ht="17.25" thickBot="1" x14ac:dyDescent="0.35">
      <c r="A1137" s="6">
        <v>2</v>
      </c>
      <c r="B1137" s="3">
        <v>0</v>
      </c>
      <c r="C1137" s="11" t="s">
        <v>114</v>
      </c>
      <c r="D1137" s="2">
        <v>3761</v>
      </c>
      <c r="E1137" s="2">
        <v>8.2765850000000007</v>
      </c>
      <c r="F1137" s="2">
        <v>1.2796999999999999E-2</v>
      </c>
      <c r="G1137" s="2">
        <v>8.2514929400000003</v>
      </c>
      <c r="H1137" s="2">
        <v>8.3016764799999994</v>
      </c>
    </row>
    <row r="1138" spans="1:8" ht="17.25" thickBot="1" x14ac:dyDescent="0.35">
      <c r="A1138" s="6"/>
      <c r="B1138" s="3">
        <v>1</v>
      </c>
      <c r="C1138" s="11" t="s">
        <v>114</v>
      </c>
      <c r="D1138" s="2">
        <v>883</v>
      </c>
      <c r="E1138" s="2">
        <v>8.8475990000000007</v>
      </c>
      <c r="F1138" s="2">
        <v>2.8032000000000001E-2</v>
      </c>
      <c r="G1138" s="2">
        <v>8.7926326899999996</v>
      </c>
      <c r="H1138" s="2">
        <v>8.9025652199999996</v>
      </c>
    </row>
    <row r="1139" spans="1:8" ht="17.25" thickBot="1" x14ac:dyDescent="0.35">
      <c r="A1139" s="6"/>
      <c r="B1139" s="3">
        <v>8</v>
      </c>
      <c r="C1139" s="11" t="s">
        <v>114</v>
      </c>
      <c r="D1139" s="2">
        <v>88</v>
      </c>
      <c r="E1139" s="2">
        <v>8.4781619999999993</v>
      </c>
      <c r="F1139" s="2">
        <v>6.4797999999999994E-2</v>
      </c>
      <c r="G1139" s="2">
        <v>8.3511042599999996</v>
      </c>
      <c r="H1139" s="2">
        <v>8.6052204200000002</v>
      </c>
    </row>
    <row r="1140" spans="1:8" ht="17.25" thickBot="1" x14ac:dyDescent="0.35">
      <c r="A1140" s="6">
        <v>3</v>
      </c>
      <c r="B1140" s="3">
        <v>0</v>
      </c>
      <c r="C1140" s="11" t="s">
        <v>114</v>
      </c>
      <c r="D1140" s="2">
        <v>2989</v>
      </c>
      <c r="E1140" s="2">
        <v>8.3492060000000006</v>
      </c>
      <c r="F1140" s="2">
        <v>1.5249E-2</v>
      </c>
      <c r="G1140" s="2">
        <v>8.3193044500000006</v>
      </c>
      <c r="H1140" s="2">
        <v>8.3791072100000008</v>
      </c>
    </row>
    <row r="1141" spans="1:8" ht="17.25" thickBot="1" x14ac:dyDescent="0.35">
      <c r="A1141" s="6"/>
      <c r="B1141" s="3">
        <v>1</v>
      </c>
      <c r="C1141" s="11" t="s">
        <v>114</v>
      </c>
      <c r="D1141" s="2">
        <v>749</v>
      </c>
      <c r="E1141" s="2">
        <v>8.8381260000000008</v>
      </c>
      <c r="F1141" s="2">
        <v>2.5935E-2</v>
      </c>
      <c r="G1141" s="2">
        <v>8.7872729300000003</v>
      </c>
      <c r="H1141" s="2">
        <v>8.8889799000000007</v>
      </c>
    </row>
    <row r="1142" spans="1:8" ht="17.25" thickBot="1" x14ac:dyDescent="0.35">
      <c r="A1142" s="6"/>
      <c r="B1142" s="3">
        <v>8</v>
      </c>
      <c r="C1142" s="11" t="s">
        <v>114</v>
      </c>
      <c r="D1142" s="2">
        <v>519</v>
      </c>
      <c r="E1142" s="2">
        <v>8.6807750000000006</v>
      </c>
      <c r="F1142" s="2">
        <v>4.3905E-2</v>
      </c>
      <c r="G1142" s="2">
        <v>8.5946846499999996</v>
      </c>
      <c r="H1142" s="2">
        <v>8.7668648299999994</v>
      </c>
    </row>
    <row r="1143" spans="1:8" ht="17.25" thickBot="1" x14ac:dyDescent="0.35">
      <c r="A1143" s="6">
        <v>4</v>
      </c>
      <c r="B1143" s="3">
        <v>0</v>
      </c>
      <c r="C1143" s="11" t="s">
        <v>114</v>
      </c>
      <c r="D1143" s="2">
        <v>3587</v>
      </c>
      <c r="E1143" s="2">
        <v>8.4070739999999997</v>
      </c>
      <c r="F1143" s="2">
        <v>1.4524E-2</v>
      </c>
      <c r="G1143" s="2">
        <v>8.3785947000000007</v>
      </c>
      <c r="H1143" s="2">
        <v>8.4355535699999997</v>
      </c>
    </row>
    <row r="1144" spans="1:8" ht="17.25" thickBot="1" x14ac:dyDescent="0.35">
      <c r="A1144" s="6"/>
      <c r="B1144" s="3">
        <v>1</v>
      </c>
      <c r="C1144" s="11" t="s">
        <v>114</v>
      </c>
      <c r="D1144" s="2">
        <v>968</v>
      </c>
      <c r="E1144" s="2">
        <v>8.8691519999999997</v>
      </c>
      <c r="F1144" s="2">
        <v>2.5689E-2</v>
      </c>
      <c r="G1144" s="2">
        <v>8.8187815000000001</v>
      </c>
      <c r="H1144" s="2">
        <v>8.9195234200000009</v>
      </c>
    </row>
    <row r="1145" spans="1:8" ht="17.25" thickBot="1" x14ac:dyDescent="0.35">
      <c r="A1145" s="6"/>
      <c r="B1145" s="3">
        <v>8</v>
      </c>
      <c r="C1145" s="11" t="s">
        <v>114</v>
      </c>
      <c r="D1145" s="2">
        <v>1</v>
      </c>
      <c r="E1145" s="2">
        <v>7.844633</v>
      </c>
      <c r="F1145" s="2">
        <v>0</v>
      </c>
      <c r="G1145" s="2">
        <v>7.8446326400000004</v>
      </c>
      <c r="H1145" s="2">
        <v>7.8446326400000004</v>
      </c>
    </row>
    <row r="1146" spans="1:8" ht="17.25" thickBot="1" x14ac:dyDescent="0.35">
      <c r="A1146" s="6">
        <v>5</v>
      </c>
      <c r="B1146" s="3">
        <v>0</v>
      </c>
      <c r="C1146" s="11" t="s">
        <v>114</v>
      </c>
      <c r="D1146" s="2">
        <v>3322</v>
      </c>
      <c r="E1146" s="2">
        <v>8.3980549999999994</v>
      </c>
      <c r="F1146" s="2">
        <v>1.4788000000000001E-2</v>
      </c>
      <c r="G1146" s="2">
        <v>8.3690570199999996</v>
      </c>
      <c r="H1146" s="2">
        <v>8.4270520500000003</v>
      </c>
    </row>
    <row r="1147" spans="1:8" ht="17.25" thickBot="1" x14ac:dyDescent="0.35">
      <c r="A1147" s="6"/>
      <c r="B1147" s="3">
        <v>1</v>
      </c>
      <c r="C1147" s="11" t="s">
        <v>114</v>
      </c>
      <c r="D1147" s="2">
        <v>1179</v>
      </c>
      <c r="E1147" s="2">
        <v>8.7768309999999996</v>
      </c>
      <c r="F1147" s="2">
        <v>2.2405999999999999E-2</v>
      </c>
      <c r="G1147" s="2">
        <v>8.73289705</v>
      </c>
      <c r="H1147" s="2">
        <v>8.8207652000000003</v>
      </c>
    </row>
    <row r="1148" spans="1:8" ht="17.25" thickBot="1" x14ac:dyDescent="0.35">
      <c r="A1148" s="6">
        <v>6</v>
      </c>
      <c r="B1148" s="3">
        <v>0</v>
      </c>
      <c r="C1148" s="11" t="s">
        <v>114</v>
      </c>
      <c r="D1148" s="2">
        <v>1084</v>
      </c>
      <c r="E1148" s="2">
        <v>8.42788</v>
      </c>
      <c r="F1148" s="2">
        <v>2.0348000000000002E-2</v>
      </c>
      <c r="G1148" s="2">
        <v>8.3879806200000004</v>
      </c>
      <c r="H1148" s="2">
        <v>8.4677789499999996</v>
      </c>
    </row>
    <row r="1149" spans="1:8" x14ac:dyDescent="0.3">
      <c r="A1149" s="6"/>
      <c r="B1149" s="3">
        <v>1</v>
      </c>
      <c r="C1149" s="14" t="s">
        <v>114</v>
      </c>
      <c r="D1149" s="2">
        <v>352</v>
      </c>
      <c r="E1149" s="2">
        <v>8.7199439999999999</v>
      </c>
      <c r="F1149" s="2">
        <v>3.1628999999999997E-2</v>
      </c>
      <c r="G1149" s="2">
        <v>8.6579263700000002</v>
      </c>
      <c r="H1149" s="2">
        <v>8.78196215</v>
      </c>
    </row>
    <row r="1153" spans="1:6" x14ac:dyDescent="0.3">
      <c r="A1153" s="1" t="s">
        <v>237</v>
      </c>
    </row>
    <row r="1155" spans="1:6" x14ac:dyDescent="0.3">
      <c r="A1155" s="1" t="s">
        <v>21</v>
      </c>
    </row>
    <row r="1156" spans="1:6" ht="17.25" thickBot="1" x14ac:dyDescent="0.35"/>
    <row r="1157" spans="1:6" ht="16.5" customHeight="1" x14ac:dyDescent="0.3">
      <c r="A1157" s="16" t="s">
        <v>135</v>
      </c>
      <c r="B1157" s="18"/>
    </row>
    <row r="1158" spans="1:6" ht="26.25" thickBot="1" x14ac:dyDescent="0.35">
      <c r="A1158" s="12" t="s">
        <v>136</v>
      </c>
      <c r="B1158" s="2">
        <v>183</v>
      </c>
    </row>
    <row r="1159" spans="1:6" ht="26.25" thickBot="1" x14ac:dyDescent="0.35">
      <c r="A1159" s="12" t="s">
        <v>137</v>
      </c>
      <c r="B1159" s="2">
        <v>2982</v>
      </c>
    </row>
    <row r="1160" spans="1:6" ht="39" thickBot="1" x14ac:dyDescent="0.35">
      <c r="A1160" s="12" t="s">
        <v>138</v>
      </c>
      <c r="B1160" s="2">
        <v>68635</v>
      </c>
    </row>
    <row r="1161" spans="1:6" ht="25.5" x14ac:dyDescent="0.3">
      <c r="A1161" s="13" t="s">
        <v>139</v>
      </c>
      <c r="B1161" s="2">
        <v>30251935.699999999</v>
      </c>
    </row>
    <row r="1162" spans="1:6" ht="17.25" thickBot="1" x14ac:dyDescent="0.35"/>
    <row r="1163" spans="1:6" ht="33" customHeight="1" x14ac:dyDescent="0.3">
      <c r="A1163" s="16" t="s">
        <v>140</v>
      </c>
      <c r="B1163" s="18"/>
    </row>
    <row r="1164" spans="1:6" ht="33.75" thickBot="1" x14ac:dyDescent="0.35">
      <c r="A1164" s="12" t="s">
        <v>141</v>
      </c>
      <c r="B1164" s="2" t="s">
        <v>142</v>
      </c>
    </row>
    <row r="1165" spans="1:6" ht="25.5" x14ac:dyDescent="0.3">
      <c r="A1165" s="13" t="s">
        <v>143</v>
      </c>
      <c r="B1165" s="2" t="s">
        <v>144</v>
      </c>
    </row>
    <row r="1166" spans="1:6" ht="17.25" thickBot="1" x14ac:dyDescent="0.35"/>
    <row r="1167" spans="1:6" ht="16.5" customHeight="1" x14ac:dyDescent="0.3">
      <c r="A1167" s="16" t="s">
        <v>238</v>
      </c>
      <c r="B1167" s="18"/>
      <c r="C1167" s="18"/>
      <c r="D1167" s="18"/>
      <c r="E1167" s="18"/>
      <c r="F1167" s="18"/>
    </row>
    <row r="1168" spans="1:6" x14ac:dyDescent="0.3">
      <c r="A1168" s="17" t="s">
        <v>239</v>
      </c>
      <c r="B1168" s="19" t="s">
        <v>94</v>
      </c>
      <c r="C1168" s="19" t="s">
        <v>240</v>
      </c>
      <c r="D1168" s="3" t="s">
        <v>241</v>
      </c>
      <c r="E1168" s="19" t="s">
        <v>243</v>
      </c>
      <c r="F1168" s="19"/>
    </row>
    <row r="1169" spans="1:15" x14ac:dyDescent="0.3">
      <c r="A1169" s="17"/>
      <c r="B1169" s="19"/>
      <c r="C1169" s="19"/>
      <c r="D1169" s="3" t="s">
        <v>242</v>
      </c>
      <c r="E1169" s="19"/>
      <c r="F1169" s="19"/>
    </row>
    <row r="1170" spans="1:15" x14ac:dyDescent="0.3">
      <c r="A1170" s="13" t="s">
        <v>114</v>
      </c>
      <c r="B1170" s="2">
        <v>68635</v>
      </c>
      <c r="C1170" s="2">
        <v>8.5827570000000009</v>
      </c>
      <c r="D1170" s="2">
        <v>3.4259999999999998E-3</v>
      </c>
      <c r="E1170" s="2">
        <v>8.5760384700000003</v>
      </c>
      <c r="F1170" s="2">
        <v>8.58947489</v>
      </c>
    </row>
    <row r="1174" spans="1:15" x14ac:dyDescent="0.3">
      <c r="A1174" s="1" t="s">
        <v>237</v>
      </c>
    </row>
    <row r="1176" spans="1:15" x14ac:dyDescent="0.3">
      <c r="A1176" s="1" t="s">
        <v>21</v>
      </c>
    </row>
    <row r="1177" spans="1:15" ht="17.25" thickBot="1" x14ac:dyDescent="0.35"/>
    <row r="1178" spans="1:15" ht="16.5" customHeight="1" x14ac:dyDescent="0.3">
      <c r="A1178" s="16" t="s">
        <v>261</v>
      </c>
      <c r="B1178" s="18"/>
      <c r="C1178" s="18"/>
      <c r="D1178" s="18"/>
      <c r="E1178" s="18"/>
      <c r="F1178" s="18"/>
      <c r="G1178" s="18"/>
      <c r="H1178" s="18"/>
    </row>
    <row r="1179" spans="1:15" ht="16.5" customHeight="1" x14ac:dyDescent="0.3">
      <c r="A1179" s="17" t="s">
        <v>249</v>
      </c>
      <c r="B1179" s="19" t="s">
        <v>16</v>
      </c>
      <c r="C1179" s="19" t="s">
        <v>239</v>
      </c>
      <c r="D1179" s="19" t="s">
        <v>94</v>
      </c>
      <c r="E1179" s="19" t="s">
        <v>240</v>
      </c>
      <c r="F1179" s="3" t="s">
        <v>241</v>
      </c>
      <c r="G1179" s="19" t="s">
        <v>243</v>
      </c>
      <c r="H1179" s="19"/>
    </row>
    <row r="1180" spans="1:15" x14ac:dyDescent="0.3">
      <c r="A1180" s="17"/>
      <c r="B1180" s="19"/>
      <c r="C1180" s="19"/>
      <c r="D1180" s="19"/>
      <c r="E1180" s="19"/>
      <c r="F1180" s="3" t="s">
        <v>242</v>
      </c>
      <c r="G1180" s="19"/>
      <c r="H1180" s="19"/>
    </row>
    <row r="1181" spans="1:15" ht="17.25" thickBot="1" x14ac:dyDescent="0.35">
      <c r="A1181" s="6">
        <v>1</v>
      </c>
      <c r="B1181" s="3">
        <v>0</v>
      </c>
      <c r="C1181" s="11" t="s">
        <v>114</v>
      </c>
      <c r="D1181" s="2">
        <v>9740</v>
      </c>
      <c r="E1181" s="2">
        <v>8.4970219999999994</v>
      </c>
      <c r="F1181" s="2">
        <v>8.659E-3</v>
      </c>
      <c r="G1181" s="2">
        <v>8.4800432899999993</v>
      </c>
      <c r="H1181" s="2">
        <v>8.5140016700000007</v>
      </c>
      <c r="J1181" t="str">
        <f t="shared" ref="J1181:J1192" si="46">TEXT(E1181,"0.00")&amp;" ("&amp;TEXT(G1181,"0.00")&amp;" to "&amp;TEXT(H1181,"0.00")&amp;")"</f>
        <v>8.50 (8.48 to 8.51)</v>
      </c>
      <c r="K1181" t="str">
        <f>J1183</f>
        <v>8.51 (8.49 to 8.52)</v>
      </c>
      <c r="L1181" t="str">
        <f>J1185</f>
        <v>8.53 (8.52 to 8.55)</v>
      </c>
      <c r="M1181" t="str">
        <f>J1187</f>
        <v>8.55 (8.54 to 8.57)</v>
      </c>
      <c r="N1181" t="str">
        <f>J1189</f>
        <v>8.53 (8.51 to 8.54)</v>
      </c>
      <c r="O1181" t="str">
        <f>J1191</f>
        <v>8.53 (8.51 to 8.56)</v>
      </c>
    </row>
    <row r="1182" spans="1:15" ht="17.25" thickBot="1" x14ac:dyDescent="0.35">
      <c r="A1182" s="6"/>
      <c r="B1182" s="3">
        <v>1</v>
      </c>
      <c r="C1182" s="11" t="s">
        <v>114</v>
      </c>
      <c r="D1182" s="2">
        <v>2175</v>
      </c>
      <c r="E1182" s="2">
        <v>8.8951779999999996</v>
      </c>
      <c r="F1182" s="2">
        <v>1.8766000000000001E-2</v>
      </c>
      <c r="G1182" s="2">
        <v>8.85838094</v>
      </c>
      <c r="H1182" s="2">
        <v>8.9319759100000002</v>
      </c>
      <c r="J1182" t="str">
        <f t="shared" si="46"/>
        <v>8.90 (8.86 to 8.93)</v>
      </c>
      <c r="K1182" t="str">
        <f>J1184</f>
        <v>8.86 (8.82 to 8.89)</v>
      </c>
      <c r="L1182" t="str">
        <f>J1186</f>
        <v>8.89 (8.86 to 8.93)</v>
      </c>
      <c r="M1182" t="str">
        <f>J1188</f>
        <v>8.88 (8.85 to 8.91)</v>
      </c>
      <c r="N1182" t="str">
        <f>J1190</f>
        <v>8.84 (8.81 to 8.86)</v>
      </c>
      <c r="O1182" t="str">
        <f>J1192</f>
        <v>8.80 (8.76 to 8.83)</v>
      </c>
    </row>
    <row r="1183" spans="1:15" ht="17.25" thickBot="1" x14ac:dyDescent="0.35">
      <c r="A1183" s="6">
        <v>2</v>
      </c>
      <c r="B1183" s="3">
        <v>0</v>
      </c>
      <c r="C1183" s="11" t="s">
        <v>114</v>
      </c>
      <c r="D1183" s="2">
        <v>10393</v>
      </c>
      <c r="E1183" s="2">
        <v>8.5059780000000007</v>
      </c>
      <c r="F1183" s="2">
        <v>8.5339999999999999E-3</v>
      </c>
      <c r="G1183" s="2">
        <v>8.4892448700000003</v>
      </c>
      <c r="H1183" s="2">
        <v>8.52271015</v>
      </c>
      <c r="J1183" t="str">
        <f t="shared" si="46"/>
        <v>8.51 (8.49 to 8.52)</v>
      </c>
    </row>
    <row r="1184" spans="1:15" ht="17.25" thickBot="1" x14ac:dyDescent="0.35">
      <c r="A1184" s="6"/>
      <c r="B1184" s="3">
        <v>1</v>
      </c>
      <c r="C1184" s="11" t="s">
        <v>114</v>
      </c>
      <c r="D1184" s="2">
        <v>2723</v>
      </c>
      <c r="E1184" s="2">
        <v>8.8564030000000002</v>
      </c>
      <c r="F1184" s="2">
        <v>1.7180999999999998E-2</v>
      </c>
      <c r="G1184" s="2">
        <v>8.8227153200000004</v>
      </c>
      <c r="H1184" s="2">
        <v>8.8900913599999996</v>
      </c>
      <c r="J1184" t="str">
        <f t="shared" si="46"/>
        <v>8.86 (8.82 to 8.89)</v>
      </c>
    </row>
    <row r="1185" spans="1:10" ht="17.25" thickBot="1" x14ac:dyDescent="0.35">
      <c r="A1185" s="6">
        <v>3</v>
      </c>
      <c r="B1185" s="3">
        <v>0</v>
      </c>
      <c r="C1185" s="11" t="s">
        <v>114</v>
      </c>
      <c r="D1185" s="2">
        <v>9166</v>
      </c>
      <c r="E1185" s="2">
        <v>8.5345929999999992</v>
      </c>
      <c r="F1185" s="2">
        <v>8.6379999999999998E-3</v>
      </c>
      <c r="G1185" s="2">
        <v>8.5176557899999992</v>
      </c>
      <c r="H1185" s="2">
        <v>8.5515298299999998</v>
      </c>
      <c r="J1185" t="str">
        <f t="shared" si="46"/>
        <v>8.53 (8.52 to 8.55)</v>
      </c>
    </row>
    <row r="1186" spans="1:10" ht="17.25" thickBot="1" x14ac:dyDescent="0.35">
      <c r="A1186" s="6"/>
      <c r="B1186" s="3">
        <v>1</v>
      </c>
      <c r="C1186" s="11" t="s">
        <v>114</v>
      </c>
      <c r="D1186" s="2">
        <v>2309</v>
      </c>
      <c r="E1186" s="2">
        <v>8.8949829999999999</v>
      </c>
      <c r="F1186" s="2">
        <v>1.6719999999999999E-2</v>
      </c>
      <c r="G1186" s="2">
        <v>8.8621986100000001</v>
      </c>
      <c r="H1186" s="2">
        <v>8.9277680099999994</v>
      </c>
      <c r="J1186" t="str">
        <f t="shared" si="46"/>
        <v>8.89 (8.86 to 8.93)</v>
      </c>
    </row>
    <row r="1187" spans="1:10" ht="17.25" thickBot="1" x14ac:dyDescent="0.35">
      <c r="A1187" s="6">
        <v>4</v>
      </c>
      <c r="B1187" s="3">
        <v>0</v>
      </c>
      <c r="C1187" s="11" t="s">
        <v>114</v>
      </c>
      <c r="D1187" s="2">
        <v>11001</v>
      </c>
      <c r="E1187" s="2">
        <v>8.5513429999999993</v>
      </c>
      <c r="F1187" s="2">
        <v>7.8460000000000005E-3</v>
      </c>
      <c r="G1187" s="2">
        <v>8.5359575099999994</v>
      </c>
      <c r="H1187" s="2">
        <v>8.5667277399999993</v>
      </c>
      <c r="J1187" t="str">
        <f t="shared" si="46"/>
        <v>8.55 (8.54 to 8.57)</v>
      </c>
    </row>
    <row r="1188" spans="1:10" ht="17.25" thickBot="1" x14ac:dyDescent="0.35">
      <c r="A1188" s="6"/>
      <c r="B1188" s="3">
        <v>1</v>
      </c>
      <c r="C1188" s="11" t="s">
        <v>114</v>
      </c>
      <c r="D1188" s="2">
        <v>3157</v>
      </c>
      <c r="E1188" s="2">
        <v>8.8796540000000004</v>
      </c>
      <c r="F1188" s="2">
        <v>1.5554999999999999E-2</v>
      </c>
      <c r="G1188" s="2">
        <v>8.8491530899999997</v>
      </c>
      <c r="H1188" s="2">
        <v>8.9101556899999999</v>
      </c>
      <c r="J1188" t="str">
        <f t="shared" si="46"/>
        <v>8.88 (8.85 to 8.91)</v>
      </c>
    </row>
    <row r="1189" spans="1:10" ht="17.25" thickBot="1" x14ac:dyDescent="0.35">
      <c r="A1189" s="6">
        <v>5</v>
      </c>
      <c r="B1189" s="3">
        <v>0</v>
      </c>
      <c r="C1189" s="11" t="s">
        <v>114</v>
      </c>
      <c r="D1189" s="2">
        <v>10383</v>
      </c>
      <c r="E1189" s="2">
        <v>8.5278320000000001</v>
      </c>
      <c r="F1189" s="2">
        <v>8.012E-3</v>
      </c>
      <c r="G1189" s="2">
        <v>8.5121221899999995</v>
      </c>
      <c r="H1189" s="2">
        <v>8.5435417099999995</v>
      </c>
      <c r="J1189" t="str">
        <f t="shared" si="46"/>
        <v>8.53 (8.51 to 8.54)</v>
      </c>
    </row>
    <row r="1190" spans="1:10" ht="17.25" thickBot="1" x14ac:dyDescent="0.35">
      <c r="A1190" s="6"/>
      <c r="B1190" s="3">
        <v>1</v>
      </c>
      <c r="C1190" s="11" t="s">
        <v>114</v>
      </c>
      <c r="D1190" s="2">
        <v>3172</v>
      </c>
      <c r="E1190" s="2">
        <v>8.8351699999999997</v>
      </c>
      <c r="F1190" s="2">
        <v>1.4951000000000001E-2</v>
      </c>
      <c r="G1190" s="2">
        <v>8.8058550100000001</v>
      </c>
      <c r="H1190" s="2">
        <v>8.8644858400000004</v>
      </c>
      <c r="J1190" t="str">
        <f t="shared" si="46"/>
        <v>8.84 (8.81 to 8.86)</v>
      </c>
    </row>
    <row r="1191" spans="1:10" ht="17.25" thickBot="1" x14ac:dyDescent="0.35">
      <c r="A1191" s="6">
        <v>6</v>
      </c>
      <c r="B1191" s="3">
        <v>0</v>
      </c>
      <c r="C1191" s="11" t="s">
        <v>114</v>
      </c>
      <c r="D1191" s="2">
        <v>3227</v>
      </c>
      <c r="E1191" s="2">
        <v>8.5341699999999996</v>
      </c>
      <c r="F1191" s="2">
        <v>1.3216E-2</v>
      </c>
      <c r="G1191" s="2">
        <v>8.5082565399999996</v>
      </c>
      <c r="H1191" s="2">
        <v>8.5600842400000001</v>
      </c>
      <c r="J1191" t="str">
        <f t="shared" si="46"/>
        <v>8.53 (8.51 to 8.56)</v>
      </c>
    </row>
    <row r="1192" spans="1:10" x14ac:dyDescent="0.3">
      <c r="A1192" s="6"/>
      <c r="B1192" s="3">
        <v>1</v>
      </c>
      <c r="C1192" s="14" t="s">
        <v>114</v>
      </c>
      <c r="D1192" s="2">
        <v>1189</v>
      </c>
      <c r="E1192" s="2">
        <v>8.7985640000000007</v>
      </c>
      <c r="F1192" s="2">
        <v>1.7895999999999999E-2</v>
      </c>
      <c r="G1192" s="2">
        <v>8.7634734400000003</v>
      </c>
      <c r="H1192" s="2">
        <v>8.8336541799999999</v>
      </c>
      <c r="J1192" t="str">
        <f t="shared" si="46"/>
        <v>8.80 (8.76 to 8.83)</v>
      </c>
    </row>
    <row r="1196" spans="1:10" x14ac:dyDescent="0.3">
      <c r="A1196" s="1" t="s">
        <v>237</v>
      </c>
    </row>
    <row r="1198" spans="1:10" x14ac:dyDescent="0.3">
      <c r="A1198" s="1" t="s">
        <v>1</v>
      </c>
    </row>
    <row r="1199" spans="1:10" ht="17.25" thickBot="1" x14ac:dyDescent="0.35"/>
    <row r="1200" spans="1:10" ht="16.5" customHeight="1" x14ac:dyDescent="0.3">
      <c r="A1200" s="16" t="s">
        <v>135</v>
      </c>
      <c r="B1200" s="18"/>
    </row>
    <row r="1201" spans="1:6" ht="26.25" thickBot="1" x14ac:dyDescent="0.35">
      <c r="A1201" s="12" t="s">
        <v>136</v>
      </c>
      <c r="B1201" s="2">
        <v>183</v>
      </c>
    </row>
    <row r="1202" spans="1:6" ht="26.25" thickBot="1" x14ac:dyDescent="0.35">
      <c r="A1202" s="12" t="s">
        <v>137</v>
      </c>
      <c r="B1202" s="2">
        <v>2949</v>
      </c>
    </row>
    <row r="1203" spans="1:6" ht="39" thickBot="1" x14ac:dyDescent="0.35">
      <c r="A1203" s="12" t="s">
        <v>138</v>
      </c>
      <c r="B1203" s="2">
        <v>23222</v>
      </c>
    </row>
    <row r="1204" spans="1:6" ht="25.5" x14ac:dyDescent="0.3">
      <c r="A1204" s="13" t="s">
        <v>139</v>
      </c>
      <c r="B1204" s="2">
        <v>9036880.5199999996</v>
      </c>
    </row>
    <row r="1205" spans="1:6" ht="17.25" thickBot="1" x14ac:dyDescent="0.35"/>
    <row r="1206" spans="1:6" ht="33" customHeight="1" x14ac:dyDescent="0.3">
      <c r="A1206" s="16" t="s">
        <v>140</v>
      </c>
      <c r="B1206" s="18"/>
    </row>
    <row r="1207" spans="1:6" ht="33.75" thickBot="1" x14ac:dyDescent="0.35">
      <c r="A1207" s="12" t="s">
        <v>141</v>
      </c>
      <c r="B1207" s="2" t="s">
        <v>142</v>
      </c>
    </row>
    <row r="1208" spans="1:6" ht="25.5" x14ac:dyDescent="0.3">
      <c r="A1208" s="13" t="s">
        <v>143</v>
      </c>
      <c r="B1208" s="2" t="s">
        <v>144</v>
      </c>
    </row>
    <row r="1209" spans="1:6" ht="17.25" thickBot="1" x14ac:dyDescent="0.35"/>
    <row r="1210" spans="1:6" ht="16.5" customHeight="1" x14ac:dyDescent="0.3">
      <c r="A1210" s="16" t="s">
        <v>238</v>
      </c>
      <c r="B1210" s="18"/>
      <c r="C1210" s="18"/>
      <c r="D1210" s="18"/>
      <c r="E1210" s="18"/>
      <c r="F1210" s="18"/>
    </row>
    <row r="1211" spans="1:6" x14ac:dyDescent="0.3">
      <c r="A1211" s="17" t="s">
        <v>239</v>
      </c>
      <c r="B1211" s="19" t="s">
        <v>94</v>
      </c>
      <c r="C1211" s="19" t="s">
        <v>240</v>
      </c>
      <c r="D1211" s="3" t="s">
        <v>241</v>
      </c>
      <c r="E1211" s="19" t="s">
        <v>243</v>
      </c>
      <c r="F1211" s="19"/>
    </row>
    <row r="1212" spans="1:6" x14ac:dyDescent="0.3">
      <c r="A1212" s="17"/>
      <c r="B1212" s="19"/>
      <c r="C1212" s="19"/>
      <c r="D1212" s="3" t="s">
        <v>242</v>
      </c>
      <c r="E1212" s="19"/>
      <c r="F1212" s="19"/>
    </row>
    <row r="1213" spans="1:6" x14ac:dyDescent="0.3">
      <c r="A1213" s="13" t="s">
        <v>114</v>
      </c>
      <c r="B1213" s="2">
        <v>23222</v>
      </c>
      <c r="C1213" s="2">
        <v>8.4582850000000001</v>
      </c>
      <c r="D1213" s="2">
        <v>5.8770000000000003E-3</v>
      </c>
      <c r="E1213" s="2">
        <v>8.4467599599999996</v>
      </c>
      <c r="F1213" s="2">
        <v>8.4698092999999997</v>
      </c>
    </row>
    <row r="1217" spans="1:8" x14ac:dyDescent="0.3">
      <c r="A1217" s="1" t="s">
        <v>237</v>
      </c>
    </row>
    <row r="1219" spans="1:8" x14ac:dyDescent="0.3">
      <c r="A1219" s="1" t="s">
        <v>1</v>
      </c>
    </row>
    <row r="1220" spans="1:8" ht="17.25" thickBot="1" x14ac:dyDescent="0.35"/>
    <row r="1221" spans="1:8" ht="16.5" customHeight="1" x14ac:dyDescent="0.3">
      <c r="A1221" s="16" t="s">
        <v>262</v>
      </c>
      <c r="B1221" s="18"/>
      <c r="C1221" s="18"/>
      <c r="D1221" s="18"/>
      <c r="E1221" s="18"/>
      <c r="F1221" s="18"/>
      <c r="G1221" s="18"/>
      <c r="H1221" s="18"/>
    </row>
    <row r="1222" spans="1:8" ht="16.5" customHeight="1" x14ac:dyDescent="0.3">
      <c r="A1222" s="17" t="s">
        <v>249</v>
      </c>
      <c r="B1222" s="19" t="s">
        <v>17</v>
      </c>
      <c r="C1222" s="19" t="s">
        <v>239</v>
      </c>
      <c r="D1222" s="19" t="s">
        <v>94</v>
      </c>
      <c r="E1222" s="19" t="s">
        <v>240</v>
      </c>
      <c r="F1222" s="3" t="s">
        <v>241</v>
      </c>
      <c r="G1222" s="19" t="s">
        <v>243</v>
      </c>
      <c r="H1222" s="19"/>
    </row>
    <row r="1223" spans="1:8" x14ac:dyDescent="0.3">
      <c r="A1223" s="17"/>
      <c r="B1223" s="19"/>
      <c r="C1223" s="19"/>
      <c r="D1223" s="19"/>
      <c r="E1223" s="19"/>
      <c r="F1223" s="3" t="s">
        <v>242</v>
      </c>
      <c r="G1223" s="19"/>
      <c r="H1223" s="19"/>
    </row>
    <row r="1224" spans="1:8" ht="17.25" thickBot="1" x14ac:dyDescent="0.35">
      <c r="A1224" s="6">
        <v>1</v>
      </c>
      <c r="B1224" s="3">
        <v>0</v>
      </c>
      <c r="C1224" s="11" t="s">
        <v>114</v>
      </c>
      <c r="D1224" s="2">
        <v>3487</v>
      </c>
      <c r="E1224" s="2">
        <v>8.4870870000000007</v>
      </c>
      <c r="F1224" s="2">
        <v>1.6225E-2</v>
      </c>
      <c r="G1224" s="2">
        <v>8.4552720000000008</v>
      </c>
      <c r="H1224" s="2">
        <v>8.5189016100000003</v>
      </c>
    </row>
    <row r="1225" spans="1:8" ht="17.25" thickBot="1" x14ac:dyDescent="0.35">
      <c r="A1225" s="6"/>
      <c r="B1225" s="3">
        <v>1</v>
      </c>
      <c r="C1225" s="11" t="s">
        <v>114</v>
      </c>
      <c r="D1225" s="2">
        <v>253</v>
      </c>
      <c r="E1225" s="2">
        <v>8.9565350000000006</v>
      </c>
      <c r="F1225" s="2">
        <v>6.0486999999999999E-2</v>
      </c>
      <c r="G1225" s="2">
        <v>8.8379308600000002</v>
      </c>
      <c r="H1225" s="2">
        <v>9.0751390500000007</v>
      </c>
    </row>
    <row r="1226" spans="1:8" ht="17.25" thickBot="1" x14ac:dyDescent="0.35">
      <c r="A1226" s="6">
        <v>2</v>
      </c>
      <c r="B1226" s="3">
        <v>0</v>
      </c>
      <c r="C1226" s="11" t="s">
        <v>114</v>
      </c>
      <c r="D1226" s="2">
        <v>4258</v>
      </c>
      <c r="E1226" s="2">
        <v>8.3223929999999999</v>
      </c>
      <c r="F1226" s="2">
        <v>1.2433E-2</v>
      </c>
      <c r="G1226" s="2">
        <v>8.2980144300000003</v>
      </c>
      <c r="H1226" s="2">
        <v>8.3467710400000001</v>
      </c>
    </row>
    <row r="1227" spans="1:8" ht="17.25" thickBot="1" x14ac:dyDescent="0.35">
      <c r="A1227" s="6"/>
      <c r="B1227" s="3">
        <v>1</v>
      </c>
      <c r="C1227" s="11" t="s">
        <v>114</v>
      </c>
      <c r="D1227" s="2">
        <v>385</v>
      </c>
      <c r="E1227" s="2">
        <v>8.8810610000000008</v>
      </c>
      <c r="F1227" s="2">
        <v>3.6781000000000001E-2</v>
      </c>
      <c r="G1227" s="2">
        <v>8.8089395400000008</v>
      </c>
      <c r="H1227" s="2">
        <v>8.9531814799999996</v>
      </c>
    </row>
    <row r="1228" spans="1:8" ht="17.25" thickBot="1" x14ac:dyDescent="0.35">
      <c r="A1228" s="6"/>
      <c r="B1228" s="3">
        <v>8</v>
      </c>
      <c r="C1228" s="11" t="s">
        <v>114</v>
      </c>
      <c r="D1228" s="2">
        <v>89</v>
      </c>
      <c r="E1228" s="2">
        <v>8.4866200000000003</v>
      </c>
      <c r="F1228" s="2">
        <v>6.5132999999999996E-2</v>
      </c>
      <c r="G1228" s="2">
        <v>8.3589047799999996</v>
      </c>
      <c r="H1228" s="2">
        <v>8.6143345599999996</v>
      </c>
    </row>
    <row r="1229" spans="1:8" ht="17.25" thickBot="1" x14ac:dyDescent="0.35">
      <c r="A1229" s="6">
        <v>3</v>
      </c>
      <c r="B1229" s="3">
        <v>0</v>
      </c>
      <c r="C1229" s="11" t="s">
        <v>114</v>
      </c>
      <c r="D1229" s="2">
        <v>3297</v>
      </c>
      <c r="E1229" s="2">
        <v>8.3825029999999998</v>
      </c>
      <c r="F1229" s="2">
        <v>1.4734000000000001E-2</v>
      </c>
      <c r="G1229" s="2">
        <v>8.3536126700000004</v>
      </c>
      <c r="H1229" s="2">
        <v>8.4113935699999995</v>
      </c>
    </row>
    <row r="1230" spans="1:8" ht="17.25" thickBot="1" x14ac:dyDescent="0.35">
      <c r="A1230" s="6"/>
      <c r="B1230" s="3">
        <v>1</v>
      </c>
      <c r="C1230" s="11" t="s">
        <v>114</v>
      </c>
      <c r="D1230" s="2">
        <v>441</v>
      </c>
      <c r="E1230" s="2">
        <v>8.8422599999999996</v>
      </c>
      <c r="F1230" s="2">
        <v>4.2537999999999999E-2</v>
      </c>
      <c r="G1230" s="2">
        <v>8.7588500099999997</v>
      </c>
      <c r="H1230" s="2">
        <v>8.9256699400000006</v>
      </c>
    </row>
    <row r="1231" spans="1:8" ht="17.25" thickBot="1" x14ac:dyDescent="0.35">
      <c r="A1231" s="6"/>
      <c r="B1231" s="3">
        <v>8</v>
      </c>
      <c r="C1231" s="11" t="s">
        <v>114</v>
      </c>
      <c r="D1231" s="2">
        <v>519</v>
      </c>
      <c r="E1231" s="2">
        <v>8.6807750000000006</v>
      </c>
      <c r="F1231" s="2">
        <v>4.3905E-2</v>
      </c>
      <c r="G1231" s="2">
        <v>8.5946846499999996</v>
      </c>
      <c r="H1231" s="2">
        <v>8.7668648299999994</v>
      </c>
    </row>
    <row r="1232" spans="1:8" ht="17.25" thickBot="1" x14ac:dyDescent="0.35">
      <c r="A1232" s="6">
        <v>4</v>
      </c>
      <c r="B1232" s="3">
        <v>0</v>
      </c>
      <c r="C1232" s="11" t="s">
        <v>114</v>
      </c>
      <c r="D1232" s="2">
        <v>3874</v>
      </c>
      <c r="E1232" s="2">
        <v>8.4176760000000002</v>
      </c>
      <c r="F1232" s="2">
        <v>1.3599999999999999E-2</v>
      </c>
      <c r="G1232" s="2">
        <v>8.3910077199999993</v>
      </c>
      <c r="H1232" s="2">
        <v>8.4443437899999996</v>
      </c>
    </row>
    <row r="1233" spans="1:8" ht="17.25" thickBot="1" x14ac:dyDescent="0.35">
      <c r="A1233" s="6"/>
      <c r="B1233" s="3">
        <v>1</v>
      </c>
      <c r="C1233" s="11" t="s">
        <v>114</v>
      </c>
      <c r="D1233" s="2">
        <v>681</v>
      </c>
      <c r="E1233" s="2">
        <v>8.9533509999999996</v>
      </c>
      <c r="F1233" s="2">
        <v>3.6880999999999997E-2</v>
      </c>
      <c r="G1233" s="2">
        <v>8.8810349300000002</v>
      </c>
      <c r="H1233" s="2">
        <v>9.0256678099999998</v>
      </c>
    </row>
    <row r="1234" spans="1:8" ht="17.25" thickBot="1" x14ac:dyDescent="0.35">
      <c r="A1234" s="6"/>
      <c r="B1234" s="3">
        <v>8</v>
      </c>
      <c r="C1234" s="11" t="s">
        <v>114</v>
      </c>
      <c r="D1234" s="2">
        <v>1</v>
      </c>
      <c r="E1234" s="2">
        <v>7.844633</v>
      </c>
      <c r="F1234" s="2">
        <v>0</v>
      </c>
      <c r="G1234" s="2">
        <v>7.8446326400000004</v>
      </c>
      <c r="H1234" s="2">
        <v>7.8446326400000004</v>
      </c>
    </row>
    <row r="1235" spans="1:8" ht="17.25" thickBot="1" x14ac:dyDescent="0.35">
      <c r="A1235" s="6">
        <v>5</v>
      </c>
      <c r="B1235" s="3">
        <v>0</v>
      </c>
      <c r="C1235" s="11" t="s">
        <v>114</v>
      </c>
      <c r="D1235" s="2">
        <v>3652</v>
      </c>
      <c r="E1235" s="2">
        <v>8.4251229999999993</v>
      </c>
      <c r="F1235" s="2">
        <v>1.4541999999999999E-2</v>
      </c>
      <c r="G1235" s="2">
        <v>8.3966089099999994</v>
      </c>
      <c r="H1235" s="2">
        <v>8.4536375499999998</v>
      </c>
    </row>
    <row r="1236" spans="1:8" ht="17.25" thickBot="1" x14ac:dyDescent="0.35">
      <c r="A1236" s="6"/>
      <c r="B1236" s="3">
        <v>1</v>
      </c>
      <c r="C1236" s="11" t="s">
        <v>114</v>
      </c>
      <c r="D1236" s="2">
        <v>849</v>
      </c>
      <c r="E1236" s="2">
        <v>8.7546169999999996</v>
      </c>
      <c r="F1236" s="2">
        <v>2.7910000000000001E-2</v>
      </c>
      <c r="G1236" s="2">
        <v>8.6998903900000002</v>
      </c>
      <c r="H1236" s="2">
        <v>8.8093438899999992</v>
      </c>
    </row>
    <row r="1237" spans="1:8" ht="17.25" thickBot="1" x14ac:dyDescent="0.35">
      <c r="A1237" s="6">
        <v>6</v>
      </c>
      <c r="B1237" s="3">
        <v>0</v>
      </c>
      <c r="C1237" s="11" t="s">
        <v>114</v>
      </c>
      <c r="D1237" s="2">
        <v>1089</v>
      </c>
      <c r="E1237" s="2">
        <v>8.4223429999999997</v>
      </c>
      <c r="F1237" s="2">
        <v>1.9514E-2</v>
      </c>
      <c r="G1237" s="2">
        <v>8.3840803200000007</v>
      </c>
      <c r="H1237" s="2">
        <v>8.4606061399999994</v>
      </c>
    </row>
    <row r="1238" spans="1:8" x14ac:dyDescent="0.3">
      <c r="A1238" s="6"/>
      <c r="B1238" s="3">
        <v>1</v>
      </c>
      <c r="C1238" s="14" t="s">
        <v>114</v>
      </c>
      <c r="D1238" s="2">
        <v>347</v>
      </c>
      <c r="E1238" s="2">
        <v>8.7343860000000006</v>
      </c>
      <c r="F1238" s="2">
        <v>3.2536000000000002E-2</v>
      </c>
      <c r="G1238" s="2">
        <v>8.6705886599999999</v>
      </c>
      <c r="H1238" s="2">
        <v>8.7981823600000002</v>
      </c>
    </row>
    <row r="1242" spans="1:8" x14ac:dyDescent="0.3">
      <c r="A1242" s="1" t="s">
        <v>237</v>
      </c>
    </row>
    <row r="1244" spans="1:8" x14ac:dyDescent="0.3">
      <c r="A1244" s="1" t="s">
        <v>21</v>
      </c>
    </row>
    <row r="1245" spans="1:8" ht="17.25" thickBot="1" x14ac:dyDescent="0.35"/>
    <row r="1246" spans="1:8" ht="16.5" customHeight="1" x14ac:dyDescent="0.3">
      <c r="A1246" s="16" t="s">
        <v>135</v>
      </c>
      <c r="B1246" s="18"/>
    </row>
    <row r="1247" spans="1:8" ht="26.25" thickBot="1" x14ac:dyDescent="0.35">
      <c r="A1247" s="12" t="s">
        <v>136</v>
      </c>
      <c r="B1247" s="2">
        <v>183</v>
      </c>
    </row>
    <row r="1248" spans="1:8" ht="26.25" thickBot="1" x14ac:dyDescent="0.35">
      <c r="A1248" s="12" t="s">
        <v>137</v>
      </c>
      <c r="B1248" s="2">
        <v>2982</v>
      </c>
    </row>
    <row r="1249" spans="1:6" ht="39" thickBot="1" x14ac:dyDescent="0.35">
      <c r="A1249" s="12" t="s">
        <v>138</v>
      </c>
      <c r="B1249" s="2">
        <v>68635</v>
      </c>
    </row>
    <row r="1250" spans="1:6" ht="25.5" x14ac:dyDescent="0.3">
      <c r="A1250" s="13" t="s">
        <v>139</v>
      </c>
      <c r="B1250" s="2">
        <v>30251935.699999999</v>
      </c>
    </row>
    <row r="1251" spans="1:6" ht="17.25" thickBot="1" x14ac:dyDescent="0.35"/>
    <row r="1252" spans="1:6" ht="33" customHeight="1" x14ac:dyDescent="0.3">
      <c r="A1252" s="16" t="s">
        <v>140</v>
      </c>
      <c r="B1252" s="18"/>
    </row>
    <row r="1253" spans="1:6" ht="33.75" thickBot="1" x14ac:dyDescent="0.35">
      <c r="A1253" s="12" t="s">
        <v>141</v>
      </c>
      <c r="B1253" s="2" t="s">
        <v>142</v>
      </c>
    </row>
    <row r="1254" spans="1:6" ht="25.5" x14ac:dyDescent="0.3">
      <c r="A1254" s="13" t="s">
        <v>143</v>
      </c>
      <c r="B1254" s="2" t="s">
        <v>144</v>
      </c>
    </row>
    <row r="1255" spans="1:6" ht="17.25" thickBot="1" x14ac:dyDescent="0.35"/>
    <row r="1256" spans="1:6" ht="16.5" customHeight="1" x14ac:dyDescent="0.3">
      <c r="A1256" s="16" t="s">
        <v>238</v>
      </c>
      <c r="B1256" s="18"/>
      <c r="C1256" s="18"/>
      <c r="D1256" s="18"/>
      <c r="E1256" s="18"/>
      <c r="F1256" s="18"/>
    </row>
    <row r="1257" spans="1:6" x14ac:dyDescent="0.3">
      <c r="A1257" s="17" t="s">
        <v>239</v>
      </c>
      <c r="B1257" s="19" t="s">
        <v>94</v>
      </c>
      <c r="C1257" s="19" t="s">
        <v>240</v>
      </c>
      <c r="D1257" s="3" t="s">
        <v>241</v>
      </c>
      <c r="E1257" s="19" t="s">
        <v>243</v>
      </c>
      <c r="F1257" s="19"/>
    </row>
    <row r="1258" spans="1:6" x14ac:dyDescent="0.3">
      <c r="A1258" s="17"/>
      <c r="B1258" s="19"/>
      <c r="C1258" s="19"/>
      <c r="D1258" s="3" t="s">
        <v>242</v>
      </c>
      <c r="E1258" s="19"/>
      <c r="F1258" s="19"/>
    </row>
    <row r="1259" spans="1:6" x14ac:dyDescent="0.3">
      <c r="A1259" s="13" t="s">
        <v>114</v>
      </c>
      <c r="B1259" s="2">
        <v>68635</v>
      </c>
      <c r="C1259" s="2">
        <v>8.5827570000000009</v>
      </c>
      <c r="D1259" s="2">
        <v>3.4259999999999998E-3</v>
      </c>
      <c r="E1259" s="2">
        <v>8.5760384700000003</v>
      </c>
      <c r="F1259" s="2">
        <v>8.58947489</v>
      </c>
    </row>
    <row r="1263" spans="1:6" x14ac:dyDescent="0.3">
      <c r="A1263" s="1" t="s">
        <v>237</v>
      </c>
    </row>
    <row r="1265" spans="1:15" x14ac:dyDescent="0.3">
      <c r="A1265" s="1" t="s">
        <v>21</v>
      </c>
    </row>
    <row r="1266" spans="1:15" ht="17.25" thickBot="1" x14ac:dyDescent="0.35"/>
    <row r="1267" spans="1:15" ht="16.5" customHeight="1" x14ac:dyDescent="0.3">
      <c r="A1267" s="16" t="s">
        <v>262</v>
      </c>
      <c r="B1267" s="18"/>
      <c r="C1267" s="18"/>
      <c r="D1267" s="18"/>
      <c r="E1267" s="18"/>
      <c r="F1267" s="18"/>
      <c r="G1267" s="18"/>
      <c r="H1267" s="18"/>
    </row>
    <row r="1268" spans="1:15" ht="16.5" customHeight="1" x14ac:dyDescent="0.3">
      <c r="A1268" s="17" t="s">
        <v>249</v>
      </c>
      <c r="B1268" s="19" t="s">
        <v>17</v>
      </c>
      <c r="C1268" s="19" t="s">
        <v>239</v>
      </c>
      <c r="D1268" s="19" t="s">
        <v>94</v>
      </c>
      <c r="E1268" s="19" t="s">
        <v>240</v>
      </c>
      <c r="F1268" s="3" t="s">
        <v>241</v>
      </c>
      <c r="G1268" s="19" t="s">
        <v>243</v>
      </c>
      <c r="H1268" s="19"/>
    </row>
    <row r="1269" spans="1:15" x14ac:dyDescent="0.3">
      <c r="A1269" s="17"/>
      <c r="B1269" s="19"/>
      <c r="C1269" s="19"/>
      <c r="D1269" s="19"/>
      <c r="E1269" s="19"/>
      <c r="F1269" s="3" t="s">
        <v>242</v>
      </c>
      <c r="G1269" s="19"/>
      <c r="H1269" s="19"/>
    </row>
    <row r="1270" spans="1:15" ht="17.25" thickBot="1" x14ac:dyDescent="0.35">
      <c r="A1270" s="6">
        <v>1</v>
      </c>
      <c r="B1270" s="3">
        <v>0</v>
      </c>
      <c r="C1270" s="11" t="s">
        <v>114</v>
      </c>
      <c r="D1270" s="2">
        <v>11084</v>
      </c>
      <c r="E1270" s="2">
        <v>8.5257629999999995</v>
      </c>
      <c r="F1270" s="2">
        <v>8.5120000000000005E-3</v>
      </c>
      <c r="G1270" s="2">
        <v>8.5090729700000001</v>
      </c>
      <c r="H1270" s="2">
        <v>8.5424539399999997</v>
      </c>
      <c r="J1270" t="str">
        <f t="shared" ref="J1270:J1281" si="47">TEXT(E1270,"0.00")&amp;" ("&amp;TEXT(G1270,"0.00")&amp;" to "&amp;TEXT(H1270,"0.00")&amp;")"</f>
        <v>8.53 (8.51 to 8.54)</v>
      </c>
      <c r="K1270" t="str">
        <f>J1272</f>
        <v>8.53 (8.51 to 8.54)</v>
      </c>
      <c r="L1270" t="str">
        <f>J1274</f>
        <v>8.55 (8.53 to 8.56)</v>
      </c>
      <c r="M1270" t="str">
        <f>J1276</f>
        <v>8.56 (8.54 to 8.58)</v>
      </c>
      <c r="N1270" t="str">
        <f>J1278</f>
        <v>8.54 (8.52 to 8.55)</v>
      </c>
      <c r="O1270" t="str">
        <f>J1280</f>
        <v>8.55 (8.52 to 8.57)</v>
      </c>
    </row>
    <row r="1271" spans="1:15" ht="17.25" thickBot="1" x14ac:dyDescent="0.35">
      <c r="A1271" s="6"/>
      <c r="B1271" s="3">
        <v>1</v>
      </c>
      <c r="C1271" s="11" t="s">
        <v>114</v>
      </c>
      <c r="D1271" s="2">
        <v>831</v>
      </c>
      <c r="E1271" s="2">
        <v>8.9980589999999996</v>
      </c>
      <c r="F1271" s="2">
        <v>2.7958E-2</v>
      </c>
      <c r="G1271" s="2">
        <v>8.9432391800000008</v>
      </c>
      <c r="H1271" s="2">
        <v>9.0528786300000004</v>
      </c>
      <c r="J1271" t="str">
        <f t="shared" si="47"/>
        <v>9.00 (8.94 to 9.05)</v>
      </c>
      <c r="K1271" t="str">
        <f>J1273</f>
        <v>8.96 (8.92 to 9.01)</v>
      </c>
      <c r="L1271" t="str">
        <f>J1275</f>
        <v>8.93 (8.89 to 8.97)</v>
      </c>
      <c r="M1271" t="str">
        <f>J1277</f>
        <v>8.91 (8.88 to 8.95)</v>
      </c>
      <c r="N1271" t="str">
        <f>J1279</f>
        <v>8.83 (8.80 to 8.86)</v>
      </c>
      <c r="O1271" t="str">
        <f>J1281</f>
        <v>8.75 (8.72 to 8.79)</v>
      </c>
    </row>
    <row r="1272" spans="1:15" ht="17.25" thickBot="1" x14ac:dyDescent="0.35">
      <c r="A1272" s="6">
        <v>2</v>
      </c>
      <c r="B1272" s="3">
        <v>0</v>
      </c>
      <c r="C1272" s="11" t="s">
        <v>114</v>
      </c>
      <c r="D1272" s="2">
        <v>11761</v>
      </c>
      <c r="E1272" s="2">
        <v>8.5255179999999999</v>
      </c>
      <c r="F1272" s="2">
        <v>8.2430000000000003E-3</v>
      </c>
      <c r="G1272" s="2">
        <v>8.5093552999999993</v>
      </c>
      <c r="H1272" s="2">
        <v>8.5416807099999996</v>
      </c>
      <c r="J1272" t="str">
        <f t="shared" si="47"/>
        <v>8.53 (8.51 to 8.54)</v>
      </c>
    </row>
    <row r="1273" spans="1:15" ht="17.25" thickBot="1" x14ac:dyDescent="0.35">
      <c r="A1273" s="6"/>
      <c r="B1273" s="3">
        <v>1</v>
      </c>
      <c r="C1273" s="11" t="s">
        <v>114</v>
      </c>
      <c r="D1273" s="2">
        <v>1355</v>
      </c>
      <c r="E1273" s="2">
        <v>8.9640900000000006</v>
      </c>
      <c r="F1273" s="2">
        <v>2.4156E-2</v>
      </c>
      <c r="G1273" s="2">
        <v>8.9167254200000006</v>
      </c>
      <c r="H1273" s="2">
        <v>9.0114552700000008</v>
      </c>
      <c r="J1273" t="str">
        <f t="shared" si="47"/>
        <v>8.96 (8.92 to 9.01)</v>
      </c>
    </row>
    <row r="1274" spans="1:15" ht="17.25" thickBot="1" x14ac:dyDescent="0.35">
      <c r="A1274" s="6">
        <v>3</v>
      </c>
      <c r="B1274" s="3">
        <v>0</v>
      </c>
      <c r="C1274" s="11" t="s">
        <v>114</v>
      </c>
      <c r="D1274" s="2">
        <v>9888</v>
      </c>
      <c r="E1274" s="2">
        <v>8.5479149999999997</v>
      </c>
      <c r="F1274" s="2">
        <v>8.6719999999999992E-3</v>
      </c>
      <c r="G1274" s="2">
        <v>8.53091021</v>
      </c>
      <c r="H1274" s="2">
        <v>8.5649197400000006</v>
      </c>
      <c r="J1274" t="str">
        <f t="shared" si="47"/>
        <v>8.55 (8.53 to 8.56)</v>
      </c>
    </row>
    <row r="1275" spans="1:15" ht="17.25" thickBot="1" x14ac:dyDescent="0.35">
      <c r="A1275" s="6"/>
      <c r="B1275" s="3">
        <v>1</v>
      </c>
      <c r="C1275" s="11" t="s">
        <v>114</v>
      </c>
      <c r="D1275" s="2">
        <v>1587</v>
      </c>
      <c r="E1275" s="2">
        <v>8.9299219999999995</v>
      </c>
      <c r="F1275" s="2">
        <v>2.0223000000000001E-2</v>
      </c>
      <c r="G1275" s="2">
        <v>8.8902686499999994</v>
      </c>
      <c r="H1275" s="2">
        <v>8.9695750200000006</v>
      </c>
      <c r="J1275" t="str">
        <f t="shared" si="47"/>
        <v>8.93 (8.89 to 8.97)</v>
      </c>
    </row>
    <row r="1276" spans="1:15" ht="17.25" thickBot="1" x14ac:dyDescent="0.35">
      <c r="A1276" s="6">
        <v>4</v>
      </c>
      <c r="B1276" s="3">
        <v>0</v>
      </c>
      <c r="C1276" s="11" t="s">
        <v>114</v>
      </c>
      <c r="D1276" s="2">
        <v>11727</v>
      </c>
      <c r="E1276" s="2">
        <v>8.5593419999999991</v>
      </c>
      <c r="F1276" s="2">
        <v>8.0409999999999995E-3</v>
      </c>
      <c r="G1276" s="2">
        <v>8.5435742500000007</v>
      </c>
      <c r="H1276" s="2">
        <v>8.5751099199999992</v>
      </c>
      <c r="J1276" t="str">
        <f t="shared" si="47"/>
        <v>8.56 (8.54 to 8.58)</v>
      </c>
    </row>
    <row r="1277" spans="1:15" ht="17.25" thickBot="1" x14ac:dyDescent="0.35">
      <c r="A1277" s="6"/>
      <c r="B1277" s="3">
        <v>1</v>
      </c>
      <c r="C1277" s="11" t="s">
        <v>114</v>
      </c>
      <c r="D1277" s="2">
        <v>2431</v>
      </c>
      <c r="E1277" s="2">
        <v>8.9110560000000003</v>
      </c>
      <c r="F1277" s="2">
        <v>1.7533E-2</v>
      </c>
      <c r="G1277" s="2">
        <v>8.8766778500000001</v>
      </c>
      <c r="H1277" s="2">
        <v>8.9454342499999999</v>
      </c>
      <c r="J1277" t="str">
        <f t="shared" si="47"/>
        <v>8.91 (8.88 to 8.95)</v>
      </c>
    </row>
    <row r="1278" spans="1:15" ht="17.25" thickBot="1" x14ac:dyDescent="0.35">
      <c r="A1278" s="6">
        <v>5</v>
      </c>
      <c r="B1278" s="3">
        <v>0</v>
      </c>
      <c r="C1278" s="11" t="s">
        <v>114</v>
      </c>
      <c r="D1278" s="2">
        <v>10784</v>
      </c>
      <c r="E1278" s="2">
        <v>8.5353879999999993</v>
      </c>
      <c r="F1278" s="2">
        <v>8.2179999999999996E-3</v>
      </c>
      <c r="G1278" s="2">
        <v>8.5192747700000009</v>
      </c>
      <c r="H1278" s="2">
        <v>8.5515008600000009</v>
      </c>
      <c r="J1278" t="str">
        <f t="shared" si="47"/>
        <v>8.54 (8.52 to 8.55)</v>
      </c>
    </row>
    <row r="1279" spans="1:15" ht="17.25" thickBot="1" x14ac:dyDescent="0.35">
      <c r="A1279" s="6"/>
      <c r="B1279" s="3">
        <v>1</v>
      </c>
      <c r="C1279" s="11" t="s">
        <v>114</v>
      </c>
      <c r="D1279" s="2">
        <v>2771</v>
      </c>
      <c r="E1279" s="2">
        <v>8.8299000000000003</v>
      </c>
      <c r="F1279" s="2">
        <v>1.5021E-2</v>
      </c>
      <c r="G1279" s="2">
        <v>8.8004462700000001</v>
      </c>
      <c r="H1279" s="2">
        <v>8.8593542299999992</v>
      </c>
      <c r="J1279" t="str">
        <f t="shared" si="47"/>
        <v>8.83 (8.80 to 8.86)</v>
      </c>
    </row>
    <row r="1280" spans="1:15" ht="17.25" thickBot="1" x14ac:dyDescent="0.35">
      <c r="A1280" s="6">
        <v>6</v>
      </c>
      <c r="B1280" s="3">
        <v>0</v>
      </c>
      <c r="C1280" s="11" t="s">
        <v>114</v>
      </c>
      <c r="D1280" s="2">
        <v>3223</v>
      </c>
      <c r="E1280" s="2">
        <v>8.5461740000000006</v>
      </c>
      <c r="F1280" s="2">
        <v>1.3596E-2</v>
      </c>
      <c r="G1280" s="2">
        <v>8.5195157500000001</v>
      </c>
      <c r="H1280" s="2">
        <v>8.5728328699999992</v>
      </c>
      <c r="J1280" t="str">
        <f t="shared" si="47"/>
        <v>8.55 (8.52 to 8.57)</v>
      </c>
    </row>
    <row r="1281" spans="1:10" x14ac:dyDescent="0.3">
      <c r="A1281" s="6"/>
      <c r="B1281" s="3">
        <v>1</v>
      </c>
      <c r="C1281" s="14" t="s">
        <v>114</v>
      </c>
      <c r="D1281" s="2">
        <v>1193</v>
      </c>
      <c r="E1281" s="2">
        <v>8.7539029999999993</v>
      </c>
      <c r="F1281" s="2">
        <v>1.9508000000000001E-2</v>
      </c>
      <c r="G1281" s="2">
        <v>8.7156512199999998</v>
      </c>
      <c r="H1281" s="2">
        <v>8.7921547400000009</v>
      </c>
      <c r="J1281" t="str">
        <f t="shared" si="47"/>
        <v>8.75 (8.72 to 8.79)</v>
      </c>
    </row>
    <row r="1285" spans="1:10" x14ac:dyDescent="0.3">
      <c r="A1285" s="1" t="s">
        <v>237</v>
      </c>
    </row>
    <row r="1287" spans="1:10" x14ac:dyDescent="0.3">
      <c r="A1287" s="1" t="s">
        <v>1</v>
      </c>
    </row>
    <row r="1288" spans="1:10" ht="17.25" thickBot="1" x14ac:dyDescent="0.35"/>
    <row r="1289" spans="1:10" ht="16.5" customHeight="1" x14ac:dyDescent="0.3">
      <c r="A1289" s="16" t="s">
        <v>135</v>
      </c>
      <c r="B1289" s="18"/>
    </row>
    <row r="1290" spans="1:10" ht="26.25" thickBot="1" x14ac:dyDescent="0.35">
      <c r="A1290" s="12" t="s">
        <v>136</v>
      </c>
      <c r="B1290" s="2">
        <v>183</v>
      </c>
    </row>
    <row r="1291" spans="1:10" ht="26.25" thickBot="1" x14ac:dyDescent="0.35">
      <c r="A1291" s="12" t="s">
        <v>137</v>
      </c>
      <c r="B1291" s="2">
        <v>2949</v>
      </c>
    </row>
    <row r="1292" spans="1:10" ht="39" thickBot="1" x14ac:dyDescent="0.35">
      <c r="A1292" s="12" t="s">
        <v>138</v>
      </c>
      <c r="B1292" s="2">
        <v>23222</v>
      </c>
    </row>
    <row r="1293" spans="1:10" ht="25.5" x14ac:dyDescent="0.3">
      <c r="A1293" s="13" t="s">
        <v>139</v>
      </c>
      <c r="B1293" s="2">
        <v>9036880.5199999996</v>
      </c>
    </row>
    <row r="1294" spans="1:10" ht="17.25" thickBot="1" x14ac:dyDescent="0.35"/>
    <row r="1295" spans="1:10" ht="33" customHeight="1" x14ac:dyDescent="0.3">
      <c r="A1295" s="16" t="s">
        <v>140</v>
      </c>
      <c r="B1295" s="18"/>
    </row>
    <row r="1296" spans="1:10" ht="33.75" thickBot="1" x14ac:dyDescent="0.35">
      <c r="A1296" s="12" t="s">
        <v>141</v>
      </c>
      <c r="B1296" s="2" t="s">
        <v>142</v>
      </c>
    </row>
    <row r="1297" spans="1:8" ht="25.5" x14ac:dyDescent="0.3">
      <c r="A1297" s="13" t="s">
        <v>143</v>
      </c>
      <c r="B1297" s="2" t="s">
        <v>144</v>
      </c>
    </row>
    <row r="1298" spans="1:8" ht="17.25" thickBot="1" x14ac:dyDescent="0.35"/>
    <row r="1299" spans="1:8" ht="16.5" customHeight="1" x14ac:dyDescent="0.3">
      <c r="A1299" s="16" t="s">
        <v>238</v>
      </c>
      <c r="B1299" s="18"/>
      <c r="C1299" s="18"/>
      <c r="D1299" s="18"/>
      <c r="E1299" s="18"/>
      <c r="F1299" s="18"/>
    </row>
    <row r="1300" spans="1:8" x14ac:dyDescent="0.3">
      <c r="A1300" s="17" t="s">
        <v>239</v>
      </c>
      <c r="B1300" s="19" t="s">
        <v>94</v>
      </c>
      <c r="C1300" s="19" t="s">
        <v>240</v>
      </c>
      <c r="D1300" s="3" t="s">
        <v>241</v>
      </c>
      <c r="E1300" s="19" t="s">
        <v>243</v>
      </c>
      <c r="F1300" s="19"/>
    </row>
    <row r="1301" spans="1:8" x14ac:dyDescent="0.3">
      <c r="A1301" s="17"/>
      <c r="B1301" s="19"/>
      <c r="C1301" s="19"/>
      <c r="D1301" s="3" t="s">
        <v>242</v>
      </c>
      <c r="E1301" s="19"/>
      <c r="F1301" s="19"/>
    </row>
    <row r="1302" spans="1:8" x14ac:dyDescent="0.3">
      <c r="A1302" s="13" t="s">
        <v>114</v>
      </c>
      <c r="B1302" s="2">
        <v>23222</v>
      </c>
      <c r="C1302" s="2">
        <v>8.4582850000000001</v>
      </c>
      <c r="D1302" s="2">
        <v>5.8770000000000003E-3</v>
      </c>
      <c r="E1302" s="2">
        <v>8.4467599599999996</v>
      </c>
      <c r="F1302" s="2">
        <v>8.4698092999999997</v>
      </c>
    </row>
    <row r="1306" spans="1:8" x14ac:dyDescent="0.3">
      <c r="A1306" s="1" t="s">
        <v>237</v>
      </c>
    </row>
    <row r="1308" spans="1:8" x14ac:dyDescent="0.3">
      <c r="A1308" s="1" t="s">
        <v>1</v>
      </c>
    </row>
    <row r="1309" spans="1:8" ht="17.25" thickBot="1" x14ac:dyDescent="0.35"/>
    <row r="1310" spans="1:8" ht="16.5" customHeight="1" x14ac:dyDescent="0.3">
      <c r="A1310" s="16" t="s">
        <v>263</v>
      </c>
      <c r="B1310" s="18"/>
      <c r="C1310" s="18"/>
      <c r="D1310" s="18"/>
      <c r="E1310" s="18"/>
      <c r="F1310" s="18"/>
      <c r="G1310" s="18"/>
      <c r="H1310" s="18"/>
    </row>
    <row r="1311" spans="1:8" x14ac:dyDescent="0.3">
      <c r="A1311" s="17" t="s">
        <v>249</v>
      </c>
      <c r="B1311" s="19" t="s">
        <v>18</v>
      </c>
      <c r="C1311" s="19" t="s">
        <v>239</v>
      </c>
      <c r="D1311" s="19" t="s">
        <v>94</v>
      </c>
      <c r="E1311" s="19" t="s">
        <v>240</v>
      </c>
      <c r="F1311" s="3" t="s">
        <v>241</v>
      </c>
      <c r="G1311" s="19" t="s">
        <v>243</v>
      </c>
      <c r="H1311" s="19"/>
    </row>
    <row r="1312" spans="1:8" x14ac:dyDescent="0.3">
      <c r="A1312" s="17"/>
      <c r="B1312" s="19"/>
      <c r="C1312" s="19"/>
      <c r="D1312" s="19"/>
      <c r="E1312" s="19"/>
      <c r="F1312" s="3" t="s">
        <v>242</v>
      </c>
      <c r="G1312" s="19"/>
      <c r="H1312" s="19"/>
    </row>
    <row r="1313" spans="1:8" ht="17.25" thickBot="1" x14ac:dyDescent="0.35">
      <c r="A1313" s="6">
        <v>1</v>
      </c>
      <c r="B1313" s="3">
        <v>0</v>
      </c>
      <c r="C1313" s="11" t="s">
        <v>114</v>
      </c>
      <c r="D1313" s="2">
        <v>3649</v>
      </c>
      <c r="E1313" s="2">
        <v>8.5117759999999993</v>
      </c>
      <c r="F1313" s="2">
        <v>1.5966000000000001E-2</v>
      </c>
      <c r="G1313" s="2">
        <v>8.4804700900000007</v>
      </c>
      <c r="H1313" s="2">
        <v>8.5430817000000001</v>
      </c>
    </row>
    <row r="1314" spans="1:8" ht="17.25" thickBot="1" x14ac:dyDescent="0.35">
      <c r="A1314" s="6"/>
      <c r="B1314" s="3">
        <v>1</v>
      </c>
      <c r="C1314" s="11" t="s">
        <v>114</v>
      </c>
      <c r="D1314" s="2">
        <v>91</v>
      </c>
      <c r="E1314" s="2">
        <v>8.7996879999999997</v>
      </c>
      <c r="F1314" s="2">
        <v>7.0011000000000004E-2</v>
      </c>
      <c r="G1314" s="2">
        <v>8.6624087400000001</v>
      </c>
      <c r="H1314" s="2">
        <v>8.9369662699999992</v>
      </c>
    </row>
    <row r="1315" spans="1:8" ht="17.25" thickBot="1" x14ac:dyDescent="0.35">
      <c r="A1315" s="6">
        <v>2</v>
      </c>
      <c r="B1315" s="3">
        <v>0</v>
      </c>
      <c r="C1315" s="11" t="s">
        <v>114</v>
      </c>
      <c r="D1315" s="2">
        <v>4570</v>
      </c>
      <c r="E1315" s="2">
        <v>8.3496220000000001</v>
      </c>
      <c r="F1315" s="2">
        <v>1.2323000000000001E-2</v>
      </c>
      <c r="G1315" s="2">
        <v>8.3254590999999998</v>
      </c>
      <c r="H1315" s="2">
        <v>8.3737852799999999</v>
      </c>
    </row>
    <row r="1316" spans="1:8" ht="17.25" thickBot="1" x14ac:dyDescent="0.35">
      <c r="A1316" s="6"/>
      <c r="B1316" s="3">
        <v>1</v>
      </c>
      <c r="C1316" s="11" t="s">
        <v>114</v>
      </c>
      <c r="D1316" s="2">
        <v>73</v>
      </c>
      <c r="E1316" s="2">
        <v>8.9508419999999997</v>
      </c>
      <c r="F1316" s="2">
        <v>8.2563999999999999E-2</v>
      </c>
      <c r="G1316" s="2">
        <v>8.7889481499999995</v>
      </c>
      <c r="H1316" s="2">
        <v>9.1127348799999996</v>
      </c>
    </row>
    <row r="1317" spans="1:8" ht="17.25" thickBot="1" x14ac:dyDescent="0.35">
      <c r="A1317" s="6"/>
      <c r="B1317" s="3">
        <v>8</v>
      </c>
      <c r="C1317" s="11" t="s">
        <v>114</v>
      </c>
      <c r="D1317" s="2">
        <v>89</v>
      </c>
      <c r="E1317" s="2">
        <v>8.4866200000000003</v>
      </c>
      <c r="F1317" s="2">
        <v>6.5132999999999996E-2</v>
      </c>
      <c r="G1317" s="2">
        <v>8.3589047799999996</v>
      </c>
      <c r="H1317" s="2">
        <v>8.6143345599999996</v>
      </c>
    </row>
    <row r="1318" spans="1:8" ht="17.25" thickBot="1" x14ac:dyDescent="0.35">
      <c r="A1318" s="6">
        <v>3</v>
      </c>
      <c r="B1318" s="3">
        <v>0</v>
      </c>
      <c r="C1318" s="11" t="s">
        <v>114</v>
      </c>
      <c r="D1318" s="2">
        <v>3595</v>
      </c>
      <c r="E1318" s="2">
        <v>8.4120249999999999</v>
      </c>
      <c r="F1318" s="2">
        <v>1.4531000000000001E-2</v>
      </c>
      <c r="G1318" s="2">
        <v>8.3835321300000007</v>
      </c>
      <c r="H1318" s="2">
        <v>8.4405180099999999</v>
      </c>
    </row>
    <row r="1319" spans="1:8" ht="17.25" thickBot="1" x14ac:dyDescent="0.35">
      <c r="A1319" s="6"/>
      <c r="B1319" s="3">
        <v>1</v>
      </c>
      <c r="C1319" s="11" t="s">
        <v>114</v>
      </c>
      <c r="D1319" s="2">
        <v>73</v>
      </c>
      <c r="E1319" s="2">
        <v>8.7980520000000002</v>
      </c>
      <c r="F1319" s="2">
        <v>5.9630000000000002E-2</v>
      </c>
      <c r="G1319" s="2">
        <v>8.6811273900000003</v>
      </c>
      <c r="H1319" s="2">
        <v>8.9149766499999998</v>
      </c>
    </row>
    <row r="1320" spans="1:8" ht="17.25" thickBot="1" x14ac:dyDescent="0.35">
      <c r="A1320" s="6"/>
      <c r="B1320" s="3">
        <v>8</v>
      </c>
      <c r="C1320" s="11" t="s">
        <v>114</v>
      </c>
      <c r="D1320" s="2">
        <v>589</v>
      </c>
      <c r="E1320" s="2">
        <v>8.6875049999999998</v>
      </c>
      <c r="F1320" s="2">
        <v>4.0511999999999999E-2</v>
      </c>
      <c r="G1320" s="2">
        <v>8.6080691100000006</v>
      </c>
      <c r="H1320" s="2">
        <v>8.7669413400000007</v>
      </c>
    </row>
    <row r="1321" spans="1:8" ht="17.25" thickBot="1" x14ac:dyDescent="0.35">
      <c r="A1321" s="6">
        <v>4</v>
      </c>
      <c r="B1321" s="3">
        <v>0</v>
      </c>
      <c r="C1321" s="11" t="s">
        <v>114</v>
      </c>
      <c r="D1321" s="2">
        <v>3853</v>
      </c>
      <c r="E1321" s="2">
        <v>8.4373050000000003</v>
      </c>
      <c r="F1321" s="2">
        <v>1.4165000000000001E-2</v>
      </c>
      <c r="G1321" s="2">
        <v>8.4095305200000006</v>
      </c>
      <c r="H1321" s="2">
        <v>8.4650786799999995</v>
      </c>
    </row>
    <row r="1322" spans="1:8" ht="17.25" thickBot="1" x14ac:dyDescent="0.35">
      <c r="A1322" s="6"/>
      <c r="B1322" s="3">
        <v>1</v>
      </c>
      <c r="C1322" s="11" t="s">
        <v>114</v>
      </c>
      <c r="D1322" s="2">
        <v>88</v>
      </c>
      <c r="E1322" s="2">
        <v>8.9685319999999997</v>
      </c>
      <c r="F1322" s="2">
        <v>0.10159600000000001</v>
      </c>
      <c r="G1322" s="2">
        <v>8.7693191200000005</v>
      </c>
      <c r="H1322" s="2">
        <v>9.1677440600000004</v>
      </c>
    </row>
    <row r="1323" spans="1:8" ht="17.25" thickBot="1" x14ac:dyDescent="0.35">
      <c r="A1323" s="6"/>
      <c r="B1323" s="3">
        <v>8</v>
      </c>
      <c r="C1323" s="11" t="s">
        <v>114</v>
      </c>
      <c r="D1323" s="2">
        <v>615</v>
      </c>
      <c r="E1323" s="2">
        <v>8.6876110000000004</v>
      </c>
      <c r="F1323" s="2">
        <v>3.3096E-2</v>
      </c>
      <c r="G1323" s="2">
        <v>8.6227152900000004</v>
      </c>
      <c r="H1323" s="2">
        <v>8.7525062899999995</v>
      </c>
    </row>
    <row r="1324" spans="1:8" ht="17.25" thickBot="1" x14ac:dyDescent="0.35">
      <c r="A1324" s="6">
        <v>5</v>
      </c>
      <c r="B1324" s="3">
        <v>0</v>
      </c>
      <c r="C1324" s="11" t="s">
        <v>114</v>
      </c>
      <c r="D1324" s="2">
        <v>3543</v>
      </c>
      <c r="E1324" s="2">
        <v>8.4199450000000002</v>
      </c>
      <c r="F1324" s="2">
        <v>1.5007E-2</v>
      </c>
      <c r="G1324" s="2">
        <v>8.3905180399999999</v>
      </c>
      <c r="H1324" s="2">
        <v>8.4493717700000008</v>
      </c>
    </row>
    <row r="1325" spans="1:8" ht="17.25" thickBot="1" x14ac:dyDescent="0.35">
      <c r="A1325" s="6"/>
      <c r="B1325" s="3">
        <v>1</v>
      </c>
      <c r="C1325" s="11" t="s">
        <v>114</v>
      </c>
      <c r="D1325" s="2">
        <v>88</v>
      </c>
      <c r="E1325" s="2">
        <v>8.6457270000000008</v>
      </c>
      <c r="F1325" s="2">
        <v>6.9725999999999996E-2</v>
      </c>
      <c r="G1325" s="2">
        <v>8.5090075699999996</v>
      </c>
      <c r="H1325" s="2">
        <v>8.7824472199999999</v>
      </c>
    </row>
    <row r="1326" spans="1:8" ht="17.25" thickBot="1" x14ac:dyDescent="0.35">
      <c r="A1326" s="6"/>
      <c r="B1326" s="3">
        <v>8</v>
      </c>
      <c r="C1326" s="11" t="s">
        <v>114</v>
      </c>
      <c r="D1326" s="2">
        <v>870</v>
      </c>
      <c r="E1326" s="2">
        <v>8.6847980000000007</v>
      </c>
      <c r="F1326" s="2">
        <v>2.8251999999999999E-2</v>
      </c>
      <c r="G1326" s="2">
        <v>8.6294012099999993</v>
      </c>
      <c r="H1326" s="2">
        <v>8.7401940800000002</v>
      </c>
    </row>
    <row r="1327" spans="1:8" ht="17.25" thickBot="1" x14ac:dyDescent="0.35">
      <c r="A1327" s="6">
        <v>6</v>
      </c>
      <c r="B1327" s="3">
        <v>0</v>
      </c>
      <c r="C1327" s="11" t="s">
        <v>114</v>
      </c>
      <c r="D1327" s="2">
        <v>1045</v>
      </c>
      <c r="E1327" s="2">
        <v>8.4241930000000007</v>
      </c>
      <c r="F1327" s="2">
        <v>2.2134000000000001E-2</v>
      </c>
      <c r="G1327" s="2">
        <v>8.3807913700000007</v>
      </c>
      <c r="H1327" s="2">
        <v>8.4675944899999998</v>
      </c>
    </row>
    <row r="1328" spans="1:8" ht="17.25" thickBot="1" x14ac:dyDescent="0.35">
      <c r="A1328" s="6"/>
      <c r="B1328" s="3">
        <v>1</v>
      </c>
      <c r="C1328" s="11" t="s">
        <v>114</v>
      </c>
      <c r="D1328" s="2">
        <v>27</v>
      </c>
      <c r="E1328" s="2">
        <v>8.5562710000000006</v>
      </c>
      <c r="F1328" s="2">
        <v>0.10796799999999999</v>
      </c>
      <c r="G1328" s="2">
        <v>8.3445641300000002</v>
      </c>
      <c r="H1328" s="2">
        <v>8.7679775499999995</v>
      </c>
    </row>
    <row r="1329" spans="1:8" x14ac:dyDescent="0.3">
      <c r="A1329" s="6"/>
      <c r="B1329" s="3">
        <v>8</v>
      </c>
      <c r="C1329" s="14" t="s">
        <v>114</v>
      </c>
      <c r="D1329" s="2">
        <v>364</v>
      </c>
      <c r="E1329" s="2">
        <v>8.6444039999999998</v>
      </c>
      <c r="F1329" s="2">
        <v>3.6830000000000002E-2</v>
      </c>
      <c r="G1329" s="2">
        <v>8.5721875900000004</v>
      </c>
      <c r="H1329" s="2">
        <v>8.7166198999999995</v>
      </c>
    </row>
    <row r="1333" spans="1:8" x14ac:dyDescent="0.3">
      <c r="A1333" s="1" t="s">
        <v>237</v>
      </c>
    </row>
    <row r="1335" spans="1:8" x14ac:dyDescent="0.3">
      <c r="A1335" s="1" t="s">
        <v>21</v>
      </c>
    </row>
    <row r="1336" spans="1:8" ht="17.25" thickBot="1" x14ac:dyDescent="0.35"/>
    <row r="1337" spans="1:8" ht="16.5" customHeight="1" x14ac:dyDescent="0.3">
      <c r="A1337" s="16" t="s">
        <v>135</v>
      </c>
      <c r="B1337" s="18"/>
    </row>
    <row r="1338" spans="1:8" ht="26.25" thickBot="1" x14ac:dyDescent="0.35">
      <c r="A1338" s="12" t="s">
        <v>136</v>
      </c>
      <c r="B1338" s="2">
        <v>183</v>
      </c>
    </row>
    <row r="1339" spans="1:8" ht="26.25" thickBot="1" x14ac:dyDescent="0.35">
      <c r="A1339" s="12" t="s">
        <v>137</v>
      </c>
      <c r="B1339" s="2">
        <v>2982</v>
      </c>
    </row>
    <row r="1340" spans="1:8" ht="39" thickBot="1" x14ac:dyDescent="0.35">
      <c r="A1340" s="12" t="s">
        <v>138</v>
      </c>
      <c r="B1340" s="2">
        <v>68635</v>
      </c>
    </row>
    <row r="1341" spans="1:8" ht="25.5" x14ac:dyDescent="0.3">
      <c r="A1341" s="13" t="s">
        <v>139</v>
      </c>
      <c r="B1341" s="2">
        <v>30251935.699999999</v>
      </c>
    </row>
    <row r="1342" spans="1:8" ht="17.25" thickBot="1" x14ac:dyDescent="0.35"/>
    <row r="1343" spans="1:8" ht="33" customHeight="1" x14ac:dyDescent="0.3">
      <c r="A1343" s="16" t="s">
        <v>140</v>
      </c>
      <c r="B1343" s="18"/>
    </row>
    <row r="1344" spans="1:8" ht="33.75" thickBot="1" x14ac:dyDescent="0.35">
      <c r="A1344" s="12" t="s">
        <v>141</v>
      </c>
      <c r="B1344" s="2" t="s">
        <v>142</v>
      </c>
    </row>
    <row r="1345" spans="1:8" ht="25.5" x14ac:dyDescent="0.3">
      <c r="A1345" s="13" t="s">
        <v>143</v>
      </c>
      <c r="B1345" s="2" t="s">
        <v>144</v>
      </c>
    </row>
    <row r="1346" spans="1:8" ht="17.25" thickBot="1" x14ac:dyDescent="0.35"/>
    <row r="1347" spans="1:8" ht="16.5" customHeight="1" x14ac:dyDescent="0.3">
      <c r="A1347" s="16" t="s">
        <v>238</v>
      </c>
      <c r="B1347" s="18"/>
      <c r="C1347" s="18"/>
      <c r="D1347" s="18"/>
      <c r="E1347" s="18"/>
      <c r="F1347" s="18"/>
    </row>
    <row r="1348" spans="1:8" x14ac:dyDescent="0.3">
      <c r="A1348" s="17" t="s">
        <v>239</v>
      </c>
      <c r="B1348" s="19" t="s">
        <v>94</v>
      </c>
      <c r="C1348" s="19" t="s">
        <v>240</v>
      </c>
      <c r="D1348" s="3" t="s">
        <v>241</v>
      </c>
      <c r="E1348" s="19" t="s">
        <v>243</v>
      </c>
      <c r="F1348" s="19"/>
    </row>
    <row r="1349" spans="1:8" x14ac:dyDescent="0.3">
      <c r="A1349" s="17"/>
      <c r="B1349" s="19"/>
      <c r="C1349" s="19"/>
      <c r="D1349" s="3" t="s">
        <v>242</v>
      </c>
      <c r="E1349" s="19"/>
      <c r="F1349" s="19"/>
    </row>
    <row r="1350" spans="1:8" x14ac:dyDescent="0.3">
      <c r="A1350" s="13" t="s">
        <v>114</v>
      </c>
      <c r="B1350" s="2">
        <v>68635</v>
      </c>
      <c r="C1350" s="2">
        <v>8.5827570000000009</v>
      </c>
      <c r="D1350" s="2">
        <v>3.4259999999999998E-3</v>
      </c>
      <c r="E1350" s="2">
        <v>8.5760384700000003</v>
      </c>
      <c r="F1350" s="2">
        <v>8.58947489</v>
      </c>
    </row>
    <row r="1354" spans="1:8" x14ac:dyDescent="0.3">
      <c r="A1354" s="1" t="s">
        <v>237</v>
      </c>
    </row>
    <row r="1356" spans="1:8" x14ac:dyDescent="0.3">
      <c r="A1356" s="1" t="s">
        <v>21</v>
      </c>
    </row>
    <row r="1357" spans="1:8" ht="17.25" thickBot="1" x14ac:dyDescent="0.35"/>
    <row r="1358" spans="1:8" ht="16.5" customHeight="1" x14ac:dyDescent="0.3">
      <c r="A1358" s="16" t="s">
        <v>263</v>
      </c>
      <c r="B1358" s="18"/>
      <c r="C1358" s="18"/>
      <c r="D1358" s="18"/>
      <c r="E1358" s="18"/>
      <c r="F1358" s="18"/>
      <c r="G1358" s="18"/>
      <c r="H1358" s="18"/>
    </row>
    <row r="1359" spans="1:8" x14ac:dyDescent="0.3">
      <c r="A1359" s="17" t="s">
        <v>249</v>
      </c>
      <c r="B1359" s="19" t="s">
        <v>18</v>
      </c>
      <c r="C1359" s="19" t="s">
        <v>239</v>
      </c>
      <c r="D1359" s="19" t="s">
        <v>94</v>
      </c>
      <c r="E1359" s="19" t="s">
        <v>240</v>
      </c>
      <c r="F1359" s="3" t="s">
        <v>241</v>
      </c>
      <c r="G1359" s="19" t="s">
        <v>243</v>
      </c>
      <c r="H1359" s="19"/>
    </row>
    <row r="1360" spans="1:8" x14ac:dyDescent="0.3">
      <c r="A1360" s="17"/>
      <c r="B1360" s="19"/>
      <c r="C1360" s="19"/>
      <c r="D1360" s="19"/>
      <c r="E1360" s="19"/>
      <c r="F1360" s="3" t="s">
        <v>242</v>
      </c>
      <c r="G1360" s="19"/>
      <c r="H1360" s="19"/>
    </row>
    <row r="1361" spans="1:15" ht="17.25" thickBot="1" x14ac:dyDescent="0.35">
      <c r="A1361" s="6">
        <v>1</v>
      </c>
      <c r="B1361" s="3">
        <v>0</v>
      </c>
      <c r="C1361" s="11" t="s">
        <v>114</v>
      </c>
      <c r="D1361" s="2">
        <v>11691</v>
      </c>
      <c r="E1361" s="2">
        <v>8.5525549999999999</v>
      </c>
      <c r="F1361" s="2">
        <v>8.3239999999999998E-3</v>
      </c>
      <c r="G1361" s="2">
        <v>8.5362332599999995</v>
      </c>
      <c r="H1361" s="2">
        <v>8.5688762500000006</v>
      </c>
      <c r="J1361" t="str">
        <f t="shared" ref="J1361:J1372" si="48">TEXT(E1361,"0.00")&amp;" ("&amp;TEXT(G1361,"0.00")&amp;" to "&amp;TEXT(H1361,"0.00")&amp;")"</f>
        <v>8.55 (8.54 to 8.57)</v>
      </c>
      <c r="K1361" t="str">
        <f>J1363</f>
        <v>8.56 (8.54 to 8.57)</v>
      </c>
      <c r="L1361" t="str">
        <f>J1365</f>
        <v>8.59 (8.57 to 8.60)</v>
      </c>
      <c r="M1361" t="str">
        <f>J1367</f>
        <v>8.61 (8.59 to 8.62)</v>
      </c>
      <c r="N1361" t="str">
        <f>J1369</f>
        <v>8.58 (8.57 to 8.60)</v>
      </c>
      <c r="O1361" t="str">
        <f>J1371</f>
        <v>8.59 (8.57 to 8.61)</v>
      </c>
    </row>
    <row r="1362" spans="1:15" ht="17.25" thickBot="1" x14ac:dyDescent="0.35">
      <c r="A1362" s="6"/>
      <c r="B1362" s="3">
        <v>1</v>
      </c>
      <c r="C1362" s="11" t="s">
        <v>114</v>
      </c>
      <c r="D1362" s="2">
        <v>224</v>
      </c>
      <c r="E1362" s="2">
        <v>8.7477160000000005</v>
      </c>
      <c r="F1362" s="2">
        <v>4.5333999999999999E-2</v>
      </c>
      <c r="G1362" s="2">
        <v>8.6588238999999998</v>
      </c>
      <c r="H1362" s="2">
        <v>8.8366084800000007</v>
      </c>
      <c r="J1362" t="str">
        <f t="shared" si="48"/>
        <v>8.75 (8.66 to 8.84)</v>
      </c>
      <c r="K1362" t="str">
        <f>J1364</f>
        <v>8.78 (8.69 to 8.88)</v>
      </c>
      <c r="L1362" t="str">
        <f>J1366</f>
        <v>8.83 (8.74 to 8.93)</v>
      </c>
      <c r="M1362" t="str">
        <f>J1368</f>
        <v>8.80 (8.71 to 8.89)</v>
      </c>
      <c r="N1362" t="str">
        <f>J1370</f>
        <v>8.76 (8.67 to 8.85)</v>
      </c>
      <c r="O1362" t="str">
        <f>J1372</f>
        <v>8.81 (8.70 to 8.92)</v>
      </c>
    </row>
    <row r="1363" spans="1:15" ht="17.25" thickBot="1" x14ac:dyDescent="0.35">
      <c r="A1363" s="6">
        <v>2</v>
      </c>
      <c r="B1363" s="3">
        <v>0</v>
      </c>
      <c r="C1363" s="11" t="s">
        <v>114</v>
      </c>
      <c r="D1363" s="2">
        <v>12900</v>
      </c>
      <c r="E1363" s="2">
        <v>8.5570509999999995</v>
      </c>
      <c r="F1363" s="2">
        <v>8.1239999999999993E-3</v>
      </c>
      <c r="G1363" s="2">
        <v>8.5411203899999997</v>
      </c>
      <c r="H1363" s="2">
        <v>8.5729810299999993</v>
      </c>
      <c r="J1363" t="str">
        <f t="shared" si="48"/>
        <v>8.56 (8.54 to 8.57)</v>
      </c>
    </row>
    <row r="1364" spans="1:15" ht="17.25" thickBot="1" x14ac:dyDescent="0.35">
      <c r="A1364" s="6"/>
      <c r="B1364" s="3">
        <v>1</v>
      </c>
      <c r="C1364" s="11" t="s">
        <v>114</v>
      </c>
      <c r="D1364" s="2">
        <v>216</v>
      </c>
      <c r="E1364" s="2">
        <v>8.7820450000000001</v>
      </c>
      <c r="F1364" s="2">
        <v>4.8353E-2</v>
      </c>
      <c r="G1364" s="2">
        <v>8.6872337700000006</v>
      </c>
      <c r="H1364" s="2">
        <v>8.8768561300000002</v>
      </c>
      <c r="J1364" t="str">
        <f t="shared" si="48"/>
        <v>8.78 (8.69 to 8.88)</v>
      </c>
    </row>
    <row r="1365" spans="1:15" ht="17.25" thickBot="1" x14ac:dyDescent="0.35">
      <c r="A1365" s="6">
        <v>3</v>
      </c>
      <c r="B1365" s="3">
        <v>0</v>
      </c>
      <c r="C1365" s="11" t="s">
        <v>114</v>
      </c>
      <c r="D1365" s="2">
        <v>11238</v>
      </c>
      <c r="E1365" s="2">
        <v>8.5854140000000001</v>
      </c>
      <c r="F1365" s="2">
        <v>8.2660000000000008E-3</v>
      </c>
      <c r="G1365" s="2">
        <v>8.5692058000000007</v>
      </c>
      <c r="H1365" s="2">
        <v>8.6016219799999991</v>
      </c>
      <c r="J1365" t="str">
        <f t="shared" si="48"/>
        <v>8.59 (8.57 to 8.60)</v>
      </c>
    </row>
    <row r="1366" spans="1:15" ht="17.25" thickBot="1" x14ac:dyDescent="0.35">
      <c r="A1366" s="6"/>
      <c r="B1366" s="3">
        <v>1</v>
      </c>
      <c r="C1366" s="11" t="s">
        <v>114</v>
      </c>
      <c r="D1366" s="2">
        <v>237</v>
      </c>
      <c r="E1366" s="2">
        <v>8.8314990000000009</v>
      </c>
      <c r="F1366" s="2">
        <v>4.8245999999999997E-2</v>
      </c>
      <c r="G1366" s="2">
        <v>8.73689888</v>
      </c>
      <c r="H1366" s="2">
        <v>8.9261000999999993</v>
      </c>
      <c r="J1366" t="str">
        <f t="shared" si="48"/>
        <v>8.83 (8.74 to 8.93)</v>
      </c>
    </row>
    <row r="1367" spans="1:15" ht="17.25" thickBot="1" x14ac:dyDescent="0.35">
      <c r="A1367" s="6">
        <v>4</v>
      </c>
      <c r="B1367" s="3">
        <v>0</v>
      </c>
      <c r="C1367" s="11" t="s">
        <v>114</v>
      </c>
      <c r="D1367" s="2">
        <v>13882</v>
      </c>
      <c r="E1367" s="2">
        <v>8.6068739999999995</v>
      </c>
      <c r="F1367" s="2">
        <v>7.6410000000000002E-3</v>
      </c>
      <c r="G1367" s="2">
        <v>8.5918919900000006</v>
      </c>
      <c r="H1367" s="2">
        <v>8.6218567000000004</v>
      </c>
      <c r="J1367" t="str">
        <f t="shared" si="48"/>
        <v>8.61 (8.59 to 8.62)</v>
      </c>
    </row>
    <row r="1368" spans="1:15" ht="17.25" thickBot="1" x14ac:dyDescent="0.35">
      <c r="A1368" s="6"/>
      <c r="B1368" s="3">
        <v>1</v>
      </c>
      <c r="C1368" s="11" t="s">
        <v>114</v>
      </c>
      <c r="D1368" s="2">
        <v>276</v>
      </c>
      <c r="E1368" s="2">
        <v>8.7999790000000004</v>
      </c>
      <c r="F1368" s="2">
        <v>4.8288999999999999E-2</v>
      </c>
      <c r="G1368" s="2">
        <v>8.7052934999999998</v>
      </c>
      <c r="H1368" s="2">
        <v>8.8946652499999992</v>
      </c>
      <c r="J1368" t="str">
        <f t="shared" si="48"/>
        <v>8.80 (8.71 to 8.89)</v>
      </c>
    </row>
    <row r="1369" spans="1:15" ht="17.25" thickBot="1" x14ac:dyDescent="0.35">
      <c r="A1369" s="6">
        <v>5</v>
      </c>
      <c r="B1369" s="3">
        <v>0</v>
      </c>
      <c r="C1369" s="11" t="s">
        <v>114</v>
      </c>
      <c r="D1369" s="2">
        <v>13294</v>
      </c>
      <c r="E1369" s="2">
        <v>8.5832660000000001</v>
      </c>
      <c r="F1369" s="2">
        <v>7.7879999999999998E-3</v>
      </c>
      <c r="G1369" s="2">
        <v>8.5679964200000001</v>
      </c>
      <c r="H1369" s="2">
        <v>8.5985362399999996</v>
      </c>
      <c r="J1369" t="str">
        <f t="shared" si="48"/>
        <v>8.58 (8.57 to 8.60)</v>
      </c>
    </row>
    <row r="1370" spans="1:15" ht="17.25" thickBot="1" x14ac:dyDescent="0.35">
      <c r="A1370" s="6"/>
      <c r="B1370" s="3">
        <v>1</v>
      </c>
      <c r="C1370" s="11" t="s">
        <v>114</v>
      </c>
      <c r="D1370" s="2">
        <v>261</v>
      </c>
      <c r="E1370" s="2">
        <v>8.7624860000000009</v>
      </c>
      <c r="F1370" s="2">
        <v>4.5423999999999999E-2</v>
      </c>
      <c r="G1370" s="2">
        <v>8.6734175199999992</v>
      </c>
      <c r="H1370" s="2">
        <v>8.8515549</v>
      </c>
      <c r="J1370" t="str">
        <f t="shared" si="48"/>
        <v>8.76 (8.67 to 8.85)</v>
      </c>
    </row>
    <row r="1371" spans="1:15" ht="17.25" thickBot="1" x14ac:dyDescent="0.35">
      <c r="A1371" s="6">
        <v>6</v>
      </c>
      <c r="B1371" s="3">
        <v>0</v>
      </c>
      <c r="C1371" s="11" t="s">
        <v>114</v>
      </c>
      <c r="D1371" s="2">
        <v>4339</v>
      </c>
      <c r="E1371" s="2">
        <v>8.5906149999999997</v>
      </c>
      <c r="F1371" s="2">
        <v>1.2089000000000001E-2</v>
      </c>
      <c r="G1371" s="2">
        <v>8.5669115100000006</v>
      </c>
      <c r="H1371" s="2">
        <v>8.6143182199999995</v>
      </c>
      <c r="J1371" t="str">
        <f t="shared" si="48"/>
        <v>8.59 (8.57 to 8.61)</v>
      </c>
    </row>
    <row r="1372" spans="1:15" x14ac:dyDescent="0.3">
      <c r="A1372" s="6"/>
      <c r="B1372" s="3">
        <v>1</v>
      </c>
      <c r="C1372" s="14" t="s">
        <v>114</v>
      </c>
      <c r="D1372" s="2">
        <v>77</v>
      </c>
      <c r="E1372" s="2">
        <v>8.8095289999999995</v>
      </c>
      <c r="F1372" s="2">
        <v>5.7966999999999998E-2</v>
      </c>
      <c r="G1372" s="2">
        <v>8.6958661100000008</v>
      </c>
      <c r="H1372" s="2">
        <v>8.9231923799999997</v>
      </c>
      <c r="J1372" t="str">
        <f t="shared" si="48"/>
        <v>8.81 (8.70 to 8.92)</v>
      </c>
    </row>
    <row r="1376" spans="1:15" x14ac:dyDescent="0.3">
      <c r="A1376" s="1" t="s">
        <v>237</v>
      </c>
    </row>
    <row r="1378" spans="1:6" x14ac:dyDescent="0.3">
      <c r="A1378" s="1" t="s">
        <v>1</v>
      </c>
    </row>
    <row r="1379" spans="1:6" ht="17.25" thickBot="1" x14ac:dyDescent="0.35"/>
    <row r="1380" spans="1:6" ht="16.5" customHeight="1" x14ac:dyDescent="0.3">
      <c r="A1380" s="16" t="s">
        <v>135</v>
      </c>
      <c r="B1380" s="18"/>
    </row>
    <row r="1381" spans="1:6" ht="26.25" thickBot="1" x14ac:dyDescent="0.35">
      <c r="A1381" s="12" t="s">
        <v>136</v>
      </c>
      <c r="B1381" s="2">
        <v>183</v>
      </c>
    </row>
    <row r="1382" spans="1:6" ht="26.25" thickBot="1" x14ac:dyDescent="0.35">
      <c r="A1382" s="12" t="s">
        <v>137</v>
      </c>
      <c r="B1382" s="2">
        <v>2949</v>
      </c>
    </row>
    <row r="1383" spans="1:6" ht="39" thickBot="1" x14ac:dyDescent="0.35">
      <c r="A1383" s="12" t="s">
        <v>138</v>
      </c>
      <c r="B1383" s="2">
        <v>23222</v>
      </c>
    </row>
    <row r="1384" spans="1:6" ht="25.5" x14ac:dyDescent="0.3">
      <c r="A1384" s="13" t="s">
        <v>139</v>
      </c>
      <c r="B1384" s="2">
        <v>9036880.5199999996</v>
      </c>
    </row>
    <row r="1385" spans="1:6" ht="17.25" thickBot="1" x14ac:dyDescent="0.35"/>
    <row r="1386" spans="1:6" ht="33" customHeight="1" x14ac:dyDescent="0.3">
      <c r="A1386" s="16" t="s">
        <v>140</v>
      </c>
      <c r="B1386" s="18"/>
    </row>
    <row r="1387" spans="1:6" ht="33.75" thickBot="1" x14ac:dyDescent="0.35">
      <c r="A1387" s="12" t="s">
        <v>141</v>
      </c>
      <c r="B1387" s="2" t="s">
        <v>142</v>
      </c>
    </row>
    <row r="1388" spans="1:6" ht="25.5" x14ac:dyDescent="0.3">
      <c r="A1388" s="13" t="s">
        <v>143</v>
      </c>
      <c r="B1388" s="2" t="s">
        <v>144</v>
      </c>
    </row>
    <row r="1389" spans="1:6" ht="17.25" thickBot="1" x14ac:dyDescent="0.35"/>
    <row r="1390" spans="1:6" ht="16.5" customHeight="1" x14ac:dyDescent="0.3">
      <c r="A1390" s="16" t="s">
        <v>238</v>
      </c>
      <c r="B1390" s="18"/>
      <c r="C1390" s="18"/>
      <c r="D1390" s="18"/>
      <c r="E1390" s="18"/>
      <c r="F1390" s="18"/>
    </row>
    <row r="1391" spans="1:6" x14ac:dyDescent="0.3">
      <c r="A1391" s="17" t="s">
        <v>239</v>
      </c>
      <c r="B1391" s="19" t="s">
        <v>94</v>
      </c>
      <c r="C1391" s="19" t="s">
        <v>240</v>
      </c>
      <c r="D1391" s="3" t="s">
        <v>241</v>
      </c>
      <c r="E1391" s="19" t="s">
        <v>243</v>
      </c>
      <c r="F1391" s="19"/>
    </row>
    <row r="1392" spans="1:6" x14ac:dyDescent="0.3">
      <c r="A1392" s="17"/>
      <c r="B1392" s="19"/>
      <c r="C1392" s="19"/>
      <c r="D1392" s="3" t="s">
        <v>242</v>
      </c>
      <c r="E1392" s="19"/>
      <c r="F1392" s="19"/>
    </row>
    <row r="1393" spans="1:8" x14ac:dyDescent="0.3">
      <c r="A1393" s="13" t="s">
        <v>114</v>
      </c>
      <c r="B1393" s="2">
        <v>23222</v>
      </c>
      <c r="C1393" s="2">
        <v>8.4582850000000001</v>
      </c>
      <c r="D1393" s="2">
        <v>5.8770000000000003E-3</v>
      </c>
      <c r="E1393" s="2">
        <v>8.4467599599999996</v>
      </c>
      <c r="F1393" s="2">
        <v>8.4698092999999997</v>
      </c>
    </row>
    <row r="1397" spans="1:8" x14ac:dyDescent="0.3">
      <c r="A1397" s="1" t="s">
        <v>237</v>
      </c>
    </row>
    <row r="1399" spans="1:8" x14ac:dyDescent="0.3">
      <c r="A1399" s="1" t="s">
        <v>1</v>
      </c>
    </row>
    <row r="1400" spans="1:8" ht="17.25" thickBot="1" x14ac:dyDescent="0.35"/>
    <row r="1401" spans="1:8" ht="16.5" customHeight="1" x14ac:dyDescent="0.3">
      <c r="A1401" s="16" t="s">
        <v>264</v>
      </c>
      <c r="B1401" s="18"/>
      <c r="C1401" s="18"/>
      <c r="D1401" s="18"/>
      <c r="E1401" s="18"/>
      <c r="F1401" s="18"/>
      <c r="G1401" s="18"/>
      <c r="H1401" s="18"/>
    </row>
    <row r="1402" spans="1:8" x14ac:dyDescent="0.3">
      <c r="A1402" s="17" t="s">
        <v>249</v>
      </c>
      <c r="B1402" s="19" t="s">
        <v>19</v>
      </c>
      <c r="C1402" s="19" t="s">
        <v>239</v>
      </c>
      <c r="D1402" s="19" t="s">
        <v>94</v>
      </c>
      <c r="E1402" s="19" t="s">
        <v>240</v>
      </c>
      <c r="F1402" s="3" t="s">
        <v>241</v>
      </c>
      <c r="G1402" s="19" t="s">
        <v>243</v>
      </c>
      <c r="H1402" s="19"/>
    </row>
    <row r="1403" spans="1:8" x14ac:dyDescent="0.3">
      <c r="A1403" s="17"/>
      <c r="B1403" s="19"/>
      <c r="C1403" s="19"/>
      <c r="D1403" s="19"/>
      <c r="E1403" s="19"/>
      <c r="F1403" s="3" t="s">
        <v>242</v>
      </c>
      <c r="G1403" s="19"/>
      <c r="H1403" s="19"/>
    </row>
    <row r="1404" spans="1:8" ht="17.25" thickBot="1" x14ac:dyDescent="0.35">
      <c r="A1404" s="6">
        <v>1</v>
      </c>
      <c r="B1404" s="3">
        <v>0</v>
      </c>
      <c r="C1404" s="11" t="s">
        <v>114</v>
      </c>
      <c r="D1404" s="2">
        <v>3711</v>
      </c>
      <c r="E1404" s="2">
        <v>8.5149530000000002</v>
      </c>
      <c r="F1404" s="2">
        <v>1.5872000000000001E-2</v>
      </c>
      <c r="G1404" s="2">
        <v>8.4838299700000004</v>
      </c>
      <c r="H1404" s="2">
        <v>8.5460760400000009</v>
      </c>
    </row>
    <row r="1405" spans="1:8" ht="17.25" thickBot="1" x14ac:dyDescent="0.35">
      <c r="A1405" s="6"/>
      <c r="B1405" s="3">
        <v>1</v>
      </c>
      <c r="C1405" s="11" t="s">
        <v>114</v>
      </c>
      <c r="D1405" s="2">
        <v>29</v>
      </c>
      <c r="E1405" s="2">
        <v>8.8062159999999992</v>
      </c>
      <c r="F1405" s="2">
        <v>0.16133600000000001</v>
      </c>
      <c r="G1405" s="2">
        <v>8.4898642500000001</v>
      </c>
      <c r="H1405" s="2">
        <v>9.1225674699999999</v>
      </c>
    </row>
    <row r="1406" spans="1:8" ht="17.25" thickBot="1" x14ac:dyDescent="0.35">
      <c r="A1406" s="6">
        <v>2</v>
      </c>
      <c r="B1406" s="3">
        <v>0</v>
      </c>
      <c r="C1406" s="11" t="s">
        <v>114</v>
      </c>
      <c r="D1406" s="2">
        <v>4616</v>
      </c>
      <c r="E1406" s="2">
        <v>8.3546759999999995</v>
      </c>
      <c r="F1406" s="2">
        <v>1.2276E-2</v>
      </c>
      <c r="G1406" s="2">
        <v>8.3306042100000006</v>
      </c>
      <c r="H1406" s="2">
        <v>8.3787470800000001</v>
      </c>
    </row>
    <row r="1407" spans="1:8" ht="17.25" thickBot="1" x14ac:dyDescent="0.35">
      <c r="A1407" s="6"/>
      <c r="B1407" s="3">
        <v>1</v>
      </c>
      <c r="C1407" s="11" t="s">
        <v>114</v>
      </c>
      <c r="D1407" s="2">
        <v>27</v>
      </c>
      <c r="E1407" s="2">
        <v>8.7303560000000004</v>
      </c>
      <c r="F1407" s="2">
        <v>0.19750699999999999</v>
      </c>
      <c r="G1407" s="2">
        <v>8.3430799100000002</v>
      </c>
      <c r="H1407" s="2">
        <v>9.11763279</v>
      </c>
    </row>
    <row r="1408" spans="1:8" ht="17.25" thickBot="1" x14ac:dyDescent="0.35">
      <c r="A1408" s="6"/>
      <c r="B1408" s="3">
        <v>8</v>
      </c>
      <c r="C1408" s="11" t="s">
        <v>114</v>
      </c>
      <c r="D1408" s="2">
        <v>89</v>
      </c>
      <c r="E1408" s="2">
        <v>8.4866200000000003</v>
      </c>
      <c r="F1408" s="2">
        <v>6.5132999999999996E-2</v>
      </c>
      <c r="G1408" s="2">
        <v>8.3589047799999996</v>
      </c>
      <c r="H1408" s="2">
        <v>8.6143345599999996</v>
      </c>
    </row>
    <row r="1409" spans="1:8" ht="17.25" thickBot="1" x14ac:dyDescent="0.35">
      <c r="A1409" s="6">
        <v>3</v>
      </c>
      <c r="B1409" s="3">
        <v>0</v>
      </c>
      <c r="C1409" s="11" t="s">
        <v>114</v>
      </c>
      <c r="D1409" s="2">
        <v>3638</v>
      </c>
      <c r="E1409" s="2">
        <v>8.4139309999999998</v>
      </c>
      <c r="F1409" s="2">
        <v>1.4316000000000001E-2</v>
      </c>
      <c r="G1409" s="2">
        <v>8.3858602399999995</v>
      </c>
      <c r="H1409" s="2">
        <v>8.4420011899999992</v>
      </c>
    </row>
    <row r="1410" spans="1:8" ht="17.25" thickBot="1" x14ac:dyDescent="0.35">
      <c r="A1410" s="6"/>
      <c r="B1410" s="3">
        <v>1</v>
      </c>
      <c r="C1410" s="11" t="s">
        <v>114</v>
      </c>
      <c r="D1410" s="2">
        <v>27</v>
      </c>
      <c r="E1410" s="2">
        <v>8.9232709999999997</v>
      </c>
      <c r="F1410" s="2">
        <v>0.123873</v>
      </c>
      <c r="G1410" s="2">
        <v>8.6803781299999994</v>
      </c>
      <c r="H1410" s="2">
        <v>9.1661636099999999</v>
      </c>
    </row>
    <row r="1411" spans="1:8" ht="17.25" thickBot="1" x14ac:dyDescent="0.35">
      <c r="A1411" s="6"/>
      <c r="B1411" s="3">
        <v>8</v>
      </c>
      <c r="C1411" s="11" t="s">
        <v>114</v>
      </c>
      <c r="D1411" s="2">
        <v>592</v>
      </c>
      <c r="E1411" s="2">
        <v>8.6881989999999991</v>
      </c>
      <c r="F1411" s="2">
        <v>3.9551999999999997E-2</v>
      </c>
      <c r="G1411" s="2">
        <v>8.6106446999999999</v>
      </c>
      <c r="H1411" s="2">
        <v>8.7657538299999995</v>
      </c>
    </row>
    <row r="1412" spans="1:8" ht="17.25" thickBot="1" x14ac:dyDescent="0.35">
      <c r="A1412" s="6">
        <v>4</v>
      </c>
      <c r="B1412" s="3">
        <v>0</v>
      </c>
      <c r="C1412" s="11" t="s">
        <v>114</v>
      </c>
      <c r="D1412" s="2">
        <v>3905</v>
      </c>
      <c r="E1412" s="2">
        <v>8.4432989999999997</v>
      </c>
      <c r="F1412" s="2">
        <v>1.4239999999999999E-2</v>
      </c>
      <c r="G1412" s="2">
        <v>8.4153766099999991</v>
      </c>
      <c r="H1412" s="2">
        <v>8.4712210399999996</v>
      </c>
    </row>
    <row r="1413" spans="1:8" ht="17.25" thickBot="1" x14ac:dyDescent="0.35">
      <c r="A1413" s="6"/>
      <c r="B1413" s="3">
        <v>1</v>
      </c>
      <c r="C1413" s="11" t="s">
        <v>114</v>
      </c>
      <c r="D1413" s="2">
        <v>33</v>
      </c>
      <c r="E1413" s="2">
        <v>8.9700509999999998</v>
      </c>
      <c r="F1413" s="2">
        <v>0.149093</v>
      </c>
      <c r="G1413" s="2">
        <v>8.6777055900000004</v>
      </c>
      <c r="H1413" s="2">
        <v>9.2623962300000002</v>
      </c>
    </row>
    <row r="1414" spans="1:8" ht="17.25" thickBot="1" x14ac:dyDescent="0.35">
      <c r="A1414" s="6"/>
      <c r="B1414" s="3">
        <v>8</v>
      </c>
      <c r="C1414" s="11" t="s">
        <v>114</v>
      </c>
      <c r="D1414" s="2">
        <v>618</v>
      </c>
      <c r="E1414" s="2">
        <v>8.6888950000000005</v>
      </c>
      <c r="F1414" s="2">
        <v>3.3087999999999999E-2</v>
      </c>
      <c r="G1414" s="2">
        <v>8.6240153999999993</v>
      </c>
      <c r="H1414" s="2">
        <v>8.7537747400000008</v>
      </c>
    </row>
    <row r="1415" spans="1:8" ht="17.25" thickBot="1" x14ac:dyDescent="0.35">
      <c r="A1415" s="6">
        <v>5</v>
      </c>
      <c r="B1415" s="3">
        <v>0</v>
      </c>
      <c r="C1415" s="11" t="s">
        <v>114</v>
      </c>
      <c r="D1415" s="2">
        <v>3585</v>
      </c>
      <c r="E1415" s="2">
        <v>8.4186829999999997</v>
      </c>
      <c r="F1415" s="2">
        <v>1.4652E-2</v>
      </c>
      <c r="G1415" s="2">
        <v>8.3899540699999999</v>
      </c>
      <c r="H1415" s="2">
        <v>8.44741271</v>
      </c>
    </row>
    <row r="1416" spans="1:8" ht="17.25" thickBot="1" x14ac:dyDescent="0.35">
      <c r="A1416" s="6"/>
      <c r="B1416" s="3">
        <v>1</v>
      </c>
      <c r="C1416" s="11" t="s">
        <v>114</v>
      </c>
      <c r="D1416" s="2">
        <v>38</v>
      </c>
      <c r="E1416" s="2">
        <v>8.8502279999999995</v>
      </c>
      <c r="F1416" s="2">
        <v>0.11054600000000001</v>
      </c>
      <c r="G1416" s="2">
        <v>8.6334673899999999</v>
      </c>
      <c r="H1416" s="2">
        <v>9.0669892000000001</v>
      </c>
    </row>
    <row r="1417" spans="1:8" ht="17.25" thickBot="1" x14ac:dyDescent="0.35">
      <c r="A1417" s="6"/>
      <c r="B1417" s="3">
        <v>8</v>
      </c>
      <c r="C1417" s="11" t="s">
        <v>114</v>
      </c>
      <c r="D1417" s="2">
        <v>878</v>
      </c>
      <c r="E1417" s="2">
        <v>8.6887779999999992</v>
      </c>
      <c r="F1417" s="2">
        <v>2.8007000000000001E-2</v>
      </c>
      <c r="G1417" s="2">
        <v>8.6338619199999993</v>
      </c>
      <c r="H1417" s="2">
        <v>8.7436947899999993</v>
      </c>
    </row>
    <row r="1418" spans="1:8" ht="17.25" thickBot="1" x14ac:dyDescent="0.35">
      <c r="A1418" s="6">
        <v>6</v>
      </c>
      <c r="B1418" s="3">
        <v>0</v>
      </c>
      <c r="C1418" s="11" t="s">
        <v>114</v>
      </c>
      <c r="D1418" s="2">
        <v>1060</v>
      </c>
      <c r="E1418" s="2">
        <v>8.4229269999999996</v>
      </c>
      <c r="F1418" s="2">
        <v>2.1974E-2</v>
      </c>
      <c r="G1418" s="2">
        <v>8.3798394599999995</v>
      </c>
      <c r="H1418" s="2">
        <v>8.4660137399999993</v>
      </c>
    </row>
    <row r="1419" spans="1:8" ht="17.25" thickBot="1" x14ac:dyDescent="0.35">
      <c r="A1419" s="6"/>
      <c r="B1419" s="3">
        <v>1</v>
      </c>
      <c r="C1419" s="11" t="s">
        <v>114</v>
      </c>
      <c r="D1419" s="2">
        <v>11</v>
      </c>
      <c r="E1419" s="2">
        <v>8.800872</v>
      </c>
      <c r="F1419" s="2">
        <v>0.17893899999999999</v>
      </c>
      <c r="G1419" s="2">
        <v>8.4500045000000004</v>
      </c>
      <c r="H1419" s="2">
        <v>9.1517397900000006</v>
      </c>
    </row>
    <row r="1420" spans="1:8" x14ac:dyDescent="0.3">
      <c r="A1420" s="6"/>
      <c r="B1420" s="3">
        <v>8</v>
      </c>
      <c r="C1420" s="14" t="s">
        <v>114</v>
      </c>
      <c r="D1420" s="2">
        <v>365</v>
      </c>
      <c r="E1420" s="2">
        <v>8.6447420000000008</v>
      </c>
      <c r="F1420" s="2">
        <v>3.6795000000000001E-2</v>
      </c>
      <c r="G1420" s="2">
        <v>8.5725930300000002</v>
      </c>
      <c r="H1420" s="2">
        <v>8.71689048</v>
      </c>
    </row>
    <row r="1424" spans="1:8" x14ac:dyDescent="0.3">
      <c r="A1424" s="1" t="s">
        <v>237</v>
      </c>
    </row>
    <row r="1426" spans="1:6" x14ac:dyDescent="0.3">
      <c r="A1426" s="1" t="s">
        <v>21</v>
      </c>
    </row>
    <row r="1427" spans="1:6" ht="17.25" thickBot="1" x14ac:dyDescent="0.35"/>
    <row r="1428" spans="1:6" ht="16.5" customHeight="1" x14ac:dyDescent="0.3">
      <c r="A1428" s="16" t="s">
        <v>135</v>
      </c>
      <c r="B1428" s="18"/>
    </row>
    <row r="1429" spans="1:6" ht="26.25" thickBot="1" x14ac:dyDescent="0.35">
      <c r="A1429" s="12" t="s">
        <v>136</v>
      </c>
      <c r="B1429" s="2">
        <v>183</v>
      </c>
    </row>
    <row r="1430" spans="1:6" ht="26.25" thickBot="1" x14ac:dyDescent="0.35">
      <c r="A1430" s="12" t="s">
        <v>137</v>
      </c>
      <c r="B1430" s="2">
        <v>2982</v>
      </c>
    </row>
    <row r="1431" spans="1:6" ht="39" thickBot="1" x14ac:dyDescent="0.35">
      <c r="A1431" s="12" t="s">
        <v>138</v>
      </c>
      <c r="B1431" s="2">
        <v>68635</v>
      </c>
    </row>
    <row r="1432" spans="1:6" ht="25.5" x14ac:dyDescent="0.3">
      <c r="A1432" s="13" t="s">
        <v>139</v>
      </c>
      <c r="B1432" s="2">
        <v>30251935.699999999</v>
      </c>
    </row>
    <row r="1433" spans="1:6" ht="17.25" thickBot="1" x14ac:dyDescent="0.35"/>
    <row r="1434" spans="1:6" ht="33" customHeight="1" x14ac:dyDescent="0.3">
      <c r="A1434" s="16" t="s">
        <v>140</v>
      </c>
      <c r="B1434" s="18"/>
    </row>
    <row r="1435" spans="1:6" ht="33.75" thickBot="1" x14ac:dyDescent="0.35">
      <c r="A1435" s="12" t="s">
        <v>141</v>
      </c>
      <c r="B1435" s="2" t="s">
        <v>142</v>
      </c>
    </row>
    <row r="1436" spans="1:6" ht="25.5" x14ac:dyDescent="0.3">
      <c r="A1436" s="13" t="s">
        <v>143</v>
      </c>
      <c r="B1436" s="2" t="s">
        <v>144</v>
      </c>
    </row>
    <row r="1437" spans="1:6" ht="17.25" thickBot="1" x14ac:dyDescent="0.35"/>
    <row r="1438" spans="1:6" ht="16.5" customHeight="1" x14ac:dyDescent="0.3">
      <c r="A1438" s="16" t="s">
        <v>238</v>
      </c>
      <c r="B1438" s="18"/>
      <c r="C1438" s="18"/>
      <c r="D1438" s="18"/>
      <c r="E1438" s="18"/>
      <c r="F1438" s="18"/>
    </row>
    <row r="1439" spans="1:6" x14ac:dyDescent="0.3">
      <c r="A1439" s="17" t="s">
        <v>239</v>
      </c>
      <c r="B1439" s="19" t="s">
        <v>94</v>
      </c>
      <c r="C1439" s="19" t="s">
        <v>240</v>
      </c>
      <c r="D1439" s="3" t="s">
        <v>241</v>
      </c>
      <c r="E1439" s="19" t="s">
        <v>243</v>
      </c>
      <c r="F1439" s="19"/>
    </row>
    <row r="1440" spans="1:6" x14ac:dyDescent="0.3">
      <c r="A1440" s="17"/>
      <c r="B1440" s="19"/>
      <c r="C1440" s="19"/>
      <c r="D1440" s="3" t="s">
        <v>242</v>
      </c>
      <c r="E1440" s="19"/>
      <c r="F1440" s="19"/>
    </row>
    <row r="1441" spans="1:15" x14ac:dyDescent="0.3">
      <c r="A1441" s="13" t="s">
        <v>114</v>
      </c>
      <c r="B1441" s="2">
        <v>68635</v>
      </c>
      <c r="C1441" s="2">
        <v>8.5827570000000009</v>
      </c>
      <c r="D1441" s="2">
        <v>3.4259999999999998E-3</v>
      </c>
      <c r="E1441" s="2">
        <v>8.5760384700000003</v>
      </c>
      <c r="F1441" s="2">
        <v>8.58947489</v>
      </c>
    </row>
    <row r="1445" spans="1:15" x14ac:dyDescent="0.3">
      <c r="A1445" s="1" t="s">
        <v>237</v>
      </c>
    </row>
    <row r="1447" spans="1:15" x14ac:dyDescent="0.3">
      <c r="A1447" s="1" t="s">
        <v>21</v>
      </c>
    </row>
    <row r="1448" spans="1:15" ht="17.25" thickBot="1" x14ac:dyDescent="0.35"/>
    <row r="1449" spans="1:15" ht="16.5" customHeight="1" x14ac:dyDescent="0.3">
      <c r="A1449" s="16" t="s">
        <v>264</v>
      </c>
      <c r="B1449" s="18"/>
      <c r="C1449" s="18"/>
      <c r="D1449" s="18"/>
      <c r="E1449" s="18"/>
      <c r="F1449" s="18"/>
      <c r="G1449" s="18"/>
      <c r="H1449" s="18"/>
    </row>
    <row r="1450" spans="1:15" x14ac:dyDescent="0.3">
      <c r="A1450" s="17" t="s">
        <v>249</v>
      </c>
      <c r="B1450" s="19" t="s">
        <v>19</v>
      </c>
      <c r="C1450" s="19" t="s">
        <v>239</v>
      </c>
      <c r="D1450" s="19" t="s">
        <v>94</v>
      </c>
      <c r="E1450" s="19" t="s">
        <v>240</v>
      </c>
      <c r="F1450" s="3" t="s">
        <v>241</v>
      </c>
      <c r="G1450" s="19" t="s">
        <v>243</v>
      </c>
      <c r="H1450" s="19"/>
    </row>
    <row r="1451" spans="1:15" x14ac:dyDescent="0.3">
      <c r="A1451" s="17"/>
      <c r="B1451" s="19"/>
      <c r="C1451" s="19"/>
      <c r="D1451" s="19"/>
      <c r="E1451" s="19"/>
      <c r="F1451" s="3" t="s">
        <v>242</v>
      </c>
      <c r="G1451" s="19"/>
      <c r="H1451" s="19"/>
    </row>
    <row r="1452" spans="1:15" ht="17.25" thickBot="1" x14ac:dyDescent="0.35">
      <c r="A1452" s="6">
        <v>1</v>
      </c>
      <c r="B1452" s="3">
        <v>0</v>
      </c>
      <c r="C1452" s="11" t="s">
        <v>114</v>
      </c>
      <c r="D1452" s="2">
        <v>11812</v>
      </c>
      <c r="E1452" s="2">
        <v>8.5537410000000005</v>
      </c>
      <c r="F1452" s="2">
        <v>8.2539999999999992E-3</v>
      </c>
      <c r="G1452" s="2">
        <v>8.5375565400000006</v>
      </c>
      <c r="H1452" s="2">
        <v>8.5699255900000004</v>
      </c>
      <c r="J1452" t="str">
        <f t="shared" ref="J1452:J1463" si="49">TEXT(E1452,"0.00")&amp;" ("&amp;TEXT(G1452,"0.00")&amp;" to "&amp;TEXT(H1452,"0.00")&amp;")"</f>
        <v>8.55 (8.54 to 8.57)</v>
      </c>
      <c r="K1452" t="str">
        <f>J1454</f>
        <v>8.56 (8.54 to 8.57)</v>
      </c>
      <c r="L1452" t="str">
        <f>J1456</f>
        <v>8.59 (8.57 to 8.60)</v>
      </c>
      <c r="M1452" t="str">
        <f>J1458</f>
        <v>8.61 (8.59 to 8.62)</v>
      </c>
      <c r="N1452" t="str">
        <f>J1460</f>
        <v>8.58 (8.57 to 8.60)</v>
      </c>
      <c r="O1452" t="str">
        <f>J1462</f>
        <v>8.59 (8.57 to 8.62)</v>
      </c>
    </row>
    <row r="1453" spans="1:15" ht="17.25" thickBot="1" x14ac:dyDescent="0.35">
      <c r="A1453" s="6"/>
      <c r="B1453" s="3">
        <v>1</v>
      </c>
      <c r="C1453" s="11" t="s">
        <v>114</v>
      </c>
      <c r="D1453" s="2">
        <v>103</v>
      </c>
      <c r="E1453" s="2">
        <v>8.7618600000000004</v>
      </c>
      <c r="F1453" s="2">
        <v>7.0849999999999996E-2</v>
      </c>
      <c r="G1453" s="2">
        <v>8.6229362100000007</v>
      </c>
      <c r="H1453" s="2">
        <v>8.9007828500000006</v>
      </c>
      <c r="J1453" t="str">
        <f t="shared" si="49"/>
        <v>8.76 (8.62 to 8.90)</v>
      </c>
      <c r="K1453" t="str">
        <f>J1455</f>
        <v>8.85 (8.72 to 8.98)</v>
      </c>
      <c r="L1453" t="str">
        <f>J1457</f>
        <v>8.74 (8.59 to 8.89)</v>
      </c>
      <c r="M1453" t="str">
        <f>J1459</f>
        <v>8.79 (8.66 to 8.93)</v>
      </c>
      <c r="N1453" t="str">
        <f>J1461</f>
        <v>8.82 (8.71 to 8.93)</v>
      </c>
      <c r="O1453" t="str">
        <f>J1463</f>
        <v>8.74 (8.56 to 8.92)</v>
      </c>
    </row>
    <row r="1454" spans="1:15" ht="17.25" thickBot="1" x14ac:dyDescent="0.35">
      <c r="A1454" s="6">
        <v>2</v>
      </c>
      <c r="B1454" s="3">
        <v>0</v>
      </c>
      <c r="C1454" s="11" t="s">
        <v>114</v>
      </c>
      <c r="D1454" s="2">
        <v>13014</v>
      </c>
      <c r="E1454" s="2">
        <v>8.5578640000000004</v>
      </c>
      <c r="F1454" s="2">
        <v>8.0610000000000005E-3</v>
      </c>
      <c r="G1454" s="2">
        <v>8.5420587799999996</v>
      </c>
      <c r="H1454" s="2">
        <v>8.5736691300000007</v>
      </c>
      <c r="J1454" t="str">
        <f t="shared" si="49"/>
        <v>8.56 (8.54 to 8.57)</v>
      </c>
    </row>
    <row r="1455" spans="1:15" ht="17.25" thickBot="1" x14ac:dyDescent="0.35">
      <c r="A1455" s="6"/>
      <c r="B1455" s="3">
        <v>1</v>
      </c>
      <c r="C1455" s="11" t="s">
        <v>114</v>
      </c>
      <c r="D1455" s="2">
        <v>102</v>
      </c>
      <c r="E1455" s="2">
        <v>8.8514890000000008</v>
      </c>
      <c r="F1455" s="2">
        <v>6.6825999999999997E-2</v>
      </c>
      <c r="G1455" s="2">
        <v>8.7204549999999994</v>
      </c>
      <c r="H1455" s="2">
        <v>8.9825230600000001</v>
      </c>
      <c r="J1455" t="str">
        <f t="shared" si="49"/>
        <v>8.85 (8.72 to 8.98)</v>
      </c>
    </row>
    <row r="1456" spans="1:15" ht="17.25" thickBot="1" x14ac:dyDescent="0.35">
      <c r="A1456" s="6">
        <v>3</v>
      </c>
      <c r="B1456" s="3">
        <v>0</v>
      </c>
      <c r="C1456" s="11" t="s">
        <v>114</v>
      </c>
      <c r="D1456" s="2">
        <v>11385</v>
      </c>
      <c r="E1456" s="2">
        <v>8.5882149999999999</v>
      </c>
      <c r="F1456" s="2">
        <v>8.2360000000000003E-3</v>
      </c>
      <c r="G1456" s="2">
        <v>8.5720659000000001</v>
      </c>
      <c r="H1456" s="2">
        <v>8.6043643200000002</v>
      </c>
      <c r="J1456" t="str">
        <f t="shared" si="49"/>
        <v>8.59 (8.57 to 8.60)</v>
      </c>
    </row>
    <row r="1457" spans="1:10" ht="17.25" thickBot="1" x14ac:dyDescent="0.35">
      <c r="A1457" s="6"/>
      <c r="B1457" s="3">
        <v>1</v>
      </c>
      <c r="C1457" s="11" t="s">
        <v>114</v>
      </c>
      <c r="D1457" s="2">
        <v>90</v>
      </c>
      <c r="E1457" s="2">
        <v>8.7368690000000004</v>
      </c>
      <c r="F1457" s="2">
        <v>7.5595999999999997E-2</v>
      </c>
      <c r="G1457" s="2">
        <v>8.58864056</v>
      </c>
      <c r="H1457" s="2">
        <v>8.8850981200000003</v>
      </c>
      <c r="J1457" t="str">
        <f t="shared" si="49"/>
        <v>8.74 (8.59 to 8.89)</v>
      </c>
    </row>
    <row r="1458" spans="1:10" ht="17.25" thickBot="1" x14ac:dyDescent="0.35">
      <c r="A1458" s="6">
        <v>4</v>
      </c>
      <c r="B1458" s="3">
        <v>0</v>
      </c>
      <c r="C1458" s="11" t="s">
        <v>114</v>
      </c>
      <c r="D1458" s="2">
        <v>14006</v>
      </c>
      <c r="E1458" s="2">
        <v>8.6082870000000007</v>
      </c>
      <c r="F1458" s="2">
        <v>7.6810000000000003E-3</v>
      </c>
      <c r="G1458" s="2">
        <v>8.5932265399999999</v>
      </c>
      <c r="H1458" s="2">
        <v>8.6233474099999992</v>
      </c>
      <c r="J1458" t="str">
        <f t="shared" si="49"/>
        <v>8.61 (8.59 to 8.62)</v>
      </c>
    </row>
    <row r="1459" spans="1:10" ht="17.25" thickBot="1" x14ac:dyDescent="0.35">
      <c r="A1459" s="6"/>
      <c r="B1459" s="3">
        <v>1</v>
      </c>
      <c r="C1459" s="11" t="s">
        <v>114</v>
      </c>
      <c r="D1459" s="2">
        <v>152</v>
      </c>
      <c r="E1459" s="2">
        <v>8.7920700000000007</v>
      </c>
      <c r="F1459" s="2">
        <v>6.8628999999999996E-2</v>
      </c>
      <c r="G1459" s="2">
        <v>8.6575014800000005</v>
      </c>
      <c r="H1459" s="2">
        <v>8.9266393700000002</v>
      </c>
      <c r="J1459" t="str">
        <f t="shared" si="49"/>
        <v>8.79 (8.66 to 8.93)</v>
      </c>
    </row>
    <row r="1460" spans="1:10" ht="17.25" thickBot="1" x14ac:dyDescent="0.35">
      <c r="A1460" s="6">
        <v>5</v>
      </c>
      <c r="B1460" s="3">
        <v>0</v>
      </c>
      <c r="C1460" s="11" t="s">
        <v>114</v>
      </c>
      <c r="D1460" s="2">
        <v>13405</v>
      </c>
      <c r="E1460" s="2">
        <v>8.5840370000000004</v>
      </c>
      <c r="F1460" s="2">
        <v>7.7860000000000004E-3</v>
      </c>
      <c r="G1460" s="2">
        <v>8.5687707500000005</v>
      </c>
      <c r="H1460" s="2">
        <v>8.5993037500000007</v>
      </c>
      <c r="J1460" t="str">
        <f t="shared" si="49"/>
        <v>8.58 (8.57 to 8.60)</v>
      </c>
    </row>
    <row r="1461" spans="1:10" ht="17.25" thickBot="1" x14ac:dyDescent="0.35">
      <c r="A1461" s="6"/>
      <c r="B1461" s="3">
        <v>1</v>
      </c>
      <c r="C1461" s="11" t="s">
        <v>114</v>
      </c>
      <c r="D1461" s="2">
        <v>150</v>
      </c>
      <c r="E1461" s="2">
        <v>8.8183609999999994</v>
      </c>
      <c r="F1461" s="2">
        <v>5.4412000000000002E-2</v>
      </c>
      <c r="G1461" s="2">
        <v>8.7116691999999993</v>
      </c>
      <c r="H1461" s="2">
        <v>8.92505214</v>
      </c>
      <c r="J1461" t="str">
        <f t="shared" si="49"/>
        <v>8.82 (8.71 to 8.93)</v>
      </c>
    </row>
    <row r="1462" spans="1:10" ht="17.25" thickBot="1" x14ac:dyDescent="0.35">
      <c r="A1462" s="6">
        <v>6</v>
      </c>
      <c r="B1462" s="3">
        <v>0</v>
      </c>
      <c r="C1462" s="11" t="s">
        <v>114</v>
      </c>
      <c r="D1462" s="2">
        <v>4376</v>
      </c>
      <c r="E1462" s="2">
        <v>8.5924899999999997</v>
      </c>
      <c r="F1462" s="2">
        <v>1.2066E-2</v>
      </c>
      <c r="G1462" s="2">
        <v>8.5688310399999992</v>
      </c>
      <c r="H1462" s="2">
        <v>8.6161492099999997</v>
      </c>
      <c r="J1462" t="str">
        <f t="shared" si="49"/>
        <v>8.59 (8.57 to 8.62)</v>
      </c>
    </row>
    <row r="1463" spans="1:10" x14ac:dyDescent="0.3">
      <c r="A1463" s="6"/>
      <c r="B1463" s="3">
        <v>1</v>
      </c>
      <c r="C1463" s="14" t="s">
        <v>114</v>
      </c>
      <c r="D1463" s="2">
        <v>40</v>
      </c>
      <c r="E1463" s="2">
        <v>8.7385269999999995</v>
      </c>
      <c r="F1463" s="2">
        <v>9.2562000000000005E-2</v>
      </c>
      <c r="G1463" s="2">
        <v>8.5570296999999993</v>
      </c>
      <c r="H1463" s="2">
        <v>8.9200238299999999</v>
      </c>
      <c r="J1463" t="str">
        <f t="shared" si="49"/>
        <v>8.74 (8.56 to 8.92)</v>
      </c>
    </row>
    <row r="1467" spans="1:10" x14ac:dyDescent="0.3">
      <c r="A1467" s="1" t="s">
        <v>237</v>
      </c>
    </row>
    <row r="1469" spans="1:10" x14ac:dyDescent="0.3">
      <c r="A1469" s="1" t="s">
        <v>1</v>
      </c>
    </row>
    <row r="1470" spans="1:10" ht="17.25" thickBot="1" x14ac:dyDescent="0.35"/>
    <row r="1471" spans="1:10" ht="16.5" customHeight="1" x14ac:dyDescent="0.3">
      <c r="A1471" s="16" t="s">
        <v>135</v>
      </c>
      <c r="B1471" s="18"/>
    </row>
    <row r="1472" spans="1:10" ht="26.25" thickBot="1" x14ac:dyDescent="0.35">
      <c r="A1472" s="12" t="s">
        <v>136</v>
      </c>
      <c r="B1472" s="2">
        <v>183</v>
      </c>
    </row>
    <row r="1473" spans="1:6" ht="26.25" thickBot="1" x14ac:dyDescent="0.35">
      <c r="A1473" s="12" t="s">
        <v>137</v>
      </c>
      <c r="B1473" s="2">
        <v>2949</v>
      </c>
    </row>
    <row r="1474" spans="1:6" ht="39" thickBot="1" x14ac:dyDescent="0.35">
      <c r="A1474" s="12" t="s">
        <v>138</v>
      </c>
      <c r="B1474" s="2">
        <v>23222</v>
      </c>
    </row>
    <row r="1475" spans="1:6" ht="25.5" x14ac:dyDescent="0.3">
      <c r="A1475" s="13" t="s">
        <v>139</v>
      </c>
      <c r="B1475" s="2">
        <v>9036880.5199999996</v>
      </c>
    </row>
    <row r="1476" spans="1:6" ht="17.25" thickBot="1" x14ac:dyDescent="0.35"/>
    <row r="1477" spans="1:6" ht="33" customHeight="1" x14ac:dyDescent="0.3">
      <c r="A1477" s="16" t="s">
        <v>140</v>
      </c>
      <c r="B1477" s="18"/>
    </row>
    <row r="1478" spans="1:6" ht="33.75" thickBot="1" x14ac:dyDescent="0.35">
      <c r="A1478" s="12" t="s">
        <v>141</v>
      </c>
      <c r="B1478" s="2" t="s">
        <v>142</v>
      </c>
    </row>
    <row r="1479" spans="1:6" ht="25.5" x14ac:dyDescent="0.3">
      <c r="A1479" s="13" t="s">
        <v>143</v>
      </c>
      <c r="B1479" s="2" t="s">
        <v>144</v>
      </c>
    </row>
    <row r="1480" spans="1:6" ht="17.25" thickBot="1" x14ac:dyDescent="0.35"/>
    <row r="1481" spans="1:6" ht="16.5" customHeight="1" x14ac:dyDescent="0.3">
      <c r="A1481" s="16" t="s">
        <v>238</v>
      </c>
      <c r="B1481" s="18"/>
      <c r="C1481" s="18"/>
      <c r="D1481" s="18"/>
      <c r="E1481" s="18"/>
      <c r="F1481" s="18"/>
    </row>
    <row r="1482" spans="1:6" x14ac:dyDescent="0.3">
      <c r="A1482" s="17" t="s">
        <v>239</v>
      </c>
      <c r="B1482" s="19" t="s">
        <v>94</v>
      </c>
      <c r="C1482" s="19" t="s">
        <v>240</v>
      </c>
      <c r="D1482" s="3" t="s">
        <v>241</v>
      </c>
      <c r="E1482" s="19" t="s">
        <v>243</v>
      </c>
      <c r="F1482" s="19"/>
    </row>
    <row r="1483" spans="1:6" x14ac:dyDescent="0.3">
      <c r="A1483" s="17"/>
      <c r="B1483" s="19"/>
      <c r="C1483" s="19"/>
      <c r="D1483" s="3" t="s">
        <v>242</v>
      </c>
      <c r="E1483" s="19"/>
      <c r="F1483" s="19"/>
    </row>
    <row r="1484" spans="1:6" x14ac:dyDescent="0.3">
      <c r="A1484" s="13" t="s">
        <v>114</v>
      </c>
      <c r="B1484" s="2">
        <v>23222</v>
      </c>
      <c r="C1484" s="2">
        <v>8.4582850000000001</v>
      </c>
      <c r="D1484" s="2">
        <v>5.8770000000000003E-3</v>
      </c>
      <c r="E1484" s="2">
        <v>8.4467599599999996</v>
      </c>
      <c r="F1484" s="2">
        <v>8.4698092999999997</v>
      </c>
    </row>
    <row r="1488" spans="1:6" x14ac:dyDescent="0.3">
      <c r="A1488" s="1" t="s">
        <v>237</v>
      </c>
    </row>
    <row r="1490" spans="1:8" x14ac:dyDescent="0.3">
      <c r="A1490" s="1" t="s">
        <v>1</v>
      </c>
    </row>
    <row r="1491" spans="1:8" ht="17.25" thickBot="1" x14ac:dyDescent="0.35"/>
    <row r="1492" spans="1:8" ht="16.5" customHeight="1" x14ac:dyDescent="0.3">
      <c r="A1492" s="16" t="s">
        <v>265</v>
      </c>
      <c r="B1492" s="18"/>
      <c r="C1492" s="18"/>
      <c r="D1492" s="18"/>
      <c r="E1492" s="18"/>
      <c r="F1492" s="18"/>
      <c r="G1492" s="18"/>
      <c r="H1492" s="18"/>
    </row>
    <row r="1493" spans="1:8" x14ac:dyDescent="0.3">
      <c r="A1493" s="17" t="s">
        <v>249</v>
      </c>
      <c r="B1493" s="19" t="s">
        <v>20</v>
      </c>
      <c r="C1493" s="19" t="s">
        <v>239</v>
      </c>
      <c r="D1493" s="19" t="s">
        <v>94</v>
      </c>
      <c r="E1493" s="19" t="s">
        <v>240</v>
      </c>
      <c r="F1493" s="3" t="s">
        <v>241</v>
      </c>
      <c r="G1493" s="19" t="s">
        <v>243</v>
      </c>
      <c r="H1493" s="19"/>
    </row>
    <row r="1494" spans="1:8" x14ac:dyDescent="0.3">
      <c r="A1494" s="17"/>
      <c r="B1494" s="19"/>
      <c r="C1494" s="19"/>
      <c r="D1494" s="19"/>
      <c r="E1494" s="19"/>
      <c r="F1494" s="3" t="s">
        <v>242</v>
      </c>
      <c r="G1494" s="19"/>
      <c r="H1494" s="19"/>
    </row>
    <row r="1495" spans="1:8" ht="17.25" thickBot="1" x14ac:dyDescent="0.35">
      <c r="A1495" s="6">
        <v>1</v>
      </c>
      <c r="B1495" s="3">
        <v>0</v>
      </c>
      <c r="C1495" s="11" t="s">
        <v>114</v>
      </c>
      <c r="D1495" s="2">
        <v>3687</v>
      </c>
      <c r="E1495" s="2">
        <v>8.5142550000000004</v>
      </c>
      <c r="F1495" s="2">
        <v>1.5917000000000001E-2</v>
      </c>
      <c r="G1495" s="2">
        <v>8.4830447499999995</v>
      </c>
      <c r="H1495" s="2">
        <v>8.5454647099999992</v>
      </c>
    </row>
    <row r="1496" spans="1:8" ht="17.25" thickBot="1" x14ac:dyDescent="0.35">
      <c r="A1496" s="6"/>
      <c r="B1496" s="3">
        <v>1</v>
      </c>
      <c r="C1496" s="11" t="s">
        <v>114</v>
      </c>
      <c r="D1496" s="2">
        <v>53</v>
      </c>
      <c r="E1496" s="2">
        <v>8.7551089999999991</v>
      </c>
      <c r="F1496" s="2">
        <v>6.5636E-2</v>
      </c>
      <c r="G1496" s="2">
        <v>8.6264080799999991</v>
      </c>
      <c r="H1496" s="2">
        <v>8.8838091699999993</v>
      </c>
    </row>
    <row r="1497" spans="1:8" ht="17.25" thickBot="1" x14ac:dyDescent="0.35">
      <c r="A1497" s="6">
        <v>2</v>
      </c>
      <c r="B1497" s="3">
        <v>0</v>
      </c>
      <c r="C1497" s="11" t="s">
        <v>114</v>
      </c>
      <c r="D1497" s="2">
        <v>4561</v>
      </c>
      <c r="E1497" s="2">
        <v>8.3504799999999992</v>
      </c>
      <c r="F1497" s="2">
        <v>1.2349000000000001E-2</v>
      </c>
      <c r="G1497" s="2">
        <v>8.3262660099999994</v>
      </c>
      <c r="H1497" s="2">
        <v>8.3746947299999999</v>
      </c>
    </row>
    <row r="1498" spans="1:8" ht="17.25" thickBot="1" x14ac:dyDescent="0.35">
      <c r="A1498" s="6"/>
      <c r="B1498" s="3">
        <v>1</v>
      </c>
      <c r="C1498" s="11" t="s">
        <v>114</v>
      </c>
      <c r="D1498" s="2">
        <v>82</v>
      </c>
      <c r="E1498" s="2">
        <v>8.8483129999999992</v>
      </c>
      <c r="F1498" s="2">
        <v>7.213E-2</v>
      </c>
      <c r="G1498" s="2">
        <v>8.7068787600000004</v>
      </c>
      <c r="H1498" s="2">
        <v>8.9897465400000005</v>
      </c>
    </row>
    <row r="1499" spans="1:8" ht="17.25" thickBot="1" x14ac:dyDescent="0.35">
      <c r="A1499" s="6"/>
      <c r="B1499" s="3">
        <v>8</v>
      </c>
      <c r="C1499" s="11" t="s">
        <v>114</v>
      </c>
      <c r="D1499" s="2">
        <v>89</v>
      </c>
      <c r="E1499" s="2">
        <v>8.4866200000000003</v>
      </c>
      <c r="F1499" s="2">
        <v>6.5132999999999996E-2</v>
      </c>
      <c r="G1499" s="2">
        <v>8.3589047799999996</v>
      </c>
      <c r="H1499" s="2">
        <v>8.6143345599999996</v>
      </c>
    </row>
    <row r="1500" spans="1:8" ht="17.25" thickBot="1" x14ac:dyDescent="0.35">
      <c r="A1500" s="6">
        <v>3</v>
      </c>
      <c r="B1500" s="3">
        <v>0</v>
      </c>
      <c r="C1500" s="11" t="s">
        <v>114</v>
      </c>
      <c r="D1500" s="2">
        <v>3595</v>
      </c>
      <c r="E1500" s="2">
        <v>8.4120729999999995</v>
      </c>
      <c r="F1500" s="2">
        <v>1.4419E-2</v>
      </c>
      <c r="G1500" s="2">
        <v>8.3838001799999997</v>
      </c>
      <c r="H1500" s="2">
        <v>8.4403464199999991</v>
      </c>
    </row>
    <row r="1501" spans="1:8" ht="17.25" thickBot="1" x14ac:dyDescent="0.35">
      <c r="A1501" s="6"/>
      <c r="B1501" s="3">
        <v>1</v>
      </c>
      <c r="C1501" s="11" t="s">
        <v>114</v>
      </c>
      <c r="D1501" s="2">
        <v>70</v>
      </c>
      <c r="E1501" s="2">
        <v>8.7608730000000001</v>
      </c>
      <c r="F1501" s="2">
        <v>5.7893E-2</v>
      </c>
      <c r="G1501" s="2">
        <v>8.6473543399999997</v>
      </c>
      <c r="H1501" s="2">
        <v>8.8743913200000009</v>
      </c>
    </row>
    <row r="1502" spans="1:8" ht="17.25" thickBot="1" x14ac:dyDescent="0.35">
      <c r="A1502" s="6"/>
      <c r="B1502" s="3">
        <v>8</v>
      </c>
      <c r="C1502" s="11" t="s">
        <v>114</v>
      </c>
      <c r="D1502" s="2">
        <v>592</v>
      </c>
      <c r="E1502" s="2">
        <v>8.6881989999999991</v>
      </c>
      <c r="F1502" s="2">
        <v>3.9551999999999997E-2</v>
      </c>
      <c r="G1502" s="2">
        <v>8.6106446999999999</v>
      </c>
      <c r="H1502" s="2">
        <v>8.7657538299999995</v>
      </c>
    </row>
    <row r="1503" spans="1:8" ht="17.25" thickBot="1" x14ac:dyDescent="0.35">
      <c r="A1503" s="6">
        <v>4</v>
      </c>
      <c r="B1503" s="3">
        <v>0</v>
      </c>
      <c r="C1503" s="11" t="s">
        <v>114</v>
      </c>
      <c r="D1503" s="2">
        <v>3875</v>
      </c>
      <c r="E1503" s="2">
        <v>8.4425650000000001</v>
      </c>
      <c r="F1503" s="2">
        <v>1.4337000000000001E-2</v>
      </c>
      <c r="G1503" s="2">
        <v>8.4144527900000003</v>
      </c>
      <c r="H1503" s="2">
        <v>8.47067747</v>
      </c>
    </row>
    <row r="1504" spans="1:8" ht="17.25" thickBot="1" x14ac:dyDescent="0.35">
      <c r="A1504" s="6"/>
      <c r="B1504" s="3">
        <v>1</v>
      </c>
      <c r="C1504" s="11" t="s">
        <v>114</v>
      </c>
      <c r="D1504" s="2">
        <v>62</v>
      </c>
      <c r="E1504" s="2">
        <v>8.7856930000000002</v>
      </c>
      <c r="F1504" s="2">
        <v>8.7517999999999999E-2</v>
      </c>
      <c r="G1504" s="2">
        <v>8.6140848200000004</v>
      </c>
      <c r="H1504" s="2">
        <v>8.9573004199999993</v>
      </c>
    </row>
    <row r="1505" spans="1:8" ht="17.25" thickBot="1" x14ac:dyDescent="0.35">
      <c r="A1505" s="6"/>
      <c r="B1505" s="3">
        <v>8</v>
      </c>
      <c r="C1505" s="11" t="s">
        <v>114</v>
      </c>
      <c r="D1505" s="2">
        <v>619</v>
      </c>
      <c r="E1505" s="2">
        <v>8.6887559999999997</v>
      </c>
      <c r="F1505" s="2">
        <v>3.3066999999999999E-2</v>
      </c>
      <c r="G1505" s="2">
        <v>8.6239171999999993</v>
      </c>
      <c r="H1505" s="2">
        <v>8.75359394</v>
      </c>
    </row>
    <row r="1506" spans="1:8" ht="17.25" thickBot="1" x14ac:dyDescent="0.35">
      <c r="A1506" s="6">
        <v>5</v>
      </c>
      <c r="B1506" s="3">
        <v>0</v>
      </c>
      <c r="C1506" s="11" t="s">
        <v>114</v>
      </c>
      <c r="D1506" s="2">
        <v>3544</v>
      </c>
      <c r="E1506" s="2">
        <v>8.4160769999999996</v>
      </c>
      <c r="F1506" s="2">
        <v>1.4753E-2</v>
      </c>
      <c r="G1506" s="2">
        <v>8.3871483700000002</v>
      </c>
      <c r="H1506" s="2">
        <v>8.4450062599999995</v>
      </c>
    </row>
    <row r="1507" spans="1:8" ht="17.25" thickBot="1" x14ac:dyDescent="0.35">
      <c r="A1507" s="6"/>
      <c r="B1507" s="3">
        <v>1</v>
      </c>
      <c r="C1507" s="11" t="s">
        <v>114</v>
      </c>
      <c r="D1507" s="2">
        <v>79</v>
      </c>
      <c r="E1507" s="2">
        <v>8.7822870000000002</v>
      </c>
      <c r="F1507" s="2">
        <v>7.7625E-2</v>
      </c>
      <c r="G1507" s="2">
        <v>8.6300785399999995</v>
      </c>
      <c r="H1507" s="2">
        <v>8.9344959999999993</v>
      </c>
    </row>
    <row r="1508" spans="1:8" ht="17.25" thickBot="1" x14ac:dyDescent="0.35">
      <c r="A1508" s="6"/>
      <c r="B1508" s="3">
        <v>8</v>
      </c>
      <c r="C1508" s="11" t="s">
        <v>114</v>
      </c>
      <c r="D1508" s="2">
        <v>878</v>
      </c>
      <c r="E1508" s="2">
        <v>8.6887779999999992</v>
      </c>
      <c r="F1508" s="2">
        <v>2.8007000000000001E-2</v>
      </c>
      <c r="G1508" s="2">
        <v>8.6338619199999993</v>
      </c>
      <c r="H1508" s="2">
        <v>8.7436947899999993</v>
      </c>
    </row>
    <row r="1509" spans="1:8" ht="17.25" thickBot="1" x14ac:dyDescent="0.35">
      <c r="A1509" s="6">
        <v>6</v>
      </c>
      <c r="B1509" s="3">
        <v>0</v>
      </c>
      <c r="C1509" s="11" t="s">
        <v>114</v>
      </c>
      <c r="D1509" s="2">
        <v>1043</v>
      </c>
      <c r="E1509" s="2">
        <v>8.4220769999999998</v>
      </c>
      <c r="F1509" s="2">
        <v>2.2256999999999999E-2</v>
      </c>
      <c r="G1509" s="2">
        <v>8.3784344700000002</v>
      </c>
      <c r="H1509" s="2">
        <v>8.46571973</v>
      </c>
    </row>
    <row r="1510" spans="1:8" ht="17.25" thickBot="1" x14ac:dyDescent="0.35">
      <c r="A1510" s="6"/>
      <c r="B1510" s="3">
        <v>1</v>
      </c>
      <c r="C1510" s="11" t="s">
        <v>114</v>
      </c>
      <c r="D1510" s="2">
        <v>26</v>
      </c>
      <c r="E1510" s="2">
        <v>8.6747099999999993</v>
      </c>
      <c r="F1510" s="2">
        <v>9.0947E-2</v>
      </c>
      <c r="G1510" s="2">
        <v>8.4963800000000003</v>
      </c>
      <c r="H1510" s="2">
        <v>8.85304015</v>
      </c>
    </row>
    <row r="1511" spans="1:8" x14ac:dyDescent="0.3">
      <c r="A1511" s="6"/>
      <c r="B1511" s="3">
        <v>8</v>
      </c>
      <c r="C1511" s="14" t="s">
        <v>114</v>
      </c>
      <c r="D1511" s="2">
        <v>367</v>
      </c>
      <c r="E1511" s="2">
        <v>8.6444390000000002</v>
      </c>
      <c r="F1511" s="2">
        <v>3.6648E-2</v>
      </c>
      <c r="G1511" s="2">
        <v>8.5725792799999994</v>
      </c>
      <c r="H1511" s="2">
        <v>8.7162987199999993</v>
      </c>
    </row>
    <row r="1515" spans="1:8" x14ac:dyDescent="0.3">
      <c r="A1515" s="1" t="s">
        <v>237</v>
      </c>
    </row>
    <row r="1517" spans="1:8" x14ac:dyDescent="0.3">
      <c r="A1517" s="1" t="s">
        <v>21</v>
      </c>
    </row>
    <row r="1518" spans="1:8" ht="17.25" thickBot="1" x14ac:dyDescent="0.35"/>
    <row r="1519" spans="1:8" ht="16.5" customHeight="1" x14ac:dyDescent="0.3">
      <c r="A1519" s="16" t="s">
        <v>135</v>
      </c>
      <c r="B1519" s="18"/>
    </row>
    <row r="1520" spans="1:8" ht="26.25" thickBot="1" x14ac:dyDescent="0.35">
      <c r="A1520" s="12" t="s">
        <v>136</v>
      </c>
      <c r="B1520" s="2">
        <v>183</v>
      </c>
    </row>
    <row r="1521" spans="1:6" ht="26.25" thickBot="1" x14ac:dyDescent="0.35">
      <c r="A1521" s="12" t="s">
        <v>137</v>
      </c>
      <c r="B1521" s="2">
        <v>2982</v>
      </c>
    </row>
    <row r="1522" spans="1:6" ht="39" thickBot="1" x14ac:dyDescent="0.35">
      <c r="A1522" s="12" t="s">
        <v>138</v>
      </c>
      <c r="B1522" s="2">
        <v>68635</v>
      </c>
    </row>
    <row r="1523" spans="1:6" ht="25.5" x14ac:dyDescent="0.3">
      <c r="A1523" s="13" t="s">
        <v>139</v>
      </c>
      <c r="B1523" s="2">
        <v>30251935.699999999</v>
      </c>
    </row>
    <row r="1524" spans="1:6" ht="17.25" thickBot="1" x14ac:dyDescent="0.35"/>
    <row r="1525" spans="1:6" ht="33" customHeight="1" x14ac:dyDescent="0.3">
      <c r="A1525" s="16" t="s">
        <v>140</v>
      </c>
      <c r="B1525" s="18"/>
    </row>
    <row r="1526" spans="1:6" ht="33.75" thickBot="1" x14ac:dyDescent="0.35">
      <c r="A1526" s="12" t="s">
        <v>141</v>
      </c>
      <c r="B1526" s="2" t="s">
        <v>142</v>
      </c>
    </row>
    <row r="1527" spans="1:6" ht="25.5" x14ac:dyDescent="0.3">
      <c r="A1527" s="13" t="s">
        <v>143</v>
      </c>
      <c r="B1527" s="2" t="s">
        <v>144</v>
      </c>
    </row>
    <row r="1528" spans="1:6" ht="17.25" thickBot="1" x14ac:dyDescent="0.35"/>
    <row r="1529" spans="1:6" ht="16.5" customHeight="1" x14ac:dyDescent="0.3">
      <c r="A1529" s="16" t="s">
        <v>238</v>
      </c>
      <c r="B1529" s="18"/>
      <c r="C1529" s="18"/>
      <c r="D1529" s="18"/>
      <c r="E1529" s="18"/>
      <c r="F1529" s="18"/>
    </row>
    <row r="1530" spans="1:6" x14ac:dyDescent="0.3">
      <c r="A1530" s="17" t="s">
        <v>239</v>
      </c>
      <c r="B1530" s="19" t="s">
        <v>94</v>
      </c>
      <c r="C1530" s="19" t="s">
        <v>240</v>
      </c>
      <c r="D1530" s="3" t="s">
        <v>241</v>
      </c>
      <c r="E1530" s="19" t="s">
        <v>243</v>
      </c>
      <c r="F1530" s="19"/>
    </row>
    <row r="1531" spans="1:6" x14ac:dyDescent="0.3">
      <c r="A1531" s="17"/>
      <c r="B1531" s="19"/>
      <c r="C1531" s="19"/>
      <c r="D1531" s="3" t="s">
        <v>242</v>
      </c>
      <c r="E1531" s="19"/>
      <c r="F1531" s="19"/>
    </row>
    <row r="1532" spans="1:6" x14ac:dyDescent="0.3">
      <c r="A1532" s="13" t="s">
        <v>114</v>
      </c>
      <c r="B1532" s="2">
        <v>68635</v>
      </c>
      <c r="C1532" s="2">
        <v>8.5827570000000009</v>
      </c>
      <c r="D1532" s="2">
        <v>3.4259999999999998E-3</v>
      </c>
      <c r="E1532" s="2">
        <v>8.5760384700000003</v>
      </c>
      <c r="F1532" s="2">
        <v>8.58947489</v>
      </c>
    </row>
    <row r="1536" spans="1:6" x14ac:dyDescent="0.3">
      <c r="A1536" s="1" t="s">
        <v>237</v>
      </c>
    </row>
    <row r="1538" spans="1:15" x14ac:dyDescent="0.3">
      <c r="A1538" s="1" t="s">
        <v>21</v>
      </c>
    </row>
    <row r="1539" spans="1:15" ht="17.25" thickBot="1" x14ac:dyDescent="0.35"/>
    <row r="1540" spans="1:15" ht="16.5" customHeight="1" x14ac:dyDescent="0.3">
      <c r="A1540" s="16" t="s">
        <v>265</v>
      </c>
      <c r="B1540" s="18"/>
      <c r="C1540" s="18"/>
      <c r="D1540" s="18"/>
      <c r="E1540" s="18"/>
      <c r="F1540" s="18"/>
      <c r="G1540" s="18"/>
      <c r="H1540" s="18"/>
    </row>
    <row r="1541" spans="1:15" x14ac:dyDescent="0.3">
      <c r="A1541" s="17" t="s">
        <v>249</v>
      </c>
      <c r="B1541" s="19" t="s">
        <v>20</v>
      </c>
      <c r="C1541" s="19" t="s">
        <v>239</v>
      </c>
      <c r="D1541" s="19" t="s">
        <v>94</v>
      </c>
      <c r="E1541" s="19" t="s">
        <v>240</v>
      </c>
      <c r="F1541" s="3" t="s">
        <v>241</v>
      </c>
      <c r="G1541" s="19" t="s">
        <v>243</v>
      </c>
      <c r="H1541" s="19"/>
    </row>
    <row r="1542" spans="1:15" x14ac:dyDescent="0.3">
      <c r="A1542" s="17"/>
      <c r="B1542" s="19"/>
      <c r="C1542" s="19"/>
      <c r="D1542" s="19"/>
      <c r="E1542" s="19"/>
      <c r="F1542" s="3" t="s">
        <v>242</v>
      </c>
      <c r="G1542" s="19"/>
      <c r="H1542" s="19"/>
    </row>
    <row r="1543" spans="1:15" ht="17.25" thickBot="1" x14ac:dyDescent="0.35">
      <c r="A1543" s="6">
        <v>1</v>
      </c>
      <c r="B1543" s="3">
        <v>0</v>
      </c>
      <c r="C1543" s="11" t="s">
        <v>114</v>
      </c>
      <c r="D1543" s="2">
        <v>11784</v>
      </c>
      <c r="E1543" s="2">
        <v>8.552899</v>
      </c>
      <c r="F1543" s="2">
        <v>8.3250000000000008E-3</v>
      </c>
      <c r="G1543" s="2">
        <v>8.5365745900000007</v>
      </c>
      <c r="H1543" s="2">
        <v>8.5692236299999998</v>
      </c>
      <c r="J1543" t="str">
        <f t="shared" ref="J1543:J1554" si="50">TEXT(E1543,"0.00")&amp;" ("&amp;TEXT(G1543,"0.00")&amp;" to "&amp;TEXT(H1543,"0.00")&amp;")"</f>
        <v>8.55 (8.54 to 8.57)</v>
      </c>
      <c r="K1543" t="str">
        <f>J1545</f>
        <v>8.56 (8.54 to 8.57)</v>
      </c>
      <c r="L1543" t="str">
        <f>J1547</f>
        <v>8.59 (8.57 to 8.60)</v>
      </c>
      <c r="M1543" t="str">
        <f>J1549</f>
        <v>8.61 (8.59 to 8.62)</v>
      </c>
      <c r="N1543" t="str">
        <f>J1551</f>
        <v>8.58 (8.57 to 8.60)</v>
      </c>
      <c r="O1543" t="str">
        <f>J1553</f>
        <v>8.59 (8.57 to 8.62)</v>
      </c>
    </row>
    <row r="1544" spans="1:15" ht="17.25" thickBot="1" x14ac:dyDescent="0.35">
      <c r="A1544" s="6"/>
      <c r="B1544" s="3">
        <v>1</v>
      </c>
      <c r="C1544" s="11" t="s">
        <v>114</v>
      </c>
      <c r="D1544" s="2">
        <v>131</v>
      </c>
      <c r="E1544" s="2">
        <v>8.8223029999999998</v>
      </c>
      <c r="F1544" s="2">
        <v>9.1633000000000006E-2</v>
      </c>
      <c r="G1544" s="2">
        <v>8.6426284599999992</v>
      </c>
      <c r="H1544" s="2">
        <v>9.0019774399999992</v>
      </c>
      <c r="J1544" t="str">
        <f t="shared" si="50"/>
        <v>8.82 (8.64 to 9.00)</v>
      </c>
      <c r="K1544" t="str">
        <f>J1546</f>
        <v>8.74 (8.62 to 8.85)</v>
      </c>
      <c r="L1544" t="str">
        <f>J1548</f>
        <v>8.75 (8.65 to 8.85)</v>
      </c>
      <c r="M1544" t="str">
        <f>J1550</f>
        <v>8.79 (8.68 to 8.90)</v>
      </c>
      <c r="N1544" t="str">
        <f>J1552</f>
        <v>8.80 (8.72 to 8.88)</v>
      </c>
      <c r="O1544" t="str">
        <f>J1554</f>
        <v>8.65 (8.53 to 8.78)</v>
      </c>
    </row>
    <row r="1545" spans="1:15" ht="17.25" thickBot="1" x14ac:dyDescent="0.35">
      <c r="A1545" s="6">
        <v>2</v>
      </c>
      <c r="B1545" s="3">
        <v>0</v>
      </c>
      <c r="C1545" s="11" t="s">
        <v>114</v>
      </c>
      <c r="D1545" s="2">
        <v>12865</v>
      </c>
      <c r="E1545" s="2">
        <v>8.5573530000000009</v>
      </c>
      <c r="F1545" s="2">
        <v>8.1659999999999996E-3</v>
      </c>
      <c r="G1545" s="2">
        <v>8.54134116</v>
      </c>
      <c r="H1545" s="2">
        <v>8.5733656800000002</v>
      </c>
      <c r="J1545" t="str">
        <f t="shared" si="50"/>
        <v>8.56 (8.54 to 8.57)</v>
      </c>
    </row>
    <row r="1546" spans="1:15" ht="17.25" thickBot="1" x14ac:dyDescent="0.35">
      <c r="A1546" s="6"/>
      <c r="B1546" s="3">
        <v>1</v>
      </c>
      <c r="C1546" s="11" t="s">
        <v>114</v>
      </c>
      <c r="D1546" s="2">
        <v>251</v>
      </c>
      <c r="E1546" s="2">
        <v>8.7378850000000003</v>
      </c>
      <c r="F1546" s="2">
        <v>5.8273999999999999E-2</v>
      </c>
      <c r="G1546" s="2">
        <v>8.62362012</v>
      </c>
      <c r="H1546" s="2">
        <v>8.8521496200000005</v>
      </c>
      <c r="J1546" t="str">
        <f t="shared" si="50"/>
        <v>8.74 (8.62 to 8.85)</v>
      </c>
    </row>
    <row r="1547" spans="1:15" ht="17.25" thickBot="1" x14ac:dyDescent="0.35">
      <c r="A1547" s="6">
        <v>3</v>
      </c>
      <c r="B1547" s="3">
        <v>0</v>
      </c>
      <c r="C1547" s="11" t="s">
        <v>114</v>
      </c>
      <c r="D1547" s="2">
        <v>11284</v>
      </c>
      <c r="E1547" s="2">
        <v>8.5870870000000004</v>
      </c>
      <c r="F1547" s="2">
        <v>8.2269999999999999E-3</v>
      </c>
      <c r="G1547" s="2">
        <v>8.57095597</v>
      </c>
      <c r="H1547" s="2">
        <v>8.6032185499999994</v>
      </c>
      <c r="J1547" t="str">
        <f t="shared" si="50"/>
        <v>8.59 (8.57 to 8.60)</v>
      </c>
    </row>
    <row r="1548" spans="1:15" ht="17.25" thickBot="1" x14ac:dyDescent="0.35">
      <c r="A1548" s="6"/>
      <c r="B1548" s="3">
        <v>1</v>
      </c>
      <c r="C1548" s="11" t="s">
        <v>114</v>
      </c>
      <c r="D1548" s="2">
        <v>191</v>
      </c>
      <c r="E1548" s="2">
        <v>8.7505970000000008</v>
      </c>
      <c r="F1548" s="2">
        <v>5.1123000000000002E-2</v>
      </c>
      <c r="G1548" s="2">
        <v>8.6503531200000001</v>
      </c>
      <c r="H1548" s="2">
        <v>8.8508401400000007</v>
      </c>
      <c r="J1548" t="str">
        <f t="shared" si="50"/>
        <v>8.75 (8.65 to 8.85)</v>
      </c>
    </row>
    <row r="1549" spans="1:15" ht="17.25" thickBot="1" x14ac:dyDescent="0.35">
      <c r="A1549" s="6">
        <v>4</v>
      </c>
      <c r="B1549" s="3">
        <v>0</v>
      </c>
      <c r="C1549" s="11" t="s">
        <v>114</v>
      </c>
      <c r="D1549" s="2">
        <v>13897</v>
      </c>
      <c r="E1549" s="2">
        <v>8.6073409999999999</v>
      </c>
      <c r="F1549" s="2">
        <v>7.6639999999999998E-3</v>
      </c>
      <c r="G1549" s="2">
        <v>8.5923127200000007</v>
      </c>
      <c r="H1549" s="2">
        <v>8.6223691000000002</v>
      </c>
      <c r="J1549" t="str">
        <f t="shared" si="50"/>
        <v>8.61 (8.59 to 8.62)</v>
      </c>
    </row>
    <row r="1550" spans="1:15" ht="17.25" thickBot="1" x14ac:dyDescent="0.35">
      <c r="A1550" s="6"/>
      <c r="B1550" s="3">
        <v>1</v>
      </c>
      <c r="C1550" s="11" t="s">
        <v>114</v>
      </c>
      <c r="D1550" s="2">
        <v>261</v>
      </c>
      <c r="E1550" s="2">
        <v>8.7891130000000004</v>
      </c>
      <c r="F1550" s="2">
        <v>5.4761999999999998E-2</v>
      </c>
      <c r="G1550" s="2">
        <v>8.6817350399999995</v>
      </c>
      <c r="H1550" s="2">
        <v>8.8964919299999998</v>
      </c>
      <c r="J1550" t="str">
        <f t="shared" si="50"/>
        <v>8.79 (8.68 to 8.90)</v>
      </c>
    </row>
    <row r="1551" spans="1:15" ht="17.25" thickBot="1" x14ac:dyDescent="0.35">
      <c r="A1551" s="6">
        <v>5</v>
      </c>
      <c r="B1551" s="3">
        <v>0</v>
      </c>
      <c r="C1551" s="11" t="s">
        <v>114</v>
      </c>
      <c r="D1551" s="2">
        <v>13287</v>
      </c>
      <c r="E1551" s="2">
        <v>8.5828360000000004</v>
      </c>
      <c r="F1551" s="2">
        <v>7.8230000000000001E-3</v>
      </c>
      <c r="G1551" s="2">
        <v>8.5674971299999996</v>
      </c>
      <c r="H1551" s="2">
        <v>8.5981750300000002</v>
      </c>
      <c r="J1551" t="str">
        <f t="shared" si="50"/>
        <v>8.58 (8.57 to 8.60)</v>
      </c>
    </row>
    <row r="1552" spans="1:15" ht="17.25" thickBot="1" x14ac:dyDescent="0.35">
      <c r="A1552" s="6"/>
      <c r="B1552" s="3">
        <v>1</v>
      </c>
      <c r="C1552" s="11" t="s">
        <v>114</v>
      </c>
      <c r="D1552" s="2">
        <v>268</v>
      </c>
      <c r="E1552" s="2">
        <v>8.7977629999999998</v>
      </c>
      <c r="F1552" s="2">
        <v>4.1812000000000002E-2</v>
      </c>
      <c r="G1552" s="2">
        <v>8.7157785099999998</v>
      </c>
      <c r="H1552" s="2">
        <v>8.8797480899999996</v>
      </c>
      <c r="J1552" t="str">
        <f t="shared" si="50"/>
        <v>8.80 (8.72 to 8.88)</v>
      </c>
    </row>
    <row r="1553" spans="1:10" ht="17.25" thickBot="1" x14ac:dyDescent="0.35">
      <c r="A1553" s="6">
        <v>6</v>
      </c>
      <c r="B1553" s="3">
        <v>0</v>
      </c>
      <c r="C1553" s="11" t="s">
        <v>114</v>
      </c>
      <c r="D1553" s="2">
        <v>4317</v>
      </c>
      <c r="E1553" s="2">
        <v>8.5924630000000004</v>
      </c>
      <c r="F1553" s="2">
        <v>1.2067E-2</v>
      </c>
      <c r="G1553" s="2">
        <v>8.5688023100000006</v>
      </c>
      <c r="H1553" s="2">
        <v>8.6161229800000001</v>
      </c>
      <c r="J1553" t="str">
        <f t="shared" si="50"/>
        <v>8.59 (8.57 to 8.62)</v>
      </c>
    </row>
    <row r="1554" spans="1:10" x14ac:dyDescent="0.3">
      <c r="A1554" s="6"/>
      <c r="B1554" s="3">
        <v>1</v>
      </c>
      <c r="C1554" s="14" t="s">
        <v>114</v>
      </c>
      <c r="D1554" s="2">
        <v>99</v>
      </c>
      <c r="E1554" s="2">
        <v>8.6541099999999993</v>
      </c>
      <c r="F1554" s="2">
        <v>6.2377000000000002E-2</v>
      </c>
      <c r="G1554" s="2">
        <v>8.5318012099999994</v>
      </c>
      <c r="H1554" s="2">
        <v>8.7764193400000003</v>
      </c>
      <c r="J1554" t="str">
        <f t="shared" si="50"/>
        <v>8.65 (8.53 to 8.78)</v>
      </c>
    </row>
  </sheetData>
  <mergeCells count="448">
    <mergeCell ref="A26:H26"/>
    <mergeCell ref="A27:A28"/>
    <mergeCell ref="B27:B28"/>
    <mergeCell ref="C27:C28"/>
    <mergeCell ref="D27:D28"/>
    <mergeCell ref="E27:E28"/>
    <mergeCell ref="G27:H28"/>
    <mergeCell ref="A5:B5"/>
    <mergeCell ref="A11:B11"/>
    <mergeCell ref="A15:F15"/>
    <mergeCell ref="A16:A17"/>
    <mergeCell ref="B16:B17"/>
    <mergeCell ref="C16:C17"/>
    <mergeCell ref="E16:F17"/>
    <mergeCell ref="A81:H81"/>
    <mergeCell ref="A82:A83"/>
    <mergeCell ref="B82:B83"/>
    <mergeCell ref="C82:C83"/>
    <mergeCell ref="D82:D83"/>
    <mergeCell ref="E82:E83"/>
    <mergeCell ref="G82:H83"/>
    <mergeCell ref="A60:B60"/>
    <mergeCell ref="A66:B66"/>
    <mergeCell ref="A70:F70"/>
    <mergeCell ref="A71:A72"/>
    <mergeCell ref="B71:B72"/>
    <mergeCell ref="C71:C72"/>
    <mergeCell ref="E71:F72"/>
    <mergeCell ref="A130:H130"/>
    <mergeCell ref="A131:A132"/>
    <mergeCell ref="B131:B132"/>
    <mergeCell ref="C131:C132"/>
    <mergeCell ref="D131:D132"/>
    <mergeCell ref="E131:E132"/>
    <mergeCell ref="G131:H132"/>
    <mergeCell ref="A109:B109"/>
    <mergeCell ref="A115:B115"/>
    <mergeCell ref="A119:F119"/>
    <mergeCell ref="A120:A121"/>
    <mergeCell ref="B120:B121"/>
    <mergeCell ref="C120:C121"/>
    <mergeCell ref="E120:F121"/>
    <mergeCell ref="A173:H173"/>
    <mergeCell ref="A174:A175"/>
    <mergeCell ref="B174:B175"/>
    <mergeCell ref="C174:C175"/>
    <mergeCell ref="D174:D175"/>
    <mergeCell ref="E174:E175"/>
    <mergeCell ref="G174:H175"/>
    <mergeCell ref="A152:B152"/>
    <mergeCell ref="A158:B158"/>
    <mergeCell ref="A162:F162"/>
    <mergeCell ref="A163:A164"/>
    <mergeCell ref="B163:B164"/>
    <mergeCell ref="C163:C164"/>
    <mergeCell ref="E163:F164"/>
    <mergeCell ref="A216:H216"/>
    <mergeCell ref="A217:A218"/>
    <mergeCell ref="B217:B218"/>
    <mergeCell ref="C217:C218"/>
    <mergeCell ref="D217:D218"/>
    <mergeCell ref="E217:E218"/>
    <mergeCell ref="G217:H218"/>
    <mergeCell ref="A195:B195"/>
    <mergeCell ref="A201:B201"/>
    <mergeCell ref="A205:F205"/>
    <mergeCell ref="A206:A207"/>
    <mergeCell ref="B206:B207"/>
    <mergeCell ref="C206:C207"/>
    <mergeCell ref="E206:F207"/>
    <mergeCell ref="A259:H259"/>
    <mergeCell ref="A260:A261"/>
    <mergeCell ref="B260:B261"/>
    <mergeCell ref="C260:C261"/>
    <mergeCell ref="D260:D261"/>
    <mergeCell ref="E260:E261"/>
    <mergeCell ref="G260:H261"/>
    <mergeCell ref="A238:B238"/>
    <mergeCell ref="A244:B244"/>
    <mergeCell ref="A248:F248"/>
    <mergeCell ref="A249:A250"/>
    <mergeCell ref="B249:B250"/>
    <mergeCell ref="C249:C250"/>
    <mergeCell ref="E249:F250"/>
    <mergeCell ref="A302:H302"/>
    <mergeCell ref="A303:A304"/>
    <mergeCell ref="B303:B304"/>
    <mergeCell ref="C303:C304"/>
    <mergeCell ref="D303:D304"/>
    <mergeCell ref="E303:E304"/>
    <mergeCell ref="G303:H304"/>
    <mergeCell ref="A281:B281"/>
    <mergeCell ref="A287:B287"/>
    <mergeCell ref="A291:F291"/>
    <mergeCell ref="A292:A293"/>
    <mergeCell ref="B292:B293"/>
    <mergeCell ref="C292:C293"/>
    <mergeCell ref="E292:F293"/>
    <mergeCell ref="A363:H363"/>
    <mergeCell ref="A364:A365"/>
    <mergeCell ref="B364:B365"/>
    <mergeCell ref="C364:C365"/>
    <mergeCell ref="D364:D365"/>
    <mergeCell ref="E364:E365"/>
    <mergeCell ref="G364:H365"/>
    <mergeCell ref="A342:B342"/>
    <mergeCell ref="A348:B348"/>
    <mergeCell ref="A352:F352"/>
    <mergeCell ref="A353:A354"/>
    <mergeCell ref="B353:B354"/>
    <mergeCell ref="C353:C354"/>
    <mergeCell ref="E353:F354"/>
    <mergeCell ref="A418:H418"/>
    <mergeCell ref="A419:A420"/>
    <mergeCell ref="B419:B420"/>
    <mergeCell ref="C419:C420"/>
    <mergeCell ref="D419:D420"/>
    <mergeCell ref="E419:E420"/>
    <mergeCell ref="G419:H420"/>
    <mergeCell ref="A397:B397"/>
    <mergeCell ref="A403:B403"/>
    <mergeCell ref="A407:F407"/>
    <mergeCell ref="A408:A409"/>
    <mergeCell ref="B408:B409"/>
    <mergeCell ref="C408:C409"/>
    <mergeCell ref="E408:F409"/>
    <mergeCell ref="A473:H473"/>
    <mergeCell ref="A474:A475"/>
    <mergeCell ref="B474:B475"/>
    <mergeCell ref="C474:C475"/>
    <mergeCell ref="D474:D475"/>
    <mergeCell ref="E474:E475"/>
    <mergeCell ref="G474:H475"/>
    <mergeCell ref="A452:B452"/>
    <mergeCell ref="A458:B458"/>
    <mergeCell ref="A462:F462"/>
    <mergeCell ref="A463:A464"/>
    <mergeCell ref="B463:B464"/>
    <mergeCell ref="C463:C464"/>
    <mergeCell ref="E463:F464"/>
    <mergeCell ref="A528:H528"/>
    <mergeCell ref="A529:A530"/>
    <mergeCell ref="B529:B530"/>
    <mergeCell ref="C529:C530"/>
    <mergeCell ref="D529:D530"/>
    <mergeCell ref="E529:E530"/>
    <mergeCell ref="G529:H530"/>
    <mergeCell ref="A507:B507"/>
    <mergeCell ref="A513:B513"/>
    <mergeCell ref="A517:F517"/>
    <mergeCell ref="A518:A519"/>
    <mergeCell ref="B518:B519"/>
    <mergeCell ref="C518:C519"/>
    <mergeCell ref="E518:F519"/>
    <mergeCell ref="A583:H583"/>
    <mergeCell ref="A584:A585"/>
    <mergeCell ref="B584:B585"/>
    <mergeCell ref="C584:C585"/>
    <mergeCell ref="D584:D585"/>
    <mergeCell ref="E584:E585"/>
    <mergeCell ref="G584:H585"/>
    <mergeCell ref="A562:B562"/>
    <mergeCell ref="A568:B568"/>
    <mergeCell ref="A572:F572"/>
    <mergeCell ref="A573:A574"/>
    <mergeCell ref="B573:B574"/>
    <mergeCell ref="C573:C574"/>
    <mergeCell ref="E573:F574"/>
    <mergeCell ref="A638:H638"/>
    <mergeCell ref="A639:A640"/>
    <mergeCell ref="B639:B640"/>
    <mergeCell ref="C639:C640"/>
    <mergeCell ref="D639:D640"/>
    <mergeCell ref="E639:E640"/>
    <mergeCell ref="G639:H640"/>
    <mergeCell ref="A617:B617"/>
    <mergeCell ref="A623:B623"/>
    <mergeCell ref="A627:F627"/>
    <mergeCell ref="A628:A629"/>
    <mergeCell ref="B628:B629"/>
    <mergeCell ref="C628:C629"/>
    <mergeCell ref="E628:F629"/>
    <mergeCell ref="A685:H685"/>
    <mergeCell ref="A686:A687"/>
    <mergeCell ref="B686:B687"/>
    <mergeCell ref="C686:C687"/>
    <mergeCell ref="D686:D687"/>
    <mergeCell ref="E686:E687"/>
    <mergeCell ref="G686:H687"/>
    <mergeCell ref="A664:B664"/>
    <mergeCell ref="A670:B670"/>
    <mergeCell ref="A674:F674"/>
    <mergeCell ref="A675:A676"/>
    <mergeCell ref="B675:B676"/>
    <mergeCell ref="C675:C676"/>
    <mergeCell ref="E675:F676"/>
    <mergeCell ref="A728:H728"/>
    <mergeCell ref="A729:A730"/>
    <mergeCell ref="B729:B730"/>
    <mergeCell ref="C729:C730"/>
    <mergeCell ref="D729:D730"/>
    <mergeCell ref="E729:E730"/>
    <mergeCell ref="G729:H730"/>
    <mergeCell ref="A707:B707"/>
    <mergeCell ref="A713:B713"/>
    <mergeCell ref="A717:F717"/>
    <mergeCell ref="A718:A719"/>
    <mergeCell ref="B718:B719"/>
    <mergeCell ref="C718:C719"/>
    <mergeCell ref="E718:F719"/>
    <mergeCell ref="A783:H783"/>
    <mergeCell ref="A784:A785"/>
    <mergeCell ref="B784:B785"/>
    <mergeCell ref="C784:C785"/>
    <mergeCell ref="D784:D785"/>
    <mergeCell ref="E784:E785"/>
    <mergeCell ref="G784:H785"/>
    <mergeCell ref="A762:B762"/>
    <mergeCell ref="A768:B768"/>
    <mergeCell ref="A772:F772"/>
    <mergeCell ref="A773:A774"/>
    <mergeCell ref="B773:B774"/>
    <mergeCell ref="C773:C774"/>
    <mergeCell ref="E773:F774"/>
    <mergeCell ref="A832:H832"/>
    <mergeCell ref="A833:A834"/>
    <mergeCell ref="B833:B834"/>
    <mergeCell ref="C833:C834"/>
    <mergeCell ref="D833:D834"/>
    <mergeCell ref="E833:E834"/>
    <mergeCell ref="G833:H834"/>
    <mergeCell ref="A811:B811"/>
    <mergeCell ref="A817:B817"/>
    <mergeCell ref="A821:F821"/>
    <mergeCell ref="A822:A823"/>
    <mergeCell ref="B822:B823"/>
    <mergeCell ref="C822:C823"/>
    <mergeCell ref="E822:F823"/>
    <mergeCell ref="A887:H887"/>
    <mergeCell ref="A888:A889"/>
    <mergeCell ref="B888:B889"/>
    <mergeCell ref="C888:C889"/>
    <mergeCell ref="D888:D889"/>
    <mergeCell ref="E888:E889"/>
    <mergeCell ref="G888:H889"/>
    <mergeCell ref="A866:B866"/>
    <mergeCell ref="A872:B872"/>
    <mergeCell ref="A876:F876"/>
    <mergeCell ref="A877:A878"/>
    <mergeCell ref="B877:B878"/>
    <mergeCell ref="C877:C878"/>
    <mergeCell ref="E877:F878"/>
    <mergeCell ref="A936:H936"/>
    <mergeCell ref="A937:A938"/>
    <mergeCell ref="B937:B938"/>
    <mergeCell ref="C937:C938"/>
    <mergeCell ref="D937:D938"/>
    <mergeCell ref="E937:E938"/>
    <mergeCell ref="G937:H938"/>
    <mergeCell ref="A915:B915"/>
    <mergeCell ref="A921:B921"/>
    <mergeCell ref="A925:F925"/>
    <mergeCell ref="A926:A927"/>
    <mergeCell ref="B926:B927"/>
    <mergeCell ref="C926:C927"/>
    <mergeCell ref="E926:F927"/>
    <mergeCell ref="A991:H991"/>
    <mergeCell ref="A992:A993"/>
    <mergeCell ref="B992:B993"/>
    <mergeCell ref="C992:C993"/>
    <mergeCell ref="D992:D993"/>
    <mergeCell ref="E992:E993"/>
    <mergeCell ref="G992:H993"/>
    <mergeCell ref="A970:B970"/>
    <mergeCell ref="A976:B976"/>
    <mergeCell ref="A980:F980"/>
    <mergeCell ref="A981:A982"/>
    <mergeCell ref="B981:B982"/>
    <mergeCell ref="C981:C982"/>
    <mergeCell ref="E981:F982"/>
    <mergeCell ref="A1040:H1040"/>
    <mergeCell ref="A1041:A1042"/>
    <mergeCell ref="B1041:B1042"/>
    <mergeCell ref="C1041:C1042"/>
    <mergeCell ref="D1041:D1042"/>
    <mergeCell ref="E1041:E1042"/>
    <mergeCell ref="G1041:H1042"/>
    <mergeCell ref="A1019:B1019"/>
    <mergeCell ref="A1025:B1025"/>
    <mergeCell ref="A1029:F1029"/>
    <mergeCell ref="A1030:A1031"/>
    <mergeCell ref="B1030:B1031"/>
    <mergeCell ref="C1030:C1031"/>
    <mergeCell ref="E1030:F1031"/>
    <mergeCell ref="A1089:H1089"/>
    <mergeCell ref="A1090:A1091"/>
    <mergeCell ref="B1090:B1091"/>
    <mergeCell ref="C1090:C1091"/>
    <mergeCell ref="D1090:D1091"/>
    <mergeCell ref="E1090:E1091"/>
    <mergeCell ref="G1090:H1091"/>
    <mergeCell ref="A1068:B1068"/>
    <mergeCell ref="A1074:B1074"/>
    <mergeCell ref="A1078:F1078"/>
    <mergeCell ref="A1079:A1080"/>
    <mergeCell ref="B1079:B1080"/>
    <mergeCell ref="C1079:C1080"/>
    <mergeCell ref="E1079:F1080"/>
    <mergeCell ref="A1132:H1132"/>
    <mergeCell ref="A1133:A1134"/>
    <mergeCell ref="B1133:B1134"/>
    <mergeCell ref="C1133:C1134"/>
    <mergeCell ref="D1133:D1134"/>
    <mergeCell ref="E1133:E1134"/>
    <mergeCell ref="G1133:H1134"/>
    <mergeCell ref="A1111:B1111"/>
    <mergeCell ref="A1117:B1117"/>
    <mergeCell ref="A1121:F1121"/>
    <mergeCell ref="A1122:A1123"/>
    <mergeCell ref="B1122:B1123"/>
    <mergeCell ref="C1122:C1123"/>
    <mergeCell ref="E1122:F1123"/>
    <mergeCell ref="A1178:H1178"/>
    <mergeCell ref="A1179:A1180"/>
    <mergeCell ref="B1179:B1180"/>
    <mergeCell ref="C1179:C1180"/>
    <mergeCell ref="D1179:D1180"/>
    <mergeCell ref="E1179:E1180"/>
    <mergeCell ref="G1179:H1180"/>
    <mergeCell ref="A1157:B1157"/>
    <mergeCell ref="A1163:B1163"/>
    <mergeCell ref="A1167:F1167"/>
    <mergeCell ref="A1168:A1169"/>
    <mergeCell ref="B1168:B1169"/>
    <mergeCell ref="C1168:C1169"/>
    <mergeCell ref="E1168:F1169"/>
    <mergeCell ref="A1221:H1221"/>
    <mergeCell ref="A1222:A1223"/>
    <mergeCell ref="B1222:B1223"/>
    <mergeCell ref="C1222:C1223"/>
    <mergeCell ref="D1222:D1223"/>
    <mergeCell ref="E1222:E1223"/>
    <mergeCell ref="G1222:H1223"/>
    <mergeCell ref="A1200:B1200"/>
    <mergeCell ref="A1206:B1206"/>
    <mergeCell ref="A1210:F1210"/>
    <mergeCell ref="A1211:A1212"/>
    <mergeCell ref="B1211:B1212"/>
    <mergeCell ref="C1211:C1212"/>
    <mergeCell ref="E1211:F1212"/>
    <mergeCell ref="A1267:H1267"/>
    <mergeCell ref="A1268:A1269"/>
    <mergeCell ref="B1268:B1269"/>
    <mergeCell ref="C1268:C1269"/>
    <mergeCell ref="D1268:D1269"/>
    <mergeCell ref="E1268:E1269"/>
    <mergeCell ref="G1268:H1269"/>
    <mergeCell ref="A1246:B1246"/>
    <mergeCell ref="A1252:B1252"/>
    <mergeCell ref="A1256:F1256"/>
    <mergeCell ref="A1257:A1258"/>
    <mergeCell ref="B1257:B1258"/>
    <mergeCell ref="C1257:C1258"/>
    <mergeCell ref="E1257:F1258"/>
    <mergeCell ref="A1310:H1310"/>
    <mergeCell ref="A1311:A1312"/>
    <mergeCell ref="B1311:B1312"/>
    <mergeCell ref="C1311:C1312"/>
    <mergeCell ref="D1311:D1312"/>
    <mergeCell ref="E1311:E1312"/>
    <mergeCell ref="G1311:H1312"/>
    <mergeCell ref="A1289:B1289"/>
    <mergeCell ref="A1295:B1295"/>
    <mergeCell ref="A1299:F1299"/>
    <mergeCell ref="A1300:A1301"/>
    <mergeCell ref="B1300:B1301"/>
    <mergeCell ref="C1300:C1301"/>
    <mergeCell ref="E1300:F1301"/>
    <mergeCell ref="A1358:H1358"/>
    <mergeCell ref="A1359:A1360"/>
    <mergeCell ref="B1359:B1360"/>
    <mergeCell ref="C1359:C1360"/>
    <mergeCell ref="D1359:D1360"/>
    <mergeCell ref="E1359:E1360"/>
    <mergeCell ref="G1359:H1360"/>
    <mergeCell ref="A1337:B1337"/>
    <mergeCell ref="A1343:B1343"/>
    <mergeCell ref="A1347:F1347"/>
    <mergeCell ref="A1348:A1349"/>
    <mergeCell ref="B1348:B1349"/>
    <mergeCell ref="C1348:C1349"/>
    <mergeCell ref="E1348:F1349"/>
    <mergeCell ref="A1401:H1401"/>
    <mergeCell ref="A1402:A1403"/>
    <mergeCell ref="B1402:B1403"/>
    <mergeCell ref="C1402:C1403"/>
    <mergeCell ref="D1402:D1403"/>
    <mergeCell ref="E1402:E1403"/>
    <mergeCell ref="G1402:H1403"/>
    <mergeCell ref="A1380:B1380"/>
    <mergeCell ref="A1386:B1386"/>
    <mergeCell ref="A1390:F1390"/>
    <mergeCell ref="A1391:A1392"/>
    <mergeCell ref="B1391:B1392"/>
    <mergeCell ref="C1391:C1392"/>
    <mergeCell ref="E1391:F1392"/>
    <mergeCell ref="A1449:H1449"/>
    <mergeCell ref="A1450:A1451"/>
    <mergeCell ref="B1450:B1451"/>
    <mergeCell ref="C1450:C1451"/>
    <mergeCell ref="D1450:D1451"/>
    <mergeCell ref="E1450:E1451"/>
    <mergeCell ref="G1450:H1451"/>
    <mergeCell ref="A1428:B1428"/>
    <mergeCell ref="A1434:B1434"/>
    <mergeCell ref="A1438:F1438"/>
    <mergeCell ref="A1439:A1440"/>
    <mergeCell ref="B1439:B1440"/>
    <mergeCell ref="C1439:C1440"/>
    <mergeCell ref="E1439:F1440"/>
    <mergeCell ref="A1492:H1492"/>
    <mergeCell ref="A1493:A1494"/>
    <mergeCell ref="B1493:B1494"/>
    <mergeCell ref="C1493:C1494"/>
    <mergeCell ref="D1493:D1494"/>
    <mergeCell ref="E1493:E1494"/>
    <mergeCell ref="G1493:H1494"/>
    <mergeCell ref="A1471:B1471"/>
    <mergeCell ref="A1477:B1477"/>
    <mergeCell ref="A1481:F1481"/>
    <mergeCell ref="A1482:A1483"/>
    <mergeCell ref="B1482:B1483"/>
    <mergeCell ref="C1482:C1483"/>
    <mergeCell ref="E1482:F1483"/>
    <mergeCell ref="A1540:H1540"/>
    <mergeCell ref="A1541:A1542"/>
    <mergeCell ref="B1541:B1542"/>
    <mergeCell ref="C1541:C1542"/>
    <mergeCell ref="D1541:D1542"/>
    <mergeCell ref="E1541:E1542"/>
    <mergeCell ref="G1541:H1542"/>
    <mergeCell ref="A1519:B1519"/>
    <mergeCell ref="A1525:B1525"/>
    <mergeCell ref="A1529:F1529"/>
    <mergeCell ref="A1530:A1531"/>
    <mergeCell ref="B1530:B1531"/>
    <mergeCell ref="C1530:C1531"/>
    <mergeCell ref="E1530:F1531"/>
  </mergeCells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B25D-A5B3-4AAE-B497-943128973695}">
  <dimension ref="A1:O1554"/>
  <sheetViews>
    <sheetView workbookViewId="0">
      <selection activeCell="J1543" sqref="J1543:O1544"/>
    </sheetView>
  </sheetViews>
  <sheetFormatPr defaultRowHeight="16.5" x14ac:dyDescent="0.3"/>
  <cols>
    <col min="10" max="15" width="17.25" bestFit="1" customWidth="1"/>
  </cols>
  <sheetData>
    <row r="1" spans="1:6" x14ac:dyDescent="0.3">
      <c r="A1" s="1" t="s">
        <v>237</v>
      </c>
    </row>
    <row r="3" spans="1:6" x14ac:dyDescent="0.3">
      <c r="A3" s="1" t="s">
        <v>1</v>
      </c>
    </row>
    <row r="4" spans="1:6" ht="17.25" thickBot="1" x14ac:dyDescent="0.35"/>
    <row r="5" spans="1:6" ht="16.5" customHeight="1" x14ac:dyDescent="0.3">
      <c r="A5" s="16" t="s">
        <v>135</v>
      </c>
      <c r="B5" s="18"/>
    </row>
    <row r="6" spans="1:6" ht="26.25" thickBot="1" x14ac:dyDescent="0.35">
      <c r="A6" s="12" t="s">
        <v>136</v>
      </c>
      <c r="B6" s="2">
        <v>183</v>
      </c>
    </row>
    <row r="7" spans="1:6" ht="26.25" thickBot="1" x14ac:dyDescent="0.35">
      <c r="A7" s="12" t="s">
        <v>137</v>
      </c>
      <c r="B7" s="2">
        <v>2949</v>
      </c>
    </row>
    <row r="8" spans="1:6" ht="39" thickBot="1" x14ac:dyDescent="0.35">
      <c r="A8" s="12" t="s">
        <v>138</v>
      </c>
      <c r="B8" s="2">
        <v>23222</v>
      </c>
    </row>
    <row r="9" spans="1:6" ht="25.5" x14ac:dyDescent="0.3">
      <c r="A9" s="13" t="s">
        <v>139</v>
      </c>
      <c r="B9" s="2">
        <v>9036880.5199999996</v>
      </c>
    </row>
    <row r="10" spans="1:6" ht="17.25" thickBot="1" x14ac:dyDescent="0.35"/>
    <row r="11" spans="1:6" ht="33" customHeight="1" x14ac:dyDescent="0.3">
      <c r="A11" s="16" t="s">
        <v>140</v>
      </c>
      <c r="B11" s="18"/>
    </row>
    <row r="12" spans="1:6" ht="33.75" thickBot="1" x14ac:dyDescent="0.35">
      <c r="A12" s="12" t="s">
        <v>141</v>
      </c>
      <c r="B12" s="2" t="s">
        <v>142</v>
      </c>
    </row>
    <row r="13" spans="1:6" ht="25.5" x14ac:dyDescent="0.3">
      <c r="A13" s="13" t="s">
        <v>143</v>
      </c>
      <c r="B13" s="2" t="s">
        <v>144</v>
      </c>
    </row>
    <row r="14" spans="1:6" ht="17.25" thickBot="1" x14ac:dyDescent="0.35"/>
    <row r="15" spans="1:6" ht="16.5" customHeight="1" x14ac:dyDescent="0.3">
      <c r="A15" s="16" t="s">
        <v>238</v>
      </c>
      <c r="B15" s="18"/>
      <c r="C15" s="18"/>
      <c r="D15" s="18"/>
      <c r="E15" s="18"/>
      <c r="F15" s="18"/>
    </row>
    <row r="16" spans="1:6" ht="16.5" customHeight="1" x14ac:dyDescent="0.3">
      <c r="A16" s="17" t="s">
        <v>239</v>
      </c>
      <c r="B16" s="19" t="s">
        <v>94</v>
      </c>
      <c r="C16" s="19" t="s">
        <v>240</v>
      </c>
      <c r="D16" s="3" t="s">
        <v>241</v>
      </c>
      <c r="E16" s="19" t="s">
        <v>243</v>
      </c>
      <c r="F16" s="19"/>
    </row>
    <row r="17" spans="1:8" x14ac:dyDescent="0.3">
      <c r="A17" s="17"/>
      <c r="B17" s="19"/>
      <c r="C17" s="19"/>
      <c r="D17" s="3" t="s">
        <v>242</v>
      </c>
      <c r="E17" s="19"/>
      <c r="F17" s="19"/>
    </row>
    <row r="18" spans="1:8" x14ac:dyDescent="0.3">
      <c r="A18" s="13" t="s">
        <v>115</v>
      </c>
      <c r="B18" s="2">
        <v>23222</v>
      </c>
      <c r="C18" s="2">
        <v>0.64841899999999997</v>
      </c>
      <c r="D18" s="2">
        <v>7.7200000000000001E-4</v>
      </c>
      <c r="E18" s="2">
        <v>0.64690462000000004</v>
      </c>
      <c r="F18" s="2">
        <v>0.64993400999999995</v>
      </c>
    </row>
    <row r="22" spans="1:8" x14ac:dyDescent="0.3">
      <c r="A22" s="1" t="s">
        <v>237</v>
      </c>
    </row>
    <row r="24" spans="1:8" x14ac:dyDescent="0.3">
      <c r="A24" s="1" t="s">
        <v>1</v>
      </c>
    </row>
    <row r="25" spans="1:8" ht="17.25" thickBot="1" x14ac:dyDescent="0.35"/>
    <row r="26" spans="1:8" ht="16.5" customHeight="1" x14ac:dyDescent="0.3">
      <c r="A26" s="16" t="s">
        <v>250</v>
      </c>
      <c r="B26" s="18"/>
      <c r="C26" s="18"/>
      <c r="D26" s="18"/>
      <c r="E26" s="18"/>
      <c r="F26" s="18"/>
      <c r="G26" s="18"/>
      <c r="H26" s="18"/>
    </row>
    <row r="27" spans="1:8" ht="16.5" customHeight="1" x14ac:dyDescent="0.3">
      <c r="A27" s="17" t="s">
        <v>249</v>
      </c>
      <c r="B27" s="19" t="s">
        <v>2</v>
      </c>
      <c r="C27" s="19" t="s">
        <v>239</v>
      </c>
      <c r="D27" s="19" t="s">
        <v>94</v>
      </c>
      <c r="E27" s="19" t="s">
        <v>240</v>
      </c>
      <c r="F27" s="3" t="s">
        <v>241</v>
      </c>
      <c r="G27" s="19" t="s">
        <v>243</v>
      </c>
      <c r="H27" s="19"/>
    </row>
    <row r="28" spans="1:8" x14ac:dyDescent="0.3">
      <c r="A28" s="17"/>
      <c r="B28" s="19"/>
      <c r="C28" s="19"/>
      <c r="D28" s="19"/>
      <c r="E28" s="19"/>
      <c r="F28" s="3" t="s">
        <v>242</v>
      </c>
      <c r="G28" s="19"/>
      <c r="H28" s="19"/>
    </row>
    <row r="29" spans="1:8" ht="17.25" thickBot="1" x14ac:dyDescent="0.35">
      <c r="A29" s="6">
        <v>1</v>
      </c>
      <c r="B29" s="3">
        <v>1</v>
      </c>
      <c r="C29" s="11" t="s">
        <v>115</v>
      </c>
      <c r="D29" s="2">
        <v>484</v>
      </c>
      <c r="E29" s="2">
        <v>0.639266</v>
      </c>
      <c r="F29" s="2">
        <v>3.6819999999999999E-3</v>
      </c>
      <c r="G29" s="2">
        <v>0.63204636000000003</v>
      </c>
      <c r="H29" s="2">
        <v>0.64648629999999996</v>
      </c>
    </row>
    <row r="30" spans="1:8" ht="17.25" thickBot="1" x14ac:dyDescent="0.35">
      <c r="A30" s="6"/>
      <c r="B30" s="3">
        <v>2</v>
      </c>
      <c r="C30" s="11" t="s">
        <v>115</v>
      </c>
      <c r="D30" s="2">
        <v>1151</v>
      </c>
      <c r="E30" s="2">
        <v>0.67891999999999997</v>
      </c>
      <c r="F30" s="2">
        <v>2.7959999999999999E-3</v>
      </c>
      <c r="G30" s="2">
        <v>0.67343839999999999</v>
      </c>
      <c r="H30" s="2">
        <v>0.68440179000000001</v>
      </c>
    </row>
    <row r="31" spans="1:8" ht="17.25" thickBot="1" x14ac:dyDescent="0.35">
      <c r="A31" s="6"/>
      <c r="B31" s="3">
        <v>3</v>
      </c>
      <c r="C31" s="11" t="s">
        <v>115</v>
      </c>
      <c r="D31" s="2">
        <v>1105</v>
      </c>
      <c r="E31" s="2">
        <v>0.71977899999999995</v>
      </c>
      <c r="F31" s="2">
        <v>2.7810000000000001E-3</v>
      </c>
      <c r="G31" s="2">
        <v>0.71432605999999998</v>
      </c>
      <c r="H31" s="2">
        <v>0.72523104999999999</v>
      </c>
    </row>
    <row r="32" spans="1:8" ht="17.25" thickBot="1" x14ac:dyDescent="0.35">
      <c r="A32" s="6"/>
      <c r="B32" s="3">
        <v>8</v>
      </c>
      <c r="C32" s="11" t="s">
        <v>115</v>
      </c>
      <c r="D32" s="2">
        <v>1000</v>
      </c>
      <c r="E32" s="2">
        <v>0.59129100000000001</v>
      </c>
      <c r="F32" s="2">
        <v>2.5200000000000001E-3</v>
      </c>
      <c r="G32" s="2">
        <v>0.58635037000000001</v>
      </c>
      <c r="H32" s="2">
        <v>0.59623113999999999</v>
      </c>
    </row>
    <row r="33" spans="1:8" ht="17.25" thickBot="1" x14ac:dyDescent="0.35">
      <c r="A33" s="6">
        <v>2</v>
      </c>
      <c r="B33" s="3">
        <v>1</v>
      </c>
      <c r="C33" s="11" t="s">
        <v>115</v>
      </c>
      <c r="D33" s="2">
        <v>344</v>
      </c>
      <c r="E33" s="2">
        <v>0.63065499999999997</v>
      </c>
      <c r="F33" s="2">
        <v>4.6620000000000003E-3</v>
      </c>
      <c r="G33" s="2">
        <v>0.62151383999999998</v>
      </c>
      <c r="H33" s="2">
        <v>0.63979642999999997</v>
      </c>
    </row>
    <row r="34" spans="1:8" ht="17.25" thickBot="1" x14ac:dyDescent="0.35">
      <c r="A34" s="6"/>
      <c r="B34" s="3">
        <v>2</v>
      </c>
      <c r="C34" s="11" t="s">
        <v>115</v>
      </c>
      <c r="D34" s="2">
        <v>1133</v>
      </c>
      <c r="E34" s="2">
        <v>0.67227999999999999</v>
      </c>
      <c r="F34" s="2">
        <v>2.5730000000000002E-3</v>
      </c>
      <c r="G34" s="2">
        <v>0.66723580999999998</v>
      </c>
      <c r="H34" s="2">
        <v>0.6773245</v>
      </c>
    </row>
    <row r="35" spans="1:8" ht="17.25" thickBot="1" x14ac:dyDescent="0.35">
      <c r="A35" s="6"/>
      <c r="B35" s="3">
        <v>3</v>
      </c>
      <c r="C35" s="11" t="s">
        <v>115</v>
      </c>
      <c r="D35" s="2">
        <v>1142</v>
      </c>
      <c r="E35" s="2">
        <v>0.70923999999999998</v>
      </c>
      <c r="F35" s="2">
        <v>2.7100000000000002E-3</v>
      </c>
      <c r="G35" s="2">
        <v>0.70392633999999998</v>
      </c>
      <c r="H35" s="2">
        <v>0.71455341000000006</v>
      </c>
    </row>
    <row r="36" spans="1:8" ht="17.25" thickBot="1" x14ac:dyDescent="0.35">
      <c r="A36" s="6"/>
      <c r="B36" s="3">
        <v>8</v>
      </c>
      <c r="C36" s="11" t="s">
        <v>115</v>
      </c>
      <c r="D36" s="2">
        <v>2113</v>
      </c>
      <c r="E36" s="2">
        <v>0.58945800000000004</v>
      </c>
      <c r="F36" s="2">
        <v>1.506E-3</v>
      </c>
      <c r="G36" s="2">
        <v>0.58650590000000002</v>
      </c>
      <c r="H36" s="2">
        <v>0.59241034999999997</v>
      </c>
    </row>
    <row r="37" spans="1:8" ht="17.25" thickBot="1" x14ac:dyDescent="0.35">
      <c r="A37" s="6">
        <v>3</v>
      </c>
      <c r="B37" s="3">
        <v>1</v>
      </c>
      <c r="C37" s="11" t="s">
        <v>115</v>
      </c>
      <c r="D37" s="2">
        <v>385</v>
      </c>
      <c r="E37" s="2">
        <v>0.64578800000000003</v>
      </c>
      <c r="F37" s="2">
        <v>4.5589999999999997E-3</v>
      </c>
      <c r="G37" s="2">
        <v>0.63684925000000003</v>
      </c>
      <c r="H37" s="2">
        <v>0.65472662000000004</v>
      </c>
    </row>
    <row r="38" spans="1:8" ht="17.25" thickBot="1" x14ac:dyDescent="0.35">
      <c r="A38" s="6"/>
      <c r="B38" s="3">
        <v>2</v>
      </c>
      <c r="C38" s="11" t="s">
        <v>115</v>
      </c>
      <c r="D38" s="2">
        <v>1194</v>
      </c>
      <c r="E38" s="2">
        <v>0.67316299999999996</v>
      </c>
      <c r="F38" s="2">
        <v>2.6090000000000002E-3</v>
      </c>
      <c r="G38" s="2">
        <v>0.66804786999999999</v>
      </c>
      <c r="H38" s="2">
        <v>0.67827819</v>
      </c>
    </row>
    <row r="39" spans="1:8" ht="17.25" thickBot="1" x14ac:dyDescent="0.35">
      <c r="A39" s="6"/>
      <c r="B39" s="3">
        <v>3</v>
      </c>
      <c r="C39" s="11" t="s">
        <v>115</v>
      </c>
      <c r="D39" s="2">
        <v>1058</v>
      </c>
      <c r="E39" s="2">
        <v>0.71454300000000004</v>
      </c>
      <c r="F39" s="2">
        <v>2.5569999999999998E-3</v>
      </c>
      <c r="G39" s="2">
        <v>0.70953016999999996</v>
      </c>
      <c r="H39" s="2">
        <v>0.71955652999999997</v>
      </c>
    </row>
    <row r="40" spans="1:8" ht="17.25" thickBot="1" x14ac:dyDescent="0.35">
      <c r="A40" s="6"/>
      <c r="B40" s="3">
        <v>8</v>
      </c>
      <c r="C40" s="11" t="s">
        <v>115</v>
      </c>
      <c r="D40" s="2">
        <v>1620</v>
      </c>
      <c r="E40" s="2">
        <v>0.59554600000000002</v>
      </c>
      <c r="F40" s="2">
        <v>1.704E-3</v>
      </c>
      <c r="G40" s="2">
        <v>0.59220532999999997</v>
      </c>
      <c r="H40" s="2">
        <v>0.59888649000000005</v>
      </c>
    </row>
    <row r="41" spans="1:8" ht="17.25" thickBot="1" x14ac:dyDescent="0.35">
      <c r="A41" s="6">
        <v>4</v>
      </c>
      <c r="B41" s="3">
        <v>1</v>
      </c>
      <c r="C41" s="11" t="s">
        <v>115</v>
      </c>
      <c r="D41" s="2">
        <v>415</v>
      </c>
      <c r="E41" s="2">
        <v>0.64377899999999999</v>
      </c>
      <c r="F41" s="2">
        <v>4.4549999999999998E-3</v>
      </c>
      <c r="G41" s="2">
        <v>0.63504360999999998</v>
      </c>
      <c r="H41" s="2">
        <v>0.65251468999999995</v>
      </c>
    </row>
    <row r="42" spans="1:8" ht="17.25" thickBot="1" x14ac:dyDescent="0.35">
      <c r="A42" s="6"/>
      <c r="B42" s="3">
        <v>2</v>
      </c>
      <c r="C42" s="11" t="s">
        <v>115</v>
      </c>
      <c r="D42" s="2">
        <v>1156</v>
      </c>
      <c r="E42" s="2">
        <v>0.67549199999999998</v>
      </c>
      <c r="F42" s="2">
        <v>2.542E-3</v>
      </c>
      <c r="G42" s="2">
        <v>0.67050710000000002</v>
      </c>
      <c r="H42" s="2">
        <v>0.68047694000000003</v>
      </c>
    </row>
    <row r="43" spans="1:8" ht="17.25" thickBot="1" x14ac:dyDescent="0.35">
      <c r="A43" s="6"/>
      <c r="B43" s="3">
        <v>3</v>
      </c>
      <c r="C43" s="11" t="s">
        <v>115</v>
      </c>
      <c r="D43" s="2">
        <v>1264</v>
      </c>
      <c r="E43" s="2">
        <v>0.71526800000000001</v>
      </c>
      <c r="F43" s="2">
        <v>2.5769999999999999E-3</v>
      </c>
      <c r="G43" s="2">
        <v>0.71021449999999997</v>
      </c>
      <c r="H43" s="2">
        <v>0.72032149000000001</v>
      </c>
    </row>
    <row r="44" spans="1:8" ht="17.25" thickBot="1" x14ac:dyDescent="0.35">
      <c r="A44" s="6"/>
      <c r="B44" s="3">
        <v>8</v>
      </c>
      <c r="C44" s="11" t="s">
        <v>115</v>
      </c>
      <c r="D44" s="2">
        <v>1721</v>
      </c>
      <c r="E44" s="2">
        <v>0.59562700000000002</v>
      </c>
      <c r="F44" s="2">
        <v>1.575E-3</v>
      </c>
      <c r="G44" s="2">
        <v>0.59253884000000001</v>
      </c>
      <c r="H44" s="2">
        <v>0.59871571999999995</v>
      </c>
    </row>
    <row r="45" spans="1:8" ht="17.25" thickBot="1" x14ac:dyDescent="0.35">
      <c r="A45" s="6">
        <v>5</v>
      </c>
      <c r="B45" s="3">
        <v>1</v>
      </c>
      <c r="C45" s="11" t="s">
        <v>115</v>
      </c>
      <c r="D45" s="2">
        <v>353</v>
      </c>
      <c r="E45" s="2">
        <v>0.64232199999999995</v>
      </c>
      <c r="F45" s="2">
        <v>4.6340000000000001E-3</v>
      </c>
      <c r="G45" s="2">
        <v>0.63323505999999996</v>
      </c>
      <c r="H45" s="2">
        <v>0.65140907000000003</v>
      </c>
    </row>
    <row r="46" spans="1:8" ht="17.25" thickBot="1" x14ac:dyDescent="0.35">
      <c r="A46" s="6"/>
      <c r="B46" s="3">
        <v>2</v>
      </c>
      <c r="C46" s="11" t="s">
        <v>115</v>
      </c>
      <c r="D46" s="2">
        <v>984</v>
      </c>
      <c r="E46" s="2">
        <v>0.69121299999999997</v>
      </c>
      <c r="F46" s="2">
        <v>2.611E-3</v>
      </c>
      <c r="G46" s="2">
        <v>0.68609271000000005</v>
      </c>
      <c r="H46" s="2">
        <v>0.69633233000000005</v>
      </c>
    </row>
    <row r="47" spans="1:8" ht="17.25" thickBot="1" x14ac:dyDescent="0.35">
      <c r="A47" s="6"/>
      <c r="B47" s="3">
        <v>3</v>
      </c>
      <c r="C47" s="11" t="s">
        <v>115</v>
      </c>
      <c r="D47" s="2">
        <v>1617</v>
      </c>
      <c r="E47" s="2">
        <v>0.723827</v>
      </c>
      <c r="F47" s="2">
        <v>1.887E-3</v>
      </c>
      <c r="G47" s="2">
        <v>0.72012807999999995</v>
      </c>
      <c r="H47" s="2">
        <v>0.72752660999999996</v>
      </c>
    </row>
    <row r="48" spans="1:8" ht="17.25" thickBot="1" x14ac:dyDescent="0.35">
      <c r="A48" s="6"/>
      <c r="B48" s="3">
        <v>8</v>
      </c>
      <c r="C48" s="11" t="s">
        <v>115</v>
      </c>
      <c r="D48" s="2">
        <v>1547</v>
      </c>
      <c r="E48" s="2">
        <v>0.60501000000000005</v>
      </c>
      <c r="F48" s="2">
        <v>1.7329999999999999E-3</v>
      </c>
      <c r="G48" s="2">
        <v>0.60161233000000003</v>
      </c>
      <c r="H48" s="2">
        <v>0.60840669999999997</v>
      </c>
    </row>
    <row r="49" spans="1:8" ht="17.25" thickBot="1" x14ac:dyDescent="0.35">
      <c r="A49" s="6">
        <v>6</v>
      </c>
      <c r="B49" s="3">
        <v>1</v>
      </c>
      <c r="C49" s="11" t="s">
        <v>115</v>
      </c>
      <c r="D49" s="2">
        <v>129</v>
      </c>
      <c r="E49" s="2">
        <v>0.63117500000000004</v>
      </c>
      <c r="F49" s="2">
        <v>7.8650000000000005E-3</v>
      </c>
      <c r="G49" s="2">
        <v>0.61575208000000003</v>
      </c>
      <c r="H49" s="2">
        <v>0.64659770000000005</v>
      </c>
    </row>
    <row r="50" spans="1:8" ht="17.25" thickBot="1" x14ac:dyDescent="0.35">
      <c r="A50" s="6"/>
      <c r="B50" s="3">
        <v>2</v>
      </c>
      <c r="C50" s="11" t="s">
        <v>115</v>
      </c>
      <c r="D50" s="2">
        <v>346</v>
      </c>
      <c r="E50" s="2">
        <v>0.68289100000000003</v>
      </c>
      <c r="F50" s="2">
        <v>3.5179999999999999E-3</v>
      </c>
      <c r="G50" s="2">
        <v>0.67599198000000005</v>
      </c>
      <c r="H50" s="2">
        <v>0.68979025000000005</v>
      </c>
    </row>
    <row r="51" spans="1:8" ht="17.25" thickBot="1" x14ac:dyDescent="0.35">
      <c r="A51" s="6"/>
      <c r="B51" s="3">
        <v>3</v>
      </c>
      <c r="C51" s="11" t="s">
        <v>115</v>
      </c>
      <c r="D51" s="2">
        <v>523</v>
      </c>
      <c r="E51" s="2">
        <v>0.71052300000000002</v>
      </c>
      <c r="F51" s="2">
        <v>2.715E-3</v>
      </c>
      <c r="G51" s="2">
        <v>0.70519862</v>
      </c>
      <c r="H51" s="2">
        <v>0.71584729999999996</v>
      </c>
    </row>
    <row r="52" spans="1:8" x14ac:dyDescent="0.3">
      <c r="A52" s="6"/>
      <c r="B52" s="3">
        <v>8</v>
      </c>
      <c r="C52" s="14" t="s">
        <v>115</v>
      </c>
      <c r="D52" s="2">
        <v>438</v>
      </c>
      <c r="E52" s="2">
        <v>0.60165000000000002</v>
      </c>
      <c r="F52" s="2">
        <v>2.911E-3</v>
      </c>
      <c r="G52" s="2">
        <v>0.59594254999999996</v>
      </c>
      <c r="H52" s="2">
        <v>0.60735755000000002</v>
      </c>
    </row>
    <row r="56" spans="1:8" x14ac:dyDescent="0.3">
      <c r="A56" s="1" t="s">
        <v>237</v>
      </c>
    </row>
    <row r="58" spans="1:8" x14ac:dyDescent="0.3">
      <c r="A58" s="1" t="s">
        <v>21</v>
      </c>
    </row>
    <row r="59" spans="1:8" ht="17.25" thickBot="1" x14ac:dyDescent="0.35"/>
    <row r="60" spans="1:8" ht="16.5" customHeight="1" x14ac:dyDescent="0.3">
      <c r="A60" s="16" t="s">
        <v>135</v>
      </c>
      <c r="B60" s="18"/>
    </row>
    <row r="61" spans="1:8" ht="26.25" thickBot="1" x14ac:dyDescent="0.35">
      <c r="A61" s="12" t="s">
        <v>136</v>
      </c>
      <c r="B61" s="2">
        <v>183</v>
      </c>
    </row>
    <row r="62" spans="1:8" ht="26.25" thickBot="1" x14ac:dyDescent="0.35">
      <c r="A62" s="12" t="s">
        <v>137</v>
      </c>
      <c r="B62" s="2">
        <v>2982</v>
      </c>
    </row>
    <row r="63" spans="1:8" ht="39" thickBot="1" x14ac:dyDescent="0.35">
      <c r="A63" s="12" t="s">
        <v>138</v>
      </c>
      <c r="B63" s="2">
        <v>68635</v>
      </c>
    </row>
    <row r="64" spans="1:8" ht="25.5" x14ac:dyDescent="0.3">
      <c r="A64" s="13" t="s">
        <v>139</v>
      </c>
      <c r="B64" s="2">
        <v>30251935.699999999</v>
      </c>
    </row>
    <row r="65" spans="1:6" ht="17.25" thickBot="1" x14ac:dyDescent="0.35"/>
    <row r="66" spans="1:6" ht="33" customHeight="1" x14ac:dyDescent="0.3">
      <c r="A66" s="16" t="s">
        <v>140</v>
      </c>
      <c r="B66" s="18"/>
    </row>
    <row r="67" spans="1:6" ht="33.75" thickBot="1" x14ac:dyDescent="0.35">
      <c r="A67" s="12" t="s">
        <v>141</v>
      </c>
      <c r="B67" s="2" t="s">
        <v>142</v>
      </c>
    </row>
    <row r="68" spans="1:6" ht="25.5" x14ac:dyDescent="0.3">
      <c r="A68" s="13" t="s">
        <v>143</v>
      </c>
      <c r="B68" s="2" t="s">
        <v>144</v>
      </c>
    </row>
    <row r="69" spans="1:6" ht="17.25" thickBot="1" x14ac:dyDescent="0.35"/>
    <row r="70" spans="1:6" ht="16.5" customHeight="1" x14ac:dyDescent="0.3">
      <c r="A70" s="16" t="s">
        <v>238</v>
      </c>
      <c r="B70" s="18"/>
      <c r="C70" s="18"/>
      <c r="D70" s="18"/>
      <c r="E70" s="18"/>
      <c r="F70" s="18"/>
    </row>
    <row r="71" spans="1:6" ht="16.5" customHeight="1" x14ac:dyDescent="0.3">
      <c r="A71" s="17" t="s">
        <v>239</v>
      </c>
      <c r="B71" s="19" t="s">
        <v>94</v>
      </c>
      <c r="C71" s="19" t="s">
        <v>240</v>
      </c>
      <c r="D71" s="3" t="s">
        <v>241</v>
      </c>
      <c r="E71" s="19" t="s">
        <v>243</v>
      </c>
      <c r="F71" s="19"/>
    </row>
    <row r="72" spans="1:6" x14ac:dyDescent="0.3">
      <c r="A72" s="17"/>
      <c r="B72" s="19"/>
      <c r="C72" s="19"/>
      <c r="D72" s="3" t="s">
        <v>242</v>
      </c>
      <c r="E72" s="19"/>
      <c r="F72" s="19"/>
    </row>
    <row r="73" spans="1:6" x14ac:dyDescent="0.3">
      <c r="A73" s="13" t="s">
        <v>115</v>
      </c>
      <c r="B73" s="2">
        <v>68635</v>
      </c>
      <c r="C73" s="2">
        <v>0.66370899999999999</v>
      </c>
      <c r="D73" s="2">
        <v>4.4099999999999999E-4</v>
      </c>
      <c r="E73" s="2">
        <v>0.66284405999999996</v>
      </c>
      <c r="F73" s="2">
        <v>0.66457339000000004</v>
      </c>
    </row>
    <row r="77" spans="1:6" x14ac:dyDescent="0.3">
      <c r="A77" s="1" t="s">
        <v>237</v>
      </c>
    </row>
    <row r="79" spans="1:6" x14ac:dyDescent="0.3">
      <c r="A79" s="1" t="s">
        <v>21</v>
      </c>
    </row>
    <row r="80" spans="1:6" ht="17.25" thickBot="1" x14ac:dyDescent="0.35"/>
    <row r="81" spans="1:15" ht="16.5" customHeight="1" x14ac:dyDescent="0.3">
      <c r="A81" s="16" t="s">
        <v>250</v>
      </c>
      <c r="B81" s="18"/>
      <c r="C81" s="18"/>
      <c r="D81" s="18"/>
      <c r="E81" s="18"/>
      <c r="F81" s="18"/>
      <c r="G81" s="18"/>
      <c r="H81" s="18"/>
    </row>
    <row r="82" spans="1:15" ht="16.5" customHeight="1" x14ac:dyDescent="0.3">
      <c r="A82" s="17" t="s">
        <v>249</v>
      </c>
      <c r="B82" s="19" t="s">
        <v>2</v>
      </c>
      <c r="C82" s="19" t="s">
        <v>239</v>
      </c>
      <c r="D82" s="19" t="s">
        <v>94</v>
      </c>
      <c r="E82" s="19" t="s">
        <v>240</v>
      </c>
      <c r="F82" s="3" t="s">
        <v>241</v>
      </c>
      <c r="G82" s="19" t="s">
        <v>243</v>
      </c>
      <c r="H82" s="19"/>
    </row>
    <row r="83" spans="1:15" x14ac:dyDescent="0.3">
      <c r="A83" s="17"/>
      <c r="B83" s="19"/>
      <c r="C83" s="19"/>
      <c r="D83" s="19"/>
      <c r="E83" s="19"/>
      <c r="F83" s="3" t="s">
        <v>242</v>
      </c>
      <c r="G83" s="19"/>
      <c r="H83" s="19"/>
    </row>
    <row r="84" spans="1:15" ht="17.25" thickBot="1" x14ac:dyDescent="0.35">
      <c r="A84" s="6">
        <v>1</v>
      </c>
      <c r="B84" s="3">
        <v>1</v>
      </c>
      <c r="C84" s="11" t="s">
        <v>115</v>
      </c>
      <c r="D84" s="2">
        <v>4203</v>
      </c>
      <c r="E84" s="2">
        <v>0.62809499999999996</v>
      </c>
      <c r="F84" s="2">
        <v>1.3669999999999999E-3</v>
      </c>
      <c r="G84" s="2">
        <v>0.62541447999999999</v>
      </c>
      <c r="H84" s="2">
        <v>0.63077464000000005</v>
      </c>
      <c r="J84" t="str">
        <f t="shared" ref="J84:J101" si="0">TEXT(E84,"0.00")&amp;" ("&amp;TEXT(G84,"0.00")&amp;" to "&amp;TEXT(H84,"0.00")&amp;")"</f>
        <v>0.63 (0.63 to 0.63)</v>
      </c>
      <c r="K84" t="str">
        <f>J87</f>
        <v>0.62 (0.62 to 0.63)</v>
      </c>
      <c r="L84" t="str">
        <f>J90</f>
        <v>0.63 (0.63 to 0.63)</v>
      </c>
      <c r="M84" t="str">
        <f>J93</f>
        <v>0.63 (0.63 to 0.63)</v>
      </c>
      <c r="N84" t="str">
        <f>J96</f>
        <v>0.64 (0.63 to 0.64)</v>
      </c>
      <c r="O84" t="str">
        <f>J99</f>
        <v>0.63 (0.63 to 0.64)</v>
      </c>
    </row>
    <row r="85" spans="1:15" ht="17.25" thickBot="1" x14ac:dyDescent="0.35">
      <c r="A85" s="6"/>
      <c r="B85" s="3">
        <v>2</v>
      </c>
      <c r="C85" s="11" t="s">
        <v>115</v>
      </c>
      <c r="D85" s="2">
        <v>5539</v>
      </c>
      <c r="E85" s="2">
        <v>0.67984999999999995</v>
      </c>
      <c r="F85" s="2">
        <v>1.3760000000000001E-3</v>
      </c>
      <c r="G85" s="2">
        <v>0.67715073999999997</v>
      </c>
      <c r="H85" s="2">
        <v>0.68254833000000004</v>
      </c>
      <c r="J85" t="str">
        <f t="shared" si="0"/>
        <v>0.68 (0.68 to 0.68)</v>
      </c>
      <c r="K85" t="str">
        <f t="shared" ref="K85:K86" si="1">J88</f>
        <v>0.68 (0.67 to 0.68)</v>
      </c>
      <c r="L85" t="str">
        <f t="shared" ref="L85:L86" si="2">J91</f>
        <v>0.67 (0.67 to 0.68)</v>
      </c>
      <c r="M85" t="str">
        <f t="shared" ref="M85:M86" si="3">J94</f>
        <v>0.68 (0.68 to 0.68)</v>
      </c>
      <c r="N85" t="str">
        <f t="shared" ref="N85:N86" si="4">J97</f>
        <v>0.69 (0.68 to 0.69)</v>
      </c>
      <c r="O85" t="str">
        <f t="shared" ref="O85:O86" si="5">J100</f>
        <v>0.68 (0.67 to 0.68)</v>
      </c>
    </row>
    <row r="86" spans="1:15" ht="17.25" thickBot="1" x14ac:dyDescent="0.35">
      <c r="A86" s="6"/>
      <c r="B86" s="3">
        <v>3</v>
      </c>
      <c r="C86" s="11" t="s">
        <v>115</v>
      </c>
      <c r="D86" s="2">
        <v>2173</v>
      </c>
      <c r="E86" s="2">
        <v>0.71480900000000003</v>
      </c>
      <c r="F86" s="2">
        <v>1.9629999999999999E-3</v>
      </c>
      <c r="G86" s="2">
        <v>0.71096110000000001</v>
      </c>
      <c r="H86" s="2">
        <v>0.71865769000000002</v>
      </c>
      <c r="J86" t="str">
        <f t="shared" si="0"/>
        <v>0.71 (0.71 to 0.72)</v>
      </c>
      <c r="K86" t="str">
        <f t="shared" si="1"/>
        <v>0.71 (0.70 to 0.71)</v>
      </c>
      <c r="L86" t="str">
        <f t="shared" si="2"/>
        <v>0.71 (0.70 to 0.71)</v>
      </c>
      <c r="M86" t="str">
        <f t="shared" si="3"/>
        <v>0.71 (0.71 to 0.71)</v>
      </c>
      <c r="N86" t="str">
        <f t="shared" si="4"/>
        <v>0.72 (0.72 to 0.72)</v>
      </c>
      <c r="O86" t="str">
        <f t="shared" si="5"/>
        <v>0.71 (0.71 to 0.71)</v>
      </c>
    </row>
    <row r="87" spans="1:15" ht="17.25" thickBot="1" x14ac:dyDescent="0.35">
      <c r="A87" s="6">
        <v>2</v>
      </c>
      <c r="B87" s="3">
        <v>1</v>
      </c>
      <c r="C87" s="11" t="s">
        <v>115</v>
      </c>
      <c r="D87" s="2">
        <v>4179</v>
      </c>
      <c r="E87" s="2">
        <v>0.62369200000000002</v>
      </c>
      <c r="F87" s="2">
        <v>1.256E-3</v>
      </c>
      <c r="G87" s="2">
        <v>0.62122875</v>
      </c>
      <c r="H87" s="2">
        <v>0.62615553000000002</v>
      </c>
      <c r="J87" t="str">
        <f t="shared" si="0"/>
        <v>0.62 (0.62 to 0.63)</v>
      </c>
    </row>
    <row r="88" spans="1:15" ht="17.25" thickBot="1" x14ac:dyDescent="0.35">
      <c r="A88" s="6"/>
      <c r="B88" s="3">
        <v>2</v>
      </c>
      <c r="C88" s="11" t="s">
        <v>115</v>
      </c>
      <c r="D88" s="2">
        <v>6402</v>
      </c>
      <c r="E88" s="2">
        <v>0.67595300000000003</v>
      </c>
      <c r="F88" s="2">
        <v>1.256E-3</v>
      </c>
      <c r="G88" s="2">
        <v>0.67349075999999997</v>
      </c>
      <c r="H88" s="2">
        <v>0.67841569999999995</v>
      </c>
      <c r="J88" t="str">
        <f t="shared" si="0"/>
        <v>0.68 (0.67 to 0.68)</v>
      </c>
    </row>
    <row r="89" spans="1:15" ht="17.25" thickBot="1" x14ac:dyDescent="0.35">
      <c r="A89" s="6"/>
      <c r="B89" s="3">
        <v>3</v>
      </c>
      <c r="C89" s="11" t="s">
        <v>115</v>
      </c>
      <c r="D89" s="2">
        <v>2535</v>
      </c>
      <c r="E89" s="2">
        <v>0.70816999999999997</v>
      </c>
      <c r="F89" s="2">
        <v>1.848E-3</v>
      </c>
      <c r="G89" s="2">
        <v>0.70454594999999998</v>
      </c>
      <c r="H89" s="2">
        <v>0.71179316000000004</v>
      </c>
      <c r="J89" t="str">
        <f t="shared" si="0"/>
        <v>0.71 (0.70 to 0.71)</v>
      </c>
    </row>
    <row r="90" spans="1:15" ht="17.25" thickBot="1" x14ac:dyDescent="0.35">
      <c r="A90" s="6">
        <v>3</v>
      </c>
      <c r="B90" s="3">
        <v>1</v>
      </c>
      <c r="C90" s="11" t="s">
        <v>115</v>
      </c>
      <c r="D90" s="2">
        <v>3520</v>
      </c>
      <c r="E90" s="2">
        <v>0.62796200000000002</v>
      </c>
      <c r="F90" s="2">
        <v>1.4E-3</v>
      </c>
      <c r="G90" s="2">
        <v>0.62521744000000001</v>
      </c>
      <c r="H90" s="2">
        <v>0.63070694000000005</v>
      </c>
      <c r="J90" t="str">
        <f t="shared" si="0"/>
        <v>0.63 (0.63 to 0.63)</v>
      </c>
    </row>
    <row r="91" spans="1:15" ht="17.25" thickBot="1" x14ac:dyDescent="0.35">
      <c r="A91" s="6"/>
      <c r="B91" s="3">
        <v>2</v>
      </c>
      <c r="C91" s="11" t="s">
        <v>115</v>
      </c>
      <c r="D91" s="2">
        <v>5743</v>
      </c>
      <c r="E91" s="2">
        <v>0.67347500000000005</v>
      </c>
      <c r="F91" s="2">
        <v>1.25E-3</v>
      </c>
      <c r="G91" s="2">
        <v>0.67102406999999997</v>
      </c>
      <c r="H91" s="2">
        <v>0.67592585999999999</v>
      </c>
      <c r="J91" t="str">
        <f t="shared" si="0"/>
        <v>0.67 (0.67 to 0.68)</v>
      </c>
    </row>
    <row r="92" spans="1:15" ht="17.25" thickBot="1" x14ac:dyDescent="0.35">
      <c r="A92" s="6"/>
      <c r="B92" s="3">
        <v>3</v>
      </c>
      <c r="C92" s="11" t="s">
        <v>115</v>
      </c>
      <c r="D92" s="2">
        <v>2212</v>
      </c>
      <c r="E92" s="2">
        <v>0.70647499999999996</v>
      </c>
      <c r="F92" s="2">
        <v>1.7619999999999999E-3</v>
      </c>
      <c r="G92" s="2">
        <v>0.70301946000000004</v>
      </c>
      <c r="H92" s="2">
        <v>0.70993033000000005</v>
      </c>
      <c r="J92" t="str">
        <f t="shared" si="0"/>
        <v>0.71 (0.70 to 0.71)</v>
      </c>
    </row>
    <row r="93" spans="1:15" ht="17.25" thickBot="1" x14ac:dyDescent="0.35">
      <c r="A93" s="6">
        <v>4</v>
      </c>
      <c r="B93" s="3">
        <v>1</v>
      </c>
      <c r="C93" s="11" t="s">
        <v>115</v>
      </c>
      <c r="D93" s="2">
        <v>4230</v>
      </c>
      <c r="E93" s="2">
        <v>0.63054699999999997</v>
      </c>
      <c r="F93" s="2">
        <v>1.274E-3</v>
      </c>
      <c r="G93" s="2">
        <v>0.62804934999999995</v>
      </c>
      <c r="H93" s="2">
        <v>0.63304400000000005</v>
      </c>
      <c r="J93" t="str">
        <f t="shared" si="0"/>
        <v>0.63 (0.63 to 0.63)</v>
      </c>
    </row>
    <row r="94" spans="1:15" ht="17.25" thickBot="1" x14ac:dyDescent="0.35">
      <c r="A94" s="6"/>
      <c r="B94" s="3">
        <v>2</v>
      </c>
      <c r="C94" s="11" t="s">
        <v>115</v>
      </c>
      <c r="D94" s="2">
        <v>6950</v>
      </c>
      <c r="E94" s="2">
        <v>0.678647</v>
      </c>
      <c r="F94" s="2">
        <v>1.1609999999999999E-3</v>
      </c>
      <c r="G94" s="2">
        <v>0.67637053000000003</v>
      </c>
      <c r="H94" s="2">
        <v>0.68092275000000002</v>
      </c>
      <c r="J94" t="str">
        <f t="shared" si="0"/>
        <v>0.68 (0.68 to 0.68)</v>
      </c>
    </row>
    <row r="95" spans="1:15" ht="17.25" thickBot="1" x14ac:dyDescent="0.35">
      <c r="A95" s="6"/>
      <c r="B95" s="3">
        <v>3</v>
      </c>
      <c r="C95" s="11" t="s">
        <v>115</v>
      </c>
      <c r="D95" s="2">
        <v>2978</v>
      </c>
      <c r="E95" s="2">
        <v>0.70965999999999996</v>
      </c>
      <c r="F95" s="2">
        <v>1.557E-3</v>
      </c>
      <c r="G95" s="2">
        <v>0.70660716999999995</v>
      </c>
      <c r="H95" s="2">
        <v>0.71271198999999996</v>
      </c>
      <c r="J95" t="str">
        <f t="shared" si="0"/>
        <v>0.71 (0.71 to 0.71)</v>
      </c>
    </row>
    <row r="96" spans="1:15" ht="17.25" thickBot="1" x14ac:dyDescent="0.35">
      <c r="A96" s="6">
        <v>5</v>
      </c>
      <c r="B96" s="3">
        <v>1</v>
      </c>
      <c r="C96" s="11" t="s">
        <v>115</v>
      </c>
      <c r="D96" s="2">
        <v>3857</v>
      </c>
      <c r="E96" s="2">
        <v>0.63506099999999999</v>
      </c>
      <c r="F96" s="2">
        <v>1.307E-3</v>
      </c>
      <c r="G96" s="2">
        <v>0.63249816000000003</v>
      </c>
      <c r="H96" s="2">
        <v>0.63762350000000001</v>
      </c>
      <c r="J96" t="str">
        <f t="shared" si="0"/>
        <v>0.64 (0.63 to 0.64)</v>
      </c>
    </row>
    <row r="97" spans="1:10" ht="17.25" thickBot="1" x14ac:dyDescent="0.35">
      <c r="A97" s="6"/>
      <c r="B97" s="3">
        <v>2</v>
      </c>
      <c r="C97" s="11" t="s">
        <v>115</v>
      </c>
      <c r="D97" s="2">
        <v>6693</v>
      </c>
      <c r="E97" s="2">
        <v>0.68593700000000002</v>
      </c>
      <c r="F97" s="2">
        <v>1.062E-3</v>
      </c>
      <c r="G97" s="2">
        <v>0.68385443000000001</v>
      </c>
      <c r="H97" s="2">
        <v>0.68801977999999997</v>
      </c>
      <c r="J97" t="str">
        <f t="shared" si="0"/>
        <v>0.69 (0.68 to 0.69)</v>
      </c>
    </row>
    <row r="98" spans="1:10" ht="17.25" thickBot="1" x14ac:dyDescent="0.35">
      <c r="A98" s="6"/>
      <c r="B98" s="3">
        <v>3</v>
      </c>
      <c r="C98" s="11" t="s">
        <v>115</v>
      </c>
      <c r="D98" s="2">
        <v>3005</v>
      </c>
      <c r="E98" s="2">
        <v>0.72082999999999997</v>
      </c>
      <c r="F98" s="2">
        <v>1.361E-3</v>
      </c>
      <c r="G98" s="2">
        <v>0.71816190000000002</v>
      </c>
      <c r="H98" s="2">
        <v>0.72349801999999996</v>
      </c>
      <c r="J98" t="str">
        <f t="shared" si="0"/>
        <v>0.72 (0.72 to 0.72)</v>
      </c>
    </row>
    <row r="99" spans="1:10" ht="17.25" thickBot="1" x14ac:dyDescent="0.35">
      <c r="A99" s="6">
        <v>6</v>
      </c>
      <c r="B99" s="3">
        <v>1</v>
      </c>
      <c r="C99" s="11" t="s">
        <v>115</v>
      </c>
      <c r="D99" s="2">
        <v>1090</v>
      </c>
      <c r="E99" s="2">
        <v>0.63285100000000005</v>
      </c>
      <c r="F99" s="2">
        <v>2.4859999999999999E-3</v>
      </c>
      <c r="G99" s="2">
        <v>0.62797639000000005</v>
      </c>
      <c r="H99" s="2">
        <v>0.63772470999999997</v>
      </c>
      <c r="J99" t="str">
        <f t="shared" si="0"/>
        <v>0.63 (0.63 to 0.64)</v>
      </c>
    </row>
    <row r="100" spans="1:10" ht="17.25" thickBot="1" x14ac:dyDescent="0.35">
      <c r="A100" s="6"/>
      <c r="B100" s="3">
        <v>2</v>
      </c>
      <c r="C100" s="11" t="s">
        <v>115</v>
      </c>
      <c r="D100" s="2">
        <v>2143</v>
      </c>
      <c r="E100" s="2">
        <v>0.67817400000000005</v>
      </c>
      <c r="F100" s="2">
        <v>1.707E-3</v>
      </c>
      <c r="G100" s="2">
        <v>0.67482726999999998</v>
      </c>
      <c r="H100" s="2">
        <v>0.68152040000000003</v>
      </c>
      <c r="J100" t="str">
        <f t="shared" si="0"/>
        <v>0.68 (0.67 to 0.68)</v>
      </c>
    </row>
    <row r="101" spans="1:10" x14ac:dyDescent="0.3">
      <c r="A101" s="6"/>
      <c r="B101" s="3">
        <v>3</v>
      </c>
      <c r="C101" s="14" t="s">
        <v>115</v>
      </c>
      <c r="D101" s="2">
        <v>1183</v>
      </c>
      <c r="E101" s="2">
        <v>0.70925199999999999</v>
      </c>
      <c r="F101" s="2">
        <v>2.0249999999999999E-3</v>
      </c>
      <c r="G101" s="2">
        <v>0.70528234000000001</v>
      </c>
      <c r="H101" s="2">
        <v>0.71322238999999998</v>
      </c>
      <c r="J101" t="str">
        <f t="shared" si="0"/>
        <v>0.71 (0.71 to 0.71)</v>
      </c>
    </row>
    <row r="105" spans="1:10" x14ac:dyDescent="0.3">
      <c r="A105" s="1" t="s">
        <v>237</v>
      </c>
    </row>
    <row r="107" spans="1:10" x14ac:dyDescent="0.3">
      <c r="A107" s="1" t="s">
        <v>1</v>
      </c>
    </row>
    <row r="108" spans="1:10" ht="17.25" thickBot="1" x14ac:dyDescent="0.35"/>
    <row r="109" spans="1:10" ht="16.5" customHeight="1" x14ac:dyDescent="0.3">
      <c r="A109" s="16" t="s">
        <v>135</v>
      </c>
      <c r="B109" s="18"/>
    </row>
    <row r="110" spans="1:10" ht="26.25" thickBot="1" x14ac:dyDescent="0.35">
      <c r="A110" s="12" t="s">
        <v>136</v>
      </c>
      <c r="B110" s="2">
        <v>183</v>
      </c>
    </row>
    <row r="111" spans="1:10" ht="26.25" thickBot="1" x14ac:dyDescent="0.35">
      <c r="A111" s="12" t="s">
        <v>137</v>
      </c>
      <c r="B111" s="2">
        <v>2949</v>
      </c>
    </row>
    <row r="112" spans="1:10" ht="39" thickBot="1" x14ac:dyDescent="0.35">
      <c r="A112" s="12" t="s">
        <v>138</v>
      </c>
      <c r="B112" s="2">
        <v>23222</v>
      </c>
    </row>
    <row r="113" spans="1:6" ht="25.5" x14ac:dyDescent="0.3">
      <c r="A113" s="13" t="s">
        <v>139</v>
      </c>
      <c r="B113" s="2">
        <v>9036880.5199999996</v>
      </c>
    </row>
    <row r="114" spans="1:6" ht="17.25" thickBot="1" x14ac:dyDescent="0.35"/>
    <row r="115" spans="1:6" ht="33" customHeight="1" x14ac:dyDescent="0.3">
      <c r="A115" s="16" t="s">
        <v>140</v>
      </c>
      <c r="B115" s="18"/>
    </row>
    <row r="116" spans="1:6" ht="33.75" thickBot="1" x14ac:dyDescent="0.35">
      <c r="A116" s="12" t="s">
        <v>141</v>
      </c>
      <c r="B116" s="2" t="s">
        <v>142</v>
      </c>
    </row>
    <row r="117" spans="1:6" ht="25.5" x14ac:dyDescent="0.3">
      <c r="A117" s="13" t="s">
        <v>143</v>
      </c>
      <c r="B117" s="2" t="s">
        <v>144</v>
      </c>
    </row>
    <row r="118" spans="1:6" ht="17.25" thickBot="1" x14ac:dyDescent="0.35"/>
    <row r="119" spans="1:6" ht="16.5" customHeight="1" x14ac:dyDescent="0.3">
      <c r="A119" s="16" t="s">
        <v>238</v>
      </c>
      <c r="B119" s="18"/>
      <c r="C119" s="18"/>
      <c r="D119" s="18"/>
      <c r="E119" s="18"/>
      <c r="F119" s="18"/>
    </row>
    <row r="120" spans="1:6" ht="16.5" customHeight="1" x14ac:dyDescent="0.3">
      <c r="A120" s="17" t="s">
        <v>239</v>
      </c>
      <c r="B120" s="19" t="s">
        <v>94</v>
      </c>
      <c r="C120" s="19" t="s">
        <v>240</v>
      </c>
      <c r="D120" s="3" t="s">
        <v>241</v>
      </c>
      <c r="E120" s="19" t="s">
        <v>243</v>
      </c>
      <c r="F120" s="19"/>
    </row>
    <row r="121" spans="1:6" x14ac:dyDescent="0.3">
      <c r="A121" s="17"/>
      <c r="B121" s="19"/>
      <c r="C121" s="19"/>
      <c r="D121" s="3" t="s">
        <v>242</v>
      </c>
      <c r="E121" s="19"/>
      <c r="F121" s="19"/>
    </row>
    <row r="122" spans="1:6" x14ac:dyDescent="0.3">
      <c r="A122" s="13" t="s">
        <v>115</v>
      </c>
      <c r="B122" s="2">
        <v>23222</v>
      </c>
      <c r="C122" s="2">
        <v>0.64841899999999997</v>
      </c>
      <c r="D122" s="2">
        <v>7.7200000000000001E-4</v>
      </c>
      <c r="E122" s="2">
        <v>0.64690462000000004</v>
      </c>
      <c r="F122" s="2">
        <v>0.64993400999999995</v>
      </c>
    </row>
    <row r="126" spans="1:6" x14ac:dyDescent="0.3">
      <c r="A126" s="1" t="s">
        <v>237</v>
      </c>
    </row>
    <row r="128" spans="1:6" x14ac:dyDescent="0.3">
      <c r="A128" s="1" t="s">
        <v>1</v>
      </c>
    </row>
    <row r="129" spans="1:8" ht="17.25" thickBot="1" x14ac:dyDescent="0.35"/>
    <row r="130" spans="1:8" ht="16.5" customHeight="1" x14ac:dyDescent="0.3">
      <c r="A130" s="16" t="s">
        <v>251</v>
      </c>
      <c r="B130" s="18"/>
      <c r="C130" s="18"/>
      <c r="D130" s="18"/>
      <c r="E130" s="18"/>
      <c r="F130" s="18"/>
      <c r="G130" s="18"/>
      <c r="H130" s="18"/>
    </row>
    <row r="131" spans="1:8" ht="16.5" customHeight="1" x14ac:dyDescent="0.3">
      <c r="A131" s="17" t="s">
        <v>249</v>
      </c>
      <c r="B131" s="19" t="s">
        <v>6</v>
      </c>
      <c r="C131" s="19" t="s">
        <v>239</v>
      </c>
      <c r="D131" s="19" t="s">
        <v>94</v>
      </c>
      <c r="E131" s="19" t="s">
        <v>240</v>
      </c>
      <c r="F131" s="3" t="s">
        <v>241</v>
      </c>
      <c r="G131" s="19" t="s">
        <v>243</v>
      </c>
      <c r="H131" s="19"/>
    </row>
    <row r="132" spans="1:8" x14ac:dyDescent="0.3">
      <c r="A132" s="17"/>
      <c r="B132" s="19"/>
      <c r="C132" s="19"/>
      <c r="D132" s="19"/>
      <c r="E132" s="19"/>
      <c r="F132" s="3" t="s">
        <v>242</v>
      </c>
      <c r="G132" s="19"/>
      <c r="H132" s="19"/>
    </row>
    <row r="133" spans="1:8" ht="17.25" thickBot="1" x14ac:dyDescent="0.35">
      <c r="A133" s="6">
        <v>1</v>
      </c>
      <c r="B133" s="3">
        <v>1</v>
      </c>
      <c r="C133" s="11" t="s">
        <v>115</v>
      </c>
      <c r="D133" s="2">
        <v>1181</v>
      </c>
      <c r="E133" s="2">
        <v>0.64634400000000003</v>
      </c>
      <c r="F133" s="2">
        <v>3.3010000000000001E-3</v>
      </c>
      <c r="G133" s="2">
        <v>0.63987125</v>
      </c>
      <c r="H133" s="2">
        <v>0.65281597999999996</v>
      </c>
    </row>
    <row r="134" spans="1:8" ht="17.25" thickBot="1" x14ac:dyDescent="0.35">
      <c r="A134" s="6"/>
      <c r="B134" s="3">
        <v>2</v>
      </c>
      <c r="C134" s="11" t="s">
        <v>115</v>
      </c>
      <c r="D134" s="2">
        <v>2559</v>
      </c>
      <c r="E134" s="2">
        <v>0.66123399999999999</v>
      </c>
      <c r="F134" s="2">
        <v>2.5660000000000001E-3</v>
      </c>
      <c r="G134" s="2">
        <v>0.65620297000000005</v>
      </c>
      <c r="H134" s="2">
        <v>0.66626531</v>
      </c>
    </row>
    <row r="135" spans="1:8" ht="17.25" thickBot="1" x14ac:dyDescent="0.35">
      <c r="A135" s="6">
        <v>2</v>
      </c>
      <c r="B135" s="3">
        <v>1</v>
      </c>
      <c r="C135" s="11" t="s">
        <v>115</v>
      </c>
      <c r="D135" s="2">
        <v>1777</v>
      </c>
      <c r="E135" s="2">
        <v>0.61965300000000001</v>
      </c>
      <c r="F135" s="2">
        <v>1.921E-3</v>
      </c>
      <c r="G135" s="2">
        <v>0.6158863</v>
      </c>
      <c r="H135" s="2">
        <v>0.62342063000000003</v>
      </c>
    </row>
    <row r="136" spans="1:8" ht="17.25" thickBot="1" x14ac:dyDescent="0.35">
      <c r="A136" s="6"/>
      <c r="B136" s="3">
        <v>2</v>
      </c>
      <c r="C136" s="11" t="s">
        <v>115</v>
      </c>
      <c r="D136" s="2">
        <v>2955</v>
      </c>
      <c r="E136" s="2">
        <v>0.64159600000000006</v>
      </c>
      <c r="F136" s="2">
        <v>1.897E-3</v>
      </c>
      <c r="G136" s="2">
        <v>0.63787689999999997</v>
      </c>
      <c r="H136" s="2">
        <v>0.64531598999999995</v>
      </c>
    </row>
    <row r="137" spans="1:8" ht="17.25" thickBot="1" x14ac:dyDescent="0.35">
      <c r="A137" s="6">
        <v>3</v>
      </c>
      <c r="B137" s="3">
        <v>1</v>
      </c>
      <c r="C137" s="11" t="s">
        <v>115</v>
      </c>
      <c r="D137" s="2">
        <v>1694</v>
      </c>
      <c r="E137" s="2">
        <v>0.64446400000000004</v>
      </c>
      <c r="F137" s="2">
        <v>2.6120000000000002E-3</v>
      </c>
      <c r="G137" s="2">
        <v>0.63934219999999997</v>
      </c>
      <c r="H137" s="2">
        <v>0.64958629000000001</v>
      </c>
    </row>
    <row r="138" spans="1:8" ht="17.25" thickBot="1" x14ac:dyDescent="0.35">
      <c r="A138" s="6"/>
      <c r="B138" s="3">
        <v>2</v>
      </c>
      <c r="C138" s="11" t="s">
        <v>115</v>
      </c>
      <c r="D138" s="2">
        <v>2563</v>
      </c>
      <c r="E138" s="2">
        <v>0.64627800000000002</v>
      </c>
      <c r="F138" s="2">
        <v>2.0739999999999999E-3</v>
      </c>
      <c r="G138" s="2">
        <v>0.64221152999999997</v>
      </c>
      <c r="H138" s="2">
        <v>0.65034502000000005</v>
      </c>
    </row>
    <row r="139" spans="1:8" ht="17.25" thickBot="1" x14ac:dyDescent="0.35">
      <c r="A139" s="6">
        <v>4</v>
      </c>
      <c r="B139" s="3">
        <v>1</v>
      </c>
      <c r="C139" s="11" t="s">
        <v>115</v>
      </c>
      <c r="D139" s="2">
        <v>1776</v>
      </c>
      <c r="E139" s="2">
        <v>0.64702899999999997</v>
      </c>
      <c r="F139" s="2">
        <v>2.2650000000000001E-3</v>
      </c>
      <c r="G139" s="2">
        <v>0.64258738999999998</v>
      </c>
      <c r="H139" s="2">
        <v>0.65147111999999996</v>
      </c>
    </row>
    <row r="140" spans="1:8" ht="17.25" thickBot="1" x14ac:dyDescent="0.35">
      <c r="A140" s="6"/>
      <c r="B140" s="3">
        <v>2</v>
      </c>
      <c r="C140" s="11" t="s">
        <v>115</v>
      </c>
      <c r="D140" s="2">
        <v>2780</v>
      </c>
      <c r="E140" s="2">
        <v>0.64707800000000004</v>
      </c>
      <c r="F140" s="2">
        <v>2.1700000000000001E-3</v>
      </c>
      <c r="G140" s="2">
        <v>0.64282357000000001</v>
      </c>
      <c r="H140" s="2">
        <v>0.65133215</v>
      </c>
    </row>
    <row r="141" spans="1:8" ht="17.25" thickBot="1" x14ac:dyDescent="0.35">
      <c r="A141" s="6">
        <v>5</v>
      </c>
      <c r="B141" s="3">
        <v>1</v>
      </c>
      <c r="C141" s="11" t="s">
        <v>115</v>
      </c>
      <c r="D141" s="2">
        <v>1748</v>
      </c>
      <c r="E141" s="2">
        <v>0.66234899999999997</v>
      </c>
      <c r="F141" s="2">
        <v>2.5270000000000002E-3</v>
      </c>
      <c r="G141" s="2">
        <v>0.65739371000000002</v>
      </c>
      <c r="H141" s="2">
        <v>0.66730423999999999</v>
      </c>
    </row>
    <row r="142" spans="1:8" ht="17.25" thickBot="1" x14ac:dyDescent="0.35">
      <c r="A142" s="6"/>
      <c r="B142" s="3">
        <v>2</v>
      </c>
      <c r="C142" s="11" t="s">
        <v>115</v>
      </c>
      <c r="D142" s="2">
        <v>2753</v>
      </c>
      <c r="E142" s="2">
        <v>0.66038799999999998</v>
      </c>
      <c r="F142" s="2">
        <v>2.0279999999999999E-3</v>
      </c>
      <c r="G142" s="2">
        <v>0.65641132999999996</v>
      </c>
      <c r="H142" s="2">
        <v>0.66436421999999995</v>
      </c>
    </row>
    <row r="143" spans="1:8" ht="17.25" thickBot="1" x14ac:dyDescent="0.35">
      <c r="A143" s="6">
        <v>6</v>
      </c>
      <c r="B143" s="3">
        <v>1</v>
      </c>
      <c r="C143" s="11" t="s">
        <v>115</v>
      </c>
      <c r="D143" s="2">
        <v>565</v>
      </c>
      <c r="E143" s="2">
        <v>0.66012199999999999</v>
      </c>
      <c r="F143" s="2">
        <v>3.784E-3</v>
      </c>
      <c r="G143" s="2">
        <v>0.65270163000000003</v>
      </c>
      <c r="H143" s="2">
        <v>0.66754301999999999</v>
      </c>
    </row>
    <row r="144" spans="1:8" x14ac:dyDescent="0.3">
      <c r="A144" s="6"/>
      <c r="B144" s="3">
        <v>2</v>
      </c>
      <c r="C144" s="14" t="s">
        <v>115</v>
      </c>
      <c r="D144" s="2">
        <v>871</v>
      </c>
      <c r="E144" s="2">
        <v>0.65081699999999998</v>
      </c>
      <c r="F144" s="2">
        <v>3.4940000000000001E-3</v>
      </c>
      <c r="G144" s="2">
        <v>0.64396547000000004</v>
      </c>
      <c r="H144" s="2">
        <v>0.65766787999999998</v>
      </c>
    </row>
    <row r="148" spans="1:2" x14ac:dyDescent="0.3">
      <c r="A148" s="1" t="s">
        <v>237</v>
      </c>
    </row>
    <row r="150" spans="1:2" x14ac:dyDescent="0.3">
      <c r="A150" s="1" t="s">
        <v>21</v>
      </c>
    </row>
    <row r="151" spans="1:2" ht="17.25" thickBot="1" x14ac:dyDescent="0.35"/>
    <row r="152" spans="1:2" ht="16.5" customHeight="1" x14ac:dyDescent="0.3">
      <c r="A152" s="16" t="s">
        <v>135</v>
      </c>
      <c r="B152" s="18"/>
    </row>
    <row r="153" spans="1:2" ht="26.25" thickBot="1" x14ac:dyDescent="0.35">
      <c r="A153" s="12" t="s">
        <v>136</v>
      </c>
      <c r="B153" s="2">
        <v>183</v>
      </c>
    </row>
    <row r="154" spans="1:2" ht="26.25" thickBot="1" x14ac:dyDescent="0.35">
      <c r="A154" s="12" t="s">
        <v>137</v>
      </c>
      <c r="B154" s="2">
        <v>2982</v>
      </c>
    </row>
    <row r="155" spans="1:2" ht="39" thickBot="1" x14ac:dyDescent="0.35">
      <c r="A155" s="12" t="s">
        <v>138</v>
      </c>
      <c r="B155" s="2">
        <v>68635</v>
      </c>
    </row>
    <row r="156" spans="1:2" ht="25.5" x14ac:dyDescent="0.3">
      <c r="A156" s="13" t="s">
        <v>139</v>
      </c>
      <c r="B156" s="2">
        <v>30251935.699999999</v>
      </c>
    </row>
    <row r="157" spans="1:2" ht="17.25" thickBot="1" x14ac:dyDescent="0.35"/>
    <row r="158" spans="1:2" ht="33" customHeight="1" x14ac:dyDescent="0.3">
      <c r="A158" s="16" t="s">
        <v>140</v>
      </c>
      <c r="B158" s="18"/>
    </row>
    <row r="159" spans="1:2" ht="33.75" thickBot="1" x14ac:dyDescent="0.35">
      <c r="A159" s="12" t="s">
        <v>141</v>
      </c>
      <c r="B159" s="2" t="s">
        <v>142</v>
      </c>
    </row>
    <row r="160" spans="1:2" ht="25.5" x14ac:dyDescent="0.3">
      <c r="A160" s="13" t="s">
        <v>143</v>
      </c>
      <c r="B160" s="2" t="s">
        <v>144</v>
      </c>
    </row>
    <row r="161" spans="1:15" ht="17.25" thickBot="1" x14ac:dyDescent="0.35"/>
    <row r="162" spans="1:15" ht="16.5" customHeight="1" x14ac:dyDescent="0.3">
      <c r="A162" s="16" t="s">
        <v>238</v>
      </c>
      <c r="B162" s="18"/>
      <c r="C162" s="18"/>
      <c r="D162" s="18"/>
      <c r="E162" s="18"/>
      <c r="F162" s="18"/>
    </row>
    <row r="163" spans="1:15" ht="16.5" customHeight="1" x14ac:dyDescent="0.3">
      <c r="A163" s="17" t="s">
        <v>239</v>
      </c>
      <c r="B163" s="19" t="s">
        <v>94</v>
      </c>
      <c r="C163" s="19" t="s">
        <v>240</v>
      </c>
      <c r="D163" s="3" t="s">
        <v>241</v>
      </c>
      <c r="E163" s="19" t="s">
        <v>243</v>
      </c>
      <c r="F163" s="19"/>
    </row>
    <row r="164" spans="1:15" x14ac:dyDescent="0.3">
      <c r="A164" s="17"/>
      <c r="B164" s="19"/>
      <c r="C164" s="19"/>
      <c r="D164" s="3" t="s">
        <v>242</v>
      </c>
      <c r="E164" s="19"/>
      <c r="F164" s="19"/>
    </row>
    <row r="165" spans="1:15" x14ac:dyDescent="0.3">
      <c r="A165" s="13" t="s">
        <v>115</v>
      </c>
      <c r="B165" s="2">
        <v>68635</v>
      </c>
      <c r="C165" s="2">
        <v>0.66370899999999999</v>
      </c>
      <c r="D165" s="2">
        <v>4.4099999999999999E-4</v>
      </c>
      <c r="E165" s="2">
        <v>0.66284405999999996</v>
      </c>
      <c r="F165" s="2">
        <v>0.66457339000000004</v>
      </c>
    </row>
    <row r="169" spans="1:15" x14ac:dyDescent="0.3">
      <c r="A169" s="1" t="s">
        <v>237</v>
      </c>
    </row>
    <row r="171" spans="1:15" x14ac:dyDescent="0.3">
      <c r="A171" s="1" t="s">
        <v>21</v>
      </c>
    </row>
    <row r="172" spans="1:15" ht="17.25" thickBot="1" x14ac:dyDescent="0.35"/>
    <row r="173" spans="1:15" ht="16.5" customHeight="1" x14ac:dyDescent="0.3">
      <c r="A173" s="16" t="s">
        <v>251</v>
      </c>
      <c r="B173" s="18"/>
      <c r="C173" s="18"/>
      <c r="D173" s="18"/>
      <c r="E173" s="18"/>
      <c r="F173" s="18"/>
      <c r="G173" s="18"/>
      <c r="H173" s="18"/>
    </row>
    <row r="174" spans="1:15" ht="16.5" customHeight="1" x14ac:dyDescent="0.3">
      <c r="A174" s="17" t="s">
        <v>249</v>
      </c>
      <c r="B174" s="19" t="s">
        <v>6</v>
      </c>
      <c r="C174" s="19" t="s">
        <v>239</v>
      </c>
      <c r="D174" s="19" t="s">
        <v>94</v>
      </c>
      <c r="E174" s="19" t="s">
        <v>240</v>
      </c>
      <c r="F174" s="3" t="s">
        <v>241</v>
      </c>
      <c r="G174" s="19" t="s">
        <v>243</v>
      </c>
      <c r="H174" s="19"/>
    </row>
    <row r="175" spans="1:15" x14ac:dyDescent="0.3">
      <c r="A175" s="17"/>
      <c r="B175" s="19"/>
      <c r="C175" s="19"/>
      <c r="D175" s="19"/>
      <c r="E175" s="19"/>
      <c r="F175" s="3" t="s">
        <v>242</v>
      </c>
      <c r="G175" s="19"/>
      <c r="H175" s="19"/>
    </row>
    <row r="176" spans="1:15" ht="17.25" thickBot="1" x14ac:dyDescent="0.35">
      <c r="A176" s="6">
        <v>1</v>
      </c>
      <c r="B176" s="3">
        <v>1</v>
      </c>
      <c r="C176" s="11" t="s">
        <v>115</v>
      </c>
      <c r="D176" s="2">
        <v>5831</v>
      </c>
      <c r="E176" s="2">
        <v>0.67612099999999997</v>
      </c>
      <c r="F176" s="2">
        <v>1.299E-3</v>
      </c>
      <c r="G176" s="2">
        <v>0.67357447000000004</v>
      </c>
      <c r="H176" s="2">
        <v>0.67866766999999995</v>
      </c>
      <c r="J176" t="str">
        <f t="shared" ref="J176:J187" si="6">TEXT(E176,"0.00")&amp;" ("&amp;TEXT(G176,"0.00")&amp;" to "&amp;TEXT(H176,"0.00")&amp;")"</f>
        <v>0.68 (0.67 to 0.68)</v>
      </c>
      <c r="K176" t="str">
        <f>J178</f>
        <v>0.67 (0.67 to 0.68)</v>
      </c>
      <c r="L176" t="str">
        <f>J180</f>
        <v>0.68 (0.68 to 0.68)</v>
      </c>
      <c r="M176" t="str">
        <f>J182</f>
        <v>0.69 (0.68 to 0.69)</v>
      </c>
      <c r="N176" t="str">
        <f>J184</f>
        <v>0.69 (0.69 to 0.70)</v>
      </c>
      <c r="O176" t="str">
        <f>J186</f>
        <v>0.69 (0.69 to 0.70)</v>
      </c>
    </row>
    <row r="177" spans="1:15" ht="17.25" thickBot="1" x14ac:dyDescent="0.35">
      <c r="A177" s="6"/>
      <c r="B177" s="3">
        <v>2</v>
      </c>
      <c r="C177" s="11" t="s">
        <v>115</v>
      </c>
      <c r="D177" s="2">
        <v>6084</v>
      </c>
      <c r="E177" s="2">
        <v>0.64079399999999997</v>
      </c>
      <c r="F177" s="2">
        <v>1.57E-3</v>
      </c>
      <c r="G177" s="2">
        <v>0.63771652999999995</v>
      </c>
      <c r="H177" s="2">
        <v>0.64387159000000005</v>
      </c>
      <c r="J177" t="str">
        <f t="shared" si="6"/>
        <v>0.64 (0.64 to 0.64)</v>
      </c>
      <c r="K177" t="str">
        <f>J179</f>
        <v>0.64 (0.63 to 0.64)</v>
      </c>
      <c r="L177" t="str">
        <f>J181</f>
        <v>0.64 (0.63 to 0.64)</v>
      </c>
      <c r="M177" t="str">
        <f>J183</f>
        <v>0.64 (0.64 to 0.64)</v>
      </c>
      <c r="N177" t="str">
        <f>J185</f>
        <v>0.65 (0.65 to 0.65)</v>
      </c>
      <c r="O177" t="str">
        <f>J187</f>
        <v>0.64 (0.64 to 0.65)</v>
      </c>
    </row>
    <row r="178" spans="1:15" ht="17.25" thickBot="1" x14ac:dyDescent="0.35">
      <c r="A178" s="6">
        <v>2</v>
      </c>
      <c r="B178" s="3">
        <v>1</v>
      </c>
      <c r="C178" s="11" t="s">
        <v>115</v>
      </c>
      <c r="D178" s="2">
        <v>6484</v>
      </c>
      <c r="E178" s="2">
        <v>0.673759</v>
      </c>
      <c r="F178" s="2">
        <v>1.256E-3</v>
      </c>
      <c r="G178" s="2">
        <v>0.67129618999999996</v>
      </c>
      <c r="H178" s="2">
        <v>0.67622084000000005</v>
      </c>
      <c r="J178" t="str">
        <f t="shared" si="6"/>
        <v>0.67 (0.67 to 0.68)</v>
      </c>
    </row>
    <row r="179" spans="1:15" ht="17.25" thickBot="1" x14ac:dyDescent="0.35">
      <c r="A179" s="6"/>
      <c r="B179" s="3">
        <v>2</v>
      </c>
      <c r="C179" s="11" t="s">
        <v>115</v>
      </c>
      <c r="D179" s="2">
        <v>6632</v>
      </c>
      <c r="E179" s="2">
        <v>0.637212</v>
      </c>
      <c r="F179" s="2">
        <v>1.4250000000000001E-3</v>
      </c>
      <c r="G179" s="2">
        <v>0.63441736999999998</v>
      </c>
      <c r="H179" s="2">
        <v>0.64000732000000005</v>
      </c>
      <c r="J179" t="str">
        <f t="shared" si="6"/>
        <v>0.64 (0.63 to 0.64)</v>
      </c>
    </row>
    <row r="180" spans="1:15" ht="17.25" thickBot="1" x14ac:dyDescent="0.35">
      <c r="A180" s="6">
        <v>3</v>
      </c>
      <c r="B180" s="3">
        <v>1</v>
      </c>
      <c r="C180" s="11" t="s">
        <v>115</v>
      </c>
      <c r="D180" s="2">
        <v>5508</v>
      </c>
      <c r="E180" s="2">
        <v>0.67814700000000006</v>
      </c>
      <c r="F180" s="2">
        <v>1.2719999999999999E-3</v>
      </c>
      <c r="G180" s="2">
        <v>0.67565189999999997</v>
      </c>
      <c r="H180" s="2">
        <v>0.68064179999999996</v>
      </c>
      <c r="J180" t="str">
        <f t="shared" si="6"/>
        <v>0.68 (0.68 to 0.68)</v>
      </c>
    </row>
    <row r="181" spans="1:15" ht="17.25" thickBot="1" x14ac:dyDescent="0.35">
      <c r="A181" s="6"/>
      <c r="B181" s="3">
        <v>2</v>
      </c>
      <c r="C181" s="11" t="s">
        <v>115</v>
      </c>
      <c r="D181" s="2">
        <v>5967</v>
      </c>
      <c r="E181" s="2">
        <v>0.63599000000000006</v>
      </c>
      <c r="F181" s="2">
        <v>1.305E-3</v>
      </c>
      <c r="G181" s="2">
        <v>0.63343185999999996</v>
      </c>
      <c r="H181" s="2">
        <v>0.63854769</v>
      </c>
      <c r="J181" t="str">
        <f t="shared" si="6"/>
        <v>0.64 (0.63 to 0.64)</v>
      </c>
    </row>
    <row r="182" spans="1:15" ht="17.25" thickBot="1" x14ac:dyDescent="0.35">
      <c r="A182" s="6">
        <v>4</v>
      </c>
      <c r="B182" s="3">
        <v>1</v>
      </c>
      <c r="C182" s="11" t="s">
        <v>115</v>
      </c>
      <c r="D182" s="2">
        <v>6783</v>
      </c>
      <c r="E182" s="2">
        <v>0.68640000000000001</v>
      </c>
      <c r="F182" s="2">
        <v>1.114E-3</v>
      </c>
      <c r="G182" s="2">
        <v>0.68421604000000003</v>
      </c>
      <c r="H182" s="2">
        <v>0.68858348999999996</v>
      </c>
      <c r="J182" t="str">
        <f t="shared" si="6"/>
        <v>0.69 (0.68 to 0.69)</v>
      </c>
    </row>
    <row r="183" spans="1:15" ht="17.25" thickBot="1" x14ac:dyDescent="0.35">
      <c r="A183" s="6"/>
      <c r="B183" s="3">
        <v>2</v>
      </c>
      <c r="C183" s="11" t="s">
        <v>115</v>
      </c>
      <c r="D183" s="2">
        <v>7375</v>
      </c>
      <c r="E183" s="2">
        <v>0.63925399999999999</v>
      </c>
      <c r="F183" s="2">
        <v>1.266E-3</v>
      </c>
      <c r="G183" s="2">
        <v>0.63677207999999996</v>
      </c>
      <c r="H183" s="2">
        <v>0.64173632999999997</v>
      </c>
      <c r="J183" t="str">
        <f t="shared" si="6"/>
        <v>0.64 (0.64 to 0.64)</v>
      </c>
    </row>
    <row r="184" spans="1:15" ht="17.25" thickBot="1" x14ac:dyDescent="0.35">
      <c r="A184" s="6">
        <v>5</v>
      </c>
      <c r="B184" s="3">
        <v>1</v>
      </c>
      <c r="C184" s="11" t="s">
        <v>115</v>
      </c>
      <c r="D184" s="2">
        <v>6570</v>
      </c>
      <c r="E184" s="2">
        <v>0.69293400000000005</v>
      </c>
      <c r="F184" s="2">
        <v>1.2019999999999999E-3</v>
      </c>
      <c r="G184" s="2">
        <v>0.69057672999999997</v>
      </c>
      <c r="H184" s="2">
        <v>0.69529101999999998</v>
      </c>
      <c r="J184" t="str">
        <f t="shared" si="6"/>
        <v>0.69 (0.69 to 0.70)</v>
      </c>
    </row>
    <row r="185" spans="1:15" ht="17.25" thickBot="1" x14ac:dyDescent="0.35">
      <c r="A185" s="6"/>
      <c r="B185" s="3">
        <v>2</v>
      </c>
      <c r="C185" s="11" t="s">
        <v>115</v>
      </c>
      <c r="D185" s="2">
        <v>6985</v>
      </c>
      <c r="E185" s="2">
        <v>0.64872700000000005</v>
      </c>
      <c r="F185" s="2">
        <v>1.122E-3</v>
      </c>
      <c r="G185" s="2">
        <v>0.64652661</v>
      </c>
      <c r="H185" s="2">
        <v>0.65092828999999996</v>
      </c>
      <c r="J185" t="str">
        <f t="shared" si="6"/>
        <v>0.65 (0.65 to 0.65)</v>
      </c>
    </row>
    <row r="186" spans="1:15" ht="17.25" thickBot="1" x14ac:dyDescent="0.35">
      <c r="A186" s="6">
        <v>6</v>
      </c>
      <c r="B186" s="3">
        <v>1</v>
      </c>
      <c r="C186" s="11" t="s">
        <v>115</v>
      </c>
      <c r="D186" s="2">
        <v>2024</v>
      </c>
      <c r="E186" s="2">
        <v>0.69166300000000003</v>
      </c>
      <c r="F186" s="2">
        <v>2.1710000000000002E-3</v>
      </c>
      <c r="G186" s="2">
        <v>0.68740583</v>
      </c>
      <c r="H186" s="2">
        <v>0.69592034999999997</v>
      </c>
      <c r="J186" t="str">
        <f t="shared" si="6"/>
        <v>0.69 (0.69 to 0.70)</v>
      </c>
    </row>
    <row r="187" spans="1:15" x14ac:dyDescent="0.3">
      <c r="A187" s="6"/>
      <c r="B187" s="3">
        <v>2</v>
      </c>
      <c r="C187" s="14" t="s">
        <v>115</v>
      </c>
      <c r="D187" s="2">
        <v>2392</v>
      </c>
      <c r="E187" s="2">
        <v>0.64352799999999999</v>
      </c>
      <c r="F187" s="2">
        <v>1.7420000000000001E-3</v>
      </c>
      <c r="G187" s="2">
        <v>0.64011209000000002</v>
      </c>
      <c r="H187" s="2">
        <v>0.64694470999999998</v>
      </c>
      <c r="J187" t="str">
        <f t="shared" si="6"/>
        <v>0.64 (0.64 to 0.65)</v>
      </c>
    </row>
    <row r="191" spans="1:15" x14ac:dyDescent="0.3">
      <c r="A191" s="1" t="s">
        <v>237</v>
      </c>
    </row>
    <row r="193" spans="1:6" x14ac:dyDescent="0.3">
      <c r="A193" s="1" t="s">
        <v>1</v>
      </c>
    </row>
    <row r="194" spans="1:6" ht="17.25" thickBot="1" x14ac:dyDescent="0.35"/>
    <row r="195" spans="1:6" ht="16.5" customHeight="1" x14ac:dyDescent="0.3">
      <c r="A195" s="16" t="s">
        <v>135</v>
      </c>
      <c r="B195" s="18"/>
    </row>
    <row r="196" spans="1:6" ht="26.25" thickBot="1" x14ac:dyDescent="0.35">
      <c r="A196" s="12" t="s">
        <v>136</v>
      </c>
      <c r="B196" s="2">
        <v>183</v>
      </c>
    </row>
    <row r="197" spans="1:6" ht="26.25" thickBot="1" x14ac:dyDescent="0.35">
      <c r="A197" s="12" t="s">
        <v>137</v>
      </c>
      <c r="B197" s="2">
        <v>2949</v>
      </c>
    </row>
    <row r="198" spans="1:6" ht="39" thickBot="1" x14ac:dyDescent="0.35">
      <c r="A198" s="12" t="s">
        <v>138</v>
      </c>
      <c r="B198" s="2">
        <v>23222</v>
      </c>
    </row>
    <row r="199" spans="1:6" ht="25.5" x14ac:dyDescent="0.3">
      <c r="A199" s="13" t="s">
        <v>139</v>
      </c>
      <c r="B199" s="2">
        <v>9036880.5199999996</v>
      </c>
    </row>
    <row r="200" spans="1:6" ht="17.25" thickBot="1" x14ac:dyDescent="0.35"/>
    <row r="201" spans="1:6" ht="33" customHeight="1" x14ac:dyDescent="0.3">
      <c r="A201" s="16" t="s">
        <v>140</v>
      </c>
      <c r="B201" s="18"/>
    </row>
    <row r="202" spans="1:6" ht="33.75" thickBot="1" x14ac:dyDescent="0.35">
      <c r="A202" s="12" t="s">
        <v>141</v>
      </c>
      <c r="B202" s="2" t="s">
        <v>142</v>
      </c>
    </row>
    <row r="203" spans="1:6" ht="25.5" x14ac:dyDescent="0.3">
      <c r="A203" s="13" t="s">
        <v>143</v>
      </c>
      <c r="B203" s="2" t="s">
        <v>144</v>
      </c>
    </row>
    <row r="204" spans="1:6" ht="17.25" thickBot="1" x14ac:dyDescent="0.35"/>
    <row r="205" spans="1:6" ht="16.5" customHeight="1" x14ac:dyDescent="0.3">
      <c r="A205" s="16" t="s">
        <v>238</v>
      </c>
      <c r="B205" s="18"/>
      <c r="C205" s="18"/>
      <c r="D205" s="18"/>
      <c r="E205" s="18"/>
      <c r="F205" s="18"/>
    </row>
    <row r="206" spans="1:6" ht="16.5" customHeight="1" x14ac:dyDescent="0.3">
      <c r="A206" s="17" t="s">
        <v>239</v>
      </c>
      <c r="B206" s="19" t="s">
        <v>94</v>
      </c>
      <c r="C206" s="19" t="s">
        <v>240</v>
      </c>
      <c r="D206" s="3" t="s">
        <v>241</v>
      </c>
      <c r="E206" s="19" t="s">
        <v>243</v>
      </c>
      <c r="F206" s="19"/>
    </row>
    <row r="207" spans="1:6" x14ac:dyDescent="0.3">
      <c r="A207" s="17"/>
      <c r="B207" s="19"/>
      <c r="C207" s="19"/>
      <c r="D207" s="3" t="s">
        <v>242</v>
      </c>
      <c r="E207" s="19"/>
      <c r="F207" s="19"/>
    </row>
    <row r="208" spans="1:6" x14ac:dyDescent="0.3">
      <c r="A208" s="13" t="s">
        <v>115</v>
      </c>
      <c r="B208" s="2">
        <v>23222</v>
      </c>
      <c r="C208" s="2">
        <v>0.64841899999999997</v>
      </c>
      <c r="D208" s="2">
        <v>7.7200000000000001E-4</v>
      </c>
      <c r="E208" s="2">
        <v>0.64690462000000004</v>
      </c>
      <c r="F208" s="2">
        <v>0.64993400999999995</v>
      </c>
    </row>
    <row r="212" spans="1:8" x14ac:dyDescent="0.3">
      <c r="A212" s="1" t="s">
        <v>237</v>
      </c>
    </row>
    <row r="214" spans="1:8" x14ac:dyDescent="0.3">
      <c r="A214" s="1" t="s">
        <v>1</v>
      </c>
    </row>
    <row r="215" spans="1:8" ht="17.25" thickBot="1" x14ac:dyDescent="0.35"/>
    <row r="216" spans="1:8" ht="16.5" customHeight="1" x14ac:dyDescent="0.3">
      <c r="A216" s="16" t="s">
        <v>252</v>
      </c>
      <c r="B216" s="18"/>
      <c r="C216" s="18"/>
      <c r="D216" s="18"/>
      <c r="E216" s="18"/>
      <c r="F216" s="18"/>
      <c r="G216" s="18"/>
      <c r="H216" s="18"/>
    </row>
    <row r="217" spans="1:8" ht="16.5" customHeight="1" x14ac:dyDescent="0.3">
      <c r="A217" s="17" t="s">
        <v>249</v>
      </c>
      <c r="B217" s="19" t="s">
        <v>7</v>
      </c>
      <c r="C217" s="19" t="s">
        <v>239</v>
      </c>
      <c r="D217" s="19" t="s">
        <v>94</v>
      </c>
      <c r="E217" s="19" t="s">
        <v>240</v>
      </c>
      <c r="F217" s="3" t="s">
        <v>241</v>
      </c>
      <c r="G217" s="19" t="s">
        <v>243</v>
      </c>
      <c r="H217" s="19"/>
    </row>
    <row r="218" spans="1:8" x14ac:dyDescent="0.3">
      <c r="A218" s="17"/>
      <c r="B218" s="19"/>
      <c r="C218" s="19"/>
      <c r="D218" s="19"/>
      <c r="E218" s="19"/>
      <c r="F218" s="3" t="s">
        <v>242</v>
      </c>
      <c r="G218" s="19"/>
      <c r="H218" s="19"/>
    </row>
    <row r="219" spans="1:8" ht="17.25" thickBot="1" x14ac:dyDescent="0.35">
      <c r="A219" s="6">
        <v>1</v>
      </c>
      <c r="B219" s="3">
        <v>1</v>
      </c>
      <c r="C219" s="11" t="s">
        <v>115</v>
      </c>
      <c r="D219" s="2">
        <v>2642</v>
      </c>
      <c r="E219" s="2">
        <v>0.65112700000000001</v>
      </c>
      <c r="F219" s="2">
        <v>2.6099999999999999E-3</v>
      </c>
      <c r="G219" s="2">
        <v>0.64600904999999997</v>
      </c>
      <c r="H219" s="2">
        <v>0.65624448999999996</v>
      </c>
    </row>
    <row r="220" spans="1:8" ht="17.25" thickBot="1" x14ac:dyDescent="0.35">
      <c r="A220" s="6"/>
      <c r="B220" s="3">
        <v>2</v>
      </c>
      <c r="C220" s="11" t="s">
        <v>115</v>
      </c>
      <c r="D220" s="2">
        <v>1098</v>
      </c>
      <c r="E220" s="2">
        <v>0.67298000000000002</v>
      </c>
      <c r="F220" s="2">
        <v>4.2919999999999998E-3</v>
      </c>
      <c r="G220" s="2">
        <v>0.66456324</v>
      </c>
      <c r="H220" s="2">
        <v>0.68139596999999996</v>
      </c>
    </row>
    <row r="221" spans="1:8" ht="17.25" thickBot="1" x14ac:dyDescent="0.35">
      <c r="A221" s="6">
        <v>2</v>
      </c>
      <c r="B221" s="3">
        <v>1</v>
      </c>
      <c r="C221" s="11" t="s">
        <v>115</v>
      </c>
      <c r="D221" s="2">
        <v>3727</v>
      </c>
      <c r="E221" s="2">
        <v>0.62795800000000002</v>
      </c>
      <c r="F221" s="2">
        <v>1.684E-3</v>
      </c>
      <c r="G221" s="2">
        <v>0.62465583999999996</v>
      </c>
      <c r="H221" s="2">
        <v>0.63126097000000003</v>
      </c>
    </row>
    <row r="222" spans="1:8" ht="17.25" thickBot="1" x14ac:dyDescent="0.35">
      <c r="A222" s="6"/>
      <c r="B222" s="3">
        <v>2</v>
      </c>
      <c r="C222" s="11" t="s">
        <v>115</v>
      </c>
      <c r="D222" s="2">
        <v>1005</v>
      </c>
      <c r="E222" s="2">
        <v>0.64670899999999998</v>
      </c>
      <c r="F222" s="2">
        <v>3.6020000000000002E-3</v>
      </c>
      <c r="G222" s="2">
        <v>0.63964664000000004</v>
      </c>
      <c r="H222" s="2">
        <v>0.65377193</v>
      </c>
    </row>
    <row r="223" spans="1:8" ht="17.25" thickBot="1" x14ac:dyDescent="0.35">
      <c r="A223" s="6">
        <v>3</v>
      </c>
      <c r="B223" s="3">
        <v>1</v>
      </c>
      <c r="C223" s="11" t="s">
        <v>115</v>
      </c>
      <c r="D223" s="2">
        <v>3330</v>
      </c>
      <c r="E223" s="2">
        <v>0.64181299999999997</v>
      </c>
      <c r="F223" s="2">
        <v>1.9430000000000001E-3</v>
      </c>
      <c r="G223" s="2">
        <v>0.63800270999999997</v>
      </c>
      <c r="H223" s="2">
        <v>0.64562421999999997</v>
      </c>
    </row>
    <row r="224" spans="1:8" ht="17.25" thickBot="1" x14ac:dyDescent="0.35">
      <c r="A224" s="6"/>
      <c r="B224" s="3">
        <v>2</v>
      </c>
      <c r="C224" s="11" t="s">
        <v>115</v>
      </c>
      <c r="D224" s="2">
        <v>927</v>
      </c>
      <c r="E224" s="2">
        <v>0.66008500000000003</v>
      </c>
      <c r="F224" s="2">
        <v>4.2779999999999997E-3</v>
      </c>
      <c r="G224" s="2">
        <v>0.65169602000000004</v>
      </c>
      <c r="H224" s="2">
        <v>0.66847383999999999</v>
      </c>
    </row>
    <row r="225" spans="1:8" ht="17.25" thickBot="1" x14ac:dyDescent="0.35">
      <c r="A225" s="6">
        <v>4</v>
      </c>
      <c r="B225" s="3">
        <v>1</v>
      </c>
      <c r="C225" s="11" t="s">
        <v>115</v>
      </c>
      <c r="D225" s="2">
        <v>3631</v>
      </c>
      <c r="E225" s="2">
        <v>0.64356999999999998</v>
      </c>
      <c r="F225" s="2">
        <v>1.9499999999999999E-3</v>
      </c>
      <c r="G225" s="2">
        <v>0.63974644000000003</v>
      </c>
      <c r="H225" s="2">
        <v>0.64739309</v>
      </c>
    </row>
    <row r="226" spans="1:8" ht="17.25" thickBot="1" x14ac:dyDescent="0.35">
      <c r="A226" s="6"/>
      <c r="B226" s="3">
        <v>2</v>
      </c>
      <c r="C226" s="11" t="s">
        <v>115</v>
      </c>
      <c r="D226" s="2">
        <v>925</v>
      </c>
      <c r="E226" s="2">
        <v>0.66320400000000002</v>
      </c>
      <c r="F226" s="2">
        <v>4.4790000000000003E-3</v>
      </c>
      <c r="G226" s="2">
        <v>0.65442065999999999</v>
      </c>
      <c r="H226" s="2">
        <v>0.67198676000000002</v>
      </c>
    </row>
    <row r="227" spans="1:8" ht="17.25" thickBot="1" x14ac:dyDescent="0.35">
      <c r="A227" s="6">
        <v>5</v>
      </c>
      <c r="B227" s="3">
        <v>1</v>
      </c>
      <c r="C227" s="11" t="s">
        <v>115</v>
      </c>
      <c r="D227" s="2">
        <v>3388</v>
      </c>
      <c r="E227" s="2">
        <v>0.657308</v>
      </c>
      <c r="F227" s="2">
        <v>2.003E-3</v>
      </c>
      <c r="G227" s="2">
        <v>0.65337999999999996</v>
      </c>
      <c r="H227" s="2">
        <v>0.66123567999999999</v>
      </c>
    </row>
    <row r="228" spans="1:8" ht="17.25" thickBot="1" x14ac:dyDescent="0.35">
      <c r="A228" s="6"/>
      <c r="B228" s="3">
        <v>2</v>
      </c>
      <c r="C228" s="11" t="s">
        <v>115</v>
      </c>
      <c r="D228" s="2">
        <v>1113</v>
      </c>
      <c r="E228" s="2">
        <v>0.67807399999999995</v>
      </c>
      <c r="F228" s="2">
        <v>4.4520000000000002E-3</v>
      </c>
      <c r="G228" s="2">
        <v>0.66934455999999998</v>
      </c>
      <c r="H228" s="2">
        <v>0.68680279</v>
      </c>
    </row>
    <row r="229" spans="1:8" ht="17.25" thickBot="1" x14ac:dyDescent="0.35">
      <c r="A229" s="6">
        <v>6</v>
      </c>
      <c r="B229" s="3">
        <v>1</v>
      </c>
      <c r="C229" s="11" t="s">
        <v>115</v>
      </c>
      <c r="D229" s="2">
        <v>1051</v>
      </c>
      <c r="E229" s="2">
        <v>0.64976</v>
      </c>
      <c r="F229" s="2">
        <v>3.0460000000000001E-3</v>
      </c>
      <c r="G229" s="2">
        <v>0.64378696000000002</v>
      </c>
      <c r="H229" s="2">
        <v>0.65573218</v>
      </c>
    </row>
    <row r="230" spans="1:8" x14ac:dyDescent="0.3">
      <c r="A230" s="6"/>
      <c r="B230" s="3">
        <v>2</v>
      </c>
      <c r="C230" s="14" t="s">
        <v>115</v>
      </c>
      <c r="D230" s="2">
        <v>385</v>
      </c>
      <c r="E230" s="2">
        <v>0.67215800000000003</v>
      </c>
      <c r="F230" s="2">
        <v>7.7140000000000004E-3</v>
      </c>
      <c r="G230" s="2">
        <v>0.65703274</v>
      </c>
      <c r="H230" s="2">
        <v>0.68728376999999996</v>
      </c>
    </row>
    <row r="234" spans="1:8" x14ac:dyDescent="0.3">
      <c r="A234" s="1" t="s">
        <v>237</v>
      </c>
    </row>
    <row r="236" spans="1:8" x14ac:dyDescent="0.3">
      <c r="A236" s="1" t="s">
        <v>21</v>
      </c>
    </row>
    <row r="237" spans="1:8" ht="17.25" thickBot="1" x14ac:dyDescent="0.35"/>
    <row r="238" spans="1:8" ht="16.5" customHeight="1" x14ac:dyDescent="0.3">
      <c r="A238" s="16" t="s">
        <v>135</v>
      </c>
      <c r="B238" s="18"/>
    </row>
    <row r="239" spans="1:8" ht="26.25" thickBot="1" x14ac:dyDescent="0.35">
      <c r="A239" s="12" t="s">
        <v>136</v>
      </c>
      <c r="B239" s="2">
        <v>183</v>
      </c>
    </row>
    <row r="240" spans="1:8" ht="26.25" thickBot="1" x14ac:dyDescent="0.35">
      <c r="A240" s="12" t="s">
        <v>137</v>
      </c>
      <c r="B240" s="2">
        <v>2982</v>
      </c>
    </row>
    <row r="241" spans="1:6" ht="39" thickBot="1" x14ac:dyDescent="0.35">
      <c r="A241" s="12" t="s">
        <v>138</v>
      </c>
      <c r="B241" s="2">
        <v>68635</v>
      </c>
    </row>
    <row r="242" spans="1:6" ht="25.5" x14ac:dyDescent="0.3">
      <c r="A242" s="13" t="s">
        <v>139</v>
      </c>
      <c r="B242" s="2">
        <v>30251935.699999999</v>
      </c>
    </row>
    <row r="243" spans="1:6" ht="17.25" thickBot="1" x14ac:dyDescent="0.35"/>
    <row r="244" spans="1:6" ht="33" customHeight="1" x14ac:dyDescent="0.3">
      <c r="A244" s="16" t="s">
        <v>140</v>
      </c>
      <c r="B244" s="18"/>
    </row>
    <row r="245" spans="1:6" ht="33.75" thickBot="1" x14ac:dyDescent="0.35">
      <c r="A245" s="12" t="s">
        <v>141</v>
      </c>
      <c r="B245" s="2" t="s">
        <v>142</v>
      </c>
    </row>
    <row r="246" spans="1:6" ht="25.5" x14ac:dyDescent="0.3">
      <c r="A246" s="13" t="s">
        <v>143</v>
      </c>
      <c r="B246" s="2" t="s">
        <v>144</v>
      </c>
    </row>
    <row r="247" spans="1:6" ht="17.25" thickBot="1" x14ac:dyDescent="0.35"/>
    <row r="248" spans="1:6" ht="16.5" customHeight="1" x14ac:dyDescent="0.3">
      <c r="A248" s="16" t="s">
        <v>238</v>
      </c>
      <c r="B248" s="18"/>
      <c r="C248" s="18"/>
      <c r="D248" s="18"/>
      <c r="E248" s="18"/>
      <c r="F248" s="18"/>
    </row>
    <row r="249" spans="1:6" ht="16.5" customHeight="1" x14ac:dyDescent="0.3">
      <c r="A249" s="17" t="s">
        <v>239</v>
      </c>
      <c r="B249" s="19" t="s">
        <v>94</v>
      </c>
      <c r="C249" s="19" t="s">
        <v>240</v>
      </c>
      <c r="D249" s="3" t="s">
        <v>241</v>
      </c>
      <c r="E249" s="19" t="s">
        <v>243</v>
      </c>
      <c r="F249" s="19"/>
    </row>
    <row r="250" spans="1:6" x14ac:dyDescent="0.3">
      <c r="A250" s="17"/>
      <c r="B250" s="19"/>
      <c r="C250" s="19"/>
      <c r="D250" s="3" t="s">
        <v>242</v>
      </c>
      <c r="E250" s="19"/>
      <c r="F250" s="19"/>
    </row>
    <row r="251" spans="1:6" x14ac:dyDescent="0.3">
      <c r="A251" s="13" t="s">
        <v>115</v>
      </c>
      <c r="B251" s="2">
        <v>68635</v>
      </c>
      <c r="C251" s="2">
        <v>0.66370899999999999</v>
      </c>
      <c r="D251" s="2">
        <v>4.4099999999999999E-4</v>
      </c>
      <c r="E251" s="2">
        <v>0.66284405999999996</v>
      </c>
      <c r="F251" s="2">
        <v>0.66457339000000004</v>
      </c>
    </row>
    <row r="255" spans="1:6" x14ac:dyDescent="0.3">
      <c r="A255" s="1" t="s">
        <v>237</v>
      </c>
    </row>
    <row r="257" spans="1:15" x14ac:dyDescent="0.3">
      <c r="A257" s="1" t="s">
        <v>21</v>
      </c>
    </row>
    <row r="258" spans="1:15" ht="17.25" thickBot="1" x14ac:dyDescent="0.35"/>
    <row r="259" spans="1:15" ht="16.5" customHeight="1" x14ac:dyDescent="0.3">
      <c r="A259" s="16" t="s">
        <v>252</v>
      </c>
      <c r="B259" s="18"/>
      <c r="C259" s="18"/>
      <c r="D259" s="18"/>
      <c r="E259" s="18"/>
      <c r="F259" s="18"/>
      <c r="G259" s="18"/>
      <c r="H259" s="18"/>
    </row>
    <row r="260" spans="1:15" ht="16.5" customHeight="1" x14ac:dyDescent="0.3">
      <c r="A260" s="17" t="s">
        <v>249</v>
      </c>
      <c r="B260" s="19" t="s">
        <v>7</v>
      </c>
      <c r="C260" s="19" t="s">
        <v>239</v>
      </c>
      <c r="D260" s="19" t="s">
        <v>94</v>
      </c>
      <c r="E260" s="19" t="s">
        <v>240</v>
      </c>
      <c r="F260" s="3" t="s">
        <v>241</v>
      </c>
      <c r="G260" s="19" t="s">
        <v>243</v>
      </c>
      <c r="H260" s="19"/>
    </row>
    <row r="261" spans="1:15" x14ac:dyDescent="0.3">
      <c r="A261" s="17"/>
      <c r="B261" s="19"/>
      <c r="C261" s="19"/>
      <c r="D261" s="19"/>
      <c r="E261" s="19"/>
      <c r="F261" s="3" t="s">
        <v>242</v>
      </c>
      <c r="G261" s="19"/>
      <c r="H261" s="19"/>
    </row>
    <row r="262" spans="1:15" ht="17.25" thickBot="1" x14ac:dyDescent="0.35">
      <c r="A262" s="6">
        <v>1</v>
      </c>
      <c r="B262" s="3">
        <v>1</v>
      </c>
      <c r="C262" s="11" t="s">
        <v>115</v>
      </c>
      <c r="D262" s="2">
        <v>8842</v>
      </c>
      <c r="E262" s="2">
        <v>0.65659000000000001</v>
      </c>
      <c r="F262" s="2">
        <v>1.3470000000000001E-3</v>
      </c>
      <c r="G262" s="2">
        <v>0.65394805</v>
      </c>
      <c r="H262" s="2">
        <v>0.65923195000000001</v>
      </c>
      <c r="J262" t="str">
        <f t="shared" ref="J262:J273" si="7">TEXT(E262,"0.00")&amp;" ("&amp;TEXT(G262,"0.00")&amp;" to "&amp;TEXT(H262,"0.00")&amp;")"</f>
        <v>0.66 (0.65 to 0.66)</v>
      </c>
      <c r="K262" t="str">
        <f>J264</f>
        <v>0.65 (0.65 to 0.66)</v>
      </c>
      <c r="L262" t="str">
        <f>J266</f>
        <v>0.66 (0.65 to 0.66)</v>
      </c>
      <c r="M262" t="str">
        <f>J268</f>
        <v>0.66 (0.66 to 0.66)</v>
      </c>
      <c r="N262" t="str">
        <f>J270</f>
        <v>0.67 (0.67 to 0.67)</v>
      </c>
      <c r="O262" t="str">
        <f>J272</f>
        <v>0.67 (0.66 to 0.67)</v>
      </c>
    </row>
    <row r="263" spans="1:15" ht="17.25" thickBot="1" x14ac:dyDescent="0.35">
      <c r="A263" s="6"/>
      <c r="B263" s="3">
        <v>2</v>
      </c>
      <c r="C263" s="11" t="s">
        <v>115</v>
      </c>
      <c r="D263" s="2">
        <v>3073</v>
      </c>
      <c r="E263" s="2">
        <v>0.67799600000000004</v>
      </c>
      <c r="F263" s="2">
        <v>2.4650000000000002E-3</v>
      </c>
      <c r="G263" s="2">
        <v>0.67316145999999999</v>
      </c>
      <c r="H263" s="2">
        <v>0.68283013999999997</v>
      </c>
      <c r="J263" t="str">
        <f t="shared" si="7"/>
        <v>0.68 (0.67 to 0.68)</v>
      </c>
      <c r="K263" t="str">
        <f>J265</f>
        <v>0.68 (0.67 to 0.68)</v>
      </c>
      <c r="L263" t="str">
        <f>J267</f>
        <v>0.67 (0.67 to 0.68)</v>
      </c>
      <c r="M263" t="str">
        <f>J269</f>
        <v>0.68 (0.67 to 0.68)</v>
      </c>
      <c r="N263" t="str">
        <f>J271</f>
        <v>0.68 (0.68 to 0.69)</v>
      </c>
      <c r="O263" t="str">
        <f>J273</f>
        <v>0.68 (0.68 to 0.69)</v>
      </c>
    </row>
    <row r="264" spans="1:15" ht="17.25" thickBot="1" x14ac:dyDescent="0.35">
      <c r="A264" s="6">
        <v>2</v>
      </c>
      <c r="B264" s="3">
        <v>1</v>
      </c>
      <c r="C264" s="11" t="s">
        <v>115</v>
      </c>
      <c r="D264" s="2">
        <v>10502</v>
      </c>
      <c r="E264" s="2">
        <v>0.65311699999999995</v>
      </c>
      <c r="F264" s="2">
        <v>1.111E-3</v>
      </c>
      <c r="G264" s="2">
        <v>0.65093891000000004</v>
      </c>
      <c r="H264" s="2">
        <v>0.65529486999999997</v>
      </c>
      <c r="J264" t="str">
        <f t="shared" si="7"/>
        <v>0.65 (0.65 to 0.66)</v>
      </c>
    </row>
    <row r="265" spans="1:15" ht="17.25" thickBot="1" x14ac:dyDescent="0.35">
      <c r="A265" s="6"/>
      <c r="B265" s="3">
        <v>2</v>
      </c>
      <c r="C265" s="11" t="s">
        <v>115</v>
      </c>
      <c r="D265" s="2">
        <v>2614</v>
      </c>
      <c r="E265" s="2">
        <v>0.67651700000000003</v>
      </c>
      <c r="F265" s="2">
        <v>2.526E-3</v>
      </c>
      <c r="G265" s="2">
        <v>0.67156366000000001</v>
      </c>
      <c r="H265" s="2">
        <v>0.68147088</v>
      </c>
      <c r="J265" t="str">
        <f t="shared" si="7"/>
        <v>0.68 (0.67 to 0.68)</v>
      </c>
    </row>
    <row r="266" spans="1:15" ht="17.25" thickBot="1" x14ac:dyDescent="0.35">
      <c r="A266" s="6">
        <v>3</v>
      </c>
      <c r="B266" s="3">
        <v>1</v>
      </c>
      <c r="C266" s="11" t="s">
        <v>115</v>
      </c>
      <c r="D266" s="2">
        <v>9470</v>
      </c>
      <c r="E266" s="2">
        <v>0.65593900000000005</v>
      </c>
      <c r="F266" s="2">
        <v>1.1199999999999999E-3</v>
      </c>
      <c r="G266" s="2">
        <v>0.65374374999999996</v>
      </c>
      <c r="H266" s="2">
        <v>0.6581342</v>
      </c>
      <c r="J266" t="str">
        <f t="shared" si="7"/>
        <v>0.66 (0.65 to 0.66)</v>
      </c>
    </row>
    <row r="267" spans="1:15" ht="17.25" thickBot="1" x14ac:dyDescent="0.35">
      <c r="A267" s="6"/>
      <c r="B267" s="3">
        <v>2</v>
      </c>
      <c r="C267" s="11" t="s">
        <v>115</v>
      </c>
      <c r="D267" s="2">
        <v>2005</v>
      </c>
      <c r="E267" s="2">
        <v>0.67475499999999999</v>
      </c>
      <c r="F267" s="2">
        <v>2.908E-3</v>
      </c>
      <c r="G267" s="2">
        <v>0.66905331000000001</v>
      </c>
      <c r="H267" s="2">
        <v>0.68045568999999995</v>
      </c>
      <c r="J267" t="str">
        <f t="shared" si="7"/>
        <v>0.67 (0.67 to 0.68)</v>
      </c>
    </row>
    <row r="268" spans="1:15" ht="17.25" thickBot="1" x14ac:dyDescent="0.35">
      <c r="A268" s="6">
        <v>4</v>
      </c>
      <c r="B268" s="3">
        <v>1</v>
      </c>
      <c r="C268" s="11" t="s">
        <v>115</v>
      </c>
      <c r="D268" s="2">
        <v>11734</v>
      </c>
      <c r="E268" s="2">
        <v>0.66236799999999996</v>
      </c>
      <c r="F268" s="2">
        <v>1.057E-3</v>
      </c>
      <c r="G268" s="2">
        <v>0.66029643999999998</v>
      </c>
      <c r="H268" s="2">
        <v>0.66444040999999998</v>
      </c>
      <c r="J268" t="str">
        <f t="shared" si="7"/>
        <v>0.66 (0.66 to 0.66)</v>
      </c>
    </row>
    <row r="269" spans="1:15" ht="17.25" thickBot="1" x14ac:dyDescent="0.35">
      <c r="A269" s="6"/>
      <c r="B269" s="3">
        <v>2</v>
      </c>
      <c r="C269" s="11" t="s">
        <v>115</v>
      </c>
      <c r="D269" s="2">
        <v>2424</v>
      </c>
      <c r="E269" s="2">
        <v>0.67828699999999997</v>
      </c>
      <c r="F269" s="2">
        <v>3.0270000000000002E-3</v>
      </c>
      <c r="G269" s="2">
        <v>0.67235131000000004</v>
      </c>
      <c r="H269" s="2">
        <v>0.68422243000000005</v>
      </c>
      <c r="J269" t="str">
        <f t="shared" si="7"/>
        <v>0.68 (0.67 to 0.68)</v>
      </c>
    </row>
    <row r="270" spans="1:15" ht="17.25" thickBot="1" x14ac:dyDescent="0.35">
      <c r="A270" s="6">
        <v>5</v>
      </c>
      <c r="B270" s="3">
        <v>1</v>
      </c>
      <c r="C270" s="11" t="s">
        <v>115</v>
      </c>
      <c r="D270" s="2">
        <v>10990</v>
      </c>
      <c r="E270" s="2">
        <v>0.67013900000000004</v>
      </c>
      <c r="F270" s="2">
        <v>1.034E-3</v>
      </c>
      <c r="G270" s="2">
        <v>0.66811235999999996</v>
      </c>
      <c r="H270" s="2">
        <v>0.67216609000000005</v>
      </c>
      <c r="J270" t="str">
        <f t="shared" si="7"/>
        <v>0.67 (0.67 to 0.67)</v>
      </c>
    </row>
    <row r="271" spans="1:15" ht="17.25" thickBot="1" x14ac:dyDescent="0.35">
      <c r="A271" s="6"/>
      <c r="B271" s="3">
        <v>2</v>
      </c>
      <c r="C271" s="11" t="s">
        <v>115</v>
      </c>
      <c r="D271" s="2">
        <v>2565</v>
      </c>
      <c r="E271" s="2">
        <v>0.68495600000000001</v>
      </c>
      <c r="F271" s="2">
        <v>2.415E-3</v>
      </c>
      <c r="G271" s="2">
        <v>0.68022075000000004</v>
      </c>
      <c r="H271" s="2">
        <v>0.68969223000000002</v>
      </c>
      <c r="J271" t="str">
        <f t="shared" si="7"/>
        <v>0.68 (0.68 to 0.69)</v>
      </c>
    </row>
    <row r="272" spans="1:15" ht="17.25" thickBot="1" x14ac:dyDescent="0.35">
      <c r="A272" s="6">
        <v>6</v>
      </c>
      <c r="B272" s="3">
        <v>1</v>
      </c>
      <c r="C272" s="11" t="s">
        <v>115</v>
      </c>
      <c r="D272" s="2">
        <v>3638</v>
      </c>
      <c r="E272" s="2">
        <v>0.66663499999999998</v>
      </c>
      <c r="F272" s="2">
        <v>1.7669999999999999E-3</v>
      </c>
      <c r="G272" s="2">
        <v>0.66317022000000003</v>
      </c>
      <c r="H272" s="2">
        <v>0.67009938999999996</v>
      </c>
      <c r="J272" t="str">
        <f t="shared" si="7"/>
        <v>0.67 (0.66 to 0.67)</v>
      </c>
    </row>
    <row r="273" spans="1:10" x14ac:dyDescent="0.3">
      <c r="A273" s="6"/>
      <c r="B273" s="3">
        <v>2</v>
      </c>
      <c r="C273" s="14" t="s">
        <v>115</v>
      </c>
      <c r="D273" s="2">
        <v>778</v>
      </c>
      <c r="E273" s="2">
        <v>0.68200000000000005</v>
      </c>
      <c r="F273" s="2">
        <v>3.3519999999999999E-3</v>
      </c>
      <c r="G273" s="2">
        <v>0.67542674999999996</v>
      </c>
      <c r="H273" s="2">
        <v>0.68857367000000003</v>
      </c>
      <c r="J273" t="str">
        <f t="shared" si="7"/>
        <v>0.68 (0.68 to 0.69)</v>
      </c>
    </row>
    <row r="277" spans="1:10" x14ac:dyDescent="0.3">
      <c r="A277" s="1" t="s">
        <v>237</v>
      </c>
    </row>
    <row r="279" spans="1:10" x14ac:dyDescent="0.3">
      <c r="A279" s="1" t="s">
        <v>1</v>
      </c>
    </row>
    <row r="280" spans="1:10" ht="17.25" thickBot="1" x14ac:dyDescent="0.35"/>
    <row r="281" spans="1:10" ht="16.5" customHeight="1" x14ac:dyDescent="0.3">
      <c r="A281" s="16" t="s">
        <v>135</v>
      </c>
      <c r="B281" s="18"/>
    </row>
    <row r="282" spans="1:10" ht="26.25" thickBot="1" x14ac:dyDescent="0.35">
      <c r="A282" s="12" t="s">
        <v>136</v>
      </c>
      <c r="B282" s="2">
        <v>183</v>
      </c>
    </row>
    <row r="283" spans="1:10" ht="26.25" thickBot="1" x14ac:dyDescent="0.35">
      <c r="A283" s="12" t="s">
        <v>137</v>
      </c>
      <c r="B283" s="2">
        <v>2949</v>
      </c>
    </row>
    <row r="284" spans="1:10" ht="39" thickBot="1" x14ac:dyDescent="0.35">
      <c r="A284" s="12" t="s">
        <v>138</v>
      </c>
      <c r="B284" s="2">
        <v>23222</v>
      </c>
    </row>
    <row r="285" spans="1:10" ht="25.5" x14ac:dyDescent="0.3">
      <c r="A285" s="13" t="s">
        <v>139</v>
      </c>
      <c r="B285" s="2">
        <v>9036880.5199999996</v>
      </c>
    </row>
    <row r="286" spans="1:10" ht="17.25" thickBot="1" x14ac:dyDescent="0.35"/>
    <row r="287" spans="1:10" ht="33" customHeight="1" x14ac:dyDescent="0.3">
      <c r="A287" s="16" t="s">
        <v>140</v>
      </c>
      <c r="B287" s="18"/>
    </row>
    <row r="288" spans="1:10" ht="33.75" thickBot="1" x14ac:dyDescent="0.35">
      <c r="A288" s="12" t="s">
        <v>141</v>
      </c>
      <c r="B288" s="2" t="s">
        <v>142</v>
      </c>
    </row>
    <row r="289" spans="1:8" ht="25.5" x14ac:dyDescent="0.3">
      <c r="A289" s="13" t="s">
        <v>143</v>
      </c>
      <c r="B289" s="2" t="s">
        <v>144</v>
      </c>
    </row>
    <row r="290" spans="1:8" ht="17.25" thickBot="1" x14ac:dyDescent="0.35"/>
    <row r="291" spans="1:8" ht="16.5" customHeight="1" x14ac:dyDescent="0.3">
      <c r="A291" s="16" t="s">
        <v>238</v>
      </c>
      <c r="B291" s="18"/>
      <c r="C291" s="18"/>
      <c r="D291" s="18"/>
      <c r="E291" s="18"/>
      <c r="F291" s="18"/>
    </row>
    <row r="292" spans="1:8" ht="16.5" customHeight="1" x14ac:dyDescent="0.3">
      <c r="A292" s="17" t="s">
        <v>239</v>
      </c>
      <c r="B292" s="19" t="s">
        <v>94</v>
      </c>
      <c r="C292" s="19" t="s">
        <v>240</v>
      </c>
      <c r="D292" s="3" t="s">
        <v>241</v>
      </c>
      <c r="E292" s="19" t="s">
        <v>243</v>
      </c>
      <c r="F292" s="19"/>
    </row>
    <row r="293" spans="1:8" x14ac:dyDescent="0.3">
      <c r="A293" s="17"/>
      <c r="B293" s="19"/>
      <c r="C293" s="19"/>
      <c r="D293" s="3" t="s">
        <v>242</v>
      </c>
      <c r="E293" s="19"/>
      <c r="F293" s="19"/>
    </row>
    <row r="294" spans="1:8" x14ac:dyDescent="0.3">
      <c r="A294" s="13" t="s">
        <v>115</v>
      </c>
      <c r="B294" s="2">
        <v>23222</v>
      </c>
      <c r="C294" s="2">
        <v>0.64841899999999997</v>
      </c>
      <c r="D294" s="2">
        <v>7.7200000000000001E-4</v>
      </c>
      <c r="E294" s="2">
        <v>0.64690462000000004</v>
      </c>
      <c r="F294" s="2">
        <v>0.64993400999999995</v>
      </c>
    </row>
    <row r="298" spans="1:8" x14ac:dyDescent="0.3">
      <c r="A298" s="1" t="s">
        <v>237</v>
      </c>
    </row>
    <row r="300" spans="1:8" x14ac:dyDescent="0.3">
      <c r="A300" s="1" t="s">
        <v>1</v>
      </c>
    </row>
    <row r="301" spans="1:8" ht="17.25" thickBot="1" x14ac:dyDescent="0.35"/>
    <row r="302" spans="1:8" ht="16.5" customHeight="1" x14ac:dyDescent="0.3">
      <c r="A302" s="16" t="s">
        <v>253</v>
      </c>
      <c r="B302" s="18"/>
      <c r="C302" s="18"/>
      <c r="D302" s="18"/>
      <c r="E302" s="18"/>
      <c r="F302" s="18"/>
      <c r="G302" s="18"/>
      <c r="H302" s="18"/>
    </row>
    <row r="303" spans="1:8" ht="16.5" customHeight="1" x14ac:dyDescent="0.3">
      <c r="A303" s="17" t="s">
        <v>249</v>
      </c>
      <c r="B303" s="19" t="s">
        <v>8</v>
      </c>
      <c r="C303" s="19" t="s">
        <v>239</v>
      </c>
      <c r="D303" s="19" t="s">
        <v>94</v>
      </c>
      <c r="E303" s="19" t="s">
        <v>240</v>
      </c>
      <c r="F303" s="3" t="s">
        <v>241</v>
      </c>
      <c r="G303" s="19" t="s">
        <v>243</v>
      </c>
      <c r="H303" s="19"/>
    </row>
    <row r="304" spans="1:8" x14ac:dyDescent="0.3">
      <c r="A304" s="17"/>
      <c r="B304" s="19"/>
      <c r="C304" s="19"/>
      <c r="D304" s="19"/>
      <c r="E304" s="19"/>
      <c r="F304" s="3" t="s">
        <v>242</v>
      </c>
      <c r="G304" s="19"/>
      <c r="H304" s="19"/>
    </row>
    <row r="305" spans="1:8" ht="17.25" thickBot="1" x14ac:dyDescent="0.35">
      <c r="A305" s="6">
        <v>1</v>
      </c>
      <c r="B305" s="3">
        <v>1</v>
      </c>
      <c r="C305" s="11" t="s">
        <v>115</v>
      </c>
      <c r="D305" s="2">
        <v>463</v>
      </c>
      <c r="E305" s="2">
        <v>0.72484300000000002</v>
      </c>
      <c r="F305" s="2">
        <v>3.7720000000000002E-3</v>
      </c>
      <c r="G305" s="2">
        <v>0.71744693999999998</v>
      </c>
      <c r="H305" s="2">
        <v>0.73223910999999997</v>
      </c>
    </row>
    <row r="306" spans="1:8" ht="17.25" thickBot="1" x14ac:dyDescent="0.35">
      <c r="A306" s="6"/>
      <c r="B306" s="3">
        <v>2</v>
      </c>
      <c r="C306" s="11" t="s">
        <v>115</v>
      </c>
      <c r="D306" s="2">
        <v>920</v>
      </c>
      <c r="E306" s="2">
        <v>0.69803700000000002</v>
      </c>
      <c r="F306" s="2">
        <v>3.3430000000000001E-3</v>
      </c>
      <c r="G306" s="2">
        <v>0.69148140999999996</v>
      </c>
      <c r="H306" s="2">
        <v>0.70459227999999996</v>
      </c>
    </row>
    <row r="307" spans="1:8" ht="17.25" thickBot="1" x14ac:dyDescent="0.35">
      <c r="A307" s="6"/>
      <c r="B307" s="3">
        <v>3</v>
      </c>
      <c r="C307" s="11" t="s">
        <v>115</v>
      </c>
      <c r="D307" s="2">
        <v>688</v>
      </c>
      <c r="E307" s="2">
        <v>0.63460099999999997</v>
      </c>
      <c r="F307" s="2">
        <v>3.8730000000000001E-3</v>
      </c>
      <c r="G307" s="2">
        <v>0.62700774999999997</v>
      </c>
      <c r="H307" s="2">
        <v>0.64219468000000002</v>
      </c>
    </row>
    <row r="308" spans="1:8" ht="17.25" thickBot="1" x14ac:dyDescent="0.35">
      <c r="A308" s="6"/>
      <c r="B308" s="3">
        <v>4</v>
      </c>
      <c r="C308" s="11" t="s">
        <v>115</v>
      </c>
      <c r="D308" s="2">
        <v>1429</v>
      </c>
      <c r="E308" s="2">
        <v>0.63878999999999997</v>
      </c>
      <c r="F308" s="2">
        <v>2.6250000000000002E-3</v>
      </c>
      <c r="G308" s="2">
        <v>0.63364195000000001</v>
      </c>
      <c r="H308" s="2">
        <v>0.64393809000000002</v>
      </c>
    </row>
    <row r="309" spans="1:8" ht="17.25" thickBot="1" x14ac:dyDescent="0.35">
      <c r="A309" s="6"/>
      <c r="B309" s="3">
        <v>8</v>
      </c>
      <c r="C309" s="11" t="s">
        <v>115</v>
      </c>
      <c r="D309" s="2">
        <v>240</v>
      </c>
      <c r="E309" s="2">
        <v>0.61896799999999996</v>
      </c>
      <c r="F309" s="2">
        <v>5.1130000000000004E-3</v>
      </c>
      <c r="G309" s="2">
        <v>0.60894185999999995</v>
      </c>
      <c r="H309" s="2">
        <v>0.62899315</v>
      </c>
    </row>
    <row r="310" spans="1:8" ht="17.25" thickBot="1" x14ac:dyDescent="0.35">
      <c r="A310" s="6">
        <v>2</v>
      </c>
      <c r="B310" s="3">
        <v>1</v>
      </c>
      <c r="C310" s="11" t="s">
        <v>115</v>
      </c>
      <c r="D310" s="2">
        <v>1280</v>
      </c>
      <c r="E310" s="2">
        <v>0.68948699999999996</v>
      </c>
      <c r="F310" s="2">
        <v>2.905E-3</v>
      </c>
      <c r="G310" s="2">
        <v>0.68379076000000005</v>
      </c>
      <c r="H310" s="2">
        <v>0.69518405999999999</v>
      </c>
    </row>
    <row r="311" spans="1:8" ht="17.25" thickBot="1" x14ac:dyDescent="0.35">
      <c r="A311" s="6"/>
      <c r="B311" s="3">
        <v>2</v>
      </c>
      <c r="C311" s="11" t="s">
        <v>115</v>
      </c>
      <c r="D311" s="2">
        <v>1127</v>
      </c>
      <c r="E311" s="2">
        <v>0.61419299999999999</v>
      </c>
      <c r="F311" s="2">
        <v>2.5739999999999999E-3</v>
      </c>
      <c r="G311" s="2">
        <v>0.60914626000000005</v>
      </c>
      <c r="H311" s="2">
        <v>0.61923938000000001</v>
      </c>
    </row>
    <row r="312" spans="1:8" ht="17.25" thickBot="1" x14ac:dyDescent="0.35">
      <c r="A312" s="6"/>
      <c r="B312" s="3">
        <v>3</v>
      </c>
      <c r="C312" s="11" t="s">
        <v>115</v>
      </c>
      <c r="D312" s="2">
        <v>1129</v>
      </c>
      <c r="E312" s="2">
        <v>0.61202699999999999</v>
      </c>
      <c r="F312" s="2">
        <v>2.3739999999999998E-3</v>
      </c>
      <c r="G312" s="2">
        <v>0.60737297000000001</v>
      </c>
      <c r="H312" s="2">
        <v>0.61668107000000005</v>
      </c>
    </row>
    <row r="313" spans="1:8" ht="17.25" thickBot="1" x14ac:dyDescent="0.35">
      <c r="A313" s="6"/>
      <c r="B313" s="3">
        <v>4</v>
      </c>
      <c r="C313" s="11" t="s">
        <v>115</v>
      </c>
      <c r="D313" s="2">
        <v>551</v>
      </c>
      <c r="E313" s="2">
        <v>0.63501399999999997</v>
      </c>
      <c r="F313" s="2">
        <v>3.8579999999999999E-3</v>
      </c>
      <c r="G313" s="2">
        <v>0.62744946000000001</v>
      </c>
      <c r="H313" s="2">
        <v>0.64257905000000004</v>
      </c>
    </row>
    <row r="314" spans="1:8" ht="17.25" thickBot="1" x14ac:dyDescent="0.35">
      <c r="A314" s="6"/>
      <c r="B314" s="3">
        <v>8</v>
      </c>
      <c r="C314" s="11" t="s">
        <v>115</v>
      </c>
      <c r="D314" s="2">
        <v>645</v>
      </c>
      <c r="E314" s="2">
        <v>0.61672700000000003</v>
      </c>
      <c r="F314" s="2">
        <v>2.6259999999999999E-3</v>
      </c>
      <c r="G314" s="2">
        <v>0.61157883999999996</v>
      </c>
      <c r="H314" s="2">
        <v>0.62187572999999996</v>
      </c>
    </row>
    <row r="315" spans="1:8" ht="17.25" thickBot="1" x14ac:dyDescent="0.35">
      <c r="A315" s="6">
        <v>3</v>
      </c>
      <c r="B315" s="3">
        <v>1</v>
      </c>
      <c r="C315" s="11" t="s">
        <v>115</v>
      </c>
      <c r="D315" s="2">
        <v>911</v>
      </c>
      <c r="E315" s="2">
        <v>0.69409799999999999</v>
      </c>
      <c r="F315" s="2">
        <v>3.5349999999999999E-3</v>
      </c>
      <c r="G315" s="2">
        <v>0.68716630000000001</v>
      </c>
      <c r="H315" s="2">
        <v>0.70103039</v>
      </c>
    </row>
    <row r="316" spans="1:8" ht="17.25" thickBot="1" x14ac:dyDescent="0.35">
      <c r="A316" s="6"/>
      <c r="B316" s="3">
        <v>2</v>
      </c>
      <c r="C316" s="11" t="s">
        <v>115</v>
      </c>
      <c r="D316" s="2">
        <v>853</v>
      </c>
      <c r="E316" s="2">
        <v>0.62170599999999998</v>
      </c>
      <c r="F316" s="2">
        <v>2.97E-3</v>
      </c>
      <c r="G316" s="2">
        <v>0.61588111999999995</v>
      </c>
      <c r="H316" s="2">
        <v>0.62753020000000004</v>
      </c>
    </row>
    <row r="317" spans="1:8" ht="17.25" thickBot="1" x14ac:dyDescent="0.35">
      <c r="A317" s="6"/>
      <c r="B317" s="3">
        <v>3</v>
      </c>
      <c r="C317" s="11" t="s">
        <v>115</v>
      </c>
      <c r="D317" s="2">
        <v>1008</v>
      </c>
      <c r="E317" s="2">
        <v>0.622525</v>
      </c>
      <c r="F317" s="2">
        <v>2.653E-3</v>
      </c>
      <c r="G317" s="2">
        <v>0.61732295999999998</v>
      </c>
      <c r="H317" s="2">
        <v>0.62772739</v>
      </c>
    </row>
    <row r="318" spans="1:8" ht="17.25" thickBot="1" x14ac:dyDescent="0.35">
      <c r="A318" s="6"/>
      <c r="B318" s="3">
        <v>4</v>
      </c>
      <c r="C318" s="11" t="s">
        <v>115</v>
      </c>
      <c r="D318" s="2">
        <v>467</v>
      </c>
      <c r="E318" s="2">
        <v>0.64446300000000001</v>
      </c>
      <c r="F318" s="2">
        <v>3.9439999999999996E-3</v>
      </c>
      <c r="G318" s="2">
        <v>0.63673046</v>
      </c>
      <c r="H318" s="2">
        <v>0.65219578</v>
      </c>
    </row>
    <row r="319" spans="1:8" ht="17.25" thickBot="1" x14ac:dyDescent="0.35">
      <c r="A319" s="6"/>
      <c r="B319" s="3">
        <v>8</v>
      </c>
      <c r="C319" s="11" t="s">
        <v>115</v>
      </c>
      <c r="D319" s="2">
        <v>1018</v>
      </c>
      <c r="E319" s="2">
        <v>0.65634800000000004</v>
      </c>
      <c r="F319" s="2">
        <v>2.908E-3</v>
      </c>
      <c r="G319" s="2">
        <v>0.65064619999999995</v>
      </c>
      <c r="H319" s="2">
        <v>0.66204960999999996</v>
      </c>
    </row>
    <row r="320" spans="1:8" ht="17.25" thickBot="1" x14ac:dyDescent="0.35">
      <c r="A320" s="6">
        <v>4</v>
      </c>
      <c r="B320" s="3">
        <v>1</v>
      </c>
      <c r="C320" s="11" t="s">
        <v>115</v>
      </c>
      <c r="D320" s="2">
        <v>968</v>
      </c>
      <c r="E320" s="2">
        <v>0.69887500000000002</v>
      </c>
      <c r="F320" s="2">
        <v>3.1120000000000002E-3</v>
      </c>
      <c r="G320" s="2">
        <v>0.69277385000000002</v>
      </c>
      <c r="H320" s="2">
        <v>0.70497641</v>
      </c>
    </row>
    <row r="321" spans="1:8" ht="17.25" thickBot="1" x14ac:dyDescent="0.35">
      <c r="A321" s="6"/>
      <c r="B321" s="3">
        <v>2</v>
      </c>
      <c r="C321" s="11" t="s">
        <v>115</v>
      </c>
      <c r="D321" s="2">
        <v>910</v>
      </c>
      <c r="E321" s="2">
        <v>0.623722</v>
      </c>
      <c r="F321" s="2">
        <v>3.2060000000000001E-3</v>
      </c>
      <c r="G321" s="2">
        <v>0.61743517999999997</v>
      </c>
      <c r="H321" s="2">
        <v>0.63000785000000004</v>
      </c>
    </row>
    <row r="322" spans="1:8" ht="17.25" thickBot="1" x14ac:dyDescent="0.35">
      <c r="A322" s="6"/>
      <c r="B322" s="3">
        <v>3</v>
      </c>
      <c r="C322" s="11" t="s">
        <v>115</v>
      </c>
      <c r="D322" s="2">
        <v>1017</v>
      </c>
      <c r="E322" s="2">
        <v>0.622753</v>
      </c>
      <c r="F322" s="2">
        <v>2.931E-3</v>
      </c>
      <c r="G322" s="2">
        <v>0.6170059</v>
      </c>
      <c r="H322" s="2">
        <v>0.62850030000000001</v>
      </c>
    </row>
    <row r="323" spans="1:8" ht="17.25" thickBot="1" x14ac:dyDescent="0.35">
      <c r="A323" s="6"/>
      <c r="B323" s="3">
        <v>4</v>
      </c>
      <c r="C323" s="11" t="s">
        <v>115</v>
      </c>
      <c r="D323" s="2">
        <v>588</v>
      </c>
      <c r="E323" s="2">
        <v>0.65138600000000002</v>
      </c>
      <c r="F323" s="2">
        <v>3.1800000000000001E-3</v>
      </c>
      <c r="G323" s="2">
        <v>0.64515042</v>
      </c>
      <c r="H323" s="2">
        <v>0.65762202999999997</v>
      </c>
    </row>
    <row r="324" spans="1:8" ht="17.25" thickBot="1" x14ac:dyDescent="0.35">
      <c r="A324" s="6"/>
      <c r="B324" s="3">
        <v>8</v>
      </c>
      <c r="C324" s="11" t="s">
        <v>115</v>
      </c>
      <c r="D324" s="2">
        <v>1073</v>
      </c>
      <c r="E324" s="2">
        <v>0.65370200000000001</v>
      </c>
      <c r="F324" s="2">
        <v>2.7339999999999999E-3</v>
      </c>
      <c r="G324" s="2">
        <v>0.64834088000000001</v>
      </c>
      <c r="H324" s="2">
        <v>0.65906397999999999</v>
      </c>
    </row>
    <row r="325" spans="1:8" ht="17.25" thickBot="1" x14ac:dyDescent="0.35">
      <c r="A325" s="6">
        <v>5</v>
      </c>
      <c r="B325" s="3">
        <v>1</v>
      </c>
      <c r="C325" s="11" t="s">
        <v>115</v>
      </c>
      <c r="D325" s="2">
        <v>899</v>
      </c>
      <c r="E325" s="2">
        <v>0.70222899999999999</v>
      </c>
      <c r="F325" s="2">
        <v>3.2659999999999998E-3</v>
      </c>
      <c r="G325" s="2">
        <v>0.69582542000000003</v>
      </c>
      <c r="H325" s="2">
        <v>0.70863235999999996</v>
      </c>
    </row>
    <row r="326" spans="1:8" ht="17.25" thickBot="1" x14ac:dyDescent="0.35">
      <c r="A326" s="6"/>
      <c r="B326" s="3">
        <v>2</v>
      </c>
      <c r="C326" s="11" t="s">
        <v>115</v>
      </c>
      <c r="D326" s="2">
        <v>838</v>
      </c>
      <c r="E326" s="2">
        <v>0.63545300000000005</v>
      </c>
      <c r="F326" s="2">
        <v>2.983E-3</v>
      </c>
      <c r="G326" s="2">
        <v>0.62960384000000003</v>
      </c>
      <c r="H326" s="2">
        <v>0.64130151000000002</v>
      </c>
    </row>
    <row r="327" spans="1:8" ht="17.25" thickBot="1" x14ac:dyDescent="0.35">
      <c r="A327" s="6"/>
      <c r="B327" s="3">
        <v>3</v>
      </c>
      <c r="C327" s="11" t="s">
        <v>115</v>
      </c>
      <c r="D327" s="2">
        <v>930</v>
      </c>
      <c r="E327" s="2">
        <v>0.63840799999999998</v>
      </c>
      <c r="F327" s="2">
        <v>3.0309999999999998E-3</v>
      </c>
      <c r="G327" s="2">
        <v>0.63246440000000004</v>
      </c>
      <c r="H327" s="2">
        <v>0.64435239</v>
      </c>
    </row>
    <row r="328" spans="1:8" ht="17.25" thickBot="1" x14ac:dyDescent="0.35">
      <c r="A328" s="6"/>
      <c r="B328" s="3">
        <v>4</v>
      </c>
      <c r="C328" s="11" t="s">
        <v>115</v>
      </c>
      <c r="D328" s="2">
        <v>548</v>
      </c>
      <c r="E328" s="2">
        <v>0.66077799999999998</v>
      </c>
      <c r="F328" s="2">
        <v>4.1159999999999999E-3</v>
      </c>
      <c r="G328" s="2">
        <v>0.65270724000000002</v>
      </c>
      <c r="H328" s="2">
        <v>0.66884911000000002</v>
      </c>
    </row>
    <row r="329" spans="1:8" ht="17.25" thickBot="1" x14ac:dyDescent="0.35">
      <c r="A329" s="6"/>
      <c r="B329" s="3">
        <v>8</v>
      </c>
      <c r="C329" s="11" t="s">
        <v>115</v>
      </c>
      <c r="D329" s="2">
        <v>1286</v>
      </c>
      <c r="E329" s="2">
        <v>0.67541300000000004</v>
      </c>
      <c r="F329" s="2">
        <v>2.9580000000000001E-3</v>
      </c>
      <c r="G329" s="2">
        <v>0.66961252999999998</v>
      </c>
      <c r="H329" s="2">
        <v>0.68121323</v>
      </c>
    </row>
    <row r="330" spans="1:8" ht="17.25" thickBot="1" x14ac:dyDescent="0.35">
      <c r="A330" s="6">
        <v>6</v>
      </c>
      <c r="B330" s="3">
        <v>1</v>
      </c>
      <c r="C330" s="11" t="s">
        <v>115</v>
      </c>
      <c r="D330" s="2">
        <v>279</v>
      </c>
      <c r="E330" s="2">
        <v>0.70380399999999999</v>
      </c>
      <c r="F330" s="2">
        <v>4.9829999999999996E-3</v>
      </c>
      <c r="G330" s="2">
        <v>0.69403356000000005</v>
      </c>
      <c r="H330" s="2">
        <v>0.71357369000000004</v>
      </c>
    </row>
    <row r="331" spans="1:8" ht="17.25" thickBot="1" x14ac:dyDescent="0.35">
      <c r="A331" s="6"/>
      <c r="B331" s="3">
        <v>2</v>
      </c>
      <c r="C331" s="11" t="s">
        <v>115</v>
      </c>
      <c r="D331" s="2">
        <v>309</v>
      </c>
      <c r="E331" s="2">
        <v>0.63499499999999998</v>
      </c>
      <c r="F331" s="2">
        <v>5.1310000000000001E-3</v>
      </c>
      <c r="G331" s="2">
        <v>0.62493452999999999</v>
      </c>
      <c r="H331" s="2">
        <v>0.64505617999999998</v>
      </c>
    </row>
    <row r="332" spans="1:8" ht="17.25" thickBot="1" x14ac:dyDescent="0.35">
      <c r="A332" s="6"/>
      <c r="B332" s="3">
        <v>3</v>
      </c>
      <c r="C332" s="11" t="s">
        <v>115</v>
      </c>
      <c r="D332" s="2">
        <v>358</v>
      </c>
      <c r="E332" s="2">
        <v>0.64049199999999995</v>
      </c>
      <c r="F332" s="2">
        <v>4.9829999999999996E-3</v>
      </c>
      <c r="G332" s="2">
        <v>0.63072097999999999</v>
      </c>
      <c r="H332" s="2">
        <v>0.65026384999999998</v>
      </c>
    </row>
    <row r="333" spans="1:8" ht="17.25" thickBot="1" x14ac:dyDescent="0.35">
      <c r="A333" s="6"/>
      <c r="B333" s="3">
        <v>4</v>
      </c>
      <c r="C333" s="11" t="s">
        <v>115</v>
      </c>
      <c r="D333" s="2">
        <v>284</v>
      </c>
      <c r="E333" s="2">
        <v>0.65944400000000003</v>
      </c>
      <c r="F333" s="2">
        <v>4.6509999999999998E-3</v>
      </c>
      <c r="G333" s="2">
        <v>0.65032374999999998</v>
      </c>
      <c r="H333" s="2">
        <v>0.66856488000000003</v>
      </c>
    </row>
    <row r="334" spans="1:8" x14ac:dyDescent="0.3">
      <c r="A334" s="6"/>
      <c r="B334" s="3">
        <v>8</v>
      </c>
      <c r="C334" s="14" t="s">
        <v>115</v>
      </c>
      <c r="D334" s="2">
        <v>206</v>
      </c>
      <c r="E334" s="2">
        <v>0.65762299999999996</v>
      </c>
      <c r="F334" s="2">
        <v>5.208E-3</v>
      </c>
      <c r="G334" s="2">
        <v>0.64741135000000005</v>
      </c>
      <c r="H334" s="2">
        <v>0.66783477000000002</v>
      </c>
    </row>
    <row r="338" spans="1:6" x14ac:dyDescent="0.3">
      <c r="A338" s="1" t="s">
        <v>237</v>
      </c>
    </row>
    <row r="340" spans="1:6" x14ac:dyDescent="0.3">
      <c r="A340" s="1" t="s">
        <v>21</v>
      </c>
    </row>
    <row r="341" spans="1:6" ht="17.25" thickBot="1" x14ac:dyDescent="0.35"/>
    <row r="342" spans="1:6" ht="16.5" customHeight="1" x14ac:dyDescent="0.3">
      <c r="A342" s="16" t="s">
        <v>135</v>
      </c>
      <c r="B342" s="18"/>
    </row>
    <row r="343" spans="1:6" ht="26.25" thickBot="1" x14ac:dyDescent="0.35">
      <c r="A343" s="12" t="s">
        <v>136</v>
      </c>
      <c r="B343" s="2">
        <v>183</v>
      </c>
    </row>
    <row r="344" spans="1:6" ht="26.25" thickBot="1" x14ac:dyDescent="0.35">
      <c r="A344" s="12" t="s">
        <v>137</v>
      </c>
      <c r="B344" s="2">
        <v>2982</v>
      </c>
    </row>
    <row r="345" spans="1:6" ht="39" thickBot="1" x14ac:dyDescent="0.35">
      <c r="A345" s="12" t="s">
        <v>138</v>
      </c>
      <c r="B345" s="2">
        <v>68635</v>
      </c>
    </row>
    <row r="346" spans="1:6" ht="25.5" x14ac:dyDescent="0.3">
      <c r="A346" s="13" t="s">
        <v>139</v>
      </c>
      <c r="B346" s="2">
        <v>30251935.699999999</v>
      </c>
    </row>
    <row r="347" spans="1:6" ht="17.25" thickBot="1" x14ac:dyDescent="0.35"/>
    <row r="348" spans="1:6" ht="33" customHeight="1" x14ac:dyDescent="0.3">
      <c r="A348" s="16" t="s">
        <v>140</v>
      </c>
      <c r="B348" s="18"/>
    </row>
    <row r="349" spans="1:6" ht="33.75" thickBot="1" x14ac:dyDescent="0.35">
      <c r="A349" s="12" t="s">
        <v>141</v>
      </c>
      <c r="B349" s="2" t="s">
        <v>142</v>
      </c>
    </row>
    <row r="350" spans="1:6" ht="25.5" x14ac:dyDescent="0.3">
      <c r="A350" s="13" t="s">
        <v>143</v>
      </c>
      <c r="B350" s="2" t="s">
        <v>144</v>
      </c>
    </row>
    <row r="351" spans="1:6" ht="17.25" thickBot="1" x14ac:dyDescent="0.35"/>
    <row r="352" spans="1:6" ht="16.5" customHeight="1" x14ac:dyDescent="0.3">
      <c r="A352" s="16" t="s">
        <v>238</v>
      </c>
      <c r="B352" s="18"/>
      <c r="C352" s="18"/>
      <c r="D352" s="18"/>
      <c r="E352" s="18"/>
      <c r="F352" s="18"/>
    </row>
    <row r="353" spans="1:15" ht="16.5" customHeight="1" x14ac:dyDescent="0.3">
      <c r="A353" s="17" t="s">
        <v>239</v>
      </c>
      <c r="B353" s="19" t="s">
        <v>94</v>
      </c>
      <c r="C353" s="19" t="s">
        <v>240</v>
      </c>
      <c r="D353" s="3" t="s">
        <v>241</v>
      </c>
      <c r="E353" s="19" t="s">
        <v>243</v>
      </c>
      <c r="F353" s="19"/>
    </row>
    <row r="354" spans="1:15" x14ac:dyDescent="0.3">
      <c r="A354" s="17"/>
      <c r="B354" s="19"/>
      <c r="C354" s="19"/>
      <c r="D354" s="3" t="s">
        <v>242</v>
      </c>
      <c r="E354" s="19"/>
      <c r="F354" s="19"/>
    </row>
    <row r="355" spans="1:15" x14ac:dyDescent="0.3">
      <c r="A355" s="13" t="s">
        <v>115</v>
      </c>
      <c r="B355" s="2">
        <v>68635</v>
      </c>
      <c r="C355" s="2">
        <v>0.66370899999999999</v>
      </c>
      <c r="D355" s="2">
        <v>4.4099999999999999E-4</v>
      </c>
      <c r="E355" s="2">
        <v>0.66284405999999996</v>
      </c>
      <c r="F355" s="2">
        <v>0.66457339000000004</v>
      </c>
    </row>
    <row r="359" spans="1:15" x14ac:dyDescent="0.3">
      <c r="A359" s="1" t="s">
        <v>237</v>
      </c>
    </row>
    <row r="361" spans="1:15" x14ac:dyDescent="0.3">
      <c r="A361" s="1" t="s">
        <v>21</v>
      </c>
    </row>
    <row r="362" spans="1:15" ht="17.25" thickBot="1" x14ac:dyDescent="0.35"/>
    <row r="363" spans="1:15" ht="16.5" customHeight="1" x14ac:dyDescent="0.3">
      <c r="A363" s="16" t="s">
        <v>253</v>
      </c>
      <c r="B363" s="18"/>
      <c r="C363" s="18"/>
      <c r="D363" s="18"/>
      <c r="E363" s="18"/>
      <c r="F363" s="18"/>
      <c r="G363" s="18"/>
      <c r="H363" s="18"/>
    </row>
    <row r="364" spans="1:15" ht="16.5" customHeight="1" x14ac:dyDescent="0.3">
      <c r="A364" s="17" t="s">
        <v>249</v>
      </c>
      <c r="B364" s="19" t="s">
        <v>8</v>
      </c>
      <c r="C364" s="19" t="s">
        <v>239</v>
      </c>
      <c r="D364" s="19" t="s">
        <v>94</v>
      </c>
      <c r="E364" s="19" t="s">
        <v>240</v>
      </c>
      <c r="F364" s="3" t="s">
        <v>241</v>
      </c>
      <c r="G364" s="19" t="s">
        <v>243</v>
      </c>
      <c r="H364" s="19"/>
    </row>
    <row r="365" spans="1:15" x14ac:dyDescent="0.3">
      <c r="A365" s="17"/>
      <c r="B365" s="19"/>
      <c r="C365" s="19"/>
      <c r="D365" s="19"/>
      <c r="E365" s="19"/>
      <c r="F365" s="3" t="s">
        <v>242</v>
      </c>
      <c r="G365" s="19"/>
      <c r="H365" s="19"/>
    </row>
    <row r="366" spans="1:15" ht="17.25" thickBot="1" x14ac:dyDescent="0.35">
      <c r="A366" s="6">
        <v>1</v>
      </c>
      <c r="B366" s="3">
        <v>1</v>
      </c>
      <c r="C366" s="11" t="s">
        <v>115</v>
      </c>
      <c r="D366" s="2">
        <v>704</v>
      </c>
      <c r="E366" s="2">
        <v>0.72114800000000001</v>
      </c>
      <c r="F366" s="2">
        <v>3.0100000000000001E-3</v>
      </c>
      <c r="G366" s="2">
        <v>0.71524701000000002</v>
      </c>
      <c r="H366" s="2">
        <v>0.72704997999999998</v>
      </c>
      <c r="J366" t="str">
        <f t="shared" ref="J366:J389" si="8">TEXT(E366,"0.00")&amp;" ("&amp;TEXT(G366,"0.00")&amp;" to "&amp;TEXT(H366,"0.00")&amp;")"</f>
        <v>0.72 (0.72 to 0.73)</v>
      </c>
      <c r="K366" t="str">
        <f>J370</f>
        <v>0.70 (0.70 to 0.70)</v>
      </c>
      <c r="L366" t="str">
        <f>J374</f>
        <v>0.70 (0.70 to 0.71)</v>
      </c>
      <c r="M366" t="str">
        <f>J378</f>
        <v>0.71 (0.70 to 0.71)</v>
      </c>
      <c r="N366" t="str">
        <f>J382</f>
        <v>0.72 (0.72 to 0.73)</v>
      </c>
      <c r="O366" t="str">
        <f>J386</f>
        <v>0.71 (0.71 to 0.72)</v>
      </c>
    </row>
    <row r="367" spans="1:15" ht="17.25" thickBot="1" x14ac:dyDescent="0.35">
      <c r="A367" s="6"/>
      <c r="B367" s="3">
        <v>2</v>
      </c>
      <c r="C367" s="11" t="s">
        <v>115</v>
      </c>
      <c r="D367" s="2">
        <v>2055</v>
      </c>
      <c r="E367" s="2">
        <v>0.70322499999999999</v>
      </c>
      <c r="F367" s="2">
        <v>2.0049999999999998E-3</v>
      </c>
      <c r="G367" s="2">
        <v>0.69929399000000003</v>
      </c>
      <c r="H367" s="2">
        <v>0.70715547999999995</v>
      </c>
      <c r="J367" t="str">
        <f t="shared" si="8"/>
        <v>0.70 (0.70 to 0.71)</v>
      </c>
      <c r="K367" t="str">
        <f t="shared" ref="K367:K369" si="9">J371</f>
        <v>0.69 (0.68 to 0.69)</v>
      </c>
      <c r="L367" t="str">
        <f t="shared" ref="L367:L369" si="10">J375</f>
        <v>0.69 (0.68 to 0.69)</v>
      </c>
      <c r="M367" t="str">
        <f t="shared" ref="M367:M369" si="11">J379</f>
        <v>0.70 (0.69 to 0.70)</v>
      </c>
      <c r="N367" t="str">
        <f t="shared" ref="N367:N369" si="12">J383</f>
        <v>0.71 (0.71 to 0.72)</v>
      </c>
      <c r="O367" t="str">
        <f t="shared" ref="O367:O369" si="13">J387</f>
        <v>0.71 (0.70 to 0.71)</v>
      </c>
    </row>
    <row r="368" spans="1:15" ht="17.25" thickBot="1" x14ac:dyDescent="0.35">
      <c r="A368" s="6"/>
      <c r="B368" s="3">
        <v>3</v>
      </c>
      <c r="C368" s="11" t="s">
        <v>115</v>
      </c>
      <c r="D368" s="2">
        <v>1494</v>
      </c>
      <c r="E368" s="2">
        <v>0.686442</v>
      </c>
      <c r="F368" s="2">
        <v>2.3999999999999998E-3</v>
      </c>
      <c r="G368" s="2">
        <v>0.68173541999999998</v>
      </c>
      <c r="H368" s="2">
        <v>0.69114805000000001</v>
      </c>
      <c r="J368" t="str">
        <f t="shared" si="8"/>
        <v>0.69 (0.68 to 0.69)</v>
      </c>
      <c r="K368" t="str">
        <f t="shared" si="9"/>
        <v>0.66 (0.66 to 0.66)</v>
      </c>
      <c r="L368" t="str">
        <f t="shared" si="10"/>
        <v>0.66 (0.66 to 0.67)</v>
      </c>
      <c r="M368" t="str">
        <f t="shared" si="11"/>
        <v>0.67 (0.67 to 0.68)</v>
      </c>
      <c r="N368" t="str">
        <f t="shared" si="12"/>
        <v>0.68 (0.68 to 0.69)</v>
      </c>
      <c r="O368" t="str">
        <f t="shared" si="13"/>
        <v>0.68 (0.68 to 0.69)</v>
      </c>
    </row>
    <row r="369" spans="1:15" ht="17.25" thickBot="1" x14ac:dyDescent="0.35">
      <c r="A369" s="6"/>
      <c r="B369" s="3">
        <v>4</v>
      </c>
      <c r="C369" s="11" t="s">
        <v>115</v>
      </c>
      <c r="D369" s="2">
        <v>7662</v>
      </c>
      <c r="E369" s="2">
        <v>0.64676800000000001</v>
      </c>
      <c r="F369" s="2">
        <v>1.191E-3</v>
      </c>
      <c r="G369" s="2">
        <v>0.64443198000000002</v>
      </c>
      <c r="H369" s="2">
        <v>0.64910411999999995</v>
      </c>
      <c r="J369" t="str">
        <f t="shared" si="8"/>
        <v>0.65 (0.64 to 0.65)</v>
      </c>
      <c r="K369" t="str">
        <f t="shared" si="9"/>
        <v>0.64 (0.64 to 0.64)</v>
      </c>
      <c r="L369" t="str">
        <f t="shared" si="10"/>
        <v>0.64 (0.64 to 0.64)</v>
      </c>
      <c r="M369" t="str">
        <f t="shared" si="11"/>
        <v>0.65 (0.65 to 0.65)</v>
      </c>
      <c r="N369" t="str">
        <f t="shared" si="12"/>
        <v>0.66 (0.65 to 0.66)</v>
      </c>
      <c r="O369" t="str">
        <f t="shared" si="13"/>
        <v>0.65 (0.65 to 0.66)</v>
      </c>
    </row>
    <row r="370" spans="1:15" ht="17.25" thickBot="1" x14ac:dyDescent="0.35">
      <c r="A370" s="6">
        <v>2</v>
      </c>
      <c r="B370" s="3">
        <v>1</v>
      </c>
      <c r="C370" s="11" t="s">
        <v>115</v>
      </c>
      <c r="D370" s="2">
        <v>2505</v>
      </c>
      <c r="E370" s="2">
        <v>0.70047300000000001</v>
      </c>
      <c r="F370" s="2">
        <v>1.9040000000000001E-3</v>
      </c>
      <c r="G370" s="2">
        <v>0.69673837999999999</v>
      </c>
      <c r="H370" s="2">
        <v>0.70420669000000002</v>
      </c>
      <c r="J370" t="str">
        <f t="shared" si="8"/>
        <v>0.70 (0.70 to 0.70)</v>
      </c>
    </row>
    <row r="371" spans="1:15" ht="17.25" thickBot="1" x14ac:dyDescent="0.35">
      <c r="A371" s="6"/>
      <c r="B371" s="3">
        <v>2</v>
      </c>
      <c r="C371" s="11" t="s">
        <v>115</v>
      </c>
      <c r="D371" s="2">
        <v>1481</v>
      </c>
      <c r="E371" s="2">
        <v>0.68586499999999995</v>
      </c>
      <c r="F371" s="2">
        <v>2.4109999999999999E-3</v>
      </c>
      <c r="G371" s="2">
        <v>0.68113811000000002</v>
      </c>
      <c r="H371" s="2">
        <v>0.69059243000000003</v>
      </c>
      <c r="J371" t="str">
        <f t="shared" si="8"/>
        <v>0.69 (0.68 to 0.69)</v>
      </c>
    </row>
    <row r="372" spans="1:15" ht="17.25" thickBot="1" x14ac:dyDescent="0.35">
      <c r="A372" s="6"/>
      <c r="B372" s="3">
        <v>3</v>
      </c>
      <c r="C372" s="11" t="s">
        <v>115</v>
      </c>
      <c r="D372" s="2">
        <v>3868</v>
      </c>
      <c r="E372" s="2">
        <v>0.65855699999999995</v>
      </c>
      <c r="F372" s="2">
        <v>1.482E-3</v>
      </c>
      <c r="G372" s="2">
        <v>0.65564990000000001</v>
      </c>
      <c r="H372" s="2">
        <v>0.66146327000000005</v>
      </c>
      <c r="J372" t="str">
        <f t="shared" si="8"/>
        <v>0.66 (0.66 to 0.66)</v>
      </c>
    </row>
    <row r="373" spans="1:15" ht="17.25" thickBot="1" x14ac:dyDescent="0.35">
      <c r="A373" s="6"/>
      <c r="B373" s="3">
        <v>4</v>
      </c>
      <c r="C373" s="11" t="s">
        <v>115</v>
      </c>
      <c r="D373" s="2">
        <v>5262</v>
      </c>
      <c r="E373" s="2">
        <v>0.63781200000000005</v>
      </c>
      <c r="F373" s="2">
        <v>1.225E-3</v>
      </c>
      <c r="G373" s="2">
        <v>0.63540965000000005</v>
      </c>
      <c r="H373" s="2">
        <v>0.64021344000000002</v>
      </c>
      <c r="J373" t="str">
        <f t="shared" si="8"/>
        <v>0.64 (0.64 to 0.64)</v>
      </c>
    </row>
    <row r="374" spans="1:15" ht="17.25" thickBot="1" x14ac:dyDescent="0.35">
      <c r="A374" s="6">
        <v>3</v>
      </c>
      <c r="B374" s="3">
        <v>1</v>
      </c>
      <c r="C374" s="11" t="s">
        <v>115</v>
      </c>
      <c r="D374" s="2">
        <v>1862</v>
      </c>
      <c r="E374" s="2">
        <v>0.70123999999999997</v>
      </c>
      <c r="F374" s="2">
        <v>2.4599999999999999E-3</v>
      </c>
      <c r="G374" s="2">
        <v>0.69641573000000001</v>
      </c>
      <c r="H374" s="2">
        <v>0.70606453999999996</v>
      </c>
      <c r="J374" t="str">
        <f t="shared" si="8"/>
        <v>0.70 (0.70 to 0.71)</v>
      </c>
    </row>
    <row r="375" spans="1:15" ht="17.25" thickBot="1" x14ac:dyDescent="0.35">
      <c r="A375" s="6"/>
      <c r="B375" s="3">
        <v>2</v>
      </c>
      <c r="C375" s="11" t="s">
        <v>115</v>
      </c>
      <c r="D375" s="2">
        <v>1253</v>
      </c>
      <c r="E375" s="2">
        <v>0.68692299999999995</v>
      </c>
      <c r="F375" s="2">
        <v>2.3519999999999999E-3</v>
      </c>
      <c r="G375" s="2">
        <v>0.68231010000000003</v>
      </c>
      <c r="H375" s="2">
        <v>0.69153538000000003</v>
      </c>
      <c r="J375" t="str">
        <f t="shared" si="8"/>
        <v>0.69 (0.68 to 0.69)</v>
      </c>
    </row>
    <row r="376" spans="1:15" ht="17.25" thickBot="1" x14ac:dyDescent="0.35">
      <c r="A376" s="6"/>
      <c r="B376" s="3">
        <v>3</v>
      </c>
      <c r="C376" s="11" t="s">
        <v>115</v>
      </c>
      <c r="D376" s="2">
        <v>3362</v>
      </c>
      <c r="E376" s="2">
        <v>0.66495599999999999</v>
      </c>
      <c r="F376" s="2">
        <v>1.565E-3</v>
      </c>
      <c r="G376" s="2">
        <v>0.66188659000000005</v>
      </c>
      <c r="H376" s="2">
        <v>0.66802543000000003</v>
      </c>
      <c r="J376" t="str">
        <f t="shared" si="8"/>
        <v>0.66 (0.66 to 0.67)</v>
      </c>
    </row>
    <row r="377" spans="1:15" ht="17.25" thickBot="1" x14ac:dyDescent="0.35">
      <c r="A377" s="6"/>
      <c r="B377" s="3">
        <v>4</v>
      </c>
      <c r="C377" s="11" t="s">
        <v>115</v>
      </c>
      <c r="D377" s="2">
        <v>4998</v>
      </c>
      <c r="E377" s="2">
        <v>0.64116099999999998</v>
      </c>
      <c r="F377" s="2">
        <v>1.237E-3</v>
      </c>
      <c r="G377" s="2">
        <v>0.63873626999999999</v>
      </c>
      <c r="H377" s="2">
        <v>0.64358537999999998</v>
      </c>
      <c r="J377" t="str">
        <f t="shared" si="8"/>
        <v>0.64 (0.64 to 0.64)</v>
      </c>
    </row>
    <row r="378" spans="1:15" ht="17.25" thickBot="1" x14ac:dyDescent="0.35">
      <c r="A378" s="6">
        <v>4</v>
      </c>
      <c r="B378" s="3">
        <v>1</v>
      </c>
      <c r="C378" s="11" t="s">
        <v>115</v>
      </c>
      <c r="D378" s="2">
        <v>2027</v>
      </c>
      <c r="E378" s="2">
        <v>0.70706899999999995</v>
      </c>
      <c r="F378" s="2">
        <v>2.0040000000000001E-3</v>
      </c>
      <c r="G378" s="2">
        <v>0.70313943999999995</v>
      </c>
      <c r="H378" s="2">
        <v>0.71099926000000002</v>
      </c>
      <c r="J378" t="str">
        <f t="shared" si="8"/>
        <v>0.71 (0.70 to 0.71)</v>
      </c>
    </row>
    <row r="379" spans="1:15" ht="17.25" thickBot="1" x14ac:dyDescent="0.35">
      <c r="A379" s="6"/>
      <c r="B379" s="3">
        <v>2</v>
      </c>
      <c r="C379" s="11" t="s">
        <v>115</v>
      </c>
      <c r="D379" s="2">
        <v>1440</v>
      </c>
      <c r="E379" s="2">
        <v>0.69552599999999998</v>
      </c>
      <c r="F379" s="2">
        <v>2.2629999999999998E-3</v>
      </c>
      <c r="G379" s="2">
        <v>0.69108833000000003</v>
      </c>
      <c r="H379" s="2">
        <v>0.69996451000000004</v>
      </c>
      <c r="J379" t="str">
        <f t="shared" si="8"/>
        <v>0.70 (0.69 to 0.70)</v>
      </c>
    </row>
    <row r="380" spans="1:15" ht="17.25" thickBot="1" x14ac:dyDescent="0.35">
      <c r="A380" s="6"/>
      <c r="B380" s="3">
        <v>3</v>
      </c>
      <c r="C380" s="11" t="s">
        <v>115</v>
      </c>
      <c r="D380" s="2">
        <v>3929</v>
      </c>
      <c r="E380" s="2">
        <v>0.67217800000000005</v>
      </c>
      <c r="F380" s="2">
        <v>1.5009999999999999E-3</v>
      </c>
      <c r="G380" s="2">
        <v>0.66923445999999998</v>
      </c>
      <c r="H380" s="2">
        <v>0.67512190000000005</v>
      </c>
      <c r="J380" t="str">
        <f t="shared" si="8"/>
        <v>0.67 (0.67 to 0.68)</v>
      </c>
    </row>
    <row r="381" spans="1:15" ht="17.25" thickBot="1" x14ac:dyDescent="0.35">
      <c r="A381" s="6"/>
      <c r="B381" s="3">
        <v>4</v>
      </c>
      <c r="C381" s="11" t="s">
        <v>115</v>
      </c>
      <c r="D381" s="2">
        <v>6762</v>
      </c>
      <c r="E381" s="2">
        <v>0.64823399999999998</v>
      </c>
      <c r="F381" s="2">
        <v>1.157E-3</v>
      </c>
      <c r="G381" s="2">
        <v>0.64596578999999998</v>
      </c>
      <c r="H381" s="2">
        <v>0.65050216000000005</v>
      </c>
      <c r="J381" t="str">
        <f t="shared" si="8"/>
        <v>0.65 (0.65 to 0.65)</v>
      </c>
    </row>
    <row r="382" spans="1:15" ht="17.25" thickBot="1" x14ac:dyDescent="0.35">
      <c r="A382" s="6">
        <v>5</v>
      </c>
      <c r="B382" s="3">
        <v>1</v>
      </c>
      <c r="C382" s="11" t="s">
        <v>115</v>
      </c>
      <c r="D382" s="2">
        <v>1623</v>
      </c>
      <c r="E382" s="2">
        <v>0.72227300000000005</v>
      </c>
      <c r="F382" s="2">
        <v>1.949E-3</v>
      </c>
      <c r="G382" s="2">
        <v>0.71845214999999996</v>
      </c>
      <c r="H382" s="2">
        <v>0.72609352999999999</v>
      </c>
      <c r="J382" t="str">
        <f t="shared" si="8"/>
        <v>0.72 (0.72 to 0.73)</v>
      </c>
    </row>
    <row r="383" spans="1:15" ht="17.25" thickBot="1" x14ac:dyDescent="0.35">
      <c r="A383" s="6"/>
      <c r="B383" s="3">
        <v>2</v>
      </c>
      <c r="C383" s="11" t="s">
        <v>115</v>
      </c>
      <c r="D383" s="2">
        <v>1268</v>
      </c>
      <c r="E383" s="2">
        <v>0.71042799999999995</v>
      </c>
      <c r="F383" s="2">
        <v>2.421E-3</v>
      </c>
      <c r="G383" s="2">
        <v>0.70568016</v>
      </c>
      <c r="H383" s="2">
        <v>0.71517523000000005</v>
      </c>
      <c r="J383" t="str">
        <f t="shared" si="8"/>
        <v>0.71 (0.71 to 0.72)</v>
      </c>
    </row>
    <row r="384" spans="1:15" ht="17.25" thickBot="1" x14ac:dyDescent="0.35">
      <c r="A384" s="6"/>
      <c r="B384" s="3">
        <v>3</v>
      </c>
      <c r="C384" s="11" t="s">
        <v>115</v>
      </c>
      <c r="D384" s="2">
        <v>3878</v>
      </c>
      <c r="E384" s="2">
        <v>0.68283499999999997</v>
      </c>
      <c r="F384" s="2">
        <v>1.3860000000000001E-3</v>
      </c>
      <c r="G384" s="2">
        <v>0.68011812999999999</v>
      </c>
      <c r="H384" s="2">
        <v>0.68555202999999998</v>
      </c>
      <c r="J384" t="str">
        <f t="shared" si="8"/>
        <v>0.68 (0.68 to 0.69)</v>
      </c>
    </row>
    <row r="385" spans="1:10" ht="17.25" thickBot="1" x14ac:dyDescent="0.35">
      <c r="A385" s="6"/>
      <c r="B385" s="3">
        <v>4</v>
      </c>
      <c r="C385" s="11" t="s">
        <v>115</v>
      </c>
      <c r="D385" s="2">
        <v>6786</v>
      </c>
      <c r="E385" s="2">
        <v>0.65547</v>
      </c>
      <c r="F385" s="2">
        <v>1.0460000000000001E-3</v>
      </c>
      <c r="G385" s="2">
        <v>0.65341824999999998</v>
      </c>
      <c r="H385" s="2">
        <v>0.65752127999999999</v>
      </c>
      <c r="J385" t="str">
        <f t="shared" si="8"/>
        <v>0.66 (0.65 to 0.66)</v>
      </c>
    </row>
    <row r="386" spans="1:10" ht="17.25" thickBot="1" x14ac:dyDescent="0.35">
      <c r="A386" s="6">
        <v>6</v>
      </c>
      <c r="B386" s="3">
        <v>1</v>
      </c>
      <c r="C386" s="11" t="s">
        <v>115</v>
      </c>
      <c r="D386" s="2">
        <v>478</v>
      </c>
      <c r="E386" s="2">
        <v>0.71174499999999996</v>
      </c>
      <c r="F386" s="2">
        <v>3.1930000000000001E-3</v>
      </c>
      <c r="G386" s="2">
        <v>0.70548370000000005</v>
      </c>
      <c r="H386" s="2">
        <v>0.71800724999999999</v>
      </c>
      <c r="J386" t="str">
        <f t="shared" si="8"/>
        <v>0.71 (0.71 to 0.72)</v>
      </c>
    </row>
    <row r="387" spans="1:10" ht="17.25" thickBot="1" x14ac:dyDescent="0.35">
      <c r="A387" s="6"/>
      <c r="B387" s="3">
        <v>2</v>
      </c>
      <c r="C387" s="11" t="s">
        <v>115</v>
      </c>
      <c r="D387" s="2">
        <v>440</v>
      </c>
      <c r="E387" s="2">
        <v>0.70734600000000003</v>
      </c>
      <c r="F387" s="2">
        <v>2.892E-3</v>
      </c>
      <c r="G387" s="2">
        <v>0.70167508000000001</v>
      </c>
      <c r="H387" s="2">
        <v>0.71301718000000003</v>
      </c>
      <c r="J387" t="str">
        <f t="shared" si="8"/>
        <v>0.71 (0.70 to 0.71)</v>
      </c>
    </row>
    <row r="388" spans="1:10" ht="17.25" thickBot="1" x14ac:dyDescent="0.35">
      <c r="A388" s="6"/>
      <c r="B388" s="3">
        <v>3</v>
      </c>
      <c r="C388" s="11" t="s">
        <v>115</v>
      </c>
      <c r="D388" s="2">
        <v>1227</v>
      </c>
      <c r="E388" s="2">
        <v>0.68134300000000003</v>
      </c>
      <c r="F388" s="2">
        <v>2.2550000000000001E-3</v>
      </c>
      <c r="G388" s="2">
        <v>0.67692182000000001</v>
      </c>
      <c r="H388" s="2">
        <v>0.68576364999999995</v>
      </c>
      <c r="J388" t="str">
        <f t="shared" si="8"/>
        <v>0.68 (0.68 to 0.69)</v>
      </c>
    </row>
    <row r="389" spans="1:10" x14ac:dyDescent="0.3">
      <c r="A389" s="6"/>
      <c r="B389" s="3">
        <v>4</v>
      </c>
      <c r="C389" s="14" t="s">
        <v>115</v>
      </c>
      <c r="D389" s="2">
        <v>2271</v>
      </c>
      <c r="E389" s="2">
        <v>0.65339700000000001</v>
      </c>
      <c r="F389" s="2">
        <v>1.8029999999999999E-3</v>
      </c>
      <c r="G389" s="2">
        <v>0.64986248000000002</v>
      </c>
      <c r="H389" s="2">
        <v>0.65693175999999998</v>
      </c>
      <c r="J389" t="str">
        <f t="shared" si="8"/>
        <v>0.65 (0.65 to 0.66)</v>
      </c>
    </row>
    <row r="393" spans="1:10" x14ac:dyDescent="0.3">
      <c r="A393" s="1" t="s">
        <v>237</v>
      </c>
    </row>
    <row r="395" spans="1:10" x14ac:dyDescent="0.3">
      <c r="A395" s="1" t="s">
        <v>1</v>
      </c>
    </row>
    <row r="396" spans="1:10" ht="17.25" thickBot="1" x14ac:dyDescent="0.35"/>
    <row r="397" spans="1:10" ht="16.5" customHeight="1" x14ac:dyDescent="0.3">
      <c r="A397" s="16" t="s">
        <v>135</v>
      </c>
      <c r="B397" s="18"/>
    </row>
    <row r="398" spans="1:10" ht="26.25" thickBot="1" x14ac:dyDescent="0.35">
      <c r="A398" s="12" t="s">
        <v>136</v>
      </c>
      <c r="B398" s="2">
        <v>183</v>
      </c>
    </row>
    <row r="399" spans="1:10" ht="26.25" thickBot="1" x14ac:dyDescent="0.35">
      <c r="A399" s="12" t="s">
        <v>137</v>
      </c>
      <c r="B399" s="2">
        <v>2949</v>
      </c>
    </row>
    <row r="400" spans="1:10" ht="39" thickBot="1" x14ac:dyDescent="0.35">
      <c r="A400" s="12" t="s">
        <v>138</v>
      </c>
      <c r="B400" s="2">
        <v>23222</v>
      </c>
    </row>
    <row r="401" spans="1:6" ht="25.5" x14ac:dyDescent="0.3">
      <c r="A401" s="13" t="s">
        <v>139</v>
      </c>
      <c r="B401" s="2">
        <v>9036880.5199999996</v>
      </c>
    </row>
    <row r="402" spans="1:6" ht="17.25" thickBot="1" x14ac:dyDescent="0.35"/>
    <row r="403" spans="1:6" ht="33" customHeight="1" x14ac:dyDescent="0.3">
      <c r="A403" s="16" t="s">
        <v>140</v>
      </c>
      <c r="B403" s="18"/>
    </row>
    <row r="404" spans="1:6" ht="33.75" thickBot="1" x14ac:dyDescent="0.35">
      <c r="A404" s="12" t="s">
        <v>141</v>
      </c>
      <c r="B404" s="2" t="s">
        <v>142</v>
      </c>
    </row>
    <row r="405" spans="1:6" ht="25.5" x14ac:dyDescent="0.3">
      <c r="A405" s="13" t="s">
        <v>143</v>
      </c>
      <c r="B405" s="2" t="s">
        <v>144</v>
      </c>
    </row>
    <row r="406" spans="1:6" ht="17.25" thickBot="1" x14ac:dyDescent="0.35"/>
    <row r="407" spans="1:6" ht="16.5" customHeight="1" x14ac:dyDescent="0.3">
      <c r="A407" s="16" t="s">
        <v>238</v>
      </c>
      <c r="B407" s="18"/>
      <c r="C407" s="18"/>
      <c r="D407" s="18"/>
      <c r="E407" s="18"/>
      <c r="F407" s="18"/>
    </row>
    <row r="408" spans="1:6" ht="16.5" customHeight="1" x14ac:dyDescent="0.3">
      <c r="A408" s="17" t="s">
        <v>239</v>
      </c>
      <c r="B408" s="19" t="s">
        <v>94</v>
      </c>
      <c r="C408" s="19" t="s">
        <v>240</v>
      </c>
      <c r="D408" s="3" t="s">
        <v>241</v>
      </c>
      <c r="E408" s="19" t="s">
        <v>243</v>
      </c>
      <c r="F408" s="19"/>
    </row>
    <row r="409" spans="1:6" x14ac:dyDescent="0.3">
      <c r="A409" s="17"/>
      <c r="B409" s="19"/>
      <c r="C409" s="19"/>
      <c r="D409" s="3" t="s">
        <v>242</v>
      </c>
      <c r="E409" s="19"/>
      <c r="F409" s="19"/>
    </row>
    <row r="410" spans="1:6" x14ac:dyDescent="0.3">
      <c r="A410" s="13" t="s">
        <v>115</v>
      </c>
      <c r="B410" s="2">
        <v>23222</v>
      </c>
      <c r="C410" s="2">
        <v>0.64841899999999997</v>
      </c>
      <c r="D410" s="2">
        <v>7.7200000000000001E-4</v>
      </c>
      <c r="E410" s="2">
        <v>0.64690462000000004</v>
      </c>
      <c r="F410" s="2">
        <v>0.64993400999999995</v>
      </c>
    </row>
    <row r="414" spans="1:6" x14ac:dyDescent="0.3">
      <c r="A414" s="1" t="s">
        <v>237</v>
      </c>
    </row>
    <row r="416" spans="1:6" x14ac:dyDescent="0.3">
      <c r="A416" s="1" t="s">
        <v>1</v>
      </c>
    </row>
    <row r="417" spans="1:8" ht="17.25" thickBot="1" x14ac:dyDescent="0.35"/>
    <row r="418" spans="1:8" ht="16.5" customHeight="1" x14ac:dyDescent="0.3">
      <c r="A418" s="16" t="s">
        <v>254</v>
      </c>
      <c r="B418" s="18"/>
      <c r="C418" s="18"/>
      <c r="D418" s="18"/>
      <c r="E418" s="18"/>
      <c r="F418" s="18"/>
      <c r="G418" s="18"/>
      <c r="H418" s="18"/>
    </row>
    <row r="419" spans="1:8" ht="16.5" customHeight="1" x14ac:dyDescent="0.3">
      <c r="A419" s="17" t="s">
        <v>249</v>
      </c>
      <c r="B419" s="19" t="s">
        <v>9</v>
      </c>
      <c r="C419" s="19" t="s">
        <v>239</v>
      </c>
      <c r="D419" s="19" t="s">
        <v>94</v>
      </c>
      <c r="E419" s="19" t="s">
        <v>240</v>
      </c>
      <c r="F419" s="3" t="s">
        <v>241</v>
      </c>
      <c r="G419" s="19" t="s">
        <v>243</v>
      </c>
      <c r="H419" s="19"/>
    </row>
    <row r="420" spans="1:8" x14ac:dyDescent="0.3">
      <c r="A420" s="17"/>
      <c r="B420" s="19"/>
      <c r="C420" s="19"/>
      <c r="D420" s="19"/>
      <c r="E420" s="19"/>
      <c r="F420" s="3" t="s">
        <v>242</v>
      </c>
      <c r="G420" s="19"/>
      <c r="H420" s="19"/>
    </row>
    <row r="421" spans="1:8" ht="17.25" thickBot="1" x14ac:dyDescent="0.35">
      <c r="A421" s="6">
        <v>1</v>
      </c>
      <c r="B421" s="3">
        <v>1</v>
      </c>
      <c r="C421" s="11" t="s">
        <v>115</v>
      </c>
      <c r="D421" s="2">
        <v>1012</v>
      </c>
      <c r="E421" s="2">
        <v>0.68390300000000004</v>
      </c>
      <c r="F421" s="2">
        <v>3.722E-3</v>
      </c>
      <c r="G421" s="2">
        <v>0.67660463000000004</v>
      </c>
      <c r="H421" s="2">
        <v>0.69120113999999999</v>
      </c>
    </row>
    <row r="422" spans="1:8" ht="17.25" thickBot="1" x14ac:dyDescent="0.35">
      <c r="A422" s="6"/>
      <c r="B422" s="3">
        <v>2</v>
      </c>
      <c r="C422" s="11" t="s">
        <v>115</v>
      </c>
      <c r="D422" s="2">
        <v>954</v>
      </c>
      <c r="E422" s="2">
        <v>0.65835600000000005</v>
      </c>
      <c r="F422" s="2">
        <v>3.9179999999999996E-3</v>
      </c>
      <c r="G422" s="2">
        <v>0.65067465999999996</v>
      </c>
      <c r="H422" s="2">
        <v>0.66603794999999999</v>
      </c>
    </row>
    <row r="423" spans="1:8" ht="17.25" thickBot="1" x14ac:dyDescent="0.35">
      <c r="A423" s="6"/>
      <c r="B423" s="3">
        <v>3</v>
      </c>
      <c r="C423" s="11" t="s">
        <v>115</v>
      </c>
      <c r="D423" s="2">
        <v>933</v>
      </c>
      <c r="E423" s="2">
        <v>0.64505100000000004</v>
      </c>
      <c r="F423" s="2">
        <v>3.3509999999999998E-3</v>
      </c>
      <c r="G423" s="2">
        <v>0.63847978999999999</v>
      </c>
      <c r="H423" s="2">
        <v>0.65162239</v>
      </c>
    </row>
    <row r="424" spans="1:8" ht="17.25" thickBot="1" x14ac:dyDescent="0.35">
      <c r="A424" s="6"/>
      <c r="B424" s="3">
        <v>4</v>
      </c>
      <c r="C424" s="11" t="s">
        <v>115</v>
      </c>
      <c r="D424" s="2">
        <v>841</v>
      </c>
      <c r="E424" s="2">
        <v>0.63914700000000002</v>
      </c>
      <c r="F424" s="2">
        <v>3.7190000000000001E-3</v>
      </c>
      <c r="G424" s="2">
        <v>0.63185553999999999</v>
      </c>
      <c r="H424" s="2">
        <v>0.6464394</v>
      </c>
    </row>
    <row r="425" spans="1:8" ht="17.25" thickBot="1" x14ac:dyDescent="0.35">
      <c r="A425" s="6">
        <v>2</v>
      </c>
      <c r="B425" s="3">
        <v>1</v>
      </c>
      <c r="C425" s="11" t="s">
        <v>115</v>
      </c>
      <c r="D425" s="2">
        <v>1063</v>
      </c>
      <c r="E425" s="2">
        <v>0.65778899999999996</v>
      </c>
      <c r="F425" s="2">
        <v>3.6849999999999999E-3</v>
      </c>
      <c r="G425" s="2">
        <v>0.65056435000000001</v>
      </c>
      <c r="H425" s="2">
        <v>0.66501378</v>
      </c>
    </row>
    <row r="426" spans="1:8" ht="17.25" thickBot="1" x14ac:dyDescent="0.35">
      <c r="A426" s="6"/>
      <c r="B426" s="3">
        <v>2</v>
      </c>
      <c r="C426" s="11" t="s">
        <v>115</v>
      </c>
      <c r="D426" s="2">
        <v>1221</v>
      </c>
      <c r="E426" s="2">
        <v>0.63048000000000004</v>
      </c>
      <c r="F426" s="2">
        <v>2.7620000000000001E-3</v>
      </c>
      <c r="G426" s="2">
        <v>0.62506375000000003</v>
      </c>
      <c r="H426" s="2">
        <v>0.63589578999999996</v>
      </c>
    </row>
    <row r="427" spans="1:8" ht="17.25" thickBot="1" x14ac:dyDescent="0.35">
      <c r="A427" s="6"/>
      <c r="B427" s="3">
        <v>3</v>
      </c>
      <c r="C427" s="11" t="s">
        <v>115</v>
      </c>
      <c r="D427" s="2">
        <v>1211</v>
      </c>
      <c r="E427" s="2">
        <v>0.62509700000000001</v>
      </c>
      <c r="F427" s="2">
        <v>2.8370000000000001E-3</v>
      </c>
      <c r="G427" s="2">
        <v>0.61953502999999999</v>
      </c>
      <c r="H427" s="2">
        <v>0.63065932000000002</v>
      </c>
    </row>
    <row r="428" spans="1:8" ht="17.25" thickBot="1" x14ac:dyDescent="0.35">
      <c r="A428" s="6"/>
      <c r="B428" s="3">
        <v>4</v>
      </c>
      <c r="C428" s="11" t="s">
        <v>115</v>
      </c>
      <c r="D428" s="2">
        <v>1237</v>
      </c>
      <c r="E428" s="2">
        <v>0.61934999999999996</v>
      </c>
      <c r="F428" s="2">
        <v>2.617E-3</v>
      </c>
      <c r="G428" s="2">
        <v>0.61421762999999996</v>
      </c>
      <c r="H428" s="2">
        <v>0.62448221999999998</v>
      </c>
    </row>
    <row r="429" spans="1:8" ht="17.25" thickBot="1" x14ac:dyDescent="0.35">
      <c r="A429" s="6">
        <v>3</v>
      </c>
      <c r="B429" s="3">
        <v>1</v>
      </c>
      <c r="C429" s="11" t="s">
        <v>115</v>
      </c>
      <c r="D429" s="2">
        <v>947</v>
      </c>
      <c r="E429" s="2">
        <v>0.68474500000000005</v>
      </c>
      <c r="F429" s="2">
        <v>3.4550000000000002E-3</v>
      </c>
      <c r="G429" s="2">
        <v>0.67797006999999998</v>
      </c>
      <c r="H429" s="2">
        <v>0.69151976999999998</v>
      </c>
    </row>
    <row r="430" spans="1:8" ht="17.25" thickBot="1" x14ac:dyDescent="0.35">
      <c r="A430" s="6"/>
      <c r="B430" s="3">
        <v>2</v>
      </c>
      <c r="C430" s="11" t="s">
        <v>115</v>
      </c>
      <c r="D430" s="2">
        <v>1133</v>
      </c>
      <c r="E430" s="2">
        <v>0.64389600000000002</v>
      </c>
      <c r="F430" s="2">
        <v>2.8010000000000001E-3</v>
      </c>
      <c r="G430" s="2">
        <v>0.63840448000000005</v>
      </c>
      <c r="H430" s="2">
        <v>0.64938839000000004</v>
      </c>
    </row>
    <row r="431" spans="1:8" ht="17.25" thickBot="1" x14ac:dyDescent="0.35">
      <c r="A431" s="6"/>
      <c r="B431" s="3">
        <v>3</v>
      </c>
      <c r="C431" s="11" t="s">
        <v>115</v>
      </c>
      <c r="D431" s="2">
        <v>1170</v>
      </c>
      <c r="E431" s="2">
        <v>0.63544999999999996</v>
      </c>
      <c r="F431" s="2">
        <v>2.9499999999999999E-3</v>
      </c>
      <c r="G431" s="2">
        <v>0.62966482999999995</v>
      </c>
      <c r="H431" s="2">
        <v>0.64123521999999999</v>
      </c>
    </row>
    <row r="432" spans="1:8" ht="17.25" thickBot="1" x14ac:dyDescent="0.35">
      <c r="A432" s="6"/>
      <c r="B432" s="3">
        <v>4</v>
      </c>
      <c r="C432" s="11" t="s">
        <v>115</v>
      </c>
      <c r="D432" s="2">
        <v>1007</v>
      </c>
      <c r="E432" s="2">
        <v>0.62995900000000005</v>
      </c>
      <c r="F432" s="2">
        <v>2.9680000000000002E-3</v>
      </c>
      <c r="G432" s="2">
        <v>0.62414009999999998</v>
      </c>
      <c r="H432" s="2">
        <v>0.63577839999999997</v>
      </c>
    </row>
    <row r="433" spans="1:8" ht="17.25" thickBot="1" x14ac:dyDescent="0.35">
      <c r="A433" s="6">
        <v>4</v>
      </c>
      <c r="B433" s="3">
        <v>1</v>
      </c>
      <c r="C433" s="11" t="s">
        <v>115</v>
      </c>
      <c r="D433" s="2">
        <v>1066</v>
      </c>
      <c r="E433" s="2">
        <v>0.68477699999999997</v>
      </c>
      <c r="F433" s="2">
        <v>3.7550000000000001E-3</v>
      </c>
      <c r="G433" s="2">
        <v>0.67741361</v>
      </c>
      <c r="H433" s="2">
        <v>0.69213946999999998</v>
      </c>
    </row>
    <row r="434" spans="1:8" ht="17.25" thickBot="1" x14ac:dyDescent="0.35">
      <c r="A434" s="6"/>
      <c r="B434" s="3">
        <v>2</v>
      </c>
      <c r="C434" s="11" t="s">
        <v>115</v>
      </c>
      <c r="D434" s="2">
        <v>1087</v>
      </c>
      <c r="E434" s="2">
        <v>0.64961500000000005</v>
      </c>
      <c r="F434" s="2">
        <v>2.8609999999999998E-3</v>
      </c>
      <c r="G434" s="2">
        <v>0.64400447999999999</v>
      </c>
      <c r="H434" s="2">
        <v>0.65522471999999998</v>
      </c>
    </row>
    <row r="435" spans="1:8" ht="17.25" thickBot="1" x14ac:dyDescent="0.35">
      <c r="A435" s="6"/>
      <c r="B435" s="3">
        <v>3</v>
      </c>
      <c r="C435" s="11" t="s">
        <v>115</v>
      </c>
      <c r="D435" s="2">
        <v>1178</v>
      </c>
      <c r="E435" s="2">
        <v>0.63580300000000001</v>
      </c>
      <c r="F435" s="2">
        <v>2.6970000000000002E-3</v>
      </c>
      <c r="G435" s="2">
        <v>0.63051398000000003</v>
      </c>
      <c r="H435" s="2">
        <v>0.6410922</v>
      </c>
    </row>
    <row r="436" spans="1:8" ht="17.25" thickBot="1" x14ac:dyDescent="0.35">
      <c r="A436" s="6"/>
      <c r="B436" s="3">
        <v>4</v>
      </c>
      <c r="C436" s="11" t="s">
        <v>115</v>
      </c>
      <c r="D436" s="2">
        <v>1225</v>
      </c>
      <c r="E436" s="2">
        <v>0.62879600000000002</v>
      </c>
      <c r="F436" s="2">
        <v>2.8019999999999998E-3</v>
      </c>
      <c r="G436" s="2">
        <v>0.62330198999999997</v>
      </c>
      <c r="H436" s="2">
        <v>0.63428936000000002</v>
      </c>
    </row>
    <row r="437" spans="1:8" ht="17.25" thickBot="1" x14ac:dyDescent="0.35">
      <c r="A437" s="6">
        <v>5</v>
      </c>
      <c r="B437" s="3">
        <v>1</v>
      </c>
      <c r="C437" s="11" t="s">
        <v>115</v>
      </c>
      <c r="D437" s="2">
        <v>1217</v>
      </c>
      <c r="E437" s="2">
        <v>0.69890699999999994</v>
      </c>
      <c r="F437" s="2">
        <v>3.7100000000000002E-3</v>
      </c>
      <c r="G437" s="2">
        <v>0.69163209000000003</v>
      </c>
      <c r="H437" s="2">
        <v>0.70618152999999995</v>
      </c>
    </row>
    <row r="438" spans="1:8" ht="17.25" thickBot="1" x14ac:dyDescent="0.35">
      <c r="A438" s="6"/>
      <c r="B438" s="3">
        <v>2</v>
      </c>
      <c r="C438" s="11" t="s">
        <v>115</v>
      </c>
      <c r="D438" s="2">
        <v>1235</v>
      </c>
      <c r="E438" s="2">
        <v>0.66283800000000004</v>
      </c>
      <c r="F438" s="2">
        <v>2.9090000000000001E-3</v>
      </c>
      <c r="G438" s="2">
        <v>0.65713376999999995</v>
      </c>
      <c r="H438" s="2">
        <v>0.66854232000000002</v>
      </c>
    </row>
    <row r="439" spans="1:8" ht="17.25" thickBot="1" x14ac:dyDescent="0.35">
      <c r="A439" s="6"/>
      <c r="B439" s="3">
        <v>3</v>
      </c>
      <c r="C439" s="11" t="s">
        <v>115</v>
      </c>
      <c r="D439" s="2">
        <v>1075</v>
      </c>
      <c r="E439" s="2">
        <v>0.64601299999999995</v>
      </c>
      <c r="F439" s="2">
        <v>2.7810000000000001E-3</v>
      </c>
      <c r="G439" s="2">
        <v>0.64056067000000005</v>
      </c>
      <c r="H439" s="2">
        <v>0.65146497999999997</v>
      </c>
    </row>
    <row r="440" spans="1:8" ht="17.25" thickBot="1" x14ac:dyDescent="0.35">
      <c r="A440" s="6"/>
      <c r="B440" s="3">
        <v>4</v>
      </c>
      <c r="C440" s="11" t="s">
        <v>115</v>
      </c>
      <c r="D440" s="2">
        <v>974</v>
      </c>
      <c r="E440" s="2">
        <v>0.64295800000000003</v>
      </c>
      <c r="F440" s="2">
        <v>3.124E-3</v>
      </c>
      <c r="G440" s="2">
        <v>0.63683237000000004</v>
      </c>
      <c r="H440" s="2">
        <v>0.64908449000000001</v>
      </c>
    </row>
    <row r="441" spans="1:8" ht="17.25" thickBot="1" x14ac:dyDescent="0.35">
      <c r="A441" s="6">
        <v>6</v>
      </c>
      <c r="B441" s="3">
        <v>1</v>
      </c>
      <c r="C441" s="11" t="s">
        <v>115</v>
      </c>
      <c r="D441" s="2">
        <v>351</v>
      </c>
      <c r="E441" s="2">
        <v>0.70091499999999995</v>
      </c>
      <c r="F441" s="2">
        <v>4.9040000000000004E-3</v>
      </c>
      <c r="G441" s="2">
        <v>0.69129903999999998</v>
      </c>
      <c r="H441" s="2">
        <v>0.71053153000000002</v>
      </c>
    </row>
    <row r="442" spans="1:8" ht="17.25" thickBot="1" x14ac:dyDescent="0.35">
      <c r="A442" s="6"/>
      <c r="B442" s="3">
        <v>2</v>
      </c>
      <c r="C442" s="11" t="s">
        <v>115</v>
      </c>
      <c r="D442" s="2">
        <v>371</v>
      </c>
      <c r="E442" s="2">
        <v>0.65381800000000001</v>
      </c>
      <c r="F442" s="2">
        <v>5.1970000000000002E-3</v>
      </c>
      <c r="G442" s="2">
        <v>0.64362834999999996</v>
      </c>
      <c r="H442" s="2">
        <v>0.66400727999999998</v>
      </c>
    </row>
    <row r="443" spans="1:8" ht="17.25" thickBot="1" x14ac:dyDescent="0.35">
      <c r="A443" s="6"/>
      <c r="B443" s="3">
        <v>3</v>
      </c>
      <c r="C443" s="11" t="s">
        <v>115</v>
      </c>
      <c r="D443" s="2">
        <v>377</v>
      </c>
      <c r="E443" s="2">
        <v>0.64016099999999998</v>
      </c>
      <c r="F443" s="2">
        <v>3.9300000000000003E-3</v>
      </c>
      <c r="G443" s="2">
        <v>0.63245501999999998</v>
      </c>
      <c r="H443" s="2">
        <v>0.64786752000000003</v>
      </c>
    </row>
    <row r="444" spans="1:8" x14ac:dyDescent="0.3">
      <c r="A444" s="6"/>
      <c r="B444" s="3">
        <v>4</v>
      </c>
      <c r="C444" s="14" t="s">
        <v>115</v>
      </c>
      <c r="D444" s="2">
        <v>337</v>
      </c>
      <c r="E444" s="2">
        <v>0.64077499999999998</v>
      </c>
      <c r="F444" s="2">
        <v>4.7650000000000001E-3</v>
      </c>
      <c r="G444" s="2">
        <v>0.63143190999999999</v>
      </c>
      <c r="H444" s="2">
        <v>0.65011790999999997</v>
      </c>
    </row>
    <row r="448" spans="1:8" x14ac:dyDescent="0.3">
      <c r="A448" s="1" t="s">
        <v>237</v>
      </c>
    </row>
    <row r="450" spans="1:6" x14ac:dyDescent="0.3">
      <c r="A450" s="1" t="s">
        <v>21</v>
      </c>
    </row>
    <row r="451" spans="1:6" ht="17.25" thickBot="1" x14ac:dyDescent="0.35"/>
    <row r="452" spans="1:6" ht="16.5" customHeight="1" x14ac:dyDescent="0.3">
      <c r="A452" s="16" t="s">
        <v>135</v>
      </c>
      <c r="B452" s="18"/>
    </row>
    <row r="453" spans="1:6" ht="26.25" thickBot="1" x14ac:dyDescent="0.35">
      <c r="A453" s="12" t="s">
        <v>136</v>
      </c>
      <c r="B453" s="2">
        <v>183</v>
      </c>
    </row>
    <row r="454" spans="1:6" ht="26.25" thickBot="1" x14ac:dyDescent="0.35">
      <c r="A454" s="12" t="s">
        <v>137</v>
      </c>
      <c r="B454" s="2">
        <v>2982</v>
      </c>
    </row>
    <row r="455" spans="1:6" ht="39" thickBot="1" x14ac:dyDescent="0.35">
      <c r="A455" s="12" t="s">
        <v>138</v>
      </c>
      <c r="B455" s="2">
        <v>68635</v>
      </c>
    </row>
    <row r="456" spans="1:6" ht="25.5" x14ac:dyDescent="0.3">
      <c r="A456" s="13" t="s">
        <v>139</v>
      </c>
      <c r="B456" s="2">
        <v>30251935.699999999</v>
      </c>
    </row>
    <row r="457" spans="1:6" ht="17.25" thickBot="1" x14ac:dyDescent="0.35"/>
    <row r="458" spans="1:6" ht="33" customHeight="1" x14ac:dyDescent="0.3">
      <c r="A458" s="16" t="s">
        <v>140</v>
      </c>
      <c r="B458" s="18"/>
    </row>
    <row r="459" spans="1:6" ht="33.75" thickBot="1" x14ac:dyDescent="0.35">
      <c r="A459" s="12" t="s">
        <v>141</v>
      </c>
      <c r="B459" s="2" t="s">
        <v>142</v>
      </c>
    </row>
    <row r="460" spans="1:6" ht="25.5" x14ac:dyDescent="0.3">
      <c r="A460" s="13" t="s">
        <v>143</v>
      </c>
      <c r="B460" s="2" t="s">
        <v>144</v>
      </c>
    </row>
    <row r="461" spans="1:6" ht="17.25" thickBot="1" x14ac:dyDescent="0.35"/>
    <row r="462" spans="1:6" ht="16.5" customHeight="1" x14ac:dyDescent="0.3">
      <c r="A462" s="16" t="s">
        <v>238</v>
      </c>
      <c r="B462" s="18"/>
      <c r="C462" s="18"/>
      <c r="D462" s="18"/>
      <c r="E462" s="18"/>
      <c r="F462" s="18"/>
    </row>
    <row r="463" spans="1:6" ht="16.5" customHeight="1" x14ac:dyDescent="0.3">
      <c r="A463" s="17" t="s">
        <v>239</v>
      </c>
      <c r="B463" s="19" t="s">
        <v>94</v>
      </c>
      <c r="C463" s="19" t="s">
        <v>240</v>
      </c>
      <c r="D463" s="3" t="s">
        <v>241</v>
      </c>
      <c r="E463" s="19" t="s">
        <v>243</v>
      </c>
      <c r="F463" s="19"/>
    </row>
    <row r="464" spans="1:6" x14ac:dyDescent="0.3">
      <c r="A464" s="17"/>
      <c r="B464" s="19"/>
      <c r="C464" s="19"/>
      <c r="D464" s="3" t="s">
        <v>242</v>
      </c>
      <c r="E464" s="19"/>
      <c r="F464" s="19"/>
    </row>
    <row r="465" spans="1:15" x14ac:dyDescent="0.3">
      <c r="A465" s="13" t="s">
        <v>115</v>
      </c>
      <c r="B465" s="2">
        <v>68635</v>
      </c>
      <c r="C465" s="2">
        <v>0.66370899999999999</v>
      </c>
      <c r="D465" s="2">
        <v>4.4099999999999999E-4</v>
      </c>
      <c r="E465" s="2">
        <v>0.66284405999999996</v>
      </c>
      <c r="F465" s="2">
        <v>0.66457339000000004</v>
      </c>
    </row>
    <row r="469" spans="1:15" x14ac:dyDescent="0.3">
      <c r="A469" s="1" t="s">
        <v>237</v>
      </c>
    </row>
    <row r="471" spans="1:15" x14ac:dyDescent="0.3">
      <c r="A471" s="1" t="s">
        <v>21</v>
      </c>
    </row>
    <row r="472" spans="1:15" ht="17.25" thickBot="1" x14ac:dyDescent="0.35"/>
    <row r="473" spans="1:15" ht="16.5" customHeight="1" x14ac:dyDescent="0.3">
      <c r="A473" s="16" t="s">
        <v>254</v>
      </c>
      <c r="B473" s="18"/>
      <c r="C473" s="18"/>
      <c r="D473" s="18"/>
      <c r="E473" s="18"/>
      <c r="F473" s="18"/>
      <c r="G473" s="18"/>
      <c r="H473" s="18"/>
    </row>
    <row r="474" spans="1:15" ht="16.5" customHeight="1" x14ac:dyDescent="0.3">
      <c r="A474" s="17" t="s">
        <v>249</v>
      </c>
      <c r="B474" s="19" t="s">
        <v>9</v>
      </c>
      <c r="C474" s="19" t="s">
        <v>239</v>
      </c>
      <c r="D474" s="19" t="s">
        <v>94</v>
      </c>
      <c r="E474" s="19" t="s">
        <v>240</v>
      </c>
      <c r="F474" s="3" t="s">
        <v>241</v>
      </c>
      <c r="G474" s="19" t="s">
        <v>243</v>
      </c>
      <c r="H474" s="19"/>
    </row>
    <row r="475" spans="1:15" x14ac:dyDescent="0.3">
      <c r="A475" s="17"/>
      <c r="B475" s="19"/>
      <c r="C475" s="19"/>
      <c r="D475" s="19"/>
      <c r="E475" s="19"/>
      <c r="F475" s="3" t="s">
        <v>242</v>
      </c>
      <c r="G475" s="19"/>
      <c r="H475" s="19"/>
    </row>
    <row r="476" spans="1:15" ht="17.25" thickBot="1" x14ac:dyDescent="0.35">
      <c r="A476" s="6">
        <v>1</v>
      </c>
      <c r="B476" s="3">
        <v>1</v>
      </c>
      <c r="C476" s="11" t="s">
        <v>115</v>
      </c>
      <c r="D476" s="2">
        <v>2306</v>
      </c>
      <c r="E476" s="2">
        <v>0.68388599999999999</v>
      </c>
      <c r="F476" s="2">
        <v>2.6250000000000002E-3</v>
      </c>
      <c r="G476" s="2">
        <v>0.67873813999999999</v>
      </c>
      <c r="H476" s="2">
        <v>0.68903413999999996</v>
      </c>
      <c r="J476" t="str">
        <f t="shared" ref="J476:J499" si="14">TEXT(E476,"0.00")&amp;" ("&amp;TEXT(G476,"0.00")&amp;" to "&amp;TEXT(H476,"0.00")&amp;")"</f>
        <v>0.68 (0.68 to 0.69)</v>
      </c>
      <c r="K476" t="str">
        <f>J480</f>
        <v>0.68 (0.68 to 0.69)</v>
      </c>
      <c r="L476" t="str">
        <f>J484</f>
        <v>0.69 (0.68 to 0.69)</v>
      </c>
      <c r="M476" t="str">
        <f>J488</f>
        <v>0.69 (0.68 to 0.69)</v>
      </c>
      <c r="N476" t="str">
        <f>J492</f>
        <v>0.70 (0.69 to 0.70)</v>
      </c>
      <c r="O476" t="str">
        <f>J496</f>
        <v>0.69 (0.68 to 0.69)</v>
      </c>
    </row>
    <row r="477" spans="1:15" ht="17.25" thickBot="1" x14ac:dyDescent="0.35">
      <c r="A477" s="6"/>
      <c r="B477" s="3">
        <v>2</v>
      </c>
      <c r="C477" s="11" t="s">
        <v>115</v>
      </c>
      <c r="D477" s="2">
        <v>2964</v>
      </c>
      <c r="E477" s="2">
        <v>0.66586000000000001</v>
      </c>
      <c r="F477" s="2">
        <v>2.1250000000000002E-3</v>
      </c>
      <c r="G477" s="2">
        <v>0.66169235999999998</v>
      </c>
      <c r="H477" s="2">
        <v>0.67002759000000001</v>
      </c>
      <c r="J477" t="str">
        <f t="shared" si="14"/>
        <v>0.67 (0.66 to 0.67)</v>
      </c>
      <c r="K477" t="str">
        <f t="shared" ref="K477:K479" si="15">J481</f>
        <v>0.66 (0.66 to 0.66)</v>
      </c>
      <c r="L477" t="str">
        <f t="shared" ref="L477:L479" si="16">J485</f>
        <v>0.66 (0.66 to 0.66)</v>
      </c>
      <c r="M477" t="str">
        <f t="shared" ref="M477:M479" si="17">J489</f>
        <v>0.67 (0.67 to 0.67)</v>
      </c>
      <c r="N477" t="str">
        <f t="shared" ref="N477:N479" si="18">J493</f>
        <v>0.68 (0.67 to 0.68)</v>
      </c>
      <c r="O477" t="str">
        <f t="shared" ref="O477:O479" si="19">J497</f>
        <v>0.68 (0.67 to 0.68)</v>
      </c>
    </row>
    <row r="478" spans="1:15" ht="17.25" thickBot="1" x14ac:dyDescent="0.35">
      <c r="A478" s="6"/>
      <c r="B478" s="3">
        <v>3</v>
      </c>
      <c r="C478" s="11" t="s">
        <v>115</v>
      </c>
      <c r="D478" s="2">
        <v>3319</v>
      </c>
      <c r="E478" s="2">
        <v>0.65502300000000002</v>
      </c>
      <c r="F478" s="2">
        <v>1.642E-3</v>
      </c>
      <c r="G478" s="2">
        <v>0.65180417000000002</v>
      </c>
      <c r="H478" s="2">
        <v>0.65824274000000005</v>
      </c>
      <c r="J478" t="str">
        <f t="shared" si="14"/>
        <v>0.66 (0.65 to 0.66)</v>
      </c>
      <c r="K478" t="str">
        <f t="shared" si="15"/>
        <v>0.65 (0.65 to 0.66)</v>
      </c>
      <c r="L478" t="str">
        <f t="shared" si="16"/>
        <v>0.66 (0.65 to 0.66)</v>
      </c>
      <c r="M478" t="str">
        <f t="shared" si="17"/>
        <v>0.66 (0.66 to 0.66)</v>
      </c>
      <c r="N478" t="str">
        <f t="shared" si="18"/>
        <v>0.67 (0.67 to 0.67)</v>
      </c>
      <c r="O478" t="str">
        <f t="shared" si="19"/>
        <v>0.67 (0.66 to 0.67)</v>
      </c>
    </row>
    <row r="479" spans="1:15" ht="17.25" thickBot="1" x14ac:dyDescent="0.35">
      <c r="A479" s="6"/>
      <c r="B479" s="3">
        <v>4</v>
      </c>
      <c r="C479" s="11" t="s">
        <v>115</v>
      </c>
      <c r="D479" s="2">
        <v>3326</v>
      </c>
      <c r="E479" s="2">
        <v>0.65013900000000002</v>
      </c>
      <c r="F479" s="2">
        <v>1.6310000000000001E-3</v>
      </c>
      <c r="G479" s="2">
        <v>0.64694107999999995</v>
      </c>
      <c r="H479" s="2">
        <v>0.65333620000000003</v>
      </c>
      <c r="J479" t="str">
        <f t="shared" si="14"/>
        <v>0.65 (0.65 to 0.65)</v>
      </c>
      <c r="K479" t="str">
        <f t="shared" si="15"/>
        <v>0.65 (0.65 to 0.65)</v>
      </c>
      <c r="L479" t="str">
        <f t="shared" si="16"/>
        <v>0.65 (0.65 to 0.65)</v>
      </c>
      <c r="M479" t="str">
        <f t="shared" si="17"/>
        <v>0.66 (0.65 to 0.66)</v>
      </c>
      <c r="N479" t="str">
        <f t="shared" si="18"/>
        <v>0.66 (0.66 to 0.67)</v>
      </c>
      <c r="O479" t="str">
        <f t="shared" si="19"/>
        <v>0.66 (0.66 to 0.67)</v>
      </c>
    </row>
    <row r="480" spans="1:15" ht="17.25" thickBot="1" x14ac:dyDescent="0.35">
      <c r="A480" s="6">
        <v>2</v>
      </c>
      <c r="B480" s="3">
        <v>1</v>
      </c>
      <c r="C480" s="11" t="s">
        <v>115</v>
      </c>
      <c r="D480" s="2">
        <v>2174</v>
      </c>
      <c r="E480" s="2">
        <v>0.68076400000000004</v>
      </c>
      <c r="F480" s="2">
        <v>2.6359999999999999E-3</v>
      </c>
      <c r="G480" s="2">
        <v>0.67559521</v>
      </c>
      <c r="H480" s="2">
        <v>0.68593344000000001</v>
      </c>
      <c r="J480" t="str">
        <f t="shared" si="14"/>
        <v>0.68 (0.68 to 0.69)</v>
      </c>
    </row>
    <row r="481" spans="1:10" ht="17.25" thickBot="1" x14ac:dyDescent="0.35">
      <c r="A481" s="6"/>
      <c r="B481" s="3">
        <v>2</v>
      </c>
      <c r="C481" s="11" t="s">
        <v>115</v>
      </c>
      <c r="D481" s="2">
        <v>3356</v>
      </c>
      <c r="E481" s="2">
        <v>0.65935500000000002</v>
      </c>
      <c r="F481" s="2">
        <v>1.807E-3</v>
      </c>
      <c r="G481" s="2">
        <v>0.65581126999999995</v>
      </c>
      <c r="H481" s="2">
        <v>0.66289807999999995</v>
      </c>
      <c r="J481" t="str">
        <f t="shared" si="14"/>
        <v>0.66 (0.66 to 0.66)</v>
      </c>
    </row>
    <row r="482" spans="1:10" ht="17.25" thickBot="1" x14ac:dyDescent="0.35">
      <c r="A482" s="6"/>
      <c r="B482" s="3">
        <v>3</v>
      </c>
      <c r="C482" s="11" t="s">
        <v>115</v>
      </c>
      <c r="D482" s="2">
        <v>3737</v>
      </c>
      <c r="E482" s="2">
        <v>0.65232199999999996</v>
      </c>
      <c r="F482" s="2">
        <v>1.523E-3</v>
      </c>
      <c r="G482" s="2">
        <v>0.64933600999999996</v>
      </c>
      <c r="H482" s="2">
        <v>0.65530783000000004</v>
      </c>
      <c r="J482" t="str">
        <f t="shared" si="14"/>
        <v>0.65 (0.65 to 0.66)</v>
      </c>
    </row>
    <row r="483" spans="1:10" ht="17.25" thickBot="1" x14ac:dyDescent="0.35">
      <c r="A483" s="6"/>
      <c r="B483" s="3">
        <v>4</v>
      </c>
      <c r="C483" s="11" t="s">
        <v>115</v>
      </c>
      <c r="D483" s="2">
        <v>3849</v>
      </c>
      <c r="E483" s="2">
        <v>0.65066999999999997</v>
      </c>
      <c r="F483" s="2">
        <v>1.5969999999999999E-3</v>
      </c>
      <c r="G483" s="2">
        <v>0.64753817999999996</v>
      </c>
      <c r="H483" s="2">
        <v>0.65380103000000001</v>
      </c>
      <c r="J483" t="str">
        <f t="shared" si="14"/>
        <v>0.65 (0.65 to 0.65)</v>
      </c>
    </row>
    <row r="484" spans="1:10" ht="17.25" thickBot="1" x14ac:dyDescent="0.35">
      <c r="A484" s="6">
        <v>3</v>
      </c>
      <c r="B484" s="3">
        <v>1</v>
      </c>
      <c r="C484" s="11" t="s">
        <v>115</v>
      </c>
      <c r="D484" s="2">
        <v>1765</v>
      </c>
      <c r="E484" s="2">
        <v>0.687056</v>
      </c>
      <c r="F484" s="2">
        <v>2.5530000000000001E-3</v>
      </c>
      <c r="G484" s="2">
        <v>0.68205026000000002</v>
      </c>
      <c r="H484" s="2">
        <v>0.69206171000000005</v>
      </c>
      <c r="J484" t="str">
        <f t="shared" si="14"/>
        <v>0.69 (0.68 to 0.69)</v>
      </c>
    </row>
    <row r="485" spans="1:10" ht="17.25" thickBot="1" x14ac:dyDescent="0.35">
      <c r="A485" s="6"/>
      <c r="B485" s="3">
        <v>2</v>
      </c>
      <c r="C485" s="11" t="s">
        <v>115</v>
      </c>
      <c r="D485" s="2">
        <v>2863</v>
      </c>
      <c r="E485" s="2">
        <v>0.65935999999999995</v>
      </c>
      <c r="F485" s="2">
        <v>2.0760000000000002E-3</v>
      </c>
      <c r="G485" s="2">
        <v>0.65528987000000005</v>
      </c>
      <c r="H485" s="2">
        <v>0.66343057999999999</v>
      </c>
      <c r="J485" t="str">
        <f t="shared" si="14"/>
        <v>0.66 (0.66 to 0.66)</v>
      </c>
    </row>
    <row r="486" spans="1:10" ht="17.25" thickBot="1" x14ac:dyDescent="0.35">
      <c r="A486" s="6"/>
      <c r="B486" s="3">
        <v>3</v>
      </c>
      <c r="C486" s="11" t="s">
        <v>115</v>
      </c>
      <c r="D486" s="2">
        <v>3314</v>
      </c>
      <c r="E486" s="2">
        <v>0.65631399999999995</v>
      </c>
      <c r="F486" s="2">
        <v>1.547E-3</v>
      </c>
      <c r="G486" s="2">
        <v>0.65328094999999997</v>
      </c>
      <c r="H486" s="2">
        <v>0.65934654999999998</v>
      </c>
      <c r="J486" t="str">
        <f t="shared" si="14"/>
        <v>0.66 (0.65 to 0.66)</v>
      </c>
    </row>
    <row r="487" spans="1:10" ht="17.25" thickBot="1" x14ac:dyDescent="0.35">
      <c r="A487" s="6"/>
      <c r="B487" s="3">
        <v>4</v>
      </c>
      <c r="C487" s="11" t="s">
        <v>115</v>
      </c>
      <c r="D487" s="2">
        <v>3533</v>
      </c>
      <c r="E487" s="2">
        <v>0.65055300000000005</v>
      </c>
      <c r="F487" s="2">
        <v>1.516E-3</v>
      </c>
      <c r="G487" s="2">
        <v>0.64757964000000001</v>
      </c>
      <c r="H487" s="2">
        <v>0.65352675000000005</v>
      </c>
      <c r="J487" t="str">
        <f t="shared" si="14"/>
        <v>0.65 (0.65 to 0.65)</v>
      </c>
    </row>
    <row r="488" spans="1:10" ht="17.25" thickBot="1" x14ac:dyDescent="0.35">
      <c r="A488" s="6">
        <v>4</v>
      </c>
      <c r="B488" s="3">
        <v>1</v>
      </c>
      <c r="C488" s="11" t="s">
        <v>115</v>
      </c>
      <c r="D488" s="2">
        <v>2304</v>
      </c>
      <c r="E488" s="2">
        <v>0.68782399999999999</v>
      </c>
      <c r="F488" s="2">
        <v>2.7000000000000001E-3</v>
      </c>
      <c r="G488" s="2">
        <v>0.68253048999999999</v>
      </c>
      <c r="H488" s="2">
        <v>0.69311829999999996</v>
      </c>
      <c r="J488" t="str">
        <f t="shared" si="14"/>
        <v>0.69 (0.68 to 0.69)</v>
      </c>
    </row>
    <row r="489" spans="1:10" ht="17.25" thickBot="1" x14ac:dyDescent="0.35">
      <c r="A489" s="6"/>
      <c r="B489" s="3">
        <v>2</v>
      </c>
      <c r="C489" s="11" t="s">
        <v>115</v>
      </c>
      <c r="D489" s="2">
        <v>3403</v>
      </c>
      <c r="E489" s="2">
        <v>0.669126</v>
      </c>
      <c r="F489" s="2">
        <v>1.6800000000000001E-3</v>
      </c>
      <c r="G489" s="2">
        <v>0.66583228000000005</v>
      </c>
      <c r="H489" s="2">
        <v>0.67241930000000005</v>
      </c>
      <c r="J489" t="str">
        <f t="shared" si="14"/>
        <v>0.67 (0.67 to 0.67)</v>
      </c>
    </row>
    <row r="490" spans="1:10" ht="17.25" thickBot="1" x14ac:dyDescent="0.35">
      <c r="A490" s="6"/>
      <c r="B490" s="3">
        <v>3</v>
      </c>
      <c r="C490" s="11" t="s">
        <v>115</v>
      </c>
      <c r="D490" s="2">
        <v>4062</v>
      </c>
      <c r="E490" s="2">
        <v>0.66045100000000001</v>
      </c>
      <c r="F490" s="2">
        <v>1.472E-3</v>
      </c>
      <c r="G490" s="2">
        <v>0.65756453999999998</v>
      </c>
      <c r="H490" s="2">
        <v>0.66333752999999995</v>
      </c>
      <c r="J490" t="str">
        <f t="shared" si="14"/>
        <v>0.66 (0.66 to 0.66)</v>
      </c>
    </row>
    <row r="491" spans="1:10" ht="17.25" thickBot="1" x14ac:dyDescent="0.35">
      <c r="A491" s="6"/>
      <c r="B491" s="3">
        <v>4</v>
      </c>
      <c r="C491" s="11" t="s">
        <v>115</v>
      </c>
      <c r="D491" s="2">
        <v>4389</v>
      </c>
      <c r="E491" s="2">
        <v>0.65545299999999995</v>
      </c>
      <c r="F491" s="2">
        <v>1.3929999999999999E-3</v>
      </c>
      <c r="G491" s="2">
        <v>0.65272094999999997</v>
      </c>
      <c r="H491" s="2">
        <v>0.65818458999999996</v>
      </c>
      <c r="J491" t="str">
        <f t="shared" si="14"/>
        <v>0.66 (0.65 to 0.66)</v>
      </c>
    </row>
    <row r="492" spans="1:10" ht="17.25" thickBot="1" x14ac:dyDescent="0.35">
      <c r="A492" s="6">
        <v>5</v>
      </c>
      <c r="B492" s="3">
        <v>1</v>
      </c>
      <c r="C492" s="11" t="s">
        <v>115</v>
      </c>
      <c r="D492" s="2">
        <v>2058</v>
      </c>
      <c r="E492" s="2">
        <v>0.69585300000000005</v>
      </c>
      <c r="F492" s="2">
        <v>2.7720000000000002E-3</v>
      </c>
      <c r="G492" s="2">
        <v>0.69041675000000002</v>
      </c>
      <c r="H492" s="2">
        <v>0.70128889999999999</v>
      </c>
      <c r="J492" t="str">
        <f t="shared" si="14"/>
        <v>0.70 (0.69 to 0.70)</v>
      </c>
    </row>
    <row r="493" spans="1:10" ht="17.25" thickBot="1" x14ac:dyDescent="0.35">
      <c r="A493" s="6"/>
      <c r="B493" s="3">
        <v>2</v>
      </c>
      <c r="C493" s="11" t="s">
        <v>115</v>
      </c>
      <c r="D493" s="2">
        <v>3220</v>
      </c>
      <c r="E493" s="2">
        <v>0.67820800000000003</v>
      </c>
      <c r="F493" s="2">
        <v>1.658E-3</v>
      </c>
      <c r="G493" s="2">
        <v>0.67495669000000003</v>
      </c>
      <c r="H493" s="2">
        <v>0.68145902000000003</v>
      </c>
      <c r="J493" t="str">
        <f t="shared" si="14"/>
        <v>0.68 (0.67 to 0.68)</v>
      </c>
    </row>
    <row r="494" spans="1:10" ht="17.25" thickBot="1" x14ac:dyDescent="0.35">
      <c r="A494" s="6"/>
      <c r="B494" s="3">
        <v>3</v>
      </c>
      <c r="C494" s="11" t="s">
        <v>115</v>
      </c>
      <c r="D494" s="2">
        <v>3860</v>
      </c>
      <c r="E494" s="2">
        <v>0.669076</v>
      </c>
      <c r="F494" s="2">
        <v>1.438E-3</v>
      </c>
      <c r="G494" s="2">
        <v>0.66625667</v>
      </c>
      <c r="H494" s="2">
        <v>0.67189575000000001</v>
      </c>
      <c r="J494" t="str">
        <f t="shared" si="14"/>
        <v>0.67 (0.67 to 0.67)</v>
      </c>
    </row>
    <row r="495" spans="1:10" ht="17.25" thickBot="1" x14ac:dyDescent="0.35">
      <c r="A495" s="6"/>
      <c r="B495" s="3">
        <v>4</v>
      </c>
      <c r="C495" s="11" t="s">
        <v>115</v>
      </c>
      <c r="D495" s="2">
        <v>4417</v>
      </c>
      <c r="E495" s="2">
        <v>0.66366400000000003</v>
      </c>
      <c r="F495" s="2">
        <v>1.3619999999999999E-3</v>
      </c>
      <c r="G495" s="2">
        <v>0.66099269999999999</v>
      </c>
      <c r="H495" s="2">
        <v>0.66633503000000005</v>
      </c>
      <c r="J495" t="str">
        <f t="shared" si="14"/>
        <v>0.66 (0.66 to 0.67)</v>
      </c>
    </row>
    <row r="496" spans="1:10" ht="17.25" thickBot="1" x14ac:dyDescent="0.35">
      <c r="A496" s="6">
        <v>6</v>
      </c>
      <c r="B496" s="3">
        <v>1</v>
      </c>
      <c r="C496" s="11" t="s">
        <v>115</v>
      </c>
      <c r="D496" s="2">
        <v>658</v>
      </c>
      <c r="E496" s="2">
        <v>0.68561799999999995</v>
      </c>
      <c r="F496" s="2">
        <v>4.5209999999999998E-3</v>
      </c>
      <c r="G496" s="2">
        <v>0.67675260999999998</v>
      </c>
      <c r="H496" s="2">
        <v>0.69448348000000004</v>
      </c>
      <c r="J496" t="str">
        <f t="shared" si="14"/>
        <v>0.69 (0.68 to 0.69)</v>
      </c>
    </row>
    <row r="497" spans="1:10" ht="17.25" thickBot="1" x14ac:dyDescent="0.35">
      <c r="A497" s="6"/>
      <c r="B497" s="3">
        <v>2</v>
      </c>
      <c r="C497" s="11" t="s">
        <v>115</v>
      </c>
      <c r="D497" s="2">
        <v>1028</v>
      </c>
      <c r="E497" s="2">
        <v>0.67664500000000005</v>
      </c>
      <c r="F497" s="2">
        <v>2.758E-3</v>
      </c>
      <c r="G497" s="2">
        <v>0.67123688000000004</v>
      </c>
      <c r="H497" s="2">
        <v>0.68205351000000003</v>
      </c>
      <c r="J497" t="str">
        <f t="shared" si="14"/>
        <v>0.68 (0.67 to 0.68)</v>
      </c>
    </row>
    <row r="498" spans="1:10" ht="17.25" thickBot="1" x14ac:dyDescent="0.35">
      <c r="A498" s="6"/>
      <c r="B498" s="3">
        <v>3</v>
      </c>
      <c r="C498" s="11" t="s">
        <v>115</v>
      </c>
      <c r="D498" s="2">
        <v>1294</v>
      </c>
      <c r="E498" s="2">
        <v>0.665713</v>
      </c>
      <c r="F498" s="2">
        <v>2.3289999999999999E-3</v>
      </c>
      <c r="G498" s="2">
        <v>0.66114660000000003</v>
      </c>
      <c r="H498" s="2">
        <v>0.67027974999999995</v>
      </c>
      <c r="J498" t="str">
        <f t="shared" si="14"/>
        <v>0.67 (0.66 to 0.67)</v>
      </c>
    </row>
    <row r="499" spans="1:10" x14ac:dyDescent="0.3">
      <c r="A499" s="6"/>
      <c r="B499" s="3">
        <v>4</v>
      </c>
      <c r="C499" s="14" t="s">
        <v>115</v>
      </c>
      <c r="D499" s="2">
        <v>1436</v>
      </c>
      <c r="E499" s="2">
        <v>0.661273</v>
      </c>
      <c r="F499" s="2">
        <v>2.039E-3</v>
      </c>
      <c r="G499" s="2">
        <v>0.65727533999999999</v>
      </c>
      <c r="H499" s="2">
        <v>0.66527033999999996</v>
      </c>
      <c r="J499" t="str">
        <f t="shared" si="14"/>
        <v>0.66 (0.66 to 0.67)</v>
      </c>
    </row>
    <row r="503" spans="1:10" x14ac:dyDescent="0.3">
      <c r="A503" s="1" t="s">
        <v>237</v>
      </c>
    </row>
    <row r="505" spans="1:10" x14ac:dyDescent="0.3">
      <c r="A505" s="1" t="s">
        <v>1</v>
      </c>
    </row>
    <row r="506" spans="1:10" ht="17.25" thickBot="1" x14ac:dyDescent="0.35"/>
    <row r="507" spans="1:10" ht="16.5" customHeight="1" x14ac:dyDescent="0.3">
      <c r="A507" s="16" t="s">
        <v>135</v>
      </c>
      <c r="B507" s="18"/>
    </row>
    <row r="508" spans="1:10" ht="26.25" thickBot="1" x14ac:dyDescent="0.35">
      <c r="A508" s="12" t="s">
        <v>136</v>
      </c>
      <c r="B508" s="2">
        <v>183</v>
      </c>
    </row>
    <row r="509" spans="1:10" ht="26.25" thickBot="1" x14ac:dyDescent="0.35">
      <c r="A509" s="12" t="s">
        <v>137</v>
      </c>
      <c r="B509" s="2">
        <v>2949</v>
      </c>
    </row>
    <row r="510" spans="1:10" ht="39" thickBot="1" x14ac:dyDescent="0.35">
      <c r="A510" s="12" t="s">
        <v>138</v>
      </c>
      <c r="B510" s="2">
        <v>23222</v>
      </c>
    </row>
    <row r="511" spans="1:10" ht="25.5" x14ac:dyDescent="0.3">
      <c r="A511" s="13" t="s">
        <v>139</v>
      </c>
      <c r="B511" s="2">
        <v>9036880.5199999996</v>
      </c>
    </row>
    <row r="512" spans="1:10" ht="17.25" thickBot="1" x14ac:dyDescent="0.35"/>
    <row r="513" spans="1:8" ht="33" customHeight="1" x14ac:dyDescent="0.3">
      <c r="A513" s="16" t="s">
        <v>140</v>
      </c>
      <c r="B513" s="18"/>
    </row>
    <row r="514" spans="1:8" ht="33.75" thickBot="1" x14ac:dyDescent="0.35">
      <c r="A514" s="12" t="s">
        <v>141</v>
      </c>
      <c r="B514" s="2" t="s">
        <v>142</v>
      </c>
    </row>
    <row r="515" spans="1:8" ht="25.5" x14ac:dyDescent="0.3">
      <c r="A515" s="13" t="s">
        <v>143</v>
      </c>
      <c r="B515" s="2" t="s">
        <v>144</v>
      </c>
    </row>
    <row r="516" spans="1:8" ht="17.25" thickBot="1" x14ac:dyDescent="0.35"/>
    <row r="517" spans="1:8" ht="16.5" customHeight="1" x14ac:dyDescent="0.3">
      <c r="A517" s="16" t="s">
        <v>238</v>
      </c>
      <c r="B517" s="18"/>
      <c r="C517" s="18"/>
      <c r="D517" s="18"/>
      <c r="E517" s="18"/>
      <c r="F517" s="18"/>
    </row>
    <row r="518" spans="1:8" ht="16.5" customHeight="1" x14ac:dyDescent="0.3">
      <c r="A518" s="17" t="s">
        <v>239</v>
      </c>
      <c r="B518" s="19" t="s">
        <v>94</v>
      </c>
      <c r="C518" s="19" t="s">
        <v>240</v>
      </c>
      <c r="D518" s="3" t="s">
        <v>241</v>
      </c>
      <c r="E518" s="19" t="s">
        <v>243</v>
      </c>
      <c r="F518" s="19"/>
    </row>
    <row r="519" spans="1:8" x14ac:dyDescent="0.3">
      <c r="A519" s="17"/>
      <c r="B519" s="19"/>
      <c r="C519" s="19"/>
      <c r="D519" s="3" t="s">
        <v>242</v>
      </c>
      <c r="E519" s="19"/>
      <c r="F519" s="19"/>
    </row>
    <row r="520" spans="1:8" x14ac:dyDescent="0.3">
      <c r="A520" s="13" t="s">
        <v>115</v>
      </c>
      <c r="B520" s="2">
        <v>23222</v>
      </c>
      <c r="C520" s="2">
        <v>0.64841899999999997</v>
      </c>
      <c r="D520" s="2">
        <v>7.7200000000000001E-4</v>
      </c>
      <c r="E520" s="2">
        <v>0.64690462000000004</v>
      </c>
      <c r="F520" s="2">
        <v>0.64993400999999995</v>
      </c>
    </row>
    <row r="524" spans="1:8" x14ac:dyDescent="0.3">
      <c r="A524" s="1" t="s">
        <v>237</v>
      </c>
    </row>
    <row r="526" spans="1:8" x14ac:dyDescent="0.3">
      <c r="A526" s="1" t="s">
        <v>1</v>
      </c>
    </row>
    <row r="527" spans="1:8" ht="17.25" thickBot="1" x14ac:dyDescent="0.35"/>
    <row r="528" spans="1:8" ht="16.5" customHeight="1" x14ac:dyDescent="0.3">
      <c r="A528" s="16" t="s">
        <v>255</v>
      </c>
      <c r="B528" s="18"/>
      <c r="C528" s="18"/>
      <c r="D528" s="18"/>
      <c r="E528" s="18"/>
      <c r="F528" s="18"/>
      <c r="G528" s="18"/>
      <c r="H528" s="18"/>
    </row>
    <row r="529" spans="1:8" ht="16.5" customHeight="1" x14ac:dyDescent="0.3">
      <c r="A529" s="17" t="s">
        <v>249</v>
      </c>
      <c r="B529" s="19" t="s">
        <v>10</v>
      </c>
      <c r="C529" s="19" t="s">
        <v>239</v>
      </c>
      <c r="D529" s="19" t="s">
        <v>94</v>
      </c>
      <c r="E529" s="19" t="s">
        <v>240</v>
      </c>
      <c r="F529" s="3" t="s">
        <v>241</v>
      </c>
      <c r="G529" s="19" t="s">
        <v>243</v>
      </c>
      <c r="H529" s="19"/>
    </row>
    <row r="530" spans="1:8" x14ac:dyDescent="0.3">
      <c r="A530" s="17"/>
      <c r="B530" s="19"/>
      <c r="C530" s="19"/>
      <c r="D530" s="19"/>
      <c r="E530" s="19"/>
      <c r="F530" s="3" t="s">
        <v>242</v>
      </c>
      <c r="G530" s="19"/>
      <c r="H530" s="19"/>
    </row>
    <row r="531" spans="1:8" ht="17.25" thickBot="1" x14ac:dyDescent="0.35">
      <c r="A531" s="6">
        <v>1</v>
      </c>
      <c r="B531" s="3">
        <v>1</v>
      </c>
      <c r="C531" s="11" t="s">
        <v>115</v>
      </c>
      <c r="D531" s="2">
        <v>425</v>
      </c>
      <c r="E531" s="2">
        <v>0.59894899999999995</v>
      </c>
      <c r="F531" s="2">
        <v>3.0999999999999999E-3</v>
      </c>
      <c r="G531" s="2">
        <v>0.5928717</v>
      </c>
      <c r="H531" s="2">
        <v>0.60502727999999995</v>
      </c>
    </row>
    <row r="532" spans="1:8" ht="17.25" thickBot="1" x14ac:dyDescent="0.35">
      <c r="A532" s="6"/>
      <c r="B532" s="3">
        <v>2</v>
      </c>
      <c r="C532" s="11" t="s">
        <v>115</v>
      </c>
      <c r="D532" s="2">
        <v>1532</v>
      </c>
      <c r="E532" s="2">
        <v>0.634108</v>
      </c>
      <c r="F532" s="2">
        <v>2.6029999999999998E-3</v>
      </c>
      <c r="G532" s="2">
        <v>0.62900341000000004</v>
      </c>
      <c r="H532" s="2">
        <v>0.63921159999999999</v>
      </c>
    </row>
    <row r="533" spans="1:8" ht="17.25" thickBot="1" x14ac:dyDescent="0.35">
      <c r="A533" s="6"/>
      <c r="B533" s="3">
        <v>3</v>
      </c>
      <c r="C533" s="11" t="s">
        <v>115</v>
      </c>
      <c r="D533" s="2">
        <v>735</v>
      </c>
      <c r="E533" s="2">
        <v>0.66994799999999999</v>
      </c>
      <c r="F533" s="2">
        <v>3.6849999999999999E-3</v>
      </c>
      <c r="G533" s="2">
        <v>0.66272282000000005</v>
      </c>
      <c r="H533" s="2">
        <v>0.67717242</v>
      </c>
    </row>
    <row r="534" spans="1:8" ht="17.25" thickBot="1" x14ac:dyDescent="0.35">
      <c r="A534" s="6"/>
      <c r="B534" s="3">
        <v>4</v>
      </c>
      <c r="C534" s="11" t="s">
        <v>115</v>
      </c>
      <c r="D534" s="2">
        <v>1048</v>
      </c>
      <c r="E534" s="2">
        <v>0.701214</v>
      </c>
      <c r="F534" s="2">
        <v>3.1540000000000001E-3</v>
      </c>
      <c r="G534" s="2">
        <v>0.69502881999999999</v>
      </c>
      <c r="H534" s="2">
        <v>0.70739962000000001</v>
      </c>
    </row>
    <row r="535" spans="1:8" ht="17.25" thickBot="1" x14ac:dyDescent="0.35">
      <c r="A535" s="6">
        <v>2</v>
      </c>
      <c r="B535" s="3">
        <v>1</v>
      </c>
      <c r="C535" s="11" t="s">
        <v>115</v>
      </c>
      <c r="D535" s="2">
        <v>810</v>
      </c>
      <c r="E535" s="2">
        <v>0.59013400000000005</v>
      </c>
      <c r="F535" s="2">
        <v>2.1389999999999998E-3</v>
      </c>
      <c r="G535" s="2">
        <v>0.58594035</v>
      </c>
      <c r="H535" s="2">
        <v>0.59432755999999998</v>
      </c>
    </row>
    <row r="536" spans="1:8" ht="17.25" thickBot="1" x14ac:dyDescent="0.35">
      <c r="A536" s="6"/>
      <c r="B536" s="3">
        <v>2</v>
      </c>
      <c r="C536" s="11" t="s">
        <v>115</v>
      </c>
      <c r="D536" s="2">
        <v>1935</v>
      </c>
      <c r="E536" s="2">
        <v>0.61511800000000005</v>
      </c>
      <c r="F536" s="2">
        <v>2.0470000000000002E-3</v>
      </c>
      <c r="G536" s="2">
        <v>0.61110416000000001</v>
      </c>
      <c r="H536" s="2">
        <v>0.61913123999999997</v>
      </c>
    </row>
    <row r="537" spans="1:8" ht="17.25" thickBot="1" x14ac:dyDescent="0.35">
      <c r="A537" s="6"/>
      <c r="B537" s="3">
        <v>3</v>
      </c>
      <c r="C537" s="11" t="s">
        <v>115</v>
      </c>
      <c r="D537" s="2">
        <v>864</v>
      </c>
      <c r="E537" s="2">
        <v>0.65362900000000002</v>
      </c>
      <c r="F537" s="2">
        <v>3.261E-3</v>
      </c>
      <c r="G537" s="2">
        <v>0.64723593999999995</v>
      </c>
      <c r="H537" s="2">
        <v>0.66002267999999997</v>
      </c>
    </row>
    <row r="538" spans="1:8" ht="17.25" thickBot="1" x14ac:dyDescent="0.35">
      <c r="A538" s="6"/>
      <c r="B538" s="3">
        <v>4</v>
      </c>
      <c r="C538" s="11" t="s">
        <v>115</v>
      </c>
      <c r="D538" s="2">
        <v>1123</v>
      </c>
      <c r="E538" s="2">
        <v>0.677068</v>
      </c>
      <c r="F538" s="2">
        <v>2.967E-3</v>
      </c>
      <c r="G538" s="2">
        <v>0.67124991000000001</v>
      </c>
      <c r="H538" s="2">
        <v>0.68288578</v>
      </c>
    </row>
    <row r="539" spans="1:8" ht="17.25" thickBot="1" x14ac:dyDescent="0.35">
      <c r="A539" s="6">
        <v>3</v>
      </c>
      <c r="B539" s="3">
        <v>1</v>
      </c>
      <c r="C539" s="11" t="s">
        <v>115</v>
      </c>
      <c r="D539" s="2">
        <v>522</v>
      </c>
      <c r="E539" s="2">
        <v>0.597854</v>
      </c>
      <c r="F539" s="2">
        <v>2.9689999999999999E-3</v>
      </c>
      <c r="G539" s="2">
        <v>0.59203287000000004</v>
      </c>
      <c r="H539" s="2">
        <v>0.60367588000000005</v>
      </c>
    </row>
    <row r="540" spans="1:8" ht="17.25" thickBot="1" x14ac:dyDescent="0.35">
      <c r="A540" s="6"/>
      <c r="B540" s="3">
        <v>2</v>
      </c>
      <c r="C540" s="11" t="s">
        <v>115</v>
      </c>
      <c r="D540" s="2">
        <v>1728</v>
      </c>
      <c r="E540" s="2">
        <v>0.62496300000000005</v>
      </c>
      <c r="F540" s="2">
        <v>2.2850000000000001E-3</v>
      </c>
      <c r="G540" s="2">
        <v>0.62048130000000001</v>
      </c>
      <c r="H540" s="2">
        <v>0.62944378000000001</v>
      </c>
    </row>
    <row r="541" spans="1:8" ht="17.25" thickBot="1" x14ac:dyDescent="0.35">
      <c r="A541" s="6"/>
      <c r="B541" s="3">
        <v>3</v>
      </c>
      <c r="C541" s="11" t="s">
        <v>115</v>
      </c>
      <c r="D541" s="2">
        <v>831</v>
      </c>
      <c r="E541" s="2">
        <v>0.65978400000000004</v>
      </c>
      <c r="F541" s="2">
        <v>3.4020000000000001E-3</v>
      </c>
      <c r="G541" s="2">
        <v>0.65311377000000004</v>
      </c>
      <c r="H541" s="2">
        <v>0.66645458999999996</v>
      </c>
    </row>
    <row r="542" spans="1:8" ht="17.25" thickBot="1" x14ac:dyDescent="0.35">
      <c r="A542" s="6"/>
      <c r="B542" s="3">
        <v>4</v>
      </c>
      <c r="C542" s="11" t="s">
        <v>115</v>
      </c>
      <c r="D542" s="2">
        <v>1176</v>
      </c>
      <c r="E542" s="2">
        <v>0.68680600000000003</v>
      </c>
      <c r="F542" s="2">
        <v>2.8730000000000001E-3</v>
      </c>
      <c r="G542" s="2">
        <v>0.68117159999999999</v>
      </c>
      <c r="H542" s="2">
        <v>0.69243988999999995</v>
      </c>
    </row>
    <row r="543" spans="1:8" ht="17.25" thickBot="1" x14ac:dyDescent="0.35">
      <c r="A543" s="6">
        <v>4</v>
      </c>
      <c r="B543" s="3">
        <v>1</v>
      </c>
      <c r="C543" s="11" t="s">
        <v>115</v>
      </c>
      <c r="D543" s="2">
        <v>622</v>
      </c>
      <c r="E543" s="2">
        <v>0.59617299999999995</v>
      </c>
      <c r="F543" s="2">
        <v>2.4459999999999998E-3</v>
      </c>
      <c r="G543" s="2">
        <v>0.59137695999999995</v>
      </c>
      <c r="H543" s="2">
        <v>0.60096921999999997</v>
      </c>
    </row>
    <row r="544" spans="1:8" ht="17.25" thickBot="1" x14ac:dyDescent="0.35">
      <c r="A544" s="6"/>
      <c r="B544" s="3">
        <v>2</v>
      </c>
      <c r="C544" s="11" t="s">
        <v>115</v>
      </c>
      <c r="D544" s="2">
        <v>1798</v>
      </c>
      <c r="E544" s="2">
        <v>0.62565000000000004</v>
      </c>
      <c r="F544" s="2">
        <v>2.3389999999999999E-3</v>
      </c>
      <c r="G544" s="2">
        <v>0.62106351000000004</v>
      </c>
      <c r="H544" s="2">
        <v>0.63023695000000002</v>
      </c>
    </row>
    <row r="545" spans="1:8" ht="17.25" thickBot="1" x14ac:dyDescent="0.35">
      <c r="A545" s="6"/>
      <c r="B545" s="3">
        <v>3</v>
      </c>
      <c r="C545" s="11" t="s">
        <v>115</v>
      </c>
      <c r="D545" s="2">
        <v>828</v>
      </c>
      <c r="E545" s="2">
        <v>0.67063499999999998</v>
      </c>
      <c r="F545" s="2">
        <v>3.395E-3</v>
      </c>
      <c r="G545" s="2">
        <v>0.66397697</v>
      </c>
      <c r="H545" s="2">
        <v>0.67729289999999998</v>
      </c>
    </row>
    <row r="546" spans="1:8" ht="17.25" thickBot="1" x14ac:dyDescent="0.35">
      <c r="A546" s="6"/>
      <c r="B546" s="3">
        <v>4</v>
      </c>
      <c r="C546" s="11" t="s">
        <v>115</v>
      </c>
      <c r="D546" s="2">
        <v>1308</v>
      </c>
      <c r="E546" s="2">
        <v>0.687307</v>
      </c>
      <c r="F546" s="2">
        <v>2.4810000000000001E-3</v>
      </c>
      <c r="G546" s="2">
        <v>0.68244139000000004</v>
      </c>
      <c r="H546" s="2">
        <v>0.69217266</v>
      </c>
    </row>
    <row r="547" spans="1:8" ht="17.25" thickBot="1" x14ac:dyDescent="0.35">
      <c r="A547" s="6">
        <v>5</v>
      </c>
      <c r="B547" s="3">
        <v>1</v>
      </c>
      <c r="C547" s="11" t="s">
        <v>115</v>
      </c>
      <c r="D547" s="2">
        <v>506</v>
      </c>
      <c r="E547" s="2">
        <v>0.60182100000000005</v>
      </c>
      <c r="F547" s="2">
        <v>2.709E-3</v>
      </c>
      <c r="G547" s="2">
        <v>0.59650862999999998</v>
      </c>
      <c r="H547" s="2">
        <v>0.60713293999999995</v>
      </c>
    </row>
    <row r="548" spans="1:8" ht="17.25" thickBot="1" x14ac:dyDescent="0.35">
      <c r="A548" s="6"/>
      <c r="B548" s="3">
        <v>2</v>
      </c>
      <c r="C548" s="11" t="s">
        <v>115</v>
      </c>
      <c r="D548" s="2">
        <v>1782</v>
      </c>
      <c r="E548" s="2">
        <v>0.64232</v>
      </c>
      <c r="F548" s="2">
        <v>2.274E-3</v>
      </c>
      <c r="G548" s="2">
        <v>0.63786036000000002</v>
      </c>
      <c r="H548" s="2">
        <v>0.64677905000000002</v>
      </c>
    </row>
    <row r="549" spans="1:8" ht="17.25" thickBot="1" x14ac:dyDescent="0.35">
      <c r="A549" s="6"/>
      <c r="B549" s="3">
        <v>3</v>
      </c>
      <c r="C549" s="11" t="s">
        <v>115</v>
      </c>
      <c r="D549" s="2">
        <v>837</v>
      </c>
      <c r="E549" s="2">
        <v>0.68195899999999998</v>
      </c>
      <c r="F549" s="2">
        <v>3.3210000000000002E-3</v>
      </c>
      <c r="G549" s="2">
        <v>0.67544632000000004</v>
      </c>
      <c r="H549" s="2">
        <v>0.68847192000000001</v>
      </c>
    </row>
    <row r="550" spans="1:8" ht="17.25" thickBot="1" x14ac:dyDescent="0.35">
      <c r="A550" s="6"/>
      <c r="B550" s="3">
        <v>4</v>
      </c>
      <c r="C550" s="11" t="s">
        <v>115</v>
      </c>
      <c r="D550" s="2">
        <v>1376</v>
      </c>
      <c r="E550" s="2">
        <v>0.69754799999999995</v>
      </c>
      <c r="F550" s="2">
        <v>2.5609999999999999E-3</v>
      </c>
      <c r="G550" s="2">
        <v>0.69252751000000001</v>
      </c>
      <c r="H550" s="2">
        <v>0.70256945000000004</v>
      </c>
    </row>
    <row r="551" spans="1:8" ht="17.25" thickBot="1" x14ac:dyDescent="0.35">
      <c r="A551" s="6">
        <v>6</v>
      </c>
      <c r="B551" s="3">
        <v>1</v>
      </c>
      <c r="C551" s="11" t="s">
        <v>115</v>
      </c>
      <c r="D551" s="2">
        <v>176</v>
      </c>
      <c r="E551" s="2">
        <v>0.60015099999999999</v>
      </c>
      <c r="F551" s="2">
        <v>4.2220000000000001E-3</v>
      </c>
      <c r="G551" s="2">
        <v>0.59187341000000004</v>
      </c>
      <c r="H551" s="2">
        <v>0.60842943000000005</v>
      </c>
    </row>
    <row r="552" spans="1:8" ht="17.25" thickBot="1" x14ac:dyDescent="0.35">
      <c r="A552" s="6"/>
      <c r="B552" s="3">
        <v>2</v>
      </c>
      <c r="C552" s="11" t="s">
        <v>115</v>
      </c>
      <c r="D552" s="2">
        <v>549</v>
      </c>
      <c r="E552" s="2">
        <v>0.63150200000000001</v>
      </c>
      <c r="F552" s="2">
        <v>3.679E-3</v>
      </c>
      <c r="G552" s="2">
        <v>0.62428857000000004</v>
      </c>
      <c r="H552" s="2">
        <v>0.63871562000000004</v>
      </c>
    </row>
    <row r="553" spans="1:8" ht="17.25" thickBot="1" x14ac:dyDescent="0.35">
      <c r="A553" s="6"/>
      <c r="B553" s="3">
        <v>3</v>
      </c>
      <c r="C553" s="11" t="s">
        <v>115</v>
      </c>
      <c r="D553" s="2">
        <v>286</v>
      </c>
      <c r="E553" s="2">
        <v>0.67510499999999996</v>
      </c>
      <c r="F553" s="2">
        <v>5.0689999999999997E-3</v>
      </c>
      <c r="G553" s="2">
        <v>0.66516489999999995</v>
      </c>
      <c r="H553" s="2">
        <v>0.68504458999999995</v>
      </c>
    </row>
    <row r="554" spans="1:8" x14ac:dyDescent="0.3">
      <c r="A554" s="6"/>
      <c r="B554" s="3">
        <v>4</v>
      </c>
      <c r="C554" s="14" t="s">
        <v>115</v>
      </c>
      <c r="D554" s="2">
        <v>425</v>
      </c>
      <c r="E554" s="2">
        <v>0.69464099999999995</v>
      </c>
      <c r="F554" s="2">
        <v>4.0309999999999999E-3</v>
      </c>
      <c r="G554" s="2">
        <v>0.68673651000000002</v>
      </c>
      <c r="H554" s="2">
        <v>0.70254572999999998</v>
      </c>
    </row>
    <row r="558" spans="1:8" x14ac:dyDescent="0.3">
      <c r="A558" s="1" t="s">
        <v>237</v>
      </c>
    </row>
    <row r="560" spans="1:8" x14ac:dyDescent="0.3">
      <c r="A560" s="1" t="s">
        <v>21</v>
      </c>
    </row>
    <row r="561" spans="1:6" ht="17.25" thickBot="1" x14ac:dyDescent="0.35"/>
    <row r="562" spans="1:6" ht="16.5" customHeight="1" x14ac:dyDescent="0.3">
      <c r="A562" s="16" t="s">
        <v>135</v>
      </c>
      <c r="B562" s="18"/>
    </row>
    <row r="563" spans="1:6" ht="26.25" thickBot="1" x14ac:dyDescent="0.35">
      <c r="A563" s="12" t="s">
        <v>136</v>
      </c>
      <c r="B563" s="2">
        <v>183</v>
      </c>
    </row>
    <row r="564" spans="1:6" ht="26.25" thickBot="1" x14ac:dyDescent="0.35">
      <c r="A564" s="12" t="s">
        <v>137</v>
      </c>
      <c r="B564" s="2">
        <v>2982</v>
      </c>
    </row>
    <row r="565" spans="1:6" ht="39" thickBot="1" x14ac:dyDescent="0.35">
      <c r="A565" s="12" t="s">
        <v>138</v>
      </c>
      <c r="B565" s="2">
        <v>68635</v>
      </c>
    </row>
    <row r="566" spans="1:6" ht="25.5" x14ac:dyDescent="0.3">
      <c r="A566" s="13" t="s">
        <v>139</v>
      </c>
      <c r="B566" s="2">
        <v>30251935.699999999</v>
      </c>
    </row>
    <row r="567" spans="1:6" ht="17.25" thickBot="1" x14ac:dyDescent="0.35"/>
    <row r="568" spans="1:6" ht="33" customHeight="1" x14ac:dyDescent="0.3">
      <c r="A568" s="16" t="s">
        <v>140</v>
      </c>
      <c r="B568" s="18"/>
    </row>
    <row r="569" spans="1:6" ht="33.75" thickBot="1" x14ac:dyDescent="0.35">
      <c r="A569" s="12" t="s">
        <v>141</v>
      </c>
      <c r="B569" s="2" t="s">
        <v>142</v>
      </c>
    </row>
    <row r="570" spans="1:6" ht="25.5" x14ac:dyDescent="0.3">
      <c r="A570" s="13" t="s">
        <v>143</v>
      </c>
      <c r="B570" s="2" t="s">
        <v>144</v>
      </c>
    </row>
    <row r="571" spans="1:6" ht="17.25" thickBot="1" x14ac:dyDescent="0.35"/>
    <row r="572" spans="1:6" ht="16.5" customHeight="1" x14ac:dyDescent="0.3">
      <c r="A572" s="16" t="s">
        <v>238</v>
      </c>
      <c r="B572" s="18"/>
      <c r="C572" s="18"/>
      <c r="D572" s="18"/>
      <c r="E572" s="18"/>
      <c r="F572" s="18"/>
    </row>
    <row r="573" spans="1:6" ht="16.5" customHeight="1" x14ac:dyDescent="0.3">
      <c r="A573" s="17" t="s">
        <v>239</v>
      </c>
      <c r="B573" s="19" t="s">
        <v>94</v>
      </c>
      <c r="C573" s="19" t="s">
        <v>240</v>
      </c>
      <c r="D573" s="3" t="s">
        <v>241</v>
      </c>
      <c r="E573" s="19" t="s">
        <v>243</v>
      </c>
      <c r="F573" s="19"/>
    </row>
    <row r="574" spans="1:6" x14ac:dyDescent="0.3">
      <c r="A574" s="17"/>
      <c r="B574" s="19"/>
      <c r="C574" s="19"/>
      <c r="D574" s="3" t="s">
        <v>242</v>
      </c>
      <c r="E574" s="19"/>
      <c r="F574" s="19"/>
    </row>
    <row r="575" spans="1:6" x14ac:dyDescent="0.3">
      <c r="A575" s="13" t="s">
        <v>115</v>
      </c>
      <c r="B575" s="2">
        <v>68635</v>
      </c>
      <c r="C575" s="2">
        <v>0.66370899999999999</v>
      </c>
      <c r="D575" s="2">
        <v>4.4099999999999999E-4</v>
      </c>
      <c r="E575" s="2">
        <v>0.66284405999999996</v>
      </c>
      <c r="F575" s="2">
        <v>0.66457339000000004</v>
      </c>
    </row>
    <row r="579" spans="1:15" x14ac:dyDescent="0.3">
      <c r="A579" s="1" t="s">
        <v>237</v>
      </c>
    </row>
    <row r="581" spans="1:15" x14ac:dyDescent="0.3">
      <c r="A581" s="1" t="s">
        <v>21</v>
      </c>
    </row>
    <row r="582" spans="1:15" ht="17.25" thickBot="1" x14ac:dyDescent="0.35"/>
    <row r="583" spans="1:15" ht="16.5" customHeight="1" x14ac:dyDescent="0.3">
      <c r="A583" s="16" t="s">
        <v>255</v>
      </c>
      <c r="B583" s="18"/>
      <c r="C583" s="18"/>
      <c r="D583" s="18"/>
      <c r="E583" s="18"/>
      <c r="F583" s="18"/>
      <c r="G583" s="18"/>
      <c r="H583" s="18"/>
    </row>
    <row r="584" spans="1:15" ht="16.5" customHeight="1" x14ac:dyDescent="0.3">
      <c r="A584" s="17" t="s">
        <v>249</v>
      </c>
      <c r="B584" s="19" t="s">
        <v>10</v>
      </c>
      <c r="C584" s="19" t="s">
        <v>239</v>
      </c>
      <c r="D584" s="19" t="s">
        <v>94</v>
      </c>
      <c r="E584" s="19" t="s">
        <v>240</v>
      </c>
      <c r="F584" s="3" t="s">
        <v>241</v>
      </c>
      <c r="G584" s="19" t="s">
        <v>243</v>
      </c>
      <c r="H584" s="19"/>
    </row>
    <row r="585" spans="1:15" x14ac:dyDescent="0.3">
      <c r="A585" s="17"/>
      <c r="B585" s="19"/>
      <c r="C585" s="19"/>
      <c r="D585" s="19"/>
      <c r="E585" s="19"/>
      <c r="F585" s="3" t="s">
        <v>242</v>
      </c>
      <c r="G585" s="19"/>
      <c r="H585" s="19"/>
    </row>
    <row r="586" spans="1:15" ht="17.25" thickBot="1" x14ac:dyDescent="0.35">
      <c r="A586" s="6">
        <v>1</v>
      </c>
      <c r="B586" s="3">
        <v>1</v>
      </c>
      <c r="C586" s="11" t="s">
        <v>115</v>
      </c>
      <c r="D586" s="2">
        <v>533</v>
      </c>
      <c r="E586" s="2">
        <v>0.60909800000000003</v>
      </c>
      <c r="F586" s="2">
        <v>2.9369999999999999E-3</v>
      </c>
      <c r="G586" s="2">
        <v>0.60333932999999995</v>
      </c>
      <c r="H586" s="2">
        <v>0.61485610999999996</v>
      </c>
      <c r="J586" t="str">
        <f t="shared" ref="J586:J609" si="20">TEXT(E586,"0.00")&amp;" ("&amp;TEXT(G586,"0.00")&amp;" to "&amp;TEXT(H586,"0.00")&amp;")"</f>
        <v>0.61 (0.60 to 0.61)</v>
      </c>
      <c r="K586" t="str">
        <f>J590</f>
        <v>0.61 (0.60 to 0.61)</v>
      </c>
      <c r="L586" t="str">
        <f>J594</f>
        <v>0.61 (0.60 to 0.61)</v>
      </c>
      <c r="M586" t="str">
        <f>J598</f>
        <v>0.61 (0.61 to 0.62)</v>
      </c>
      <c r="N586" t="str">
        <f>J602</f>
        <v>0.61 (0.61 to 0.62)</v>
      </c>
      <c r="O586" t="str">
        <f>J606</f>
        <v>0.62 (0.61 to 0.62)</v>
      </c>
    </row>
    <row r="587" spans="1:15" ht="17.25" thickBot="1" x14ac:dyDescent="0.35">
      <c r="A587" s="6"/>
      <c r="B587" s="3">
        <v>2</v>
      </c>
      <c r="C587" s="11" t="s">
        <v>115</v>
      </c>
      <c r="D587" s="2">
        <v>4653</v>
      </c>
      <c r="E587" s="2">
        <v>0.63617999999999997</v>
      </c>
      <c r="F587" s="2">
        <v>1.441E-3</v>
      </c>
      <c r="G587" s="2">
        <v>0.63335410000000003</v>
      </c>
      <c r="H587" s="2">
        <v>0.63900619000000003</v>
      </c>
      <c r="J587" t="str">
        <f t="shared" si="20"/>
        <v>0.64 (0.63 to 0.64)</v>
      </c>
      <c r="K587" t="str">
        <f t="shared" ref="K587:K589" si="21">J591</f>
        <v>0.63 (0.63 to 0.64)</v>
      </c>
      <c r="L587" t="str">
        <f t="shared" ref="L587:L589" si="22">J595</f>
        <v>0.64 (0.63 to 0.64)</v>
      </c>
      <c r="M587" t="str">
        <f t="shared" ref="M587:M589" si="23">J599</f>
        <v>0.64 (0.64 to 0.64)</v>
      </c>
      <c r="N587" t="str">
        <f t="shared" ref="N587:N589" si="24">J603</f>
        <v>0.65 (0.64 to 0.65)</v>
      </c>
      <c r="O587" t="str">
        <f t="shared" ref="O587:O589" si="25">J607</f>
        <v>0.64 (0.64 to 0.65)</v>
      </c>
    </row>
    <row r="588" spans="1:15" ht="17.25" thickBot="1" x14ac:dyDescent="0.35">
      <c r="A588" s="6"/>
      <c r="B588" s="3">
        <v>3</v>
      </c>
      <c r="C588" s="11" t="s">
        <v>115</v>
      </c>
      <c r="D588" s="2">
        <v>2958</v>
      </c>
      <c r="E588" s="2">
        <v>0.66856300000000002</v>
      </c>
      <c r="F588" s="2">
        <v>1.6180000000000001E-3</v>
      </c>
      <c r="G588" s="2">
        <v>0.66539053000000004</v>
      </c>
      <c r="H588" s="2">
        <v>0.67173581000000004</v>
      </c>
      <c r="J588" t="str">
        <f t="shared" si="20"/>
        <v>0.67 (0.67 to 0.67)</v>
      </c>
      <c r="K588" t="str">
        <f t="shared" si="21"/>
        <v>0.67 (0.66 to 0.67)</v>
      </c>
      <c r="L588" t="str">
        <f t="shared" si="22"/>
        <v>0.67 (0.66 to 0.67)</v>
      </c>
      <c r="M588" t="str">
        <f t="shared" si="23"/>
        <v>0.67 (0.67 to 0.68)</v>
      </c>
      <c r="N588" t="str">
        <f t="shared" si="24"/>
        <v>0.68 (0.68 to 0.68)</v>
      </c>
      <c r="O588" t="str">
        <f t="shared" si="25"/>
        <v>0.67 (0.67 to 0.68)</v>
      </c>
    </row>
    <row r="589" spans="1:15" ht="17.25" thickBot="1" x14ac:dyDescent="0.35">
      <c r="A589" s="6"/>
      <c r="B589" s="3">
        <v>4</v>
      </c>
      <c r="C589" s="11" t="s">
        <v>115</v>
      </c>
      <c r="D589" s="2">
        <v>3771</v>
      </c>
      <c r="E589" s="2">
        <v>0.69185099999999999</v>
      </c>
      <c r="F589" s="2">
        <v>1.557E-3</v>
      </c>
      <c r="G589" s="2">
        <v>0.68879793</v>
      </c>
      <c r="H589" s="2">
        <v>0.69490397000000004</v>
      </c>
      <c r="J589" t="str">
        <f t="shared" si="20"/>
        <v>0.69 (0.69 to 0.69)</v>
      </c>
      <c r="K589" t="str">
        <f t="shared" si="21"/>
        <v>0.69 (0.68 to 0.69)</v>
      </c>
      <c r="L589" t="str">
        <f t="shared" si="22"/>
        <v>0.69 (0.69 to 0.69)</v>
      </c>
      <c r="M589" t="str">
        <f t="shared" si="23"/>
        <v>0.69 (0.69 to 0.70)</v>
      </c>
      <c r="N589" t="str">
        <f t="shared" si="24"/>
        <v>0.70 (0.70 to 0.70)</v>
      </c>
      <c r="O589" t="str">
        <f t="shared" si="25"/>
        <v>0.70 (0.69 to 0.70)</v>
      </c>
    </row>
    <row r="590" spans="1:15" ht="17.25" thickBot="1" x14ac:dyDescent="0.35">
      <c r="A590" s="6">
        <v>2</v>
      </c>
      <c r="B590" s="3">
        <v>1</v>
      </c>
      <c r="C590" s="11" t="s">
        <v>115</v>
      </c>
      <c r="D590" s="2">
        <v>525</v>
      </c>
      <c r="E590" s="2">
        <v>0.60530099999999998</v>
      </c>
      <c r="F590" s="2">
        <v>3.006E-3</v>
      </c>
      <c r="G590" s="2">
        <v>0.59940716000000005</v>
      </c>
      <c r="H590" s="2">
        <v>0.61119436000000005</v>
      </c>
      <c r="J590" t="str">
        <f t="shared" si="20"/>
        <v>0.61 (0.60 to 0.61)</v>
      </c>
    </row>
    <row r="591" spans="1:15" ht="17.25" thickBot="1" x14ac:dyDescent="0.35">
      <c r="A591" s="6"/>
      <c r="B591" s="3">
        <v>2</v>
      </c>
      <c r="C591" s="11" t="s">
        <v>115</v>
      </c>
      <c r="D591" s="2">
        <v>5258</v>
      </c>
      <c r="E591" s="2">
        <v>0.63337399999999999</v>
      </c>
      <c r="F591" s="2">
        <v>1.3370000000000001E-3</v>
      </c>
      <c r="G591" s="2">
        <v>0.63075201999999997</v>
      </c>
      <c r="H591" s="2">
        <v>0.63599612999999999</v>
      </c>
      <c r="J591" t="str">
        <f t="shared" si="20"/>
        <v>0.63 (0.63 to 0.64)</v>
      </c>
    </row>
    <row r="592" spans="1:15" ht="17.25" thickBot="1" x14ac:dyDescent="0.35">
      <c r="A592" s="6"/>
      <c r="B592" s="3">
        <v>3</v>
      </c>
      <c r="C592" s="11" t="s">
        <v>115</v>
      </c>
      <c r="D592" s="2">
        <v>3114</v>
      </c>
      <c r="E592" s="2">
        <v>0.66726600000000003</v>
      </c>
      <c r="F592" s="2">
        <v>1.8129999999999999E-3</v>
      </c>
      <c r="G592" s="2">
        <v>0.66371164000000005</v>
      </c>
      <c r="H592" s="2">
        <v>0.67082023999999996</v>
      </c>
      <c r="J592" t="str">
        <f t="shared" si="20"/>
        <v>0.67 (0.66 to 0.67)</v>
      </c>
    </row>
    <row r="593" spans="1:10" ht="17.25" thickBot="1" x14ac:dyDescent="0.35">
      <c r="A593" s="6"/>
      <c r="B593" s="3">
        <v>4</v>
      </c>
      <c r="C593" s="11" t="s">
        <v>115</v>
      </c>
      <c r="D593" s="2">
        <v>4219</v>
      </c>
      <c r="E593" s="2">
        <v>0.68715899999999996</v>
      </c>
      <c r="F593" s="2">
        <v>1.4599999999999999E-3</v>
      </c>
      <c r="G593" s="2">
        <v>0.68429744000000003</v>
      </c>
      <c r="H593" s="2">
        <v>0.69002149000000002</v>
      </c>
      <c r="J593" t="str">
        <f t="shared" si="20"/>
        <v>0.69 (0.68 to 0.69)</v>
      </c>
    </row>
    <row r="594" spans="1:10" ht="17.25" thickBot="1" x14ac:dyDescent="0.35">
      <c r="A594" s="6">
        <v>3</v>
      </c>
      <c r="B594" s="3">
        <v>1</v>
      </c>
      <c r="C594" s="11" t="s">
        <v>115</v>
      </c>
      <c r="D594" s="2">
        <v>454</v>
      </c>
      <c r="E594" s="2">
        <v>0.60538000000000003</v>
      </c>
      <c r="F594" s="2">
        <v>2.8939999999999999E-3</v>
      </c>
      <c r="G594" s="2">
        <v>0.59970606999999998</v>
      </c>
      <c r="H594" s="2">
        <v>0.61105332000000001</v>
      </c>
      <c r="J594" t="str">
        <f t="shared" si="20"/>
        <v>0.61 (0.60 to 0.61)</v>
      </c>
    </row>
    <row r="595" spans="1:10" ht="17.25" thickBot="1" x14ac:dyDescent="0.35">
      <c r="A595" s="6"/>
      <c r="B595" s="3">
        <v>2</v>
      </c>
      <c r="C595" s="11" t="s">
        <v>115</v>
      </c>
      <c r="D595" s="2">
        <v>4525</v>
      </c>
      <c r="E595" s="2">
        <v>0.63551400000000002</v>
      </c>
      <c r="F595" s="2">
        <v>1.421E-3</v>
      </c>
      <c r="G595" s="2">
        <v>0.63272713000000003</v>
      </c>
      <c r="H595" s="2">
        <v>0.63830038</v>
      </c>
      <c r="J595" t="str">
        <f t="shared" si="20"/>
        <v>0.64 (0.63 to 0.64)</v>
      </c>
    </row>
    <row r="596" spans="1:10" ht="17.25" thickBot="1" x14ac:dyDescent="0.35">
      <c r="A596" s="6"/>
      <c r="B596" s="3">
        <v>3</v>
      </c>
      <c r="C596" s="11" t="s">
        <v>115</v>
      </c>
      <c r="D596" s="2">
        <v>2758</v>
      </c>
      <c r="E596" s="2">
        <v>0.66746300000000003</v>
      </c>
      <c r="F596" s="2">
        <v>1.7700000000000001E-3</v>
      </c>
      <c r="G596" s="2">
        <v>0.66399169999999996</v>
      </c>
      <c r="H596" s="2">
        <v>0.67093373999999995</v>
      </c>
      <c r="J596" t="str">
        <f t="shared" si="20"/>
        <v>0.67 (0.66 to 0.67)</v>
      </c>
    </row>
    <row r="597" spans="1:10" ht="17.25" thickBot="1" x14ac:dyDescent="0.35">
      <c r="A597" s="6"/>
      <c r="B597" s="3">
        <v>4</v>
      </c>
      <c r="C597" s="11" t="s">
        <v>115</v>
      </c>
      <c r="D597" s="2">
        <v>3738</v>
      </c>
      <c r="E597" s="2">
        <v>0.68919200000000003</v>
      </c>
      <c r="F597" s="2">
        <v>1.4059999999999999E-3</v>
      </c>
      <c r="G597" s="2">
        <v>0.68643544999999995</v>
      </c>
      <c r="H597" s="2">
        <v>0.69194778999999995</v>
      </c>
      <c r="J597" t="str">
        <f t="shared" si="20"/>
        <v>0.69 (0.69 to 0.69)</v>
      </c>
    </row>
    <row r="598" spans="1:10" ht="17.25" thickBot="1" x14ac:dyDescent="0.35">
      <c r="A598" s="6">
        <v>4</v>
      </c>
      <c r="B598" s="3">
        <v>1</v>
      </c>
      <c r="C598" s="11" t="s">
        <v>115</v>
      </c>
      <c r="D598" s="2">
        <v>531</v>
      </c>
      <c r="E598" s="2">
        <v>0.61261500000000002</v>
      </c>
      <c r="F598" s="2">
        <v>2.6180000000000001E-3</v>
      </c>
      <c r="G598" s="2">
        <v>0.60748139999999995</v>
      </c>
      <c r="H598" s="2">
        <v>0.61774814</v>
      </c>
      <c r="J598" t="str">
        <f t="shared" si="20"/>
        <v>0.61 (0.61 to 0.62)</v>
      </c>
    </row>
    <row r="599" spans="1:10" ht="17.25" thickBot="1" x14ac:dyDescent="0.35">
      <c r="A599" s="6"/>
      <c r="B599" s="3">
        <v>2</v>
      </c>
      <c r="C599" s="11" t="s">
        <v>115</v>
      </c>
      <c r="D599" s="2">
        <v>5470</v>
      </c>
      <c r="E599" s="2">
        <v>0.63883500000000004</v>
      </c>
      <c r="F599" s="2">
        <v>1.3029999999999999E-3</v>
      </c>
      <c r="G599" s="2">
        <v>0.6362797</v>
      </c>
      <c r="H599" s="2">
        <v>0.64139003999999999</v>
      </c>
      <c r="J599" t="str">
        <f t="shared" si="20"/>
        <v>0.64 (0.64 to 0.64)</v>
      </c>
    </row>
    <row r="600" spans="1:10" ht="17.25" thickBot="1" x14ac:dyDescent="0.35">
      <c r="A600" s="6"/>
      <c r="B600" s="3">
        <v>3</v>
      </c>
      <c r="C600" s="11" t="s">
        <v>115</v>
      </c>
      <c r="D600" s="2">
        <v>3265</v>
      </c>
      <c r="E600" s="2">
        <v>0.67396400000000001</v>
      </c>
      <c r="F600" s="2">
        <v>1.653E-3</v>
      </c>
      <c r="G600" s="2">
        <v>0.67072357000000005</v>
      </c>
      <c r="H600" s="2">
        <v>0.67720532</v>
      </c>
      <c r="J600" t="str">
        <f t="shared" si="20"/>
        <v>0.67 (0.67 to 0.68)</v>
      </c>
    </row>
    <row r="601" spans="1:10" ht="17.25" thickBot="1" x14ac:dyDescent="0.35">
      <c r="A601" s="6"/>
      <c r="B601" s="3">
        <v>4</v>
      </c>
      <c r="C601" s="11" t="s">
        <v>115</v>
      </c>
      <c r="D601" s="2">
        <v>4892</v>
      </c>
      <c r="E601" s="2">
        <v>0.69284199999999996</v>
      </c>
      <c r="F601" s="2">
        <v>1.2769999999999999E-3</v>
      </c>
      <c r="G601" s="2">
        <v>0.69033743999999997</v>
      </c>
      <c r="H601" s="2">
        <v>0.69534638999999998</v>
      </c>
      <c r="J601" t="str">
        <f t="shared" si="20"/>
        <v>0.69 (0.69 to 0.70)</v>
      </c>
    </row>
    <row r="602" spans="1:10" ht="17.25" thickBot="1" x14ac:dyDescent="0.35">
      <c r="A602" s="6">
        <v>5</v>
      </c>
      <c r="B602" s="3">
        <v>1</v>
      </c>
      <c r="C602" s="11" t="s">
        <v>115</v>
      </c>
      <c r="D602" s="2">
        <v>522</v>
      </c>
      <c r="E602" s="2">
        <v>0.61076699999999995</v>
      </c>
      <c r="F602" s="2">
        <v>2.8939999999999999E-3</v>
      </c>
      <c r="G602" s="2">
        <v>0.60509181000000001</v>
      </c>
      <c r="H602" s="2">
        <v>0.61644140000000003</v>
      </c>
      <c r="J602" t="str">
        <f t="shared" si="20"/>
        <v>0.61 (0.61 to 0.62)</v>
      </c>
    </row>
    <row r="603" spans="1:10" ht="17.25" thickBot="1" x14ac:dyDescent="0.35">
      <c r="A603" s="6"/>
      <c r="B603" s="3">
        <v>2</v>
      </c>
      <c r="C603" s="11" t="s">
        <v>115</v>
      </c>
      <c r="D603" s="2">
        <v>4948</v>
      </c>
      <c r="E603" s="2">
        <v>0.64583599999999997</v>
      </c>
      <c r="F603" s="2">
        <v>1.312E-3</v>
      </c>
      <c r="G603" s="2">
        <v>0.64326371000000004</v>
      </c>
      <c r="H603" s="2">
        <v>0.64840810000000004</v>
      </c>
      <c r="J603" t="str">
        <f t="shared" si="20"/>
        <v>0.65 (0.64 to 0.65)</v>
      </c>
    </row>
    <row r="604" spans="1:10" ht="17.25" thickBot="1" x14ac:dyDescent="0.35">
      <c r="A604" s="6"/>
      <c r="B604" s="3">
        <v>3</v>
      </c>
      <c r="C604" s="11" t="s">
        <v>115</v>
      </c>
      <c r="D604" s="2">
        <v>3184</v>
      </c>
      <c r="E604" s="2">
        <v>0.67969999999999997</v>
      </c>
      <c r="F604" s="2">
        <v>1.5679999999999999E-3</v>
      </c>
      <c r="G604" s="2">
        <v>0.67662529999999999</v>
      </c>
      <c r="H604" s="2">
        <v>0.68277502000000001</v>
      </c>
      <c r="J604" t="str">
        <f t="shared" si="20"/>
        <v>0.68 (0.68 to 0.68)</v>
      </c>
    </row>
    <row r="605" spans="1:10" ht="17.25" thickBot="1" x14ac:dyDescent="0.35">
      <c r="A605" s="6"/>
      <c r="B605" s="3">
        <v>4</v>
      </c>
      <c r="C605" s="11" t="s">
        <v>115</v>
      </c>
      <c r="D605" s="2">
        <v>4901</v>
      </c>
      <c r="E605" s="2">
        <v>0.70040500000000006</v>
      </c>
      <c r="F605" s="2">
        <v>1.17E-3</v>
      </c>
      <c r="G605" s="2">
        <v>0.69811065999999999</v>
      </c>
      <c r="H605" s="2">
        <v>0.70269857999999996</v>
      </c>
      <c r="J605" t="str">
        <f t="shared" si="20"/>
        <v>0.70 (0.70 to 0.70)</v>
      </c>
    </row>
    <row r="606" spans="1:10" ht="17.25" thickBot="1" x14ac:dyDescent="0.35">
      <c r="A606" s="6">
        <v>6</v>
      </c>
      <c r="B606" s="3">
        <v>1</v>
      </c>
      <c r="C606" s="11" t="s">
        <v>115</v>
      </c>
      <c r="D606" s="2">
        <v>212</v>
      </c>
      <c r="E606" s="2">
        <v>0.61656200000000005</v>
      </c>
      <c r="F606" s="2">
        <v>4.2399999999999998E-3</v>
      </c>
      <c r="G606" s="2">
        <v>0.60824732000000004</v>
      </c>
      <c r="H606" s="2">
        <v>0.62487654000000004</v>
      </c>
      <c r="J606" t="str">
        <f t="shared" si="20"/>
        <v>0.62 (0.61 to 0.62)</v>
      </c>
    </row>
    <row r="607" spans="1:10" ht="17.25" thickBot="1" x14ac:dyDescent="0.35">
      <c r="A607" s="6"/>
      <c r="B607" s="3">
        <v>2</v>
      </c>
      <c r="C607" s="11" t="s">
        <v>115</v>
      </c>
      <c r="D607" s="2">
        <v>1581</v>
      </c>
      <c r="E607" s="2">
        <v>0.64195199999999997</v>
      </c>
      <c r="F607" s="2">
        <v>2.137E-3</v>
      </c>
      <c r="G607" s="2">
        <v>0.63776131999999996</v>
      </c>
      <c r="H607" s="2">
        <v>0.64614276999999998</v>
      </c>
      <c r="J607" t="str">
        <f t="shared" si="20"/>
        <v>0.64 (0.64 to 0.65)</v>
      </c>
    </row>
    <row r="608" spans="1:10" ht="17.25" thickBot="1" x14ac:dyDescent="0.35">
      <c r="A608" s="6"/>
      <c r="B608" s="3">
        <v>3</v>
      </c>
      <c r="C608" s="11" t="s">
        <v>115</v>
      </c>
      <c r="D608" s="2">
        <v>986</v>
      </c>
      <c r="E608" s="2">
        <v>0.67403299999999999</v>
      </c>
      <c r="F608" s="2">
        <v>2.6819999999999999E-3</v>
      </c>
      <c r="G608" s="2">
        <v>0.66877470000000006</v>
      </c>
      <c r="H608" s="2">
        <v>0.67929097999999999</v>
      </c>
      <c r="J608" t="str">
        <f t="shared" si="20"/>
        <v>0.67 (0.67 to 0.68)</v>
      </c>
    </row>
    <row r="609" spans="1:10" x14ac:dyDescent="0.3">
      <c r="A609" s="6"/>
      <c r="B609" s="3">
        <v>4</v>
      </c>
      <c r="C609" s="14" t="s">
        <v>115</v>
      </c>
      <c r="D609" s="2">
        <v>1637</v>
      </c>
      <c r="E609" s="2">
        <v>0.69665500000000002</v>
      </c>
      <c r="F609" s="2">
        <v>2.0400000000000001E-3</v>
      </c>
      <c r="G609" s="2">
        <v>0.69265436000000002</v>
      </c>
      <c r="H609" s="2">
        <v>0.70065611999999999</v>
      </c>
      <c r="J609" t="str">
        <f t="shared" si="20"/>
        <v>0.70 (0.69 to 0.70)</v>
      </c>
    </row>
    <row r="613" spans="1:10" x14ac:dyDescent="0.3">
      <c r="A613" s="1" t="s">
        <v>237</v>
      </c>
    </row>
    <row r="615" spans="1:10" x14ac:dyDescent="0.3">
      <c r="A615" s="1" t="s">
        <v>1</v>
      </c>
    </row>
    <row r="616" spans="1:10" ht="17.25" thickBot="1" x14ac:dyDescent="0.35"/>
    <row r="617" spans="1:10" ht="16.5" customHeight="1" x14ac:dyDescent="0.3">
      <c r="A617" s="16" t="s">
        <v>135</v>
      </c>
      <c r="B617" s="18"/>
    </row>
    <row r="618" spans="1:10" ht="26.25" thickBot="1" x14ac:dyDescent="0.35">
      <c r="A618" s="12" t="s">
        <v>136</v>
      </c>
      <c r="B618" s="2">
        <v>183</v>
      </c>
    </row>
    <row r="619" spans="1:10" ht="26.25" thickBot="1" x14ac:dyDescent="0.35">
      <c r="A619" s="12" t="s">
        <v>137</v>
      </c>
      <c r="B619" s="2">
        <v>2949</v>
      </c>
    </row>
    <row r="620" spans="1:10" ht="39" thickBot="1" x14ac:dyDescent="0.35">
      <c r="A620" s="12" t="s">
        <v>138</v>
      </c>
      <c r="B620" s="2">
        <v>23222</v>
      </c>
    </row>
    <row r="621" spans="1:10" ht="25.5" x14ac:dyDescent="0.3">
      <c r="A621" s="13" t="s">
        <v>139</v>
      </c>
      <c r="B621" s="2">
        <v>9036880.5199999996</v>
      </c>
    </row>
    <row r="622" spans="1:10" ht="17.25" thickBot="1" x14ac:dyDescent="0.35"/>
    <row r="623" spans="1:10" ht="33" customHeight="1" x14ac:dyDescent="0.3">
      <c r="A623" s="16" t="s">
        <v>140</v>
      </c>
      <c r="B623" s="18"/>
    </row>
    <row r="624" spans="1:10" ht="33.75" thickBot="1" x14ac:dyDescent="0.35">
      <c r="A624" s="12" t="s">
        <v>141</v>
      </c>
      <c r="B624" s="2" t="s">
        <v>142</v>
      </c>
    </row>
    <row r="625" spans="1:8" ht="25.5" x14ac:dyDescent="0.3">
      <c r="A625" s="13" t="s">
        <v>143</v>
      </c>
      <c r="B625" s="2" t="s">
        <v>144</v>
      </c>
    </row>
    <row r="626" spans="1:8" ht="17.25" thickBot="1" x14ac:dyDescent="0.35"/>
    <row r="627" spans="1:8" ht="16.5" customHeight="1" x14ac:dyDescent="0.3">
      <c r="A627" s="16" t="s">
        <v>238</v>
      </c>
      <c r="B627" s="18"/>
      <c r="C627" s="18"/>
      <c r="D627" s="18"/>
      <c r="E627" s="18"/>
      <c r="F627" s="18"/>
    </row>
    <row r="628" spans="1:8" ht="16.5" customHeight="1" x14ac:dyDescent="0.3">
      <c r="A628" s="17" t="s">
        <v>239</v>
      </c>
      <c r="B628" s="19" t="s">
        <v>94</v>
      </c>
      <c r="C628" s="19" t="s">
        <v>240</v>
      </c>
      <c r="D628" s="3" t="s">
        <v>241</v>
      </c>
      <c r="E628" s="19" t="s">
        <v>243</v>
      </c>
      <c r="F628" s="19"/>
    </row>
    <row r="629" spans="1:8" x14ac:dyDescent="0.3">
      <c r="A629" s="17"/>
      <c r="B629" s="19"/>
      <c r="C629" s="19"/>
      <c r="D629" s="3" t="s">
        <v>242</v>
      </c>
      <c r="E629" s="19"/>
      <c r="F629" s="19"/>
    </row>
    <row r="630" spans="1:8" x14ac:dyDescent="0.3">
      <c r="A630" s="13" t="s">
        <v>115</v>
      </c>
      <c r="B630" s="2">
        <v>23222</v>
      </c>
      <c r="C630" s="2">
        <v>0.64841899999999997</v>
      </c>
      <c r="D630" s="2">
        <v>7.7200000000000001E-4</v>
      </c>
      <c r="E630" s="2">
        <v>0.64690462000000004</v>
      </c>
      <c r="F630" s="2">
        <v>0.64993400999999995</v>
      </c>
    </row>
    <row r="634" spans="1:8" x14ac:dyDescent="0.3">
      <c r="A634" s="1" t="s">
        <v>237</v>
      </c>
    </row>
    <row r="636" spans="1:8" x14ac:dyDescent="0.3">
      <c r="A636" s="1" t="s">
        <v>1</v>
      </c>
    </row>
    <row r="637" spans="1:8" ht="17.25" thickBot="1" x14ac:dyDescent="0.35"/>
    <row r="638" spans="1:8" ht="16.5" customHeight="1" x14ac:dyDescent="0.3">
      <c r="A638" s="16" t="s">
        <v>256</v>
      </c>
      <c r="B638" s="18"/>
      <c r="C638" s="18"/>
      <c r="D638" s="18"/>
      <c r="E638" s="18"/>
      <c r="F638" s="18"/>
      <c r="G638" s="18"/>
      <c r="H638" s="18"/>
    </row>
    <row r="639" spans="1:8" ht="16.5" customHeight="1" x14ac:dyDescent="0.3">
      <c r="A639" s="17" t="s">
        <v>249</v>
      </c>
      <c r="B639" s="19" t="s">
        <v>11</v>
      </c>
      <c r="C639" s="19" t="s">
        <v>239</v>
      </c>
      <c r="D639" s="19" t="s">
        <v>94</v>
      </c>
      <c r="E639" s="19" t="s">
        <v>240</v>
      </c>
      <c r="F639" s="3" t="s">
        <v>241</v>
      </c>
      <c r="G639" s="19" t="s">
        <v>243</v>
      </c>
      <c r="H639" s="19"/>
    </row>
    <row r="640" spans="1:8" x14ac:dyDescent="0.3">
      <c r="A640" s="17"/>
      <c r="B640" s="19"/>
      <c r="C640" s="19"/>
      <c r="D640" s="19"/>
      <c r="E640" s="19"/>
      <c r="F640" s="3" t="s">
        <v>242</v>
      </c>
      <c r="G640" s="19"/>
      <c r="H640" s="19"/>
    </row>
    <row r="641" spans="1:8" ht="17.25" thickBot="1" x14ac:dyDescent="0.35">
      <c r="A641" s="6">
        <v>1</v>
      </c>
      <c r="B641" s="3">
        <v>1</v>
      </c>
      <c r="C641" s="11" t="s">
        <v>115</v>
      </c>
      <c r="D641" s="2">
        <v>2539</v>
      </c>
      <c r="E641" s="2">
        <v>0.68784900000000004</v>
      </c>
      <c r="F641" s="2">
        <v>2.1329999999999999E-3</v>
      </c>
      <c r="G641" s="2">
        <v>0.68366623999999998</v>
      </c>
      <c r="H641" s="2">
        <v>0.69203135000000005</v>
      </c>
    </row>
    <row r="642" spans="1:8" ht="17.25" thickBot="1" x14ac:dyDescent="0.35">
      <c r="A642" s="6"/>
      <c r="B642" s="3">
        <v>2</v>
      </c>
      <c r="C642" s="11" t="s">
        <v>115</v>
      </c>
      <c r="D642" s="2">
        <v>1165</v>
      </c>
      <c r="E642" s="2">
        <v>0.59719199999999995</v>
      </c>
      <c r="F642" s="2">
        <v>2.5010000000000002E-3</v>
      </c>
      <c r="G642" s="2">
        <v>0.59228723999999999</v>
      </c>
      <c r="H642" s="2">
        <v>0.60209690000000005</v>
      </c>
    </row>
    <row r="643" spans="1:8" ht="17.25" thickBot="1" x14ac:dyDescent="0.35">
      <c r="A643" s="6"/>
      <c r="B643" s="3">
        <v>8</v>
      </c>
      <c r="C643" s="11" t="s">
        <v>115</v>
      </c>
      <c r="D643" s="2">
        <v>36</v>
      </c>
      <c r="E643" s="2">
        <v>0.65680099999999997</v>
      </c>
      <c r="F643" s="2">
        <v>1.0397999999999999E-2</v>
      </c>
      <c r="G643" s="2">
        <v>0.63641181999999996</v>
      </c>
      <c r="H643" s="2">
        <v>0.67719103999999997</v>
      </c>
    </row>
    <row r="644" spans="1:8" ht="17.25" thickBot="1" x14ac:dyDescent="0.35">
      <c r="A644" s="6">
        <v>2</v>
      </c>
      <c r="B644" s="3">
        <v>1</v>
      </c>
      <c r="C644" s="11" t="s">
        <v>115</v>
      </c>
      <c r="D644" s="2">
        <v>2480</v>
      </c>
      <c r="E644" s="2">
        <v>0.68062699999999998</v>
      </c>
      <c r="F644" s="2">
        <v>2.0530000000000001E-3</v>
      </c>
      <c r="G644" s="2">
        <v>0.67660118999999996</v>
      </c>
      <c r="H644" s="2">
        <v>0.68465301000000001</v>
      </c>
    </row>
    <row r="645" spans="1:8" ht="17.25" thickBot="1" x14ac:dyDescent="0.35">
      <c r="A645" s="6"/>
      <c r="B645" s="3">
        <v>2</v>
      </c>
      <c r="C645" s="11" t="s">
        <v>115</v>
      </c>
      <c r="D645" s="2">
        <v>2247</v>
      </c>
      <c r="E645" s="2">
        <v>0.59298099999999998</v>
      </c>
      <c r="F645" s="2">
        <v>1.498E-3</v>
      </c>
      <c r="G645" s="2">
        <v>0.59004460000000003</v>
      </c>
      <c r="H645" s="2">
        <v>0.59591757000000001</v>
      </c>
    </row>
    <row r="646" spans="1:8" ht="17.25" thickBot="1" x14ac:dyDescent="0.35">
      <c r="A646" s="6"/>
      <c r="B646" s="3">
        <v>8</v>
      </c>
      <c r="C646" s="11" t="s">
        <v>115</v>
      </c>
      <c r="D646" s="2">
        <v>5</v>
      </c>
      <c r="E646" s="2">
        <v>0.59466399999999997</v>
      </c>
      <c r="F646" s="2">
        <v>3.6943999999999998E-2</v>
      </c>
      <c r="G646" s="2">
        <v>0.52222427000000005</v>
      </c>
      <c r="H646" s="2">
        <v>0.66710389000000003</v>
      </c>
    </row>
    <row r="647" spans="1:8" ht="17.25" thickBot="1" x14ac:dyDescent="0.35">
      <c r="A647" s="6">
        <v>3</v>
      </c>
      <c r="B647" s="3">
        <v>1</v>
      </c>
      <c r="C647" s="11" t="s">
        <v>115</v>
      </c>
      <c r="D647" s="2">
        <v>2430</v>
      </c>
      <c r="E647" s="2">
        <v>0.68439399999999995</v>
      </c>
      <c r="F647" s="2">
        <v>1.9870000000000001E-3</v>
      </c>
      <c r="G647" s="2">
        <v>0.68049815999999996</v>
      </c>
      <c r="H647" s="2">
        <v>0.68828973000000004</v>
      </c>
    </row>
    <row r="648" spans="1:8" ht="17.25" thickBot="1" x14ac:dyDescent="0.35">
      <c r="A648" s="6"/>
      <c r="B648" s="3">
        <v>2</v>
      </c>
      <c r="C648" s="11" t="s">
        <v>115</v>
      </c>
      <c r="D648" s="2">
        <v>1824</v>
      </c>
      <c r="E648" s="2">
        <v>0.60244500000000001</v>
      </c>
      <c r="F648" s="2">
        <v>1.9559999999999998E-3</v>
      </c>
      <c r="G648" s="2">
        <v>0.59861001000000003</v>
      </c>
      <c r="H648" s="2">
        <v>0.60628015999999996</v>
      </c>
    </row>
    <row r="649" spans="1:8" ht="17.25" thickBot="1" x14ac:dyDescent="0.35">
      <c r="A649" s="6"/>
      <c r="B649" s="3">
        <v>8</v>
      </c>
      <c r="C649" s="11" t="s">
        <v>115</v>
      </c>
      <c r="D649" s="2">
        <v>3</v>
      </c>
      <c r="E649" s="2">
        <v>0.55932199999999999</v>
      </c>
      <c r="F649" s="2">
        <v>7.4399999999999998E-4</v>
      </c>
      <c r="G649" s="2">
        <v>0.55786422999999996</v>
      </c>
      <c r="H649" s="2">
        <v>0.56078066000000004</v>
      </c>
    </row>
    <row r="650" spans="1:8" ht="17.25" thickBot="1" x14ac:dyDescent="0.35">
      <c r="A650" s="6">
        <v>4</v>
      </c>
      <c r="B650" s="3">
        <v>1</v>
      </c>
      <c r="C650" s="11" t="s">
        <v>115</v>
      </c>
      <c r="D650" s="2">
        <v>2588</v>
      </c>
      <c r="E650" s="2">
        <v>0.68665699999999996</v>
      </c>
      <c r="F650" s="2">
        <v>2.0240000000000002E-3</v>
      </c>
      <c r="G650" s="2">
        <v>0.68268821000000002</v>
      </c>
      <c r="H650" s="2">
        <v>0.69062608999999997</v>
      </c>
    </row>
    <row r="651" spans="1:8" ht="17.25" thickBot="1" x14ac:dyDescent="0.35">
      <c r="A651" s="6"/>
      <c r="B651" s="3">
        <v>2</v>
      </c>
      <c r="C651" s="11" t="s">
        <v>115</v>
      </c>
      <c r="D651" s="2">
        <v>1968</v>
      </c>
      <c r="E651" s="2">
        <v>0.60518700000000003</v>
      </c>
      <c r="F651" s="2">
        <v>1.8320000000000001E-3</v>
      </c>
      <c r="G651" s="2">
        <v>0.60159567000000003</v>
      </c>
      <c r="H651" s="2">
        <v>0.60877820000000005</v>
      </c>
    </row>
    <row r="652" spans="1:8" ht="17.25" thickBot="1" x14ac:dyDescent="0.35">
      <c r="A652" s="6">
        <v>5</v>
      </c>
      <c r="B652" s="3">
        <v>1</v>
      </c>
      <c r="C652" s="11" t="s">
        <v>115</v>
      </c>
      <c r="D652" s="2">
        <v>2684</v>
      </c>
      <c r="E652" s="2">
        <v>0.70319100000000001</v>
      </c>
      <c r="F652" s="2">
        <v>1.81E-3</v>
      </c>
      <c r="G652" s="2">
        <v>0.69964305999999998</v>
      </c>
      <c r="H652" s="2">
        <v>0.70673989999999998</v>
      </c>
    </row>
    <row r="653" spans="1:8" ht="17.25" thickBot="1" x14ac:dyDescent="0.35">
      <c r="A653" s="6"/>
      <c r="B653" s="3">
        <v>2</v>
      </c>
      <c r="C653" s="11" t="s">
        <v>115</v>
      </c>
      <c r="D653" s="2">
        <v>1815</v>
      </c>
      <c r="E653" s="2">
        <v>0.61327799999999999</v>
      </c>
      <c r="F653" s="2">
        <v>1.7830000000000001E-3</v>
      </c>
      <c r="G653" s="2">
        <v>0.60978259000000001</v>
      </c>
      <c r="H653" s="2">
        <v>0.61677313</v>
      </c>
    </row>
    <row r="654" spans="1:8" ht="17.25" thickBot="1" x14ac:dyDescent="0.35">
      <c r="A654" s="6"/>
      <c r="B654" s="3">
        <v>8</v>
      </c>
      <c r="C654" s="11" t="s">
        <v>115</v>
      </c>
      <c r="D654" s="2">
        <v>2</v>
      </c>
      <c r="E654" s="2">
        <v>0.61375199999999996</v>
      </c>
      <c r="F654" s="2">
        <v>0</v>
      </c>
      <c r="G654" s="2">
        <v>0.61375153000000005</v>
      </c>
      <c r="H654" s="2">
        <v>0.61375153000000005</v>
      </c>
    </row>
    <row r="655" spans="1:8" ht="17.25" thickBot="1" x14ac:dyDescent="0.35">
      <c r="A655" s="6">
        <v>6</v>
      </c>
      <c r="B655" s="3">
        <v>1</v>
      </c>
      <c r="C655" s="11" t="s">
        <v>115</v>
      </c>
      <c r="D655" s="2">
        <v>895</v>
      </c>
      <c r="E655" s="2">
        <v>0.69203400000000004</v>
      </c>
      <c r="F655" s="2">
        <v>3.3279999999999998E-3</v>
      </c>
      <c r="G655" s="2">
        <v>0.68550774999999997</v>
      </c>
      <c r="H655" s="2">
        <v>0.69855984999999998</v>
      </c>
    </row>
    <row r="656" spans="1:8" x14ac:dyDescent="0.3">
      <c r="A656" s="6"/>
      <c r="B656" s="3">
        <v>2</v>
      </c>
      <c r="C656" s="14" t="s">
        <v>115</v>
      </c>
      <c r="D656" s="2">
        <v>541</v>
      </c>
      <c r="E656" s="2">
        <v>0.60815300000000005</v>
      </c>
      <c r="F656" s="2">
        <v>2.9780000000000002E-3</v>
      </c>
      <c r="G656" s="2">
        <v>0.60231316000000001</v>
      </c>
      <c r="H656" s="2">
        <v>0.61399362000000002</v>
      </c>
    </row>
    <row r="660" spans="1:2" x14ac:dyDescent="0.3">
      <c r="A660" s="1" t="s">
        <v>237</v>
      </c>
    </row>
    <row r="662" spans="1:2" x14ac:dyDescent="0.3">
      <c r="A662" s="1" t="s">
        <v>21</v>
      </c>
    </row>
    <row r="663" spans="1:2" ht="17.25" thickBot="1" x14ac:dyDescent="0.35"/>
    <row r="664" spans="1:2" ht="16.5" customHeight="1" x14ac:dyDescent="0.3">
      <c r="A664" s="16" t="s">
        <v>135</v>
      </c>
      <c r="B664" s="18"/>
    </row>
    <row r="665" spans="1:2" ht="26.25" thickBot="1" x14ac:dyDescent="0.35">
      <c r="A665" s="12" t="s">
        <v>136</v>
      </c>
      <c r="B665" s="2">
        <v>183</v>
      </c>
    </row>
    <row r="666" spans="1:2" ht="26.25" thickBot="1" x14ac:dyDescent="0.35">
      <c r="A666" s="12" t="s">
        <v>137</v>
      </c>
      <c r="B666" s="2">
        <v>2982</v>
      </c>
    </row>
    <row r="667" spans="1:2" ht="39" thickBot="1" x14ac:dyDescent="0.35">
      <c r="A667" s="12" t="s">
        <v>138</v>
      </c>
      <c r="B667" s="2">
        <v>68635</v>
      </c>
    </row>
    <row r="668" spans="1:2" ht="25.5" x14ac:dyDescent="0.3">
      <c r="A668" s="13" t="s">
        <v>139</v>
      </c>
      <c r="B668" s="2">
        <v>30251935.699999999</v>
      </c>
    </row>
    <row r="669" spans="1:2" ht="17.25" thickBot="1" x14ac:dyDescent="0.35"/>
    <row r="670" spans="1:2" ht="33" customHeight="1" x14ac:dyDescent="0.3">
      <c r="A670" s="16" t="s">
        <v>140</v>
      </c>
      <c r="B670" s="18"/>
    </row>
    <row r="671" spans="1:2" ht="33.75" thickBot="1" x14ac:dyDescent="0.35">
      <c r="A671" s="12" t="s">
        <v>141</v>
      </c>
      <c r="B671" s="2" t="s">
        <v>142</v>
      </c>
    </row>
    <row r="672" spans="1:2" ht="25.5" x14ac:dyDescent="0.3">
      <c r="A672" s="13" t="s">
        <v>143</v>
      </c>
      <c r="B672" s="2" t="s">
        <v>144</v>
      </c>
    </row>
    <row r="673" spans="1:15" ht="17.25" thickBot="1" x14ac:dyDescent="0.35"/>
    <row r="674" spans="1:15" ht="16.5" customHeight="1" x14ac:dyDescent="0.3">
      <c r="A674" s="16" t="s">
        <v>238</v>
      </c>
      <c r="B674" s="18"/>
      <c r="C674" s="18"/>
      <c r="D674" s="18"/>
      <c r="E674" s="18"/>
      <c r="F674" s="18"/>
    </row>
    <row r="675" spans="1:15" ht="16.5" customHeight="1" x14ac:dyDescent="0.3">
      <c r="A675" s="17" t="s">
        <v>239</v>
      </c>
      <c r="B675" s="19" t="s">
        <v>94</v>
      </c>
      <c r="C675" s="19" t="s">
        <v>240</v>
      </c>
      <c r="D675" s="3" t="s">
        <v>241</v>
      </c>
      <c r="E675" s="19" t="s">
        <v>243</v>
      </c>
      <c r="F675" s="19"/>
    </row>
    <row r="676" spans="1:15" x14ac:dyDescent="0.3">
      <c r="A676" s="17"/>
      <c r="B676" s="19"/>
      <c r="C676" s="19"/>
      <c r="D676" s="3" t="s">
        <v>242</v>
      </c>
      <c r="E676" s="19"/>
      <c r="F676" s="19"/>
    </row>
    <row r="677" spans="1:15" x14ac:dyDescent="0.3">
      <c r="A677" s="13" t="s">
        <v>115</v>
      </c>
      <c r="B677" s="2">
        <v>68635</v>
      </c>
      <c r="C677" s="2">
        <v>0.66370899999999999</v>
      </c>
      <c r="D677" s="2">
        <v>4.4099999999999999E-4</v>
      </c>
      <c r="E677" s="2">
        <v>0.66284405999999996</v>
      </c>
      <c r="F677" s="2">
        <v>0.66457339000000004</v>
      </c>
    </row>
    <row r="681" spans="1:15" x14ac:dyDescent="0.3">
      <c r="A681" s="1" t="s">
        <v>237</v>
      </c>
    </row>
    <row r="683" spans="1:15" x14ac:dyDescent="0.3">
      <c r="A683" s="1" t="s">
        <v>21</v>
      </c>
    </row>
    <row r="684" spans="1:15" ht="17.25" thickBot="1" x14ac:dyDescent="0.35"/>
    <row r="685" spans="1:15" ht="16.5" customHeight="1" x14ac:dyDescent="0.3">
      <c r="A685" s="16" t="s">
        <v>256</v>
      </c>
      <c r="B685" s="18"/>
      <c r="C685" s="18"/>
      <c r="D685" s="18"/>
      <c r="E685" s="18"/>
      <c r="F685" s="18"/>
      <c r="G685" s="18"/>
      <c r="H685" s="18"/>
    </row>
    <row r="686" spans="1:15" ht="16.5" customHeight="1" x14ac:dyDescent="0.3">
      <c r="A686" s="17" t="s">
        <v>249</v>
      </c>
      <c r="B686" s="19" t="s">
        <v>11</v>
      </c>
      <c r="C686" s="19" t="s">
        <v>239</v>
      </c>
      <c r="D686" s="19" t="s">
        <v>94</v>
      </c>
      <c r="E686" s="19" t="s">
        <v>240</v>
      </c>
      <c r="F686" s="3" t="s">
        <v>241</v>
      </c>
      <c r="G686" s="19" t="s">
        <v>243</v>
      </c>
      <c r="H686" s="19"/>
    </row>
    <row r="687" spans="1:15" x14ac:dyDescent="0.3">
      <c r="A687" s="17"/>
      <c r="B687" s="19"/>
      <c r="C687" s="19"/>
      <c r="D687" s="19"/>
      <c r="E687" s="19"/>
      <c r="F687" s="3" t="s">
        <v>242</v>
      </c>
      <c r="G687" s="19"/>
      <c r="H687" s="19"/>
    </row>
    <row r="688" spans="1:15" ht="17.25" thickBot="1" x14ac:dyDescent="0.35">
      <c r="A688" s="6">
        <v>1</v>
      </c>
      <c r="B688" s="3">
        <v>1</v>
      </c>
      <c r="C688" s="11" t="s">
        <v>115</v>
      </c>
      <c r="D688" s="2">
        <v>10177</v>
      </c>
      <c r="E688" s="2">
        <v>0.67193199999999997</v>
      </c>
      <c r="F688" s="2">
        <v>1.214E-3</v>
      </c>
      <c r="G688" s="2">
        <v>0.66955259</v>
      </c>
      <c r="H688" s="2">
        <v>0.67431198999999997</v>
      </c>
      <c r="J688" t="str">
        <f t="shared" ref="J688:J699" si="26">TEXT(E688,"0.00")&amp;" ("&amp;TEXT(G688,"0.00")&amp;" to "&amp;TEXT(H688,"0.00")&amp;")"</f>
        <v>0.67 (0.67 to 0.67)</v>
      </c>
      <c r="K688" t="str">
        <f>J690</f>
        <v>0.67 (0.67 to 0.67)</v>
      </c>
      <c r="L688" t="str">
        <f>J692</f>
        <v>0.67 (0.67 to 0.67)</v>
      </c>
      <c r="M688" t="str">
        <f>J694</f>
        <v>0.68 (0.67 to 0.68)</v>
      </c>
      <c r="N688" t="str">
        <f>J696</f>
        <v>0.69 (0.68 to 0.69)</v>
      </c>
      <c r="O688" t="str">
        <f>J698</f>
        <v>0.68 (0.68 to 0.68)</v>
      </c>
    </row>
    <row r="689" spans="1:15" ht="17.25" thickBot="1" x14ac:dyDescent="0.35">
      <c r="A689" s="6"/>
      <c r="B689" s="3">
        <v>2</v>
      </c>
      <c r="C689" s="11" t="s">
        <v>115</v>
      </c>
      <c r="D689" s="2">
        <v>1738</v>
      </c>
      <c r="E689" s="2">
        <v>0.61871100000000001</v>
      </c>
      <c r="F689" s="2">
        <v>1.9580000000000001E-3</v>
      </c>
      <c r="G689" s="2">
        <v>0.61487130999999995</v>
      </c>
      <c r="H689" s="2">
        <v>0.62255006000000002</v>
      </c>
      <c r="J689" t="str">
        <f t="shared" si="26"/>
        <v>0.62 (0.61 to 0.62)</v>
      </c>
      <c r="K689" t="str">
        <f>J691</f>
        <v>0.62 (0.61 to 0.62)</v>
      </c>
      <c r="L689" t="str">
        <f>J693</f>
        <v>0.62 (0.62 to 0.63)</v>
      </c>
      <c r="M689" t="str">
        <f>J695</f>
        <v>0.63 (0.62 to 0.63)</v>
      </c>
      <c r="N689" t="str">
        <f>J697</f>
        <v>0.64 (0.63 to 0.64)</v>
      </c>
      <c r="O689" t="str">
        <f>J699</f>
        <v>0.63 (0.63 to 0.64)</v>
      </c>
    </row>
    <row r="690" spans="1:15" ht="17.25" thickBot="1" x14ac:dyDescent="0.35">
      <c r="A690" s="6">
        <v>2</v>
      </c>
      <c r="B690" s="3">
        <v>1</v>
      </c>
      <c r="C690" s="11" t="s">
        <v>115</v>
      </c>
      <c r="D690" s="2">
        <v>11190</v>
      </c>
      <c r="E690" s="2">
        <v>0.67025900000000005</v>
      </c>
      <c r="F690" s="2">
        <v>1.042E-3</v>
      </c>
      <c r="G690" s="2">
        <v>0.66821512000000005</v>
      </c>
      <c r="H690" s="2">
        <v>0.67230261000000002</v>
      </c>
      <c r="J690" t="str">
        <f t="shared" si="26"/>
        <v>0.67 (0.67 to 0.67)</v>
      </c>
    </row>
    <row r="691" spans="1:15" ht="17.25" thickBot="1" x14ac:dyDescent="0.35">
      <c r="A691" s="6"/>
      <c r="B691" s="3">
        <v>2</v>
      </c>
      <c r="C691" s="11" t="s">
        <v>115</v>
      </c>
      <c r="D691" s="2">
        <v>1926</v>
      </c>
      <c r="E691" s="2">
        <v>0.61625099999999999</v>
      </c>
      <c r="F691" s="2">
        <v>1.8270000000000001E-3</v>
      </c>
      <c r="G691" s="2">
        <v>0.61266902000000001</v>
      </c>
      <c r="H691" s="2">
        <v>0.61983275999999998</v>
      </c>
      <c r="J691" t="str">
        <f t="shared" si="26"/>
        <v>0.62 (0.61 to 0.62)</v>
      </c>
    </row>
    <row r="692" spans="1:15" ht="17.25" thickBot="1" x14ac:dyDescent="0.35">
      <c r="A692" s="6">
        <v>3</v>
      </c>
      <c r="B692" s="3">
        <v>1</v>
      </c>
      <c r="C692" s="11" t="s">
        <v>115</v>
      </c>
      <c r="D692" s="2">
        <v>9576</v>
      </c>
      <c r="E692" s="2">
        <v>0.66990899999999998</v>
      </c>
      <c r="F692" s="2">
        <v>1.0950000000000001E-3</v>
      </c>
      <c r="G692" s="2">
        <v>0.66776188000000003</v>
      </c>
      <c r="H692" s="2">
        <v>0.6720564</v>
      </c>
      <c r="J692" t="str">
        <f t="shared" si="26"/>
        <v>0.67 (0.67 to 0.67)</v>
      </c>
    </row>
    <row r="693" spans="1:15" ht="17.25" thickBot="1" x14ac:dyDescent="0.35">
      <c r="A693" s="6"/>
      <c r="B693" s="3">
        <v>2</v>
      </c>
      <c r="C693" s="11" t="s">
        <v>115</v>
      </c>
      <c r="D693" s="2">
        <v>1899</v>
      </c>
      <c r="E693" s="2">
        <v>0.62347300000000005</v>
      </c>
      <c r="F693" s="2">
        <v>1.792E-3</v>
      </c>
      <c r="G693" s="2">
        <v>0.61996065</v>
      </c>
      <c r="H693" s="2">
        <v>0.62698633999999998</v>
      </c>
      <c r="J693" t="str">
        <f t="shared" si="26"/>
        <v>0.62 (0.62 to 0.63)</v>
      </c>
    </row>
    <row r="694" spans="1:15" ht="17.25" thickBot="1" x14ac:dyDescent="0.35">
      <c r="A694" s="6">
        <v>4</v>
      </c>
      <c r="B694" s="3">
        <v>1</v>
      </c>
      <c r="C694" s="11" t="s">
        <v>115</v>
      </c>
      <c r="D694" s="2">
        <v>11608</v>
      </c>
      <c r="E694" s="2">
        <v>0.67657500000000004</v>
      </c>
      <c r="F694" s="2">
        <v>1.003E-3</v>
      </c>
      <c r="G694" s="2">
        <v>0.67460779000000004</v>
      </c>
      <c r="H694" s="2">
        <v>0.67854247000000001</v>
      </c>
      <c r="J694" t="str">
        <f t="shared" si="26"/>
        <v>0.68 (0.67 to 0.68)</v>
      </c>
    </row>
    <row r="695" spans="1:15" ht="17.25" thickBot="1" x14ac:dyDescent="0.35">
      <c r="A695" s="6"/>
      <c r="B695" s="3">
        <v>2</v>
      </c>
      <c r="C695" s="11" t="s">
        <v>115</v>
      </c>
      <c r="D695" s="2">
        <v>2550</v>
      </c>
      <c r="E695" s="2">
        <v>0.62781500000000001</v>
      </c>
      <c r="F695" s="2">
        <v>1.6689999999999999E-3</v>
      </c>
      <c r="G695" s="2">
        <v>0.62454352000000002</v>
      </c>
      <c r="H695" s="2">
        <v>0.63108739999999997</v>
      </c>
      <c r="J695" t="str">
        <f t="shared" si="26"/>
        <v>0.63 (0.62 to 0.63)</v>
      </c>
    </row>
    <row r="696" spans="1:15" ht="17.25" thickBot="1" x14ac:dyDescent="0.35">
      <c r="A696" s="6">
        <v>5</v>
      </c>
      <c r="B696" s="3">
        <v>1</v>
      </c>
      <c r="C696" s="11" t="s">
        <v>115</v>
      </c>
      <c r="D696" s="2">
        <v>10769</v>
      </c>
      <c r="E696" s="2">
        <v>0.685311</v>
      </c>
      <c r="F696" s="2">
        <v>9.3599999999999998E-4</v>
      </c>
      <c r="G696" s="2">
        <v>0.68347588000000004</v>
      </c>
      <c r="H696" s="2">
        <v>0.68714534000000005</v>
      </c>
      <c r="J696" t="str">
        <f t="shared" si="26"/>
        <v>0.69 (0.68 to 0.69)</v>
      </c>
    </row>
    <row r="697" spans="1:15" ht="17.25" thickBot="1" x14ac:dyDescent="0.35">
      <c r="A697" s="6"/>
      <c r="B697" s="3">
        <v>2</v>
      </c>
      <c r="C697" s="11" t="s">
        <v>115</v>
      </c>
      <c r="D697" s="2">
        <v>2786</v>
      </c>
      <c r="E697" s="2">
        <v>0.63606499999999999</v>
      </c>
      <c r="F697" s="2">
        <v>1.7440000000000001E-3</v>
      </c>
      <c r="G697" s="2">
        <v>0.63264531999999996</v>
      </c>
      <c r="H697" s="2">
        <v>0.63948406000000002</v>
      </c>
      <c r="J697" t="str">
        <f t="shared" si="26"/>
        <v>0.64 (0.63 to 0.64)</v>
      </c>
    </row>
    <row r="698" spans="1:15" ht="17.25" thickBot="1" x14ac:dyDescent="0.35">
      <c r="A698" s="6">
        <v>6</v>
      </c>
      <c r="B698" s="3">
        <v>1</v>
      </c>
      <c r="C698" s="11" t="s">
        <v>115</v>
      </c>
      <c r="D698" s="2">
        <v>3494</v>
      </c>
      <c r="E698" s="2">
        <v>0.68138299999999996</v>
      </c>
      <c r="F698" s="2">
        <v>1.5590000000000001E-3</v>
      </c>
      <c r="G698" s="2">
        <v>0.67832698999999996</v>
      </c>
      <c r="H698" s="2">
        <v>0.68443898999999997</v>
      </c>
      <c r="J698" t="str">
        <f t="shared" si="26"/>
        <v>0.68 (0.68 to 0.68)</v>
      </c>
    </row>
    <row r="699" spans="1:15" x14ac:dyDescent="0.3">
      <c r="A699" s="6"/>
      <c r="B699" s="3">
        <v>2</v>
      </c>
      <c r="C699" s="14" t="s">
        <v>115</v>
      </c>
      <c r="D699" s="2">
        <v>922</v>
      </c>
      <c r="E699" s="2">
        <v>0.63473500000000005</v>
      </c>
      <c r="F699" s="2">
        <v>2.8700000000000002E-3</v>
      </c>
      <c r="G699" s="2">
        <v>0.62910686999999998</v>
      </c>
      <c r="H699" s="2">
        <v>0.64036252999999999</v>
      </c>
      <c r="J699" t="str">
        <f t="shared" si="26"/>
        <v>0.63 (0.63 to 0.64)</v>
      </c>
    </row>
    <row r="703" spans="1:15" x14ac:dyDescent="0.3">
      <c r="A703" s="1" t="s">
        <v>237</v>
      </c>
    </row>
    <row r="705" spans="1:6" x14ac:dyDescent="0.3">
      <c r="A705" s="1" t="s">
        <v>1</v>
      </c>
    </row>
    <row r="706" spans="1:6" ht="17.25" thickBot="1" x14ac:dyDescent="0.35"/>
    <row r="707" spans="1:6" ht="16.5" customHeight="1" x14ac:dyDescent="0.3">
      <c r="A707" s="16" t="s">
        <v>135</v>
      </c>
      <c r="B707" s="18"/>
    </row>
    <row r="708" spans="1:6" ht="26.25" thickBot="1" x14ac:dyDescent="0.35">
      <c r="A708" s="12" t="s">
        <v>136</v>
      </c>
      <c r="B708" s="2">
        <v>183</v>
      </c>
    </row>
    <row r="709" spans="1:6" ht="26.25" thickBot="1" x14ac:dyDescent="0.35">
      <c r="A709" s="12" t="s">
        <v>137</v>
      </c>
      <c r="B709" s="2">
        <v>2949</v>
      </c>
    </row>
    <row r="710" spans="1:6" ht="39" thickBot="1" x14ac:dyDescent="0.35">
      <c r="A710" s="12" t="s">
        <v>138</v>
      </c>
      <c r="B710" s="2">
        <v>23222</v>
      </c>
    </row>
    <row r="711" spans="1:6" ht="25.5" x14ac:dyDescent="0.3">
      <c r="A711" s="13" t="s">
        <v>139</v>
      </c>
      <c r="B711" s="2">
        <v>9036880.5199999996</v>
      </c>
    </row>
    <row r="712" spans="1:6" ht="17.25" thickBot="1" x14ac:dyDescent="0.35"/>
    <row r="713" spans="1:6" ht="33" customHeight="1" x14ac:dyDescent="0.3">
      <c r="A713" s="16" t="s">
        <v>140</v>
      </c>
      <c r="B713" s="18"/>
    </row>
    <row r="714" spans="1:6" ht="33.75" thickBot="1" x14ac:dyDescent="0.35">
      <c r="A714" s="12" t="s">
        <v>141</v>
      </c>
      <c r="B714" s="2" t="s">
        <v>142</v>
      </c>
    </row>
    <row r="715" spans="1:6" ht="25.5" x14ac:dyDescent="0.3">
      <c r="A715" s="13" t="s">
        <v>143</v>
      </c>
      <c r="B715" s="2" t="s">
        <v>144</v>
      </c>
    </row>
    <row r="716" spans="1:6" ht="17.25" thickBot="1" x14ac:dyDescent="0.35"/>
    <row r="717" spans="1:6" ht="16.5" customHeight="1" x14ac:dyDescent="0.3">
      <c r="A717" s="16" t="s">
        <v>238</v>
      </c>
      <c r="B717" s="18"/>
      <c r="C717" s="18"/>
      <c r="D717" s="18"/>
      <c r="E717" s="18"/>
      <c r="F717" s="18"/>
    </row>
    <row r="718" spans="1:6" ht="16.5" customHeight="1" x14ac:dyDescent="0.3">
      <c r="A718" s="17" t="s">
        <v>239</v>
      </c>
      <c r="B718" s="19" t="s">
        <v>94</v>
      </c>
      <c r="C718" s="19" t="s">
        <v>240</v>
      </c>
      <c r="D718" s="3" t="s">
        <v>241</v>
      </c>
      <c r="E718" s="19" t="s">
        <v>243</v>
      </c>
      <c r="F718" s="19"/>
    </row>
    <row r="719" spans="1:6" x14ac:dyDescent="0.3">
      <c r="A719" s="17"/>
      <c r="B719" s="19"/>
      <c r="C719" s="19"/>
      <c r="D719" s="3" t="s">
        <v>242</v>
      </c>
      <c r="E719" s="19"/>
      <c r="F719" s="19"/>
    </row>
    <row r="720" spans="1:6" x14ac:dyDescent="0.3">
      <c r="A720" s="13" t="s">
        <v>115</v>
      </c>
      <c r="B720" s="2">
        <v>23222</v>
      </c>
      <c r="C720" s="2">
        <v>0.64841899999999997</v>
      </c>
      <c r="D720" s="2">
        <v>7.7200000000000001E-4</v>
      </c>
      <c r="E720" s="2">
        <v>0.64690462000000004</v>
      </c>
      <c r="F720" s="2">
        <v>0.64993400999999995</v>
      </c>
    </row>
    <row r="724" spans="1:8" x14ac:dyDescent="0.3">
      <c r="A724" s="1" t="s">
        <v>237</v>
      </c>
    </row>
    <row r="726" spans="1:8" x14ac:dyDescent="0.3">
      <c r="A726" s="1" t="s">
        <v>1</v>
      </c>
    </row>
    <row r="727" spans="1:8" ht="17.25" thickBot="1" x14ac:dyDescent="0.35"/>
    <row r="728" spans="1:8" ht="16.5" customHeight="1" x14ac:dyDescent="0.3">
      <c r="A728" s="16" t="s">
        <v>257</v>
      </c>
      <c r="B728" s="18"/>
      <c r="C728" s="18"/>
      <c r="D728" s="18"/>
      <c r="E728" s="18"/>
      <c r="F728" s="18"/>
      <c r="G728" s="18"/>
      <c r="H728" s="18"/>
    </row>
    <row r="729" spans="1:8" ht="16.5" customHeight="1" x14ac:dyDescent="0.3">
      <c r="A729" s="17" t="s">
        <v>249</v>
      </c>
      <c r="B729" s="19" t="s">
        <v>12</v>
      </c>
      <c r="C729" s="19" t="s">
        <v>239</v>
      </c>
      <c r="D729" s="19" t="s">
        <v>94</v>
      </c>
      <c r="E729" s="19" t="s">
        <v>240</v>
      </c>
      <c r="F729" s="3" t="s">
        <v>241</v>
      </c>
      <c r="G729" s="19" t="s">
        <v>243</v>
      </c>
      <c r="H729" s="19"/>
    </row>
    <row r="730" spans="1:8" x14ac:dyDescent="0.3">
      <c r="A730" s="17"/>
      <c r="B730" s="19"/>
      <c r="C730" s="19"/>
      <c r="D730" s="19"/>
      <c r="E730" s="19"/>
      <c r="F730" s="3" t="s">
        <v>242</v>
      </c>
      <c r="G730" s="19"/>
      <c r="H730" s="19"/>
    </row>
    <row r="731" spans="1:8" ht="17.25" thickBot="1" x14ac:dyDescent="0.35">
      <c r="A731" s="6">
        <v>1</v>
      </c>
      <c r="B731" s="3">
        <v>1</v>
      </c>
      <c r="C731" s="11" t="s">
        <v>115</v>
      </c>
      <c r="D731" s="2">
        <v>1680</v>
      </c>
      <c r="E731" s="2">
        <v>0.637185</v>
      </c>
      <c r="F731" s="2">
        <v>2.5769999999999999E-3</v>
      </c>
      <c r="G731" s="2">
        <v>0.63213134999999998</v>
      </c>
      <c r="H731" s="2">
        <v>0.64223876000000002</v>
      </c>
    </row>
    <row r="732" spans="1:8" ht="17.25" thickBot="1" x14ac:dyDescent="0.35">
      <c r="A732" s="6"/>
      <c r="B732" s="3">
        <v>2</v>
      </c>
      <c r="C732" s="11" t="s">
        <v>115</v>
      </c>
      <c r="D732" s="2">
        <v>1059</v>
      </c>
      <c r="E732" s="2">
        <v>0.65723399999999998</v>
      </c>
      <c r="F732" s="2">
        <v>3.375E-3</v>
      </c>
      <c r="G732" s="2">
        <v>0.65061617999999999</v>
      </c>
      <c r="H732" s="2">
        <v>0.66385201999999999</v>
      </c>
    </row>
    <row r="733" spans="1:8" ht="17.25" thickBot="1" x14ac:dyDescent="0.35">
      <c r="A733" s="6"/>
      <c r="B733" s="3">
        <v>3</v>
      </c>
      <c r="C733" s="11" t="s">
        <v>115</v>
      </c>
      <c r="D733" s="2">
        <v>979</v>
      </c>
      <c r="E733" s="2">
        <v>0.69162900000000005</v>
      </c>
      <c r="F733" s="2">
        <v>3.7490000000000002E-3</v>
      </c>
      <c r="G733" s="2">
        <v>0.68427766000000001</v>
      </c>
      <c r="H733" s="2">
        <v>0.69897946</v>
      </c>
    </row>
    <row r="734" spans="1:8" ht="17.25" thickBot="1" x14ac:dyDescent="0.35">
      <c r="A734" s="6"/>
      <c r="B734" s="3">
        <v>8</v>
      </c>
      <c r="C734" s="11" t="s">
        <v>115</v>
      </c>
      <c r="D734" s="2">
        <v>22</v>
      </c>
      <c r="E734" s="2">
        <v>0.68793599999999999</v>
      </c>
      <c r="F734" s="2">
        <v>2.1023E-2</v>
      </c>
      <c r="G734" s="2">
        <v>0.64671436000000004</v>
      </c>
      <c r="H734" s="2">
        <v>0.72915861000000004</v>
      </c>
    </row>
    <row r="735" spans="1:8" ht="17.25" thickBot="1" x14ac:dyDescent="0.35">
      <c r="A735" s="6">
        <v>2</v>
      </c>
      <c r="B735" s="3">
        <v>1</v>
      </c>
      <c r="C735" s="11" t="s">
        <v>115</v>
      </c>
      <c r="D735" s="2">
        <v>2102</v>
      </c>
      <c r="E735" s="2">
        <v>0.611649</v>
      </c>
      <c r="F735" s="2">
        <v>1.8159999999999999E-3</v>
      </c>
      <c r="G735" s="2">
        <v>0.60808751999999999</v>
      </c>
      <c r="H735" s="2">
        <v>0.61521051999999998</v>
      </c>
    </row>
    <row r="736" spans="1:8" ht="17.25" thickBot="1" x14ac:dyDescent="0.35">
      <c r="A736" s="6"/>
      <c r="B736" s="3">
        <v>2</v>
      </c>
      <c r="C736" s="11" t="s">
        <v>115</v>
      </c>
      <c r="D736" s="2">
        <v>1750</v>
      </c>
      <c r="E736" s="2">
        <v>0.64029599999999998</v>
      </c>
      <c r="F736" s="2">
        <v>2.317E-3</v>
      </c>
      <c r="G736" s="2">
        <v>0.63575369000000004</v>
      </c>
      <c r="H736" s="2">
        <v>0.64483818999999998</v>
      </c>
    </row>
    <row r="737" spans="1:8" ht="17.25" thickBot="1" x14ac:dyDescent="0.35">
      <c r="A737" s="6"/>
      <c r="B737" s="3">
        <v>3</v>
      </c>
      <c r="C737" s="11" t="s">
        <v>115</v>
      </c>
      <c r="D737" s="2">
        <v>790</v>
      </c>
      <c r="E737" s="2">
        <v>0.67296400000000001</v>
      </c>
      <c r="F737" s="2">
        <v>4.1510000000000002E-3</v>
      </c>
      <c r="G737" s="2">
        <v>0.66482582999999995</v>
      </c>
      <c r="H737" s="2">
        <v>0.68110294999999998</v>
      </c>
    </row>
    <row r="738" spans="1:8" ht="17.25" thickBot="1" x14ac:dyDescent="0.35">
      <c r="A738" s="6"/>
      <c r="B738" s="3">
        <v>8</v>
      </c>
      <c r="C738" s="11" t="s">
        <v>115</v>
      </c>
      <c r="D738" s="2">
        <v>90</v>
      </c>
      <c r="E738" s="2">
        <v>0.64775700000000003</v>
      </c>
      <c r="F738" s="2">
        <v>6.8310000000000003E-3</v>
      </c>
      <c r="G738" s="2">
        <v>0.63436371999999996</v>
      </c>
      <c r="H738" s="2">
        <v>0.66115069999999998</v>
      </c>
    </row>
    <row r="739" spans="1:8" ht="17.25" thickBot="1" x14ac:dyDescent="0.35">
      <c r="A739" s="6">
        <v>3</v>
      </c>
      <c r="B739" s="3">
        <v>1</v>
      </c>
      <c r="C739" s="11" t="s">
        <v>115</v>
      </c>
      <c r="D739" s="2">
        <v>1521</v>
      </c>
      <c r="E739" s="2">
        <v>0.61431800000000003</v>
      </c>
      <c r="F739" s="2">
        <v>2.2130000000000001E-3</v>
      </c>
      <c r="G739" s="2">
        <v>0.60997844999999995</v>
      </c>
      <c r="H739" s="2">
        <v>0.61865791999999997</v>
      </c>
    </row>
    <row r="740" spans="1:8" ht="17.25" thickBot="1" x14ac:dyDescent="0.35">
      <c r="A740" s="6"/>
      <c r="B740" s="3">
        <v>2</v>
      </c>
      <c r="C740" s="11" t="s">
        <v>115</v>
      </c>
      <c r="D740" s="2">
        <v>1523</v>
      </c>
      <c r="E740" s="2">
        <v>0.65046300000000001</v>
      </c>
      <c r="F740" s="2">
        <v>2.5660000000000001E-3</v>
      </c>
      <c r="G740" s="2">
        <v>0.64543167000000001</v>
      </c>
      <c r="H740" s="2">
        <v>0.65549398000000003</v>
      </c>
    </row>
    <row r="741" spans="1:8" ht="17.25" thickBot="1" x14ac:dyDescent="0.35">
      <c r="A741" s="6"/>
      <c r="B741" s="3">
        <v>3</v>
      </c>
      <c r="C741" s="11" t="s">
        <v>115</v>
      </c>
      <c r="D741" s="2">
        <v>619</v>
      </c>
      <c r="E741" s="2">
        <v>0.68835100000000005</v>
      </c>
      <c r="F741" s="2">
        <v>3.9039999999999999E-3</v>
      </c>
      <c r="G741" s="2">
        <v>0.68069528000000001</v>
      </c>
      <c r="H741" s="2">
        <v>0.69600589999999996</v>
      </c>
    </row>
    <row r="742" spans="1:8" ht="17.25" thickBot="1" x14ac:dyDescent="0.35">
      <c r="A742" s="6"/>
      <c r="B742" s="3">
        <v>8</v>
      </c>
      <c r="C742" s="11" t="s">
        <v>115</v>
      </c>
      <c r="D742" s="2">
        <v>594</v>
      </c>
      <c r="E742" s="2">
        <v>0.67099299999999995</v>
      </c>
      <c r="F742" s="2">
        <v>3.7469999999999999E-3</v>
      </c>
      <c r="G742" s="2">
        <v>0.66364515000000002</v>
      </c>
      <c r="H742" s="2">
        <v>0.67834002000000004</v>
      </c>
    </row>
    <row r="743" spans="1:8" ht="17.25" thickBot="1" x14ac:dyDescent="0.35">
      <c r="A743" s="6">
        <v>4</v>
      </c>
      <c r="B743" s="3">
        <v>1</v>
      </c>
      <c r="C743" s="11" t="s">
        <v>115</v>
      </c>
      <c r="D743" s="2">
        <v>1596</v>
      </c>
      <c r="E743" s="2">
        <v>0.61666799999999999</v>
      </c>
      <c r="F743" s="2">
        <v>2.0639999999999999E-3</v>
      </c>
      <c r="G743" s="2">
        <v>0.61261969000000005</v>
      </c>
      <c r="H743" s="2">
        <v>0.62071549000000004</v>
      </c>
    </row>
    <row r="744" spans="1:8" ht="17.25" thickBot="1" x14ac:dyDescent="0.35">
      <c r="A744" s="6"/>
      <c r="B744" s="3">
        <v>2</v>
      </c>
      <c r="C744" s="11" t="s">
        <v>115</v>
      </c>
      <c r="D744" s="2">
        <v>1673</v>
      </c>
      <c r="E744" s="2">
        <v>0.65183199999999997</v>
      </c>
      <c r="F744" s="2">
        <v>2.4870000000000001E-3</v>
      </c>
      <c r="G744" s="2">
        <v>0.64695583999999995</v>
      </c>
      <c r="H744" s="2">
        <v>0.65670874000000001</v>
      </c>
    </row>
    <row r="745" spans="1:8" ht="17.25" thickBot="1" x14ac:dyDescent="0.35">
      <c r="A745" s="6"/>
      <c r="B745" s="3">
        <v>3</v>
      </c>
      <c r="C745" s="11" t="s">
        <v>115</v>
      </c>
      <c r="D745" s="2">
        <v>679</v>
      </c>
      <c r="E745" s="2">
        <v>0.69356200000000001</v>
      </c>
      <c r="F745" s="2">
        <v>4.2170000000000003E-3</v>
      </c>
      <c r="G745" s="2">
        <v>0.68529357000000002</v>
      </c>
      <c r="H745" s="2">
        <v>0.70182997000000003</v>
      </c>
    </row>
    <row r="746" spans="1:8" ht="17.25" thickBot="1" x14ac:dyDescent="0.35">
      <c r="A746" s="6"/>
      <c r="B746" s="3">
        <v>8</v>
      </c>
      <c r="C746" s="11" t="s">
        <v>115</v>
      </c>
      <c r="D746" s="2">
        <v>608</v>
      </c>
      <c r="E746" s="2">
        <v>0.66774</v>
      </c>
      <c r="F746" s="2">
        <v>3.6749999999999999E-3</v>
      </c>
      <c r="G746" s="2">
        <v>0.66053472999999996</v>
      </c>
      <c r="H746" s="2">
        <v>0.67494483999999999</v>
      </c>
    </row>
    <row r="747" spans="1:8" ht="17.25" thickBot="1" x14ac:dyDescent="0.35">
      <c r="A747" s="6">
        <v>5</v>
      </c>
      <c r="B747" s="3">
        <v>1</v>
      </c>
      <c r="C747" s="11" t="s">
        <v>115</v>
      </c>
      <c r="D747" s="2">
        <v>1505</v>
      </c>
      <c r="E747" s="2">
        <v>0.62766500000000003</v>
      </c>
      <c r="F747" s="2">
        <v>2.2520000000000001E-3</v>
      </c>
      <c r="G747" s="2">
        <v>0.62325025000000001</v>
      </c>
      <c r="H747" s="2">
        <v>0.63207985</v>
      </c>
    </row>
    <row r="748" spans="1:8" ht="17.25" thickBot="1" x14ac:dyDescent="0.35">
      <c r="A748" s="6"/>
      <c r="B748" s="3">
        <v>2</v>
      </c>
      <c r="C748" s="11" t="s">
        <v>115</v>
      </c>
      <c r="D748" s="2">
        <v>1506</v>
      </c>
      <c r="E748" s="2">
        <v>0.66505499999999995</v>
      </c>
      <c r="F748" s="2">
        <v>2.7060000000000001E-3</v>
      </c>
      <c r="G748" s="2">
        <v>0.65974858000000003</v>
      </c>
      <c r="H748" s="2">
        <v>0.67036220999999996</v>
      </c>
    </row>
    <row r="749" spans="1:8" ht="17.25" thickBot="1" x14ac:dyDescent="0.35">
      <c r="A749" s="6"/>
      <c r="B749" s="3">
        <v>3</v>
      </c>
      <c r="C749" s="11" t="s">
        <v>115</v>
      </c>
      <c r="D749" s="2">
        <v>636</v>
      </c>
      <c r="E749" s="2">
        <v>0.69435500000000006</v>
      </c>
      <c r="F749" s="2">
        <v>3.833E-3</v>
      </c>
      <c r="G749" s="2">
        <v>0.68683833000000005</v>
      </c>
      <c r="H749" s="2">
        <v>0.70187142000000002</v>
      </c>
    </row>
    <row r="750" spans="1:8" ht="17.25" thickBot="1" x14ac:dyDescent="0.35">
      <c r="A750" s="6"/>
      <c r="B750" s="3">
        <v>8</v>
      </c>
      <c r="C750" s="11" t="s">
        <v>115</v>
      </c>
      <c r="D750" s="2">
        <v>854</v>
      </c>
      <c r="E750" s="2">
        <v>0.69565900000000003</v>
      </c>
      <c r="F750" s="2">
        <v>3.4380000000000001E-3</v>
      </c>
      <c r="G750" s="2">
        <v>0.68891758000000003</v>
      </c>
      <c r="H750" s="2">
        <v>0.70240033000000002</v>
      </c>
    </row>
    <row r="751" spans="1:8" ht="17.25" thickBot="1" x14ac:dyDescent="0.35">
      <c r="A751" s="6">
        <v>6</v>
      </c>
      <c r="B751" s="3">
        <v>1</v>
      </c>
      <c r="C751" s="11" t="s">
        <v>115</v>
      </c>
      <c r="D751" s="2">
        <v>447</v>
      </c>
      <c r="E751" s="2">
        <v>0.62427299999999997</v>
      </c>
      <c r="F751" s="2">
        <v>3.8670000000000002E-3</v>
      </c>
      <c r="G751" s="2">
        <v>0.61669085000000001</v>
      </c>
      <c r="H751" s="2">
        <v>0.63185422999999996</v>
      </c>
    </row>
    <row r="752" spans="1:8" ht="17.25" thickBot="1" x14ac:dyDescent="0.35">
      <c r="A752" s="6"/>
      <c r="B752" s="3">
        <v>2</v>
      </c>
      <c r="C752" s="11" t="s">
        <v>115</v>
      </c>
      <c r="D752" s="2">
        <v>474</v>
      </c>
      <c r="E752" s="2">
        <v>0.660528</v>
      </c>
      <c r="F752" s="2">
        <v>3.8769999999999998E-3</v>
      </c>
      <c r="G752" s="2">
        <v>0.65292673000000001</v>
      </c>
      <c r="H752" s="2">
        <v>0.66812963999999997</v>
      </c>
    </row>
    <row r="753" spans="1:8" ht="17.25" thickBot="1" x14ac:dyDescent="0.35">
      <c r="A753" s="6"/>
      <c r="B753" s="3">
        <v>3</v>
      </c>
      <c r="C753" s="11" t="s">
        <v>115</v>
      </c>
      <c r="D753" s="2">
        <v>180</v>
      </c>
      <c r="E753" s="2">
        <v>0.68423400000000001</v>
      </c>
      <c r="F753" s="2">
        <v>7.5300000000000002E-3</v>
      </c>
      <c r="G753" s="2">
        <v>0.66946760999999999</v>
      </c>
      <c r="H753" s="2">
        <v>0.69899951999999999</v>
      </c>
    </row>
    <row r="754" spans="1:8" x14ac:dyDescent="0.3">
      <c r="A754" s="6"/>
      <c r="B754" s="3">
        <v>8</v>
      </c>
      <c r="C754" s="14" t="s">
        <v>115</v>
      </c>
      <c r="D754" s="2">
        <v>335</v>
      </c>
      <c r="E754" s="2">
        <v>0.675875</v>
      </c>
      <c r="F754" s="2">
        <v>5.8069999999999997E-3</v>
      </c>
      <c r="G754" s="2">
        <v>0.66448773999999999</v>
      </c>
      <c r="H754" s="2">
        <v>0.68726240999999999</v>
      </c>
    </row>
    <row r="758" spans="1:8" x14ac:dyDescent="0.3">
      <c r="A758" s="1" t="s">
        <v>237</v>
      </c>
    </row>
    <row r="760" spans="1:8" x14ac:dyDescent="0.3">
      <c r="A760" s="1" t="s">
        <v>21</v>
      </c>
    </row>
    <row r="761" spans="1:8" ht="17.25" thickBot="1" x14ac:dyDescent="0.35"/>
    <row r="762" spans="1:8" ht="16.5" customHeight="1" x14ac:dyDescent="0.3">
      <c r="A762" s="16" t="s">
        <v>135</v>
      </c>
      <c r="B762" s="18"/>
    </row>
    <row r="763" spans="1:8" ht="26.25" thickBot="1" x14ac:dyDescent="0.35">
      <c r="A763" s="12" t="s">
        <v>136</v>
      </c>
      <c r="B763" s="2">
        <v>183</v>
      </c>
    </row>
    <row r="764" spans="1:8" ht="26.25" thickBot="1" x14ac:dyDescent="0.35">
      <c r="A764" s="12" t="s">
        <v>137</v>
      </c>
      <c r="B764" s="2">
        <v>2982</v>
      </c>
    </row>
    <row r="765" spans="1:8" ht="39" thickBot="1" x14ac:dyDescent="0.35">
      <c r="A765" s="12" t="s">
        <v>138</v>
      </c>
      <c r="B765" s="2">
        <v>68635</v>
      </c>
    </row>
    <row r="766" spans="1:8" ht="25.5" x14ac:dyDescent="0.3">
      <c r="A766" s="13" t="s">
        <v>139</v>
      </c>
      <c r="B766" s="2">
        <v>30251935.699999999</v>
      </c>
    </row>
    <row r="767" spans="1:8" ht="17.25" thickBot="1" x14ac:dyDescent="0.35"/>
    <row r="768" spans="1:8" ht="33" customHeight="1" x14ac:dyDescent="0.3">
      <c r="A768" s="16" t="s">
        <v>140</v>
      </c>
      <c r="B768" s="18"/>
    </row>
    <row r="769" spans="1:8" ht="33.75" thickBot="1" x14ac:dyDescent="0.35">
      <c r="A769" s="12" t="s">
        <v>141</v>
      </c>
      <c r="B769" s="2" t="s">
        <v>142</v>
      </c>
    </row>
    <row r="770" spans="1:8" ht="25.5" x14ac:dyDescent="0.3">
      <c r="A770" s="13" t="s">
        <v>143</v>
      </c>
      <c r="B770" s="2" t="s">
        <v>144</v>
      </c>
    </row>
    <row r="771" spans="1:8" ht="17.25" thickBot="1" x14ac:dyDescent="0.35"/>
    <row r="772" spans="1:8" ht="16.5" customHeight="1" x14ac:dyDescent="0.3">
      <c r="A772" s="16" t="s">
        <v>238</v>
      </c>
      <c r="B772" s="18"/>
      <c r="C772" s="18"/>
      <c r="D772" s="18"/>
      <c r="E772" s="18"/>
      <c r="F772" s="18"/>
    </row>
    <row r="773" spans="1:8" ht="16.5" customHeight="1" x14ac:dyDescent="0.3">
      <c r="A773" s="17" t="s">
        <v>239</v>
      </c>
      <c r="B773" s="19" t="s">
        <v>94</v>
      </c>
      <c r="C773" s="19" t="s">
        <v>240</v>
      </c>
      <c r="D773" s="3" t="s">
        <v>241</v>
      </c>
      <c r="E773" s="19" t="s">
        <v>243</v>
      </c>
      <c r="F773" s="19"/>
    </row>
    <row r="774" spans="1:8" x14ac:dyDescent="0.3">
      <c r="A774" s="17"/>
      <c r="B774" s="19"/>
      <c r="C774" s="19"/>
      <c r="D774" s="3" t="s">
        <v>242</v>
      </c>
      <c r="E774" s="19"/>
      <c r="F774" s="19"/>
    </row>
    <row r="775" spans="1:8" x14ac:dyDescent="0.3">
      <c r="A775" s="13" t="s">
        <v>115</v>
      </c>
      <c r="B775" s="2">
        <v>68635</v>
      </c>
      <c r="C775" s="2">
        <v>0.66370899999999999</v>
      </c>
      <c r="D775" s="2">
        <v>4.4099999999999999E-4</v>
      </c>
      <c r="E775" s="2">
        <v>0.66284405999999996</v>
      </c>
      <c r="F775" s="2">
        <v>0.66457339000000004</v>
      </c>
    </row>
    <row r="779" spans="1:8" x14ac:dyDescent="0.3">
      <c r="A779" s="1" t="s">
        <v>237</v>
      </c>
    </row>
    <row r="781" spans="1:8" x14ac:dyDescent="0.3">
      <c r="A781" s="1" t="s">
        <v>21</v>
      </c>
    </row>
    <row r="782" spans="1:8" ht="17.25" thickBot="1" x14ac:dyDescent="0.35"/>
    <row r="783" spans="1:8" ht="16.5" customHeight="1" x14ac:dyDescent="0.3">
      <c r="A783" s="16" t="s">
        <v>257</v>
      </c>
      <c r="B783" s="18"/>
      <c r="C783" s="18"/>
      <c r="D783" s="18"/>
      <c r="E783" s="18"/>
      <c r="F783" s="18"/>
      <c r="G783" s="18"/>
      <c r="H783" s="18"/>
    </row>
    <row r="784" spans="1:8" ht="16.5" customHeight="1" x14ac:dyDescent="0.3">
      <c r="A784" s="17" t="s">
        <v>249</v>
      </c>
      <c r="B784" s="19" t="s">
        <v>12</v>
      </c>
      <c r="C784" s="19" t="s">
        <v>239</v>
      </c>
      <c r="D784" s="19" t="s">
        <v>94</v>
      </c>
      <c r="E784" s="19" t="s">
        <v>240</v>
      </c>
      <c r="F784" s="3" t="s">
        <v>241</v>
      </c>
      <c r="G784" s="19" t="s">
        <v>243</v>
      </c>
      <c r="H784" s="19"/>
    </row>
    <row r="785" spans="1:15" x14ac:dyDescent="0.3">
      <c r="A785" s="17"/>
      <c r="B785" s="19"/>
      <c r="C785" s="19"/>
      <c r="D785" s="19"/>
      <c r="E785" s="19"/>
      <c r="F785" s="3" t="s">
        <v>242</v>
      </c>
      <c r="G785" s="19"/>
      <c r="H785" s="19"/>
    </row>
    <row r="786" spans="1:15" ht="17.25" thickBot="1" x14ac:dyDescent="0.35">
      <c r="A786" s="6">
        <v>1</v>
      </c>
      <c r="B786" s="3">
        <v>1</v>
      </c>
      <c r="C786" s="11" t="s">
        <v>115</v>
      </c>
      <c r="D786" s="2">
        <v>4828</v>
      </c>
      <c r="E786" s="2">
        <v>0.65064100000000002</v>
      </c>
      <c r="F786" s="2">
        <v>1.555E-3</v>
      </c>
      <c r="G786" s="2">
        <v>0.64759255999999998</v>
      </c>
      <c r="H786" s="2">
        <v>0.65368934000000001</v>
      </c>
      <c r="J786" t="str">
        <f t="shared" ref="J786:J803" si="27">TEXT(E786,"0.00")&amp;" ("&amp;TEXT(G786,"0.00")&amp;" to "&amp;TEXT(H786,"0.00")&amp;")"</f>
        <v>0.65 (0.65 to 0.65)</v>
      </c>
      <c r="K786" t="str">
        <f>J789</f>
        <v>0.64 (0.64 to 0.65)</v>
      </c>
      <c r="L786" t="str">
        <f>J792</f>
        <v>0.64 (0.64 to 0.65)</v>
      </c>
      <c r="M786" t="str">
        <f>J795</f>
        <v>0.65 (0.65 to 0.65)</v>
      </c>
      <c r="N786" t="str">
        <f>J798</f>
        <v>0.66 (0.65 to 0.66)</v>
      </c>
      <c r="O786" t="str">
        <f>J801</f>
        <v>0.65 (0.65 to 0.66)</v>
      </c>
    </row>
    <row r="787" spans="1:15" ht="17.25" thickBot="1" x14ac:dyDescent="0.35">
      <c r="A787" s="6"/>
      <c r="B787" s="3">
        <v>2</v>
      </c>
      <c r="C787" s="11" t="s">
        <v>115</v>
      </c>
      <c r="D787" s="2">
        <v>4408</v>
      </c>
      <c r="E787" s="2">
        <v>0.66083499999999995</v>
      </c>
      <c r="F787" s="2">
        <v>1.4430000000000001E-3</v>
      </c>
      <c r="G787" s="2">
        <v>0.65800588000000004</v>
      </c>
      <c r="H787" s="2">
        <v>0.66366316999999997</v>
      </c>
      <c r="J787" t="str">
        <f t="shared" si="27"/>
        <v>0.66 (0.66 to 0.66)</v>
      </c>
      <c r="K787" t="str">
        <f t="shared" ref="K787:K788" si="28">J790</f>
        <v>0.66 (0.66 to 0.66)</v>
      </c>
      <c r="L787" t="str">
        <f t="shared" ref="L787:L788" si="29">J793</f>
        <v>0.66 (0.66 to 0.67)</v>
      </c>
      <c r="M787" t="str">
        <f t="shared" ref="M787:M788" si="30">J796</f>
        <v>0.67 (0.67 to 0.67)</v>
      </c>
      <c r="N787" t="str">
        <f t="shared" ref="N787:N788" si="31">J799</f>
        <v>0.68 (0.67 to 0.68)</v>
      </c>
      <c r="O787" t="str">
        <f t="shared" ref="O787:O788" si="32">J802</f>
        <v>0.67 (0.67 to 0.68)</v>
      </c>
    </row>
    <row r="788" spans="1:15" ht="17.25" thickBot="1" x14ac:dyDescent="0.35">
      <c r="A788" s="6"/>
      <c r="B788" s="3">
        <v>3</v>
      </c>
      <c r="C788" s="11" t="s">
        <v>115</v>
      </c>
      <c r="D788" s="2">
        <v>2679</v>
      </c>
      <c r="E788" s="2">
        <v>0.68151799999999996</v>
      </c>
      <c r="F788" s="2">
        <v>2.1670000000000001E-3</v>
      </c>
      <c r="G788" s="2">
        <v>0.67726774000000001</v>
      </c>
      <c r="H788" s="2">
        <v>0.68576751000000002</v>
      </c>
      <c r="J788" t="str">
        <f t="shared" si="27"/>
        <v>0.68 (0.68 to 0.69)</v>
      </c>
      <c r="K788" t="str">
        <f t="shared" si="28"/>
        <v>0.68 (0.67 to 0.68)</v>
      </c>
      <c r="L788" t="str">
        <f t="shared" si="29"/>
        <v>0.68 (0.67 to 0.68)</v>
      </c>
      <c r="M788" t="str">
        <f t="shared" si="30"/>
        <v>0.68 (0.68 to 0.69)</v>
      </c>
      <c r="N788" t="str">
        <f t="shared" si="31"/>
        <v>0.69 (0.69 to 0.70)</v>
      </c>
      <c r="O788" t="str">
        <f t="shared" si="32"/>
        <v>0.69 (0.69 to 0.70)</v>
      </c>
    </row>
    <row r="789" spans="1:15" ht="17.25" thickBot="1" x14ac:dyDescent="0.35">
      <c r="A789" s="6">
        <v>2</v>
      </c>
      <c r="B789" s="3">
        <v>1</v>
      </c>
      <c r="C789" s="11" t="s">
        <v>115</v>
      </c>
      <c r="D789" s="2">
        <v>4474</v>
      </c>
      <c r="E789" s="2">
        <v>0.64485700000000001</v>
      </c>
      <c r="F789" s="2">
        <v>1.474E-3</v>
      </c>
      <c r="G789" s="2">
        <v>0.64196717999999997</v>
      </c>
      <c r="H789" s="2">
        <v>0.64774584999999996</v>
      </c>
      <c r="J789" t="str">
        <f t="shared" si="27"/>
        <v>0.64 (0.64 to 0.65)</v>
      </c>
    </row>
    <row r="790" spans="1:15" ht="17.25" thickBot="1" x14ac:dyDescent="0.35">
      <c r="A790" s="6"/>
      <c r="B790" s="3">
        <v>2</v>
      </c>
      <c r="C790" s="11" t="s">
        <v>115</v>
      </c>
      <c r="D790" s="2">
        <v>6326</v>
      </c>
      <c r="E790" s="2">
        <v>0.66066400000000003</v>
      </c>
      <c r="F790" s="2">
        <v>1.281E-3</v>
      </c>
      <c r="G790" s="2">
        <v>0.65815148999999995</v>
      </c>
      <c r="H790" s="2">
        <v>0.66317647999999996</v>
      </c>
      <c r="J790" t="str">
        <f t="shared" si="27"/>
        <v>0.66 (0.66 to 0.66)</v>
      </c>
    </row>
    <row r="791" spans="1:15" ht="17.25" thickBot="1" x14ac:dyDescent="0.35">
      <c r="A791" s="6"/>
      <c r="B791" s="3">
        <v>3</v>
      </c>
      <c r="C791" s="11" t="s">
        <v>115</v>
      </c>
      <c r="D791" s="2">
        <v>2316</v>
      </c>
      <c r="E791" s="2">
        <v>0.67651799999999995</v>
      </c>
      <c r="F791" s="2">
        <v>2.0990000000000002E-3</v>
      </c>
      <c r="G791" s="2">
        <v>0.67240279999999997</v>
      </c>
      <c r="H791" s="2">
        <v>0.68063373999999999</v>
      </c>
      <c r="J791" t="str">
        <f t="shared" si="27"/>
        <v>0.68 (0.67 to 0.68)</v>
      </c>
    </row>
    <row r="792" spans="1:15" ht="17.25" thickBot="1" x14ac:dyDescent="0.35">
      <c r="A792" s="6">
        <v>3</v>
      </c>
      <c r="B792" s="3">
        <v>1</v>
      </c>
      <c r="C792" s="11" t="s">
        <v>115</v>
      </c>
      <c r="D792" s="2">
        <v>3613</v>
      </c>
      <c r="E792" s="2">
        <v>0.64416099999999998</v>
      </c>
      <c r="F792" s="2">
        <v>1.5299999999999999E-3</v>
      </c>
      <c r="G792" s="2">
        <v>0.64116108000000005</v>
      </c>
      <c r="H792" s="2">
        <v>0.64716176999999997</v>
      </c>
      <c r="J792" t="str">
        <f t="shared" si="27"/>
        <v>0.64 (0.64 to 0.65)</v>
      </c>
    </row>
    <row r="793" spans="1:15" ht="17.25" thickBot="1" x14ac:dyDescent="0.35">
      <c r="A793" s="6"/>
      <c r="B793" s="3">
        <v>2</v>
      </c>
      <c r="C793" s="11" t="s">
        <v>115</v>
      </c>
      <c r="D793" s="2">
        <v>5912</v>
      </c>
      <c r="E793" s="2">
        <v>0.66256800000000005</v>
      </c>
      <c r="F793" s="2">
        <v>1.304E-3</v>
      </c>
      <c r="G793" s="2">
        <v>0.66001091000000001</v>
      </c>
      <c r="H793" s="2">
        <v>0.66512420999999999</v>
      </c>
      <c r="J793" t="str">
        <f t="shared" si="27"/>
        <v>0.66 (0.66 to 0.67)</v>
      </c>
    </row>
    <row r="794" spans="1:15" ht="17.25" thickBot="1" x14ac:dyDescent="0.35">
      <c r="A794" s="6"/>
      <c r="B794" s="3">
        <v>3</v>
      </c>
      <c r="C794" s="11" t="s">
        <v>115</v>
      </c>
      <c r="D794" s="2">
        <v>1950</v>
      </c>
      <c r="E794" s="2">
        <v>0.67880499999999999</v>
      </c>
      <c r="F794" s="2">
        <v>2.245E-3</v>
      </c>
      <c r="G794" s="2">
        <v>0.67440193999999998</v>
      </c>
      <c r="H794" s="2">
        <v>0.68320742000000001</v>
      </c>
      <c r="J794" t="str">
        <f t="shared" si="27"/>
        <v>0.68 (0.67 to 0.68)</v>
      </c>
    </row>
    <row r="795" spans="1:15" ht="17.25" thickBot="1" x14ac:dyDescent="0.35">
      <c r="A795" s="6">
        <v>4</v>
      </c>
      <c r="B795" s="3">
        <v>1</v>
      </c>
      <c r="C795" s="11" t="s">
        <v>115</v>
      </c>
      <c r="D795" s="2">
        <v>4138</v>
      </c>
      <c r="E795" s="2">
        <v>0.64867799999999998</v>
      </c>
      <c r="F795" s="2">
        <v>1.3669999999999999E-3</v>
      </c>
      <c r="G795" s="2">
        <v>0.64599644000000001</v>
      </c>
      <c r="H795" s="2">
        <v>0.65135905999999999</v>
      </c>
      <c r="J795" t="str">
        <f t="shared" si="27"/>
        <v>0.65 (0.65 to 0.65)</v>
      </c>
    </row>
    <row r="796" spans="1:15" ht="17.25" thickBot="1" x14ac:dyDescent="0.35">
      <c r="A796" s="6"/>
      <c r="B796" s="3">
        <v>2</v>
      </c>
      <c r="C796" s="11" t="s">
        <v>115</v>
      </c>
      <c r="D796" s="2">
        <v>7449</v>
      </c>
      <c r="E796" s="2">
        <v>0.66795899999999997</v>
      </c>
      <c r="F796" s="2">
        <v>1.139E-3</v>
      </c>
      <c r="G796" s="2">
        <v>0.66572578000000004</v>
      </c>
      <c r="H796" s="2">
        <v>0.67019152000000004</v>
      </c>
      <c r="J796" t="str">
        <f t="shared" si="27"/>
        <v>0.67 (0.67 to 0.67)</v>
      </c>
    </row>
    <row r="797" spans="1:15" ht="17.25" thickBot="1" x14ac:dyDescent="0.35">
      <c r="A797" s="6"/>
      <c r="B797" s="3">
        <v>3</v>
      </c>
      <c r="C797" s="11" t="s">
        <v>115</v>
      </c>
      <c r="D797" s="2">
        <v>2571</v>
      </c>
      <c r="E797" s="2">
        <v>0.68308199999999997</v>
      </c>
      <c r="F797" s="2">
        <v>2.0460000000000001E-3</v>
      </c>
      <c r="G797" s="2">
        <v>0.67907110000000004</v>
      </c>
      <c r="H797" s="2">
        <v>0.68709361000000002</v>
      </c>
      <c r="J797" t="str">
        <f t="shared" si="27"/>
        <v>0.68 (0.68 to 0.69)</v>
      </c>
    </row>
    <row r="798" spans="1:15" ht="17.25" thickBot="1" x14ac:dyDescent="0.35">
      <c r="A798" s="6">
        <v>5</v>
      </c>
      <c r="B798" s="3">
        <v>1</v>
      </c>
      <c r="C798" s="11" t="s">
        <v>115</v>
      </c>
      <c r="D798" s="2">
        <v>4399</v>
      </c>
      <c r="E798" s="2">
        <v>0.65681500000000004</v>
      </c>
      <c r="F798" s="2">
        <v>1.3270000000000001E-3</v>
      </c>
      <c r="G798" s="2">
        <v>0.65421339000000001</v>
      </c>
      <c r="H798" s="2">
        <v>0.65941598000000001</v>
      </c>
      <c r="J798" t="str">
        <f t="shared" si="27"/>
        <v>0.66 (0.65 to 0.66)</v>
      </c>
    </row>
    <row r="799" spans="1:15" ht="17.25" thickBot="1" x14ac:dyDescent="0.35">
      <c r="A799" s="6"/>
      <c r="B799" s="3">
        <v>2</v>
      </c>
      <c r="C799" s="11" t="s">
        <v>115</v>
      </c>
      <c r="D799" s="2">
        <v>6843</v>
      </c>
      <c r="E799" s="2">
        <v>0.67650100000000002</v>
      </c>
      <c r="F799" s="2">
        <v>1.199E-3</v>
      </c>
      <c r="G799" s="2">
        <v>0.67415080000000005</v>
      </c>
      <c r="H799" s="2">
        <v>0.67885216999999998</v>
      </c>
      <c r="J799" t="str">
        <f t="shared" si="27"/>
        <v>0.68 (0.67 to 0.68)</v>
      </c>
    </row>
    <row r="800" spans="1:15" ht="17.25" thickBot="1" x14ac:dyDescent="0.35">
      <c r="A800" s="6"/>
      <c r="B800" s="3">
        <v>3</v>
      </c>
      <c r="C800" s="11" t="s">
        <v>115</v>
      </c>
      <c r="D800" s="2">
        <v>2313</v>
      </c>
      <c r="E800" s="2">
        <v>0.69233800000000001</v>
      </c>
      <c r="F800" s="2">
        <v>2.0500000000000002E-3</v>
      </c>
      <c r="G800" s="2">
        <v>0.68831891000000001</v>
      </c>
      <c r="H800" s="2">
        <v>0.69635807000000005</v>
      </c>
      <c r="J800" t="str">
        <f t="shared" si="27"/>
        <v>0.69 (0.69 to 0.70)</v>
      </c>
    </row>
    <row r="801" spans="1:10" ht="17.25" thickBot="1" x14ac:dyDescent="0.35">
      <c r="A801" s="6">
        <v>6</v>
      </c>
      <c r="B801" s="3">
        <v>1</v>
      </c>
      <c r="C801" s="11" t="s">
        <v>115</v>
      </c>
      <c r="D801" s="2">
        <v>1424</v>
      </c>
      <c r="E801" s="2">
        <v>0.65200400000000003</v>
      </c>
      <c r="F801" s="2">
        <v>2.2309999999999999E-3</v>
      </c>
      <c r="G801" s="2">
        <v>0.64762953999999995</v>
      </c>
      <c r="H801" s="2">
        <v>0.65637785999999998</v>
      </c>
      <c r="J801" t="str">
        <f t="shared" si="27"/>
        <v>0.65 (0.65 to 0.66)</v>
      </c>
    </row>
    <row r="802" spans="1:10" ht="17.25" thickBot="1" x14ac:dyDescent="0.35">
      <c r="A802" s="6"/>
      <c r="B802" s="3">
        <v>2</v>
      </c>
      <c r="C802" s="11" t="s">
        <v>115</v>
      </c>
      <c r="D802" s="2">
        <v>2272</v>
      </c>
      <c r="E802" s="2">
        <v>0.67328200000000005</v>
      </c>
      <c r="F802" s="2">
        <v>2.0379999999999999E-3</v>
      </c>
      <c r="G802" s="2">
        <v>0.66928553000000002</v>
      </c>
      <c r="H802" s="2">
        <v>0.67727773000000002</v>
      </c>
      <c r="J802" t="str">
        <f t="shared" si="27"/>
        <v>0.67 (0.67 to 0.68)</v>
      </c>
    </row>
    <row r="803" spans="1:10" x14ac:dyDescent="0.3">
      <c r="A803" s="6"/>
      <c r="B803" s="3">
        <v>3</v>
      </c>
      <c r="C803" s="14" t="s">
        <v>115</v>
      </c>
      <c r="D803" s="2">
        <v>720</v>
      </c>
      <c r="E803" s="2">
        <v>0.69129300000000005</v>
      </c>
      <c r="F803" s="2">
        <v>2.9420000000000002E-3</v>
      </c>
      <c r="G803" s="2">
        <v>0.68552447000000005</v>
      </c>
      <c r="H803" s="2">
        <v>0.69706175999999997</v>
      </c>
      <c r="J803" t="str">
        <f t="shared" si="27"/>
        <v>0.69 (0.69 to 0.70)</v>
      </c>
    </row>
    <row r="807" spans="1:10" x14ac:dyDescent="0.3">
      <c r="A807" s="1" t="s">
        <v>237</v>
      </c>
    </row>
    <row r="809" spans="1:10" x14ac:dyDescent="0.3">
      <c r="A809" s="1" t="s">
        <v>1</v>
      </c>
    </row>
    <row r="810" spans="1:10" ht="17.25" thickBot="1" x14ac:dyDescent="0.35"/>
    <row r="811" spans="1:10" ht="16.5" customHeight="1" x14ac:dyDescent="0.3">
      <c r="A811" s="16" t="s">
        <v>135</v>
      </c>
      <c r="B811" s="18"/>
    </row>
    <row r="812" spans="1:10" ht="26.25" thickBot="1" x14ac:dyDescent="0.35">
      <c r="A812" s="12" t="s">
        <v>136</v>
      </c>
      <c r="B812" s="2">
        <v>183</v>
      </c>
    </row>
    <row r="813" spans="1:10" ht="26.25" thickBot="1" x14ac:dyDescent="0.35">
      <c r="A813" s="12" t="s">
        <v>137</v>
      </c>
      <c r="B813" s="2">
        <v>2949</v>
      </c>
    </row>
    <row r="814" spans="1:10" ht="39" thickBot="1" x14ac:dyDescent="0.35">
      <c r="A814" s="12" t="s">
        <v>138</v>
      </c>
      <c r="B814" s="2">
        <v>23222</v>
      </c>
    </row>
    <row r="815" spans="1:10" ht="25.5" x14ac:dyDescent="0.3">
      <c r="A815" s="13" t="s">
        <v>139</v>
      </c>
      <c r="B815" s="2">
        <v>9036880.5199999996</v>
      </c>
    </row>
    <row r="816" spans="1:10" ht="17.25" thickBot="1" x14ac:dyDescent="0.35"/>
    <row r="817" spans="1:8" ht="33" customHeight="1" x14ac:dyDescent="0.3">
      <c r="A817" s="16" t="s">
        <v>140</v>
      </c>
      <c r="B817" s="18"/>
    </row>
    <row r="818" spans="1:8" ht="33.75" thickBot="1" x14ac:dyDescent="0.35">
      <c r="A818" s="12" t="s">
        <v>141</v>
      </c>
      <c r="B818" s="2" t="s">
        <v>142</v>
      </c>
    </row>
    <row r="819" spans="1:8" ht="25.5" x14ac:dyDescent="0.3">
      <c r="A819" s="13" t="s">
        <v>143</v>
      </c>
      <c r="B819" s="2" t="s">
        <v>144</v>
      </c>
    </row>
    <row r="820" spans="1:8" ht="17.25" thickBot="1" x14ac:dyDescent="0.35"/>
    <row r="821" spans="1:8" ht="16.5" customHeight="1" x14ac:dyDescent="0.3">
      <c r="A821" s="16" t="s">
        <v>238</v>
      </c>
      <c r="B821" s="18"/>
      <c r="C821" s="18"/>
      <c r="D821" s="18"/>
      <c r="E821" s="18"/>
      <c r="F821" s="18"/>
    </row>
    <row r="822" spans="1:8" ht="16.5" customHeight="1" x14ac:dyDescent="0.3">
      <c r="A822" s="17" t="s">
        <v>239</v>
      </c>
      <c r="B822" s="19" t="s">
        <v>94</v>
      </c>
      <c r="C822" s="19" t="s">
        <v>240</v>
      </c>
      <c r="D822" s="3" t="s">
        <v>241</v>
      </c>
      <c r="E822" s="19" t="s">
        <v>243</v>
      </c>
      <c r="F822" s="19"/>
    </row>
    <row r="823" spans="1:8" x14ac:dyDescent="0.3">
      <c r="A823" s="17"/>
      <c r="B823" s="19"/>
      <c r="C823" s="19"/>
      <c r="D823" s="3" t="s">
        <v>242</v>
      </c>
      <c r="E823" s="19"/>
      <c r="F823" s="19"/>
    </row>
    <row r="824" spans="1:8" x14ac:dyDescent="0.3">
      <c r="A824" s="13" t="s">
        <v>115</v>
      </c>
      <c r="B824" s="2">
        <v>23222</v>
      </c>
      <c r="C824" s="2">
        <v>0.64841899999999997</v>
      </c>
      <c r="D824" s="2">
        <v>7.7200000000000001E-4</v>
      </c>
      <c r="E824" s="2">
        <v>0.64690462000000004</v>
      </c>
      <c r="F824" s="2">
        <v>0.64993400999999995</v>
      </c>
    </row>
    <row r="828" spans="1:8" x14ac:dyDescent="0.3">
      <c r="A828" s="1" t="s">
        <v>237</v>
      </c>
    </row>
    <row r="830" spans="1:8" x14ac:dyDescent="0.3">
      <c r="A830" s="1" t="s">
        <v>1</v>
      </c>
    </row>
    <row r="831" spans="1:8" ht="17.25" thickBot="1" x14ac:dyDescent="0.35"/>
    <row r="832" spans="1:8" ht="16.5" customHeight="1" x14ac:dyDescent="0.3">
      <c r="A832" s="16" t="s">
        <v>258</v>
      </c>
      <c r="B832" s="18"/>
      <c r="C832" s="18"/>
      <c r="D832" s="18"/>
      <c r="E832" s="18"/>
      <c r="F832" s="18"/>
      <c r="G832" s="18"/>
      <c r="H832" s="18"/>
    </row>
    <row r="833" spans="1:8" ht="16.5" customHeight="1" x14ac:dyDescent="0.3">
      <c r="A833" s="17" t="s">
        <v>249</v>
      </c>
      <c r="B833" s="19" t="s">
        <v>13</v>
      </c>
      <c r="C833" s="19" t="s">
        <v>239</v>
      </c>
      <c r="D833" s="19" t="s">
        <v>94</v>
      </c>
      <c r="E833" s="19" t="s">
        <v>240</v>
      </c>
      <c r="F833" s="3" t="s">
        <v>241</v>
      </c>
      <c r="G833" s="19" t="s">
        <v>243</v>
      </c>
      <c r="H833" s="19"/>
    </row>
    <row r="834" spans="1:8" x14ac:dyDescent="0.3">
      <c r="A834" s="17"/>
      <c r="B834" s="19"/>
      <c r="C834" s="19"/>
      <c r="D834" s="19"/>
      <c r="E834" s="19"/>
      <c r="F834" s="3" t="s">
        <v>242</v>
      </c>
      <c r="G834" s="19"/>
      <c r="H834" s="19"/>
    </row>
    <row r="835" spans="1:8" ht="17.25" thickBot="1" x14ac:dyDescent="0.35">
      <c r="A835" s="6">
        <v>1</v>
      </c>
      <c r="B835" s="3">
        <v>1</v>
      </c>
      <c r="C835" s="11" t="s">
        <v>115</v>
      </c>
      <c r="D835" s="2">
        <v>949</v>
      </c>
      <c r="E835" s="2">
        <v>0.655752</v>
      </c>
      <c r="F835" s="2">
        <v>4.0159999999999996E-3</v>
      </c>
      <c r="G835" s="2">
        <v>0.64787830000000002</v>
      </c>
      <c r="H835" s="2">
        <v>0.66362600999999999</v>
      </c>
    </row>
    <row r="836" spans="1:8" ht="17.25" thickBot="1" x14ac:dyDescent="0.35">
      <c r="A836" s="6"/>
      <c r="B836" s="3">
        <v>2</v>
      </c>
      <c r="C836" s="11" t="s">
        <v>115</v>
      </c>
      <c r="D836" s="2">
        <v>1781</v>
      </c>
      <c r="E836" s="2">
        <v>0.65216700000000005</v>
      </c>
      <c r="F836" s="2">
        <v>2.5249999999999999E-3</v>
      </c>
      <c r="G836" s="2">
        <v>0.64721653999999995</v>
      </c>
      <c r="H836" s="2">
        <v>0.65711761000000002</v>
      </c>
    </row>
    <row r="837" spans="1:8" ht="17.25" thickBot="1" x14ac:dyDescent="0.35">
      <c r="A837" s="6"/>
      <c r="B837" s="3">
        <v>3</v>
      </c>
      <c r="C837" s="11" t="s">
        <v>115</v>
      </c>
      <c r="D837" s="2">
        <v>776</v>
      </c>
      <c r="E837" s="2">
        <v>0.67601500000000003</v>
      </c>
      <c r="F837" s="2">
        <v>4.1149999999999997E-3</v>
      </c>
      <c r="G837" s="2">
        <v>0.66794697999999997</v>
      </c>
      <c r="H837" s="2">
        <v>0.68408331</v>
      </c>
    </row>
    <row r="838" spans="1:8" ht="17.25" thickBot="1" x14ac:dyDescent="0.35">
      <c r="A838" s="6"/>
      <c r="B838" s="3">
        <v>8</v>
      </c>
      <c r="C838" s="11" t="s">
        <v>115</v>
      </c>
      <c r="D838" s="2">
        <v>234</v>
      </c>
      <c r="E838" s="2">
        <v>0.61650300000000002</v>
      </c>
      <c r="F838" s="2">
        <v>4.9769999999999997E-3</v>
      </c>
      <c r="G838" s="2">
        <v>0.60674528999999999</v>
      </c>
      <c r="H838" s="2">
        <v>0.62626139999999997</v>
      </c>
    </row>
    <row r="839" spans="1:8" ht="17.25" thickBot="1" x14ac:dyDescent="0.35">
      <c r="A839" s="6">
        <v>2</v>
      </c>
      <c r="B839" s="3">
        <v>1</v>
      </c>
      <c r="C839" s="11" t="s">
        <v>115</v>
      </c>
      <c r="D839" s="2">
        <v>950</v>
      </c>
      <c r="E839" s="2">
        <v>0.63487499999999997</v>
      </c>
      <c r="F839" s="2">
        <v>3.094E-3</v>
      </c>
      <c r="G839" s="2">
        <v>0.62880882000000005</v>
      </c>
      <c r="H839" s="2">
        <v>0.64094055999999999</v>
      </c>
    </row>
    <row r="840" spans="1:8" ht="17.25" thickBot="1" x14ac:dyDescent="0.35">
      <c r="A840" s="6"/>
      <c r="B840" s="3">
        <v>2</v>
      </c>
      <c r="C840" s="11" t="s">
        <v>115</v>
      </c>
      <c r="D840" s="2">
        <v>2378</v>
      </c>
      <c r="E840" s="2">
        <v>0.63016099999999997</v>
      </c>
      <c r="F840" s="2">
        <v>2.0400000000000001E-3</v>
      </c>
      <c r="G840" s="2">
        <v>0.62616112000000002</v>
      </c>
      <c r="H840" s="2">
        <v>0.63416181999999999</v>
      </c>
    </row>
    <row r="841" spans="1:8" ht="17.25" thickBot="1" x14ac:dyDescent="0.35">
      <c r="A841" s="6"/>
      <c r="B841" s="3">
        <v>3</v>
      </c>
      <c r="C841" s="11" t="s">
        <v>115</v>
      </c>
      <c r="D841" s="2">
        <v>775</v>
      </c>
      <c r="E841" s="2">
        <v>0.64753799999999995</v>
      </c>
      <c r="F841" s="2">
        <v>3.9630000000000004E-3</v>
      </c>
      <c r="G841" s="2">
        <v>0.63976739000000005</v>
      </c>
      <c r="H841" s="2">
        <v>0.65530948</v>
      </c>
    </row>
    <row r="842" spans="1:8" ht="17.25" thickBot="1" x14ac:dyDescent="0.35">
      <c r="A842" s="6"/>
      <c r="B842" s="3">
        <v>8</v>
      </c>
      <c r="C842" s="11" t="s">
        <v>115</v>
      </c>
      <c r="D842" s="2">
        <v>629</v>
      </c>
      <c r="E842" s="2">
        <v>0.61525200000000002</v>
      </c>
      <c r="F842" s="2">
        <v>2.686E-3</v>
      </c>
      <c r="G842" s="2">
        <v>0.60998414000000001</v>
      </c>
      <c r="H842" s="2">
        <v>0.62051937000000001</v>
      </c>
    </row>
    <row r="843" spans="1:8" ht="17.25" thickBot="1" x14ac:dyDescent="0.35">
      <c r="A843" s="6">
        <v>3</v>
      </c>
      <c r="B843" s="3">
        <v>1</v>
      </c>
      <c r="C843" s="11" t="s">
        <v>115</v>
      </c>
      <c r="D843" s="2">
        <v>849</v>
      </c>
      <c r="E843" s="2">
        <v>0.64388699999999999</v>
      </c>
      <c r="F843" s="2">
        <v>3.3219999999999999E-3</v>
      </c>
      <c r="G843" s="2">
        <v>0.63737350999999998</v>
      </c>
      <c r="H843" s="2">
        <v>0.65040067000000001</v>
      </c>
    </row>
    <row r="844" spans="1:8" ht="17.25" thickBot="1" x14ac:dyDescent="0.35">
      <c r="A844" s="6"/>
      <c r="B844" s="3">
        <v>2</v>
      </c>
      <c r="C844" s="11" t="s">
        <v>115</v>
      </c>
      <c r="D844" s="2">
        <v>2043</v>
      </c>
      <c r="E844" s="2">
        <v>0.64230299999999996</v>
      </c>
      <c r="F844" s="2">
        <v>2.2209999999999999E-3</v>
      </c>
      <c r="G844" s="2">
        <v>0.63794766999999997</v>
      </c>
      <c r="H844" s="2">
        <v>0.64665757000000001</v>
      </c>
    </row>
    <row r="845" spans="1:8" ht="17.25" thickBot="1" x14ac:dyDescent="0.35">
      <c r="A845" s="6"/>
      <c r="B845" s="3">
        <v>3</v>
      </c>
      <c r="C845" s="11" t="s">
        <v>115</v>
      </c>
      <c r="D845" s="2">
        <v>698</v>
      </c>
      <c r="E845" s="2">
        <v>0.65445600000000004</v>
      </c>
      <c r="F845" s="2">
        <v>3.8930000000000002E-3</v>
      </c>
      <c r="G845" s="2">
        <v>0.64682203000000005</v>
      </c>
      <c r="H845" s="2">
        <v>0.66208981</v>
      </c>
    </row>
    <row r="846" spans="1:8" ht="17.25" thickBot="1" x14ac:dyDescent="0.35">
      <c r="A846" s="6"/>
      <c r="B846" s="3">
        <v>8</v>
      </c>
      <c r="C846" s="11" t="s">
        <v>115</v>
      </c>
      <c r="D846" s="2">
        <v>667</v>
      </c>
      <c r="E846" s="2">
        <v>0.64870499999999998</v>
      </c>
      <c r="F846" s="2">
        <v>3.483E-3</v>
      </c>
      <c r="G846" s="2">
        <v>0.64187567999999995</v>
      </c>
      <c r="H846" s="2">
        <v>0.65553444999999999</v>
      </c>
    </row>
    <row r="847" spans="1:8" ht="17.25" thickBot="1" x14ac:dyDescent="0.35">
      <c r="A847" s="6">
        <v>4</v>
      </c>
      <c r="B847" s="3">
        <v>1</v>
      </c>
      <c r="C847" s="11" t="s">
        <v>115</v>
      </c>
      <c r="D847" s="2">
        <v>1040</v>
      </c>
      <c r="E847" s="2">
        <v>0.64536700000000002</v>
      </c>
      <c r="F847" s="2">
        <v>3.2699999999999999E-3</v>
      </c>
      <c r="G847" s="2">
        <v>0.63895590000000002</v>
      </c>
      <c r="H847" s="2">
        <v>0.65177896000000002</v>
      </c>
    </row>
    <row r="848" spans="1:8" ht="17.25" thickBot="1" x14ac:dyDescent="0.35">
      <c r="A848" s="6"/>
      <c r="B848" s="3">
        <v>2</v>
      </c>
      <c r="C848" s="11" t="s">
        <v>115</v>
      </c>
      <c r="D848" s="2">
        <v>2189</v>
      </c>
      <c r="E848" s="2">
        <v>0.64443300000000003</v>
      </c>
      <c r="F848" s="2">
        <v>2.1350000000000002E-3</v>
      </c>
      <c r="G848" s="2">
        <v>0.64024603000000002</v>
      </c>
      <c r="H848" s="2">
        <v>0.64861966000000004</v>
      </c>
    </row>
    <row r="849" spans="1:8" ht="17.25" thickBot="1" x14ac:dyDescent="0.35">
      <c r="A849" s="6"/>
      <c r="B849" s="3">
        <v>3</v>
      </c>
      <c r="C849" s="11" t="s">
        <v>115</v>
      </c>
      <c r="D849" s="2">
        <v>811</v>
      </c>
      <c r="E849" s="2">
        <v>0.66456300000000001</v>
      </c>
      <c r="F849" s="2">
        <v>3.7169999999999998E-3</v>
      </c>
      <c r="G849" s="2">
        <v>0.65727446</v>
      </c>
      <c r="H849" s="2">
        <v>0.67185081000000002</v>
      </c>
    </row>
    <row r="850" spans="1:8" ht="17.25" thickBot="1" x14ac:dyDescent="0.35">
      <c r="A850" s="6"/>
      <c r="B850" s="3">
        <v>8</v>
      </c>
      <c r="C850" s="11" t="s">
        <v>115</v>
      </c>
      <c r="D850" s="2">
        <v>516</v>
      </c>
      <c r="E850" s="2">
        <v>0.63683800000000002</v>
      </c>
      <c r="F850" s="2">
        <v>3.7550000000000001E-3</v>
      </c>
      <c r="G850" s="2">
        <v>0.62947432000000003</v>
      </c>
      <c r="H850" s="2">
        <v>0.64420094999999999</v>
      </c>
    </row>
    <row r="851" spans="1:8" ht="17.25" thickBot="1" x14ac:dyDescent="0.35">
      <c r="A851" s="6">
        <v>5</v>
      </c>
      <c r="B851" s="3">
        <v>1</v>
      </c>
      <c r="C851" s="11" t="s">
        <v>115</v>
      </c>
      <c r="D851" s="2">
        <v>951</v>
      </c>
      <c r="E851" s="2">
        <v>0.65761199999999997</v>
      </c>
      <c r="F851" s="2">
        <v>3.1410000000000001E-3</v>
      </c>
      <c r="G851" s="2">
        <v>0.65145297000000002</v>
      </c>
      <c r="H851" s="2">
        <v>0.66377129999999995</v>
      </c>
    </row>
    <row r="852" spans="1:8" ht="17.25" thickBot="1" x14ac:dyDescent="0.35">
      <c r="A852" s="6"/>
      <c r="B852" s="3">
        <v>2</v>
      </c>
      <c r="C852" s="11" t="s">
        <v>115</v>
      </c>
      <c r="D852" s="2">
        <v>2215</v>
      </c>
      <c r="E852" s="2">
        <v>0.66089399999999998</v>
      </c>
      <c r="F852" s="2">
        <v>2.2279999999999999E-3</v>
      </c>
      <c r="G852" s="2">
        <v>0.65652434999999998</v>
      </c>
      <c r="H852" s="2">
        <v>0.66526300000000005</v>
      </c>
    </row>
    <row r="853" spans="1:8" ht="17.25" thickBot="1" x14ac:dyDescent="0.35">
      <c r="A853" s="6"/>
      <c r="B853" s="3">
        <v>3</v>
      </c>
      <c r="C853" s="11" t="s">
        <v>115</v>
      </c>
      <c r="D853" s="2">
        <v>861</v>
      </c>
      <c r="E853" s="2">
        <v>0.68027899999999997</v>
      </c>
      <c r="F853" s="2">
        <v>3.9880000000000002E-3</v>
      </c>
      <c r="G853" s="2">
        <v>0.67245975999999996</v>
      </c>
      <c r="H853" s="2">
        <v>0.68809902999999994</v>
      </c>
    </row>
    <row r="854" spans="1:8" ht="17.25" thickBot="1" x14ac:dyDescent="0.35">
      <c r="A854" s="6"/>
      <c r="B854" s="3">
        <v>8</v>
      </c>
      <c r="C854" s="11" t="s">
        <v>115</v>
      </c>
      <c r="D854" s="2">
        <v>474</v>
      </c>
      <c r="E854" s="2">
        <v>0.63853499999999996</v>
      </c>
      <c r="F854" s="2">
        <v>3.7810000000000001E-3</v>
      </c>
      <c r="G854" s="2">
        <v>0.63112056999999999</v>
      </c>
      <c r="H854" s="2">
        <v>0.64594962</v>
      </c>
    </row>
    <row r="855" spans="1:8" ht="17.25" thickBot="1" x14ac:dyDescent="0.35">
      <c r="A855" s="6">
        <v>6</v>
      </c>
      <c r="B855" s="3">
        <v>1</v>
      </c>
      <c r="C855" s="11" t="s">
        <v>115</v>
      </c>
      <c r="D855" s="2">
        <v>261</v>
      </c>
      <c r="E855" s="2">
        <v>0.64713699999999996</v>
      </c>
      <c r="F855" s="2">
        <v>5.522E-3</v>
      </c>
      <c r="G855" s="2">
        <v>0.63630991000000003</v>
      </c>
      <c r="H855" s="2">
        <v>0.65796429000000001</v>
      </c>
    </row>
    <row r="856" spans="1:8" ht="17.25" thickBot="1" x14ac:dyDescent="0.35">
      <c r="A856" s="6"/>
      <c r="B856" s="3">
        <v>2</v>
      </c>
      <c r="C856" s="11" t="s">
        <v>115</v>
      </c>
      <c r="D856" s="2">
        <v>676</v>
      </c>
      <c r="E856" s="2">
        <v>0.65269999999999995</v>
      </c>
      <c r="F856" s="2">
        <v>3.5599999999999998E-3</v>
      </c>
      <c r="G856" s="2">
        <v>0.64571860999999997</v>
      </c>
      <c r="H856" s="2">
        <v>0.65968159000000004</v>
      </c>
    </row>
    <row r="857" spans="1:8" ht="17.25" thickBot="1" x14ac:dyDescent="0.35">
      <c r="A857" s="6"/>
      <c r="B857" s="3">
        <v>3</v>
      </c>
      <c r="C857" s="11" t="s">
        <v>115</v>
      </c>
      <c r="D857" s="2">
        <v>295</v>
      </c>
      <c r="E857" s="2">
        <v>0.66786800000000002</v>
      </c>
      <c r="F857" s="2">
        <v>5.1149999999999998E-3</v>
      </c>
      <c r="G857" s="2">
        <v>0.65783906000000003</v>
      </c>
      <c r="H857" s="2">
        <v>0.67789772000000004</v>
      </c>
    </row>
    <row r="858" spans="1:8" x14ac:dyDescent="0.3">
      <c r="A858" s="6"/>
      <c r="B858" s="3">
        <v>8</v>
      </c>
      <c r="C858" s="14" t="s">
        <v>115</v>
      </c>
      <c r="D858" s="2">
        <v>204</v>
      </c>
      <c r="E858" s="2">
        <v>0.65725599999999995</v>
      </c>
      <c r="F858" s="2">
        <v>5.2170000000000003E-3</v>
      </c>
      <c r="G858" s="2">
        <v>0.64702583999999996</v>
      </c>
      <c r="H858" s="2">
        <v>0.66748664999999996</v>
      </c>
    </row>
    <row r="862" spans="1:8" x14ac:dyDescent="0.3">
      <c r="A862" s="1" t="s">
        <v>237</v>
      </c>
    </row>
    <row r="864" spans="1:8" x14ac:dyDescent="0.3">
      <c r="A864" s="1" t="s">
        <v>21</v>
      </c>
    </row>
    <row r="865" spans="1:6" ht="17.25" thickBot="1" x14ac:dyDescent="0.35"/>
    <row r="866" spans="1:6" ht="16.5" customHeight="1" x14ac:dyDescent="0.3">
      <c r="A866" s="16" t="s">
        <v>135</v>
      </c>
      <c r="B866" s="18"/>
    </row>
    <row r="867" spans="1:6" ht="26.25" thickBot="1" x14ac:dyDescent="0.35">
      <c r="A867" s="12" t="s">
        <v>136</v>
      </c>
      <c r="B867" s="2">
        <v>183</v>
      </c>
    </row>
    <row r="868" spans="1:6" ht="26.25" thickBot="1" x14ac:dyDescent="0.35">
      <c r="A868" s="12" t="s">
        <v>137</v>
      </c>
      <c r="B868" s="2">
        <v>2982</v>
      </c>
    </row>
    <row r="869" spans="1:6" ht="39" thickBot="1" x14ac:dyDescent="0.35">
      <c r="A869" s="12" t="s">
        <v>138</v>
      </c>
      <c r="B869" s="2">
        <v>68635</v>
      </c>
    </row>
    <row r="870" spans="1:6" ht="25.5" x14ac:dyDescent="0.3">
      <c r="A870" s="13" t="s">
        <v>139</v>
      </c>
      <c r="B870" s="2">
        <v>30251935.699999999</v>
      </c>
    </row>
    <row r="871" spans="1:6" ht="17.25" thickBot="1" x14ac:dyDescent="0.35"/>
    <row r="872" spans="1:6" ht="33" customHeight="1" x14ac:dyDescent="0.3">
      <c r="A872" s="16" t="s">
        <v>140</v>
      </c>
      <c r="B872" s="18"/>
    </row>
    <row r="873" spans="1:6" ht="33.75" thickBot="1" x14ac:dyDescent="0.35">
      <c r="A873" s="12" t="s">
        <v>141</v>
      </c>
      <c r="B873" s="2" t="s">
        <v>142</v>
      </c>
    </row>
    <row r="874" spans="1:6" ht="25.5" x14ac:dyDescent="0.3">
      <c r="A874" s="13" t="s">
        <v>143</v>
      </c>
      <c r="B874" s="2" t="s">
        <v>144</v>
      </c>
    </row>
    <row r="875" spans="1:6" ht="17.25" thickBot="1" x14ac:dyDescent="0.35"/>
    <row r="876" spans="1:6" ht="16.5" customHeight="1" x14ac:dyDescent="0.3">
      <c r="A876" s="16" t="s">
        <v>238</v>
      </c>
      <c r="B876" s="18"/>
      <c r="C876" s="18"/>
      <c r="D876" s="18"/>
      <c r="E876" s="18"/>
      <c r="F876" s="18"/>
    </row>
    <row r="877" spans="1:6" ht="16.5" customHeight="1" x14ac:dyDescent="0.3">
      <c r="A877" s="17" t="s">
        <v>239</v>
      </c>
      <c r="B877" s="19" t="s">
        <v>94</v>
      </c>
      <c r="C877" s="19" t="s">
        <v>240</v>
      </c>
      <c r="D877" s="3" t="s">
        <v>241</v>
      </c>
      <c r="E877" s="19" t="s">
        <v>243</v>
      </c>
      <c r="F877" s="19"/>
    </row>
    <row r="878" spans="1:6" x14ac:dyDescent="0.3">
      <c r="A878" s="17"/>
      <c r="B878" s="19"/>
      <c r="C878" s="19"/>
      <c r="D878" s="3" t="s">
        <v>242</v>
      </c>
      <c r="E878" s="19"/>
      <c r="F878" s="19"/>
    </row>
    <row r="879" spans="1:6" x14ac:dyDescent="0.3">
      <c r="A879" s="13" t="s">
        <v>115</v>
      </c>
      <c r="B879" s="2">
        <v>68635</v>
      </c>
      <c r="C879" s="2">
        <v>0.66370899999999999</v>
      </c>
      <c r="D879" s="2">
        <v>4.4099999999999999E-4</v>
      </c>
      <c r="E879" s="2">
        <v>0.66284405999999996</v>
      </c>
      <c r="F879" s="2">
        <v>0.66457339000000004</v>
      </c>
    </row>
    <row r="883" spans="1:15" x14ac:dyDescent="0.3">
      <c r="A883" s="1" t="s">
        <v>237</v>
      </c>
    </row>
    <row r="885" spans="1:15" x14ac:dyDescent="0.3">
      <c r="A885" s="1" t="s">
        <v>21</v>
      </c>
    </row>
    <row r="886" spans="1:15" ht="17.25" thickBot="1" x14ac:dyDescent="0.35"/>
    <row r="887" spans="1:15" ht="16.5" customHeight="1" x14ac:dyDescent="0.3">
      <c r="A887" s="16" t="s">
        <v>258</v>
      </c>
      <c r="B887" s="18"/>
      <c r="C887" s="18"/>
      <c r="D887" s="18"/>
      <c r="E887" s="18"/>
      <c r="F887" s="18"/>
      <c r="G887" s="18"/>
      <c r="H887" s="18"/>
    </row>
    <row r="888" spans="1:15" ht="16.5" customHeight="1" x14ac:dyDescent="0.3">
      <c r="A888" s="17" t="s">
        <v>249</v>
      </c>
      <c r="B888" s="19" t="s">
        <v>13</v>
      </c>
      <c r="C888" s="19" t="s">
        <v>239</v>
      </c>
      <c r="D888" s="19" t="s">
        <v>94</v>
      </c>
      <c r="E888" s="19" t="s">
        <v>240</v>
      </c>
      <c r="F888" s="3" t="s">
        <v>241</v>
      </c>
      <c r="G888" s="19" t="s">
        <v>243</v>
      </c>
      <c r="H888" s="19"/>
    </row>
    <row r="889" spans="1:15" x14ac:dyDescent="0.3">
      <c r="A889" s="17"/>
      <c r="B889" s="19"/>
      <c r="C889" s="19"/>
      <c r="D889" s="19"/>
      <c r="E889" s="19"/>
      <c r="F889" s="3" t="s">
        <v>242</v>
      </c>
      <c r="G889" s="19"/>
      <c r="H889" s="19"/>
    </row>
    <row r="890" spans="1:15" ht="17.25" thickBot="1" x14ac:dyDescent="0.35">
      <c r="A890" s="6">
        <v>1</v>
      </c>
      <c r="B890" s="3">
        <v>1</v>
      </c>
      <c r="C890" s="11" t="s">
        <v>115</v>
      </c>
      <c r="D890" s="2">
        <v>3399</v>
      </c>
      <c r="E890" s="2">
        <v>0.658439</v>
      </c>
      <c r="F890" s="2">
        <v>1.73E-3</v>
      </c>
      <c r="G890" s="2">
        <v>0.65504751000000006</v>
      </c>
      <c r="H890" s="2">
        <v>0.66183033999999996</v>
      </c>
      <c r="J890" t="str">
        <f t="shared" ref="J890:J907" si="33">TEXT(E890,"0.00")&amp;" ("&amp;TEXT(G890,"0.00")&amp;" to "&amp;TEXT(H890,"0.00")&amp;")"</f>
        <v>0.66 (0.66 to 0.66)</v>
      </c>
      <c r="K890" t="str">
        <f>J893</f>
        <v>0.65 (0.65 to 0.66)</v>
      </c>
      <c r="L890" t="str">
        <f>J896</f>
        <v>0.66 (0.66 to 0.66)</v>
      </c>
      <c r="M890" t="str">
        <f>J899</f>
        <v>0.66 (0.66 to 0.66)</v>
      </c>
      <c r="N890" t="str">
        <f>J902</f>
        <v>0.67 (0.67 to 0.67)</v>
      </c>
      <c r="O890" t="str">
        <f>J905</f>
        <v>0.67 (0.66 to 0.67)</v>
      </c>
    </row>
    <row r="891" spans="1:15" ht="17.25" thickBot="1" x14ac:dyDescent="0.35">
      <c r="A891" s="6"/>
      <c r="B891" s="3">
        <v>2</v>
      </c>
      <c r="C891" s="11" t="s">
        <v>115</v>
      </c>
      <c r="D891" s="2">
        <v>6638</v>
      </c>
      <c r="E891" s="2">
        <v>0.65631600000000001</v>
      </c>
      <c r="F891" s="2">
        <v>1.328E-3</v>
      </c>
      <c r="G891" s="2">
        <v>0.65371221999999996</v>
      </c>
      <c r="H891" s="2">
        <v>0.65891999000000001</v>
      </c>
      <c r="J891" t="str">
        <f t="shared" si="33"/>
        <v>0.66 (0.65 to 0.66)</v>
      </c>
      <c r="K891" t="str">
        <f t="shared" ref="K891:K892" si="34">J894</f>
        <v>0.66 (0.65 to 0.66)</v>
      </c>
      <c r="L891" t="str">
        <f t="shared" ref="L891:L892" si="35">J897</f>
        <v>0.66 (0.65 to 0.66)</v>
      </c>
      <c r="M891" t="str">
        <f t="shared" ref="M891:M892" si="36">J900</f>
        <v>0.66 (0.66 to 0.67)</v>
      </c>
      <c r="N891" t="str">
        <f t="shared" ref="N891:N892" si="37">J903</f>
        <v>0.67 (0.67 to 0.67)</v>
      </c>
      <c r="O891" t="str">
        <f t="shared" ref="O891:O892" si="38">J906</f>
        <v>0.67 (0.66 to 0.67)</v>
      </c>
    </row>
    <row r="892" spans="1:15" ht="17.25" thickBot="1" x14ac:dyDescent="0.35">
      <c r="A892" s="6"/>
      <c r="B892" s="3">
        <v>3</v>
      </c>
      <c r="C892" s="11" t="s">
        <v>115</v>
      </c>
      <c r="D892" s="2">
        <v>1878</v>
      </c>
      <c r="E892" s="2">
        <v>0.68240900000000004</v>
      </c>
      <c r="F892" s="2">
        <v>2.395E-3</v>
      </c>
      <c r="G892" s="2">
        <v>0.67771263000000004</v>
      </c>
      <c r="H892" s="2">
        <v>0.68710603999999997</v>
      </c>
      <c r="J892" t="str">
        <f t="shared" si="33"/>
        <v>0.68 (0.68 to 0.69)</v>
      </c>
      <c r="K892" t="str">
        <f t="shared" si="34"/>
        <v>0.67 (0.67 to 0.68)</v>
      </c>
      <c r="L892" t="str">
        <f t="shared" si="35"/>
        <v>0.67 (0.67 to 0.67)</v>
      </c>
      <c r="M892" t="str">
        <f t="shared" si="36"/>
        <v>0.68 (0.67 to 0.68)</v>
      </c>
      <c r="N892" t="str">
        <f t="shared" si="37"/>
        <v>0.68 (0.68 to 0.68)</v>
      </c>
      <c r="O892" t="str">
        <f t="shared" si="38"/>
        <v>0.68 (0.67 to 0.68)</v>
      </c>
    </row>
    <row r="893" spans="1:15" ht="17.25" thickBot="1" x14ac:dyDescent="0.35">
      <c r="A893" s="6">
        <v>2</v>
      </c>
      <c r="B893" s="3">
        <v>1</v>
      </c>
      <c r="C893" s="11" t="s">
        <v>115</v>
      </c>
      <c r="D893" s="2">
        <v>3498</v>
      </c>
      <c r="E893" s="2">
        <v>0.65426499999999999</v>
      </c>
      <c r="F893" s="2">
        <v>1.701E-3</v>
      </c>
      <c r="G893" s="2">
        <v>0.65093027999999997</v>
      </c>
      <c r="H893" s="2">
        <v>0.65759970999999995</v>
      </c>
      <c r="J893" t="str">
        <f t="shared" si="33"/>
        <v>0.65 (0.65 to 0.66)</v>
      </c>
    </row>
    <row r="894" spans="1:15" ht="17.25" thickBot="1" x14ac:dyDescent="0.35">
      <c r="A894" s="6"/>
      <c r="B894" s="3">
        <v>2</v>
      </c>
      <c r="C894" s="11" t="s">
        <v>115</v>
      </c>
      <c r="D894" s="2">
        <v>7682</v>
      </c>
      <c r="E894" s="2">
        <v>0.65608699999999998</v>
      </c>
      <c r="F894" s="2">
        <v>1.155E-3</v>
      </c>
      <c r="G894" s="2">
        <v>0.65382322999999998</v>
      </c>
      <c r="H894" s="2">
        <v>0.65835160000000004</v>
      </c>
      <c r="J894" t="str">
        <f t="shared" si="33"/>
        <v>0.66 (0.65 to 0.66)</v>
      </c>
    </row>
    <row r="895" spans="1:15" ht="17.25" thickBot="1" x14ac:dyDescent="0.35">
      <c r="A895" s="6"/>
      <c r="B895" s="3">
        <v>3</v>
      </c>
      <c r="C895" s="11" t="s">
        <v>115</v>
      </c>
      <c r="D895" s="2">
        <v>1936</v>
      </c>
      <c r="E895" s="2">
        <v>0.67259800000000003</v>
      </c>
      <c r="F895" s="2">
        <v>2.372E-3</v>
      </c>
      <c r="G895" s="2">
        <v>0.66794578999999998</v>
      </c>
      <c r="H895" s="2">
        <v>0.67724983999999999</v>
      </c>
      <c r="J895" t="str">
        <f t="shared" si="33"/>
        <v>0.67 (0.67 to 0.68)</v>
      </c>
    </row>
    <row r="896" spans="1:15" ht="17.25" thickBot="1" x14ac:dyDescent="0.35">
      <c r="A896" s="6">
        <v>3</v>
      </c>
      <c r="B896" s="3">
        <v>1</v>
      </c>
      <c r="C896" s="11" t="s">
        <v>115</v>
      </c>
      <c r="D896" s="2">
        <v>2810</v>
      </c>
      <c r="E896" s="2">
        <v>0.65860799999999997</v>
      </c>
      <c r="F896" s="2">
        <v>1.7539999999999999E-3</v>
      </c>
      <c r="G896" s="2">
        <v>0.65516768999999997</v>
      </c>
      <c r="H896" s="2">
        <v>0.66204742999999999</v>
      </c>
      <c r="J896" t="str">
        <f t="shared" si="33"/>
        <v>0.66 (0.66 to 0.66)</v>
      </c>
    </row>
    <row r="897" spans="1:10" ht="17.25" thickBot="1" x14ac:dyDescent="0.35">
      <c r="A897" s="6"/>
      <c r="B897" s="3">
        <v>2</v>
      </c>
      <c r="C897" s="11" t="s">
        <v>115</v>
      </c>
      <c r="D897" s="2">
        <v>6806</v>
      </c>
      <c r="E897" s="2">
        <v>0.65649400000000002</v>
      </c>
      <c r="F897" s="2">
        <v>1.2279999999999999E-3</v>
      </c>
      <c r="G897" s="2">
        <v>0.65408588999999995</v>
      </c>
      <c r="H897" s="2">
        <v>0.65890245999999997</v>
      </c>
      <c r="J897" t="str">
        <f t="shared" si="33"/>
        <v>0.66 (0.65 to 0.66)</v>
      </c>
    </row>
    <row r="898" spans="1:10" ht="17.25" thickBot="1" x14ac:dyDescent="0.35">
      <c r="A898" s="6"/>
      <c r="B898" s="3">
        <v>3</v>
      </c>
      <c r="C898" s="11" t="s">
        <v>115</v>
      </c>
      <c r="D898" s="2">
        <v>1859</v>
      </c>
      <c r="E898" s="2">
        <v>0.66958200000000001</v>
      </c>
      <c r="F898" s="2">
        <v>2.1670000000000001E-3</v>
      </c>
      <c r="G898" s="2">
        <v>0.66533355999999999</v>
      </c>
      <c r="H898" s="2">
        <v>0.67383101000000001</v>
      </c>
      <c r="J898" t="str">
        <f t="shared" si="33"/>
        <v>0.67 (0.67 to 0.67)</v>
      </c>
    </row>
    <row r="899" spans="1:10" ht="17.25" thickBot="1" x14ac:dyDescent="0.35">
      <c r="A899" s="6">
        <v>4</v>
      </c>
      <c r="B899" s="3">
        <v>1</v>
      </c>
      <c r="C899" s="11" t="s">
        <v>115</v>
      </c>
      <c r="D899" s="2">
        <v>3813</v>
      </c>
      <c r="E899" s="2">
        <v>0.65996200000000005</v>
      </c>
      <c r="F899" s="2">
        <v>1.5150000000000001E-3</v>
      </c>
      <c r="G899" s="2">
        <v>0.65699224000000001</v>
      </c>
      <c r="H899" s="2">
        <v>0.66293263999999996</v>
      </c>
      <c r="J899" t="str">
        <f t="shared" si="33"/>
        <v>0.66 (0.66 to 0.66)</v>
      </c>
    </row>
    <row r="900" spans="1:10" ht="17.25" thickBot="1" x14ac:dyDescent="0.35">
      <c r="A900" s="6"/>
      <c r="B900" s="3">
        <v>2</v>
      </c>
      <c r="C900" s="11" t="s">
        <v>115</v>
      </c>
      <c r="D900" s="2">
        <v>8069</v>
      </c>
      <c r="E900" s="2">
        <v>0.663663</v>
      </c>
      <c r="F900" s="2">
        <v>1.1100000000000001E-3</v>
      </c>
      <c r="G900" s="2">
        <v>0.66148693999999997</v>
      </c>
      <c r="H900" s="2">
        <v>0.66583815999999996</v>
      </c>
      <c r="J900" t="str">
        <f t="shared" si="33"/>
        <v>0.66 (0.66 to 0.67)</v>
      </c>
    </row>
    <row r="901" spans="1:10" ht="17.25" thickBot="1" x14ac:dyDescent="0.35">
      <c r="A901" s="6"/>
      <c r="B901" s="3">
        <v>3</v>
      </c>
      <c r="C901" s="11" t="s">
        <v>115</v>
      </c>
      <c r="D901" s="2">
        <v>2276</v>
      </c>
      <c r="E901" s="2">
        <v>0.67732899999999996</v>
      </c>
      <c r="F901" s="2">
        <v>2.1199999999999999E-3</v>
      </c>
      <c r="G901" s="2">
        <v>0.67317119000000003</v>
      </c>
      <c r="H901" s="2">
        <v>0.68148637999999995</v>
      </c>
      <c r="J901" t="str">
        <f t="shared" si="33"/>
        <v>0.68 (0.67 to 0.68)</v>
      </c>
    </row>
    <row r="902" spans="1:10" ht="17.25" thickBot="1" x14ac:dyDescent="0.35">
      <c r="A902" s="6">
        <v>5</v>
      </c>
      <c r="B902" s="3">
        <v>1</v>
      </c>
      <c r="C902" s="11" t="s">
        <v>115</v>
      </c>
      <c r="D902" s="2">
        <v>3630</v>
      </c>
      <c r="E902" s="2">
        <v>0.67006200000000005</v>
      </c>
      <c r="F902" s="2">
        <v>1.457E-3</v>
      </c>
      <c r="G902" s="2">
        <v>0.66720568000000002</v>
      </c>
      <c r="H902" s="2">
        <v>0.67291761000000005</v>
      </c>
      <c r="J902" t="str">
        <f t="shared" si="33"/>
        <v>0.67 (0.67 to 0.67)</v>
      </c>
    </row>
    <row r="903" spans="1:10" ht="17.25" thickBot="1" x14ac:dyDescent="0.35">
      <c r="A903" s="6"/>
      <c r="B903" s="3">
        <v>2</v>
      </c>
      <c r="C903" s="11" t="s">
        <v>115</v>
      </c>
      <c r="D903" s="2">
        <v>7918</v>
      </c>
      <c r="E903" s="2">
        <v>0.67148200000000002</v>
      </c>
      <c r="F903" s="2">
        <v>1.188E-3</v>
      </c>
      <c r="G903" s="2">
        <v>0.66915173999999999</v>
      </c>
      <c r="H903" s="2">
        <v>0.67381142000000005</v>
      </c>
      <c r="J903" t="str">
        <f t="shared" si="33"/>
        <v>0.67 (0.67 to 0.67)</v>
      </c>
    </row>
    <row r="904" spans="1:10" ht="17.25" thickBot="1" x14ac:dyDescent="0.35">
      <c r="A904" s="6"/>
      <c r="B904" s="3">
        <v>3</v>
      </c>
      <c r="C904" s="11" t="s">
        <v>115</v>
      </c>
      <c r="D904" s="2">
        <v>2007</v>
      </c>
      <c r="E904" s="2">
        <v>0.68067500000000003</v>
      </c>
      <c r="F904" s="2">
        <v>2.1549999999999998E-3</v>
      </c>
      <c r="G904" s="2">
        <v>0.67644873999999999</v>
      </c>
      <c r="H904" s="2">
        <v>0.68490178000000002</v>
      </c>
      <c r="J904" t="str">
        <f t="shared" si="33"/>
        <v>0.68 (0.68 to 0.68)</v>
      </c>
    </row>
    <row r="905" spans="1:10" ht="17.25" thickBot="1" x14ac:dyDescent="0.35">
      <c r="A905" s="6">
        <v>6</v>
      </c>
      <c r="B905" s="3">
        <v>1</v>
      </c>
      <c r="C905" s="11" t="s">
        <v>115</v>
      </c>
      <c r="D905" s="2">
        <v>1107</v>
      </c>
      <c r="E905" s="2">
        <v>0.66569999999999996</v>
      </c>
      <c r="F905" s="2">
        <v>2.5200000000000001E-3</v>
      </c>
      <c r="G905" s="2">
        <v>0.66075929</v>
      </c>
      <c r="H905" s="2">
        <v>0.67064014999999999</v>
      </c>
      <c r="J905" t="str">
        <f t="shared" si="33"/>
        <v>0.67 (0.66 to 0.67)</v>
      </c>
    </row>
    <row r="906" spans="1:10" ht="17.25" thickBot="1" x14ac:dyDescent="0.35">
      <c r="A906" s="6"/>
      <c r="B906" s="3">
        <v>2</v>
      </c>
      <c r="C906" s="11" t="s">
        <v>115</v>
      </c>
      <c r="D906" s="2">
        <v>2438</v>
      </c>
      <c r="E906" s="2">
        <v>0.66761199999999998</v>
      </c>
      <c r="F906" s="2">
        <v>2.0760000000000002E-3</v>
      </c>
      <c r="G906" s="2">
        <v>0.66354226999999999</v>
      </c>
      <c r="H906" s="2">
        <v>0.67168170000000005</v>
      </c>
      <c r="J906" t="str">
        <f t="shared" si="33"/>
        <v>0.67 (0.66 to 0.67)</v>
      </c>
    </row>
    <row r="907" spans="1:10" x14ac:dyDescent="0.3">
      <c r="A907" s="6"/>
      <c r="B907" s="3">
        <v>3</v>
      </c>
      <c r="C907" s="14" t="s">
        <v>115</v>
      </c>
      <c r="D907" s="2">
        <v>871</v>
      </c>
      <c r="E907" s="2">
        <v>0.677616</v>
      </c>
      <c r="F907" s="2">
        <v>2.6549999999999998E-3</v>
      </c>
      <c r="G907" s="2">
        <v>0.67241099999999998</v>
      </c>
      <c r="H907" s="2">
        <v>0.68282098999999996</v>
      </c>
      <c r="J907" t="str">
        <f t="shared" si="33"/>
        <v>0.68 (0.67 to 0.68)</v>
      </c>
    </row>
    <row r="911" spans="1:10" x14ac:dyDescent="0.3">
      <c r="A911" s="1" t="s">
        <v>237</v>
      </c>
    </row>
    <row r="913" spans="1:6" x14ac:dyDescent="0.3">
      <c r="A913" s="1" t="s">
        <v>1</v>
      </c>
    </row>
    <row r="914" spans="1:6" ht="17.25" thickBot="1" x14ac:dyDescent="0.35"/>
    <row r="915" spans="1:6" ht="16.5" customHeight="1" x14ac:dyDescent="0.3">
      <c r="A915" s="16" t="s">
        <v>135</v>
      </c>
      <c r="B915" s="18"/>
    </row>
    <row r="916" spans="1:6" ht="26.25" thickBot="1" x14ac:dyDescent="0.35">
      <c r="A916" s="12" t="s">
        <v>136</v>
      </c>
      <c r="B916" s="2">
        <v>183</v>
      </c>
    </row>
    <row r="917" spans="1:6" ht="26.25" thickBot="1" x14ac:dyDescent="0.35">
      <c r="A917" s="12" t="s">
        <v>137</v>
      </c>
      <c r="B917" s="2">
        <v>2949</v>
      </c>
    </row>
    <row r="918" spans="1:6" ht="39" thickBot="1" x14ac:dyDescent="0.35">
      <c r="A918" s="12" t="s">
        <v>138</v>
      </c>
      <c r="B918" s="2">
        <v>23222</v>
      </c>
    </row>
    <row r="919" spans="1:6" ht="25.5" x14ac:dyDescent="0.3">
      <c r="A919" s="13" t="s">
        <v>139</v>
      </c>
      <c r="B919" s="2">
        <v>9036880.5199999996</v>
      </c>
    </row>
    <row r="920" spans="1:6" ht="17.25" thickBot="1" x14ac:dyDescent="0.35"/>
    <row r="921" spans="1:6" ht="33" customHeight="1" x14ac:dyDescent="0.3">
      <c r="A921" s="16" t="s">
        <v>140</v>
      </c>
      <c r="B921" s="18"/>
    </row>
    <row r="922" spans="1:6" ht="33.75" thickBot="1" x14ac:dyDescent="0.35">
      <c r="A922" s="12" t="s">
        <v>141</v>
      </c>
      <c r="B922" s="2" t="s">
        <v>142</v>
      </c>
    </row>
    <row r="923" spans="1:6" ht="25.5" x14ac:dyDescent="0.3">
      <c r="A923" s="13" t="s">
        <v>143</v>
      </c>
      <c r="B923" s="2" t="s">
        <v>144</v>
      </c>
    </row>
    <row r="924" spans="1:6" ht="17.25" thickBot="1" x14ac:dyDescent="0.35"/>
    <row r="925" spans="1:6" ht="16.5" customHeight="1" x14ac:dyDescent="0.3">
      <c r="A925" s="16" t="s">
        <v>238</v>
      </c>
      <c r="B925" s="18"/>
      <c r="C925" s="18"/>
      <c r="D925" s="18"/>
      <c r="E925" s="18"/>
      <c r="F925" s="18"/>
    </row>
    <row r="926" spans="1:6" ht="16.5" customHeight="1" x14ac:dyDescent="0.3">
      <c r="A926" s="17" t="s">
        <v>239</v>
      </c>
      <c r="B926" s="19" t="s">
        <v>94</v>
      </c>
      <c r="C926" s="19" t="s">
        <v>240</v>
      </c>
      <c r="D926" s="3" t="s">
        <v>241</v>
      </c>
      <c r="E926" s="19" t="s">
        <v>243</v>
      </c>
      <c r="F926" s="19"/>
    </row>
    <row r="927" spans="1:6" x14ac:dyDescent="0.3">
      <c r="A927" s="17"/>
      <c r="B927" s="19"/>
      <c r="C927" s="19"/>
      <c r="D927" s="3" t="s">
        <v>242</v>
      </c>
      <c r="E927" s="19"/>
      <c r="F927" s="19"/>
    </row>
    <row r="928" spans="1:6" x14ac:dyDescent="0.3">
      <c r="A928" s="13" t="s">
        <v>115</v>
      </c>
      <c r="B928" s="2">
        <v>23222</v>
      </c>
      <c r="C928" s="2">
        <v>0.64841899999999997</v>
      </c>
      <c r="D928" s="2">
        <v>7.7200000000000001E-4</v>
      </c>
      <c r="E928" s="2">
        <v>0.64690462000000004</v>
      </c>
      <c r="F928" s="2">
        <v>0.64993400999999995</v>
      </c>
    </row>
    <row r="932" spans="1:8" x14ac:dyDescent="0.3">
      <c r="A932" s="1" t="s">
        <v>237</v>
      </c>
    </row>
    <row r="934" spans="1:8" x14ac:dyDescent="0.3">
      <c r="A934" s="1" t="s">
        <v>1</v>
      </c>
    </row>
    <row r="935" spans="1:8" ht="17.25" thickBot="1" x14ac:dyDescent="0.35"/>
    <row r="936" spans="1:8" ht="16.5" customHeight="1" x14ac:dyDescent="0.3">
      <c r="A936" s="16" t="s">
        <v>259</v>
      </c>
      <c r="B936" s="18"/>
      <c r="C936" s="18"/>
      <c r="D936" s="18"/>
      <c r="E936" s="18"/>
      <c r="F936" s="18"/>
      <c r="G936" s="18"/>
      <c r="H936" s="18"/>
    </row>
    <row r="937" spans="1:8" ht="16.5" customHeight="1" x14ac:dyDescent="0.3">
      <c r="A937" s="17" t="s">
        <v>249</v>
      </c>
      <c r="B937" s="19" t="s">
        <v>14</v>
      </c>
      <c r="C937" s="19" t="s">
        <v>239</v>
      </c>
      <c r="D937" s="19" t="s">
        <v>94</v>
      </c>
      <c r="E937" s="19" t="s">
        <v>240</v>
      </c>
      <c r="F937" s="3" t="s">
        <v>241</v>
      </c>
      <c r="G937" s="19" t="s">
        <v>243</v>
      </c>
      <c r="H937" s="19"/>
    </row>
    <row r="938" spans="1:8" x14ac:dyDescent="0.3">
      <c r="A938" s="17"/>
      <c r="B938" s="19"/>
      <c r="C938" s="19"/>
      <c r="D938" s="19"/>
      <c r="E938" s="19"/>
      <c r="F938" s="3" t="s">
        <v>242</v>
      </c>
      <c r="G938" s="19"/>
      <c r="H938" s="19"/>
    </row>
    <row r="939" spans="1:8" ht="17.25" thickBot="1" x14ac:dyDescent="0.35">
      <c r="A939" s="6">
        <v>1</v>
      </c>
      <c r="B939" s="3">
        <v>1</v>
      </c>
      <c r="C939" s="11" t="s">
        <v>115</v>
      </c>
      <c r="D939" s="2">
        <v>424</v>
      </c>
      <c r="E939" s="2">
        <v>0.63706200000000002</v>
      </c>
      <c r="F939" s="2">
        <v>5.1390000000000003E-3</v>
      </c>
      <c r="G939" s="2">
        <v>0.6269846</v>
      </c>
      <c r="H939" s="2">
        <v>0.64713851</v>
      </c>
    </row>
    <row r="940" spans="1:8" ht="17.25" thickBot="1" x14ac:dyDescent="0.35">
      <c r="A940" s="6"/>
      <c r="B940" s="3">
        <v>2</v>
      </c>
      <c r="C940" s="11" t="s">
        <v>115</v>
      </c>
      <c r="D940" s="2">
        <v>246</v>
      </c>
      <c r="E940" s="2">
        <v>0.638235</v>
      </c>
      <c r="F940" s="2">
        <v>5.2269999999999999E-3</v>
      </c>
      <c r="G940" s="2">
        <v>0.62798640999999999</v>
      </c>
      <c r="H940" s="2">
        <v>0.64848430999999995</v>
      </c>
    </row>
    <row r="941" spans="1:8" ht="17.25" thickBot="1" x14ac:dyDescent="0.35">
      <c r="A941" s="6"/>
      <c r="B941" s="3">
        <v>3</v>
      </c>
      <c r="C941" s="11" t="s">
        <v>115</v>
      </c>
      <c r="D941" s="2">
        <v>177</v>
      </c>
      <c r="E941" s="2">
        <v>0.688392</v>
      </c>
      <c r="F941" s="2">
        <v>7.4819999999999999E-3</v>
      </c>
      <c r="G941" s="2">
        <v>0.67372131999999996</v>
      </c>
      <c r="H941" s="2">
        <v>0.70306175999999998</v>
      </c>
    </row>
    <row r="942" spans="1:8" ht="17.25" thickBot="1" x14ac:dyDescent="0.35">
      <c r="A942" s="6"/>
      <c r="B942" s="3">
        <v>8</v>
      </c>
      <c r="C942" s="11" t="s">
        <v>115</v>
      </c>
      <c r="D942" s="2">
        <v>2893</v>
      </c>
      <c r="E942" s="2">
        <v>0.65824400000000005</v>
      </c>
      <c r="F942" s="2">
        <v>2.4160000000000002E-3</v>
      </c>
      <c r="G942" s="2">
        <v>0.65350754</v>
      </c>
      <c r="H942" s="2">
        <v>0.66298109999999999</v>
      </c>
    </row>
    <row r="943" spans="1:8" ht="17.25" thickBot="1" x14ac:dyDescent="0.35">
      <c r="A943" s="6">
        <v>2</v>
      </c>
      <c r="B943" s="3">
        <v>1</v>
      </c>
      <c r="C943" s="11" t="s">
        <v>115</v>
      </c>
      <c r="D943" s="2">
        <v>443</v>
      </c>
      <c r="E943" s="2">
        <v>0.60505200000000003</v>
      </c>
      <c r="F943" s="2">
        <v>4.3309999999999998E-3</v>
      </c>
      <c r="G943" s="2">
        <v>0.59656036000000001</v>
      </c>
      <c r="H943" s="2">
        <v>0.61354341000000001</v>
      </c>
    </row>
    <row r="944" spans="1:8" ht="17.25" thickBot="1" x14ac:dyDescent="0.35">
      <c r="A944" s="6"/>
      <c r="B944" s="3">
        <v>2</v>
      </c>
      <c r="C944" s="11" t="s">
        <v>115</v>
      </c>
      <c r="D944" s="2">
        <v>258</v>
      </c>
      <c r="E944" s="2">
        <v>0.61891300000000005</v>
      </c>
      <c r="F944" s="2">
        <v>4.8510000000000003E-3</v>
      </c>
      <c r="G944" s="2">
        <v>0.60940145999999995</v>
      </c>
      <c r="H944" s="2">
        <v>0.62842467999999996</v>
      </c>
    </row>
    <row r="945" spans="1:8" ht="17.25" thickBot="1" x14ac:dyDescent="0.35">
      <c r="A945" s="6"/>
      <c r="B945" s="3">
        <v>3</v>
      </c>
      <c r="C945" s="11" t="s">
        <v>115</v>
      </c>
      <c r="D945" s="2">
        <v>116</v>
      </c>
      <c r="E945" s="2">
        <v>0.66671199999999997</v>
      </c>
      <c r="F945" s="2">
        <v>7.9640000000000006E-3</v>
      </c>
      <c r="G945" s="2">
        <v>0.65109678000000004</v>
      </c>
      <c r="H945" s="2">
        <v>0.68232696999999998</v>
      </c>
    </row>
    <row r="946" spans="1:8" ht="17.25" thickBot="1" x14ac:dyDescent="0.35">
      <c r="A946" s="6"/>
      <c r="B946" s="3">
        <v>8</v>
      </c>
      <c r="C946" s="11" t="s">
        <v>115</v>
      </c>
      <c r="D946" s="2">
        <v>3915</v>
      </c>
      <c r="E946" s="2">
        <v>0.63603299999999996</v>
      </c>
      <c r="F946" s="2">
        <v>1.585E-3</v>
      </c>
      <c r="G946" s="2">
        <v>0.63292446000000002</v>
      </c>
      <c r="H946" s="2">
        <v>0.63914079000000001</v>
      </c>
    </row>
    <row r="947" spans="1:8" ht="17.25" thickBot="1" x14ac:dyDescent="0.35">
      <c r="A947" s="6">
        <v>3</v>
      </c>
      <c r="B947" s="3">
        <v>1</v>
      </c>
      <c r="C947" s="11" t="s">
        <v>115</v>
      </c>
      <c r="D947" s="2">
        <v>538</v>
      </c>
      <c r="E947" s="2">
        <v>0.62823099999999998</v>
      </c>
      <c r="F947" s="2">
        <v>3.6979999999999999E-3</v>
      </c>
      <c r="G947" s="2">
        <v>0.62098019000000004</v>
      </c>
      <c r="H947" s="2">
        <v>0.63548205999999996</v>
      </c>
    </row>
    <row r="948" spans="1:8" ht="17.25" thickBot="1" x14ac:dyDescent="0.35">
      <c r="A948" s="6"/>
      <c r="B948" s="3">
        <v>2</v>
      </c>
      <c r="C948" s="11" t="s">
        <v>115</v>
      </c>
      <c r="D948" s="2">
        <v>351</v>
      </c>
      <c r="E948" s="2">
        <v>0.64585000000000004</v>
      </c>
      <c r="F948" s="2">
        <v>4.4559999999999999E-3</v>
      </c>
      <c r="G948" s="2">
        <v>0.63711280999999997</v>
      </c>
      <c r="H948" s="2">
        <v>0.65458775999999996</v>
      </c>
    </row>
    <row r="949" spans="1:8" ht="17.25" thickBot="1" x14ac:dyDescent="0.35">
      <c r="A949" s="6"/>
      <c r="B949" s="3">
        <v>3</v>
      </c>
      <c r="C949" s="11" t="s">
        <v>115</v>
      </c>
      <c r="D949" s="2">
        <v>201</v>
      </c>
      <c r="E949" s="2">
        <v>0.68862299999999999</v>
      </c>
      <c r="F949" s="2">
        <v>7.4009999999999996E-3</v>
      </c>
      <c r="G949" s="2">
        <v>0.67411114999999999</v>
      </c>
      <c r="H949" s="2">
        <v>0.70313574999999995</v>
      </c>
    </row>
    <row r="950" spans="1:8" ht="17.25" thickBot="1" x14ac:dyDescent="0.35">
      <c r="A950" s="6"/>
      <c r="B950" s="3">
        <v>8</v>
      </c>
      <c r="C950" s="11" t="s">
        <v>115</v>
      </c>
      <c r="D950" s="2">
        <v>3167</v>
      </c>
      <c r="E950" s="2">
        <v>0.64502400000000004</v>
      </c>
      <c r="F950" s="2">
        <v>1.9419999999999999E-3</v>
      </c>
      <c r="G950" s="2">
        <v>0.64121651999999996</v>
      </c>
      <c r="H950" s="2">
        <v>0.64883108</v>
      </c>
    </row>
    <row r="951" spans="1:8" ht="17.25" thickBot="1" x14ac:dyDescent="0.35">
      <c r="A951" s="6">
        <v>4</v>
      </c>
      <c r="B951" s="3">
        <v>1</v>
      </c>
      <c r="C951" s="11" t="s">
        <v>115</v>
      </c>
      <c r="D951" s="2">
        <v>582</v>
      </c>
      <c r="E951" s="2">
        <v>0.63858400000000004</v>
      </c>
      <c r="F951" s="2">
        <v>4.241E-3</v>
      </c>
      <c r="G951" s="2">
        <v>0.63026824999999997</v>
      </c>
      <c r="H951" s="2">
        <v>0.64689887000000001</v>
      </c>
    </row>
    <row r="952" spans="1:8" ht="17.25" thickBot="1" x14ac:dyDescent="0.35">
      <c r="A952" s="6"/>
      <c r="B952" s="3">
        <v>2</v>
      </c>
      <c r="C952" s="11" t="s">
        <v>115</v>
      </c>
      <c r="D952" s="2">
        <v>417</v>
      </c>
      <c r="E952" s="2">
        <v>0.64569100000000001</v>
      </c>
      <c r="F952" s="2">
        <v>4.1089999999999998E-3</v>
      </c>
      <c r="G952" s="2">
        <v>0.63763471000000005</v>
      </c>
      <c r="H952" s="2">
        <v>0.65374717000000004</v>
      </c>
    </row>
    <row r="953" spans="1:8" ht="17.25" thickBot="1" x14ac:dyDescent="0.35">
      <c r="A953" s="6"/>
      <c r="B953" s="3">
        <v>3</v>
      </c>
      <c r="C953" s="11" t="s">
        <v>115</v>
      </c>
      <c r="D953" s="2">
        <v>261</v>
      </c>
      <c r="E953" s="2">
        <v>0.68308999999999997</v>
      </c>
      <c r="F953" s="2">
        <v>5.7889999999999999E-3</v>
      </c>
      <c r="G953" s="2">
        <v>0.67173991</v>
      </c>
      <c r="H953" s="2">
        <v>0.69444094000000001</v>
      </c>
    </row>
    <row r="954" spans="1:8" ht="17.25" thickBot="1" x14ac:dyDescent="0.35">
      <c r="A954" s="6"/>
      <c r="B954" s="3">
        <v>8</v>
      </c>
      <c r="C954" s="11" t="s">
        <v>115</v>
      </c>
      <c r="D954" s="2">
        <v>3296</v>
      </c>
      <c r="E954" s="2">
        <v>0.64506200000000002</v>
      </c>
      <c r="F954" s="2">
        <v>1.9750000000000002E-3</v>
      </c>
      <c r="G954" s="2">
        <v>0.64118894000000004</v>
      </c>
      <c r="H954" s="2">
        <v>0.64893595999999998</v>
      </c>
    </row>
    <row r="955" spans="1:8" ht="17.25" thickBot="1" x14ac:dyDescent="0.35">
      <c r="A955" s="6">
        <v>5</v>
      </c>
      <c r="B955" s="3">
        <v>1</v>
      </c>
      <c r="C955" s="11" t="s">
        <v>115</v>
      </c>
      <c r="D955" s="2">
        <v>641</v>
      </c>
      <c r="E955" s="2">
        <v>0.65796200000000005</v>
      </c>
      <c r="F955" s="2">
        <v>4.1660000000000004E-3</v>
      </c>
      <c r="G955" s="2">
        <v>0.64979251000000005</v>
      </c>
      <c r="H955" s="2">
        <v>0.66613195999999997</v>
      </c>
    </row>
    <row r="956" spans="1:8" ht="17.25" thickBot="1" x14ac:dyDescent="0.35">
      <c r="A956" s="6"/>
      <c r="B956" s="3">
        <v>2</v>
      </c>
      <c r="C956" s="11" t="s">
        <v>115</v>
      </c>
      <c r="D956" s="2">
        <v>383</v>
      </c>
      <c r="E956" s="2">
        <v>0.66280799999999995</v>
      </c>
      <c r="F956" s="2">
        <v>4.5129999999999997E-3</v>
      </c>
      <c r="G956" s="2">
        <v>0.65395954999999995</v>
      </c>
      <c r="H956" s="2">
        <v>0.67165684000000003</v>
      </c>
    </row>
    <row r="957" spans="1:8" ht="17.25" thickBot="1" x14ac:dyDescent="0.35">
      <c r="A957" s="6"/>
      <c r="B957" s="3">
        <v>3</v>
      </c>
      <c r="C957" s="11" t="s">
        <v>115</v>
      </c>
      <c r="D957" s="2">
        <v>253</v>
      </c>
      <c r="E957" s="2">
        <v>0.71084400000000003</v>
      </c>
      <c r="F957" s="2">
        <v>5.3249999999999999E-3</v>
      </c>
      <c r="G957" s="2">
        <v>0.70040243000000002</v>
      </c>
      <c r="H957" s="2">
        <v>0.72128544999999999</v>
      </c>
    </row>
    <row r="958" spans="1:8" ht="17.25" thickBot="1" x14ac:dyDescent="0.35">
      <c r="A958" s="6"/>
      <c r="B958" s="3">
        <v>8</v>
      </c>
      <c r="C958" s="11" t="s">
        <v>115</v>
      </c>
      <c r="D958" s="2">
        <v>3224</v>
      </c>
      <c r="E958" s="2">
        <v>0.65661700000000001</v>
      </c>
      <c r="F958" s="2">
        <v>1.9870000000000001E-3</v>
      </c>
      <c r="G958" s="2">
        <v>0.65271995999999999</v>
      </c>
      <c r="H958" s="2">
        <v>0.66051413000000003</v>
      </c>
    </row>
    <row r="959" spans="1:8" ht="17.25" thickBot="1" x14ac:dyDescent="0.35">
      <c r="A959" s="6">
        <v>6</v>
      </c>
      <c r="B959" s="3">
        <v>1</v>
      </c>
      <c r="C959" s="11" t="s">
        <v>115</v>
      </c>
      <c r="D959" s="2">
        <v>173</v>
      </c>
      <c r="E959" s="2">
        <v>0.66100800000000004</v>
      </c>
      <c r="F959" s="2">
        <v>6.9340000000000001E-3</v>
      </c>
      <c r="G959" s="2">
        <v>0.64741135000000005</v>
      </c>
      <c r="H959" s="2">
        <v>0.67460516999999998</v>
      </c>
    </row>
    <row r="960" spans="1:8" ht="17.25" thickBot="1" x14ac:dyDescent="0.35">
      <c r="A960" s="6"/>
      <c r="B960" s="3">
        <v>2</v>
      </c>
      <c r="C960" s="11" t="s">
        <v>115</v>
      </c>
      <c r="D960" s="2">
        <v>144</v>
      </c>
      <c r="E960" s="2">
        <v>0.66158499999999998</v>
      </c>
      <c r="F960" s="2">
        <v>6.6600000000000001E-3</v>
      </c>
      <c r="G960" s="2">
        <v>0.64852529000000003</v>
      </c>
      <c r="H960" s="2">
        <v>0.67464404</v>
      </c>
    </row>
    <row r="961" spans="1:8" ht="17.25" thickBot="1" x14ac:dyDescent="0.35">
      <c r="A961" s="6"/>
      <c r="B961" s="3">
        <v>3</v>
      </c>
      <c r="C961" s="11" t="s">
        <v>115</v>
      </c>
      <c r="D961" s="2">
        <v>93</v>
      </c>
      <c r="E961" s="2">
        <v>0.68742999999999999</v>
      </c>
      <c r="F961" s="2">
        <v>9.7429999999999999E-3</v>
      </c>
      <c r="G961" s="2">
        <v>0.66832714999999998</v>
      </c>
      <c r="H961" s="2">
        <v>0.70653383999999997</v>
      </c>
    </row>
    <row r="962" spans="1:8" x14ac:dyDescent="0.3">
      <c r="A962" s="6"/>
      <c r="B962" s="3">
        <v>8</v>
      </c>
      <c r="C962" s="14" t="s">
        <v>115</v>
      </c>
      <c r="D962" s="2">
        <v>1026</v>
      </c>
      <c r="E962" s="2">
        <v>0.64892700000000003</v>
      </c>
      <c r="F962" s="2">
        <v>3.1159999999999998E-3</v>
      </c>
      <c r="G962" s="2">
        <v>0.64281604999999997</v>
      </c>
      <c r="H962" s="2">
        <v>0.65503701999999997</v>
      </c>
    </row>
    <row r="966" spans="1:8" x14ac:dyDescent="0.3">
      <c r="A966" s="1" t="s">
        <v>237</v>
      </c>
    </row>
    <row r="968" spans="1:8" x14ac:dyDescent="0.3">
      <c r="A968" s="1" t="s">
        <v>21</v>
      </c>
    </row>
    <row r="969" spans="1:8" ht="17.25" thickBot="1" x14ac:dyDescent="0.35"/>
    <row r="970" spans="1:8" ht="16.5" customHeight="1" x14ac:dyDescent="0.3">
      <c r="A970" s="16" t="s">
        <v>135</v>
      </c>
      <c r="B970" s="18"/>
    </row>
    <row r="971" spans="1:8" ht="26.25" thickBot="1" x14ac:dyDescent="0.35">
      <c r="A971" s="12" t="s">
        <v>136</v>
      </c>
      <c r="B971" s="2">
        <v>183</v>
      </c>
    </row>
    <row r="972" spans="1:8" ht="26.25" thickBot="1" x14ac:dyDescent="0.35">
      <c r="A972" s="12" t="s">
        <v>137</v>
      </c>
      <c r="B972" s="2">
        <v>2982</v>
      </c>
    </row>
    <row r="973" spans="1:8" ht="39" thickBot="1" x14ac:dyDescent="0.35">
      <c r="A973" s="12" t="s">
        <v>138</v>
      </c>
      <c r="B973" s="2">
        <v>68635</v>
      </c>
    </row>
    <row r="974" spans="1:8" ht="25.5" x14ac:dyDescent="0.3">
      <c r="A974" s="13" t="s">
        <v>139</v>
      </c>
      <c r="B974" s="2">
        <v>30251935.699999999</v>
      </c>
    </row>
    <row r="975" spans="1:8" ht="17.25" thickBot="1" x14ac:dyDescent="0.35"/>
    <row r="976" spans="1:8" ht="33" customHeight="1" x14ac:dyDescent="0.3">
      <c r="A976" s="16" t="s">
        <v>140</v>
      </c>
      <c r="B976" s="18"/>
    </row>
    <row r="977" spans="1:8" ht="33.75" thickBot="1" x14ac:dyDescent="0.35">
      <c r="A977" s="12" t="s">
        <v>141</v>
      </c>
      <c r="B977" s="2" t="s">
        <v>142</v>
      </c>
    </row>
    <row r="978" spans="1:8" ht="25.5" x14ac:dyDescent="0.3">
      <c r="A978" s="13" t="s">
        <v>143</v>
      </c>
      <c r="B978" s="2" t="s">
        <v>144</v>
      </c>
    </row>
    <row r="979" spans="1:8" ht="17.25" thickBot="1" x14ac:dyDescent="0.35"/>
    <row r="980" spans="1:8" ht="16.5" customHeight="1" x14ac:dyDescent="0.3">
      <c r="A980" s="16" t="s">
        <v>238</v>
      </c>
      <c r="B980" s="18"/>
      <c r="C980" s="18"/>
      <c r="D980" s="18"/>
      <c r="E980" s="18"/>
      <c r="F980" s="18"/>
    </row>
    <row r="981" spans="1:8" ht="16.5" customHeight="1" x14ac:dyDescent="0.3">
      <c r="A981" s="17" t="s">
        <v>239</v>
      </c>
      <c r="B981" s="19" t="s">
        <v>94</v>
      </c>
      <c r="C981" s="19" t="s">
        <v>240</v>
      </c>
      <c r="D981" s="3" t="s">
        <v>241</v>
      </c>
      <c r="E981" s="19" t="s">
        <v>243</v>
      </c>
      <c r="F981" s="19"/>
    </row>
    <row r="982" spans="1:8" x14ac:dyDescent="0.3">
      <c r="A982" s="17"/>
      <c r="B982" s="19"/>
      <c r="C982" s="19"/>
      <c r="D982" s="3" t="s">
        <v>242</v>
      </c>
      <c r="E982" s="19"/>
      <c r="F982" s="19"/>
    </row>
    <row r="983" spans="1:8" x14ac:dyDescent="0.3">
      <c r="A983" s="13" t="s">
        <v>115</v>
      </c>
      <c r="B983" s="2">
        <v>68635</v>
      </c>
      <c r="C983" s="2">
        <v>0.66370899999999999</v>
      </c>
      <c r="D983" s="2">
        <v>4.4099999999999999E-4</v>
      </c>
      <c r="E983" s="2">
        <v>0.66284405999999996</v>
      </c>
      <c r="F983" s="2">
        <v>0.66457339000000004</v>
      </c>
    </row>
    <row r="987" spans="1:8" x14ac:dyDescent="0.3">
      <c r="A987" s="1" t="s">
        <v>237</v>
      </c>
    </row>
    <row r="989" spans="1:8" x14ac:dyDescent="0.3">
      <c r="A989" s="1" t="s">
        <v>21</v>
      </c>
    </row>
    <row r="990" spans="1:8" ht="17.25" thickBot="1" x14ac:dyDescent="0.35"/>
    <row r="991" spans="1:8" ht="16.5" customHeight="1" x14ac:dyDescent="0.3">
      <c r="A991" s="16" t="s">
        <v>259</v>
      </c>
      <c r="B991" s="18"/>
      <c r="C991" s="18"/>
      <c r="D991" s="18"/>
      <c r="E991" s="18"/>
      <c r="F991" s="18"/>
      <c r="G991" s="18"/>
      <c r="H991" s="18"/>
    </row>
    <row r="992" spans="1:8" ht="16.5" customHeight="1" x14ac:dyDescent="0.3">
      <c r="A992" s="17" t="s">
        <v>249</v>
      </c>
      <c r="B992" s="19" t="s">
        <v>14</v>
      </c>
      <c r="C992" s="19" t="s">
        <v>239</v>
      </c>
      <c r="D992" s="19" t="s">
        <v>94</v>
      </c>
      <c r="E992" s="19" t="s">
        <v>240</v>
      </c>
      <c r="F992" s="3" t="s">
        <v>241</v>
      </c>
      <c r="G992" s="19" t="s">
        <v>243</v>
      </c>
      <c r="H992" s="19"/>
    </row>
    <row r="993" spans="1:15" x14ac:dyDescent="0.3">
      <c r="A993" s="17"/>
      <c r="B993" s="19"/>
      <c r="C993" s="19"/>
      <c r="D993" s="19"/>
      <c r="E993" s="19"/>
      <c r="F993" s="3" t="s">
        <v>242</v>
      </c>
      <c r="G993" s="19"/>
      <c r="H993" s="19"/>
    </row>
    <row r="994" spans="1:15" ht="17.25" thickBot="1" x14ac:dyDescent="0.35">
      <c r="A994" s="6">
        <v>1</v>
      </c>
      <c r="B994" s="3">
        <v>1</v>
      </c>
      <c r="C994" s="11" t="s">
        <v>115</v>
      </c>
      <c r="D994" s="2">
        <v>4479</v>
      </c>
      <c r="E994" s="2">
        <v>0.65601200000000004</v>
      </c>
      <c r="F994" s="2">
        <v>1.73E-3</v>
      </c>
      <c r="G994" s="2">
        <v>0.65261977999999998</v>
      </c>
      <c r="H994" s="2">
        <v>0.65940425000000003</v>
      </c>
      <c r="J994" t="str">
        <f t="shared" ref="J994:J1011" si="39">TEXT(E994,"0.00")&amp;" ("&amp;TEXT(G994,"0.00")&amp;" to "&amp;TEXT(H994,"0.00")&amp;")"</f>
        <v>0.66 (0.65 to 0.66)</v>
      </c>
      <c r="K994" t="str">
        <f>J997</f>
        <v>0.65 (0.65 to 0.65)</v>
      </c>
      <c r="L994" t="str">
        <f>J1000</f>
        <v>0.65 (0.65 to 0.66)</v>
      </c>
      <c r="M994" t="str">
        <f>J1003</f>
        <v>0.66 (0.66 to 0.66)</v>
      </c>
      <c r="N994" t="str">
        <f>J1006</f>
        <v>0.67 (0.67 to 0.67)</v>
      </c>
      <c r="O994" t="str">
        <f>J1009</f>
        <v>0.67 (0.66 to 0.67)</v>
      </c>
    </row>
    <row r="995" spans="1:15" ht="17.25" thickBot="1" x14ac:dyDescent="0.35">
      <c r="A995" s="6"/>
      <c r="B995" s="3">
        <v>2</v>
      </c>
      <c r="C995" s="11" t="s">
        <v>115</v>
      </c>
      <c r="D995" s="2">
        <v>4351</v>
      </c>
      <c r="E995" s="2">
        <v>0.64838300000000004</v>
      </c>
      <c r="F995" s="2">
        <v>1.402E-3</v>
      </c>
      <c r="G995" s="2">
        <v>0.64563400999999998</v>
      </c>
      <c r="H995" s="2">
        <v>0.65113122999999995</v>
      </c>
      <c r="J995" t="str">
        <f t="shared" si="39"/>
        <v>0.65 (0.65 to 0.65)</v>
      </c>
      <c r="K995" t="str">
        <f t="shared" ref="K995:K996" si="40">J998</f>
        <v>0.65 (0.65 to 0.65)</v>
      </c>
      <c r="L995" t="str">
        <f t="shared" ref="L995:L996" si="41">J1001</f>
        <v>0.65 (0.64 to 0.65)</v>
      </c>
      <c r="M995" t="str">
        <f t="shared" ref="M995:M996" si="42">J1004</f>
        <v>0.65 (0.65 to 0.65)</v>
      </c>
      <c r="N995" t="str">
        <f t="shared" ref="N995:N996" si="43">J1007</f>
        <v>0.66 (0.66 to 0.66)</v>
      </c>
      <c r="O995" t="str">
        <f t="shared" ref="O995:O996" si="44">J1010</f>
        <v>0.66 (0.66 to 0.67)</v>
      </c>
    </row>
    <row r="996" spans="1:15" ht="17.25" thickBot="1" x14ac:dyDescent="0.35">
      <c r="A996" s="6"/>
      <c r="B996" s="3">
        <v>3</v>
      </c>
      <c r="C996" s="11" t="s">
        <v>115</v>
      </c>
      <c r="D996" s="2">
        <v>3085</v>
      </c>
      <c r="E996" s="2">
        <v>0.68341700000000005</v>
      </c>
      <c r="F996" s="2">
        <v>1.6459999999999999E-3</v>
      </c>
      <c r="G996" s="2">
        <v>0.68018944999999997</v>
      </c>
      <c r="H996" s="2">
        <v>0.68664364</v>
      </c>
      <c r="J996" t="str">
        <f t="shared" si="39"/>
        <v>0.68 (0.68 to 0.69)</v>
      </c>
      <c r="K996" t="str">
        <f t="shared" si="40"/>
        <v>0.68 (0.68 to 0.69)</v>
      </c>
      <c r="L996" t="str">
        <f t="shared" si="41"/>
        <v>0.69 (0.68 to 0.69)</v>
      </c>
      <c r="M996" t="str">
        <f t="shared" si="42"/>
        <v>0.69 (0.68 to 0.69)</v>
      </c>
      <c r="N996" t="str">
        <f t="shared" si="43"/>
        <v>0.69 (0.69 to 0.70)</v>
      </c>
      <c r="O996" t="str">
        <f t="shared" si="44"/>
        <v>0.69 (0.68 to 0.69)</v>
      </c>
    </row>
    <row r="997" spans="1:15" ht="17.25" thickBot="1" x14ac:dyDescent="0.35">
      <c r="A997" s="6">
        <v>2</v>
      </c>
      <c r="B997" s="3">
        <v>1</v>
      </c>
      <c r="C997" s="11" t="s">
        <v>115</v>
      </c>
      <c r="D997" s="2">
        <v>5052</v>
      </c>
      <c r="E997" s="2">
        <v>0.64877499999999999</v>
      </c>
      <c r="F997" s="2">
        <v>1.4339999999999999E-3</v>
      </c>
      <c r="G997" s="2">
        <v>0.64596372999999996</v>
      </c>
      <c r="H997" s="2">
        <v>0.65158709000000004</v>
      </c>
      <c r="J997" t="str">
        <f t="shared" si="39"/>
        <v>0.65 (0.65 to 0.65)</v>
      </c>
    </row>
    <row r="998" spans="1:15" ht="17.25" thickBot="1" x14ac:dyDescent="0.35">
      <c r="A998" s="6"/>
      <c r="B998" s="3">
        <v>2</v>
      </c>
      <c r="C998" s="11" t="s">
        <v>115</v>
      </c>
      <c r="D998" s="2">
        <v>4786</v>
      </c>
      <c r="E998" s="2">
        <v>0.64831399999999995</v>
      </c>
      <c r="F998" s="2">
        <v>1.42E-3</v>
      </c>
      <c r="G998" s="2">
        <v>0.64553024000000003</v>
      </c>
      <c r="H998" s="2">
        <v>0.65109773000000004</v>
      </c>
      <c r="J998" t="str">
        <f t="shared" si="39"/>
        <v>0.65 (0.65 to 0.65)</v>
      </c>
    </row>
    <row r="999" spans="1:15" ht="17.25" thickBot="1" x14ac:dyDescent="0.35">
      <c r="A999" s="6"/>
      <c r="B999" s="3">
        <v>3</v>
      </c>
      <c r="C999" s="11" t="s">
        <v>115</v>
      </c>
      <c r="D999" s="2">
        <v>3278</v>
      </c>
      <c r="E999" s="2">
        <v>0.68192600000000003</v>
      </c>
      <c r="F999" s="2">
        <v>1.761E-3</v>
      </c>
      <c r="G999" s="2">
        <v>0.67847246999999999</v>
      </c>
      <c r="H999" s="2">
        <v>0.68537981999999997</v>
      </c>
      <c r="J999" t="str">
        <f t="shared" si="39"/>
        <v>0.68 (0.68 to 0.69)</v>
      </c>
    </row>
    <row r="1000" spans="1:15" ht="17.25" thickBot="1" x14ac:dyDescent="0.35">
      <c r="A1000" s="6">
        <v>3</v>
      </c>
      <c r="B1000" s="3">
        <v>1</v>
      </c>
      <c r="C1000" s="11" t="s">
        <v>115</v>
      </c>
      <c r="D1000" s="2">
        <v>4399</v>
      </c>
      <c r="E1000" s="2">
        <v>0.65342800000000001</v>
      </c>
      <c r="F1000" s="2">
        <v>1.5100000000000001E-3</v>
      </c>
      <c r="G1000" s="2">
        <v>0.65046693</v>
      </c>
      <c r="H1000" s="2">
        <v>0.65638896000000002</v>
      </c>
      <c r="J1000" t="str">
        <f t="shared" si="39"/>
        <v>0.65 (0.65 to 0.66)</v>
      </c>
    </row>
    <row r="1001" spans="1:15" ht="17.25" thickBot="1" x14ac:dyDescent="0.35">
      <c r="A1001" s="6"/>
      <c r="B1001" s="3">
        <v>2</v>
      </c>
      <c r="C1001" s="11" t="s">
        <v>115</v>
      </c>
      <c r="D1001" s="2">
        <v>4275</v>
      </c>
      <c r="E1001" s="2">
        <v>0.64677799999999996</v>
      </c>
      <c r="F1001" s="2">
        <v>1.403E-3</v>
      </c>
      <c r="G1001" s="2">
        <v>0.64402707999999997</v>
      </c>
      <c r="H1001" s="2">
        <v>0.64952845000000003</v>
      </c>
      <c r="J1001" t="str">
        <f t="shared" si="39"/>
        <v>0.65 (0.64 to 0.65)</v>
      </c>
    </row>
    <row r="1002" spans="1:15" ht="17.25" thickBot="1" x14ac:dyDescent="0.35">
      <c r="A1002" s="6"/>
      <c r="B1002" s="3">
        <v>3</v>
      </c>
      <c r="C1002" s="11" t="s">
        <v>115</v>
      </c>
      <c r="D1002" s="2">
        <v>2801</v>
      </c>
      <c r="E1002" s="2">
        <v>0.68506800000000001</v>
      </c>
      <c r="F1002" s="2">
        <v>1.823E-3</v>
      </c>
      <c r="G1002" s="2">
        <v>0.68149219999999999</v>
      </c>
      <c r="H1002" s="2">
        <v>0.68864309999999995</v>
      </c>
      <c r="J1002" t="str">
        <f t="shared" si="39"/>
        <v>0.69 (0.68 to 0.69)</v>
      </c>
    </row>
    <row r="1003" spans="1:15" ht="17.25" thickBot="1" x14ac:dyDescent="0.35">
      <c r="A1003" s="6">
        <v>4</v>
      </c>
      <c r="B1003" s="3">
        <v>1</v>
      </c>
      <c r="C1003" s="11" t="s">
        <v>115</v>
      </c>
      <c r="D1003" s="2">
        <v>5475</v>
      </c>
      <c r="E1003" s="2">
        <v>0.66129000000000004</v>
      </c>
      <c r="F1003" s="2">
        <v>1.4040000000000001E-3</v>
      </c>
      <c r="G1003" s="2">
        <v>0.65853788000000002</v>
      </c>
      <c r="H1003" s="2">
        <v>0.66404193</v>
      </c>
      <c r="J1003" t="str">
        <f t="shared" si="39"/>
        <v>0.66 (0.66 to 0.66)</v>
      </c>
    </row>
    <row r="1004" spans="1:15" ht="17.25" thickBot="1" x14ac:dyDescent="0.35">
      <c r="A1004" s="6"/>
      <c r="B1004" s="3">
        <v>2</v>
      </c>
      <c r="C1004" s="11" t="s">
        <v>115</v>
      </c>
      <c r="D1004" s="2">
        <v>5105</v>
      </c>
      <c r="E1004" s="2">
        <v>0.65205400000000002</v>
      </c>
      <c r="F1004" s="2">
        <v>1.1969999999999999E-3</v>
      </c>
      <c r="G1004" s="2">
        <v>0.64970665999999999</v>
      </c>
      <c r="H1004" s="2">
        <v>0.65440096000000003</v>
      </c>
      <c r="J1004" t="str">
        <f t="shared" si="39"/>
        <v>0.65 (0.65 to 0.65)</v>
      </c>
    </row>
    <row r="1005" spans="1:15" ht="17.25" thickBot="1" x14ac:dyDescent="0.35">
      <c r="A1005" s="6"/>
      <c r="B1005" s="3">
        <v>3</v>
      </c>
      <c r="C1005" s="11" t="s">
        <v>115</v>
      </c>
      <c r="D1005" s="2">
        <v>3578</v>
      </c>
      <c r="E1005" s="2">
        <v>0.68699900000000003</v>
      </c>
      <c r="F1005" s="2">
        <v>1.629E-3</v>
      </c>
      <c r="G1005" s="2">
        <v>0.68380434000000001</v>
      </c>
      <c r="H1005" s="2">
        <v>0.69019284000000003</v>
      </c>
      <c r="J1005" t="str">
        <f t="shared" si="39"/>
        <v>0.69 (0.68 to 0.69)</v>
      </c>
    </row>
    <row r="1006" spans="1:15" ht="17.25" thickBot="1" x14ac:dyDescent="0.35">
      <c r="A1006" s="6">
        <v>5</v>
      </c>
      <c r="B1006" s="3">
        <v>1</v>
      </c>
      <c r="C1006" s="11" t="s">
        <v>115</v>
      </c>
      <c r="D1006" s="2">
        <v>5622</v>
      </c>
      <c r="E1006" s="2">
        <v>0.66899399999999998</v>
      </c>
      <c r="F1006" s="2">
        <v>1.3389999999999999E-3</v>
      </c>
      <c r="G1006" s="2">
        <v>0.66636854000000001</v>
      </c>
      <c r="H1006" s="2">
        <v>0.67162027000000002</v>
      </c>
      <c r="J1006" t="str">
        <f t="shared" si="39"/>
        <v>0.67 (0.67 to 0.67)</v>
      </c>
    </row>
    <row r="1007" spans="1:15" ht="17.25" thickBot="1" x14ac:dyDescent="0.35">
      <c r="A1007" s="6"/>
      <c r="B1007" s="3">
        <v>2</v>
      </c>
      <c r="C1007" s="11" t="s">
        <v>115</v>
      </c>
      <c r="D1007" s="2">
        <v>4873</v>
      </c>
      <c r="E1007" s="2">
        <v>0.66181199999999996</v>
      </c>
      <c r="F1007" s="2">
        <v>1.3270000000000001E-3</v>
      </c>
      <c r="G1007" s="2">
        <v>0.65921021999999996</v>
      </c>
      <c r="H1007" s="2">
        <v>0.66441433999999999</v>
      </c>
      <c r="J1007" t="str">
        <f t="shared" si="39"/>
        <v>0.66 (0.66 to 0.66)</v>
      </c>
    </row>
    <row r="1008" spans="1:15" ht="17.25" thickBot="1" x14ac:dyDescent="0.35">
      <c r="A1008" s="6"/>
      <c r="B1008" s="3">
        <v>3</v>
      </c>
      <c r="C1008" s="11" t="s">
        <v>115</v>
      </c>
      <c r="D1008" s="2">
        <v>3060</v>
      </c>
      <c r="E1008" s="2">
        <v>0.69492900000000002</v>
      </c>
      <c r="F1008" s="2">
        <v>1.745E-3</v>
      </c>
      <c r="G1008" s="2">
        <v>0.69150683000000002</v>
      </c>
      <c r="H1008" s="2">
        <v>0.69835188000000004</v>
      </c>
      <c r="J1008" t="str">
        <f t="shared" si="39"/>
        <v>0.69 (0.69 to 0.70)</v>
      </c>
    </row>
    <row r="1009" spans="1:10" ht="17.25" thickBot="1" x14ac:dyDescent="0.35">
      <c r="A1009" s="6">
        <v>6</v>
      </c>
      <c r="B1009" s="3">
        <v>1</v>
      </c>
      <c r="C1009" s="11" t="s">
        <v>115</v>
      </c>
      <c r="D1009" s="2">
        <v>1881</v>
      </c>
      <c r="E1009" s="2">
        <v>0.66691299999999998</v>
      </c>
      <c r="F1009" s="2">
        <v>2.2569999999999999E-3</v>
      </c>
      <c r="G1009" s="2">
        <v>0.66248790999999996</v>
      </c>
      <c r="H1009" s="2">
        <v>0.67133843000000004</v>
      </c>
      <c r="J1009" t="str">
        <f t="shared" si="39"/>
        <v>0.67 (0.66 to 0.67)</v>
      </c>
    </row>
    <row r="1010" spans="1:10" ht="17.25" thickBot="1" x14ac:dyDescent="0.35">
      <c r="A1010" s="6"/>
      <c r="B1010" s="3">
        <v>2</v>
      </c>
      <c r="C1010" s="11" t="s">
        <v>115</v>
      </c>
      <c r="D1010" s="2">
        <v>1609</v>
      </c>
      <c r="E1010" s="2">
        <v>0.66118100000000002</v>
      </c>
      <c r="F1010" s="2">
        <v>2.2109999999999999E-3</v>
      </c>
      <c r="G1010" s="2">
        <v>0.6568465</v>
      </c>
      <c r="H1010" s="2">
        <v>0.66551539999999998</v>
      </c>
      <c r="J1010" t="str">
        <f t="shared" si="39"/>
        <v>0.66 (0.66 to 0.67)</v>
      </c>
    </row>
    <row r="1011" spans="1:10" x14ac:dyDescent="0.3">
      <c r="A1011" s="6"/>
      <c r="B1011" s="3">
        <v>3</v>
      </c>
      <c r="C1011" s="14" t="s">
        <v>115</v>
      </c>
      <c r="D1011" s="2">
        <v>926</v>
      </c>
      <c r="E1011" s="2">
        <v>0.68530500000000005</v>
      </c>
      <c r="F1011" s="2">
        <v>3.075E-3</v>
      </c>
      <c r="G1011" s="2">
        <v>0.67927671000000001</v>
      </c>
      <c r="H1011" s="2">
        <v>0.69133418000000002</v>
      </c>
      <c r="J1011" t="str">
        <f t="shared" si="39"/>
        <v>0.69 (0.68 to 0.69)</v>
      </c>
    </row>
    <row r="1015" spans="1:10" x14ac:dyDescent="0.3">
      <c r="A1015" s="1" t="s">
        <v>237</v>
      </c>
    </row>
    <row r="1017" spans="1:10" x14ac:dyDescent="0.3">
      <c r="A1017" s="1" t="s">
        <v>1</v>
      </c>
    </row>
    <row r="1018" spans="1:10" ht="17.25" thickBot="1" x14ac:dyDescent="0.35"/>
    <row r="1019" spans="1:10" ht="16.5" customHeight="1" x14ac:dyDescent="0.3">
      <c r="A1019" s="16" t="s">
        <v>135</v>
      </c>
      <c r="B1019" s="18"/>
    </row>
    <row r="1020" spans="1:10" ht="26.25" thickBot="1" x14ac:dyDescent="0.35">
      <c r="A1020" s="12" t="s">
        <v>136</v>
      </c>
      <c r="B1020" s="2">
        <v>183</v>
      </c>
    </row>
    <row r="1021" spans="1:10" ht="26.25" thickBot="1" x14ac:dyDescent="0.35">
      <c r="A1021" s="12" t="s">
        <v>137</v>
      </c>
      <c r="B1021" s="2">
        <v>2949</v>
      </c>
    </row>
    <row r="1022" spans="1:10" ht="39" thickBot="1" x14ac:dyDescent="0.35">
      <c r="A1022" s="12" t="s">
        <v>138</v>
      </c>
      <c r="B1022" s="2">
        <v>23222</v>
      </c>
    </row>
    <row r="1023" spans="1:10" ht="25.5" x14ac:dyDescent="0.3">
      <c r="A1023" s="13" t="s">
        <v>139</v>
      </c>
      <c r="B1023" s="2">
        <v>9036880.5199999996</v>
      </c>
    </row>
    <row r="1024" spans="1:10" ht="17.25" thickBot="1" x14ac:dyDescent="0.35"/>
    <row r="1025" spans="1:8" ht="33" customHeight="1" x14ac:dyDescent="0.3">
      <c r="A1025" s="16" t="s">
        <v>140</v>
      </c>
      <c r="B1025" s="18"/>
    </row>
    <row r="1026" spans="1:8" ht="33.75" thickBot="1" x14ac:dyDescent="0.35">
      <c r="A1026" s="12" t="s">
        <v>141</v>
      </c>
      <c r="B1026" s="2" t="s">
        <v>142</v>
      </c>
    </row>
    <row r="1027" spans="1:8" ht="25.5" x14ac:dyDescent="0.3">
      <c r="A1027" s="13" t="s">
        <v>143</v>
      </c>
      <c r="B1027" s="2" t="s">
        <v>144</v>
      </c>
    </row>
    <row r="1028" spans="1:8" ht="17.25" thickBot="1" x14ac:dyDescent="0.35"/>
    <row r="1029" spans="1:8" ht="16.5" customHeight="1" x14ac:dyDescent="0.3">
      <c r="A1029" s="16" t="s">
        <v>238</v>
      </c>
      <c r="B1029" s="18"/>
      <c r="C1029" s="18"/>
      <c r="D1029" s="18"/>
      <c r="E1029" s="18"/>
      <c r="F1029" s="18"/>
    </row>
    <row r="1030" spans="1:8" ht="16.5" customHeight="1" x14ac:dyDescent="0.3">
      <c r="A1030" s="17" t="s">
        <v>239</v>
      </c>
      <c r="B1030" s="19" t="s">
        <v>94</v>
      </c>
      <c r="C1030" s="19" t="s">
        <v>240</v>
      </c>
      <c r="D1030" s="3" t="s">
        <v>241</v>
      </c>
      <c r="E1030" s="19" t="s">
        <v>243</v>
      </c>
      <c r="F1030" s="19"/>
    </row>
    <row r="1031" spans="1:8" x14ac:dyDescent="0.3">
      <c r="A1031" s="17"/>
      <c r="B1031" s="19"/>
      <c r="C1031" s="19"/>
      <c r="D1031" s="3" t="s">
        <v>242</v>
      </c>
      <c r="E1031" s="19"/>
      <c r="F1031" s="19"/>
    </row>
    <row r="1032" spans="1:8" x14ac:dyDescent="0.3">
      <c r="A1032" s="13" t="s">
        <v>115</v>
      </c>
      <c r="B1032" s="2">
        <v>23222</v>
      </c>
      <c r="C1032" s="2">
        <v>0.64841899999999997</v>
      </c>
      <c r="D1032" s="2">
        <v>7.7200000000000001E-4</v>
      </c>
      <c r="E1032" s="2">
        <v>0.64690462000000004</v>
      </c>
      <c r="F1032" s="2">
        <v>0.64993400999999995</v>
      </c>
    </row>
    <row r="1036" spans="1:8" x14ac:dyDescent="0.3">
      <c r="A1036" s="1" t="s">
        <v>237</v>
      </c>
    </row>
    <row r="1038" spans="1:8" x14ac:dyDescent="0.3">
      <c r="A1038" s="1" t="s">
        <v>1</v>
      </c>
    </row>
    <row r="1039" spans="1:8" ht="17.25" thickBot="1" x14ac:dyDescent="0.35"/>
    <row r="1040" spans="1:8" ht="16.5" customHeight="1" x14ac:dyDescent="0.3">
      <c r="A1040" s="16" t="s">
        <v>260</v>
      </c>
      <c r="B1040" s="18"/>
      <c r="C1040" s="18"/>
      <c r="D1040" s="18"/>
      <c r="E1040" s="18"/>
      <c r="F1040" s="18"/>
      <c r="G1040" s="18"/>
      <c r="H1040" s="18"/>
    </row>
    <row r="1041" spans="1:8" ht="16.5" customHeight="1" x14ac:dyDescent="0.3">
      <c r="A1041" s="17" t="s">
        <v>249</v>
      </c>
      <c r="B1041" s="19" t="s">
        <v>15</v>
      </c>
      <c r="C1041" s="19" t="s">
        <v>239</v>
      </c>
      <c r="D1041" s="19" t="s">
        <v>94</v>
      </c>
      <c r="E1041" s="19" t="s">
        <v>240</v>
      </c>
      <c r="F1041" s="3" t="s">
        <v>241</v>
      </c>
      <c r="G1041" s="19" t="s">
        <v>243</v>
      </c>
      <c r="H1041" s="19"/>
    </row>
    <row r="1042" spans="1:8" x14ac:dyDescent="0.3">
      <c r="A1042" s="17"/>
      <c r="B1042" s="19"/>
      <c r="C1042" s="19"/>
      <c r="D1042" s="19"/>
      <c r="E1042" s="19"/>
      <c r="F1042" s="3" t="s">
        <v>242</v>
      </c>
      <c r="G1042" s="19"/>
      <c r="H1042" s="19"/>
    </row>
    <row r="1043" spans="1:8" ht="17.25" thickBot="1" x14ac:dyDescent="0.35">
      <c r="A1043" s="6">
        <v>1</v>
      </c>
      <c r="B1043" s="3">
        <v>0</v>
      </c>
      <c r="C1043" s="11" t="s">
        <v>115</v>
      </c>
      <c r="D1043" s="2">
        <v>2157</v>
      </c>
      <c r="E1043" s="2">
        <v>0.67631600000000003</v>
      </c>
      <c r="F1043" s="2">
        <v>2.2369999999999998E-3</v>
      </c>
      <c r="G1043" s="2">
        <v>0.67192892999999998</v>
      </c>
      <c r="H1043" s="2">
        <v>0.68070269999999999</v>
      </c>
    </row>
    <row r="1044" spans="1:8" ht="17.25" thickBot="1" x14ac:dyDescent="0.35">
      <c r="A1044" s="6"/>
      <c r="B1044" s="3">
        <v>1</v>
      </c>
      <c r="C1044" s="11" t="s">
        <v>115</v>
      </c>
      <c r="D1044" s="2">
        <v>556</v>
      </c>
      <c r="E1044" s="2">
        <v>0.68932700000000002</v>
      </c>
      <c r="F1044" s="2">
        <v>4.3790000000000001E-3</v>
      </c>
      <c r="G1044" s="2">
        <v>0.68074186999999997</v>
      </c>
      <c r="H1044" s="2">
        <v>0.69791287999999996</v>
      </c>
    </row>
    <row r="1045" spans="1:8" ht="17.25" thickBot="1" x14ac:dyDescent="0.35">
      <c r="A1045" s="6"/>
      <c r="B1045" s="3">
        <v>8</v>
      </c>
      <c r="C1045" s="11" t="s">
        <v>115</v>
      </c>
      <c r="D1045" s="2">
        <v>1027</v>
      </c>
      <c r="E1045" s="2">
        <v>0.59360199999999996</v>
      </c>
      <c r="F1045" s="2">
        <v>2.516E-3</v>
      </c>
      <c r="G1045" s="2">
        <v>0.58866823999999995</v>
      </c>
      <c r="H1045" s="2">
        <v>0.59853493999999996</v>
      </c>
    </row>
    <row r="1046" spans="1:8" ht="17.25" thickBot="1" x14ac:dyDescent="0.35">
      <c r="A1046" s="6">
        <v>2</v>
      </c>
      <c r="B1046" s="3">
        <v>0</v>
      </c>
      <c r="C1046" s="11" t="s">
        <v>115</v>
      </c>
      <c r="D1046" s="2">
        <v>2295</v>
      </c>
      <c r="E1046" s="2">
        <v>0.67405800000000005</v>
      </c>
      <c r="F1046" s="2">
        <v>2.2030000000000001E-3</v>
      </c>
      <c r="G1046" s="2">
        <v>0.66973901000000002</v>
      </c>
      <c r="H1046" s="2">
        <v>0.67837762999999995</v>
      </c>
    </row>
    <row r="1047" spans="1:8" ht="17.25" thickBot="1" x14ac:dyDescent="0.35">
      <c r="A1047" s="6"/>
      <c r="B1047" s="3">
        <v>1</v>
      </c>
      <c r="C1047" s="11" t="s">
        <v>115</v>
      </c>
      <c r="D1047" s="2">
        <v>237</v>
      </c>
      <c r="E1047" s="2">
        <v>0.68360600000000005</v>
      </c>
      <c r="F1047" s="2">
        <v>5.3179999999999998E-3</v>
      </c>
      <c r="G1047" s="2">
        <v>0.67317861999999995</v>
      </c>
      <c r="H1047" s="2">
        <v>0.69403261999999999</v>
      </c>
    </row>
    <row r="1048" spans="1:8" ht="17.25" thickBot="1" x14ac:dyDescent="0.35">
      <c r="A1048" s="6"/>
      <c r="B1048" s="3">
        <v>8</v>
      </c>
      <c r="C1048" s="11" t="s">
        <v>115</v>
      </c>
      <c r="D1048" s="2">
        <v>2200</v>
      </c>
      <c r="E1048" s="2">
        <v>0.592198</v>
      </c>
      <c r="F1048" s="2">
        <v>1.516E-3</v>
      </c>
      <c r="G1048" s="2">
        <v>0.58922563999999999</v>
      </c>
      <c r="H1048" s="2">
        <v>0.59516994000000001</v>
      </c>
    </row>
    <row r="1049" spans="1:8" ht="17.25" thickBot="1" x14ac:dyDescent="0.35">
      <c r="A1049" s="6">
        <v>3</v>
      </c>
      <c r="B1049" s="3">
        <v>0</v>
      </c>
      <c r="C1049" s="11" t="s">
        <v>115</v>
      </c>
      <c r="D1049" s="2">
        <v>2055</v>
      </c>
      <c r="E1049" s="2">
        <v>0.67531300000000005</v>
      </c>
      <c r="F1049" s="2">
        <v>2.2859999999999998E-3</v>
      </c>
      <c r="G1049" s="2">
        <v>0.67083113999999999</v>
      </c>
      <c r="H1049" s="2">
        <v>0.67979579000000001</v>
      </c>
    </row>
    <row r="1050" spans="1:8" ht="17.25" thickBot="1" x14ac:dyDescent="0.35">
      <c r="A1050" s="6"/>
      <c r="B1050" s="3">
        <v>1</v>
      </c>
      <c r="C1050" s="11" t="s">
        <v>115</v>
      </c>
      <c r="D1050" s="2">
        <v>277</v>
      </c>
      <c r="E1050" s="2">
        <v>0.69208099999999995</v>
      </c>
      <c r="F1050" s="2">
        <v>5.7169999999999999E-3</v>
      </c>
      <c r="G1050" s="2">
        <v>0.68087030999999998</v>
      </c>
      <c r="H1050" s="2">
        <v>0.70329085999999996</v>
      </c>
    </row>
    <row r="1051" spans="1:8" ht="17.25" thickBot="1" x14ac:dyDescent="0.35">
      <c r="A1051" s="6"/>
      <c r="B1051" s="3">
        <v>8</v>
      </c>
      <c r="C1051" s="11" t="s">
        <v>115</v>
      </c>
      <c r="D1051" s="2">
        <v>1925</v>
      </c>
      <c r="E1051" s="2">
        <v>0.61002400000000001</v>
      </c>
      <c r="F1051" s="2">
        <v>1.9650000000000002E-3</v>
      </c>
      <c r="G1051" s="2">
        <v>0.60617082</v>
      </c>
      <c r="H1051" s="2">
        <v>0.61387683000000004</v>
      </c>
    </row>
    <row r="1052" spans="1:8" ht="17.25" thickBot="1" x14ac:dyDescent="0.35">
      <c r="A1052" s="6">
        <v>4</v>
      </c>
      <c r="B1052" s="3">
        <v>0</v>
      </c>
      <c r="C1052" s="11" t="s">
        <v>115</v>
      </c>
      <c r="D1052" s="2">
        <v>2406</v>
      </c>
      <c r="E1052" s="2">
        <v>0.67874599999999996</v>
      </c>
      <c r="F1052" s="2">
        <v>2.055E-3</v>
      </c>
      <c r="G1052" s="2">
        <v>0.67471707000000003</v>
      </c>
      <c r="H1052" s="2">
        <v>0.68277536000000005</v>
      </c>
    </row>
    <row r="1053" spans="1:8" ht="17.25" thickBot="1" x14ac:dyDescent="0.35">
      <c r="A1053" s="6"/>
      <c r="B1053" s="3">
        <v>1</v>
      </c>
      <c r="C1053" s="11" t="s">
        <v>115</v>
      </c>
      <c r="D1053" s="2">
        <v>305</v>
      </c>
      <c r="E1053" s="2">
        <v>0.69477299999999997</v>
      </c>
      <c r="F1053" s="2">
        <v>5.0850000000000001E-3</v>
      </c>
      <c r="G1053" s="2">
        <v>0.68480116000000002</v>
      </c>
      <c r="H1053" s="2">
        <v>0.70474398999999999</v>
      </c>
    </row>
    <row r="1054" spans="1:8" ht="17.25" thickBot="1" x14ac:dyDescent="0.35">
      <c r="A1054" s="6"/>
      <c r="B1054" s="3">
        <v>8</v>
      </c>
      <c r="C1054" s="11" t="s">
        <v>115</v>
      </c>
      <c r="D1054" s="2">
        <v>1845</v>
      </c>
      <c r="E1054" s="2">
        <v>0.60197900000000004</v>
      </c>
      <c r="F1054" s="2">
        <v>1.7769999999999999E-3</v>
      </c>
      <c r="G1054" s="2">
        <v>0.59849463000000003</v>
      </c>
      <c r="H1054" s="2">
        <v>0.60546285</v>
      </c>
    </row>
    <row r="1055" spans="1:8" ht="17.25" thickBot="1" x14ac:dyDescent="0.35">
      <c r="A1055" s="6">
        <v>5</v>
      </c>
      <c r="B1055" s="3">
        <v>0</v>
      </c>
      <c r="C1055" s="11" t="s">
        <v>115</v>
      </c>
      <c r="D1055" s="2">
        <v>2533</v>
      </c>
      <c r="E1055" s="2">
        <v>0.69228199999999995</v>
      </c>
      <c r="F1055" s="2">
        <v>1.9989999999999999E-3</v>
      </c>
      <c r="G1055" s="2">
        <v>0.68836291000000005</v>
      </c>
      <c r="H1055" s="2">
        <v>0.69620086000000003</v>
      </c>
    </row>
    <row r="1056" spans="1:8" ht="17.25" thickBot="1" x14ac:dyDescent="0.35">
      <c r="A1056" s="6"/>
      <c r="B1056" s="3">
        <v>1</v>
      </c>
      <c r="C1056" s="11" t="s">
        <v>115</v>
      </c>
      <c r="D1056" s="2">
        <v>316</v>
      </c>
      <c r="E1056" s="2">
        <v>0.71040899999999996</v>
      </c>
      <c r="F1056" s="2">
        <v>5.509E-3</v>
      </c>
      <c r="G1056" s="2">
        <v>0.69960672000000002</v>
      </c>
      <c r="H1056" s="2">
        <v>0.72121089999999999</v>
      </c>
    </row>
    <row r="1057" spans="1:8" ht="17.25" thickBot="1" x14ac:dyDescent="0.35">
      <c r="A1057" s="6"/>
      <c r="B1057" s="3">
        <v>8</v>
      </c>
      <c r="C1057" s="11" t="s">
        <v>115</v>
      </c>
      <c r="D1057" s="2">
        <v>1652</v>
      </c>
      <c r="E1057" s="2">
        <v>0.61066299999999996</v>
      </c>
      <c r="F1057" s="2">
        <v>1.8109999999999999E-3</v>
      </c>
      <c r="G1057" s="2">
        <v>0.60711219000000005</v>
      </c>
      <c r="H1057" s="2">
        <v>0.61421353000000001</v>
      </c>
    </row>
    <row r="1058" spans="1:8" ht="17.25" thickBot="1" x14ac:dyDescent="0.35">
      <c r="A1058" s="6">
        <v>6</v>
      </c>
      <c r="B1058" s="3">
        <v>0</v>
      </c>
      <c r="C1058" s="11" t="s">
        <v>115</v>
      </c>
      <c r="D1058" s="2">
        <v>804</v>
      </c>
      <c r="E1058" s="2">
        <v>0.67907700000000004</v>
      </c>
      <c r="F1058" s="2">
        <v>3.614E-3</v>
      </c>
      <c r="G1058" s="2">
        <v>0.67199171000000002</v>
      </c>
      <c r="H1058" s="2">
        <v>0.68616319999999997</v>
      </c>
    </row>
    <row r="1059" spans="1:8" ht="17.25" thickBot="1" x14ac:dyDescent="0.35">
      <c r="A1059" s="6"/>
      <c r="B1059" s="3">
        <v>1</v>
      </c>
      <c r="C1059" s="11" t="s">
        <v>115</v>
      </c>
      <c r="D1059" s="2">
        <v>92</v>
      </c>
      <c r="E1059" s="2">
        <v>0.71072400000000002</v>
      </c>
      <c r="F1059" s="2">
        <v>8.7209999999999996E-3</v>
      </c>
      <c r="G1059" s="2">
        <v>0.69362506000000002</v>
      </c>
      <c r="H1059" s="2">
        <v>0.72782389999999997</v>
      </c>
    </row>
    <row r="1060" spans="1:8" x14ac:dyDescent="0.3">
      <c r="A1060" s="6"/>
      <c r="B1060" s="3">
        <v>8</v>
      </c>
      <c r="C1060" s="14" t="s">
        <v>115</v>
      </c>
      <c r="D1060" s="2">
        <v>540</v>
      </c>
      <c r="E1060" s="2">
        <v>0.61547300000000005</v>
      </c>
      <c r="F1060" s="2">
        <v>3.0820000000000001E-3</v>
      </c>
      <c r="G1060" s="2">
        <v>0.60942965000000004</v>
      </c>
      <c r="H1060" s="2">
        <v>0.62151679000000004</v>
      </c>
    </row>
    <row r="1064" spans="1:8" x14ac:dyDescent="0.3">
      <c r="A1064" s="1" t="s">
        <v>237</v>
      </c>
    </row>
    <row r="1066" spans="1:8" x14ac:dyDescent="0.3">
      <c r="A1066" s="1" t="s">
        <v>21</v>
      </c>
    </row>
    <row r="1067" spans="1:8" ht="17.25" thickBot="1" x14ac:dyDescent="0.35"/>
    <row r="1068" spans="1:8" ht="16.5" customHeight="1" x14ac:dyDescent="0.3">
      <c r="A1068" s="16" t="s">
        <v>135</v>
      </c>
      <c r="B1068" s="18"/>
    </row>
    <row r="1069" spans="1:8" ht="26.25" thickBot="1" x14ac:dyDescent="0.35">
      <c r="A1069" s="12" t="s">
        <v>136</v>
      </c>
      <c r="B1069" s="2">
        <v>183</v>
      </c>
    </row>
    <row r="1070" spans="1:8" ht="26.25" thickBot="1" x14ac:dyDescent="0.35">
      <c r="A1070" s="12" t="s">
        <v>137</v>
      </c>
      <c r="B1070" s="2">
        <v>2982</v>
      </c>
    </row>
    <row r="1071" spans="1:8" ht="39" thickBot="1" x14ac:dyDescent="0.35">
      <c r="A1071" s="12" t="s">
        <v>138</v>
      </c>
      <c r="B1071" s="2">
        <v>68635</v>
      </c>
    </row>
    <row r="1072" spans="1:8" ht="25.5" x14ac:dyDescent="0.3">
      <c r="A1072" s="13" t="s">
        <v>139</v>
      </c>
      <c r="B1072" s="2">
        <v>30251935.699999999</v>
      </c>
    </row>
    <row r="1073" spans="1:6" ht="17.25" thickBot="1" x14ac:dyDescent="0.35"/>
    <row r="1074" spans="1:6" ht="33" customHeight="1" x14ac:dyDescent="0.3">
      <c r="A1074" s="16" t="s">
        <v>140</v>
      </c>
      <c r="B1074" s="18"/>
    </row>
    <row r="1075" spans="1:6" ht="33.75" thickBot="1" x14ac:dyDescent="0.35">
      <c r="A1075" s="12" t="s">
        <v>141</v>
      </c>
      <c r="B1075" s="2" t="s">
        <v>142</v>
      </c>
    </row>
    <row r="1076" spans="1:6" ht="25.5" x14ac:dyDescent="0.3">
      <c r="A1076" s="13" t="s">
        <v>143</v>
      </c>
      <c r="B1076" s="2" t="s">
        <v>144</v>
      </c>
    </row>
    <row r="1077" spans="1:6" ht="17.25" thickBot="1" x14ac:dyDescent="0.35"/>
    <row r="1078" spans="1:6" ht="16.5" customHeight="1" x14ac:dyDescent="0.3">
      <c r="A1078" s="16" t="s">
        <v>238</v>
      </c>
      <c r="B1078" s="18"/>
      <c r="C1078" s="18"/>
      <c r="D1078" s="18"/>
      <c r="E1078" s="18"/>
      <c r="F1078" s="18"/>
    </row>
    <row r="1079" spans="1:6" ht="16.5" customHeight="1" x14ac:dyDescent="0.3">
      <c r="A1079" s="17" t="s">
        <v>239</v>
      </c>
      <c r="B1079" s="19" t="s">
        <v>94</v>
      </c>
      <c r="C1079" s="19" t="s">
        <v>240</v>
      </c>
      <c r="D1079" s="3" t="s">
        <v>241</v>
      </c>
      <c r="E1079" s="19" t="s">
        <v>243</v>
      </c>
      <c r="F1079" s="19"/>
    </row>
    <row r="1080" spans="1:6" x14ac:dyDescent="0.3">
      <c r="A1080" s="17"/>
      <c r="B1080" s="19"/>
      <c r="C1080" s="19"/>
      <c r="D1080" s="3" t="s">
        <v>242</v>
      </c>
      <c r="E1080" s="19"/>
      <c r="F1080" s="19"/>
    </row>
    <row r="1081" spans="1:6" x14ac:dyDescent="0.3">
      <c r="A1081" s="13" t="s">
        <v>115</v>
      </c>
      <c r="B1081" s="2">
        <v>68635</v>
      </c>
      <c r="C1081" s="2">
        <v>0.66370899999999999</v>
      </c>
      <c r="D1081" s="2">
        <v>4.4099999999999999E-4</v>
      </c>
      <c r="E1081" s="2">
        <v>0.66284405999999996</v>
      </c>
      <c r="F1081" s="2">
        <v>0.66457339000000004</v>
      </c>
    </row>
    <row r="1085" spans="1:6" x14ac:dyDescent="0.3">
      <c r="A1085" s="1" t="s">
        <v>237</v>
      </c>
    </row>
    <row r="1087" spans="1:6" x14ac:dyDescent="0.3">
      <c r="A1087" s="1" t="s">
        <v>21</v>
      </c>
    </row>
    <row r="1088" spans="1:6" ht="17.25" thickBot="1" x14ac:dyDescent="0.35"/>
    <row r="1089" spans="1:15" ht="16.5" customHeight="1" x14ac:dyDescent="0.3">
      <c r="A1089" s="16" t="s">
        <v>260</v>
      </c>
      <c r="B1089" s="18"/>
      <c r="C1089" s="18"/>
      <c r="D1089" s="18"/>
      <c r="E1089" s="18"/>
      <c r="F1089" s="18"/>
      <c r="G1089" s="18"/>
      <c r="H1089" s="18"/>
    </row>
    <row r="1090" spans="1:15" ht="16.5" customHeight="1" x14ac:dyDescent="0.3">
      <c r="A1090" s="17" t="s">
        <v>249</v>
      </c>
      <c r="B1090" s="19" t="s">
        <v>15</v>
      </c>
      <c r="C1090" s="19" t="s">
        <v>239</v>
      </c>
      <c r="D1090" s="19" t="s">
        <v>94</v>
      </c>
      <c r="E1090" s="19" t="s">
        <v>240</v>
      </c>
      <c r="F1090" s="3" t="s">
        <v>241</v>
      </c>
      <c r="G1090" s="19" t="s">
        <v>243</v>
      </c>
      <c r="H1090" s="19"/>
    </row>
    <row r="1091" spans="1:15" x14ac:dyDescent="0.3">
      <c r="A1091" s="17"/>
      <c r="B1091" s="19"/>
      <c r="C1091" s="19"/>
      <c r="D1091" s="19"/>
      <c r="E1091" s="19"/>
      <c r="F1091" s="3" t="s">
        <v>242</v>
      </c>
      <c r="G1091" s="19"/>
      <c r="H1091" s="19"/>
    </row>
    <row r="1092" spans="1:15" ht="17.25" thickBot="1" x14ac:dyDescent="0.35">
      <c r="A1092" s="6">
        <v>1</v>
      </c>
      <c r="B1092" s="3">
        <v>0</v>
      </c>
      <c r="C1092" s="11" t="s">
        <v>115</v>
      </c>
      <c r="D1092" s="2">
        <v>6591</v>
      </c>
      <c r="E1092" s="2">
        <v>0.64250499999999999</v>
      </c>
      <c r="F1092" s="2">
        <v>1.462E-3</v>
      </c>
      <c r="G1092" s="2">
        <v>0.63963917000000003</v>
      </c>
      <c r="H1092" s="2">
        <v>0.64537151000000004</v>
      </c>
      <c r="J1092" t="str">
        <f t="shared" ref="J1092:J1103" si="45">TEXT(E1092,"0.00")&amp;" ("&amp;TEXT(G1092,"0.00")&amp;" to "&amp;TEXT(H1092,"0.00")&amp;")"</f>
        <v>0.64 (0.64 to 0.65)</v>
      </c>
      <c r="K1092" t="str">
        <f>J1094</f>
        <v>0.65 (0.65 to 0.65)</v>
      </c>
      <c r="L1092" t="str">
        <f>J1096</f>
        <v>0.65 (0.65 to 0.65)</v>
      </c>
      <c r="M1092" t="str">
        <f>J1098</f>
        <v>0.66 (0.65 to 0.66)</v>
      </c>
      <c r="N1092" t="str">
        <f>J1100</f>
        <v>0.67 (0.66 to 0.67)</v>
      </c>
      <c r="O1092" t="str">
        <f>J1102</f>
        <v>0.66 (0.66 to 0.67)</v>
      </c>
    </row>
    <row r="1093" spans="1:15" ht="17.25" thickBot="1" x14ac:dyDescent="0.35">
      <c r="A1093" s="6"/>
      <c r="B1093" s="3">
        <v>1</v>
      </c>
      <c r="C1093" s="11" t="s">
        <v>115</v>
      </c>
      <c r="D1093" s="2">
        <v>5324</v>
      </c>
      <c r="E1093" s="2">
        <v>0.67896599999999996</v>
      </c>
      <c r="F1093" s="2">
        <v>1.3489999999999999E-3</v>
      </c>
      <c r="G1093" s="2">
        <v>0.67632157000000004</v>
      </c>
      <c r="H1093" s="2">
        <v>0.68161042000000005</v>
      </c>
      <c r="J1093" t="str">
        <f t="shared" si="45"/>
        <v>0.68 (0.68 to 0.68)</v>
      </c>
      <c r="K1093" t="str">
        <f>J1095</f>
        <v>0.68 (0.67 to 0.68)</v>
      </c>
      <c r="L1093" t="str">
        <f>J1097</f>
        <v>0.68 (0.68 to 0.69)</v>
      </c>
      <c r="M1093" t="str">
        <f>J1099</f>
        <v>0.69 (0.69 to 0.69)</v>
      </c>
      <c r="N1093" t="str">
        <f>J1101</f>
        <v>0.70 (0.69 to 0.70)</v>
      </c>
      <c r="O1093" t="str">
        <f>J1103</f>
        <v>0.70 (0.69 to 0.71)</v>
      </c>
    </row>
    <row r="1094" spans="1:15" ht="17.25" thickBot="1" x14ac:dyDescent="0.35">
      <c r="A1094" s="6">
        <v>2</v>
      </c>
      <c r="B1094" s="3">
        <v>0</v>
      </c>
      <c r="C1094" s="11" t="s">
        <v>115</v>
      </c>
      <c r="D1094" s="2">
        <v>10072</v>
      </c>
      <c r="E1094" s="2">
        <v>0.65053300000000003</v>
      </c>
      <c r="F1094" s="2">
        <v>1.0870000000000001E-3</v>
      </c>
      <c r="G1094" s="2">
        <v>0.64840160000000002</v>
      </c>
      <c r="H1094" s="2">
        <v>0.65266524999999997</v>
      </c>
      <c r="J1094" t="str">
        <f t="shared" si="45"/>
        <v>0.65 (0.65 to 0.65)</v>
      </c>
    </row>
    <row r="1095" spans="1:15" ht="17.25" thickBot="1" x14ac:dyDescent="0.35">
      <c r="A1095" s="6"/>
      <c r="B1095" s="3">
        <v>1</v>
      </c>
      <c r="C1095" s="11" t="s">
        <v>115</v>
      </c>
      <c r="D1095" s="2">
        <v>3044</v>
      </c>
      <c r="E1095" s="2">
        <v>0.67500300000000002</v>
      </c>
      <c r="F1095" s="2">
        <v>1.652E-3</v>
      </c>
      <c r="G1095" s="2">
        <v>0.67176387000000004</v>
      </c>
      <c r="H1095" s="2">
        <v>0.67824222999999995</v>
      </c>
      <c r="J1095" t="str">
        <f t="shared" si="45"/>
        <v>0.68 (0.67 to 0.68)</v>
      </c>
    </row>
    <row r="1096" spans="1:15" ht="17.25" thickBot="1" x14ac:dyDescent="0.35">
      <c r="A1096" s="6">
        <v>3</v>
      </c>
      <c r="B1096" s="3">
        <v>0</v>
      </c>
      <c r="C1096" s="11" t="s">
        <v>115</v>
      </c>
      <c r="D1096" s="2">
        <v>9105</v>
      </c>
      <c r="E1096" s="2">
        <v>0.65082899999999999</v>
      </c>
      <c r="F1096" s="2">
        <v>1.1640000000000001E-3</v>
      </c>
      <c r="G1096" s="2">
        <v>0.64854677000000005</v>
      </c>
      <c r="H1096" s="2">
        <v>0.65311048999999999</v>
      </c>
      <c r="J1096" t="str">
        <f t="shared" si="45"/>
        <v>0.65 (0.65 to 0.65)</v>
      </c>
    </row>
    <row r="1097" spans="1:15" ht="17.25" thickBot="1" x14ac:dyDescent="0.35">
      <c r="A1097" s="6"/>
      <c r="B1097" s="3">
        <v>1</v>
      </c>
      <c r="C1097" s="11" t="s">
        <v>115</v>
      </c>
      <c r="D1097" s="2">
        <v>2370</v>
      </c>
      <c r="E1097" s="2">
        <v>0.68397399999999997</v>
      </c>
      <c r="F1097" s="2">
        <v>1.8439999999999999E-3</v>
      </c>
      <c r="G1097" s="2">
        <v>0.68035796999999998</v>
      </c>
      <c r="H1097" s="2">
        <v>0.68758918999999996</v>
      </c>
      <c r="J1097" t="str">
        <f t="shared" si="45"/>
        <v>0.68 (0.68 to 0.69)</v>
      </c>
    </row>
    <row r="1098" spans="1:15" ht="17.25" thickBot="1" x14ac:dyDescent="0.35">
      <c r="A1098" s="6">
        <v>4</v>
      </c>
      <c r="B1098" s="3">
        <v>0</v>
      </c>
      <c r="C1098" s="11" t="s">
        <v>115</v>
      </c>
      <c r="D1098" s="2">
        <v>11360</v>
      </c>
      <c r="E1098" s="2">
        <v>0.65698299999999998</v>
      </c>
      <c r="F1098" s="2">
        <v>1.044E-3</v>
      </c>
      <c r="G1098" s="2">
        <v>0.65493526999999996</v>
      </c>
      <c r="H1098" s="2">
        <v>0.65903045000000005</v>
      </c>
      <c r="J1098" t="str">
        <f t="shared" si="45"/>
        <v>0.66 (0.65 to 0.66)</v>
      </c>
    </row>
    <row r="1099" spans="1:15" ht="17.25" thickBot="1" x14ac:dyDescent="0.35">
      <c r="A1099" s="6"/>
      <c r="B1099" s="3">
        <v>1</v>
      </c>
      <c r="C1099" s="11" t="s">
        <v>115</v>
      </c>
      <c r="D1099" s="2">
        <v>2798</v>
      </c>
      <c r="E1099" s="2">
        <v>0.68992500000000001</v>
      </c>
      <c r="F1099" s="2">
        <v>1.5950000000000001E-3</v>
      </c>
      <c r="G1099" s="2">
        <v>0.68679685000000001</v>
      </c>
      <c r="H1099" s="2">
        <v>0.69305249999999996</v>
      </c>
      <c r="J1099" t="str">
        <f t="shared" si="45"/>
        <v>0.69 (0.69 to 0.69)</v>
      </c>
    </row>
    <row r="1100" spans="1:15" ht="17.25" thickBot="1" x14ac:dyDescent="0.35">
      <c r="A1100" s="6">
        <v>5</v>
      </c>
      <c r="B1100" s="3">
        <v>0</v>
      </c>
      <c r="C1100" s="11" t="s">
        <v>115</v>
      </c>
      <c r="D1100" s="2">
        <v>11154</v>
      </c>
      <c r="E1100" s="2">
        <v>0.666404</v>
      </c>
      <c r="F1100" s="2">
        <v>1.0280000000000001E-3</v>
      </c>
      <c r="G1100" s="2">
        <v>0.66438881999999999</v>
      </c>
      <c r="H1100" s="2">
        <v>0.66841854000000001</v>
      </c>
      <c r="J1100" t="str">
        <f t="shared" si="45"/>
        <v>0.67 (0.66 to 0.67)</v>
      </c>
    </row>
    <row r="1101" spans="1:15" ht="17.25" thickBot="1" x14ac:dyDescent="0.35">
      <c r="A1101" s="6"/>
      <c r="B1101" s="3">
        <v>1</v>
      </c>
      <c r="C1101" s="11" t="s">
        <v>115</v>
      </c>
      <c r="D1101" s="2">
        <v>2401</v>
      </c>
      <c r="E1101" s="2">
        <v>0.69583200000000001</v>
      </c>
      <c r="F1101" s="2">
        <v>1.853E-3</v>
      </c>
      <c r="G1101" s="2">
        <v>0.69219925000000004</v>
      </c>
      <c r="H1101" s="2">
        <v>0.69946450000000004</v>
      </c>
      <c r="J1101" t="str">
        <f t="shared" si="45"/>
        <v>0.70 (0.69 to 0.70)</v>
      </c>
    </row>
    <row r="1102" spans="1:15" ht="17.25" thickBot="1" x14ac:dyDescent="0.35">
      <c r="A1102" s="6">
        <v>6</v>
      </c>
      <c r="B1102" s="3">
        <v>0</v>
      </c>
      <c r="C1102" s="11" t="s">
        <v>115</v>
      </c>
      <c r="D1102" s="2">
        <v>3782</v>
      </c>
      <c r="E1102" s="2">
        <v>0.66313800000000001</v>
      </c>
      <c r="F1102" s="2">
        <v>1.6540000000000001E-3</v>
      </c>
      <c r="G1102" s="2">
        <v>0.65989458000000001</v>
      </c>
      <c r="H1102" s="2">
        <v>0.66638154000000005</v>
      </c>
      <c r="J1102" t="str">
        <f t="shared" si="45"/>
        <v>0.66 (0.66 to 0.67)</v>
      </c>
    </row>
    <row r="1103" spans="1:15" x14ac:dyDescent="0.3">
      <c r="A1103" s="6"/>
      <c r="B1103" s="3">
        <v>1</v>
      </c>
      <c r="C1103" s="14" t="s">
        <v>115</v>
      </c>
      <c r="D1103" s="2">
        <v>634</v>
      </c>
      <c r="E1103" s="2">
        <v>0.69846799999999998</v>
      </c>
      <c r="F1103" s="2">
        <v>3.4740000000000001E-3</v>
      </c>
      <c r="G1103" s="2">
        <v>0.69165549000000004</v>
      </c>
      <c r="H1103" s="2">
        <v>0.70528084999999996</v>
      </c>
      <c r="J1103" t="str">
        <f t="shared" si="45"/>
        <v>0.70 (0.69 to 0.71)</v>
      </c>
    </row>
    <row r="1107" spans="1:2" x14ac:dyDescent="0.3">
      <c r="A1107" s="1" t="s">
        <v>237</v>
      </c>
    </row>
    <row r="1109" spans="1:2" x14ac:dyDescent="0.3">
      <c r="A1109" s="1" t="s">
        <v>1</v>
      </c>
    </row>
    <row r="1110" spans="1:2" ht="17.25" thickBot="1" x14ac:dyDescent="0.35"/>
    <row r="1111" spans="1:2" ht="16.5" customHeight="1" x14ac:dyDescent="0.3">
      <c r="A1111" s="16" t="s">
        <v>135</v>
      </c>
      <c r="B1111" s="18"/>
    </row>
    <row r="1112" spans="1:2" ht="26.25" thickBot="1" x14ac:dyDescent="0.35">
      <c r="A1112" s="12" t="s">
        <v>136</v>
      </c>
      <c r="B1112" s="2">
        <v>183</v>
      </c>
    </row>
    <row r="1113" spans="1:2" ht="26.25" thickBot="1" x14ac:dyDescent="0.35">
      <c r="A1113" s="12" t="s">
        <v>137</v>
      </c>
      <c r="B1113" s="2">
        <v>2949</v>
      </c>
    </row>
    <row r="1114" spans="1:2" ht="39" thickBot="1" x14ac:dyDescent="0.35">
      <c r="A1114" s="12" t="s">
        <v>138</v>
      </c>
      <c r="B1114" s="2">
        <v>23222</v>
      </c>
    </row>
    <row r="1115" spans="1:2" ht="25.5" x14ac:dyDescent="0.3">
      <c r="A1115" s="13" t="s">
        <v>139</v>
      </c>
      <c r="B1115" s="2">
        <v>9036880.5199999996</v>
      </c>
    </row>
    <row r="1116" spans="1:2" ht="17.25" thickBot="1" x14ac:dyDescent="0.35"/>
    <row r="1117" spans="1:2" ht="33" customHeight="1" x14ac:dyDescent="0.3">
      <c r="A1117" s="16" t="s">
        <v>140</v>
      </c>
      <c r="B1117" s="18"/>
    </row>
    <row r="1118" spans="1:2" ht="33.75" thickBot="1" x14ac:dyDescent="0.35">
      <c r="A1118" s="12" t="s">
        <v>141</v>
      </c>
      <c r="B1118" s="2" t="s">
        <v>142</v>
      </c>
    </row>
    <row r="1119" spans="1:2" ht="25.5" x14ac:dyDescent="0.3">
      <c r="A1119" s="13" t="s">
        <v>143</v>
      </c>
      <c r="B1119" s="2" t="s">
        <v>144</v>
      </c>
    </row>
    <row r="1120" spans="1:2" ht="17.25" thickBot="1" x14ac:dyDescent="0.35"/>
    <row r="1121" spans="1:8" ht="16.5" customHeight="1" x14ac:dyDescent="0.3">
      <c r="A1121" s="16" t="s">
        <v>238</v>
      </c>
      <c r="B1121" s="18"/>
      <c r="C1121" s="18"/>
      <c r="D1121" s="18"/>
      <c r="E1121" s="18"/>
      <c r="F1121" s="18"/>
    </row>
    <row r="1122" spans="1:8" ht="16.5" customHeight="1" x14ac:dyDescent="0.3">
      <c r="A1122" s="17" t="s">
        <v>239</v>
      </c>
      <c r="B1122" s="19" t="s">
        <v>94</v>
      </c>
      <c r="C1122" s="19" t="s">
        <v>240</v>
      </c>
      <c r="D1122" s="3" t="s">
        <v>241</v>
      </c>
      <c r="E1122" s="19" t="s">
        <v>243</v>
      </c>
      <c r="F1122" s="19"/>
    </row>
    <row r="1123" spans="1:8" x14ac:dyDescent="0.3">
      <c r="A1123" s="17"/>
      <c r="B1123" s="19"/>
      <c r="C1123" s="19"/>
      <c r="D1123" s="3" t="s">
        <v>242</v>
      </c>
      <c r="E1123" s="19"/>
      <c r="F1123" s="19"/>
    </row>
    <row r="1124" spans="1:8" x14ac:dyDescent="0.3">
      <c r="A1124" s="13" t="s">
        <v>115</v>
      </c>
      <c r="B1124" s="2">
        <v>23222</v>
      </c>
      <c r="C1124" s="2">
        <v>0.64841899999999997</v>
      </c>
      <c r="D1124" s="2">
        <v>7.7200000000000001E-4</v>
      </c>
      <c r="E1124" s="2">
        <v>0.64690462000000004</v>
      </c>
      <c r="F1124" s="2">
        <v>0.64993400999999995</v>
      </c>
    </row>
    <row r="1128" spans="1:8" x14ac:dyDescent="0.3">
      <c r="A1128" s="1" t="s">
        <v>237</v>
      </c>
    </row>
    <row r="1130" spans="1:8" x14ac:dyDescent="0.3">
      <c r="A1130" s="1" t="s">
        <v>1</v>
      </c>
    </row>
    <row r="1131" spans="1:8" ht="17.25" thickBot="1" x14ac:dyDescent="0.35"/>
    <row r="1132" spans="1:8" ht="16.5" customHeight="1" x14ac:dyDescent="0.3">
      <c r="A1132" s="16" t="s">
        <v>261</v>
      </c>
      <c r="B1132" s="18"/>
      <c r="C1132" s="18"/>
      <c r="D1132" s="18"/>
      <c r="E1132" s="18"/>
      <c r="F1132" s="18"/>
      <c r="G1132" s="18"/>
      <c r="H1132" s="18"/>
    </row>
    <row r="1133" spans="1:8" ht="16.5" customHeight="1" x14ac:dyDescent="0.3">
      <c r="A1133" s="17" t="s">
        <v>249</v>
      </c>
      <c r="B1133" s="19" t="s">
        <v>16</v>
      </c>
      <c r="C1133" s="19" t="s">
        <v>239</v>
      </c>
      <c r="D1133" s="19" t="s">
        <v>94</v>
      </c>
      <c r="E1133" s="19" t="s">
        <v>240</v>
      </c>
      <c r="F1133" s="3" t="s">
        <v>241</v>
      </c>
      <c r="G1133" s="19" t="s">
        <v>243</v>
      </c>
      <c r="H1133" s="19"/>
    </row>
    <row r="1134" spans="1:8" x14ac:dyDescent="0.3">
      <c r="A1134" s="17"/>
      <c r="B1134" s="19"/>
      <c r="C1134" s="19"/>
      <c r="D1134" s="19"/>
      <c r="E1134" s="19"/>
      <c r="F1134" s="3" t="s">
        <v>242</v>
      </c>
      <c r="G1134" s="19"/>
      <c r="H1134" s="19"/>
    </row>
    <row r="1135" spans="1:8" ht="17.25" thickBot="1" x14ac:dyDescent="0.35">
      <c r="A1135" s="6">
        <v>1</v>
      </c>
      <c r="B1135" s="3">
        <v>0</v>
      </c>
      <c r="C1135" s="11" t="s">
        <v>115</v>
      </c>
      <c r="D1135" s="2">
        <v>2942</v>
      </c>
      <c r="E1135" s="2">
        <v>0.64152900000000002</v>
      </c>
      <c r="F1135" s="2">
        <v>2.3259999999999999E-3</v>
      </c>
      <c r="G1135" s="2">
        <v>0.63696726000000004</v>
      </c>
      <c r="H1135" s="2">
        <v>0.64609030000000001</v>
      </c>
    </row>
    <row r="1136" spans="1:8" ht="17.25" thickBot="1" x14ac:dyDescent="0.35">
      <c r="A1136" s="6"/>
      <c r="B1136" s="3">
        <v>1</v>
      </c>
      <c r="C1136" s="11" t="s">
        <v>115</v>
      </c>
      <c r="D1136" s="2">
        <v>798</v>
      </c>
      <c r="E1136" s="2">
        <v>0.72282299999999999</v>
      </c>
      <c r="F1136" s="2">
        <v>3.3189999999999999E-3</v>
      </c>
      <c r="G1136" s="2">
        <v>0.71631529000000005</v>
      </c>
      <c r="H1136" s="2">
        <v>0.72933099999999995</v>
      </c>
    </row>
    <row r="1137" spans="1:8" ht="17.25" thickBot="1" x14ac:dyDescent="0.35">
      <c r="A1137" s="6">
        <v>2</v>
      </c>
      <c r="B1137" s="3">
        <v>0</v>
      </c>
      <c r="C1137" s="11" t="s">
        <v>115</v>
      </c>
      <c r="D1137" s="2">
        <v>3761</v>
      </c>
      <c r="E1137" s="2">
        <v>0.61915200000000004</v>
      </c>
      <c r="F1137" s="2">
        <v>1.49E-3</v>
      </c>
      <c r="G1137" s="2">
        <v>0.61623154999999996</v>
      </c>
      <c r="H1137" s="2">
        <v>0.62207309</v>
      </c>
    </row>
    <row r="1138" spans="1:8" ht="17.25" thickBot="1" x14ac:dyDescent="0.35">
      <c r="A1138" s="6"/>
      <c r="B1138" s="3">
        <v>1</v>
      </c>
      <c r="C1138" s="11" t="s">
        <v>115</v>
      </c>
      <c r="D1138" s="2">
        <v>883</v>
      </c>
      <c r="E1138" s="2">
        <v>0.70718999999999999</v>
      </c>
      <c r="F1138" s="2">
        <v>3.104E-3</v>
      </c>
      <c r="G1138" s="2">
        <v>0.70110433000000005</v>
      </c>
      <c r="H1138" s="2">
        <v>0.71327576000000004</v>
      </c>
    </row>
    <row r="1139" spans="1:8" ht="17.25" thickBot="1" x14ac:dyDescent="0.35">
      <c r="A1139" s="6"/>
      <c r="B1139" s="3">
        <v>8</v>
      </c>
      <c r="C1139" s="11" t="s">
        <v>115</v>
      </c>
      <c r="D1139" s="2">
        <v>88</v>
      </c>
      <c r="E1139" s="2">
        <v>0.65139800000000003</v>
      </c>
      <c r="F1139" s="2">
        <v>6.7229999999999998E-3</v>
      </c>
      <c r="G1139" s="2">
        <v>0.63821497000000005</v>
      </c>
      <c r="H1139" s="2">
        <v>0.66458134000000002</v>
      </c>
    </row>
    <row r="1140" spans="1:8" ht="17.25" thickBot="1" x14ac:dyDescent="0.35">
      <c r="A1140" s="6">
        <v>3</v>
      </c>
      <c r="B1140" s="3">
        <v>0</v>
      </c>
      <c r="C1140" s="11" t="s">
        <v>115</v>
      </c>
      <c r="D1140" s="2">
        <v>2989</v>
      </c>
      <c r="E1140" s="2">
        <v>0.62818300000000005</v>
      </c>
      <c r="F1140" s="2">
        <v>1.848E-3</v>
      </c>
      <c r="G1140" s="2">
        <v>0.62455872000000001</v>
      </c>
      <c r="H1140" s="2">
        <v>0.63180718999999996</v>
      </c>
    </row>
    <row r="1141" spans="1:8" ht="17.25" thickBot="1" x14ac:dyDescent="0.35">
      <c r="A1141" s="6"/>
      <c r="B1141" s="3">
        <v>1</v>
      </c>
      <c r="C1141" s="11" t="s">
        <v>115</v>
      </c>
      <c r="D1141" s="2">
        <v>749</v>
      </c>
      <c r="E1141" s="2">
        <v>0.713001</v>
      </c>
      <c r="F1141" s="2">
        <v>2.9499999999999999E-3</v>
      </c>
      <c r="G1141" s="2">
        <v>0.70721734999999997</v>
      </c>
      <c r="H1141" s="2">
        <v>0.71878441999999998</v>
      </c>
    </row>
    <row r="1142" spans="1:8" ht="17.25" thickBot="1" x14ac:dyDescent="0.35">
      <c r="A1142" s="6"/>
      <c r="B1142" s="3">
        <v>8</v>
      </c>
      <c r="C1142" s="11" t="s">
        <v>115</v>
      </c>
      <c r="D1142" s="2">
        <v>519</v>
      </c>
      <c r="E1142" s="2">
        <v>0.670323</v>
      </c>
      <c r="F1142" s="2">
        <v>4.0810000000000004E-3</v>
      </c>
      <c r="G1142" s="2">
        <v>0.66232073999999996</v>
      </c>
      <c r="H1142" s="2">
        <v>0.67832519999999996</v>
      </c>
    </row>
    <row r="1143" spans="1:8" ht="17.25" thickBot="1" x14ac:dyDescent="0.35">
      <c r="A1143" s="6">
        <v>4</v>
      </c>
      <c r="B1143" s="3">
        <v>0</v>
      </c>
      <c r="C1143" s="11" t="s">
        <v>115</v>
      </c>
      <c r="D1143" s="2">
        <v>3587</v>
      </c>
      <c r="E1143" s="2">
        <v>0.63339999999999996</v>
      </c>
      <c r="F1143" s="2">
        <v>1.784E-3</v>
      </c>
      <c r="G1143" s="2">
        <v>0.62990142999999998</v>
      </c>
      <c r="H1143" s="2">
        <v>0.63689759999999995</v>
      </c>
    </row>
    <row r="1144" spans="1:8" ht="17.25" thickBot="1" x14ac:dyDescent="0.35">
      <c r="A1144" s="6"/>
      <c r="B1144" s="3">
        <v>1</v>
      </c>
      <c r="C1144" s="11" t="s">
        <v>115</v>
      </c>
      <c r="D1144" s="2">
        <v>968</v>
      </c>
      <c r="E1144" s="2">
        <v>0.71506899999999995</v>
      </c>
      <c r="F1144" s="2">
        <v>2.9629999999999999E-3</v>
      </c>
      <c r="G1144" s="2">
        <v>0.70925910000000003</v>
      </c>
      <c r="H1144" s="2">
        <v>0.72087829999999997</v>
      </c>
    </row>
    <row r="1145" spans="1:8" ht="17.25" thickBot="1" x14ac:dyDescent="0.35">
      <c r="A1145" s="6"/>
      <c r="B1145" s="3">
        <v>8</v>
      </c>
      <c r="C1145" s="11" t="s">
        <v>115</v>
      </c>
      <c r="D1145" s="2">
        <v>1</v>
      </c>
      <c r="E1145" s="2">
        <v>0.57421599999999995</v>
      </c>
      <c r="F1145" s="2">
        <v>0</v>
      </c>
      <c r="G1145" s="2">
        <v>0.57421606999999997</v>
      </c>
      <c r="H1145" s="2">
        <v>0.57421606999999997</v>
      </c>
    </row>
    <row r="1146" spans="1:8" ht="17.25" thickBot="1" x14ac:dyDescent="0.35">
      <c r="A1146" s="6">
        <v>5</v>
      </c>
      <c r="B1146" s="3">
        <v>0</v>
      </c>
      <c r="C1146" s="11" t="s">
        <v>115</v>
      </c>
      <c r="D1146" s="2">
        <v>3322</v>
      </c>
      <c r="E1146" s="2">
        <v>0.64441999999999999</v>
      </c>
      <c r="F1146" s="2">
        <v>1.7240000000000001E-3</v>
      </c>
      <c r="G1146" s="2">
        <v>0.64103933999999996</v>
      </c>
      <c r="H1146" s="2">
        <v>0.64780110000000002</v>
      </c>
    </row>
    <row r="1147" spans="1:8" ht="17.25" thickBot="1" x14ac:dyDescent="0.35">
      <c r="A1147" s="6"/>
      <c r="B1147" s="3">
        <v>1</v>
      </c>
      <c r="C1147" s="11" t="s">
        <v>115</v>
      </c>
      <c r="D1147" s="2">
        <v>1179</v>
      </c>
      <c r="E1147" s="2">
        <v>0.72614999999999996</v>
      </c>
      <c r="F1147" s="2">
        <v>2.199E-3</v>
      </c>
      <c r="G1147" s="2">
        <v>0.72183858999999995</v>
      </c>
      <c r="H1147" s="2">
        <v>0.73046188999999995</v>
      </c>
    </row>
    <row r="1148" spans="1:8" ht="17.25" thickBot="1" x14ac:dyDescent="0.35">
      <c r="A1148" s="6">
        <v>6</v>
      </c>
      <c r="B1148" s="3">
        <v>0</v>
      </c>
      <c r="C1148" s="11" t="s">
        <v>115</v>
      </c>
      <c r="D1148" s="2">
        <v>1084</v>
      </c>
      <c r="E1148" s="2">
        <v>0.64166800000000002</v>
      </c>
      <c r="F1148" s="2">
        <v>2.8119999999999998E-3</v>
      </c>
      <c r="G1148" s="2">
        <v>0.63615306999999999</v>
      </c>
      <c r="H1148" s="2">
        <v>0.64718200999999997</v>
      </c>
    </row>
    <row r="1149" spans="1:8" x14ac:dyDescent="0.3">
      <c r="A1149" s="6"/>
      <c r="B1149" s="3">
        <v>1</v>
      </c>
      <c r="C1149" s="14" t="s">
        <v>115</v>
      </c>
      <c r="D1149" s="2">
        <v>352</v>
      </c>
      <c r="E1149" s="2">
        <v>0.71024200000000004</v>
      </c>
      <c r="F1149" s="2">
        <v>3.2650000000000001E-3</v>
      </c>
      <c r="G1149" s="2">
        <v>0.70384047999999999</v>
      </c>
      <c r="H1149" s="2">
        <v>0.71664322000000003</v>
      </c>
    </row>
    <row r="1153" spans="1:6" x14ac:dyDescent="0.3">
      <c r="A1153" s="1" t="s">
        <v>237</v>
      </c>
    </row>
    <row r="1155" spans="1:6" x14ac:dyDescent="0.3">
      <c r="A1155" s="1" t="s">
        <v>21</v>
      </c>
    </row>
    <row r="1156" spans="1:6" ht="17.25" thickBot="1" x14ac:dyDescent="0.35"/>
    <row r="1157" spans="1:6" ht="16.5" customHeight="1" x14ac:dyDescent="0.3">
      <c r="A1157" s="16" t="s">
        <v>135</v>
      </c>
      <c r="B1157" s="18"/>
    </row>
    <row r="1158" spans="1:6" ht="26.25" thickBot="1" x14ac:dyDescent="0.35">
      <c r="A1158" s="12" t="s">
        <v>136</v>
      </c>
      <c r="B1158" s="2">
        <v>183</v>
      </c>
    </row>
    <row r="1159" spans="1:6" ht="26.25" thickBot="1" x14ac:dyDescent="0.35">
      <c r="A1159" s="12" t="s">
        <v>137</v>
      </c>
      <c r="B1159" s="2">
        <v>2982</v>
      </c>
    </row>
    <row r="1160" spans="1:6" ht="39" thickBot="1" x14ac:dyDescent="0.35">
      <c r="A1160" s="12" t="s">
        <v>138</v>
      </c>
      <c r="B1160" s="2">
        <v>68635</v>
      </c>
    </row>
    <row r="1161" spans="1:6" ht="25.5" x14ac:dyDescent="0.3">
      <c r="A1161" s="13" t="s">
        <v>139</v>
      </c>
      <c r="B1161" s="2">
        <v>30251935.699999999</v>
      </c>
    </row>
    <row r="1162" spans="1:6" ht="17.25" thickBot="1" x14ac:dyDescent="0.35"/>
    <row r="1163" spans="1:6" ht="33" customHeight="1" x14ac:dyDescent="0.3">
      <c r="A1163" s="16" t="s">
        <v>140</v>
      </c>
      <c r="B1163" s="18"/>
    </row>
    <row r="1164" spans="1:6" ht="33.75" thickBot="1" x14ac:dyDescent="0.35">
      <c r="A1164" s="12" t="s">
        <v>141</v>
      </c>
      <c r="B1164" s="2" t="s">
        <v>142</v>
      </c>
    </row>
    <row r="1165" spans="1:6" ht="25.5" x14ac:dyDescent="0.3">
      <c r="A1165" s="13" t="s">
        <v>143</v>
      </c>
      <c r="B1165" s="2" t="s">
        <v>144</v>
      </c>
    </row>
    <row r="1166" spans="1:6" ht="17.25" thickBot="1" x14ac:dyDescent="0.35"/>
    <row r="1167" spans="1:6" ht="16.5" customHeight="1" x14ac:dyDescent="0.3">
      <c r="A1167" s="16" t="s">
        <v>238</v>
      </c>
      <c r="B1167" s="18"/>
      <c r="C1167" s="18"/>
      <c r="D1167" s="18"/>
      <c r="E1167" s="18"/>
      <c r="F1167" s="18"/>
    </row>
    <row r="1168" spans="1:6" ht="16.5" customHeight="1" x14ac:dyDescent="0.3">
      <c r="A1168" s="17" t="s">
        <v>239</v>
      </c>
      <c r="B1168" s="19" t="s">
        <v>94</v>
      </c>
      <c r="C1168" s="19" t="s">
        <v>240</v>
      </c>
      <c r="D1168" s="3" t="s">
        <v>241</v>
      </c>
      <c r="E1168" s="19" t="s">
        <v>243</v>
      </c>
      <c r="F1168" s="19"/>
    </row>
    <row r="1169" spans="1:15" x14ac:dyDescent="0.3">
      <c r="A1169" s="17"/>
      <c r="B1169" s="19"/>
      <c r="C1169" s="19"/>
      <c r="D1169" s="3" t="s">
        <v>242</v>
      </c>
      <c r="E1169" s="19"/>
      <c r="F1169" s="19"/>
    </row>
    <row r="1170" spans="1:15" x14ac:dyDescent="0.3">
      <c r="A1170" s="13" t="s">
        <v>115</v>
      </c>
      <c r="B1170" s="2">
        <v>68635</v>
      </c>
      <c r="C1170" s="2">
        <v>0.66370899999999999</v>
      </c>
      <c r="D1170" s="2">
        <v>4.4099999999999999E-4</v>
      </c>
      <c r="E1170" s="2">
        <v>0.66284405999999996</v>
      </c>
      <c r="F1170" s="2">
        <v>0.66457339000000004</v>
      </c>
    </row>
    <row r="1174" spans="1:15" x14ac:dyDescent="0.3">
      <c r="A1174" s="1" t="s">
        <v>237</v>
      </c>
    </row>
    <row r="1176" spans="1:15" x14ac:dyDescent="0.3">
      <c r="A1176" s="1" t="s">
        <v>21</v>
      </c>
    </row>
    <row r="1177" spans="1:15" ht="17.25" thickBot="1" x14ac:dyDescent="0.35"/>
    <row r="1178" spans="1:15" ht="16.5" customHeight="1" x14ac:dyDescent="0.3">
      <c r="A1178" s="16" t="s">
        <v>261</v>
      </c>
      <c r="B1178" s="18"/>
      <c r="C1178" s="18"/>
      <c r="D1178" s="18"/>
      <c r="E1178" s="18"/>
      <c r="F1178" s="18"/>
      <c r="G1178" s="18"/>
      <c r="H1178" s="18"/>
    </row>
    <row r="1179" spans="1:15" ht="16.5" customHeight="1" x14ac:dyDescent="0.3">
      <c r="A1179" s="17" t="s">
        <v>249</v>
      </c>
      <c r="B1179" s="19" t="s">
        <v>16</v>
      </c>
      <c r="C1179" s="19" t="s">
        <v>239</v>
      </c>
      <c r="D1179" s="19" t="s">
        <v>94</v>
      </c>
      <c r="E1179" s="19" t="s">
        <v>240</v>
      </c>
      <c r="F1179" s="3" t="s">
        <v>241</v>
      </c>
      <c r="G1179" s="19" t="s">
        <v>243</v>
      </c>
      <c r="H1179" s="19"/>
    </row>
    <row r="1180" spans="1:15" x14ac:dyDescent="0.3">
      <c r="A1180" s="17"/>
      <c r="B1180" s="19"/>
      <c r="C1180" s="19"/>
      <c r="D1180" s="19"/>
      <c r="E1180" s="19"/>
      <c r="F1180" s="3" t="s">
        <v>242</v>
      </c>
      <c r="G1180" s="19"/>
      <c r="H1180" s="19"/>
    </row>
    <row r="1181" spans="1:15" ht="17.25" thickBot="1" x14ac:dyDescent="0.35">
      <c r="A1181" s="6">
        <v>1</v>
      </c>
      <c r="B1181" s="3">
        <v>0</v>
      </c>
      <c r="C1181" s="11" t="s">
        <v>115</v>
      </c>
      <c r="D1181" s="2">
        <v>9740</v>
      </c>
      <c r="E1181" s="2">
        <v>0.651895</v>
      </c>
      <c r="F1181" s="2">
        <v>1.1919999999999999E-3</v>
      </c>
      <c r="G1181" s="2">
        <v>0.64955715999999997</v>
      </c>
      <c r="H1181" s="2">
        <v>0.65423292</v>
      </c>
      <c r="J1181" t="str">
        <f t="shared" ref="J1181:J1192" si="46">TEXT(E1181,"0.00")&amp;" ("&amp;TEXT(G1181,"0.00")&amp;" to "&amp;TEXT(H1181,"0.00")&amp;")"</f>
        <v>0.65 (0.65 to 0.65)</v>
      </c>
      <c r="K1181" t="str">
        <f>J1183</f>
        <v>0.65 (0.65 to 0.65)</v>
      </c>
      <c r="L1181" t="str">
        <f>J1185</f>
        <v>0.65 (0.65 to 0.65)</v>
      </c>
      <c r="M1181" t="str">
        <f>J1187</f>
        <v>0.65 (0.65 to 0.66)</v>
      </c>
      <c r="N1181" t="str">
        <f>J1189</f>
        <v>0.66 (0.66 to 0.66)</v>
      </c>
      <c r="O1181" t="str">
        <f>J1191</f>
        <v>0.66 (0.65 to 0.66)</v>
      </c>
    </row>
    <row r="1182" spans="1:15" ht="17.25" thickBot="1" x14ac:dyDescent="0.35">
      <c r="A1182" s="6"/>
      <c r="B1182" s="3">
        <v>1</v>
      </c>
      <c r="C1182" s="11" t="s">
        <v>115</v>
      </c>
      <c r="D1182" s="2">
        <v>2175</v>
      </c>
      <c r="E1182" s="2">
        <v>0.71071600000000001</v>
      </c>
      <c r="F1182" s="2">
        <v>2.117E-3</v>
      </c>
      <c r="G1182" s="2">
        <v>0.70656416</v>
      </c>
      <c r="H1182" s="2">
        <v>0.71486685000000005</v>
      </c>
      <c r="J1182" t="str">
        <f t="shared" si="46"/>
        <v>0.71 (0.71 to 0.71)</v>
      </c>
      <c r="K1182" t="str">
        <f>J1184</f>
        <v>0.71 (0.70 to 0.71)</v>
      </c>
      <c r="L1182" t="str">
        <f>J1186</f>
        <v>0.71 (0.70 to 0.71)</v>
      </c>
      <c r="M1182" t="str">
        <f>J1188</f>
        <v>0.71 (0.71 to 0.71)</v>
      </c>
      <c r="N1182" t="str">
        <f>J1190</f>
        <v>0.72 (0.72 to 0.72)</v>
      </c>
      <c r="O1182" t="str">
        <f>J1192</f>
        <v>0.71 (0.71 to 0.71)</v>
      </c>
    </row>
    <row r="1183" spans="1:15" ht="17.25" thickBot="1" x14ac:dyDescent="0.35">
      <c r="A1183" s="6">
        <v>2</v>
      </c>
      <c r="B1183" s="3">
        <v>0</v>
      </c>
      <c r="C1183" s="11" t="s">
        <v>115</v>
      </c>
      <c r="D1183" s="2">
        <v>10393</v>
      </c>
      <c r="E1183" s="2">
        <v>0.64887600000000001</v>
      </c>
      <c r="F1183" s="2">
        <v>1.0269999999999999E-3</v>
      </c>
      <c r="G1183" s="2">
        <v>0.64686268000000002</v>
      </c>
      <c r="H1183" s="2">
        <v>0.65089023000000001</v>
      </c>
      <c r="J1183" t="str">
        <f t="shared" si="46"/>
        <v>0.65 (0.65 to 0.65)</v>
      </c>
    </row>
    <row r="1184" spans="1:15" ht="17.25" thickBot="1" x14ac:dyDescent="0.35">
      <c r="A1184" s="6"/>
      <c r="B1184" s="3">
        <v>1</v>
      </c>
      <c r="C1184" s="11" t="s">
        <v>115</v>
      </c>
      <c r="D1184" s="2">
        <v>2723</v>
      </c>
      <c r="E1184" s="2">
        <v>0.70636100000000002</v>
      </c>
      <c r="F1184" s="2">
        <v>1.8940000000000001E-3</v>
      </c>
      <c r="G1184" s="2">
        <v>0.70264722000000002</v>
      </c>
      <c r="H1184" s="2">
        <v>0.71007471</v>
      </c>
      <c r="J1184" t="str">
        <f t="shared" si="46"/>
        <v>0.71 (0.70 to 0.71)</v>
      </c>
    </row>
    <row r="1185" spans="1:10" ht="17.25" thickBot="1" x14ac:dyDescent="0.35">
      <c r="A1185" s="6">
        <v>3</v>
      </c>
      <c r="B1185" s="3">
        <v>0</v>
      </c>
      <c r="C1185" s="11" t="s">
        <v>115</v>
      </c>
      <c r="D1185" s="2">
        <v>9166</v>
      </c>
      <c r="E1185" s="2">
        <v>0.65063700000000002</v>
      </c>
      <c r="F1185" s="2">
        <v>1.0740000000000001E-3</v>
      </c>
      <c r="G1185" s="2">
        <v>0.64853077999999997</v>
      </c>
      <c r="H1185" s="2">
        <v>0.65274303</v>
      </c>
      <c r="J1185" t="str">
        <f t="shared" si="46"/>
        <v>0.65 (0.65 to 0.65)</v>
      </c>
    </row>
    <row r="1186" spans="1:10" ht="17.25" thickBot="1" x14ac:dyDescent="0.35">
      <c r="A1186" s="6"/>
      <c r="B1186" s="3">
        <v>1</v>
      </c>
      <c r="C1186" s="11" t="s">
        <v>115</v>
      </c>
      <c r="D1186" s="2">
        <v>2309</v>
      </c>
      <c r="E1186" s="2">
        <v>0.70559300000000003</v>
      </c>
      <c r="F1186" s="2">
        <v>1.848E-3</v>
      </c>
      <c r="G1186" s="2">
        <v>0.70196972999999996</v>
      </c>
      <c r="H1186" s="2">
        <v>0.70921612000000001</v>
      </c>
      <c r="J1186" t="str">
        <f t="shared" si="46"/>
        <v>0.71 (0.70 to 0.71)</v>
      </c>
    </row>
    <row r="1187" spans="1:10" ht="17.25" thickBot="1" x14ac:dyDescent="0.35">
      <c r="A1187" s="6">
        <v>4</v>
      </c>
      <c r="B1187" s="3">
        <v>0</v>
      </c>
      <c r="C1187" s="11" t="s">
        <v>115</v>
      </c>
      <c r="D1187" s="2">
        <v>11001</v>
      </c>
      <c r="E1187" s="2">
        <v>0.654698</v>
      </c>
      <c r="F1187" s="2">
        <v>9.6500000000000004E-4</v>
      </c>
      <c r="G1187" s="2">
        <v>0.65280574000000002</v>
      </c>
      <c r="H1187" s="2">
        <v>0.65658972000000004</v>
      </c>
      <c r="J1187" t="str">
        <f t="shared" si="46"/>
        <v>0.65 (0.65 to 0.66)</v>
      </c>
    </row>
    <row r="1188" spans="1:10" ht="17.25" thickBot="1" x14ac:dyDescent="0.35">
      <c r="A1188" s="6"/>
      <c r="B1188" s="3">
        <v>1</v>
      </c>
      <c r="C1188" s="11" t="s">
        <v>115</v>
      </c>
      <c r="D1188" s="2">
        <v>3157</v>
      </c>
      <c r="E1188" s="2">
        <v>0.71010499999999999</v>
      </c>
      <c r="F1188" s="2">
        <v>1.6230000000000001E-3</v>
      </c>
      <c r="G1188" s="2">
        <v>0.70692169999999999</v>
      </c>
      <c r="H1188" s="2">
        <v>0.71328829000000005</v>
      </c>
      <c r="J1188" t="str">
        <f t="shared" si="46"/>
        <v>0.71 (0.71 to 0.71)</v>
      </c>
    </row>
    <row r="1189" spans="1:10" ht="17.25" thickBot="1" x14ac:dyDescent="0.35">
      <c r="A1189" s="6">
        <v>5</v>
      </c>
      <c r="B1189" s="3">
        <v>0</v>
      </c>
      <c r="C1189" s="11" t="s">
        <v>115</v>
      </c>
      <c r="D1189" s="2">
        <v>10383</v>
      </c>
      <c r="E1189" s="2">
        <v>0.661497</v>
      </c>
      <c r="F1189" s="2">
        <v>9.1600000000000004E-4</v>
      </c>
      <c r="G1189" s="2">
        <v>0.65970063999999995</v>
      </c>
      <c r="H1189" s="2">
        <v>0.66329322999999996</v>
      </c>
      <c r="J1189" t="str">
        <f t="shared" si="46"/>
        <v>0.66 (0.66 to 0.66)</v>
      </c>
    </row>
    <row r="1190" spans="1:10" ht="17.25" thickBot="1" x14ac:dyDescent="0.35">
      <c r="A1190" s="6"/>
      <c r="B1190" s="3">
        <v>1</v>
      </c>
      <c r="C1190" s="11" t="s">
        <v>115</v>
      </c>
      <c r="D1190" s="2">
        <v>3172</v>
      </c>
      <c r="E1190" s="2">
        <v>0.71874800000000005</v>
      </c>
      <c r="F1190" s="2">
        <v>1.5269999999999999E-3</v>
      </c>
      <c r="G1190" s="2">
        <v>0.71575264000000005</v>
      </c>
      <c r="H1190" s="2">
        <v>0.72174236000000003</v>
      </c>
      <c r="J1190" t="str">
        <f t="shared" si="46"/>
        <v>0.72 (0.72 to 0.72)</v>
      </c>
    </row>
    <row r="1191" spans="1:10" ht="17.25" thickBot="1" x14ac:dyDescent="0.35">
      <c r="A1191" s="6">
        <v>6</v>
      </c>
      <c r="B1191" s="3">
        <v>0</v>
      </c>
      <c r="C1191" s="11" t="s">
        <v>115</v>
      </c>
      <c r="D1191" s="2">
        <v>3227</v>
      </c>
      <c r="E1191" s="2">
        <v>0.65709700000000004</v>
      </c>
      <c r="F1191" s="2">
        <v>1.6249999999999999E-3</v>
      </c>
      <c r="G1191" s="2">
        <v>0.65391127000000004</v>
      </c>
      <c r="H1191" s="2">
        <v>0.66028195000000001</v>
      </c>
      <c r="J1191" t="str">
        <f t="shared" si="46"/>
        <v>0.66 (0.65 to 0.66)</v>
      </c>
    </row>
    <row r="1192" spans="1:10" x14ac:dyDescent="0.3">
      <c r="A1192" s="6"/>
      <c r="B1192" s="3">
        <v>1</v>
      </c>
      <c r="C1192" s="14" t="s">
        <v>115</v>
      </c>
      <c r="D1192" s="2">
        <v>1189</v>
      </c>
      <c r="E1192" s="2">
        <v>0.70979000000000003</v>
      </c>
      <c r="F1192" s="2">
        <v>2.0460000000000001E-3</v>
      </c>
      <c r="G1192" s="2">
        <v>0.70577844999999995</v>
      </c>
      <c r="H1192" s="2">
        <v>0.71380217000000001</v>
      </c>
      <c r="J1192" t="str">
        <f t="shared" si="46"/>
        <v>0.71 (0.71 to 0.71)</v>
      </c>
    </row>
    <row r="1196" spans="1:10" x14ac:dyDescent="0.3">
      <c r="A1196" s="1" t="s">
        <v>237</v>
      </c>
    </row>
    <row r="1198" spans="1:10" x14ac:dyDescent="0.3">
      <c r="A1198" s="1" t="s">
        <v>1</v>
      </c>
    </row>
    <row r="1199" spans="1:10" ht="17.25" thickBot="1" x14ac:dyDescent="0.35"/>
    <row r="1200" spans="1:10" ht="16.5" customHeight="1" x14ac:dyDescent="0.3">
      <c r="A1200" s="16" t="s">
        <v>135</v>
      </c>
      <c r="B1200" s="18"/>
    </row>
    <row r="1201" spans="1:6" ht="26.25" thickBot="1" x14ac:dyDescent="0.35">
      <c r="A1201" s="12" t="s">
        <v>136</v>
      </c>
      <c r="B1201" s="2">
        <v>183</v>
      </c>
    </row>
    <row r="1202" spans="1:6" ht="26.25" thickBot="1" x14ac:dyDescent="0.35">
      <c r="A1202" s="12" t="s">
        <v>137</v>
      </c>
      <c r="B1202" s="2">
        <v>2949</v>
      </c>
    </row>
    <row r="1203" spans="1:6" ht="39" thickBot="1" x14ac:dyDescent="0.35">
      <c r="A1203" s="12" t="s">
        <v>138</v>
      </c>
      <c r="B1203" s="2">
        <v>23222</v>
      </c>
    </row>
    <row r="1204" spans="1:6" ht="25.5" x14ac:dyDescent="0.3">
      <c r="A1204" s="13" t="s">
        <v>139</v>
      </c>
      <c r="B1204" s="2">
        <v>9036880.5199999996</v>
      </c>
    </row>
    <row r="1205" spans="1:6" ht="17.25" thickBot="1" x14ac:dyDescent="0.35"/>
    <row r="1206" spans="1:6" ht="33" customHeight="1" x14ac:dyDescent="0.3">
      <c r="A1206" s="16" t="s">
        <v>140</v>
      </c>
      <c r="B1206" s="18"/>
    </row>
    <row r="1207" spans="1:6" ht="33.75" thickBot="1" x14ac:dyDescent="0.35">
      <c r="A1207" s="12" t="s">
        <v>141</v>
      </c>
      <c r="B1207" s="2" t="s">
        <v>142</v>
      </c>
    </row>
    <row r="1208" spans="1:6" ht="25.5" x14ac:dyDescent="0.3">
      <c r="A1208" s="13" t="s">
        <v>143</v>
      </c>
      <c r="B1208" s="2" t="s">
        <v>144</v>
      </c>
    </row>
    <row r="1209" spans="1:6" ht="17.25" thickBot="1" x14ac:dyDescent="0.35"/>
    <row r="1210" spans="1:6" ht="16.5" customHeight="1" x14ac:dyDescent="0.3">
      <c r="A1210" s="16" t="s">
        <v>238</v>
      </c>
      <c r="B1210" s="18"/>
      <c r="C1210" s="18"/>
      <c r="D1210" s="18"/>
      <c r="E1210" s="18"/>
      <c r="F1210" s="18"/>
    </row>
    <row r="1211" spans="1:6" ht="16.5" customHeight="1" x14ac:dyDescent="0.3">
      <c r="A1211" s="17" t="s">
        <v>239</v>
      </c>
      <c r="B1211" s="19" t="s">
        <v>94</v>
      </c>
      <c r="C1211" s="19" t="s">
        <v>240</v>
      </c>
      <c r="D1211" s="3" t="s">
        <v>241</v>
      </c>
      <c r="E1211" s="19" t="s">
        <v>243</v>
      </c>
      <c r="F1211" s="19"/>
    </row>
    <row r="1212" spans="1:6" x14ac:dyDescent="0.3">
      <c r="A1212" s="17"/>
      <c r="B1212" s="19"/>
      <c r="C1212" s="19"/>
      <c r="D1212" s="3" t="s">
        <v>242</v>
      </c>
      <c r="E1212" s="19"/>
      <c r="F1212" s="19"/>
    </row>
    <row r="1213" spans="1:6" x14ac:dyDescent="0.3">
      <c r="A1213" s="13" t="s">
        <v>115</v>
      </c>
      <c r="B1213" s="2">
        <v>23222</v>
      </c>
      <c r="C1213" s="2">
        <v>0.64841899999999997</v>
      </c>
      <c r="D1213" s="2">
        <v>7.7200000000000001E-4</v>
      </c>
      <c r="E1213" s="2">
        <v>0.64690462000000004</v>
      </c>
      <c r="F1213" s="2">
        <v>0.64993400999999995</v>
      </c>
    </row>
    <row r="1217" spans="1:8" x14ac:dyDescent="0.3">
      <c r="A1217" s="1" t="s">
        <v>237</v>
      </c>
    </row>
    <row r="1219" spans="1:8" x14ac:dyDescent="0.3">
      <c r="A1219" s="1" t="s">
        <v>1</v>
      </c>
    </row>
    <row r="1220" spans="1:8" ht="17.25" thickBot="1" x14ac:dyDescent="0.35"/>
    <row r="1221" spans="1:8" ht="16.5" customHeight="1" x14ac:dyDescent="0.3">
      <c r="A1221" s="16" t="s">
        <v>262</v>
      </c>
      <c r="B1221" s="18"/>
      <c r="C1221" s="18"/>
      <c r="D1221" s="18"/>
      <c r="E1221" s="18"/>
      <c r="F1221" s="18"/>
      <c r="G1221" s="18"/>
      <c r="H1221" s="18"/>
    </row>
    <row r="1222" spans="1:8" ht="16.5" customHeight="1" x14ac:dyDescent="0.3">
      <c r="A1222" s="17" t="s">
        <v>249</v>
      </c>
      <c r="B1222" s="19" t="s">
        <v>17</v>
      </c>
      <c r="C1222" s="19" t="s">
        <v>239</v>
      </c>
      <c r="D1222" s="19" t="s">
        <v>94</v>
      </c>
      <c r="E1222" s="19" t="s">
        <v>240</v>
      </c>
      <c r="F1222" s="3" t="s">
        <v>241</v>
      </c>
      <c r="G1222" s="19" t="s">
        <v>243</v>
      </c>
      <c r="H1222" s="19"/>
    </row>
    <row r="1223" spans="1:8" x14ac:dyDescent="0.3">
      <c r="A1223" s="17"/>
      <c r="B1223" s="19"/>
      <c r="C1223" s="19"/>
      <c r="D1223" s="19"/>
      <c r="E1223" s="19"/>
      <c r="F1223" s="3" t="s">
        <v>242</v>
      </c>
      <c r="G1223" s="19"/>
      <c r="H1223" s="19"/>
    </row>
    <row r="1224" spans="1:8" ht="17.25" thickBot="1" x14ac:dyDescent="0.35">
      <c r="A1224" s="6">
        <v>1</v>
      </c>
      <c r="B1224" s="3">
        <v>0</v>
      </c>
      <c r="C1224" s="11" t="s">
        <v>115</v>
      </c>
      <c r="D1224" s="2">
        <v>3487</v>
      </c>
      <c r="E1224" s="2">
        <v>0.65112099999999995</v>
      </c>
      <c r="F1224" s="2">
        <v>2.284E-3</v>
      </c>
      <c r="G1224" s="2">
        <v>0.64664284000000005</v>
      </c>
      <c r="H1224" s="2">
        <v>0.65559957999999996</v>
      </c>
    </row>
    <row r="1225" spans="1:8" ht="17.25" thickBot="1" x14ac:dyDescent="0.35">
      <c r="A1225" s="6"/>
      <c r="B1225" s="3">
        <v>1</v>
      </c>
      <c r="C1225" s="11" t="s">
        <v>115</v>
      </c>
      <c r="D1225" s="2">
        <v>253</v>
      </c>
      <c r="E1225" s="2">
        <v>0.72272199999999998</v>
      </c>
      <c r="F1225" s="2">
        <v>6.0109999999999999E-3</v>
      </c>
      <c r="G1225" s="2">
        <v>0.71093490000000004</v>
      </c>
      <c r="H1225" s="2">
        <v>0.73450930999999997</v>
      </c>
    </row>
    <row r="1226" spans="1:8" ht="17.25" thickBot="1" x14ac:dyDescent="0.35">
      <c r="A1226" s="6">
        <v>2</v>
      </c>
      <c r="B1226" s="3">
        <v>0</v>
      </c>
      <c r="C1226" s="11" t="s">
        <v>115</v>
      </c>
      <c r="D1226" s="2">
        <v>4258</v>
      </c>
      <c r="E1226" s="2">
        <v>0.62634800000000002</v>
      </c>
      <c r="F1226" s="2">
        <v>1.462E-3</v>
      </c>
      <c r="G1226" s="2">
        <v>0.62348214000000002</v>
      </c>
      <c r="H1226" s="2">
        <v>0.62921442999999999</v>
      </c>
    </row>
    <row r="1227" spans="1:8" ht="17.25" thickBot="1" x14ac:dyDescent="0.35">
      <c r="A1227" s="6"/>
      <c r="B1227" s="3">
        <v>1</v>
      </c>
      <c r="C1227" s="11" t="s">
        <v>115</v>
      </c>
      <c r="D1227" s="2">
        <v>385</v>
      </c>
      <c r="E1227" s="2">
        <v>0.71033000000000002</v>
      </c>
      <c r="F1227" s="2">
        <v>4.1269999999999996E-3</v>
      </c>
      <c r="G1227" s="2">
        <v>0.70223800999999997</v>
      </c>
      <c r="H1227" s="2">
        <v>0.71842282000000002</v>
      </c>
    </row>
    <row r="1228" spans="1:8" ht="17.25" thickBot="1" x14ac:dyDescent="0.35">
      <c r="A1228" s="6"/>
      <c r="B1228" s="3">
        <v>8</v>
      </c>
      <c r="C1228" s="11" t="s">
        <v>115</v>
      </c>
      <c r="D1228" s="2">
        <v>89</v>
      </c>
      <c r="E1228" s="2">
        <v>0.65254900000000005</v>
      </c>
      <c r="F1228" s="2">
        <v>6.8209999999999998E-3</v>
      </c>
      <c r="G1228" s="2">
        <v>0.63917433999999995</v>
      </c>
      <c r="H1228" s="2">
        <v>0.66592317000000001</v>
      </c>
    </row>
    <row r="1229" spans="1:8" ht="17.25" thickBot="1" x14ac:dyDescent="0.35">
      <c r="A1229" s="6">
        <v>3</v>
      </c>
      <c r="B1229" s="3">
        <v>0</v>
      </c>
      <c r="C1229" s="11" t="s">
        <v>115</v>
      </c>
      <c r="D1229" s="2">
        <v>3297</v>
      </c>
      <c r="E1229" s="2">
        <v>0.63474399999999997</v>
      </c>
      <c r="F1229" s="2">
        <v>1.882E-3</v>
      </c>
      <c r="G1229" s="2">
        <v>0.63105409999999995</v>
      </c>
      <c r="H1229" s="2">
        <v>0.63843377000000001</v>
      </c>
    </row>
    <row r="1230" spans="1:8" ht="17.25" thickBot="1" x14ac:dyDescent="0.35">
      <c r="A1230" s="6"/>
      <c r="B1230" s="3">
        <v>1</v>
      </c>
      <c r="C1230" s="11" t="s">
        <v>115</v>
      </c>
      <c r="D1230" s="2">
        <v>441</v>
      </c>
      <c r="E1230" s="2">
        <v>0.70590399999999998</v>
      </c>
      <c r="F1230" s="2">
        <v>4.0689999999999997E-3</v>
      </c>
      <c r="G1230" s="2">
        <v>0.69792538000000004</v>
      </c>
      <c r="H1230" s="2">
        <v>0.71388236999999999</v>
      </c>
    </row>
    <row r="1231" spans="1:8" ht="17.25" thickBot="1" x14ac:dyDescent="0.35">
      <c r="A1231" s="6"/>
      <c r="B1231" s="3">
        <v>8</v>
      </c>
      <c r="C1231" s="11" t="s">
        <v>115</v>
      </c>
      <c r="D1231" s="2">
        <v>519</v>
      </c>
      <c r="E1231" s="2">
        <v>0.670323</v>
      </c>
      <c r="F1231" s="2">
        <v>4.0810000000000004E-3</v>
      </c>
      <c r="G1231" s="2">
        <v>0.66232073999999996</v>
      </c>
      <c r="H1231" s="2">
        <v>0.67832519999999996</v>
      </c>
    </row>
    <row r="1232" spans="1:8" ht="17.25" thickBot="1" x14ac:dyDescent="0.35">
      <c r="A1232" s="6">
        <v>4</v>
      </c>
      <c r="B1232" s="3">
        <v>0</v>
      </c>
      <c r="C1232" s="11" t="s">
        <v>115</v>
      </c>
      <c r="D1232" s="2">
        <v>3874</v>
      </c>
      <c r="E1232" s="2">
        <v>0.63743099999999997</v>
      </c>
      <c r="F1232" s="2">
        <v>1.766E-3</v>
      </c>
      <c r="G1232" s="2">
        <v>0.63396934000000005</v>
      </c>
      <c r="H1232" s="2">
        <v>0.64089319</v>
      </c>
    </row>
    <row r="1233" spans="1:8" ht="17.25" thickBot="1" x14ac:dyDescent="0.35">
      <c r="A1233" s="6"/>
      <c r="B1233" s="3">
        <v>1</v>
      </c>
      <c r="C1233" s="11" t="s">
        <v>115</v>
      </c>
      <c r="D1233" s="2">
        <v>681</v>
      </c>
      <c r="E1233" s="2">
        <v>0.71477999999999997</v>
      </c>
      <c r="F1233" s="2">
        <v>3.8189999999999999E-3</v>
      </c>
      <c r="G1233" s="2">
        <v>0.70729074999999997</v>
      </c>
      <c r="H1233" s="2">
        <v>0.72226941</v>
      </c>
    </row>
    <row r="1234" spans="1:8" ht="17.25" thickBot="1" x14ac:dyDescent="0.35">
      <c r="A1234" s="6"/>
      <c r="B1234" s="3">
        <v>8</v>
      </c>
      <c r="C1234" s="11" t="s">
        <v>115</v>
      </c>
      <c r="D1234" s="2">
        <v>1</v>
      </c>
      <c r="E1234" s="2">
        <v>0.57421599999999995</v>
      </c>
      <c r="F1234" s="2">
        <v>0</v>
      </c>
      <c r="G1234" s="2">
        <v>0.57421606999999997</v>
      </c>
      <c r="H1234" s="2">
        <v>0.57421606999999997</v>
      </c>
    </row>
    <row r="1235" spans="1:8" ht="17.25" thickBot="1" x14ac:dyDescent="0.35">
      <c r="A1235" s="6">
        <v>5</v>
      </c>
      <c r="B1235" s="3">
        <v>0</v>
      </c>
      <c r="C1235" s="11" t="s">
        <v>115</v>
      </c>
      <c r="D1235" s="2">
        <v>3652</v>
      </c>
      <c r="E1235" s="2">
        <v>0.65058199999999999</v>
      </c>
      <c r="F1235" s="2">
        <v>1.7949999999999999E-3</v>
      </c>
      <c r="G1235" s="2">
        <v>0.64706216999999999</v>
      </c>
      <c r="H1235" s="2">
        <v>0.65410277999999999</v>
      </c>
    </row>
    <row r="1236" spans="1:8" ht="17.25" thickBot="1" x14ac:dyDescent="0.35">
      <c r="A1236" s="6"/>
      <c r="B1236" s="3">
        <v>1</v>
      </c>
      <c r="C1236" s="11" t="s">
        <v>115</v>
      </c>
      <c r="D1236" s="2">
        <v>849</v>
      </c>
      <c r="E1236" s="2">
        <v>0.71959399999999996</v>
      </c>
      <c r="F1236" s="2">
        <v>2.8029999999999999E-3</v>
      </c>
      <c r="G1236" s="2">
        <v>0.71409838999999997</v>
      </c>
      <c r="H1236" s="2">
        <v>0.72509031000000002</v>
      </c>
    </row>
    <row r="1237" spans="1:8" ht="17.25" thickBot="1" x14ac:dyDescent="0.35">
      <c r="A1237" s="6">
        <v>6</v>
      </c>
      <c r="B1237" s="3">
        <v>0</v>
      </c>
      <c r="C1237" s="11" t="s">
        <v>115</v>
      </c>
      <c r="D1237" s="2">
        <v>1089</v>
      </c>
      <c r="E1237" s="2">
        <v>0.64270000000000005</v>
      </c>
      <c r="F1237" s="2">
        <v>2.7190000000000001E-3</v>
      </c>
      <c r="G1237" s="2">
        <v>0.63736903</v>
      </c>
      <c r="H1237" s="2">
        <v>0.64803120000000003</v>
      </c>
    </row>
    <row r="1238" spans="1:8" x14ac:dyDescent="0.3">
      <c r="A1238" s="6"/>
      <c r="B1238" s="3">
        <v>1</v>
      </c>
      <c r="C1238" s="14" t="s">
        <v>115</v>
      </c>
      <c r="D1238" s="2">
        <v>347</v>
      </c>
      <c r="E1238" s="2">
        <v>0.70425000000000004</v>
      </c>
      <c r="F1238" s="2">
        <v>3.8639999999999998E-3</v>
      </c>
      <c r="G1238" s="2">
        <v>0.69667285999999995</v>
      </c>
      <c r="H1238" s="2">
        <v>0.71182761999999999</v>
      </c>
    </row>
    <row r="1242" spans="1:8" x14ac:dyDescent="0.3">
      <c r="A1242" s="1" t="s">
        <v>237</v>
      </c>
    </row>
    <row r="1244" spans="1:8" x14ac:dyDescent="0.3">
      <c r="A1244" s="1" t="s">
        <v>21</v>
      </c>
    </row>
    <row r="1245" spans="1:8" ht="17.25" thickBot="1" x14ac:dyDescent="0.35"/>
    <row r="1246" spans="1:8" ht="16.5" customHeight="1" x14ac:dyDescent="0.3">
      <c r="A1246" s="16" t="s">
        <v>135</v>
      </c>
      <c r="B1246" s="18"/>
    </row>
    <row r="1247" spans="1:8" ht="26.25" thickBot="1" x14ac:dyDescent="0.35">
      <c r="A1247" s="12" t="s">
        <v>136</v>
      </c>
      <c r="B1247" s="2">
        <v>183</v>
      </c>
    </row>
    <row r="1248" spans="1:8" ht="26.25" thickBot="1" x14ac:dyDescent="0.35">
      <c r="A1248" s="12" t="s">
        <v>137</v>
      </c>
      <c r="B1248" s="2">
        <v>2982</v>
      </c>
    </row>
    <row r="1249" spans="1:6" ht="39" thickBot="1" x14ac:dyDescent="0.35">
      <c r="A1249" s="12" t="s">
        <v>138</v>
      </c>
      <c r="B1249" s="2">
        <v>68635</v>
      </c>
    </row>
    <row r="1250" spans="1:6" ht="25.5" x14ac:dyDescent="0.3">
      <c r="A1250" s="13" t="s">
        <v>139</v>
      </c>
      <c r="B1250" s="2">
        <v>30251935.699999999</v>
      </c>
    </row>
    <row r="1251" spans="1:6" ht="17.25" thickBot="1" x14ac:dyDescent="0.35"/>
    <row r="1252" spans="1:6" ht="33" customHeight="1" x14ac:dyDescent="0.3">
      <c r="A1252" s="16" t="s">
        <v>140</v>
      </c>
      <c r="B1252" s="18"/>
    </row>
    <row r="1253" spans="1:6" ht="33.75" thickBot="1" x14ac:dyDescent="0.35">
      <c r="A1253" s="12" t="s">
        <v>141</v>
      </c>
      <c r="B1253" s="2" t="s">
        <v>142</v>
      </c>
    </row>
    <row r="1254" spans="1:6" ht="25.5" x14ac:dyDescent="0.3">
      <c r="A1254" s="13" t="s">
        <v>143</v>
      </c>
      <c r="B1254" s="2" t="s">
        <v>144</v>
      </c>
    </row>
    <row r="1255" spans="1:6" ht="17.25" thickBot="1" x14ac:dyDescent="0.35"/>
    <row r="1256" spans="1:6" ht="16.5" customHeight="1" x14ac:dyDescent="0.3">
      <c r="A1256" s="16" t="s">
        <v>238</v>
      </c>
      <c r="B1256" s="18"/>
      <c r="C1256" s="18"/>
      <c r="D1256" s="18"/>
      <c r="E1256" s="18"/>
      <c r="F1256" s="18"/>
    </row>
    <row r="1257" spans="1:6" ht="16.5" customHeight="1" x14ac:dyDescent="0.3">
      <c r="A1257" s="17" t="s">
        <v>239</v>
      </c>
      <c r="B1257" s="19" t="s">
        <v>94</v>
      </c>
      <c r="C1257" s="19" t="s">
        <v>240</v>
      </c>
      <c r="D1257" s="3" t="s">
        <v>241</v>
      </c>
      <c r="E1257" s="19" t="s">
        <v>243</v>
      </c>
      <c r="F1257" s="19"/>
    </row>
    <row r="1258" spans="1:6" x14ac:dyDescent="0.3">
      <c r="A1258" s="17"/>
      <c r="B1258" s="19"/>
      <c r="C1258" s="19"/>
      <c r="D1258" s="3" t="s">
        <v>242</v>
      </c>
      <c r="E1258" s="19"/>
      <c r="F1258" s="19"/>
    </row>
    <row r="1259" spans="1:6" x14ac:dyDescent="0.3">
      <c r="A1259" s="13" t="s">
        <v>115</v>
      </c>
      <c r="B1259" s="2">
        <v>68635</v>
      </c>
      <c r="C1259" s="2">
        <v>0.66370899999999999</v>
      </c>
      <c r="D1259" s="2">
        <v>4.4099999999999999E-4</v>
      </c>
      <c r="E1259" s="2">
        <v>0.66284405999999996</v>
      </c>
      <c r="F1259" s="2">
        <v>0.66457339000000004</v>
      </c>
    </row>
    <row r="1263" spans="1:6" x14ac:dyDescent="0.3">
      <c r="A1263" s="1" t="s">
        <v>237</v>
      </c>
    </row>
    <row r="1265" spans="1:15" x14ac:dyDescent="0.3">
      <c r="A1265" s="1" t="s">
        <v>21</v>
      </c>
    </row>
    <row r="1266" spans="1:15" ht="17.25" thickBot="1" x14ac:dyDescent="0.35"/>
    <row r="1267" spans="1:15" ht="16.5" customHeight="1" x14ac:dyDescent="0.3">
      <c r="A1267" s="16" t="s">
        <v>262</v>
      </c>
      <c r="B1267" s="18"/>
      <c r="C1267" s="18"/>
      <c r="D1267" s="18"/>
      <c r="E1267" s="18"/>
      <c r="F1267" s="18"/>
      <c r="G1267" s="18"/>
      <c r="H1267" s="18"/>
    </row>
    <row r="1268" spans="1:15" ht="16.5" customHeight="1" x14ac:dyDescent="0.3">
      <c r="A1268" s="17" t="s">
        <v>249</v>
      </c>
      <c r="B1268" s="19" t="s">
        <v>17</v>
      </c>
      <c r="C1268" s="19" t="s">
        <v>239</v>
      </c>
      <c r="D1268" s="19" t="s">
        <v>94</v>
      </c>
      <c r="E1268" s="19" t="s">
        <v>240</v>
      </c>
      <c r="F1268" s="3" t="s">
        <v>241</v>
      </c>
      <c r="G1268" s="19" t="s">
        <v>243</v>
      </c>
      <c r="H1268" s="19"/>
    </row>
    <row r="1269" spans="1:15" x14ac:dyDescent="0.3">
      <c r="A1269" s="17"/>
      <c r="B1269" s="19"/>
      <c r="C1269" s="19"/>
      <c r="D1269" s="19"/>
      <c r="E1269" s="19"/>
      <c r="F1269" s="3" t="s">
        <v>242</v>
      </c>
      <c r="G1269" s="19"/>
      <c r="H1269" s="19"/>
    </row>
    <row r="1270" spans="1:15" ht="17.25" thickBot="1" x14ac:dyDescent="0.35">
      <c r="A1270" s="6">
        <v>1</v>
      </c>
      <c r="B1270" s="3">
        <v>0</v>
      </c>
      <c r="C1270" s="11" t="s">
        <v>115</v>
      </c>
      <c r="D1270" s="2">
        <v>11084</v>
      </c>
      <c r="E1270" s="2">
        <v>0.65720199999999995</v>
      </c>
      <c r="F1270" s="2">
        <v>1.232E-3</v>
      </c>
      <c r="G1270" s="2">
        <v>0.65478734999999999</v>
      </c>
      <c r="H1270" s="2">
        <v>0.65961714000000005</v>
      </c>
      <c r="J1270" t="str">
        <f t="shared" ref="J1270:J1281" si="47">TEXT(E1270,"0.00")&amp;" ("&amp;TEXT(G1270,"0.00")&amp;" to "&amp;TEXT(H1270,"0.00")&amp;")"</f>
        <v>0.66 (0.65 to 0.66)</v>
      </c>
      <c r="K1270" t="str">
        <f>J1272</f>
        <v>0.65 (0.65 to 0.66)</v>
      </c>
      <c r="L1270" t="str">
        <f>J1274</f>
        <v>0.65 (0.65 to 0.66)</v>
      </c>
      <c r="M1270" t="str">
        <f>J1276</f>
        <v>0.66 (0.66 to 0.66)</v>
      </c>
      <c r="N1270" t="str">
        <f>J1278</f>
        <v>0.66 (0.66 to 0.67)</v>
      </c>
      <c r="O1270" t="str">
        <f>J1280</f>
        <v>0.66 (0.66 to 0.66)</v>
      </c>
    </row>
    <row r="1271" spans="1:15" ht="17.25" thickBot="1" x14ac:dyDescent="0.35">
      <c r="A1271" s="6"/>
      <c r="B1271" s="3">
        <v>1</v>
      </c>
      <c r="C1271" s="11" t="s">
        <v>115</v>
      </c>
      <c r="D1271" s="2">
        <v>831</v>
      </c>
      <c r="E1271" s="2">
        <v>0.70983799999999997</v>
      </c>
      <c r="F1271" s="2">
        <v>2.9099999999999998E-3</v>
      </c>
      <c r="G1271" s="2">
        <v>0.70413309999999996</v>
      </c>
      <c r="H1271" s="2">
        <v>0.71554311999999998</v>
      </c>
      <c r="J1271" t="str">
        <f t="shared" si="47"/>
        <v>0.71 (0.70 to 0.72)</v>
      </c>
      <c r="K1271" t="str">
        <f>J1273</f>
        <v>0.71 (0.71 to 0.71)</v>
      </c>
      <c r="L1271" t="str">
        <f>J1275</f>
        <v>0.70 (0.70 to 0.71)</v>
      </c>
      <c r="M1271" t="str">
        <f>J1277</f>
        <v>0.71 (0.70 to 0.71)</v>
      </c>
      <c r="N1271" t="str">
        <f>J1279</f>
        <v>0.71 (0.71 to 0.72)</v>
      </c>
      <c r="O1271" t="str">
        <f>J1281</f>
        <v>0.70 (0.70 to 0.70)</v>
      </c>
    </row>
    <row r="1272" spans="1:15" ht="17.25" thickBot="1" x14ac:dyDescent="0.35">
      <c r="A1272" s="6">
        <v>2</v>
      </c>
      <c r="B1272" s="3">
        <v>0</v>
      </c>
      <c r="C1272" s="11" t="s">
        <v>115</v>
      </c>
      <c r="D1272" s="2">
        <v>11761</v>
      </c>
      <c r="E1272" s="2">
        <v>0.65325599999999995</v>
      </c>
      <c r="F1272" s="2">
        <v>1.008E-3</v>
      </c>
      <c r="G1272" s="2">
        <v>0.65127895999999996</v>
      </c>
      <c r="H1272" s="2">
        <v>0.65523290999999995</v>
      </c>
      <c r="J1272" t="str">
        <f t="shared" si="47"/>
        <v>0.65 (0.65 to 0.66)</v>
      </c>
    </row>
    <row r="1273" spans="1:15" ht="17.25" thickBot="1" x14ac:dyDescent="0.35">
      <c r="A1273" s="6"/>
      <c r="B1273" s="3">
        <v>1</v>
      </c>
      <c r="C1273" s="11" t="s">
        <v>115</v>
      </c>
      <c r="D1273" s="2">
        <v>1355</v>
      </c>
      <c r="E1273" s="2">
        <v>0.71006400000000003</v>
      </c>
      <c r="F1273" s="2">
        <v>2.5019999999999999E-3</v>
      </c>
      <c r="G1273" s="2">
        <v>0.70515821000000001</v>
      </c>
      <c r="H1273" s="2">
        <v>0.71496904999999999</v>
      </c>
      <c r="J1273" t="str">
        <f t="shared" si="47"/>
        <v>0.71 (0.71 to 0.71)</v>
      </c>
    </row>
    <row r="1274" spans="1:15" ht="17.25" thickBot="1" x14ac:dyDescent="0.35">
      <c r="A1274" s="6">
        <v>3</v>
      </c>
      <c r="B1274" s="3">
        <v>0</v>
      </c>
      <c r="C1274" s="11" t="s">
        <v>115</v>
      </c>
      <c r="D1274" s="2">
        <v>9888</v>
      </c>
      <c r="E1274" s="2">
        <v>0.65356000000000003</v>
      </c>
      <c r="F1274" s="2">
        <v>1.0690000000000001E-3</v>
      </c>
      <c r="G1274" s="2">
        <v>0.65146298999999996</v>
      </c>
      <c r="H1274" s="2">
        <v>0.65565671000000003</v>
      </c>
      <c r="J1274" t="str">
        <f t="shared" si="47"/>
        <v>0.65 (0.65 to 0.66)</v>
      </c>
    </row>
    <row r="1275" spans="1:15" ht="17.25" thickBot="1" x14ac:dyDescent="0.35">
      <c r="A1275" s="6"/>
      <c r="B1275" s="3">
        <v>1</v>
      </c>
      <c r="C1275" s="11" t="s">
        <v>115</v>
      </c>
      <c r="D1275" s="2">
        <v>1587</v>
      </c>
      <c r="E1275" s="2">
        <v>0.70353399999999999</v>
      </c>
      <c r="F1275" s="2">
        <v>2.1429999999999999E-3</v>
      </c>
      <c r="G1275" s="2">
        <v>0.69933193000000005</v>
      </c>
      <c r="H1275" s="2">
        <v>0.70773620000000004</v>
      </c>
      <c r="J1275" t="str">
        <f t="shared" si="47"/>
        <v>0.70 (0.70 to 0.71)</v>
      </c>
    </row>
    <row r="1276" spans="1:15" ht="17.25" thickBot="1" x14ac:dyDescent="0.35">
      <c r="A1276" s="6">
        <v>4</v>
      </c>
      <c r="B1276" s="3">
        <v>0</v>
      </c>
      <c r="C1276" s="11" t="s">
        <v>115</v>
      </c>
      <c r="D1276" s="2">
        <v>11727</v>
      </c>
      <c r="E1276" s="2">
        <v>0.65731300000000004</v>
      </c>
      <c r="F1276" s="2">
        <v>9.9099999999999991E-4</v>
      </c>
      <c r="G1276" s="2">
        <v>0.65536947999999995</v>
      </c>
      <c r="H1276" s="2">
        <v>0.65925599000000001</v>
      </c>
      <c r="J1276" t="str">
        <f t="shared" si="47"/>
        <v>0.66 (0.66 to 0.66)</v>
      </c>
    </row>
    <row r="1277" spans="1:15" ht="17.25" thickBot="1" x14ac:dyDescent="0.35">
      <c r="A1277" s="6"/>
      <c r="B1277" s="3">
        <v>1</v>
      </c>
      <c r="C1277" s="11" t="s">
        <v>115</v>
      </c>
      <c r="D1277" s="2">
        <v>2431</v>
      </c>
      <c r="E1277" s="2">
        <v>0.70783300000000005</v>
      </c>
      <c r="F1277" s="2">
        <v>1.9629999999999999E-3</v>
      </c>
      <c r="G1277" s="2">
        <v>0.70398495999999999</v>
      </c>
      <c r="H1277" s="2">
        <v>0.71168200999999998</v>
      </c>
      <c r="J1277" t="str">
        <f t="shared" si="47"/>
        <v>0.71 (0.70 to 0.71)</v>
      </c>
    </row>
    <row r="1278" spans="1:15" ht="17.25" thickBot="1" x14ac:dyDescent="0.35">
      <c r="A1278" s="6">
        <v>5</v>
      </c>
      <c r="B1278" s="3">
        <v>0</v>
      </c>
      <c r="C1278" s="11" t="s">
        <v>115</v>
      </c>
      <c r="D1278" s="2">
        <v>10784</v>
      </c>
      <c r="E1278" s="2">
        <v>0.66373300000000002</v>
      </c>
      <c r="F1278" s="2">
        <v>9.5799999999999998E-4</v>
      </c>
      <c r="G1278" s="2">
        <v>0.66185373999999997</v>
      </c>
      <c r="H1278" s="2">
        <v>0.66561163999999995</v>
      </c>
      <c r="J1278" t="str">
        <f t="shared" si="47"/>
        <v>0.66 (0.66 to 0.67)</v>
      </c>
    </row>
    <row r="1279" spans="1:15" ht="17.25" thickBot="1" x14ac:dyDescent="0.35">
      <c r="A1279" s="6"/>
      <c r="B1279" s="3">
        <v>1</v>
      </c>
      <c r="C1279" s="11" t="s">
        <v>115</v>
      </c>
      <c r="D1279" s="2">
        <v>2771</v>
      </c>
      <c r="E1279" s="2">
        <v>0.71376600000000001</v>
      </c>
      <c r="F1279" s="2">
        <v>1.519E-3</v>
      </c>
      <c r="G1279" s="2">
        <v>0.71078810999999997</v>
      </c>
      <c r="H1279" s="2">
        <v>0.71674329000000003</v>
      </c>
      <c r="J1279" t="str">
        <f t="shared" si="47"/>
        <v>0.71 (0.71 to 0.72)</v>
      </c>
    </row>
    <row r="1280" spans="1:15" ht="17.25" thickBot="1" x14ac:dyDescent="0.35">
      <c r="A1280" s="6">
        <v>6</v>
      </c>
      <c r="B1280" s="3">
        <v>0</v>
      </c>
      <c r="C1280" s="11" t="s">
        <v>115</v>
      </c>
      <c r="D1280" s="2">
        <v>3223</v>
      </c>
      <c r="E1280" s="2">
        <v>0.659524</v>
      </c>
      <c r="F1280" s="2">
        <v>1.681E-3</v>
      </c>
      <c r="G1280" s="2">
        <v>0.65622787000000005</v>
      </c>
      <c r="H1280" s="2">
        <v>0.66282096000000001</v>
      </c>
      <c r="J1280" t="str">
        <f t="shared" si="47"/>
        <v>0.66 (0.66 to 0.66)</v>
      </c>
    </row>
    <row r="1281" spans="1:10" x14ac:dyDescent="0.3">
      <c r="A1281" s="6"/>
      <c r="B1281" s="3">
        <v>1</v>
      </c>
      <c r="C1281" s="14" t="s">
        <v>115</v>
      </c>
      <c r="D1281" s="2">
        <v>1193</v>
      </c>
      <c r="E1281" s="2">
        <v>0.70076899999999998</v>
      </c>
      <c r="F1281" s="2">
        <v>2.1129999999999999E-3</v>
      </c>
      <c r="G1281" s="2">
        <v>0.69662617999999998</v>
      </c>
      <c r="H1281" s="2">
        <v>0.70491267000000002</v>
      </c>
      <c r="J1281" t="str">
        <f t="shared" si="47"/>
        <v>0.70 (0.70 to 0.70)</v>
      </c>
    </row>
    <row r="1285" spans="1:10" x14ac:dyDescent="0.3">
      <c r="A1285" s="1" t="s">
        <v>237</v>
      </c>
    </row>
    <row r="1287" spans="1:10" x14ac:dyDescent="0.3">
      <c r="A1287" s="1" t="s">
        <v>1</v>
      </c>
    </row>
    <row r="1288" spans="1:10" ht="17.25" thickBot="1" x14ac:dyDescent="0.35"/>
    <row r="1289" spans="1:10" ht="16.5" customHeight="1" x14ac:dyDescent="0.3">
      <c r="A1289" s="16" t="s">
        <v>135</v>
      </c>
      <c r="B1289" s="18"/>
    </row>
    <row r="1290" spans="1:10" ht="26.25" thickBot="1" x14ac:dyDescent="0.35">
      <c r="A1290" s="12" t="s">
        <v>136</v>
      </c>
      <c r="B1290" s="2">
        <v>183</v>
      </c>
    </row>
    <row r="1291" spans="1:10" ht="26.25" thickBot="1" x14ac:dyDescent="0.35">
      <c r="A1291" s="12" t="s">
        <v>137</v>
      </c>
      <c r="B1291" s="2">
        <v>2949</v>
      </c>
    </row>
    <row r="1292" spans="1:10" ht="39" thickBot="1" x14ac:dyDescent="0.35">
      <c r="A1292" s="12" t="s">
        <v>138</v>
      </c>
      <c r="B1292" s="2">
        <v>23222</v>
      </c>
    </row>
    <row r="1293" spans="1:10" ht="25.5" x14ac:dyDescent="0.3">
      <c r="A1293" s="13" t="s">
        <v>139</v>
      </c>
      <c r="B1293" s="2">
        <v>9036880.5199999996</v>
      </c>
    </row>
    <row r="1294" spans="1:10" ht="17.25" thickBot="1" x14ac:dyDescent="0.35"/>
    <row r="1295" spans="1:10" ht="33" customHeight="1" x14ac:dyDescent="0.3">
      <c r="A1295" s="16" t="s">
        <v>140</v>
      </c>
      <c r="B1295" s="18"/>
    </row>
    <row r="1296" spans="1:10" ht="33.75" thickBot="1" x14ac:dyDescent="0.35">
      <c r="A1296" s="12" t="s">
        <v>141</v>
      </c>
      <c r="B1296" s="2" t="s">
        <v>142</v>
      </c>
    </row>
    <row r="1297" spans="1:8" ht="25.5" x14ac:dyDescent="0.3">
      <c r="A1297" s="13" t="s">
        <v>143</v>
      </c>
      <c r="B1297" s="2" t="s">
        <v>144</v>
      </c>
    </row>
    <row r="1298" spans="1:8" ht="17.25" thickBot="1" x14ac:dyDescent="0.35"/>
    <row r="1299" spans="1:8" ht="16.5" customHeight="1" x14ac:dyDescent="0.3">
      <c r="A1299" s="16" t="s">
        <v>238</v>
      </c>
      <c r="B1299" s="18"/>
      <c r="C1299" s="18"/>
      <c r="D1299" s="18"/>
      <c r="E1299" s="18"/>
      <c r="F1299" s="18"/>
    </row>
    <row r="1300" spans="1:8" ht="16.5" customHeight="1" x14ac:dyDescent="0.3">
      <c r="A1300" s="17" t="s">
        <v>239</v>
      </c>
      <c r="B1300" s="19" t="s">
        <v>94</v>
      </c>
      <c r="C1300" s="19" t="s">
        <v>240</v>
      </c>
      <c r="D1300" s="3" t="s">
        <v>241</v>
      </c>
      <c r="E1300" s="19" t="s">
        <v>243</v>
      </c>
      <c r="F1300" s="19"/>
    </row>
    <row r="1301" spans="1:8" x14ac:dyDescent="0.3">
      <c r="A1301" s="17"/>
      <c r="B1301" s="19"/>
      <c r="C1301" s="19"/>
      <c r="D1301" s="3" t="s">
        <v>242</v>
      </c>
      <c r="E1301" s="19"/>
      <c r="F1301" s="19"/>
    </row>
    <row r="1302" spans="1:8" x14ac:dyDescent="0.3">
      <c r="A1302" s="13" t="s">
        <v>115</v>
      </c>
      <c r="B1302" s="2">
        <v>23222</v>
      </c>
      <c r="C1302" s="2">
        <v>0.64841899999999997</v>
      </c>
      <c r="D1302" s="2">
        <v>7.7200000000000001E-4</v>
      </c>
      <c r="E1302" s="2">
        <v>0.64690462000000004</v>
      </c>
      <c r="F1302" s="2">
        <v>0.64993400999999995</v>
      </c>
    </row>
    <row r="1306" spans="1:8" x14ac:dyDescent="0.3">
      <c r="A1306" s="1" t="s">
        <v>237</v>
      </c>
    </row>
    <row r="1308" spans="1:8" x14ac:dyDescent="0.3">
      <c r="A1308" s="1" t="s">
        <v>1</v>
      </c>
    </row>
    <row r="1309" spans="1:8" ht="17.25" thickBot="1" x14ac:dyDescent="0.35"/>
    <row r="1310" spans="1:8" ht="16.5" customHeight="1" x14ac:dyDescent="0.3">
      <c r="A1310" s="16" t="s">
        <v>263</v>
      </c>
      <c r="B1310" s="18"/>
      <c r="C1310" s="18"/>
      <c r="D1310" s="18"/>
      <c r="E1310" s="18"/>
      <c r="F1310" s="18"/>
      <c r="G1310" s="18"/>
      <c r="H1310" s="18"/>
    </row>
    <row r="1311" spans="1:8" ht="16.5" customHeight="1" x14ac:dyDescent="0.3">
      <c r="A1311" s="17" t="s">
        <v>249</v>
      </c>
      <c r="B1311" s="19" t="s">
        <v>18</v>
      </c>
      <c r="C1311" s="19" t="s">
        <v>239</v>
      </c>
      <c r="D1311" s="19" t="s">
        <v>94</v>
      </c>
      <c r="E1311" s="19" t="s">
        <v>240</v>
      </c>
      <c r="F1311" s="3" t="s">
        <v>241</v>
      </c>
      <c r="G1311" s="19" t="s">
        <v>243</v>
      </c>
      <c r="H1311" s="19"/>
    </row>
    <row r="1312" spans="1:8" x14ac:dyDescent="0.3">
      <c r="A1312" s="17"/>
      <c r="B1312" s="19"/>
      <c r="C1312" s="19"/>
      <c r="D1312" s="19"/>
      <c r="E1312" s="19"/>
      <c r="F1312" s="3" t="s">
        <v>242</v>
      </c>
      <c r="G1312" s="19"/>
      <c r="H1312" s="19"/>
    </row>
    <row r="1313" spans="1:8" ht="17.25" thickBot="1" x14ac:dyDescent="0.35">
      <c r="A1313" s="6">
        <v>1</v>
      </c>
      <c r="B1313" s="3">
        <v>0</v>
      </c>
      <c r="C1313" s="11" t="s">
        <v>115</v>
      </c>
      <c r="D1313" s="2">
        <v>3649</v>
      </c>
      <c r="E1313" s="2">
        <v>0.654447</v>
      </c>
      <c r="F1313" s="2">
        <v>2.2850000000000001E-3</v>
      </c>
      <c r="G1313" s="2">
        <v>0.64996617999999995</v>
      </c>
      <c r="H1313" s="2">
        <v>0.65892848000000004</v>
      </c>
    </row>
    <row r="1314" spans="1:8" ht="17.25" thickBot="1" x14ac:dyDescent="0.35">
      <c r="A1314" s="6"/>
      <c r="B1314" s="3">
        <v>1</v>
      </c>
      <c r="C1314" s="11" t="s">
        <v>115</v>
      </c>
      <c r="D1314" s="2">
        <v>91</v>
      </c>
      <c r="E1314" s="2">
        <v>0.72355700000000001</v>
      </c>
      <c r="F1314" s="2">
        <v>8.4449999999999994E-3</v>
      </c>
      <c r="G1314" s="2">
        <v>0.70699756000000002</v>
      </c>
      <c r="H1314" s="2">
        <v>0.74011585999999996</v>
      </c>
    </row>
    <row r="1315" spans="1:8" ht="17.25" thickBot="1" x14ac:dyDescent="0.35">
      <c r="A1315" s="6">
        <v>2</v>
      </c>
      <c r="B1315" s="3">
        <v>0</v>
      </c>
      <c r="C1315" s="11" t="s">
        <v>115</v>
      </c>
      <c r="D1315" s="2">
        <v>4570</v>
      </c>
      <c r="E1315" s="2">
        <v>0.63042100000000001</v>
      </c>
      <c r="F1315" s="2">
        <v>1.475E-3</v>
      </c>
      <c r="G1315" s="2">
        <v>0.62753000999999997</v>
      </c>
      <c r="H1315" s="2">
        <v>0.63331263999999998</v>
      </c>
    </row>
    <row r="1316" spans="1:8" ht="17.25" thickBot="1" x14ac:dyDescent="0.35">
      <c r="A1316" s="6"/>
      <c r="B1316" s="3">
        <v>1</v>
      </c>
      <c r="C1316" s="11" t="s">
        <v>115</v>
      </c>
      <c r="D1316" s="2">
        <v>73</v>
      </c>
      <c r="E1316" s="2">
        <v>0.72267999999999999</v>
      </c>
      <c r="F1316" s="2">
        <v>9.8639999999999995E-3</v>
      </c>
      <c r="G1316" s="2">
        <v>0.70333917999999995</v>
      </c>
      <c r="H1316" s="2">
        <v>0.74202036000000005</v>
      </c>
    </row>
    <row r="1317" spans="1:8" ht="17.25" thickBot="1" x14ac:dyDescent="0.35">
      <c r="A1317" s="6"/>
      <c r="B1317" s="3">
        <v>8</v>
      </c>
      <c r="C1317" s="11" t="s">
        <v>115</v>
      </c>
      <c r="D1317" s="2">
        <v>89</v>
      </c>
      <c r="E1317" s="2">
        <v>0.65254900000000005</v>
      </c>
      <c r="F1317" s="2">
        <v>6.8209999999999998E-3</v>
      </c>
      <c r="G1317" s="2">
        <v>0.63917433999999995</v>
      </c>
      <c r="H1317" s="2">
        <v>0.66592317000000001</v>
      </c>
    </row>
    <row r="1318" spans="1:8" ht="17.25" thickBot="1" x14ac:dyDescent="0.35">
      <c r="A1318" s="6">
        <v>3</v>
      </c>
      <c r="B1318" s="3">
        <v>0</v>
      </c>
      <c r="C1318" s="11" t="s">
        <v>115</v>
      </c>
      <c r="D1318" s="2">
        <v>3595</v>
      </c>
      <c r="E1318" s="2">
        <v>0.63944199999999995</v>
      </c>
      <c r="F1318" s="2">
        <v>1.9040000000000001E-3</v>
      </c>
      <c r="G1318" s="2">
        <v>0.63570926000000005</v>
      </c>
      <c r="H1318" s="2">
        <v>0.64317535999999997</v>
      </c>
    </row>
    <row r="1319" spans="1:8" ht="17.25" thickBot="1" x14ac:dyDescent="0.35">
      <c r="A1319" s="6"/>
      <c r="B1319" s="3">
        <v>1</v>
      </c>
      <c r="C1319" s="11" t="s">
        <v>115</v>
      </c>
      <c r="D1319" s="2">
        <v>73</v>
      </c>
      <c r="E1319" s="2">
        <v>0.71440599999999999</v>
      </c>
      <c r="F1319" s="2">
        <v>6.8430000000000001E-3</v>
      </c>
      <c r="G1319" s="2">
        <v>0.70098722999999996</v>
      </c>
      <c r="H1319" s="2">
        <v>0.72782393000000001</v>
      </c>
    </row>
    <row r="1320" spans="1:8" ht="17.25" thickBot="1" x14ac:dyDescent="0.35">
      <c r="A1320" s="6"/>
      <c r="B1320" s="3">
        <v>8</v>
      </c>
      <c r="C1320" s="11" t="s">
        <v>115</v>
      </c>
      <c r="D1320" s="2">
        <v>589</v>
      </c>
      <c r="E1320" s="2">
        <v>0.67096599999999995</v>
      </c>
      <c r="F1320" s="2">
        <v>3.7320000000000001E-3</v>
      </c>
      <c r="G1320" s="2">
        <v>0.66364856999999999</v>
      </c>
      <c r="H1320" s="2">
        <v>0.67828330999999997</v>
      </c>
    </row>
    <row r="1321" spans="1:8" ht="17.25" thickBot="1" x14ac:dyDescent="0.35">
      <c r="A1321" s="6">
        <v>4</v>
      </c>
      <c r="B1321" s="3">
        <v>0</v>
      </c>
      <c r="C1321" s="11" t="s">
        <v>115</v>
      </c>
      <c r="D1321" s="2">
        <v>3853</v>
      </c>
      <c r="E1321" s="2">
        <v>0.64183599999999996</v>
      </c>
      <c r="F1321" s="2">
        <v>1.884E-3</v>
      </c>
      <c r="G1321" s="2">
        <v>0.63814249999999995</v>
      </c>
      <c r="H1321" s="2">
        <v>0.64552969000000004</v>
      </c>
    </row>
    <row r="1322" spans="1:8" ht="17.25" thickBot="1" x14ac:dyDescent="0.35">
      <c r="A1322" s="6"/>
      <c r="B1322" s="3">
        <v>1</v>
      </c>
      <c r="C1322" s="11" t="s">
        <v>115</v>
      </c>
      <c r="D1322" s="2">
        <v>88</v>
      </c>
      <c r="E1322" s="2">
        <v>0.72236299999999998</v>
      </c>
      <c r="F1322" s="2">
        <v>1.0217E-2</v>
      </c>
      <c r="G1322" s="2">
        <v>0.70232963999999998</v>
      </c>
      <c r="H1322" s="2">
        <v>0.74239608999999995</v>
      </c>
    </row>
    <row r="1323" spans="1:8" ht="17.25" thickBot="1" x14ac:dyDescent="0.35">
      <c r="A1323" s="6"/>
      <c r="B1323" s="3">
        <v>8</v>
      </c>
      <c r="C1323" s="11" t="s">
        <v>115</v>
      </c>
      <c r="D1323" s="2">
        <v>615</v>
      </c>
      <c r="E1323" s="2">
        <v>0.66748200000000002</v>
      </c>
      <c r="F1323" s="2">
        <v>3.6960000000000001E-3</v>
      </c>
      <c r="G1323" s="2">
        <v>0.66023478999999996</v>
      </c>
      <c r="H1323" s="2">
        <v>0.67472902000000001</v>
      </c>
    </row>
    <row r="1324" spans="1:8" ht="17.25" thickBot="1" x14ac:dyDescent="0.35">
      <c r="A1324" s="6">
        <v>5</v>
      </c>
      <c r="B1324" s="3">
        <v>0</v>
      </c>
      <c r="C1324" s="11" t="s">
        <v>115</v>
      </c>
      <c r="D1324" s="2">
        <v>3543</v>
      </c>
      <c r="E1324" s="2">
        <v>0.65133399999999997</v>
      </c>
      <c r="F1324" s="2">
        <v>1.91E-3</v>
      </c>
      <c r="G1324" s="2">
        <v>0.64758959000000005</v>
      </c>
      <c r="H1324" s="2">
        <v>0.65507822000000004</v>
      </c>
    </row>
    <row r="1325" spans="1:8" ht="17.25" thickBot="1" x14ac:dyDescent="0.35">
      <c r="A1325" s="6"/>
      <c r="B1325" s="3">
        <v>1</v>
      </c>
      <c r="C1325" s="11" t="s">
        <v>115</v>
      </c>
      <c r="D1325" s="2">
        <v>88</v>
      </c>
      <c r="E1325" s="2">
        <v>0.73098300000000005</v>
      </c>
      <c r="F1325" s="2">
        <v>8.8059999999999996E-3</v>
      </c>
      <c r="G1325" s="2">
        <v>0.71371669999999998</v>
      </c>
      <c r="H1325" s="2">
        <v>0.74825014999999995</v>
      </c>
    </row>
    <row r="1326" spans="1:8" ht="17.25" thickBot="1" x14ac:dyDescent="0.35">
      <c r="A1326" s="6"/>
      <c r="B1326" s="3">
        <v>8</v>
      </c>
      <c r="C1326" s="11" t="s">
        <v>115</v>
      </c>
      <c r="D1326" s="2">
        <v>870</v>
      </c>
      <c r="E1326" s="2">
        <v>0.69525099999999995</v>
      </c>
      <c r="F1326" s="2">
        <v>3.3809999999999999E-3</v>
      </c>
      <c r="G1326" s="2">
        <v>0.68862177000000002</v>
      </c>
      <c r="H1326" s="2">
        <v>0.70187955000000002</v>
      </c>
    </row>
    <row r="1327" spans="1:8" ht="17.25" thickBot="1" x14ac:dyDescent="0.35">
      <c r="A1327" s="6">
        <v>6</v>
      </c>
      <c r="B1327" s="3">
        <v>0</v>
      </c>
      <c r="C1327" s="11" t="s">
        <v>115</v>
      </c>
      <c r="D1327" s="2">
        <v>1045</v>
      </c>
      <c r="E1327" s="2">
        <v>0.64535500000000001</v>
      </c>
      <c r="F1327" s="2">
        <v>3.202E-3</v>
      </c>
      <c r="G1327" s="2">
        <v>0.63907709999999995</v>
      </c>
      <c r="H1327" s="2">
        <v>0.65163346</v>
      </c>
    </row>
    <row r="1328" spans="1:8" ht="17.25" thickBot="1" x14ac:dyDescent="0.35">
      <c r="A1328" s="6"/>
      <c r="B1328" s="3">
        <v>1</v>
      </c>
      <c r="C1328" s="11" t="s">
        <v>115</v>
      </c>
      <c r="D1328" s="2">
        <v>27</v>
      </c>
      <c r="E1328" s="2">
        <v>0.709484</v>
      </c>
      <c r="F1328" s="2">
        <v>1.2815E-2</v>
      </c>
      <c r="G1328" s="2">
        <v>0.68435650999999997</v>
      </c>
      <c r="H1328" s="2">
        <v>0.73461184000000002</v>
      </c>
    </row>
    <row r="1329" spans="1:8" x14ac:dyDescent="0.3">
      <c r="A1329" s="6"/>
      <c r="B1329" s="3">
        <v>8</v>
      </c>
      <c r="C1329" s="14" t="s">
        <v>115</v>
      </c>
      <c r="D1329" s="2">
        <v>364</v>
      </c>
      <c r="E1329" s="2">
        <v>0.67833399999999999</v>
      </c>
      <c r="F1329" s="2">
        <v>5.7349999999999996E-3</v>
      </c>
      <c r="G1329" s="2">
        <v>0.66708993000000005</v>
      </c>
      <c r="H1329" s="2">
        <v>0.68957889999999999</v>
      </c>
    </row>
    <row r="1333" spans="1:8" x14ac:dyDescent="0.3">
      <c r="A1333" s="1" t="s">
        <v>237</v>
      </c>
    </row>
    <row r="1335" spans="1:8" x14ac:dyDescent="0.3">
      <c r="A1335" s="1" t="s">
        <v>21</v>
      </c>
    </row>
    <row r="1336" spans="1:8" ht="17.25" thickBot="1" x14ac:dyDescent="0.35"/>
    <row r="1337" spans="1:8" ht="16.5" customHeight="1" x14ac:dyDescent="0.3">
      <c r="A1337" s="16" t="s">
        <v>135</v>
      </c>
      <c r="B1337" s="18"/>
    </row>
    <row r="1338" spans="1:8" ht="26.25" thickBot="1" x14ac:dyDescent="0.35">
      <c r="A1338" s="12" t="s">
        <v>136</v>
      </c>
      <c r="B1338" s="2">
        <v>183</v>
      </c>
    </row>
    <row r="1339" spans="1:8" ht="26.25" thickBot="1" x14ac:dyDescent="0.35">
      <c r="A1339" s="12" t="s">
        <v>137</v>
      </c>
      <c r="B1339" s="2">
        <v>2982</v>
      </c>
    </row>
    <row r="1340" spans="1:8" ht="39" thickBot="1" x14ac:dyDescent="0.35">
      <c r="A1340" s="12" t="s">
        <v>138</v>
      </c>
      <c r="B1340" s="2">
        <v>68635</v>
      </c>
    </row>
    <row r="1341" spans="1:8" ht="25.5" x14ac:dyDescent="0.3">
      <c r="A1341" s="13" t="s">
        <v>139</v>
      </c>
      <c r="B1341" s="2">
        <v>30251935.699999999</v>
      </c>
    </row>
    <row r="1342" spans="1:8" ht="17.25" thickBot="1" x14ac:dyDescent="0.35"/>
    <row r="1343" spans="1:8" ht="33" customHeight="1" x14ac:dyDescent="0.3">
      <c r="A1343" s="16" t="s">
        <v>140</v>
      </c>
      <c r="B1343" s="18"/>
    </row>
    <row r="1344" spans="1:8" ht="33.75" thickBot="1" x14ac:dyDescent="0.35">
      <c r="A1344" s="12" t="s">
        <v>141</v>
      </c>
      <c r="B1344" s="2" t="s">
        <v>142</v>
      </c>
    </row>
    <row r="1345" spans="1:8" ht="25.5" x14ac:dyDescent="0.3">
      <c r="A1345" s="13" t="s">
        <v>143</v>
      </c>
      <c r="B1345" s="2" t="s">
        <v>144</v>
      </c>
    </row>
    <row r="1346" spans="1:8" ht="17.25" thickBot="1" x14ac:dyDescent="0.35"/>
    <row r="1347" spans="1:8" ht="16.5" customHeight="1" x14ac:dyDescent="0.3">
      <c r="A1347" s="16" t="s">
        <v>238</v>
      </c>
      <c r="B1347" s="18"/>
      <c r="C1347" s="18"/>
      <c r="D1347" s="18"/>
      <c r="E1347" s="18"/>
      <c r="F1347" s="18"/>
    </row>
    <row r="1348" spans="1:8" ht="16.5" customHeight="1" x14ac:dyDescent="0.3">
      <c r="A1348" s="17" t="s">
        <v>239</v>
      </c>
      <c r="B1348" s="19" t="s">
        <v>94</v>
      </c>
      <c r="C1348" s="19" t="s">
        <v>240</v>
      </c>
      <c r="D1348" s="3" t="s">
        <v>241</v>
      </c>
      <c r="E1348" s="19" t="s">
        <v>243</v>
      </c>
      <c r="F1348" s="19"/>
    </row>
    <row r="1349" spans="1:8" x14ac:dyDescent="0.3">
      <c r="A1349" s="17"/>
      <c r="B1349" s="19"/>
      <c r="C1349" s="19"/>
      <c r="D1349" s="3" t="s">
        <v>242</v>
      </c>
      <c r="E1349" s="19"/>
      <c r="F1349" s="19"/>
    </row>
    <row r="1350" spans="1:8" x14ac:dyDescent="0.3">
      <c r="A1350" s="13" t="s">
        <v>115</v>
      </c>
      <c r="B1350" s="2">
        <v>68635</v>
      </c>
      <c r="C1350" s="2">
        <v>0.66370899999999999</v>
      </c>
      <c r="D1350" s="2">
        <v>4.4099999999999999E-4</v>
      </c>
      <c r="E1350" s="2">
        <v>0.66284405999999996</v>
      </c>
      <c r="F1350" s="2">
        <v>0.66457339000000004</v>
      </c>
    </row>
    <row r="1354" spans="1:8" x14ac:dyDescent="0.3">
      <c r="A1354" s="1" t="s">
        <v>237</v>
      </c>
    </row>
    <row r="1356" spans="1:8" x14ac:dyDescent="0.3">
      <c r="A1356" s="1" t="s">
        <v>21</v>
      </c>
    </row>
    <row r="1357" spans="1:8" ht="17.25" thickBot="1" x14ac:dyDescent="0.35"/>
    <row r="1358" spans="1:8" ht="16.5" customHeight="1" x14ac:dyDescent="0.3">
      <c r="A1358" s="16" t="s">
        <v>263</v>
      </c>
      <c r="B1358" s="18"/>
      <c r="C1358" s="18"/>
      <c r="D1358" s="18"/>
      <c r="E1358" s="18"/>
      <c r="F1358" s="18"/>
      <c r="G1358" s="18"/>
      <c r="H1358" s="18"/>
    </row>
    <row r="1359" spans="1:8" ht="16.5" customHeight="1" x14ac:dyDescent="0.3">
      <c r="A1359" s="17" t="s">
        <v>249</v>
      </c>
      <c r="B1359" s="19" t="s">
        <v>18</v>
      </c>
      <c r="C1359" s="19" t="s">
        <v>239</v>
      </c>
      <c r="D1359" s="19" t="s">
        <v>94</v>
      </c>
      <c r="E1359" s="19" t="s">
        <v>240</v>
      </c>
      <c r="F1359" s="3" t="s">
        <v>241</v>
      </c>
      <c r="G1359" s="19" t="s">
        <v>243</v>
      </c>
      <c r="H1359" s="19"/>
    </row>
    <row r="1360" spans="1:8" x14ac:dyDescent="0.3">
      <c r="A1360" s="17"/>
      <c r="B1360" s="19"/>
      <c r="C1360" s="19"/>
      <c r="D1360" s="19"/>
      <c r="E1360" s="19"/>
      <c r="F1360" s="3" t="s">
        <v>242</v>
      </c>
      <c r="G1360" s="19"/>
      <c r="H1360" s="19"/>
    </row>
    <row r="1361" spans="1:15" ht="17.25" thickBot="1" x14ac:dyDescent="0.35">
      <c r="A1361" s="6">
        <v>1</v>
      </c>
      <c r="B1361" s="3">
        <v>0</v>
      </c>
      <c r="C1361" s="11" t="s">
        <v>115</v>
      </c>
      <c r="D1361" s="2">
        <v>11691</v>
      </c>
      <c r="E1361" s="2">
        <v>0.65981900000000004</v>
      </c>
      <c r="F1361" s="2">
        <v>1.1980000000000001E-3</v>
      </c>
      <c r="G1361" s="2">
        <v>0.65746899000000003</v>
      </c>
      <c r="H1361" s="2">
        <v>0.66216825000000001</v>
      </c>
      <c r="J1361" t="str">
        <f t="shared" ref="J1361:J1372" si="48">TEXT(E1361,"0.00")&amp;" ("&amp;TEXT(G1361,"0.00")&amp;" to "&amp;TEXT(H1361,"0.00")&amp;")"</f>
        <v>0.66 (0.66 to 0.66)</v>
      </c>
      <c r="K1361" t="str">
        <f>J1363</f>
        <v>0.66 (0.66 to 0.66)</v>
      </c>
      <c r="L1361" t="str">
        <f>J1365</f>
        <v>0.66 (0.66 to 0.66)</v>
      </c>
      <c r="M1361" t="str">
        <f>J1367</f>
        <v>0.66 (0.66 to 0.67)</v>
      </c>
      <c r="N1361" t="str">
        <f>J1369</f>
        <v>0.67 (0.67 to 0.67)</v>
      </c>
      <c r="O1361" t="str">
        <f>J1371</f>
        <v>0.67 (0.67 to 0.67)</v>
      </c>
    </row>
    <row r="1362" spans="1:15" ht="17.25" thickBot="1" x14ac:dyDescent="0.35">
      <c r="A1362" s="6"/>
      <c r="B1362" s="3">
        <v>1</v>
      </c>
      <c r="C1362" s="11" t="s">
        <v>115</v>
      </c>
      <c r="D1362" s="2">
        <v>224</v>
      </c>
      <c r="E1362" s="2">
        <v>0.710928</v>
      </c>
      <c r="F1362" s="2">
        <v>5.8729999999999997E-3</v>
      </c>
      <c r="G1362" s="2">
        <v>0.69941317000000003</v>
      </c>
      <c r="H1362" s="2">
        <v>0.72244311000000005</v>
      </c>
      <c r="J1362" t="str">
        <f t="shared" si="48"/>
        <v>0.71 (0.70 to 0.72)</v>
      </c>
      <c r="K1362" t="str">
        <f>J1364</f>
        <v>0.70 (0.69 to 0.72)</v>
      </c>
      <c r="L1362" t="str">
        <f>J1366</f>
        <v>0.71 (0.70 to 0.72)</v>
      </c>
      <c r="M1362" t="str">
        <f>J1368</f>
        <v>0.71 (0.70 to 0.72)</v>
      </c>
      <c r="N1362" t="str">
        <f>J1370</f>
        <v>0.72 (0.71 to 0.73)</v>
      </c>
      <c r="O1362" t="str">
        <f>J1372</f>
        <v>0.72 (0.70 to 0.73)</v>
      </c>
    </row>
    <row r="1363" spans="1:15" ht="17.25" thickBot="1" x14ac:dyDescent="0.35">
      <c r="A1363" s="6">
        <v>2</v>
      </c>
      <c r="B1363" s="3">
        <v>0</v>
      </c>
      <c r="C1363" s="11" t="s">
        <v>115</v>
      </c>
      <c r="D1363" s="2">
        <v>12900</v>
      </c>
      <c r="E1363" s="2">
        <v>0.65714799999999995</v>
      </c>
      <c r="F1363" s="2">
        <v>1.021E-3</v>
      </c>
      <c r="G1363" s="2">
        <v>0.65514636999999998</v>
      </c>
      <c r="H1363" s="2">
        <v>0.65915049999999997</v>
      </c>
      <c r="J1363" t="str">
        <f t="shared" si="48"/>
        <v>0.66 (0.66 to 0.66)</v>
      </c>
    </row>
    <row r="1364" spans="1:15" ht="17.25" thickBot="1" x14ac:dyDescent="0.35">
      <c r="A1364" s="6"/>
      <c r="B1364" s="3">
        <v>1</v>
      </c>
      <c r="C1364" s="11" t="s">
        <v>115</v>
      </c>
      <c r="D1364" s="2">
        <v>216</v>
      </c>
      <c r="E1364" s="2">
        <v>0.70367299999999999</v>
      </c>
      <c r="F1364" s="2">
        <v>6.2030000000000002E-3</v>
      </c>
      <c r="G1364" s="2">
        <v>0.69151035999999999</v>
      </c>
      <c r="H1364" s="2">
        <v>0.71583631000000003</v>
      </c>
      <c r="J1364" t="str">
        <f t="shared" si="48"/>
        <v>0.70 (0.69 to 0.72)</v>
      </c>
    </row>
    <row r="1365" spans="1:15" ht="17.25" thickBot="1" x14ac:dyDescent="0.35">
      <c r="A1365" s="6">
        <v>3</v>
      </c>
      <c r="B1365" s="3">
        <v>0</v>
      </c>
      <c r="C1365" s="11" t="s">
        <v>115</v>
      </c>
      <c r="D1365" s="2">
        <v>11238</v>
      </c>
      <c r="E1365" s="2">
        <v>0.65823100000000001</v>
      </c>
      <c r="F1365" s="2">
        <v>1.0480000000000001E-3</v>
      </c>
      <c r="G1365" s="2">
        <v>0.65617552000000001</v>
      </c>
      <c r="H1365" s="2">
        <v>0.66028708000000003</v>
      </c>
      <c r="J1365" t="str">
        <f t="shared" si="48"/>
        <v>0.66 (0.66 to 0.66)</v>
      </c>
    </row>
    <row r="1366" spans="1:15" ht="17.25" thickBot="1" x14ac:dyDescent="0.35">
      <c r="A1366" s="6"/>
      <c r="B1366" s="3">
        <v>1</v>
      </c>
      <c r="C1366" s="11" t="s">
        <v>115</v>
      </c>
      <c r="D1366" s="2">
        <v>237</v>
      </c>
      <c r="E1366" s="2">
        <v>0.70626199999999995</v>
      </c>
      <c r="F1366" s="2">
        <v>5.1019999999999998E-3</v>
      </c>
      <c r="G1366" s="2">
        <v>0.69625782999999997</v>
      </c>
      <c r="H1366" s="2">
        <v>0.71626577000000002</v>
      </c>
      <c r="J1366" t="str">
        <f t="shared" si="48"/>
        <v>0.71 (0.70 to 0.72)</v>
      </c>
    </row>
    <row r="1367" spans="1:15" ht="17.25" thickBot="1" x14ac:dyDescent="0.35">
      <c r="A1367" s="6">
        <v>4</v>
      </c>
      <c r="B1367" s="3">
        <v>0</v>
      </c>
      <c r="C1367" s="11" t="s">
        <v>115</v>
      </c>
      <c r="D1367" s="2">
        <v>13882</v>
      </c>
      <c r="E1367" s="2">
        <v>0.66388800000000003</v>
      </c>
      <c r="F1367" s="2">
        <v>9.7900000000000005E-4</v>
      </c>
      <c r="G1367" s="2">
        <v>0.66196887000000004</v>
      </c>
      <c r="H1367" s="2">
        <v>0.66580784999999998</v>
      </c>
      <c r="J1367" t="str">
        <f t="shared" si="48"/>
        <v>0.66 (0.66 to 0.67)</v>
      </c>
    </row>
    <row r="1368" spans="1:15" ht="17.25" thickBot="1" x14ac:dyDescent="0.35">
      <c r="A1368" s="6"/>
      <c r="B1368" s="3">
        <v>1</v>
      </c>
      <c r="C1368" s="11" t="s">
        <v>115</v>
      </c>
      <c r="D1368" s="2">
        <v>276</v>
      </c>
      <c r="E1368" s="2">
        <v>0.70887999999999995</v>
      </c>
      <c r="F1368" s="2">
        <v>5.1710000000000002E-3</v>
      </c>
      <c r="G1368" s="2">
        <v>0.6987411</v>
      </c>
      <c r="H1368" s="2">
        <v>0.71901923000000001</v>
      </c>
      <c r="J1368" t="str">
        <f t="shared" si="48"/>
        <v>0.71 (0.70 to 0.72)</v>
      </c>
    </row>
    <row r="1369" spans="1:15" ht="17.25" thickBot="1" x14ac:dyDescent="0.35">
      <c r="A1369" s="6">
        <v>5</v>
      </c>
      <c r="B1369" s="3">
        <v>0</v>
      </c>
      <c r="C1369" s="11" t="s">
        <v>115</v>
      </c>
      <c r="D1369" s="2">
        <v>13294</v>
      </c>
      <c r="E1369" s="2">
        <v>0.67161899999999997</v>
      </c>
      <c r="F1369" s="2">
        <v>9.4499999999999998E-4</v>
      </c>
      <c r="G1369" s="2">
        <v>0.66976619000000004</v>
      </c>
      <c r="H1369" s="2">
        <v>0.67347201000000001</v>
      </c>
      <c r="J1369" t="str">
        <f t="shared" si="48"/>
        <v>0.67 (0.67 to 0.67)</v>
      </c>
    </row>
    <row r="1370" spans="1:15" ht="17.25" thickBot="1" x14ac:dyDescent="0.35">
      <c r="A1370" s="6"/>
      <c r="B1370" s="3">
        <v>1</v>
      </c>
      <c r="C1370" s="11" t="s">
        <v>115</v>
      </c>
      <c r="D1370" s="2">
        <v>261</v>
      </c>
      <c r="E1370" s="2">
        <v>0.71884400000000004</v>
      </c>
      <c r="F1370" s="2">
        <v>4.5820000000000001E-3</v>
      </c>
      <c r="G1370" s="2">
        <v>0.70985854999999998</v>
      </c>
      <c r="H1370" s="2">
        <v>0.72782851999999998</v>
      </c>
      <c r="J1370" t="str">
        <f t="shared" si="48"/>
        <v>0.72 (0.71 to 0.73)</v>
      </c>
    </row>
    <row r="1371" spans="1:15" ht="17.25" thickBot="1" x14ac:dyDescent="0.35">
      <c r="A1371" s="6">
        <v>6</v>
      </c>
      <c r="B1371" s="3">
        <v>0</v>
      </c>
      <c r="C1371" s="11" t="s">
        <v>115</v>
      </c>
      <c r="D1371" s="2">
        <v>4339</v>
      </c>
      <c r="E1371" s="2">
        <v>0.66829099999999997</v>
      </c>
      <c r="F1371" s="2">
        <v>1.622E-3</v>
      </c>
      <c r="G1371" s="2">
        <v>0.66511028000000005</v>
      </c>
      <c r="H1371" s="2">
        <v>0.67147261999999996</v>
      </c>
      <c r="J1371" t="str">
        <f t="shared" si="48"/>
        <v>0.67 (0.67 to 0.67)</v>
      </c>
    </row>
    <row r="1372" spans="1:15" x14ac:dyDescent="0.3">
      <c r="A1372" s="6"/>
      <c r="B1372" s="3">
        <v>1</v>
      </c>
      <c r="C1372" s="14" t="s">
        <v>115</v>
      </c>
      <c r="D1372" s="2">
        <v>77</v>
      </c>
      <c r="E1372" s="2">
        <v>0.71602299999999997</v>
      </c>
      <c r="F1372" s="2">
        <v>6.901E-3</v>
      </c>
      <c r="G1372" s="2">
        <v>0.70249145999999996</v>
      </c>
      <c r="H1372" s="2">
        <v>0.72955424999999996</v>
      </c>
      <c r="J1372" t="str">
        <f t="shared" si="48"/>
        <v>0.72 (0.70 to 0.73)</v>
      </c>
    </row>
    <row r="1376" spans="1:15" x14ac:dyDescent="0.3">
      <c r="A1376" s="1" t="s">
        <v>237</v>
      </c>
    </row>
    <row r="1378" spans="1:6" x14ac:dyDescent="0.3">
      <c r="A1378" s="1" t="s">
        <v>1</v>
      </c>
    </row>
    <row r="1379" spans="1:6" ht="17.25" thickBot="1" x14ac:dyDescent="0.35"/>
    <row r="1380" spans="1:6" ht="16.5" customHeight="1" x14ac:dyDescent="0.3">
      <c r="A1380" s="16" t="s">
        <v>135</v>
      </c>
      <c r="B1380" s="18"/>
    </row>
    <row r="1381" spans="1:6" ht="26.25" thickBot="1" x14ac:dyDescent="0.35">
      <c r="A1381" s="12" t="s">
        <v>136</v>
      </c>
      <c r="B1381" s="2">
        <v>183</v>
      </c>
    </row>
    <row r="1382" spans="1:6" ht="26.25" thickBot="1" x14ac:dyDescent="0.35">
      <c r="A1382" s="12" t="s">
        <v>137</v>
      </c>
      <c r="B1382" s="2">
        <v>2949</v>
      </c>
    </row>
    <row r="1383" spans="1:6" ht="39" thickBot="1" x14ac:dyDescent="0.35">
      <c r="A1383" s="12" t="s">
        <v>138</v>
      </c>
      <c r="B1383" s="2">
        <v>23222</v>
      </c>
    </row>
    <row r="1384" spans="1:6" ht="25.5" x14ac:dyDescent="0.3">
      <c r="A1384" s="13" t="s">
        <v>139</v>
      </c>
      <c r="B1384" s="2">
        <v>9036880.5199999996</v>
      </c>
    </row>
    <row r="1385" spans="1:6" ht="17.25" thickBot="1" x14ac:dyDescent="0.35"/>
    <row r="1386" spans="1:6" ht="33" customHeight="1" x14ac:dyDescent="0.3">
      <c r="A1386" s="16" t="s">
        <v>140</v>
      </c>
      <c r="B1386" s="18"/>
    </row>
    <row r="1387" spans="1:6" ht="33.75" thickBot="1" x14ac:dyDescent="0.35">
      <c r="A1387" s="12" t="s">
        <v>141</v>
      </c>
      <c r="B1387" s="2" t="s">
        <v>142</v>
      </c>
    </row>
    <row r="1388" spans="1:6" ht="25.5" x14ac:dyDescent="0.3">
      <c r="A1388" s="13" t="s">
        <v>143</v>
      </c>
      <c r="B1388" s="2" t="s">
        <v>144</v>
      </c>
    </row>
    <row r="1389" spans="1:6" ht="17.25" thickBot="1" x14ac:dyDescent="0.35"/>
    <row r="1390" spans="1:6" ht="16.5" customHeight="1" x14ac:dyDescent="0.3">
      <c r="A1390" s="16" t="s">
        <v>238</v>
      </c>
      <c r="B1390" s="18"/>
      <c r="C1390" s="18"/>
      <c r="D1390" s="18"/>
      <c r="E1390" s="18"/>
      <c r="F1390" s="18"/>
    </row>
    <row r="1391" spans="1:6" ht="16.5" customHeight="1" x14ac:dyDescent="0.3">
      <c r="A1391" s="17" t="s">
        <v>239</v>
      </c>
      <c r="B1391" s="19" t="s">
        <v>94</v>
      </c>
      <c r="C1391" s="19" t="s">
        <v>240</v>
      </c>
      <c r="D1391" s="3" t="s">
        <v>241</v>
      </c>
      <c r="E1391" s="19" t="s">
        <v>243</v>
      </c>
      <c r="F1391" s="19"/>
    </row>
    <row r="1392" spans="1:6" x14ac:dyDescent="0.3">
      <c r="A1392" s="17"/>
      <c r="B1392" s="19"/>
      <c r="C1392" s="19"/>
      <c r="D1392" s="3" t="s">
        <v>242</v>
      </c>
      <c r="E1392" s="19"/>
      <c r="F1392" s="19"/>
    </row>
    <row r="1393" spans="1:8" x14ac:dyDescent="0.3">
      <c r="A1393" s="13" t="s">
        <v>115</v>
      </c>
      <c r="B1393" s="2">
        <v>23222</v>
      </c>
      <c r="C1393" s="2">
        <v>0.64841899999999997</v>
      </c>
      <c r="D1393" s="2">
        <v>7.7200000000000001E-4</v>
      </c>
      <c r="E1393" s="2">
        <v>0.64690462000000004</v>
      </c>
      <c r="F1393" s="2">
        <v>0.64993400999999995</v>
      </c>
    </row>
    <row r="1397" spans="1:8" x14ac:dyDescent="0.3">
      <c r="A1397" s="1" t="s">
        <v>237</v>
      </c>
    </row>
    <row r="1399" spans="1:8" x14ac:dyDescent="0.3">
      <c r="A1399" s="1" t="s">
        <v>1</v>
      </c>
    </row>
    <row r="1400" spans="1:8" ht="17.25" thickBot="1" x14ac:dyDescent="0.35"/>
    <row r="1401" spans="1:8" ht="16.5" customHeight="1" x14ac:dyDescent="0.3">
      <c r="A1401" s="16" t="s">
        <v>264</v>
      </c>
      <c r="B1401" s="18"/>
      <c r="C1401" s="18"/>
      <c r="D1401" s="18"/>
      <c r="E1401" s="18"/>
      <c r="F1401" s="18"/>
      <c r="G1401" s="18"/>
      <c r="H1401" s="18"/>
    </row>
    <row r="1402" spans="1:8" ht="16.5" customHeight="1" x14ac:dyDescent="0.3">
      <c r="A1402" s="17" t="s">
        <v>249</v>
      </c>
      <c r="B1402" s="19" t="s">
        <v>19</v>
      </c>
      <c r="C1402" s="19" t="s">
        <v>239</v>
      </c>
      <c r="D1402" s="19" t="s">
        <v>94</v>
      </c>
      <c r="E1402" s="19" t="s">
        <v>240</v>
      </c>
      <c r="F1402" s="3" t="s">
        <v>241</v>
      </c>
      <c r="G1402" s="19" t="s">
        <v>243</v>
      </c>
      <c r="H1402" s="19"/>
    </row>
    <row r="1403" spans="1:8" x14ac:dyDescent="0.3">
      <c r="A1403" s="17"/>
      <c r="B1403" s="19"/>
      <c r="C1403" s="19"/>
      <c r="D1403" s="19"/>
      <c r="E1403" s="19"/>
      <c r="F1403" s="3" t="s">
        <v>242</v>
      </c>
      <c r="G1403" s="19"/>
      <c r="H1403" s="19"/>
    </row>
    <row r="1404" spans="1:8" ht="17.25" thickBot="1" x14ac:dyDescent="0.35">
      <c r="A1404" s="6">
        <v>1</v>
      </c>
      <c r="B1404" s="3">
        <v>0</v>
      </c>
      <c r="C1404" s="11" t="s">
        <v>115</v>
      </c>
      <c r="D1404" s="2">
        <v>3711</v>
      </c>
      <c r="E1404" s="2">
        <v>0.65531499999999998</v>
      </c>
      <c r="F1404" s="2">
        <v>2.2850000000000001E-3</v>
      </c>
      <c r="G1404" s="2">
        <v>0.65083431999999997</v>
      </c>
      <c r="H1404" s="2">
        <v>0.65979480000000001</v>
      </c>
    </row>
    <row r="1405" spans="1:8" ht="17.25" thickBot="1" x14ac:dyDescent="0.35">
      <c r="A1405" s="6"/>
      <c r="B1405" s="3">
        <v>1</v>
      </c>
      <c r="C1405" s="11" t="s">
        <v>115</v>
      </c>
      <c r="D1405" s="2">
        <v>29</v>
      </c>
      <c r="E1405" s="2">
        <v>0.70871300000000004</v>
      </c>
      <c r="F1405" s="2">
        <v>1.8407E-2</v>
      </c>
      <c r="G1405" s="2">
        <v>0.67262078000000003</v>
      </c>
      <c r="H1405" s="2">
        <v>0.74480553000000005</v>
      </c>
    </row>
    <row r="1406" spans="1:8" ht="17.25" thickBot="1" x14ac:dyDescent="0.35">
      <c r="A1406" s="6">
        <v>2</v>
      </c>
      <c r="B1406" s="3">
        <v>0</v>
      </c>
      <c r="C1406" s="11" t="s">
        <v>115</v>
      </c>
      <c r="D1406" s="2">
        <v>4616</v>
      </c>
      <c r="E1406" s="2">
        <v>0.63112100000000004</v>
      </c>
      <c r="F1406" s="2">
        <v>1.4729999999999999E-3</v>
      </c>
      <c r="G1406" s="2">
        <v>0.62823280000000004</v>
      </c>
      <c r="H1406" s="2">
        <v>0.63400900999999998</v>
      </c>
    </row>
    <row r="1407" spans="1:8" ht="17.25" thickBot="1" x14ac:dyDescent="0.35">
      <c r="A1407" s="6"/>
      <c r="B1407" s="3">
        <v>1</v>
      </c>
      <c r="C1407" s="11" t="s">
        <v>115</v>
      </c>
      <c r="D1407" s="2">
        <v>27</v>
      </c>
      <c r="E1407" s="2">
        <v>0.70880500000000002</v>
      </c>
      <c r="F1407" s="2">
        <v>1.6802999999999998E-2</v>
      </c>
      <c r="G1407" s="2">
        <v>0.67585739</v>
      </c>
      <c r="H1407" s="2">
        <v>0.74175276000000001</v>
      </c>
    </row>
    <row r="1408" spans="1:8" ht="17.25" thickBot="1" x14ac:dyDescent="0.35">
      <c r="A1408" s="6"/>
      <c r="B1408" s="3">
        <v>8</v>
      </c>
      <c r="C1408" s="11" t="s">
        <v>115</v>
      </c>
      <c r="D1408" s="2">
        <v>89</v>
      </c>
      <c r="E1408" s="2">
        <v>0.65254900000000005</v>
      </c>
      <c r="F1408" s="2">
        <v>6.8209999999999998E-3</v>
      </c>
      <c r="G1408" s="2">
        <v>0.63917433999999995</v>
      </c>
      <c r="H1408" s="2">
        <v>0.66592317000000001</v>
      </c>
    </row>
    <row r="1409" spans="1:8" ht="17.25" thickBot="1" x14ac:dyDescent="0.35">
      <c r="A1409" s="6">
        <v>3</v>
      </c>
      <c r="B1409" s="3">
        <v>0</v>
      </c>
      <c r="C1409" s="11" t="s">
        <v>115</v>
      </c>
      <c r="D1409" s="2">
        <v>3638</v>
      </c>
      <c r="E1409" s="2">
        <v>0.63993500000000003</v>
      </c>
      <c r="F1409" s="2">
        <v>1.8829999999999999E-3</v>
      </c>
      <c r="G1409" s="2">
        <v>0.63624265000000002</v>
      </c>
      <c r="H1409" s="2">
        <v>0.64362812999999996</v>
      </c>
    </row>
    <row r="1410" spans="1:8" ht="17.25" thickBot="1" x14ac:dyDescent="0.35">
      <c r="A1410" s="6"/>
      <c r="B1410" s="3">
        <v>1</v>
      </c>
      <c r="C1410" s="11" t="s">
        <v>115</v>
      </c>
      <c r="D1410" s="2">
        <v>27</v>
      </c>
      <c r="E1410" s="2">
        <v>0.71723199999999998</v>
      </c>
      <c r="F1410" s="2">
        <v>1.0846E-2</v>
      </c>
      <c r="G1410" s="2">
        <v>0.69596572000000001</v>
      </c>
      <c r="H1410" s="2">
        <v>0.73849865999999997</v>
      </c>
    </row>
    <row r="1411" spans="1:8" ht="17.25" thickBot="1" x14ac:dyDescent="0.35">
      <c r="A1411" s="6"/>
      <c r="B1411" s="3">
        <v>8</v>
      </c>
      <c r="C1411" s="11" t="s">
        <v>115</v>
      </c>
      <c r="D1411" s="2">
        <v>592</v>
      </c>
      <c r="E1411" s="2">
        <v>0.67118699999999998</v>
      </c>
      <c r="F1411" s="2">
        <v>3.6770000000000001E-3</v>
      </c>
      <c r="G1411" s="2">
        <v>0.66397793000000005</v>
      </c>
      <c r="H1411" s="2">
        <v>0.67839634999999998</v>
      </c>
    </row>
    <row r="1412" spans="1:8" ht="17.25" thickBot="1" x14ac:dyDescent="0.35">
      <c r="A1412" s="6">
        <v>4</v>
      </c>
      <c r="B1412" s="3">
        <v>0</v>
      </c>
      <c r="C1412" s="11" t="s">
        <v>115</v>
      </c>
      <c r="D1412" s="2">
        <v>3905</v>
      </c>
      <c r="E1412" s="2">
        <v>0.64277899999999999</v>
      </c>
      <c r="F1412" s="2">
        <v>1.882E-3</v>
      </c>
      <c r="G1412" s="2">
        <v>0.63908841999999999</v>
      </c>
      <c r="H1412" s="2">
        <v>0.64646937999999998</v>
      </c>
    </row>
    <row r="1413" spans="1:8" ht="17.25" thickBot="1" x14ac:dyDescent="0.35">
      <c r="A1413" s="6"/>
      <c r="B1413" s="3">
        <v>1</v>
      </c>
      <c r="C1413" s="11" t="s">
        <v>115</v>
      </c>
      <c r="D1413" s="2">
        <v>33</v>
      </c>
      <c r="E1413" s="2">
        <v>0.72107600000000005</v>
      </c>
      <c r="F1413" s="2">
        <v>1.593E-2</v>
      </c>
      <c r="G1413" s="2">
        <v>0.68983970999999999</v>
      </c>
      <c r="H1413" s="2">
        <v>0.75231154</v>
      </c>
    </row>
    <row r="1414" spans="1:8" ht="17.25" thickBot="1" x14ac:dyDescent="0.35">
      <c r="A1414" s="6"/>
      <c r="B1414" s="3">
        <v>8</v>
      </c>
      <c r="C1414" s="11" t="s">
        <v>115</v>
      </c>
      <c r="D1414" s="2">
        <v>618</v>
      </c>
      <c r="E1414" s="2">
        <v>0.66758200000000001</v>
      </c>
      <c r="F1414" s="2">
        <v>3.6930000000000001E-3</v>
      </c>
      <c r="G1414" s="2">
        <v>0.66034093000000005</v>
      </c>
      <c r="H1414" s="2">
        <v>0.67482257000000001</v>
      </c>
    </row>
    <row r="1415" spans="1:8" ht="17.25" thickBot="1" x14ac:dyDescent="0.35">
      <c r="A1415" s="6">
        <v>5</v>
      </c>
      <c r="B1415" s="3">
        <v>0</v>
      </c>
      <c r="C1415" s="11" t="s">
        <v>115</v>
      </c>
      <c r="D1415" s="2">
        <v>3585</v>
      </c>
      <c r="E1415" s="2">
        <v>0.65163899999999997</v>
      </c>
      <c r="F1415" s="2">
        <v>1.8730000000000001E-3</v>
      </c>
      <c r="G1415" s="2">
        <v>0.64796670999999995</v>
      </c>
      <c r="H1415" s="2">
        <v>0.65531187999999996</v>
      </c>
    </row>
    <row r="1416" spans="1:8" ht="17.25" thickBot="1" x14ac:dyDescent="0.35">
      <c r="A1416" s="6"/>
      <c r="B1416" s="3">
        <v>1</v>
      </c>
      <c r="C1416" s="11" t="s">
        <v>115</v>
      </c>
      <c r="D1416" s="2">
        <v>38</v>
      </c>
      <c r="E1416" s="2">
        <v>0.75153199999999998</v>
      </c>
      <c r="F1416" s="2">
        <v>1.1289E-2</v>
      </c>
      <c r="G1416" s="2">
        <v>0.72939558999999998</v>
      </c>
      <c r="H1416" s="2">
        <v>0.77366771000000001</v>
      </c>
    </row>
    <row r="1417" spans="1:8" ht="17.25" thickBot="1" x14ac:dyDescent="0.35">
      <c r="A1417" s="6"/>
      <c r="B1417" s="3">
        <v>8</v>
      </c>
      <c r="C1417" s="11" t="s">
        <v>115</v>
      </c>
      <c r="D1417" s="2">
        <v>878</v>
      </c>
      <c r="E1417" s="2">
        <v>0.69591000000000003</v>
      </c>
      <c r="F1417" s="2">
        <v>3.3530000000000001E-3</v>
      </c>
      <c r="G1417" s="2">
        <v>0.68933517</v>
      </c>
      <c r="H1417" s="2">
        <v>0.70248573000000003</v>
      </c>
    </row>
    <row r="1418" spans="1:8" ht="17.25" thickBot="1" x14ac:dyDescent="0.35">
      <c r="A1418" s="6">
        <v>6</v>
      </c>
      <c r="B1418" s="3">
        <v>0</v>
      </c>
      <c r="C1418" s="11" t="s">
        <v>115</v>
      </c>
      <c r="D1418" s="2">
        <v>1060</v>
      </c>
      <c r="E1418" s="2">
        <v>0.64573599999999998</v>
      </c>
      <c r="F1418" s="2">
        <v>3.1640000000000001E-3</v>
      </c>
      <c r="G1418" s="2">
        <v>0.63953201000000004</v>
      </c>
      <c r="H1418" s="2">
        <v>0.65194079000000005</v>
      </c>
    </row>
    <row r="1419" spans="1:8" ht="17.25" thickBot="1" x14ac:dyDescent="0.35">
      <c r="A1419" s="6"/>
      <c r="B1419" s="3">
        <v>1</v>
      </c>
      <c r="C1419" s="11" t="s">
        <v>115</v>
      </c>
      <c r="D1419" s="2">
        <v>11</v>
      </c>
      <c r="E1419" s="2">
        <v>0.72624200000000005</v>
      </c>
      <c r="F1419" s="2">
        <v>1.8775E-2</v>
      </c>
      <c r="G1419" s="2">
        <v>0.68942813000000003</v>
      </c>
      <c r="H1419" s="2">
        <v>0.76305604999999999</v>
      </c>
    </row>
    <row r="1420" spans="1:8" x14ac:dyDescent="0.3">
      <c r="A1420" s="6"/>
      <c r="B1420" s="3">
        <v>8</v>
      </c>
      <c r="C1420" s="14" t="s">
        <v>115</v>
      </c>
      <c r="D1420" s="2">
        <v>365</v>
      </c>
      <c r="E1420" s="2">
        <v>0.67838100000000001</v>
      </c>
      <c r="F1420" s="2">
        <v>5.7289999999999997E-3</v>
      </c>
      <c r="G1420" s="2">
        <v>0.66714699</v>
      </c>
      <c r="H1420" s="2">
        <v>0.68961558000000001</v>
      </c>
    </row>
    <row r="1424" spans="1:8" x14ac:dyDescent="0.3">
      <c r="A1424" s="1" t="s">
        <v>237</v>
      </c>
    </row>
    <row r="1426" spans="1:6" x14ac:dyDescent="0.3">
      <c r="A1426" s="1" t="s">
        <v>21</v>
      </c>
    </row>
    <row r="1427" spans="1:6" ht="17.25" thickBot="1" x14ac:dyDescent="0.35"/>
    <row r="1428" spans="1:6" ht="16.5" customHeight="1" x14ac:dyDescent="0.3">
      <c r="A1428" s="16" t="s">
        <v>135</v>
      </c>
      <c r="B1428" s="18"/>
    </row>
    <row r="1429" spans="1:6" ht="26.25" thickBot="1" x14ac:dyDescent="0.35">
      <c r="A1429" s="12" t="s">
        <v>136</v>
      </c>
      <c r="B1429" s="2">
        <v>183</v>
      </c>
    </row>
    <row r="1430" spans="1:6" ht="26.25" thickBot="1" x14ac:dyDescent="0.35">
      <c r="A1430" s="12" t="s">
        <v>137</v>
      </c>
      <c r="B1430" s="2">
        <v>2982</v>
      </c>
    </row>
    <row r="1431" spans="1:6" ht="39" thickBot="1" x14ac:dyDescent="0.35">
      <c r="A1431" s="12" t="s">
        <v>138</v>
      </c>
      <c r="B1431" s="2">
        <v>68635</v>
      </c>
    </row>
    <row r="1432" spans="1:6" ht="25.5" x14ac:dyDescent="0.3">
      <c r="A1432" s="13" t="s">
        <v>139</v>
      </c>
      <c r="B1432" s="2">
        <v>30251935.699999999</v>
      </c>
    </row>
    <row r="1433" spans="1:6" ht="17.25" thickBot="1" x14ac:dyDescent="0.35"/>
    <row r="1434" spans="1:6" ht="33" customHeight="1" x14ac:dyDescent="0.3">
      <c r="A1434" s="16" t="s">
        <v>140</v>
      </c>
      <c r="B1434" s="18"/>
    </row>
    <row r="1435" spans="1:6" ht="33.75" thickBot="1" x14ac:dyDescent="0.35">
      <c r="A1435" s="12" t="s">
        <v>141</v>
      </c>
      <c r="B1435" s="2" t="s">
        <v>142</v>
      </c>
    </row>
    <row r="1436" spans="1:6" ht="25.5" x14ac:dyDescent="0.3">
      <c r="A1436" s="13" t="s">
        <v>143</v>
      </c>
      <c r="B1436" s="2" t="s">
        <v>144</v>
      </c>
    </row>
    <row r="1437" spans="1:6" ht="17.25" thickBot="1" x14ac:dyDescent="0.35"/>
    <row r="1438" spans="1:6" ht="16.5" customHeight="1" x14ac:dyDescent="0.3">
      <c r="A1438" s="16" t="s">
        <v>238</v>
      </c>
      <c r="B1438" s="18"/>
      <c r="C1438" s="18"/>
      <c r="D1438" s="18"/>
      <c r="E1438" s="18"/>
      <c r="F1438" s="18"/>
    </row>
    <row r="1439" spans="1:6" ht="16.5" customHeight="1" x14ac:dyDescent="0.3">
      <c r="A1439" s="17" t="s">
        <v>239</v>
      </c>
      <c r="B1439" s="19" t="s">
        <v>94</v>
      </c>
      <c r="C1439" s="19" t="s">
        <v>240</v>
      </c>
      <c r="D1439" s="3" t="s">
        <v>241</v>
      </c>
      <c r="E1439" s="19" t="s">
        <v>243</v>
      </c>
      <c r="F1439" s="19"/>
    </row>
    <row r="1440" spans="1:6" x14ac:dyDescent="0.3">
      <c r="A1440" s="17"/>
      <c r="B1440" s="19"/>
      <c r="C1440" s="19"/>
      <c r="D1440" s="3" t="s">
        <v>242</v>
      </c>
      <c r="E1440" s="19"/>
      <c r="F1440" s="19"/>
    </row>
    <row r="1441" spans="1:15" x14ac:dyDescent="0.3">
      <c r="A1441" s="13" t="s">
        <v>115</v>
      </c>
      <c r="B1441" s="2">
        <v>68635</v>
      </c>
      <c r="C1441" s="2">
        <v>0.66370899999999999</v>
      </c>
      <c r="D1441" s="2">
        <v>4.4099999999999999E-4</v>
      </c>
      <c r="E1441" s="2">
        <v>0.66284405999999996</v>
      </c>
      <c r="F1441" s="2">
        <v>0.66457339000000004</v>
      </c>
    </row>
    <row r="1445" spans="1:15" x14ac:dyDescent="0.3">
      <c r="A1445" s="1" t="s">
        <v>237</v>
      </c>
    </row>
    <row r="1447" spans="1:15" x14ac:dyDescent="0.3">
      <c r="A1447" s="1" t="s">
        <v>21</v>
      </c>
    </row>
    <row r="1448" spans="1:15" ht="17.25" thickBot="1" x14ac:dyDescent="0.35"/>
    <row r="1449" spans="1:15" ht="16.5" customHeight="1" x14ac:dyDescent="0.3">
      <c r="A1449" s="16" t="s">
        <v>264</v>
      </c>
      <c r="B1449" s="18"/>
      <c r="C1449" s="18"/>
      <c r="D1449" s="18"/>
      <c r="E1449" s="18"/>
      <c r="F1449" s="18"/>
      <c r="G1449" s="18"/>
      <c r="H1449" s="18"/>
    </row>
    <row r="1450" spans="1:15" ht="16.5" customHeight="1" x14ac:dyDescent="0.3">
      <c r="A1450" s="17" t="s">
        <v>249</v>
      </c>
      <c r="B1450" s="19" t="s">
        <v>19</v>
      </c>
      <c r="C1450" s="19" t="s">
        <v>239</v>
      </c>
      <c r="D1450" s="19" t="s">
        <v>94</v>
      </c>
      <c r="E1450" s="19" t="s">
        <v>240</v>
      </c>
      <c r="F1450" s="3" t="s">
        <v>241</v>
      </c>
      <c r="G1450" s="19" t="s">
        <v>243</v>
      </c>
      <c r="H1450" s="19"/>
    </row>
    <row r="1451" spans="1:15" x14ac:dyDescent="0.3">
      <c r="A1451" s="17"/>
      <c r="B1451" s="19"/>
      <c r="C1451" s="19"/>
      <c r="D1451" s="19"/>
      <c r="E1451" s="19"/>
      <c r="F1451" s="3" t="s">
        <v>242</v>
      </c>
      <c r="G1451" s="19"/>
      <c r="H1451" s="19"/>
    </row>
    <row r="1452" spans="1:15" ht="17.25" thickBot="1" x14ac:dyDescent="0.35">
      <c r="A1452" s="6">
        <v>1</v>
      </c>
      <c r="B1452" s="3">
        <v>0</v>
      </c>
      <c r="C1452" s="11" t="s">
        <v>115</v>
      </c>
      <c r="D1452" s="2">
        <v>11812</v>
      </c>
      <c r="E1452" s="2">
        <v>0.66017899999999996</v>
      </c>
      <c r="F1452" s="2">
        <v>1.1969999999999999E-3</v>
      </c>
      <c r="G1452" s="2">
        <v>0.65783161000000001</v>
      </c>
      <c r="H1452" s="2">
        <v>0.66252580000000005</v>
      </c>
      <c r="J1452" t="str">
        <f t="shared" ref="J1452:J1463" si="49">TEXT(E1452,"0.00")&amp;" ("&amp;TEXT(G1452,"0.00")&amp;" to "&amp;TEXT(H1452,"0.00")&amp;")"</f>
        <v>0.66 (0.66 to 0.66)</v>
      </c>
      <c r="K1452" t="str">
        <f>J1454</f>
        <v>0.66 (0.66 to 0.66)</v>
      </c>
      <c r="L1452" t="str">
        <f>J1456</f>
        <v>0.66 (0.66 to 0.66)</v>
      </c>
      <c r="M1452" t="str">
        <f>J1458</f>
        <v>0.66 (0.66 to 0.67)</v>
      </c>
      <c r="N1452" t="str">
        <f>J1460</f>
        <v>0.67 (0.67 to 0.67)</v>
      </c>
      <c r="O1452" t="str">
        <f>J1462</f>
        <v>0.67 (0.67 to 0.67)</v>
      </c>
    </row>
    <row r="1453" spans="1:15" ht="17.25" thickBot="1" x14ac:dyDescent="0.35">
      <c r="A1453" s="6"/>
      <c r="B1453" s="3">
        <v>1</v>
      </c>
      <c r="C1453" s="11" t="s">
        <v>115</v>
      </c>
      <c r="D1453" s="2">
        <v>103</v>
      </c>
      <c r="E1453" s="2">
        <v>0.70658100000000001</v>
      </c>
      <c r="F1453" s="2">
        <v>6.6670000000000002E-3</v>
      </c>
      <c r="G1453" s="2">
        <v>0.69350845999999999</v>
      </c>
      <c r="H1453" s="2">
        <v>0.71965270999999997</v>
      </c>
      <c r="J1453" t="str">
        <f t="shared" si="49"/>
        <v>0.71 (0.69 to 0.72)</v>
      </c>
      <c r="K1453" t="str">
        <f>J1455</f>
        <v>0.71 (0.69 to 0.72)</v>
      </c>
      <c r="L1453" t="str">
        <f>J1457</f>
        <v>0.71 (0.69 to 0.72)</v>
      </c>
      <c r="M1453" t="str">
        <f>J1459</f>
        <v>0.71 (0.70 to 0.73)</v>
      </c>
      <c r="N1453" t="str">
        <f>J1461</f>
        <v>0.73 (0.72 to 0.74)</v>
      </c>
      <c r="O1453" t="str">
        <f>J1463</f>
        <v>0.72 (0.71 to 0.74)</v>
      </c>
    </row>
    <row r="1454" spans="1:15" ht="17.25" thickBot="1" x14ac:dyDescent="0.35">
      <c r="A1454" s="6">
        <v>2</v>
      </c>
      <c r="B1454" s="3">
        <v>0</v>
      </c>
      <c r="C1454" s="11" t="s">
        <v>115</v>
      </c>
      <c r="D1454" s="2">
        <v>13014</v>
      </c>
      <c r="E1454" s="2">
        <v>0.65739000000000003</v>
      </c>
      <c r="F1454" s="2">
        <v>1.013E-3</v>
      </c>
      <c r="G1454" s="2">
        <v>0.65540323</v>
      </c>
      <c r="H1454" s="2">
        <v>0.65937760999999995</v>
      </c>
      <c r="J1454" t="str">
        <f t="shared" si="49"/>
        <v>0.66 (0.66 to 0.66)</v>
      </c>
    </row>
    <row r="1455" spans="1:15" ht="17.25" thickBot="1" x14ac:dyDescent="0.35">
      <c r="A1455" s="6"/>
      <c r="B1455" s="3">
        <v>1</v>
      </c>
      <c r="C1455" s="11" t="s">
        <v>115</v>
      </c>
      <c r="D1455" s="2">
        <v>102</v>
      </c>
      <c r="E1455" s="2">
        <v>0.70513300000000001</v>
      </c>
      <c r="F1455" s="2">
        <v>7.2899999999999996E-3</v>
      </c>
      <c r="G1455" s="2">
        <v>0.69083852999999995</v>
      </c>
      <c r="H1455" s="2">
        <v>0.71942786999999997</v>
      </c>
      <c r="J1455" t="str">
        <f t="shared" si="49"/>
        <v>0.71 (0.69 to 0.72)</v>
      </c>
    </row>
    <row r="1456" spans="1:15" ht="17.25" thickBot="1" x14ac:dyDescent="0.35">
      <c r="A1456" s="6">
        <v>3</v>
      </c>
      <c r="B1456" s="3">
        <v>0</v>
      </c>
      <c r="C1456" s="11" t="s">
        <v>115</v>
      </c>
      <c r="D1456" s="2">
        <v>11385</v>
      </c>
      <c r="E1456" s="2">
        <v>0.65865600000000002</v>
      </c>
      <c r="F1456" s="2">
        <v>1.0499999999999999E-3</v>
      </c>
      <c r="G1456" s="2">
        <v>0.65659725999999996</v>
      </c>
      <c r="H1456" s="2">
        <v>0.66071511000000005</v>
      </c>
      <c r="J1456" t="str">
        <f t="shared" si="49"/>
        <v>0.66 (0.66 to 0.66)</v>
      </c>
    </row>
    <row r="1457" spans="1:10" ht="17.25" thickBot="1" x14ac:dyDescent="0.35">
      <c r="A1457" s="6"/>
      <c r="B1457" s="3">
        <v>1</v>
      </c>
      <c r="C1457" s="11" t="s">
        <v>115</v>
      </c>
      <c r="D1457" s="2">
        <v>90</v>
      </c>
      <c r="E1457" s="2">
        <v>0.70930700000000002</v>
      </c>
      <c r="F1457" s="2">
        <v>7.986E-3</v>
      </c>
      <c r="G1457" s="2">
        <v>0.69364747999999998</v>
      </c>
      <c r="H1457" s="2">
        <v>0.72496587999999995</v>
      </c>
      <c r="J1457" t="str">
        <f t="shared" si="49"/>
        <v>0.71 (0.69 to 0.72)</v>
      </c>
    </row>
    <row r="1458" spans="1:10" ht="17.25" thickBot="1" x14ac:dyDescent="0.35">
      <c r="A1458" s="6">
        <v>4</v>
      </c>
      <c r="B1458" s="3">
        <v>0</v>
      </c>
      <c r="C1458" s="11" t="s">
        <v>115</v>
      </c>
      <c r="D1458" s="2">
        <v>14006</v>
      </c>
      <c r="E1458" s="2">
        <v>0.66417400000000004</v>
      </c>
      <c r="F1458" s="2">
        <v>9.7999999999999997E-4</v>
      </c>
      <c r="G1458" s="2">
        <v>0.6622519</v>
      </c>
      <c r="H1458" s="2">
        <v>0.66609631000000002</v>
      </c>
      <c r="J1458" t="str">
        <f t="shared" si="49"/>
        <v>0.66 (0.66 to 0.67)</v>
      </c>
    </row>
    <row r="1459" spans="1:10" ht="17.25" thickBot="1" x14ac:dyDescent="0.35">
      <c r="A1459" s="6"/>
      <c r="B1459" s="3">
        <v>1</v>
      </c>
      <c r="C1459" s="11" t="s">
        <v>115</v>
      </c>
      <c r="D1459" s="2">
        <v>152</v>
      </c>
      <c r="E1459" s="2">
        <v>0.71265800000000001</v>
      </c>
      <c r="F1459" s="2">
        <v>7.953E-3</v>
      </c>
      <c r="G1459" s="2">
        <v>0.69706363000000005</v>
      </c>
      <c r="H1459" s="2">
        <v>0.72825220000000002</v>
      </c>
      <c r="J1459" t="str">
        <f t="shared" si="49"/>
        <v>0.71 (0.70 to 0.73)</v>
      </c>
    </row>
    <row r="1460" spans="1:10" ht="17.25" thickBot="1" x14ac:dyDescent="0.35">
      <c r="A1460" s="6">
        <v>5</v>
      </c>
      <c r="B1460" s="3">
        <v>0</v>
      </c>
      <c r="C1460" s="11" t="s">
        <v>115</v>
      </c>
      <c r="D1460" s="2">
        <v>13405</v>
      </c>
      <c r="E1460" s="2">
        <v>0.671852</v>
      </c>
      <c r="F1460" s="2">
        <v>9.4700000000000003E-4</v>
      </c>
      <c r="G1460" s="2">
        <v>0.66999512999999999</v>
      </c>
      <c r="H1460" s="2">
        <v>0.67370920999999995</v>
      </c>
      <c r="J1460" t="str">
        <f t="shared" si="49"/>
        <v>0.67 (0.67 to 0.67)</v>
      </c>
    </row>
    <row r="1461" spans="1:10" ht="17.25" thickBot="1" x14ac:dyDescent="0.35">
      <c r="A1461" s="6"/>
      <c r="B1461" s="3">
        <v>1</v>
      </c>
      <c r="C1461" s="11" t="s">
        <v>115</v>
      </c>
      <c r="D1461" s="2">
        <v>150</v>
      </c>
      <c r="E1461" s="2">
        <v>0.72984899999999997</v>
      </c>
      <c r="F1461" s="2">
        <v>6.0600000000000003E-3</v>
      </c>
      <c r="G1461" s="2">
        <v>0.71796758000000005</v>
      </c>
      <c r="H1461" s="2">
        <v>0.74173089999999997</v>
      </c>
      <c r="J1461" t="str">
        <f t="shared" si="49"/>
        <v>0.73 (0.72 to 0.74)</v>
      </c>
    </row>
    <row r="1462" spans="1:10" ht="17.25" thickBot="1" x14ac:dyDescent="0.35">
      <c r="A1462" s="6">
        <v>6</v>
      </c>
      <c r="B1462" s="3">
        <v>0</v>
      </c>
      <c r="C1462" s="11" t="s">
        <v>115</v>
      </c>
      <c r="D1462" s="2">
        <v>4376</v>
      </c>
      <c r="E1462" s="2">
        <v>0.66852800000000001</v>
      </c>
      <c r="F1462" s="2">
        <v>1.622E-3</v>
      </c>
      <c r="G1462" s="2">
        <v>0.66534764999999996</v>
      </c>
      <c r="H1462" s="2">
        <v>0.67170744000000004</v>
      </c>
      <c r="J1462" t="str">
        <f t="shared" si="49"/>
        <v>0.67 (0.67 to 0.67)</v>
      </c>
    </row>
    <row r="1463" spans="1:10" x14ac:dyDescent="0.3">
      <c r="A1463" s="6"/>
      <c r="B1463" s="3">
        <v>1</v>
      </c>
      <c r="C1463" s="14" t="s">
        <v>115</v>
      </c>
      <c r="D1463" s="2">
        <v>40</v>
      </c>
      <c r="E1463" s="2">
        <v>0.72471200000000002</v>
      </c>
      <c r="F1463" s="2">
        <v>8.7019999999999997E-3</v>
      </c>
      <c r="G1463" s="2">
        <v>0.70764943000000002</v>
      </c>
      <c r="H1463" s="2">
        <v>0.74177539000000003</v>
      </c>
      <c r="J1463" t="str">
        <f t="shared" si="49"/>
        <v>0.72 (0.71 to 0.74)</v>
      </c>
    </row>
    <row r="1467" spans="1:10" x14ac:dyDescent="0.3">
      <c r="A1467" s="1" t="s">
        <v>237</v>
      </c>
    </row>
    <row r="1469" spans="1:10" x14ac:dyDescent="0.3">
      <c r="A1469" s="1" t="s">
        <v>1</v>
      </c>
    </row>
    <row r="1470" spans="1:10" ht="17.25" thickBot="1" x14ac:dyDescent="0.35"/>
    <row r="1471" spans="1:10" ht="16.5" customHeight="1" x14ac:dyDescent="0.3">
      <c r="A1471" s="16" t="s">
        <v>135</v>
      </c>
      <c r="B1471" s="18"/>
    </row>
    <row r="1472" spans="1:10" ht="26.25" thickBot="1" x14ac:dyDescent="0.35">
      <c r="A1472" s="12" t="s">
        <v>136</v>
      </c>
      <c r="B1472" s="2">
        <v>183</v>
      </c>
    </row>
    <row r="1473" spans="1:6" ht="26.25" thickBot="1" x14ac:dyDescent="0.35">
      <c r="A1473" s="12" t="s">
        <v>137</v>
      </c>
      <c r="B1473" s="2">
        <v>2949</v>
      </c>
    </row>
    <row r="1474" spans="1:6" ht="39" thickBot="1" x14ac:dyDescent="0.35">
      <c r="A1474" s="12" t="s">
        <v>138</v>
      </c>
      <c r="B1474" s="2">
        <v>23222</v>
      </c>
    </row>
    <row r="1475" spans="1:6" ht="25.5" x14ac:dyDescent="0.3">
      <c r="A1475" s="13" t="s">
        <v>139</v>
      </c>
      <c r="B1475" s="2">
        <v>9036880.5199999996</v>
      </c>
    </row>
    <row r="1476" spans="1:6" ht="17.25" thickBot="1" x14ac:dyDescent="0.35"/>
    <row r="1477" spans="1:6" ht="33" customHeight="1" x14ac:dyDescent="0.3">
      <c r="A1477" s="16" t="s">
        <v>140</v>
      </c>
      <c r="B1477" s="18"/>
    </row>
    <row r="1478" spans="1:6" ht="33.75" thickBot="1" x14ac:dyDescent="0.35">
      <c r="A1478" s="12" t="s">
        <v>141</v>
      </c>
      <c r="B1478" s="2" t="s">
        <v>142</v>
      </c>
    </row>
    <row r="1479" spans="1:6" ht="25.5" x14ac:dyDescent="0.3">
      <c r="A1479" s="13" t="s">
        <v>143</v>
      </c>
      <c r="B1479" s="2" t="s">
        <v>144</v>
      </c>
    </row>
    <row r="1480" spans="1:6" ht="17.25" thickBot="1" x14ac:dyDescent="0.35"/>
    <row r="1481" spans="1:6" ht="16.5" customHeight="1" x14ac:dyDescent="0.3">
      <c r="A1481" s="16" t="s">
        <v>238</v>
      </c>
      <c r="B1481" s="18"/>
      <c r="C1481" s="18"/>
      <c r="D1481" s="18"/>
      <c r="E1481" s="18"/>
      <c r="F1481" s="18"/>
    </row>
    <row r="1482" spans="1:6" ht="16.5" customHeight="1" x14ac:dyDescent="0.3">
      <c r="A1482" s="17" t="s">
        <v>239</v>
      </c>
      <c r="B1482" s="19" t="s">
        <v>94</v>
      </c>
      <c r="C1482" s="19" t="s">
        <v>240</v>
      </c>
      <c r="D1482" s="3" t="s">
        <v>241</v>
      </c>
      <c r="E1482" s="19" t="s">
        <v>243</v>
      </c>
      <c r="F1482" s="19"/>
    </row>
    <row r="1483" spans="1:6" x14ac:dyDescent="0.3">
      <c r="A1483" s="17"/>
      <c r="B1483" s="19"/>
      <c r="C1483" s="19"/>
      <c r="D1483" s="3" t="s">
        <v>242</v>
      </c>
      <c r="E1483" s="19"/>
      <c r="F1483" s="19"/>
    </row>
    <row r="1484" spans="1:6" x14ac:dyDescent="0.3">
      <c r="A1484" s="13" t="s">
        <v>115</v>
      </c>
      <c r="B1484" s="2">
        <v>23222</v>
      </c>
      <c r="C1484" s="2">
        <v>0.64841899999999997</v>
      </c>
      <c r="D1484" s="2">
        <v>7.7200000000000001E-4</v>
      </c>
      <c r="E1484" s="2">
        <v>0.64690462000000004</v>
      </c>
      <c r="F1484" s="2">
        <v>0.64993400999999995</v>
      </c>
    </row>
    <row r="1488" spans="1:6" x14ac:dyDescent="0.3">
      <c r="A1488" s="1" t="s">
        <v>237</v>
      </c>
    </row>
    <row r="1490" spans="1:8" x14ac:dyDescent="0.3">
      <c r="A1490" s="1" t="s">
        <v>1</v>
      </c>
    </row>
    <row r="1491" spans="1:8" ht="17.25" thickBot="1" x14ac:dyDescent="0.35"/>
    <row r="1492" spans="1:8" ht="16.5" customHeight="1" x14ac:dyDescent="0.3">
      <c r="A1492" s="16" t="s">
        <v>265</v>
      </c>
      <c r="B1492" s="18"/>
      <c r="C1492" s="18"/>
      <c r="D1492" s="18"/>
      <c r="E1492" s="18"/>
      <c r="F1492" s="18"/>
      <c r="G1492" s="18"/>
      <c r="H1492" s="18"/>
    </row>
    <row r="1493" spans="1:8" ht="16.5" customHeight="1" x14ac:dyDescent="0.3">
      <c r="A1493" s="17" t="s">
        <v>249</v>
      </c>
      <c r="B1493" s="19" t="s">
        <v>20</v>
      </c>
      <c r="C1493" s="19" t="s">
        <v>239</v>
      </c>
      <c r="D1493" s="19" t="s">
        <v>94</v>
      </c>
      <c r="E1493" s="19" t="s">
        <v>240</v>
      </c>
      <c r="F1493" s="3" t="s">
        <v>241</v>
      </c>
      <c r="G1493" s="19" t="s">
        <v>243</v>
      </c>
      <c r="H1493" s="19"/>
    </row>
    <row r="1494" spans="1:8" x14ac:dyDescent="0.3">
      <c r="A1494" s="17"/>
      <c r="B1494" s="19"/>
      <c r="C1494" s="19"/>
      <c r="D1494" s="19"/>
      <c r="E1494" s="19"/>
      <c r="F1494" s="3" t="s">
        <v>242</v>
      </c>
      <c r="G1494" s="19"/>
      <c r="H1494" s="19"/>
    </row>
    <row r="1495" spans="1:8" ht="17.25" thickBot="1" x14ac:dyDescent="0.35">
      <c r="A1495" s="6">
        <v>1</v>
      </c>
      <c r="B1495" s="3">
        <v>0</v>
      </c>
      <c r="C1495" s="11" t="s">
        <v>115</v>
      </c>
      <c r="D1495" s="2">
        <v>3687</v>
      </c>
      <c r="E1495" s="2">
        <v>0.65509700000000004</v>
      </c>
      <c r="F1495" s="2">
        <v>2.2850000000000001E-3</v>
      </c>
      <c r="G1495" s="2">
        <v>0.65061723999999999</v>
      </c>
      <c r="H1495" s="2">
        <v>0.65957741000000003</v>
      </c>
    </row>
    <row r="1496" spans="1:8" ht="17.25" thickBot="1" x14ac:dyDescent="0.35">
      <c r="A1496" s="6"/>
      <c r="B1496" s="3">
        <v>1</v>
      </c>
      <c r="C1496" s="11" t="s">
        <v>115</v>
      </c>
      <c r="D1496" s="2">
        <v>53</v>
      </c>
      <c r="E1496" s="2">
        <v>0.707704</v>
      </c>
      <c r="F1496" s="2">
        <v>8.5939999999999992E-3</v>
      </c>
      <c r="G1496" s="2">
        <v>0.69085295999999996</v>
      </c>
      <c r="H1496" s="2">
        <v>0.72455459</v>
      </c>
    </row>
    <row r="1497" spans="1:8" ht="17.25" thickBot="1" x14ac:dyDescent="0.35">
      <c r="A1497" s="6">
        <v>2</v>
      </c>
      <c r="B1497" s="3">
        <v>0</v>
      </c>
      <c r="C1497" s="11" t="s">
        <v>115</v>
      </c>
      <c r="D1497" s="2">
        <v>4561</v>
      </c>
      <c r="E1497" s="2">
        <v>0.63048800000000005</v>
      </c>
      <c r="F1497" s="2">
        <v>1.4729999999999999E-3</v>
      </c>
      <c r="G1497" s="2">
        <v>0.62759900999999996</v>
      </c>
      <c r="H1497" s="2">
        <v>0.63337633000000004</v>
      </c>
    </row>
    <row r="1498" spans="1:8" ht="17.25" thickBot="1" x14ac:dyDescent="0.35">
      <c r="A1498" s="6"/>
      <c r="B1498" s="3">
        <v>1</v>
      </c>
      <c r="C1498" s="11" t="s">
        <v>115</v>
      </c>
      <c r="D1498" s="2">
        <v>82</v>
      </c>
      <c r="E1498" s="2">
        <v>0.71267199999999997</v>
      </c>
      <c r="F1498" s="2">
        <v>7.0520000000000001E-3</v>
      </c>
      <c r="G1498" s="2">
        <v>0.69884332000000005</v>
      </c>
      <c r="H1498" s="2">
        <v>0.72649980000000003</v>
      </c>
    </row>
    <row r="1499" spans="1:8" ht="17.25" thickBot="1" x14ac:dyDescent="0.35">
      <c r="A1499" s="6"/>
      <c r="B1499" s="3">
        <v>8</v>
      </c>
      <c r="C1499" s="11" t="s">
        <v>115</v>
      </c>
      <c r="D1499" s="2">
        <v>89</v>
      </c>
      <c r="E1499" s="2">
        <v>0.65254900000000005</v>
      </c>
      <c r="F1499" s="2">
        <v>6.8209999999999998E-3</v>
      </c>
      <c r="G1499" s="2">
        <v>0.63917433999999995</v>
      </c>
      <c r="H1499" s="2">
        <v>0.66592317000000001</v>
      </c>
    </row>
    <row r="1500" spans="1:8" ht="17.25" thickBot="1" x14ac:dyDescent="0.35">
      <c r="A1500" s="6">
        <v>3</v>
      </c>
      <c r="B1500" s="3">
        <v>0</v>
      </c>
      <c r="C1500" s="11" t="s">
        <v>115</v>
      </c>
      <c r="D1500" s="2">
        <v>3595</v>
      </c>
      <c r="E1500" s="2">
        <v>0.639517</v>
      </c>
      <c r="F1500" s="2">
        <v>1.884E-3</v>
      </c>
      <c r="G1500" s="2">
        <v>0.63582256000000004</v>
      </c>
      <c r="H1500" s="2">
        <v>0.64321125000000001</v>
      </c>
    </row>
    <row r="1501" spans="1:8" ht="17.25" thickBot="1" x14ac:dyDescent="0.35">
      <c r="A1501" s="6"/>
      <c r="B1501" s="3">
        <v>1</v>
      </c>
      <c r="C1501" s="11" t="s">
        <v>115</v>
      </c>
      <c r="D1501" s="2">
        <v>70</v>
      </c>
      <c r="E1501" s="2">
        <v>0.70292200000000005</v>
      </c>
      <c r="F1501" s="2">
        <v>7.796E-3</v>
      </c>
      <c r="G1501" s="2">
        <v>0.68763620999999997</v>
      </c>
      <c r="H1501" s="2">
        <v>0.71820843000000001</v>
      </c>
    </row>
    <row r="1502" spans="1:8" ht="17.25" thickBot="1" x14ac:dyDescent="0.35">
      <c r="A1502" s="6"/>
      <c r="B1502" s="3">
        <v>8</v>
      </c>
      <c r="C1502" s="11" t="s">
        <v>115</v>
      </c>
      <c r="D1502" s="2">
        <v>592</v>
      </c>
      <c r="E1502" s="2">
        <v>0.67118699999999998</v>
      </c>
      <c r="F1502" s="2">
        <v>3.6770000000000001E-3</v>
      </c>
      <c r="G1502" s="2">
        <v>0.66397793000000005</v>
      </c>
      <c r="H1502" s="2">
        <v>0.67839634999999998</v>
      </c>
    </row>
    <row r="1503" spans="1:8" ht="17.25" thickBot="1" x14ac:dyDescent="0.35">
      <c r="A1503" s="6">
        <v>4</v>
      </c>
      <c r="B1503" s="3">
        <v>0</v>
      </c>
      <c r="C1503" s="11" t="s">
        <v>115</v>
      </c>
      <c r="D1503" s="2">
        <v>3875</v>
      </c>
      <c r="E1503" s="2">
        <v>0.64252799999999999</v>
      </c>
      <c r="F1503" s="2">
        <v>1.8940000000000001E-3</v>
      </c>
      <c r="G1503" s="2">
        <v>0.63881418999999995</v>
      </c>
      <c r="H1503" s="2">
        <v>0.64624201000000003</v>
      </c>
    </row>
    <row r="1504" spans="1:8" ht="17.25" thickBot="1" x14ac:dyDescent="0.35">
      <c r="A1504" s="6"/>
      <c r="B1504" s="3">
        <v>1</v>
      </c>
      <c r="C1504" s="11" t="s">
        <v>115</v>
      </c>
      <c r="D1504" s="2">
        <v>62</v>
      </c>
      <c r="E1504" s="2">
        <v>0.70537799999999995</v>
      </c>
      <c r="F1504" s="2">
        <v>9.3900000000000008E-3</v>
      </c>
      <c r="G1504" s="2">
        <v>0.68696548000000002</v>
      </c>
      <c r="H1504" s="2">
        <v>0.72379141999999996</v>
      </c>
    </row>
    <row r="1505" spans="1:8" ht="17.25" thickBot="1" x14ac:dyDescent="0.35">
      <c r="A1505" s="6"/>
      <c r="B1505" s="3">
        <v>8</v>
      </c>
      <c r="C1505" s="11" t="s">
        <v>115</v>
      </c>
      <c r="D1505" s="2">
        <v>619</v>
      </c>
      <c r="E1505" s="2">
        <v>0.66757200000000005</v>
      </c>
      <c r="F1505" s="2">
        <v>3.6900000000000001E-3</v>
      </c>
      <c r="G1505" s="2">
        <v>0.66033560999999996</v>
      </c>
      <c r="H1505" s="2">
        <v>0.67480748000000002</v>
      </c>
    </row>
    <row r="1506" spans="1:8" ht="17.25" thickBot="1" x14ac:dyDescent="0.35">
      <c r="A1506" s="6">
        <v>5</v>
      </c>
      <c r="B1506" s="3">
        <v>0</v>
      </c>
      <c r="C1506" s="11" t="s">
        <v>115</v>
      </c>
      <c r="D1506" s="2">
        <v>3544</v>
      </c>
      <c r="E1506" s="2">
        <v>0.65106799999999998</v>
      </c>
      <c r="F1506" s="2">
        <v>1.8779999999999999E-3</v>
      </c>
      <c r="G1506" s="2">
        <v>0.64738574999999998</v>
      </c>
      <c r="H1506" s="2">
        <v>0.65475106000000005</v>
      </c>
    </row>
    <row r="1507" spans="1:8" ht="17.25" thickBot="1" x14ac:dyDescent="0.35">
      <c r="A1507" s="6"/>
      <c r="B1507" s="3">
        <v>1</v>
      </c>
      <c r="C1507" s="11" t="s">
        <v>115</v>
      </c>
      <c r="D1507" s="2">
        <v>79</v>
      </c>
      <c r="E1507" s="2">
        <v>0.73397299999999999</v>
      </c>
      <c r="F1507" s="2">
        <v>8.463E-3</v>
      </c>
      <c r="G1507" s="2">
        <v>0.71737982</v>
      </c>
      <c r="H1507" s="2">
        <v>0.75056683999999996</v>
      </c>
    </row>
    <row r="1508" spans="1:8" ht="17.25" thickBot="1" x14ac:dyDescent="0.35">
      <c r="A1508" s="6"/>
      <c r="B1508" s="3">
        <v>8</v>
      </c>
      <c r="C1508" s="11" t="s">
        <v>115</v>
      </c>
      <c r="D1508" s="2">
        <v>878</v>
      </c>
      <c r="E1508" s="2">
        <v>0.69591000000000003</v>
      </c>
      <c r="F1508" s="2">
        <v>3.3530000000000001E-3</v>
      </c>
      <c r="G1508" s="2">
        <v>0.68933517</v>
      </c>
      <c r="H1508" s="2">
        <v>0.70248573000000003</v>
      </c>
    </row>
    <row r="1509" spans="1:8" ht="17.25" thickBot="1" x14ac:dyDescent="0.35">
      <c r="A1509" s="6">
        <v>6</v>
      </c>
      <c r="B1509" s="3">
        <v>0</v>
      </c>
      <c r="C1509" s="11" t="s">
        <v>115</v>
      </c>
      <c r="D1509" s="2">
        <v>1043</v>
      </c>
      <c r="E1509" s="2">
        <v>0.645339</v>
      </c>
      <c r="F1509" s="2">
        <v>3.1949999999999999E-3</v>
      </c>
      <c r="G1509" s="2">
        <v>0.63907382999999995</v>
      </c>
      <c r="H1509" s="2">
        <v>0.65160359999999995</v>
      </c>
    </row>
    <row r="1510" spans="1:8" ht="17.25" thickBot="1" x14ac:dyDescent="0.35">
      <c r="A1510" s="6"/>
      <c r="B1510" s="3">
        <v>1</v>
      </c>
      <c r="C1510" s="11" t="s">
        <v>115</v>
      </c>
      <c r="D1510" s="2">
        <v>26</v>
      </c>
      <c r="E1510" s="2">
        <v>0.70794699999999999</v>
      </c>
      <c r="F1510" s="2">
        <v>1.4541E-2</v>
      </c>
      <c r="G1510" s="2">
        <v>0.67943370000000003</v>
      </c>
      <c r="H1510" s="2">
        <v>0.73645938</v>
      </c>
    </row>
    <row r="1511" spans="1:8" x14ac:dyDescent="0.3">
      <c r="A1511" s="6"/>
      <c r="B1511" s="3">
        <v>8</v>
      </c>
      <c r="C1511" s="14" t="s">
        <v>115</v>
      </c>
      <c r="D1511" s="2">
        <v>367</v>
      </c>
      <c r="E1511" s="2">
        <v>0.67857199999999995</v>
      </c>
      <c r="F1511" s="2">
        <v>5.7250000000000001E-3</v>
      </c>
      <c r="G1511" s="2">
        <v>0.66734660000000001</v>
      </c>
      <c r="H1511" s="2">
        <v>0.68979791999999995</v>
      </c>
    </row>
    <row r="1515" spans="1:8" x14ac:dyDescent="0.3">
      <c r="A1515" s="1" t="s">
        <v>237</v>
      </c>
    </row>
    <row r="1517" spans="1:8" x14ac:dyDescent="0.3">
      <c r="A1517" s="1" t="s">
        <v>21</v>
      </c>
    </row>
    <row r="1518" spans="1:8" ht="17.25" thickBot="1" x14ac:dyDescent="0.35"/>
    <row r="1519" spans="1:8" ht="16.5" customHeight="1" x14ac:dyDescent="0.3">
      <c r="A1519" s="16" t="s">
        <v>135</v>
      </c>
      <c r="B1519" s="18"/>
    </row>
    <row r="1520" spans="1:8" ht="26.25" thickBot="1" x14ac:dyDescent="0.35">
      <c r="A1520" s="12" t="s">
        <v>136</v>
      </c>
      <c r="B1520" s="2">
        <v>183</v>
      </c>
    </row>
    <row r="1521" spans="1:6" ht="26.25" thickBot="1" x14ac:dyDescent="0.35">
      <c r="A1521" s="12" t="s">
        <v>137</v>
      </c>
      <c r="B1521" s="2">
        <v>2982</v>
      </c>
    </row>
    <row r="1522" spans="1:6" ht="39" thickBot="1" x14ac:dyDescent="0.35">
      <c r="A1522" s="12" t="s">
        <v>138</v>
      </c>
      <c r="B1522" s="2">
        <v>68635</v>
      </c>
    </row>
    <row r="1523" spans="1:6" ht="25.5" x14ac:dyDescent="0.3">
      <c r="A1523" s="13" t="s">
        <v>139</v>
      </c>
      <c r="B1523" s="2">
        <v>30251935.699999999</v>
      </c>
    </row>
    <row r="1524" spans="1:6" ht="17.25" thickBot="1" x14ac:dyDescent="0.35"/>
    <row r="1525" spans="1:6" ht="33" customHeight="1" x14ac:dyDescent="0.3">
      <c r="A1525" s="16" t="s">
        <v>140</v>
      </c>
      <c r="B1525" s="18"/>
    </row>
    <row r="1526" spans="1:6" ht="33.75" thickBot="1" x14ac:dyDescent="0.35">
      <c r="A1526" s="12" t="s">
        <v>141</v>
      </c>
      <c r="B1526" s="2" t="s">
        <v>142</v>
      </c>
    </row>
    <row r="1527" spans="1:6" ht="25.5" x14ac:dyDescent="0.3">
      <c r="A1527" s="13" t="s">
        <v>143</v>
      </c>
      <c r="B1527" s="2" t="s">
        <v>144</v>
      </c>
    </row>
    <row r="1528" spans="1:6" ht="17.25" thickBot="1" x14ac:dyDescent="0.35"/>
    <row r="1529" spans="1:6" ht="16.5" customHeight="1" x14ac:dyDescent="0.3">
      <c r="A1529" s="16" t="s">
        <v>238</v>
      </c>
      <c r="B1529" s="18"/>
      <c r="C1529" s="18"/>
      <c r="D1529" s="18"/>
      <c r="E1529" s="18"/>
      <c r="F1529" s="18"/>
    </row>
    <row r="1530" spans="1:6" ht="16.5" customHeight="1" x14ac:dyDescent="0.3">
      <c r="A1530" s="17" t="s">
        <v>239</v>
      </c>
      <c r="B1530" s="19" t="s">
        <v>94</v>
      </c>
      <c r="C1530" s="19" t="s">
        <v>240</v>
      </c>
      <c r="D1530" s="3" t="s">
        <v>241</v>
      </c>
      <c r="E1530" s="19" t="s">
        <v>243</v>
      </c>
      <c r="F1530" s="19"/>
    </row>
    <row r="1531" spans="1:6" x14ac:dyDescent="0.3">
      <c r="A1531" s="17"/>
      <c r="B1531" s="19"/>
      <c r="C1531" s="19"/>
      <c r="D1531" s="3" t="s">
        <v>242</v>
      </c>
      <c r="E1531" s="19"/>
      <c r="F1531" s="19"/>
    </row>
    <row r="1532" spans="1:6" x14ac:dyDescent="0.3">
      <c r="A1532" s="13" t="s">
        <v>115</v>
      </c>
      <c r="B1532" s="2">
        <v>68635</v>
      </c>
      <c r="C1532" s="2">
        <v>0.66370899999999999</v>
      </c>
      <c r="D1532" s="2">
        <v>4.4099999999999999E-4</v>
      </c>
      <c r="E1532" s="2">
        <v>0.66284405999999996</v>
      </c>
      <c r="F1532" s="2">
        <v>0.66457339000000004</v>
      </c>
    </row>
    <row r="1536" spans="1:6" x14ac:dyDescent="0.3">
      <c r="A1536" s="1" t="s">
        <v>237</v>
      </c>
    </row>
    <row r="1538" spans="1:15" x14ac:dyDescent="0.3">
      <c r="A1538" s="1" t="s">
        <v>21</v>
      </c>
    </row>
    <row r="1539" spans="1:15" ht="17.25" thickBot="1" x14ac:dyDescent="0.35"/>
    <row r="1540" spans="1:15" ht="16.5" customHeight="1" x14ac:dyDescent="0.3">
      <c r="A1540" s="16" t="s">
        <v>265</v>
      </c>
      <c r="B1540" s="18"/>
      <c r="C1540" s="18"/>
      <c r="D1540" s="18"/>
      <c r="E1540" s="18"/>
      <c r="F1540" s="18"/>
      <c r="G1540" s="18"/>
      <c r="H1540" s="18"/>
    </row>
    <row r="1541" spans="1:15" ht="16.5" customHeight="1" x14ac:dyDescent="0.3">
      <c r="A1541" s="17" t="s">
        <v>249</v>
      </c>
      <c r="B1541" s="19" t="s">
        <v>20</v>
      </c>
      <c r="C1541" s="19" t="s">
        <v>239</v>
      </c>
      <c r="D1541" s="19" t="s">
        <v>94</v>
      </c>
      <c r="E1541" s="19" t="s">
        <v>240</v>
      </c>
      <c r="F1541" s="3" t="s">
        <v>241</v>
      </c>
      <c r="G1541" s="19" t="s">
        <v>243</v>
      </c>
      <c r="H1541" s="19"/>
    </row>
    <row r="1542" spans="1:15" x14ac:dyDescent="0.3">
      <c r="A1542" s="17"/>
      <c r="B1542" s="19"/>
      <c r="C1542" s="19"/>
      <c r="D1542" s="19"/>
      <c r="E1542" s="19"/>
      <c r="F1542" s="3" t="s">
        <v>242</v>
      </c>
      <c r="G1542" s="19"/>
      <c r="H1542" s="19"/>
    </row>
    <row r="1543" spans="1:15" ht="17.25" thickBot="1" x14ac:dyDescent="0.35">
      <c r="A1543" s="6">
        <v>1</v>
      </c>
      <c r="B1543" s="3">
        <v>0</v>
      </c>
      <c r="C1543" s="11" t="s">
        <v>115</v>
      </c>
      <c r="D1543" s="2">
        <v>11784</v>
      </c>
      <c r="E1543" s="2">
        <v>0.66005599999999998</v>
      </c>
      <c r="F1543" s="2">
        <v>1.201E-3</v>
      </c>
      <c r="G1543" s="2">
        <v>0.65770154000000003</v>
      </c>
      <c r="H1543" s="2">
        <v>0.66241085</v>
      </c>
      <c r="J1543" t="str">
        <f t="shared" ref="J1543:J1554" si="50">TEXT(E1543,"0.00")&amp;" ("&amp;TEXT(G1543,"0.00")&amp;" to "&amp;TEXT(H1543,"0.00")&amp;")"</f>
        <v>0.66 (0.66 to 0.66)</v>
      </c>
      <c r="K1543" t="str">
        <f>J1545</f>
        <v>0.66 (0.66 to 0.66)</v>
      </c>
      <c r="L1543" t="str">
        <f>J1547</f>
        <v>0.66 (0.66 to 0.66)</v>
      </c>
      <c r="M1543" t="str">
        <f>J1549</f>
        <v>0.66 (0.66 to 0.67)</v>
      </c>
      <c r="N1543" t="str">
        <f>J1551</f>
        <v>0.67 (0.67 to 0.67)</v>
      </c>
      <c r="O1543" t="str">
        <f>J1553</f>
        <v>0.67 (0.67 to 0.67)</v>
      </c>
    </row>
    <row r="1544" spans="1:15" ht="17.25" thickBot="1" x14ac:dyDescent="0.35">
      <c r="A1544" s="6"/>
      <c r="B1544" s="3">
        <v>1</v>
      </c>
      <c r="C1544" s="11" t="s">
        <v>115</v>
      </c>
      <c r="D1544" s="2">
        <v>131</v>
      </c>
      <c r="E1544" s="2">
        <v>0.71180200000000005</v>
      </c>
      <c r="F1544" s="2">
        <v>8.2660000000000008E-3</v>
      </c>
      <c r="G1544" s="2">
        <v>0.69559462000000005</v>
      </c>
      <c r="H1544" s="2">
        <v>0.72800946</v>
      </c>
      <c r="J1544" t="str">
        <f t="shared" si="50"/>
        <v>0.71 (0.70 to 0.73)</v>
      </c>
      <c r="K1544" t="str">
        <f>J1546</f>
        <v>0.70 (0.69 to 0.71)</v>
      </c>
      <c r="L1544" t="str">
        <f>J1548</f>
        <v>0.70 (0.69 to 0.71)</v>
      </c>
      <c r="M1544" t="str">
        <f>J1550</f>
        <v>0.71 (0.70 to 0.72)</v>
      </c>
      <c r="N1544" t="str">
        <f>J1552</f>
        <v>0.72 (0.71 to 0.73)</v>
      </c>
      <c r="O1544" t="str">
        <f>J1554</f>
        <v>0.70 (0.69 to 0.71)</v>
      </c>
    </row>
    <row r="1545" spans="1:15" ht="17.25" thickBot="1" x14ac:dyDescent="0.35">
      <c r="A1545" s="6">
        <v>2</v>
      </c>
      <c r="B1545" s="3">
        <v>0</v>
      </c>
      <c r="C1545" s="11" t="s">
        <v>115</v>
      </c>
      <c r="D1545" s="2">
        <v>12865</v>
      </c>
      <c r="E1545" s="2">
        <v>0.65711699999999995</v>
      </c>
      <c r="F1545" s="2">
        <v>1.0169999999999999E-3</v>
      </c>
      <c r="G1545" s="2">
        <v>0.65512313</v>
      </c>
      <c r="H1545" s="2">
        <v>0.65910988000000004</v>
      </c>
      <c r="J1545" t="str">
        <f t="shared" si="50"/>
        <v>0.66 (0.66 to 0.66)</v>
      </c>
    </row>
    <row r="1546" spans="1:15" ht="17.25" thickBot="1" x14ac:dyDescent="0.35">
      <c r="A1546" s="6"/>
      <c r="B1546" s="3">
        <v>1</v>
      </c>
      <c r="C1546" s="11" t="s">
        <v>115</v>
      </c>
      <c r="D1546" s="2">
        <v>251</v>
      </c>
      <c r="E1546" s="2">
        <v>0.70227099999999998</v>
      </c>
      <c r="F1546" s="2">
        <v>6.0229999999999997E-3</v>
      </c>
      <c r="G1546" s="2">
        <v>0.69046094000000002</v>
      </c>
      <c r="H1546" s="2">
        <v>0.71408099999999997</v>
      </c>
      <c r="J1546" t="str">
        <f t="shared" si="50"/>
        <v>0.70 (0.69 to 0.71)</v>
      </c>
    </row>
    <row r="1547" spans="1:15" ht="17.25" thickBot="1" x14ac:dyDescent="0.35">
      <c r="A1547" s="6">
        <v>3</v>
      </c>
      <c r="B1547" s="3">
        <v>0</v>
      </c>
      <c r="C1547" s="11" t="s">
        <v>115</v>
      </c>
      <c r="D1547" s="2">
        <v>11284</v>
      </c>
      <c r="E1547" s="2">
        <v>0.65840600000000005</v>
      </c>
      <c r="F1547" s="2">
        <v>1.047E-3</v>
      </c>
      <c r="G1547" s="2">
        <v>0.65635199</v>
      </c>
      <c r="H1547" s="2">
        <v>0.66045969000000004</v>
      </c>
      <c r="J1547" t="str">
        <f t="shared" si="50"/>
        <v>0.66 (0.66 to 0.66)</v>
      </c>
    </row>
    <row r="1548" spans="1:15" ht="17.25" thickBot="1" x14ac:dyDescent="0.35">
      <c r="A1548" s="6"/>
      <c r="B1548" s="3">
        <v>1</v>
      </c>
      <c r="C1548" s="11" t="s">
        <v>115</v>
      </c>
      <c r="D1548" s="2">
        <v>191</v>
      </c>
      <c r="E1548" s="2">
        <v>0.70297299999999996</v>
      </c>
      <c r="F1548" s="2">
        <v>6.0369999999999998E-3</v>
      </c>
      <c r="G1548" s="2">
        <v>0.69113546000000003</v>
      </c>
      <c r="H1548" s="2">
        <v>0.71480960999999998</v>
      </c>
      <c r="J1548" t="str">
        <f t="shared" si="50"/>
        <v>0.70 (0.69 to 0.71)</v>
      </c>
    </row>
    <row r="1549" spans="1:15" ht="17.25" thickBot="1" x14ac:dyDescent="0.35">
      <c r="A1549" s="6">
        <v>4</v>
      </c>
      <c r="B1549" s="3">
        <v>0</v>
      </c>
      <c r="C1549" s="11" t="s">
        <v>115</v>
      </c>
      <c r="D1549" s="2">
        <v>13897</v>
      </c>
      <c r="E1549" s="2">
        <v>0.66395499999999996</v>
      </c>
      <c r="F1549" s="2">
        <v>9.7799999999999992E-4</v>
      </c>
      <c r="G1549" s="2">
        <v>0.66203789000000002</v>
      </c>
      <c r="H1549" s="2">
        <v>0.66587262999999997</v>
      </c>
      <c r="J1549" t="str">
        <f t="shared" si="50"/>
        <v>0.66 (0.66 to 0.67)</v>
      </c>
    </row>
    <row r="1550" spans="1:15" ht="17.25" thickBot="1" x14ac:dyDescent="0.35">
      <c r="A1550" s="6"/>
      <c r="B1550" s="3">
        <v>1</v>
      </c>
      <c r="C1550" s="11" t="s">
        <v>115</v>
      </c>
      <c r="D1550" s="2">
        <v>261</v>
      </c>
      <c r="E1550" s="2">
        <v>0.70953500000000003</v>
      </c>
      <c r="F1550" s="2">
        <v>6.182E-3</v>
      </c>
      <c r="G1550" s="2">
        <v>0.69741262999999998</v>
      </c>
      <c r="H1550" s="2">
        <v>0.72165712999999998</v>
      </c>
      <c r="J1550" t="str">
        <f t="shared" si="50"/>
        <v>0.71 (0.70 to 0.72)</v>
      </c>
    </row>
    <row r="1551" spans="1:15" ht="17.25" thickBot="1" x14ac:dyDescent="0.35">
      <c r="A1551" s="6">
        <v>5</v>
      </c>
      <c r="B1551" s="3">
        <v>0</v>
      </c>
      <c r="C1551" s="11" t="s">
        <v>115</v>
      </c>
      <c r="D1551" s="2">
        <v>13287</v>
      </c>
      <c r="E1551" s="2">
        <v>0.67159100000000005</v>
      </c>
      <c r="F1551" s="2">
        <v>9.5100000000000002E-4</v>
      </c>
      <c r="G1551" s="2">
        <v>0.66972752999999996</v>
      </c>
      <c r="H1551" s="2">
        <v>0.67345509999999997</v>
      </c>
      <c r="J1551" t="str">
        <f t="shared" si="50"/>
        <v>0.67 (0.67 to 0.67)</v>
      </c>
    </row>
    <row r="1552" spans="1:15" ht="17.25" thickBot="1" x14ac:dyDescent="0.35">
      <c r="A1552" s="6"/>
      <c r="B1552" s="3">
        <v>1</v>
      </c>
      <c r="C1552" s="11" t="s">
        <v>115</v>
      </c>
      <c r="D1552" s="2">
        <v>268</v>
      </c>
      <c r="E1552" s="2">
        <v>0.72223899999999996</v>
      </c>
      <c r="F1552" s="2">
        <v>4.3179999999999998E-3</v>
      </c>
      <c r="G1552" s="2">
        <v>0.71377193000000005</v>
      </c>
      <c r="H1552" s="2">
        <v>0.73070566000000003</v>
      </c>
      <c r="J1552" t="str">
        <f t="shared" si="50"/>
        <v>0.72 (0.71 to 0.73)</v>
      </c>
    </row>
    <row r="1553" spans="1:10" ht="17.25" thickBot="1" x14ac:dyDescent="0.35">
      <c r="A1553" s="6">
        <v>6</v>
      </c>
      <c r="B1553" s="3">
        <v>0</v>
      </c>
      <c r="C1553" s="11" t="s">
        <v>115</v>
      </c>
      <c r="D1553" s="2">
        <v>4317</v>
      </c>
      <c r="E1553" s="2">
        <v>0.66835100000000003</v>
      </c>
      <c r="F1553" s="2">
        <v>1.6280000000000001E-3</v>
      </c>
      <c r="G1553" s="2">
        <v>0.66515882999999998</v>
      </c>
      <c r="H1553" s="2">
        <v>0.67154217000000005</v>
      </c>
      <c r="J1553" t="str">
        <f t="shared" si="50"/>
        <v>0.67 (0.67 to 0.67)</v>
      </c>
    </row>
    <row r="1554" spans="1:10" x14ac:dyDescent="0.3">
      <c r="A1554" s="6"/>
      <c r="B1554" s="3">
        <v>1</v>
      </c>
      <c r="C1554" s="14" t="s">
        <v>115</v>
      </c>
      <c r="D1554" s="2">
        <v>99</v>
      </c>
      <c r="E1554" s="2">
        <v>0.70171300000000003</v>
      </c>
      <c r="F1554" s="2">
        <v>6.6990000000000001E-3</v>
      </c>
      <c r="G1554" s="2">
        <v>0.68857727999999996</v>
      </c>
      <c r="H1554" s="2">
        <v>0.71484966000000005</v>
      </c>
      <c r="J1554" t="str">
        <f t="shared" si="50"/>
        <v>0.70 (0.69 to 0.71)</v>
      </c>
    </row>
  </sheetData>
  <mergeCells count="448">
    <mergeCell ref="A26:H26"/>
    <mergeCell ref="A27:A28"/>
    <mergeCell ref="B27:B28"/>
    <mergeCell ref="C27:C28"/>
    <mergeCell ref="D27:D28"/>
    <mergeCell ref="E27:E28"/>
    <mergeCell ref="G27:H28"/>
    <mergeCell ref="A5:B5"/>
    <mergeCell ref="A11:B11"/>
    <mergeCell ref="A15:F15"/>
    <mergeCell ref="A16:A17"/>
    <mergeCell ref="B16:B17"/>
    <mergeCell ref="C16:C17"/>
    <mergeCell ref="E16:F17"/>
    <mergeCell ref="A81:H81"/>
    <mergeCell ref="A82:A83"/>
    <mergeCell ref="B82:B83"/>
    <mergeCell ref="C82:C83"/>
    <mergeCell ref="D82:D83"/>
    <mergeCell ref="E82:E83"/>
    <mergeCell ref="G82:H83"/>
    <mergeCell ref="A60:B60"/>
    <mergeCell ref="A66:B66"/>
    <mergeCell ref="A70:F70"/>
    <mergeCell ref="A71:A72"/>
    <mergeCell ref="B71:B72"/>
    <mergeCell ref="C71:C72"/>
    <mergeCell ref="E71:F72"/>
    <mergeCell ref="A130:H130"/>
    <mergeCell ref="A131:A132"/>
    <mergeCell ref="B131:B132"/>
    <mergeCell ref="C131:C132"/>
    <mergeCell ref="D131:D132"/>
    <mergeCell ref="E131:E132"/>
    <mergeCell ref="G131:H132"/>
    <mergeCell ref="A109:B109"/>
    <mergeCell ref="A115:B115"/>
    <mergeCell ref="A119:F119"/>
    <mergeCell ref="A120:A121"/>
    <mergeCell ref="B120:B121"/>
    <mergeCell ref="C120:C121"/>
    <mergeCell ref="E120:F121"/>
    <mergeCell ref="A173:H173"/>
    <mergeCell ref="A174:A175"/>
    <mergeCell ref="B174:B175"/>
    <mergeCell ref="C174:C175"/>
    <mergeCell ref="D174:D175"/>
    <mergeCell ref="E174:E175"/>
    <mergeCell ref="G174:H175"/>
    <mergeCell ref="A152:B152"/>
    <mergeCell ref="A158:B158"/>
    <mergeCell ref="A162:F162"/>
    <mergeCell ref="A163:A164"/>
    <mergeCell ref="B163:B164"/>
    <mergeCell ref="C163:C164"/>
    <mergeCell ref="E163:F164"/>
    <mergeCell ref="A216:H216"/>
    <mergeCell ref="A217:A218"/>
    <mergeCell ref="B217:B218"/>
    <mergeCell ref="C217:C218"/>
    <mergeCell ref="D217:D218"/>
    <mergeCell ref="E217:E218"/>
    <mergeCell ref="G217:H218"/>
    <mergeCell ref="A195:B195"/>
    <mergeCell ref="A201:B201"/>
    <mergeCell ref="A205:F205"/>
    <mergeCell ref="A206:A207"/>
    <mergeCell ref="B206:B207"/>
    <mergeCell ref="C206:C207"/>
    <mergeCell ref="E206:F207"/>
    <mergeCell ref="A259:H259"/>
    <mergeCell ref="A260:A261"/>
    <mergeCell ref="B260:B261"/>
    <mergeCell ref="C260:C261"/>
    <mergeCell ref="D260:D261"/>
    <mergeCell ref="E260:E261"/>
    <mergeCell ref="G260:H261"/>
    <mergeCell ref="A238:B238"/>
    <mergeCell ref="A244:B244"/>
    <mergeCell ref="A248:F248"/>
    <mergeCell ref="A249:A250"/>
    <mergeCell ref="B249:B250"/>
    <mergeCell ref="C249:C250"/>
    <mergeCell ref="E249:F250"/>
    <mergeCell ref="A302:H302"/>
    <mergeCell ref="A303:A304"/>
    <mergeCell ref="B303:B304"/>
    <mergeCell ref="C303:C304"/>
    <mergeCell ref="D303:D304"/>
    <mergeCell ref="E303:E304"/>
    <mergeCell ref="G303:H304"/>
    <mergeCell ref="A281:B281"/>
    <mergeCell ref="A287:B287"/>
    <mergeCell ref="A291:F291"/>
    <mergeCell ref="A292:A293"/>
    <mergeCell ref="B292:B293"/>
    <mergeCell ref="C292:C293"/>
    <mergeCell ref="E292:F293"/>
    <mergeCell ref="A363:H363"/>
    <mergeCell ref="A364:A365"/>
    <mergeCell ref="B364:B365"/>
    <mergeCell ref="C364:C365"/>
    <mergeCell ref="D364:D365"/>
    <mergeCell ref="E364:E365"/>
    <mergeCell ref="G364:H365"/>
    <mergeCell ref="A342:B342"/>
    <mergeCell ref="A348:B348"/>
    <mergeCell ref="A352:F352"/>
    <mergeCell ref="A353:A354"/>
    <mergeCell ref="B353:B354"/>
    <mergeCell ref="C353:C354"/>
    <mergeCell ref="E353:F354"/>
    <mergeCell ref="A418:H418"/>
    <mergeCell ref="A419:A420"/>
    <mergeCell ref="B419:B420"/>
    <mergeCell ref="C419:C420"/>
    <mergeCell ref="D419:D420"/>
    <mergeCell ref="E419:E420"/>
    <mergeCell ref="G419:H420"/>
    <mergeCell ref="A397:B397"/>
    <mergeCell ref="A403:B403"/>
    <mergeCell ref="A407:F407"/>
    <mergeCell ref="A408:A409"/>
    <mergeCell ref="B408:B409"/>
    <mergeCell ref="C408:C409"/>
    <mergeCell ref="E408:F409"/>
    <mergeCell ref="A473:H473"/>
    <mergeCell ref="A474:A475"/>
    <mergeCell ref="B474:B475"/>
    <mergeCell ref="C474:C475"/>
    <mergeCell ref="D474:D475"/>
    <mergeCell ref="E474:E475"/>
    <mergeCell ref="G474:H475"/>
    <mergeCell ref="A452:B452"/>
    <mergeCell ref="A458:B458"/>
    <mergeCell ref="A462:F462"/>
    <mergeCell ref="A463:A464"/>
    <mergeCell ref="B463:B464"/>
    <mergeCell ref="C463:C464"/>
    <mergeCell ref="E463:F464"/>
    <mergeCell ref="A528:H528"/>
    <mergeCell ref="A529:A530"/>
    <mergeCell ref="B529:B530"/>
    <mergeCell ref="C529:C530"/>
    <mergeCell ref="D529:D530"/>
    <mergeCell ref="E529:E530"/>
    <mergeCell ref="G529:H530"/>
    <mergeCell ref="A507:B507"/>
    <mergeCell ref="A513:B513"/>
    <mergeCell ref="A517:F517"/>
    <mergeCell ref="A518:A519"/>
    <mergeCell ref="B518:B519"/>
    <mergeCell ref="C518:C519"/>
    <mergeCell ref="E518:F519"/>
    <mergeCell ref="A583:H583"/>
    <mergeCell ref="A584:A585"/>
    <mergeCell ref="B584:B585"/>
    <mergeCell ref="C584:C585"/>
    <mergeCell ref="D584:D585"/>
    <mergeCell ref="E584:E585"/>
    <mergeCell ref="G584:H585"/>
    <mergeCell ref="A562:B562"/>
    <mergeCell ref="A568:B568"/>
    <mergeCell ref="A572:F572"/>
    <mergeCell ref="A573:A574"/>
    <mergeCell ref="B573:B574"/>
    <mergeCell ref="C573:C574"/>
    <mergeCell ref="E573:F574"/>
    <mergeCell ref="A638:H638"/>
    <mergeCell ref="A639:A640"/>
    <mergeCell ref="B639:B640"/>
    <mergeCell ref="C639:C640"/>
    <mergeCell ref="D639:D640"/>
    <mergeCell ref="E639:E640"/>
    <mergeCell ref="G639:H640"/>
    <mergeCell ref="A617:B617"/>
    <mergeCell ref="A623:B623"/>
    <mergeCell ref="A627:F627"/>
    <mergeCell ref="A628:A629"/>
    <mergeCell ref="B628:B629"/>
    <mergeCell ref="C628:C629"/>
    <mergeCell ref="E628:F629"/>
    <mergeCell ref="A685:H685"/>
    <mergeCell ref="A686:A687"/>
    <mergeCell ref="B686:B687"/>
    <mergeCell ref="C686:C687"/>
    <mergeCell ref="D686:D687"/>
    <mergeCell ref="E686:E687"/>
    <mergeCell ref="G686:H687"/>
    <mergeCell ref="A664:B664"/>
    <mergeCell ref="A670:B670"/>
    <mergeCell ref="A674:F674"/>
    <mergeCell ref="A675:A676"/>
    <mergeCell ref="B675:B676"/>
    <mergeCell ref="C675:C676"/>
    <mergeCell ref="E675:F676"/>
    <mergeCell ref="A728:H728"/>
    <mergeCell ref="A729:A730"/>
    <mergeCell ref="B729:B730"/>
    <mergeCell ref="C729:C730"/>
    <mergeCell ref="D729:D730"/>
    <mergeCell ref="E729:E730"/>
    <mergeCell ref="G729:H730"/>
    <mergeCell ref="A707:B707"/>
    <mergeCell ref="A713:B713"/>
    <mergeCell ref="A717:F717"/>
    <mergeCell ref="A718:A719"/>
    <mergeCell ref="B718:B719"/>
    <mergeCell ref="C718:C719"/>
    <mergeCell ref="E718:F719"/>
    <mergeCell ref="A783:H783"/>
    <mergeCell ref="A784:A785"/>
    <mergeCell ref="B784:B785"/>
    <mergeCell ref="C784:C785"/>
    <mergeCell ref="D784:D785"/>
    <mergeCell ref="E784:E785"/>
    <mergeCell ref="G784:H785"/>
    <mergeCell ref="A762:B762"/>
    <mergeCell ref="A768:B768"/>
    <mergeCell ref="A772:F772"/>
    <mergeCell ref="A773:A774"/>
    <mergeCell ref="B773:B774"/>
    <mergeCell ref="C773:C774"/>
    <mergeCell ref="E773:F774"/>
    <mergeCell ref="A832:H832"/>
    <mergeCell ref="A833:A834"/>
    <mergeCell ref="B833:B834"/>
    <mergeCell ref="C833:C834"/>
    <mergeCell ref="D833:D834"/>
    <mergeCell ref="E833:E834"/>
    <mergeCell ref="G833:H834"/>
    <mergeCell ref="A811:B811"/>
    <mergeCell ref="A817:B817"/>
    <mergeCell ref="A821:F821"/>
    <mergeCell ref="A822:A823"/>
    <mergeCell ref="B822:B823"/>
    <mergeCell ref="C822:C823"/>
    <mergeCell ref="E822:F823"/>
    <mergeCell ref="A887:H887"/>
    <mergeCell ref="A888:A889"/>
    <mergeCell ref="B888:B889"/>
    <mergeCell ref="C888:C889"/>
    <mergeCell ref="D888:D889"/>
    <mergeCell ref="E888:E889"/>
    <mergeCell ref="G888:H889"/>
    <mergeCell ref="A866:B866"/>
    <mergeCell ref="A872:B872"/>
    <mergeCell ref="A876:F876"/>
    <mergeCell ref="A877:A878"/>
    <mergeCell ref="B877:B878"/>
    <mergeCell ref="C877:C878"/>
    <mergeCell ref="E877:F878"/>
    <mergeCell ref="A936:H936"/>
    <mergeCell ref="A937:A938"/>
    <mergeCell ref="B937:B938"/>
    <mergeCell ref="C937:C938"/>
    <mergeCell ref="D937:D938"/>
    <mergeCell ref="E937:E938"/>
    <mergeCell ref="G937:H938"/>
    <mergeCell ref="A915:B915"/>
    <mergeCell ref="A921:B921"/>
    <mergeCell ref="A925:F925"/>
    <mergeCell ref="A926:A927"/>
    <mergeCell ref="B926:B927"/>
    <mergeCell ref="C926:C927"/>
    <mergeCell ref="E926:F927"/>
    <mergeCell ref="A991:H991"/>
    <mergeCell ref="A992:A993"/>
    <mergeCell ref="B992:B993"/>
    <mergeCell ref="C992:C993"/>
    <mergeCell ref="D992:D993"/>
    <mergeCell ref="E992:E993"/>
    <mergeCell ref="G992:H993"/>
    <mergeCell ref="A970:B970"/>
    <mergeCell ref="A976:B976"/>
    <mergeCell ref="A980:F980"/>
    <mergeCell ref="A981:A982"/>
    <mergeCell ref="B981:B982"/>
    <mergeCell ref="C981:C982"/>
    <mergeCell ref="E981:F982"/>
    <mergeCell ref="A1040:H1040"/>
    <mergeCell ref="A1041:A1042"/>
    <mergeCell ref="B1041:B1042"/>
    <mergeCell ref="C1041:C1042"/>
    <mergeCell ref="D1041:D1042"/>
    <mergeCell ref="E1041:E1042"/>
    <mergeCell ref="G1041:H1042"/>
    <mergeCell ref="A1019:B1019"/>
    <mergeCell ref="A1025:B1025"/>
    <mergeCell ref="A1029:F1029"/>
    <mergeCell ref="A1030:A1031"/>
    <mergeCell ref="B1030:B1031"/>
    <mergeCell ref="C1030:C1031"/>
    <mergeCell ref="E1030:F1031"/>
    <mergeCell ref="A1089:H1089"/>
    <mergeCell ref="A1090:A1091"/>
    <mergeCell ref="B1090:B1091"/>
    <mergeCell ref="C1090:C1091"/>
    <mergeCell ref="D1090:D1091"/>
    <mergeCell ref="E1090:E1091"/>
    <mergeCell ref="G1090:H1091"/>
    <mergeCell ref="A1068:B1068"/>
    <mergeCell ref="A1074:B1074"/>
    <mergeCell ref="A1078:F1078"/>
    <mergeCell ref="A1079:A1080"/>
    <mergeCell ref="B1079:B1080"/>
    <mergeCell ref="C1079:C1080"/>
    <mergeCell ref="E1079:F1080"/>
    <mergeCell ref="A1132:H1132"/>
    <mergeCell ref="A1133:A1134"/>
    <mergeCell ref="B1133:B1134"/>
    <mergeCell ref="C1133:C1134"/>
    <mergeCell ref="D1133:D1134"/>
    <mergeCell ref="E1133:E1134"/>
    <mergeCell ref="G1133:H1134"/>
    <mergeCell ref="A1111:B1111"/>
    <mergeCell ref="A1117:B1117"/>
    <mergeCell ref="A1121:F1121"/>
    <mergeCell ref="A1122:A1123"/>
    <mergeCell ref="B1122:B1123"/>
    <mergeCell ref="C1122:C1123"/>
    <mergeCell ref="E1122:F1123"/>
    <mergeCell ref="A1178:H1178"/>
    <mergeCell ref="A1179:A1180"/>
    <mergeCell ref="B1179:B1180"/>
    <mergeCell ref="C1179:C1180"/>
    <mergeCell ref="D1179:D1180"/>
    <mergeCell ref="E1179:E1180"/>
    <mergeCell ref="G1179:H1180"/>
    <mergeCell ref="A1157:B1157"/>
    <mergeCell ref="A1163:B1163"/>
    <mergeCell ref="A1167:F1167"/>
    <mergeCell ref="A1168:A1169"/>
    <mergeCell ref="B1168:B1169"/>
    <mergeCell ref="C1168:C1169"/>
    <mergeCell ref="E1168:F1169"/>
    <mergeCell ref="A1221:H1221"/>
    <mergeCell ref="A1222:A1223"/>
    <mergeCell ref="B1222:B1223"/>
    <mergeCell ref="C1222:C1223"/>
    <mergeCell ref="D1222:D1223"/>
    <mergeCell ref="E1222:E1223"/>
    <mergeCell ref="G1222:H1223"/>
    <mergeCell ref="A1200:B1200"/>
    <mergeCell ref="A1206:B1206"/>
    <mergeCell ref="A1210:F1210"/>
    <mergeCell ref="A1211:A1212"/>
    <mergeCell ref="B1211:B1212"/>
    <mergeCell ref="C1211:C1212"/>
    <mergeCell ref="E1211:F1212"/>
    <mergeCell ref="A1267:H1267"/>
    <mergeCell ref="A1268:A1269"/>
    <mergeCell ref="B1268:B1269"/>
    <mergeCell ref="C1268:C1269"/>
    <mergeCell ref="D1268:D1269"/>
    <mergeCell ref="E1268:E1269"/>
    <mergeCell ref="G1268:H1269"/>
    <mergeCell ref="A1246:B1246"/>
    <mergeCell ref="A1252:B1252"/>
    <mergeCell ref="A1256:F1256"/>
    <mergeCell ref="A1257:A1258"/>
    <mergeCell ref="B1257:B1258"/>
    <mergeCell ref="C1257:C1258"/>
    <mergeCell ref="E1257:F1258"/>
    <mergeCell ref="A1310:H1310"/>
    <mergeCell ref="A1311:A1312"/>
    <mergeCell ref="B1311:B1312"/>
    <mergeCell ref="C1311:C1312"/>
    <mergeCell ref="D1311:D1312"/>
    <mergeCell ref="E1311:E1312"/>
    <mergeCell ref="G1311:H1312"/>
    <mergeCell ref="A1289:B1289"/>
    <mergeCell ref="A1295:B1295"/>
    <mergeCell ref="A1299:F1299"/>
    <mergeCell ref="A1300:A1301"/>
    <mergeCell ref="B1300:B1301"/>
    <mergeCell ref="C1300:C1301"/>
    <mergeCell ref="E1300:F1301"/>
    <mergeCell ref="A1358:H1358"/>
    <mergeCell ref="A1359:A1360"/>
    <mergeCell ref="B1359:B1360"/>
    <mergeCell ref="C1359:C1360"/>
    <mergeCell ref="D1359:D1360"/>
    <mergeCell ref="E1359:E1360"/>
    <mergeCell ref="G1359:H1360"/>
    <mergeCell ref="A1337:B1337"/>
    <mergeCell ref="A1343:B1343"/>
    <mergeCell ref="A1347:F1347"/>
    <mergeCell ref="A1348:A1349"/>
    <mergeCell ref="B1348:B1349"/>
    <mergeCell ref="C1348:C1349"/>
    <mergeCell ref="E1348:F1349"/>
    <mergeCell ref="A1401:H1401"/>
    <mergeCell ref="A1402:A1403"/>
    <mergeCell ref="B1402:B1403"/>
    <mergeCell ref="C1402:C1403"/>
    <mergeCell ref="D1402:D1403"/>
    <mergeCell ref="E1402:E1403"/>
    <mergeCell ref="G1402:H1403"/>
    <mergeCell ref="A1380:B1380"/>
    <mergeCell ref="A1386:B1386"/>
    <mergeCell ref="A1390:F1390"/>
    <mergeCell ref="A1391:A1392"/>
    <mergeCell ref="B1391:B1392"/>
    <mergeCell ref="C1391:C1392"/>
    <mergeCell ref="E1391:F1392"/>
    <mergeCell ref="A1449:H1449"/>
    <mergeCell ref="A1450:A1451"/>
    <mergeCell ref="B1450:B1451"/>
    <mergeCell ref="C1450:C1451"/>
    <mergeCell ref="D1450:D1451"/>
    <mergeCell ref="E1450:E1451"/>
    <mergeCell ref="G1450:H1451"/>
    <mergeCell ref="A1428:B1428"/>
    <mergeCell ref="A1434:B1434"/>
    <mergeCell ref="A1438:F1438"/>
    <mergeCell ref="A1439:A1440"/>
    <mergeCell ref="B1439:B1440"/>
    <mergeCell ref="C1439:C1440"/>
    <mergeCell ref="E1439:F1440"/>
    <mergeCell ref="A1492:H1492"/>
    <mergeCell ref="A1493:A1494"/>
    <mergeCell ref="B1493:B1494"/>
    <mergeCell ref="C1493:C1494"/>
    <mergeCell ref="D1493:D1494"/>
    <mergeCell ref="E1493:E1494"/>
    <mergeCell ref="G1493:H1494"/>
    <mergeCell ref="A1471:B1471"/>
    <mergeCell ref="A1477:B1477"/>
    <mergeCell ref="A1481:F1481"/>
    <mergeCell ref="A1482:A1483"/>
    <mergeCell ref="B1482:B1483"/>
    <mergeCell ref="C1482:C1483"/>
    <mergeCell ref="E1482:F1483"/>
    <mergeCell ref="A1540:H1540"/>
    <mergeCell ref="A1541:A1542"/>
    <mergeCell ref="B1541:B1542"/>
    <mergeCell ref="C1541:C1542"/>
    <mergeCell ref="D1541:D1542"/>
    <mergeCell ref="E1541:E1542"/>
    <mergeCell ref="G1541:H1542"/>
    <mergeCell ref="A1519:B1519"/>
    <mergeCell ref="A1525:B1525"/>
    <mergeCell ref="A1529:F1529"/>
    <mergeCell ref="A1530:A1531"/>
    <mergeCell ref="B1530:B1531"/>
    <mergeCell ref="C1530:C1531"/>
    <mergeCell ref="E1530:F1531"/>
  </mergeCells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B6AD7-543C-4DE7-9E25-AB961821CDD2}">
  <dimension ref="A1:O1554"/>
  <sheetViews>
    <sheetView topLeftCell="A1527" workbookViewId="0">
      <selection activeCell="J1543" sqref="J1543:O1544"/>
    </sheetView>
  </sheetViews>
  <sheetFormatPr defaultRowHeight="16.5" x14ac:dyDescent="0.3"/>
  <cols>
    <col min="10" max="15" width="17.25" bestFit="1" customWidth="1"/>
  </cols>
  <sheetData>
    <row r="1" spans="1:6" x14ac:dyDescent="0.3">
      <c r="A1" s="1" t="s">
        <v>237</v>
      </c>
    </row>
    <row r="3" spans="1:6" x14ac:dyDescent="0.3">
      <c r="A3" s="1" t="s">
        <v>1</v>
      </c>
    </row>
    <row r="4" spans="1:6" ht="17.25" thickBot="1" x14ac:dyDescent="0.35"/>
    <row r="5" spans="1:6" ht="16.5" customHeight="1" x14ac:dyDescent="0.3">
      <c r="A5" s="16" t="s">
        <v>135</v>
      </c>
      <c r="B5" s="18"/>
    </row>
    <row r="6" spans="1:6" ht="26.25" thickBot="1" x14ac:dyDescent="0.35">
      <c r="A6" s="12" t="s">
        <v>136</v>
      </c>
      <c r="B6" s="2">
        <v>183</v>
      </c>
    </row>
    <row r="7" spans="1:6" ht="26.25" thickBot="1" x14ac:dyDescent="0.35">
      <c r="A7" s="12" t="s">
        <v>137</v>
      </c>
      <c r="B7" s="2">
        <v>2949</v>
      </c>
    </row>
    <row r="8" spans="1:6" ht="39" thickBot="1" x14ac:dyDescent="0.35">
      <c r="A8" s="12" t="s">
        <v>138</v>
      </c>
      <c r="B8" s="2">
        <v>23222</v>
      </c>
    </row>
    <row r="9" spans="1:6" ht="25.5" x14ac:dyDescent="0.3">
      <c r="A9" s="13" t="s">
        <v>139</v>
      </c>
      <c r="B9" s="2">
        <v>9036880.5199999996</v>
      </c>
    </row>
    <row r="10" spans="1:6" ht="17.25" thickBot="1" x14ac:dyDescent="0.35"/>
    <row r="11" spans="1:6" ht="33" customHeight="1" x14ac:dyDescent="0.3">
      <c r="A11" s="16" t="s">
        <v>140</v>
      </c>
      <c r="B11" s="18"/>
    </row>
    <row r="12" spans="1:6" ht="33.75" thickBot="1" x14ac:dyDescent="0.35">
      <c r="A12" s="12" t="s">
        <v>141</v>
      </c>
      <c r="B12" s="2" t="s">
        <v>142</v>
      </c>
    </row>
    <row r="13" spans="1:6" ht="25.5" x14ac:dyDescent="0.3">
      <c r="A13" s="13" t="s">
        <v>143</v>
      </c>
      <c r="B13" s="2" t="s">
        <v>144</v>
      </c>
    </row>
    <row r="14" spans="1:6" ht="17.25" thickBot="1" x14ac:dyDescent="0.35"/>
    <row r="15" spans="1:6" ht="16.5" customHeight="1" x14ac:dyDescent="0.3">
      <c r="A15" s="16" t="s">
        <v>238</v>
      </c>
      <c r="B15" s="18"/>
      <c r="C15" s="18"/>
      <c r="D15" s="18"/>
      <c r="E15" s="18"/>
      <c r="F15" s="18"/>
    </row>
    <row r="16" spans="1:6" ht="16.5" customHeight="1" x14ac:dyDescent="0.3">
      <c r="A16" s="17" t="s">
        <v>239</v>
      </c>
      <c r="B16" s="19" t="s">
        <v>94</v>
      </c>
      <c r="C16" s="19" t="s">
        <v>240</v>
      </c>
      <c r="D16" s="3" t="s">
        <v>241</v>
      </c>
      <c r="E16" s="19" t="s">
        <v>243</v>
      </c>
      <c r="F16" s="19"/>
    </row>
    <row r="17" spans="1:8" x14ac:dyDescent="0.3">
      <c r="A17" s="17"/>
      <c r="B17" s="19"/>
      <c r="C17" s="19"/>
      <c r="D17" s="3" t="s">
        <v>242</v>
      </c>
      <c r="E17" s="19"/>
      <c r="F17" s="19"/>
    </row>
    <row r="18" spans="1:8" x14ac:dyDescent="0.3">
      <c r="A18" s="13" t="s">
        <v>116</v>
      </c>
      <c r="B18" s="2">
        <v>23222</v>
      </c>
      <c r="C18" s="2">
        <v>0.29750300000000002</v>
      </c>
      <c r="D18" s="2">
        <v>2.7789999999999998E-3</v>
      </c>
      <c r="E18" s="2">
        <v>0.29205375</v>
      </c>
      <c r="F18" s="2">
        <v>0.30295137999999999</v>
      </c>
    </row>
    <row r="22" spans="1:8" x14ac:dyDescent="0.3">
      <c r="A22" s="1" t="s">
        <v>237</v>
      </c>
    </row>
    <row r="24" spans="1:8" x14ac:dyDescent="0.3">
      <c r="A24" s="1" t="s">
        <v>1</v>
      </c>
    </row>
    <row r="25" spans="1:8" ht="17.25" thickBot="1" x14ac:dyDescent="0.35"/>
    <row r="26" spans="1:8" ht="16.5" customHeight="1" x14ac:dyDescent="0.3">
      <c r="A26" s="16" t="s">
        <v>250</v>
      </c>
      <c r="B26" s="18"/>
      <c r="C26" s="18"/>
      <c r="D26" s="18"/>
      <c r="E26" s="18"/>
      <c r="F26" s="18"/>
      <c r="G26" s="18"/>
      <c r="H26" s="18"/>
    </row>
    <row r="27" spans="1:8" ht="16.5" customHeight="1" x14ac:dyDescent="0.3">
      <c r="A27" s="17" t="s">
        <v>249</v>
      </c>
      <c r="B27" s="19" t="s">
        <v>2</v>
      </c>
      <c r="C27" s="19" t="s">
        <v>239</v>
      </c>
      <c r="D27" s="19" t="s">
        <v>94</v>
      </c>
      <c r="E27" s="19" t="s">
        <v>240</v>
      </c>
      <c r="F27" s="3" t="s">
        <v>241</v>
      </c>
      <c r="G27" s="19" t="s">
        <v>243</v>
      </c>
      <c r="H27" s="19"/>
    </row>
    <row r="28" spans="1:8" x14ac:dyDescent="0.3">
      <c r="A28" s="17"/>
      <c r="B28" s="19"/>
      <c r="C28" s="19"/>
      <c r="D28" s="19"/>
      <c r="E28" s="19"/>
      <c r="F28" s="3" t="s">
        <v>242</v>
      </c>
      <c r="G28" s="19"/>
      <c r="H28" s="19"/>
    </row>
    <row r="29" spans="1:8" ht="17.25" thickBot="1" x14ac:dyDescent="0.35">
      <c r="A29" s="6">
        <v>1</v>
      </c>
      <c r="B29" s="3">
        <v>1</v>
      </c>
      <c r="C29" s="11" t="s">
        <v>116</v>
      </c>
      <c r="D29" s="2">
        <v>484</v>
      </c>
      <c r="E29" s="2">
        <v>0.31587700000000002</v>
      </c>
      <c r="F29" s="2">
        <v>1.5695000000000001E-2</v>
      </c>
      <c r="G29" s="2">
        <v>0.28510159000000002</v>
      </c>
      <c r="H29" s="2">
        <v>0.34665164999999998</v>
      </c>
    </row>
    <row r="30" spans="1:8" ht="17.25" thickBot="1" x14ac:dyDescent="0.35">
      <c r="A30" s="6"/>
      <c r="B30" s="3">
        <v>2</v>
      </c>
      <c r="C30" s="11" t="s">
        <v>116</v>
      </c>
      <c r="D30" s="2">
        <v>1151</v>
      </c>
      <c r="E30" s="2">
        <v>0.42402400000000001</v>
      </c>
      <c r="F30" s="2">
        <v>1.1278E-2</v>
      </c>
      <c r="G30" s="2">
        <v>0.40190969999999998</v>
      </c>
      <c r="H30" s="2">
        <v>0.44613818</v>
      </c>
    </row>
    <row r="31" spans="1:8" ht="17.25" thickBot="1" x14ac:dyDescent="0.35">
      <c r="A31" s="6"/>
      <c r="B31" s="3">
        <v>3</v>
      </c>
      <c r="C31" s="11" t="s">
        <v>116</v>
      </c>
      <c r="D31" s="2">
        <v>1105</v>
      </c>
      <c r="E31" s="2">
        <v>0.47114800000000001</v>
      </c>
      <c r="F31" s="2">
        <v>1.0498E-2</v>
      </c>
      <c r="G31" s="2">
        <v>0.45056388000000003</v>
      </c>
      <c r="H31" s="2">
        <v>0.49173182999999998</v>
      </c>
    </row>
    <row r="32" spans="1:8" ht="17.25" thickBot="1" x14ac:dyDescent="0.35">
      <c r="A32" s="6"/>
      <c r="B32" s="3">
        <v>8</v>
      </c>
      <c r="C32" s="11" t="s">
        <v>116</v>
      </c>
      <c r="D32" s="2">
        <v>1000</v>
      </c>
      <c r="E32" s="2">
        <v>0.199241</v>
      </c>
      <c r="F32" s="2">
        <v>1.0978E-2</v>
      </c>
      <c r="G32" s="2">
        <v>0.17771561999999999</v>
      </c>
      <c r="H32" s="2">
        <v>0.22076707000000001</v>
      </c>
    </row>
    <row r="33" spans="1:8" ht="17.25" thickBot="1" x14ac:dyDescent="0.35">
      <c r="A33" s="6">
        <v>2</v>
      </c>
      <c r="B33" s="3">
        <v>1</v>
      </c>
      <c r="C33" s="11" t="s">
        <v>116</v>
      </c>
      <c r="D33" s="2">
        <v>344</v>
      </c>
      <c r="E33" s="2">
        <v>0.286939</v>
      </c>
      <c r="F33" s="2">
        <v>1.933E-2</v>
      </c>
      <c r="G33" s="2">
        <v>0.24903571999999999</v>
      </c>
      <c r="H33" s="2">
        <v>0.32484289</v>
      </c>
    </row>
    <row r="34" spans="1:8" ht="17.25" thickBot="1" x14ac:dyDescent="0.35">
      <c r="A34" s="6"/>
      <c r="B34" s="3">
        <v>2</v>
      </c>
      <c r="C34" s="11" t="s">
        <v>116</v>
      </c>
      <c r="D34" s="2">
        <v>1133</v>
      </c>
      <c r="E34" s="2">
        <v>0.38897799999999999</v>
      </c>
      <c r="F34" s="2">
        <v>1.1779E-2</v>
      </c>
      <c r="G34" s="2">
        <v>0.36588164000000001</v>
      </c>
      <c r="H34" s="2">
        <v>0.41207468000000003</v>
      </c>
    </row>
    <row r="35" spans="1:8" ht="17.25" thickBot="1" x14ac:dyDescent="0.35">
      <c r="A35" s="6"/>
      <c r="B35" s="3">
        <v>3</v>
      </c>
      <c r="C35" s="11" t="s">
        <v>116</v>
      </c>
      <c r="D35" s="2">
        <v>1142</v>
      </c>
      <c r="E35" s="2">
        <v>0.44473800000000002</v>
      </c>
      <c r="F35" s="2">
        <v>1.0536999999999999E-2</v>
      </c>
      <c r="G35" s="2">
        <v>0.42407668999999998</v>
      </c>
      <c r="H35" s="2">
        <v>0.46539882999999999</v>
      </c>
    </row>
    <row r="36" spans="1:8" ht="17.25" thickBot="1" x14ac:dyDescent="0.35">
      <c r="A36" s="6"/>
      <c r="B36" s="3">
        <v>8</v>
      </c>
      <c r="C36" s="11" t="s">
        <v>116</v>
      </c>
      <c r="D36" s="2">
        <v>2113</v>
      </c>
      <c r="E36" s="2">
        <v>0.17061799999999999</v>
      </c>
      <c r="F36" s="2">
        <v>8.1270000000000005E-3</v>
      </c>
      <c r="G36" s="2">
        <v>0.1546816</v>
      </c>
      <c r="H36" s="2">
        <v>0.18655459999999999</v>
      </c>
    </row>
    <row r="37" spans="1:8" ht="17.25" thickBot="1" x14ac:dyDescent="0.35">
      <c r="A37" s="6">
        <v>3</v>
      </c>
      <c r="B37" s="3">
        <v>1</v>
      </c>
      <c r="C37" s="11" t="s">
        <v>116</v>
      </c>
      <c r="D37" s="2">
        <v>385</v>
      </c>
      <c r="E37" s="2">
        <v>0.318467</v>
      </c>
      <c r="F37" s="2">
        <v>2.1562000000000001E-2</v>
      </c>
      <c r="G37" s="2">
        <v>0.27618730000000002</v>
      </c>
      <c r="H37" s="2">
        <v>0.36074738000000001</v>
      </c>
    </row>
    <row r="38" spans="1:8" ht="17.25" thickBot="1" x14ac:dyDescent="0.35">
      <c r="A38" s="6"/>
      <c r="B38" s="3">
        <v>2</v>
      </c>
      <c r="C38" s="11" t="s">
        <v>116</v>
      </c>
      <c r="D38" s="2">
        <v>1194</v>
      </c>
      <c r="E38" s="2">
        <v>0.38628400000000002</v>
      </c>
      <c r="F38" s="2">
        <v>1.1561999999999999E-2</v>
      </c>
      <c r="G38" s="2">
        <v>0.36361291000000001</v>
      </c>
      <c r="H38" s="2">
        <v>0.40895526999999998</v>
      </c>
    </row>
    <row r="39" spans="1:8" ht="17.25" thickBot="1" x14ac:dyDescent="0.35">
      <c r="A39" s="6"/>
      <c r="B39" s="3">
        <v>3</v>
      </c>
      <c r="C39" s="11" t="s">
        <v>116</v>
      </c>
      <c r="D39" s="2">
        <v>1058</v>
      </c>
      <c r="E39" s="2">
        <v>0.41865599999999997</v>
      </c>
      <c r="F39" s="2">
        <v>1.0468E-2</v>
      </c>
      <c r="G39" s="2">
        <v>0.39813025000000002</v>
      </c>
      <c r="H39" s="2">
        <v>0.43918160000000001</v>
      </c>
    </row>
    <row r="40" spans="1:8" ht="17.25" thickBot="1" x14ac:dyDescent="0.35">
      <c r="A40" s="6"/>
      <c r="B40" s="3">
        <v>8</v>
      </c>
      <c r="C40" s="11" t="s">
        <v>116</v>
      </c>
      <c r="D40" s="2">
        <v>1620</v>
      </c>
      <c r="E40" s="2">
        <v>0.171213</v>
      </c>
      <c r="F40" s="2">
        <v>7.8840000000000004E-3</v>
      </c>
      <c r="G40" s="2">
        <v>0.15575499000000001</v>
      </c>
      <c r="H40" s="2">
        <v>0.18667162000000001</v>
      </c>
    </row>
    <row r="41" spans="1:8" ht="17.25" thickBot="1" x14ac:dyDescent="0.35">
      <c r="A41" s="6">
        <v>4</v>
      </c>
      <c r="B41" s="3">
        <v>1</v>
      </c>
      <c r="C41" s="11" t="s">
        <v>116</v>
      </c>
      <c r="D41" s="2">
        <v>415</v>
      </c>
      <c r="E41" s="2">
        <v>0.33144899999999999</v>
      </c>
      <c r="F41" s="2">
        <v>2.0754000000000002E-2</v>
      </c>
      <c r="G41" s="2">
        <v>0.29075395999999998</v>
      </c>
      <c r="H41" s="2">
        <v>0.37214344999999999</v>
      </c>
    </row>
    <row r="42" spans="1:8" ht="17.25" thickBot="1" x14ac:dyDescent="0.35">
      <c r="A42" s="6"/>
      <c r="B42" s="3">
        <v>2</v>
      </c>
      <c r="C42" s="11" t="s">
        <v>116</v>
      </c>
      <c r="D42" s="2">
        <v>1156</v>
      </c>
      <c r="E42" s="2">
        <v>0.40325499999999997</v>
      </c>
      <c r="F42" s="2">
        <v>1.1310000000000001E-2</v>
      </c>
      <c r="G42" s="2">
        <v>0.38107901999999999</v>
      </c>
      <c r="H42" s="2">
        <v>0.42543122999999999</v>
      </c>
    </row>
    <row r="43" spans="1:8" ht="17.25" thickBot="1" x14ac:dyDescent="0.35">
      <c r="A43" s="6"/>
      <c r="B43" s="3">
        <v>3</v>
      </c>
      <c r="C43" s="11" t="s">
        <v>116</v>
      </c>
      <c r="D43" s="2">
        <v>1264</v>
      </c>
      <c r="E43" s="2">
        <v>0.41744900000000001</v>
      </c>
      <c r="F43" s="2">
        <v>9.4330000000000004E-3</v>
      </c>
      <c r="G43" s="2">
        <v>0.39895276000000002</v>
      </c>
      <c r="H43" s="2">
        <v>0.43594558999999999</v>
      </c>
    </row>
    <row r="44" spans="1:8" ht="17.25" thickBot="1" x14ac:dyDescent="0.35">
      <c r="A44" s="6"/>
      <c r="B44" s="3">
        <v>8</v>
      </c>
      <c r="C44" s="11" t="s">
        <v>116</v>
      </c>
      <c r="D44" s="2">
        <v>1721</v>
      </c>
      <c r="E44" s="2">
        <v>0.17794299999999999</v>
      </c>
      <c r="F44" s="2">
        <v>7.4580000000000002E-3</v>
      </c>
      <c r="G44" s="2">
        <v>0.16331857</v>
      </c>
      <c r="H44" s="2">
        <v>0.19256664000000001</v>
      </c>
    </row>
    <row r="45" spans="1:8" ht="17.25" thickBot="1" x14ac:dyDescent="0.35">
      <c r="A45" s="6">
        <v>5</v>
      </c>
      <c r="B45" s="3">
        <v>1</v>
      </c>
      <c r="C45" s="11" t="s">
        <v>116</v>
      </c>
      <c r="D45" s="2">
        <v>353</v>
      </c>
      <c r="E45" s="2">
        <v>0.28756500000000002</v>
      </c>
      <c r="F45" s="2">
        <v>2.0787E-2</v>
      </c>
      <c r="G45" s="2">
        <v>0.24680521999999999</v>
      </c>
      <c r="H45" s="2">
        <v>0.32832410000000001</v>
      </c>
    </row>
    <row r="46" spans="1:8" ht="17.25" thickBot="1" x14ac:dyDescent="0.35">
      <c r="A46" s="6"/>
      <c r="B46" s="3">
        <v>2</v>
      </c>
      <c r="C46" s="11" t="s">
        <v>116</v>
      </c>
      <c r="D46" s="2">
        <v>984</v>
      </c>
      <c r="E46" s="2">
        <v>0.38069599999999998</v>
      </c>
      <c r="F46" s="2">
        <v>1.2208E-2</v>
      </c>
      <c r="G46" s="2">
        <v>0.35675731999999999</v>
      </c>
      <c r="H46" s="2">
        <v>0.40463402999999998</v>
      </c>
    </row>
    <row r="47" spans="1:8" ht="17.25" thickBot="1" x14ac:dyDescent="0.35">
      <c r="A47" s="6"/>
      <c r="B47" s="3">
        <v>3</v>
      </c>
      <c r="C47" s="11" t="s">
        <v>116</v>
      </c>
      <c r="D47" s="2">
        <v>1617</v>
      </c>
      <c r="E47" s="2">
        <v>0.364209</v>
      </c>
      <c r="F47" s="2">
        <v>8.4950000000000008E-3</v>
      </c>
      <c r="G47" s="2">
        <v>0.34755074000000002</v>
      </c>
      <c r="H47" s="2">
        <v>0.38086631999999998</v>
      </c>
    </row>
    <row r="48" spans="1:8" ht="17.25" thickBot="1" x14ac:dyDescent="0.35">
      <c r="A48" s="6"/>
      <c r="B48" s="3">
        <v>8</v>
      </c>
      <c r="C48" s="11" t="s">
        <v>116</v>
      </c>
      <c r="D48" s="2">
        <v>1547</v>
      </c>
      <c r="E48" s="2">
        <v>0.18690399999999999</v>
      </c>
      <c r="F48" s="2">
        <v>8.9680000000000003E-3</v>
      </c>
      <c r="G48" s="2">
        <v>0.16931877000000001</v>
      </c>
      <c r="H48" s="2">
        <v>0.20448880999999999</v>
      </c>
    </row>
    <row r="49" spans="1:8" ht="17.25" thickBot="1" x14ac:dyDescent="0.35">
      <c r="A49" s="6">
        <v>6</v>
      </c>
      <c r="B49" s="3">
        <v>1</v>
      </c>
      <c r="C49" s="11" t="s">
        <v>116</v>
      </c>
      <c r="D49" s="2">
        <v>129</v>
      </c>
      <c r="E49" s="2">
        <v>0.24539900000000001</v>
      </c>
      <c r="F49" s="2">
        <v>3.6347999999999998E-2</v>
      </c>
      <c r="G49" s="2">
        <v>0.17412748</v>
      </c>
      <c r="H49" s="2">
        <v>0.31667020000000001</v>
      </c>
    </row>
    <row r="50" spans="1:8" ht="17.25" thickBot="1" x14ac:dyDescent="0.35">
      <c r="A50" s="6"/>
      <c r="B50" s="3">
        <v>2</v>
      </c>
      <c r="C50" s="11" t="s">
        <v>116</v>
      </c>
      <c r="D50" s="2">
        <v>346</v>
      </c>
      <c r="E50" s="2">
        <v>0.33819199999999999</v>
      </c>
      <c r="F50" s="2">
        <v>1.7562999999999999E-2</v>
      </c>
      <c r="G50" s="2">
        <v>0.30375286000000001</v>
      </c>
      <c r="H50" s="2">
        <v>0.37263043000000001</v>
      </c>
    </row>
    <row r="51" spans="1:8" ht="17.25" thickBot="1" x14ac:dyDescent="0.35">
      <c r="A51" s="6"/>
      <c r="B51" s="3">
        <v>3</v>
      </c>
      <c r="C51" s="11" t="s">
        <v>116</v>
      </c>
      <c r="D51" s="2">
        <v>523</v>
      </c>
      <c r="E51" s="2">
        <v>0.30887900000000001</v>
      </c>
      <c r="F51" s="2">
        <v>1.3520000000000001E-2</v>
      </c>
      <c r="G51" s="2">
        <v>0.28236909999999998</v>
      </c>
      <c r="H51" s="2">
        <v>0.33538912999999998</v>
      </c>
    </row>
    <row r="52" spans="1:8" x14ac:dyDescent="0.3">
      <c r="A52" s="6"/>
      <c r="B52" s="3">
        <v>8</v>
      </c>
      <c r="C52" s="14" t="s">
        <v>116</v>
      </c>
      <c r="D52" s="2">
        <v>438</v>
      </c>
      <c r="E52" s="2">
        <v>0.13730899999999999</v>
      </c>
      <c r="F52" s="2">
        <v>1.5259E-2</v>
      </c>
      <c r="G52" s="2">
        <v>0.10738767</v>
      </c>
      <c r="H52" s="2">
        <v>0.16722982</v>
      </c>
    </row>
    <row r="56" spans="1:8" x14ac:dyDescent="0.3">
      <c r="A56" s="1" t="s">
        <v>237</v>
      </c>
    </row>
    <row r="58" spans="1:8" x14ac:dyDescent="0.3">
      <c r="A58" s="1" t="s">
        <v>21</v>
      </c>
    </row>
    <row r="59" spans="1:8" ht="17.25" thickBot="1" x14ac:dyDescent="0.35"/>
    <row r="60" spans="1:8" ht="16.5" customHeight="1" x14ac:dyDescent="0.3">
      <c r="A60" s="16" t="s">
        <v>135</v>
      </c>
      <c r="B60" s="18"/>
    </row>
    <row r="61" spans="1:8" ht="26.25" thickBot="1" x14ac:dyDescent="0.35">
      <c r="A61" s="12" t="s">
        <v>136</v>
      </c>
      <c r="B61" s="2">
        <v>183</v>
      </c>
    </row>
    <row r="62" spans="1:8" ht="26.25" thickBot="1" x14ac:dyDescent="0.35">
      <c r="A62" s="12" t="s">
        <v>137</v>
      </c>
      <c r="B62" s="2">
        <v>2982</v>
      </c>
    </row>
    <row r="63" spans="1:8" ht="39" thickBot="1" x14ac:dyDescent="0.35">
      <c r="A63" s="12" t="s">
        <v>138</v>
      </c>
      <c r="B63" s="2">
        <v>68635</v>
      </c>
    </row>
    <row r="64" spans="1:8" ht="25.5" x14ac:dyDescent="0.3">
      <c r="A64" s="13" t="s">
        <v>139</v>
      </c>
      <c r="B64" s="2">
        <v>30251935.699999999</v>
      </c>
    </row>
    <row r="65" spans="1:6" ht="17.25" thickBot="1" x14ac:dyDescent="0.35"/>
    <row r="66" spans="1:6" ht="33" customHeight="1" x14ac:dyDescent="0.3">
      <c r="A66" s="16" t="s">
        <v>140</v>
      </c>
      <c r="B66" s="18"/>
    </row>
    <row r="67" spans="1:6" ht="33.75" thickBot="1" x14ac:dyDescent="0.35">
      <c r="A67" s="12" t="s">
        <v>141</v>
      </c>
      <c r="B67" s="2" t="s">
        <v>142</v>
      </c>
    </row>
    <row r="68" spans="1:6" ht="25.5" x14ac:dyDescent="0.3">
      <c r="A68" s="13" t="s">
        <v>143</v>
      </c>
      <c r="B68" s="2" t="s">
        <v>144</v>
      </c>
    </row>
    <row r="69" spans="1:6" ht="17.25" thickBot="1" x14ac:dyDescent="0.35"/>
    <row r="70" spans="1:6" ht="16.5" customHeight="1" x14ac:dyDescent="0.3">
      <c r="A70" s="16" t="s">
        <v>238</v>
      </c>
      <c r="B70" s="18"/>
      <c r="C70" s="18"/>
      <c r="D70" s="18"/>
      <c r="E70" s="18"/>
      <c r="F70" s="18"/>
    </row>
    <row r="71" spans="1:6" ht="16.5" customHeight="1" x14ac:dyDescent="0.3">
      <c r="A71" s="17" t="s">
        <v>239</v>
      </c>
      <c r="B71" s="19" t="s">
        <v>94</v>
      </c>
      <c r="C71" s="19" t="s">
        <v>240</v>
      </c>
      <c r="D71" s="3" t="s">
        <v>241</v>
      </c>
      <c r="E71" s="19" t="s">
        <v>243</v>
      </c>
      <c r="F71" s="19"/>
    </row>
    <row r="72" spans="1:6" x14ac:dyDescent="0.3">
      <c r="A72" s="17"/>
      <c r="B72" s="19"/>
      <c r="C72" s="19"/>
      <c r="D72" s="3" t="s">
        <v>242</v>
      </c>
      <c r="E72" s="19"/>
      <c r="F72" s="19"/>
    </row>
    <row r="73" spans="1:6" x14ac:dyDescent="0.3">
      <c r="A73" s="13" t="s">
        <v>116</v>
      </c>
      <c r="B73" s="2">
        <v>68635</v>
      </c>
      <c r="C73" s="2">
        <v>0.34523599999999999</v>
      </c>
      <c r="D73" s="2">
        <v>1.6490000000000001E-3</v>
      </c>
      <c r="E73" s="2">
        <v>0.34200205</v>
      </c>
      <c r="F73" s="2">
        <v>0.34847033999999999</v>
      </c>
    </row>
    <row r="77" spans="1:6" x14ac:dyDescent="0.3">
      <c r="A77" s="1" t="s">
        <v>237</v>
      </c>
    </row>
    <row r="79" spans="1:6" x14ac:dyDescent="0.3">
      <c r="A79" s="1" t="s">
        <v>21</v>
      </c>
    </row>
    <row r="80" spans="1:6" ht="17.25" thickBot="1" x14ac:dyDescent="0.35"/>
    <row r="81" spans="1:15" ht="16.5" customHeight="1" x14ac:dyDescent="0.3">
      <c r="A81" s="16" t="s">
        <v>250</v>
      </c>
      <c r="B81" s="18"/>
      <c r="C81" s="18"/>
      <c r="D81" s="18"/>
      <c r="E81" s="18"/>
      <c r="F81" s="18"/>
      <c r="G81" s="18"/>
      <c r="H81" s="18"/>
    </row>
    <row r="82" spans="1:15" ht="16.5" customHeight="1" x14ac:dyDescent="0.3">
      <c r="A82" s="17" t="s">
        <v>249</v>
      </c>
      <c r="B82" s="19" t="s">
        <v>2</v>
      </c>
      <c r="C82" s="19" t="s">
        <v>239</v>
      </c>
      <c r="D82" s="19" t="s">
        <v>94</v>
      </c>
      <c r="E82" s="19" t="s">
        <v>240</v>
      </c>
      <c r="F82" s="3" t="s">
        <v>241</v>
      </c>
      <c r="G82" s="19" t="s">
        <v>243</v>
      </c>
      <c r="H82" s="19"/>
    </row>
    <row r="83" spans="1:15" x14ac:dyDescent="0.3">
      <c r="A83" s="17"/>
      <c r="B83" s="19"/>
      <c r="C83" s="19"/>
      <c r="D83" s="19"/>
      <c r="E83" s="19"/>
      <c r="F83" s="3" t="s">
        <v>242</v>
      </c>
      <c r="G83" s="19"/>
      <c r="H83" s="19"/>
    </row>
    <row r="84" spans="1:15" ht="17.25" thickBot="1" x14ac:dyDescent="0.35">
      <c r="A84" s="6">
        <v>1</v>
      </c>
      <c r="B84" s="3">
        <v>1</v>
      </c>
      <c r="C84" s="11" t="s">
        <v>116</v>
      </c>
      <c r="D84" s="2">
        <v>4203</v>
      </c>
      <c r="E84" s="2">
        <v>0.29400399999999999</v>
      </c>
      <c r="F84" s="2">
        <v>5.5789999999999998E-3</v>
      </c>
      <c r="G84" s="2">
        <v>0.28306342000000001</v>
      </c>
      <c r="H84" s="2">
        <v>0.30494405000000002</v>
      </c>
      <c r="J84" t="str">
        <f t="shared" ref="J84:J101" si="0">TEXT(E84,"0.00")&amp;" ("&amp;TEXT(G84,"0.00")&amp;" to "&amp;TEXT(H84,"0.00")&amp;")"</f>
        <v>0.29 (0.28 to 0.30)</v>
      </c>
      <c r="K84" t="str">
        <f>J87</f>
        <v>0.28 (0.27 to 0.29)</v>
      </c>
      <c r="L84" t="str">
        <f>J90</f>
        <v>0.27 (0.26 to 0.28)</v>
      </c>
      <c r="M84" t="str">
        <f>J93</f>
        <v>0.28 (0.27 to 0.29)</v>
      </c>
      <c r="N84" t="str">
        <f>J96</f>
        <v>0.25 (0.24 to 0.27)</v>
      </c>
      <c r="O84" t="str">
        <f>J99</f>
        <v>0.24 (0.22 to 0.27)</v>
      </c>
    </row>
    <row r="85" spans="1:15" ht="17.25" thickBot="1" x14ac:dyDescent="0.35">
      <c r="A85" s="6"/>
      <c r="B85" s="3">
        <v>2</v>
      </c>
      <c r="C85" s="11" t="s">
        <v>116</v>
      </c>
      <c r="D85" s="2">
        <v>5539</v>
      </c>
      <c r="E85" s="2">
        <v>0.42211100000000001</v>
      </c>
      <c r="F85" s="2">
        <v>5.2170000000000003E-3</v>
      </c>
      <c r="G85" s="2">
        <v>0.41188266000000001</v>
      </c>
      <c r="H85" s="2">
        <v>0.43234004999999998</v>
      </c>
      <c r="J85" t="str">
        <f t="shared" si="0"/>
        <v>0.42 (0.41 to 0.43)</v>
      </c>
      <c r="K85" t="str">
        <f t="shared" ref="K85:K86" si="1">J88</f>
        <v>0.41 (0.40 to 0.42)</v>
      </c>
      <c r="L85" t="str">
        <f t="shared" ref="L85:L86" si="2">J91</f>
        <v>0.40 (0.39 to 0.41)</v>
      </c>
      <c r="M85" t="str">
        <f t="shared" ref="M85:M86" si="3">J94</f>
        <v>0.40 (0.39 to 0.41)</v>
      </c>
      <c r="N85" t="str">
        <f t="shared" ref="N85:N86" si="4">J97</f>
        <v>0.37 (0.36 to 0.38)</v>
      </c>
      <c r="O85" t="str">
        <f t="shared" ref="O85:O86" si="5">J100</f>
        <v>0.32 (0.31 to 0.34)</v>
      </c>
    </row>
    <row r="86" spans="1:15" ht="17.25" thickBot="1" x14ac:dyDescent="0.35">
      <c r="A86" s="6"/>
      <c r="B86" s="3">
        <v>3</v>
      </c>
      <c r="C86" s="11" t="s">
        <v>116</v>
      </c>
      <c r="D86" s="2">
        <v>2173</v>
      </c>
      <c r="E86" s="2">
        <v>0.44832499999999997</v>
      </c>
      <c r="F86" s="2">
        <v>7.528E-3</v>
      </c>
      <c r="G86" s="2">
        <v>0.43356402999999999</v>
      </c>
      <c r="H86" s="2">
        <v>0.46308651000000001</v>
      </c>
      <c r="J86" t="str">
        <f t="shared" si="0"/>
        <v>0.45 (0.43 to 0.46)</v>
      </c>
      <c r="K86" t="str">
        <f t="shared" si="1"/>
        <v>0.41 (0.40 to 0.43)</v>
      </c>
      <c r="L86" t="str">
        <f t="shared" si="2"/>
        <v>0.41 (0.40 to 0.42)</v>
      </c>
      <c r="M86" t="str">
        <f t="shared" si="3"/>
        <v>0.40 (0.38 to 0.41)</v>
      </c>
      <c r="N86" t="str">
        <f t="shared" si="4"/>
        <v>0.37 (0.36 to 0.38)</v>
      </c>
      <c r="O86" t="str">
        <f t="shared" si="5"/>
        <v>0.30 (0.28 to 0.32)</v>
      </c>
    </row>
    <row r="87" spans="1:15" ht="17.25" thickBot="1" x14ac:dyDescent="0.35">
      <c r="A87" s="6">
        <v>2</v>
      </c>
      <c r="B87" s="3">
        <v>1</v>
      </c>
      <c r="C87" s="11" t="s">
        <v>116</v>
      </c>
      <c r="D87" s="2">
        <v>4179</v>
      </c>
      <c r="E87" s="2">
        <v>0.27782400000000002</v>
      </c>
      <c r="F87" s="2">
        <v>5.9109999999999996E-3</v>
      </c>
      <c r="G87" s="2">
        <v>0.26623394</v>
      </c>
      <c r="H87" s="2">
        <v>0.28941442000000001</v>
      </c>
      <c r="J87" t="str">
        <f t="shared" si="0"/>
        <v>0.28 (0.27 to 0.29)</v>
      </c>
    </row>
    <row r="88" spans="1:15" ht="17.25" thickBot="1" x14ac:dyDescent="0.35">
      <c r="A88" s="6"/>
      <c r="B88" s="3">
        <v>2</v>
      </c>
      <c r="C88" s="11" t="s">
        <v>116</v>
      </c>
      <c r="D88" s="2">
        <v>6402</v>
      </c>
      <c r="E88" s="2">
        <v>0.41297099999999998</v>
      </c>
      <c r="F88" s="2">
        <v>5.1529999999999996E-3</v>
      </c>
      <c r="G88" s="2">
        <v>0.40286623999999999</v>
      </c>
      <c r="H88" s="2">
        <v>0.42307602999999999</v>
      </c>
      <c r="J88" t="str">
        <f t="shared" si="0"/>
        <v>0.41 (0.40 to 0.42)</v>
      </c>
    </row>
    <row r="89" spans="1:15" ht="17.25" thickBot="1" x14ac:dyDescent="0.35">
      <c r="A89" s="6"/>
      <c r="B89" s="3">
        <v>3</v>
      </c>
      <c r="C89" s="11" t="s">
        <v>116</v>
      </c>
      <c r="D89" s="2">
        <v>2535</v>
      </c>
      <c r="E89" s="2">
        <v>0.41205799999999998</v>
      </c>
      <c r="F89" s="2">
        <v>7.6579999999999999E-3</v>
      </c>
      <c r="G89" s="2">
        <v>0.39704181999999999</v>
      </c>
      <c r="H89" s="2">
        <v>0.42707475</v>
      </c>
      <c r="J89" t="str">
        <f t="shared" si="0"/>
        <v>0.41 (0.40 to 0.43)</v>
      </c>
    </row>
    <row r="90" spans="1:15" ht="17.25" thickBot="1" x14ac:dyDescent="0.35">
      <c r="A90" s="6">
        <v>3</v>
      </c>
      <c r="B90" s="3">
        <v>1</v>
      </c>
      <c r="C90" s="11" t="s">
        <v>116</v>
      </c>
      <c r="D90" s="2">
        <v>3520</v>
      </c>
      <c r="E90" s="2">
        <v>0.26769300000000001</v>
      </c>
      <c r="F90" s="2">
        <v>6.3730000000000002E-3</v>
      </c>
      <c r="G90" s="2">
        <v>0.25519621999999997</v>
      </c>
      <c r="H90" s="2">
        <v>0.28018884999999999</v>
      </c>
      <c r="J90" t="str">
        <f t="shared" si="0"/>
        <v>0.27 (0.26 to 0.28)</v>
      </c>
    </row>
    <row r="91" spans="1:15" ht="17.25" thickBot="1" x14ac:dyDescent="0.35">
      <c r="A91" s="6"/>
      <c r="B91" s="3">
        <v>2</v>
      </c>
      <c r="C91" s="11" t="s">
        <v>116</v>
      </c>
      <c r="D91" s="2">
        <v>5743</v>
      </c>
      <c r="E91" s="2">
        <v>0.400391</v>
      </c>
      <c r="F91" s="2">
        <v>5.0499999999999998E-3</v>
      </c>
      <c r="G91" s="2">
        <v>0.39048878999999997</v>
      </c>
      <c r="H91" s="2">
        <v>0.41029342000000002</v>
      </c>
      <c r="J91" t="str">
        <f t="shared" si="0"/>
        <v>0.40 (0.39 to 0.41)</v>
      </c>
    </row>
    <row r="92" spans="1:15" ht="17.25" thickBot="1" x14ac:dyDescent="0.35">
      <c r="A92" s="6"/>
      <c r="B92" s="3">
        <v>3</v>
      </c>
      <c r="C92" s="11" t="s">
        <v>116</v>
      </c>
      <c r="D92" s="2">
        <v>2212</v>
      </c>
      <c r="E92" s="2">
        <v>0.410188</v>
      </c>
      <c r="F92" s="2">
        <v>7.2309999999999996E-3</v>
      </c>
      <c r="G92" s="2">
        <v>0.39600866000000001</v>
      </c>
      <c r="H92" s="2">
        <v>0.42436737000000002</v>
      </c>
      <c r="J92" t="str">
        <f t="shared" si="0"/>
        <v>0.41 (0.40 to 0.42)</v>
      </c>
    </row>
    <row r="93" spans="1:15" ht="17.25" thickBot="1" x14ac:dyDescent="0.35">
      <c r="A93" s="6">
        <v>4</v>
      </c>
      <c r="B93" s="3">
        <v>1</v>
      </c>
      <c r="C93" s="11" t="s">
        <v>116</v>
      </c>
      <c r="D93" s="2">
        <v>4230</v>
      </c>
      <c r="E93" s="2">
        <v>0.27789799999999998</v>
      </c>
      <c r="F93" s="2">
        <v>5.587E-3</v>
      </c>
      <c r="G93" s="2">
        <v>0.26694245999999999</v>
      </c>
      <c r="H93" s="2">
        <v>0.28885342000000003</v>
      </c>
      <c r="J93" t="str">
        <f t="shared" si="0"/>
        <v>0.28 (0.27 to 0.29)</v>
      </c>
    </row>
    <row r="94" spans="1:15" ht="17.25" thickBot="1" x14ac:dyDescent="0.35">
      <c r="A94" s="6"/>
      <c r="B94" s="3">
        <v>2</v>
      </c>
      <c r="C94" s="11" t="s">
        <v>116</v>
      </c>
      <c r="D94" s="2">
        <v>6950</v>
      </c>
      <c r="E94" s="2">
        <v>0.39880700000000002</v>
      </c>
      <c r="F94" s="2">
        <v>5.0509999999999999E-3</v>
      </c>
      <c r="G94" s="2">
        <v>0.38890375999999999</v>
      </c>
      <c r="H94" s="2">
        <v>0.40871034000000001</v>
      </c>
      <c r="J94" t="str">
        <f t="shared" si="0"/>
        <v>0.40 (0.39 to 0.41)</v>
      </c>
    </row>
    <row r="95" spans="1:15" ht="17.25" thickBot="1" x14ac:dyDescent="0.35">
      <c r="A95" s="6"/>
      <c r="B95" s="3">
        <v>3</v>
      </c>
      <c r="C95" s="11" t="s">
        <v>116</v>
      </c>
      <c r="D95" s="2">
        <v>2978</v>
      </c>
      <c r="E95" s="2">
        <v>0.39705699999999999</v>
      </c>
      <c r="F95" s="2">
        <v>6.522E-3</v>
      </c>
      <c r="G95" s="2">
        <v>0.38426972999999998</v>
      </c>
      <c r="H95" s="2">
        <v>0.40984484999999998</v>
      </c>
      <c r="J95" t="str">
        <f t="shared" si="0"/>
        <v>0.40 (0.38 to 0.41)</v>
      </c>
    </row>
    <row r="96" spans="1:15" ht="17.25" thickBot="1" x14ac:dyDescent="0.35">
      <c r="A96" s="6">
        <v>5</v>
      </c>
      <c r="B96" s="3">
        <v>1</v>
      </c>
      <c r="C96" s="11" t="s">
        <v>116</v>
      </c>
      <c r="D96" s="2">
        <v>3857</v>
      </c>
      <c r="E96" s="2">
        <v>0.25465199999999999</v>
      </c>
      <c r="F96" s="2">
        <v>6.0540000000000004E-3</v>
      </c>
      <c r="G96" s="2">
        <v>0.24278153</v>
      </c>
      <c r="H96" s="2">
        <v>0.26652221999999998</v>
      </c>
      <c r="J96" t="str">
        <f t="shared" si="0"/>
        <v>0.25 (0.24 to 0.27)</v>
      </c>
    </row>
    <row r="97" spans="1:10" ht="17.25" thickBot="1" x14ac:dyDescent="0.35">
      <c r="A97" s="6"/>
      <c r="B97" s="3">
        <v>2</v>
      </c>
      <c r="C97" s="11" t="s">
        <v>116</v>
      </c>
      <c r="D97" s="2">
        <v>6693</v>
      </c>
      <c r="E97" s="2">
        <v>0.37060300000000002</v>
      </c>
      <c r="F97" s="2">
        <v>5.0359999999999997E-3</v>
      </c>
      <c r="G97" s="2">
        <v>0.36072798</v>
      </c>
      <c r="H97" s="2">
        <v>0.38047769999999997</v>
      </c>
      <c r="J97" t="str">
        <f t="shared" si="0"/>
        <v>0.37 (0.36 to 0.38)</v>
      </c>
    </row>
    <row r="98" spans="1:10" ht="17.25" thickBot="1" x14ac:dyDescent="0.35">
      <c r="A98" s="6"/>
      <c r="B98" s="3">
        <v>3</v>
      </c>
      <c r="C98" s="11" t="s">
        <v>116</v>
      </c>
      <c r="D98" s="2">
        <v>3005</v>
      </c>
      <c r="E98" s="2">
        <v>0.36879600000000001</v>
      </c>
      <c r="F98" s="2">
        <v>6.1279999999999998E-3</v>
      </c>
      <c r="G98" s="2">
        <v>0.35678019</v>
      </c>
      <c r="H98" s="2">
        <v>0.38081083999999998</v>
      </c>
      <c r="J98" t="str">
        <f t="shared" si="0"/>
        <v>0.37 (0.36 to 0.38)</v>
      </c>
    </row>
    <row r="99" spans="1:10" ht="17.25" thickBot="1" x14ac:dyDescent="0.35">
      <c r="A99" s="6">
        <v>6</v>
      </c>
      <c r="B99" s="3">
        <v>1</v>
      </c>
      <c r="C99" s="11" t="s">
        <v>116</v>
      </c>
      <c r="D99" s="2">
        <v>1090</v>
      </c>
      <c r="E99" s="2">
        <v>0.24275099999999999</v>
      </c>
      <c r="F99" s="2">
        <v>1.1915E-2</v>
      </c>
      <c r="G99" s="2">
        <v>0.21938790999999999</v>
      </c>
      <c r="H99" s="2">
        <v>0.26611417999999998</v>
      </c>
      <c r="J99" t="str">
        <f t="shared" si="0"/>
        <v>0.24 (0.22 to 0.27)</v>
      </c>
    </row>
    <row r="100" spans="1:10" ht="17.25" thickBot="1" x14ac:dyDescent="0.35">
      <c r="A100" s="6"/>
      <c r="B100" s="3">
        <v>2</v>
      </c>
      <c r="C100" s="11" t="s">
        <v>116</v>
      </c>
      <c r="D100" s="2">
        <v>2143</v>
      </c>
      <c r="E100" s="2">
        <v>0.32075500000000001</v>
      </c>
      <c r="F100" s="2">
        <v>7.3509999999999999E-3</v>
      </c>
      <c r="G100" s="2">
        <v>0.30634057999999997</v>
      </c>
      <c r="H100" s="2">
        <v>0.3351692</v>
      </c>
      <c r="J100" t="str">
        <f t="shared" si="0"/>
        <v>0.32 (0.31 to 0.34)</v>
      </c>
    </row>
    <row r="101" spans="1:10" x14ac:dyDescent="0.3">
      <c r="A101" s="6"/>
      <c r="B101" s="3">
        <v>3</v>
      </c>
      <c r="C101" s="14" t="s">
        <v>116</v>
      </c>
      <c r="D101" s="2">
        <v>1183</v>
      </c>
      <c r="E101" s="2">
        <v>0.29724499999999998</v>
      </c>
      <c r="F101" s="2">
        <v>9.3229999999999997E-3</v>
      </c>
      <c r="G101" s="2">
        <v>0.27896420999999999</v>
      </c>
      <c r="H101" s="2">
        <v>0.31552667000000001</v>
      </c>
      <c r="J101" t="str">
        <f t="shared" si="0"/>
        <v>0.30 (0.28 to 0.32)</v>
      </c>
    </row>
    <row r="105" spans="1:10" x14ac:dyDescent="0.3">
      <c r="A105" s="1" t="s">
        <v>237</v>
      </c>
    </row>
    <row r="107" spans="1:10" x14ac:dyDescent="0.3">
      <c r="A107" s="1" t="s">
        <v>1</v>
      </c>
    </row>
    <row r="108" spans="1:10" ht="17.25" thickBot="1" x14ac:dyDescent="0.35"/>
    <row r="109" spans="1:10" ht="16.5" customHeight="1" x14ac:dyDescent="0.3">
      <c r="A109" s="16" t="s">
        <v>135</v>
      </c>
      <c r="B109" s="18"/>
    </row>
    <row r="110" spans="1:10" ht="26.25" thickBot="1" x14ac:dyDescent="0.35">
      <c r="A110" s="12" t="s">
        <v>136</v>
      </c>
      <c r="B110" s="2">
        <v>183</v>
      </c>
    </row>
    <row r="111" spans="1:10" ht="26.25" thickBot="1" x14ac:dyDescent="0.35">
      <c r="A111" s="12" t="s">
        <v>137</v>
      </c>
      <c r="B111" s="2">
        <v>2949</v>
      </c>
    </row>
    <row r="112" spans="1:10" ht="39" thickBot="1" x14ac:dyDescent="0.35">
      <c r="A112" s="12" t="s">
        <v>138</v>
      </c>
      <c r="B112" s="2">
        <v>23222</v>
      </c>
    </row>
    <row r="113" spans="1:6" ht="25.5" x14ac:dyDescent="0.3">
      <c r="A113" s="13" t="s">
        <v>139</v>
      </c>
      <c r="B113" s="2">
        <v>9036880.5199999996</v>
      </c>
    </row>
    <row r="114" spans="1:6" ht="17.25" thickBot="1" x14ac:dyDescent="0.35"/>
    <row r="115" spans="1:6" ht="33" customHeight="1" x14ac:dyDescent="0.3">
      <c r="A115" s="16" t="s">
        <v>140</v>
      </c>
      <c r="B115" s="18"/>
    </row>
    <row r="116" spans="1:6" ht="33.75" thickBot="1" x14ac:dyDescent="0.35">
      <c r="A116" s="12" t="s">
        <v>141</v>
      </c>
      <c r="B116" s="2" t="s">
        <v>142</v>
      </c>
    </row>
    <row r="117" spans="1:6" ht="25.5" x14ac:dyDescent="0.3">
      <c r="A117" s="13" t="s">
        <v>143</v>
      </c>
      <c r="B117" s="2" t="s">
        <v>144</v>
      </c>
    </row>
    <row r="118" spans="1:6" ht="17.25" thickBot="1" x14ac:dyDescent="0.35"/>
    <row r="119" spans="1:6" ht="16.5" customHeight="1" x14ac:dyDescent="0.3">
      <c r="A119" s="16" t="s">
        <v>238</v>
      </c>
      <c r="B119" s="18"/>
      <c r="C119" s="18"/>
      <c r="D119" s="18"/>
      <c r="E119" s="18"/>
      <c r="F119" s="18"/>
    </row>
    <row r="120" spans="1:6" ht="16.5" customHeight="1" x14ac:dyDescent="0.3">
      <c r="A120" s="17" t="s">
        <v>239</v>
      </c>
      <c r="B120" s="19" t="s">
        <v>94</v>
      </c>
      <c r="C120" s="19" t="s">
        <v>240</v>
      </c>
      <c r="D120" s="3" t="s">
        <v>241</v>
      </c>
      <c r="E120" s="19" t="s">
        <v>243</v>
      </c>
      <c r="F120" s="19"/>
    </row>
    <row r="121" spans="1:6" x14ac:dyDescent="0.3">
      <c r="A121" s="17"/>
      <c r="B121" s="19"/>
      <c r="C121" s="19"/>
      <c r="D121" s="3" t="s">
        <v>242</v>
      </c>
      <c r="E121" s="19"/>
      <c r="F121" s="19"/>
    </row>
    <row r="122" spans="1:6" x14ac:dyDescent="0.3">
      <c r="A122" s="13" t="s">
        <v>116</v>
      </c>
      <c r="B122" s="2">
        <v>23222</v>
      </c>
      <c r="C122" s="2">
        <v>0.29750300000000002</v>
      </c>
      <c r="D122" s="2">
        <v>2.7789999999999998E-3</v>
      </c>
      <c r="E122" s="2">
        <v>0.29205375</v>
      </c>
      <c r="F122" s="2">
        <v>0.30295137999999999</v>
      </c>
    </row>
    <row r="126" spans="1:6" x14ac:dyDescent="0.3">
      <c r="A126" s="1" t="s">
        <v>237</v>
      </c>
    </row>
    <row r="128" spans="1:6" x14ac:dyDescent="0.3">
      <c r="A128" s="1" t="s">
        <v>1</v>
      </c>
    </row>
    <row r="129" spans="1:8" ht="17.25" thickBot="1" x14ac:dyDescent="0.35"/>
    <row r="130" spans="1:8" ht="16.5" customHeight="1" x14ac:dyDescent="0.3">
      <c r="A130" s="16" t="s">
        <v>251</v>
      </c>
      <c r="B130" s="18"/>
      <c r="C130" s="18"/>
      <c r="D130" s="18"/>
      <c r="E130" s="18"/>
      <c r="F130" s="18"/>
      <c r="G130" s="18"/>
      <c r="H130" s="18"/>
    </row>
    <row r="131" spans="1:8" ht="16.5" customHeight="1" x14ac:dyDescent="0.3">
      <c r="A131" s="17" t="s">
        <v>249</v>
      </c>
      <c r="B131" s="19" t="s">
        <v>6</v>
      </c>
      <c r="C131" s="19" t="s">
        <v>239</v>
      </c>
      <c r="D131" s="19" t="s">
        <v>94</v>
      </c>
      <c r="E131" s="19" t="s">
        <v>240</v>
      </c>
      <c r="F131" s="3" t="s">
        <v>241</v>
      </c>
      <c r="G131" s="19" t="s">
        <v>243</v>
      </c>
      <c r="H131" s="19"/>
    </row>
    <row r="132" spans="1:8" x14ac:dyDescent="0.3">
      <c r="A132" s="17"/>
      <c r="B132" s="19"/>
      <c r="C132" s="19"/>
      <c r="D132" s="19"/>
      <c r="E132" s="19"/>
      <c r="F132" s="3" t="s">
        <v>242</v>
      </c>
      <c r="G132" s="19"/>
      <c r="H132" s="19"/>
    </row>
    <row r="133" spans="1:8" ht="17.25" thickBot="1" x14ac:dyDescent="0.35">
      <c r="A133" s="6">
        <v>1</v>
      </c>
      <c r="B133" s="3">
        <v>1</v>
      </c>
      <c r="C133" s="11" t="s">
        <v>116</v>
      </c>
      <c r="D133" s="2">
        <v>1181</v>
      </c>
      <c r="E133" s="2">
        <v>0.36420799999999998</v>
      </c>
      <c r="F133" s="2">
        <v>1.2739E-2</v>
      </c>
      <c r="G133" s="2">
        <v>0.33922911</v>
      </c>
      <c r="H133" s="2">
        <v>0.38918636000000001</v>
      </c>
    </row>
    <row r="134" spans="1:8" ht="17.25" thickBot="1" x14ac:dyDescent="0.35">
      <c r="A134" s="6"/>
      <c r="B134" s="3">
        <v>2</v>
      </c>
      <c r="C134" s="11" t="s">
        <v>116</v>
      </c>
      <c r="D134" s="2">
        <v>2559</v>
      </c>
      <c r="E134" s="2">
        <v>0.34384100000000001</v>
      </c>
      <c r="F134" s="2">
        <v>7.9600000000000001E-3</v>
      </c>
      <c r="G134" s="2">
        <v>0.32823337000000002</v>
      </c>
      <c r="H134" s="2">
        <v>0.35944909000000003</v>
      </c>
    </row>
    <row r="135" spans="1:8" ht="17.25" thickBot="1" x14ac:dyDescent="0.35">
      <c r="A135" s="6">
        <v>2</v>
      </c>
      <c r="B135" s="3">
        <v>1</v>
      </c>
      <c r="C135" s="11" t="s">
        <v>116</v>
      </c>
      <c r="D135" s="2">
        <v>1777</v>
      </c>
      <c r="E135" s="2">
        <v>0.26685599999999998</v>
      </c>
      <c r="F135" s="2">
        <v>8.6449999999999999E-3</v>
      </c>
      <c r="G135" s="2">
        <v>0.24990369000000001</v>
      </c>
      <c r="H135" s="2">
        <v>0.28380737</v>
      </c>
    </row>
    <row r="136" spans="1:8" ht="17.25" thickBot="1" x14ac:dyDescent="0.35">
      <c r="A136" s="6"/>
      <c r="B136" s="3">
        <v>2</v>
      </c>
      <c r="C136" s="11" t="s">
        <v>116</v>
      </c>
      <c r="D136" s="2">
        <v>2955</v>
      </c>
      <c r="E136" s="2">
        <v>0.28481000000000001</v>
      </c>
      <c r="F136" s="2">
        <v>7.2020000000000001E-3</v>
      </c>
      <c r="G136" s="2">
        <v>0.27068701000000001</v>
      </c>
      <c r="H136" s="2">
        <v>0.29893262999999998</v>
      </c>
    </row>
    <row r="137" spans="1:8" ht="17.25" thickBot="1" x14ac:dyDescent="0.35">
      <c r="A137" s="6">
        <v>3</v>
      </c>
      <c r="B137" s="3">
        <v>1</v>
      </c>
      <c r="C137" s="11" t="s">
        <v>116</v>
      </c>
      <c r="D137" s="2">
        <v>1694</v>
      </c>
      <c r="E137" s="2">
        <v>0.32499299999999998</v>
      </c>
      <c r="F137" s="2">
        <v>1.107E-2</v>
      </c>
      <c r="G137" s="2">
        <v>0.30328704000000001</v>
      </c>
      <c r="H137" s="2">
        <v>0.34669843</v>
      </c>
    </row>
    <row r="138" spans="1:8" ht="17.25" thickBot="1" x14ac:dyDescent="0.35">
      <c r="A138" s="6"/>
      <c r="B138" s="3">
        <v>2</v>
      </c>
      <c r="C138" s="11" t="s">
        <v>116</v>
      </c>
      <c r="D138" s="2">
        <v>2563</v>
      </c>
      <c r="E138" s="2">
        <v>0.27380199999999999</v>
      </c>
      <c r="F138" s="2">
        <v>6.9199999999999999E-3</v>
      </c>
      <c r="G138" s="2">
        <v>0.26023278</v>
      </c>
      <c r="H138" s="2">
        <v>0.28737151</v>
      </c>
    </row>
    <row r="139" spans="1:8" ht="17.25" thickBot="1" x14ac:dyDescent="0.35">
      <c r="A139" s="6">
        <v>4</v>
      </c>
      <c r="B139" s="3">
        <v>1</v>
      </c>
      <c r="C139" s="11" t="s">
        <v>116</v>
      </c>
      <c r="D139" s="2">
        <v>1776</v>
      </c>
      <c r="E139" s="2">
        <v>0.333758</v>
      </c>
      <c r="F139" s="2">
        <v>9.6659999999999992E-3</v>
      </c>
      <c r="G139" s="2">
        <v>0.31480425000000001</v>
      </c>
      <c r="H139" s="2">
        <v>0.35271173</v>
      </c>
    </row>
    <row r="140" spans="1:8" ht="17.25" thickBot="1" x14ac:dyDescent="0.35">
      <c r="A140" s="6"/>
      <c r="B140" s="3">
        <v>2</v>
      </c>
      <c r="C140" s="11" t="s">
        <v>116</v>
      </c>
      <c r="D140" s="2">
        <v>2780</v>
      </c>
      <c r="E140" s="2">
        <v>0.28434500000000001</v>
      </c>
      <c r="F140" s="2">
        <v>6.8760000000000002E-3</v>
      </c>
      <c r="G140" s="2">
        <v>0.27086248000000002</v>
      </c>
      <c r="H140" s="2">
        <v>0.29782746999999998</v>
      </c>
    </row>
    <row r="141" spans="1:8" ht="17.25" thickBot="1" x14ac:dyDescent="0.35">
      <c r="A141" s="6">
        <v>5</v>
      </c>
      <c r="B141" s="3">
        <v>1</v>
      </c>
      <c r="C141" s="11" t="s">
        <v>116</v>
      </c>
      <c r="D141" s="2">
        <v>1748</v>
      </c>
      <c r="E141" s="2">
        <v>0.330791</v>
      </c>
      <c r="F141" s="2">
        <v>9.9439999999999997E-3</v>
      </c>
      <c r="G141" s="2">
        <v>0.31129274000000001</v>
      </c>
      <c r="H141" s="2">
        <v>0.35028847000000002</v>
      </c>
    </row>
    <row r="142" spans="1:8" ht="17.25" thickBot="1" x14ac:dyDescent="0.35">
      <c r="A142" s="6"/>
      <c r="B142" s="3">
        <v>2</v>
      </c>
      <c r="C142" s="11" t="s">
        <v>116</v>
      </c>
      <c r="D142" s="2">
        <v>2753</v>
      </c>
      <c r="E142" s="2">
        <v>0.26330100000000001</v>
      </c>
      <c r="F142" s="2">
        <v>6.9680000000000002E-3</v>
      </c>
      <c r="G142" s="2">
        <v>0.24963737999999999</v>
      </c>
      <c r="H142" s="2">
        <v>0.27696377</v>
      </c>
    </row>
    <row r="143" spans="1:8" ht="17.25" thickBot="1" x14ac:dyDescent="0.35">
      <c r="A143" s="6">
        <v>6</v>
      </c>
      <c r="B143" s="3">
        <v>1</v>
      </c>
      <c r="C143" s="11" t="s">
        <v>116</v>
      </c>
      <c r="D143" s="2">
        <v>565</v>
      </c>
      <c r="E143" s="2">
        <v>0.30946699999999999</v>
      </c>
      <c r="F143" s="2">
        <v>1.5069000000000001E-2</v>
      </c>
      <c r="G143" s="2">
        <v>0.27991994999999997</v>
      </c>
      <c r="H143" s="2">
        <v>0.3390147</v>
      </c>
    </row>
    <row r="144" spans="1:8" x14ac:dyDescent="0.3">
      <c r="A144" s="6"/>
      <c r="B144" s="3">
        <v>2</v>
      </c>
      <c r="C144" s="14" t="s">
        <v>116</v>
      </c>
      <c r="D144" s="2">
        <v>871</v>
      </c>
      <c r="E144" s="2">
        <v>0.19858100000000001</v>
      </c>
      <c r="F144" s="2">
        <v>1.0694E-2</v>
      </c>
      <c r="G144" s="2">
        <v>0.1776122</v>
      </c>
      <c r="H144" s="2">
        <v>0.21954892000000001</v>
      </c>
    </row>
    <row r="148" spans="1:2" x14ac:dyDescent="0.3">
      <c r="A148" s="1" t="s">
        <v>237</v>
      </c>
    </row>
    <row r="150" spans="1:2" x14ac:dyDescent="0.3">
      <c r="A150" s="1" t="s">
        <v>21</v>
      </c>
    </row>
    <row r="151" spans="1:2" ht="17.25" thickBot="1" x14ac:dyDescent="0.35"/>
    <row r="152" spans="1:2" ht="16.5" customHeight="1" x14ac:dyDescent="0.3">
      <c r="A152" s="16" t="s">
        <v>135</v>
      </c>
      <c r="B152" s="18"/>
    </row>
    <row r="153" spans="1:2" ht="26.25" thickBot="1" x14ac:dyDescent="0.35">
      <c r="A153" s="12" t="s">
        <v>136</v>
      </c>
      <c r="B153" s="2">
        <v>183</v>
      </c>
    </row>
    <row r="154" spans="1:2" ht="26.25" thickBot="1" x14ac:dyDescent="0.35">
      <c r="A154" s="12" t="s">
        <v>137</v>
      </c>
      <c r="B154" s="2">
        <v>2982</v>
      </c>
    </row>
    <row r="155" spans="1:2" ht="39" thickBot="1" x14ac:dyDescent="0.35">
      <c r="A155" s="12" t="s">
        <v>138</v>
      </c>
      <c r="B155" s="2">
        <v>68635</v>
      </c>
    </row>
    <row r="156" spans="1:2" ht="25.5" x14ac:dyDescent="0.3">
      <c r="A156" s="13" t="s">
        <v>139</v>
      </c>
      <c r="B156" s="2">
        <v>30251935.699999999</v>
      </c>
    </row>
    <row r="157" spans="1:2" ht="17.25" thickBot="1" x14ac:dyDescent="0.35"/>
    <row r="158" spans="1:2" ht="33" customHeight="1" x14ac:dyDescent="0.3">
      <c r="A158" s="16" t="s">
        <v>140</v>
      </c>
      <c r="B158" s="18"/>
    </row>
    <row r="159" spans="1:2" ht="33.75" thickBot="1" x14ac:dyDescent="0.35">
      <c r="A159" s="12" t="s">
        <v>141</v>
      </c>
      <c r="B159" s="2" t="s">
        <v>142</v>
      </c>
    </row>
    <row r="160" spans="1:2" ht="25.5" x14ac:dyDescent="0.3">
      <c r="A160" s="13" t="s">
        <v>143</v>
      </c>
      <c r="B160" s="2" t="s">
        <v>144</v>
      </c>
    </row>
    <row r="161" spans="1:15" ht="17.25" thickBot="1" x14ac:dyDescent="0.35"/>
    <row r="162" spans="1:15" ht="16.5" customHeight="1" x14ac:dyDescent="0.3">
      <c r="A162" s="16" t="s">
        <v>238</v>
      </c>
      <c r="B162" s="18"/>
      <c r="C162" s="18"/>
      <c r="D162" s="18"/>
      <c r="E162" s="18"/>
      <c r="F162" s="18"/>
    </row>
    <row r="163" spans="1:15" ht="16.5" customHeight="1" x14ac:dyDescent="0.3">
      <c r="A163" s="17" t="s">
        <v>239</v>
      </c>
      <c r="B163" s="19" t="s">
        <v>94</v>
      </c>
      <c r="C163" s="19" t="s">
        <v>240</v>
      </c>
      <c r="D163" s="3" t="s">
        <v>241</v>
      </c>
      <c r="E163" s="19" t="s">
        <v>243</v>
      </c>
      <c r="F163" s="19"/>
    </row>
    <row r="164" spans="1:15" x14ac:dyDescent="0.3">
      <c r="A164" s="17"/>
      <c r="B164" s="19"/>
      <c r="C164" s="19"/>
      <c r="D164" s="3" t="s">
        <v>242</v>
      </c>
      <c r="E164" s="19"/>
      <c r="F164" s="19"/>
    </row>
    <row r="165" spans="1:15" x14ac:dyDescent="0.3">
      <c r="A165" s="13" t="s">
        <v>116</v>
      </c>
      <c r="B165" s="2">
        <v>68635</v>
      </c>
      <c r="C165" s="2">
        <v>0.34523599999999999</v>
      </c>
      <c r="D165" s="2">
        <v>1.6490000000000001E-3</v>
      </c>
      <c r="E165" s="2">
        <v>0.34200205</v>
      </c>
      <c r="F165" s="2">
        <v>0.34847033999999999</v>
      </c>
    </row>
    <row r="169" spans="1:15" x14ac:dyDescent="0.3">
      <c r="A169" s="1" t="s">
        <v>237</v>
      </c>
    </row>
    <row r="171" spans="1:15" x14ac:dyDescent="0.3">
      <c r="A171" s="1" t="s">
        <v>21</v>
      </c>
    </row>
    <row r="172" spans="1:15" ht="17.25" thickBot="1" x14ac:dyDescent="0.35"/>
    <row r="173" spans="1:15" ht="16.5" customHeight="1" x14ac:dyDescent="0.3">
      <c r="A173" s="16" t="s">
        <v>251</v>
      </c>
      <c r="B173" s="18"/>
      <c r="C173" s="18"/>
      <c r="D173" s="18"/>
      <c r="E173" s="18"/>
      <c r="F173" s="18"/>
      <c r="G173" s="18"/>
      <c r="H173" s="18"/>
    </row>
    <row r="174" spans="1:15" ht="16.5" customHeight="1" x14ac:dyDescent="0.3">
      <c r="A174" s="17" t="s">
        <v>249</v>
      </c>
      <c r="B174" s="19" t="s">
        <v>6</v>
      </c>
      <c r="C174" s="19" t="s">
        <v>239</v>
      </c>
      <c r="D174" s="19" t="s">
        <v>94</v>
      </c>
      <c r="E174" s="19" t="s">
        <v>240</v>
      </c>
      <c r="F174" s="3" t="s">
        <v>241</v>
      </c>
      <c r="G174" s="19" t="s">
        <v>243</v>
      </c>
      <c r="H174" s="19"/>
    </row>
    <row r="175" spans="1:15" x14ac:dyDescent="0.3">
      <c r="A175" s="17"/>
      <c r="B175" s="19"/>
      <c r="C175" s="19"/>
      <c r="D175" s="19"/>
      <c r="E175" s="19"/>
      <c r="F175" s="3" t="s">
        <v>242</v>
      </c>
      <c r="G175" s="19"/>
      <c r="H175" s="19"/>
    </row>
    <row r="176" spans="1:15" ht="17.25" thickBot="1" x14ac:dyDescent="0.35">
      <c r="A176" s="6">
        <v>1</v>
      </c>
      <c r="B176" s="3">
        <v>1</v>
      </c>
      <c r="C176" s="11" t="s">
        <v>116</v>
      </c>
      <c r="D176" s="2">
        <v>5831</v>
      </c>
      <c r="E176" s="2">
        <v>0.45404499999999998</v>
      </c>
      <c r="F176" s="2">
        <v>4.9379999999999997E-3</v>
      </c>
      <c r="G176" s="2">
        <v>0.44436112</v>
      </c>
      <c r="H176" s="2">
        <v>0.46372795</v>
      </c>
      <c r="J176" t="str">
        <f t="shared" ref="J176:J187" si="6">TEXT(E176,"0.00")&amp;" ("&amp;TEXT(G176,"0.00")&amp;" to "&amp;TEXT(H176,"0.00")&amp;")"</f>
        <v>0.45 (0.44 to 0.46)</v>
      </c>
      <c r="K176" t="str">
        <f>J178</f>
        <v>0.44 (0.43 to 0.45)</v>
      </c>
      <c r="L176" t="str">
        <f>J180</f>
        <v>0.45 (0.44 to 0.46)</v>
      </c>
      <c r="M176" t="str">
        <f>J182</f>
        <v>0.45 (0.44 to 0.46)</v>
      </c>
      <c r="N176" t="str">
        <f>J184</f>
        <v>0.43 (0.42 to 0.44)</v>
      </c>
      <c r="O176" t="str">
        <f>J186</f>
        <v>0.40 (0.38 to 0.42)</v>
      </c>
    </row>
    <row r="177" spans="1:15" ht="17.25" thickBot="1" x14ac:dyDescent="0.35">
      <c r="A177" s="6"/>
      <c r="B177" s="3">
        <v>2</v>
      </c>
      <c r="C177" s="11" t="s">
        <v>116</v>
      </c>
      <c r="D177" s="2">
        <v>6084</v>
      </c>
      <c r="E177" s="2">
        <v>0.25970199999999999</v>
      </c>
      <c r="F177" s="2">
        <v>5.071E-3</v>
      </c>
      <c r="G177" s="2">
        <v>0.24975911000000001</v>
      </c>
      <c r="H177" s="2">
        <v>0.26964558999999999</v>
      </c>
      <c r="J177" t="str">
        <f t="shared" si="6"/>
        <v>0.26 (0.25 to 0.27)</v>
      </c>
      <c r="K177" t="str">
        <f>J179</f>
        <v>0.25 (0.24 to 0.26)</v>
      </c>
      <c r="L177" t="str">
        <f>J181</f>
        <v>0.23 (0.22 to 0.24)</v>
      </c>
      <c r="M177" t="str">
        <f>J183</f>
        <v>0.24 (0.23 to 0.25)</v>
      </c>
      <c r="N177" t="str">
        <f>J185</f>
        <v>0.22 (0.21 to 0.23)</v>
      </c>
      <c r="O177" t="str">
        <f>J187</f>
        <v>0.17 (0.16 to 0.18)</v>
      </c>
    </row>
    <row r="178" spans="1:15" ht="17.25" thickBot="1" x14ac:dyDescent="0.35">
      <c r="A178" s="6">
        <v>2</v>
      </c>
      <c r="B178" s="3">
        <v>1</v>
      </c>
      <c r="C178" s="11" t="s">
        <v>116</v>
      </c>
      <c r="D178" s="2">
        <v>6484</v>
      </c>
      <c r="E178" s="2">
        <v>0.43795400000000001</v>
      </c>
      <c r="F178" s="2">
        <v>5.3420000000000004E-3</v>
      </c>
      <c r="G178" s="2">
        <v>0.42747955999999998</v>
      </c>
      <c r="H178" s="2">
        <v>0.44842832999999999</v>
      </c>
      <c r="J178" t="str">
        <f t="shared" si="6"/>
        <v>0.44 (0.43 to 0.45)</v>
      </c>
    </row>
    <row r="179" spans="1:15" ht="17.25" thickBot="1" x14ac:dyDescent="0.35">
      <c r="A179" s="6"/>
      <c r="B179" s="3">
        <v>2</v>
      </c>
      <c r="C179" s="11" t="s">
        <v>116</v>
      </c>
      <c r="D179" s="2">
        <v>6632</v>
      </c>
      <c r="E179" s="2">
        <v>0.25354599999999999</v>
      </c>
      <c r="F179" s="2">
        <v>4.7670000000000004E-3</v>
      </c>
      <c r="G179" s="2">
        <v>0.24419850000000001</v>
      </c>
      <c r="H179" s="2">
        <v>0.26289414999999999</v>
      </c>
      <c r="J179" t="str">
        <f t="shared" si="6"/>
        <v>0.25 (0.24 to 0.26)</v>
      </c>
    </row>
    <row r="180" spans="1:15" ht="17.25" thickBot="1" x14ac:dyDescent="0.35">
      <c r="A180" s="6">
        <v>3</v>
      </c>
      <c r="B180" s="3">
        <v>1</v>
      </c>
      <c r="C180" s="11" t="s">
        <v>116</v>
      </c>
      <c r="D180" s="2">
        <v>5508</v>
      </c>
      <c r="E180" s="2">
        <v>0.44722600000000001</v>
      </c>
      <c r="F180" s="2">
        <v>5.2370000000000003E-3</v>
      </c>
      <c r="G180" s="2">
        <v>0.43695655</v>
      </c>
      <c r="H180" s="2">
        <v>0.45749540999999999</v>
      </c>
      <c r="J180" t="str">
        <f t="shared" si="6"/>
        <v>0.45 (0.44 to 0.46)</v>
      </c>
    </row>
    <row r="181" spans="1:15" ht="17.25" thickBot="1" x14ac:dyDescent="0.35">
      <c r="A181" s="6"/>
      <c r="B181" s="3">
        <v>2</v>
      </c>
      <c r="C181" s="11" t="s">
        <v>116</v>
      </c>
      <c r="D181" s="2">
        <v>5967</v>
      </c>
      <c r="E181" s="2">
        <v>0.23031799999999999</v>
      </c>
      <c r="F181" s="2">
        <v>4.6039999999999996E-3</v>
      </c>
      <c r="G181" s="2">
        <v>0.22129039</v>
      </c>
      <c r="H181" s="2">
        <v>0.23934514000000001</v>
      </c>
      <c r="J181" t="str">
        <f t="shared" si="6"/>
        <v>0.23 (0.22 to 0.24)</v>
      </c>
    </row>
    <row r="182" spans="1:15" ht="17.25" thickBot="1" x14ac:dyDescent="0.35">
      <c r="A182" s="6">
        <v>4</v>
      </c>
      <c r="B182" s="3">
        <v>1</v>
      </c>
      <c r="C182" s="11" t="s">
        <v>116</v>
      </c>
      <c r="D182" s="2">
        <v>6783</v>
      </c>
      <c r="E182" s="2">
        <v>0.45310800000000001</v>
      </c>
      <c r="F182" s="2">
        <v>4.8910000000000004E-3</v>
      </c>
      <c r="G182" s="2">
        <v>0.44351763</v>
      </c>
      <c r="H182" s="2">
        <v>0.46269817000000002</v>
      </c>
      <c r="J182" t="str">
        <f t="shared" si="6"/>
        <v>0.45 (0.44 to 0.46)</v>
      </c>
    </row>
    <row r="183" spans="1:15" ht="17.25" thickBot="1" x14ac:dyDescent="0.35">
      <c r="A183" s="6"/>
      <c r="B183" s="3">
        <v>2</v>
      </c>
      <c r="C183" s="11" t="s">
        <v>116</v>
      </c>
      <c r="D183" s="2">
        <v>7375</v>
      </c>
      <c r="E183" s="2">
        <v>0.23709</v>
      </c>
      <c r="F183" s="2">
        <v>4.5209999999999998E-3</v>
      </c>
      <c r="G183" s="2">
        <v>0.22822475</v>
      </c>
      <c r="H183" s="2">
        <v>0.24595471999999999</v>
      </c>
      <c r="J183" t="str">
        <f t="shared" si="6"/>
        <v>0.24 (0.23 to 0.25)</v>
      </c>
    </row>
    <row r="184" spans="1:15" ht="17.25" thickBot="1" x14ac:dyDescent="0.35">
      <c r="A184" s="6">
        <v>5</v>
      </c>
      <c r="B184" s="3">
        <v>1</v>
      </c>
      <c r="C184" s="11" t="s">
        <v>116</v>
      </c>
      <c r="D184" s="2">
        <v>6570</v>
      </c>
      <c r="E184" s="2">
        <v>0.42640400000000001</v>
      </c>
      <c r="F184" s="2">
        <v>5.0309999999999999E-3</v>
      </c>
      <c r="G184" s="2">
        <v>0.41653836</v>
      </c>
      <c r="H184" s="2">
        <v>0.43626991999999998</v>
      </c>
      <c r="J184" t="str">
        <f t="shared" si="6"/>
        <v>0.43 (0.42 to 0.44)</v>
      </c>
    </row>
    <row r="185" spans="1:15" ht="17.25" thickBot="1" x14ac:dyDescent="0.35">
      <c r="A185" s="6"/>
      <c r="B185" s="3">
        <v>2</v>
      </c>
      <c r="C185" s="11" t="s">
        <v>116</v>
      </c>
      <c r="D185" s="2">
        <v>6985</v>
      </c>
      <c r="E185" s="2">
        <v>0.21612300000000001</v>
      </c>
      <c r="F185" s="2">
        <v>4.5669999999999999E-3</v>
      </c>
      <c r="G185" s="2">
        <v>0.20716719</v>
      </c>
      <c r="H185" s="2">
        <v>0.22507841000000001</v>
      </c>
      <c r="J185" t="str">
        <f t="shared" si="6"/>
        <v>0.22 (0.21 to 0.23)</v>
      </c>
    </row>
    <row r="186" spans="1:15" ht="17.25" thickBot="1" x14ac:dyDescent="0.35">
      <c r="A186" s="6">
        <v>6</v>
      </c>
      <c r="B186" s="3">
        <v>1</v>
      </c>
      <c r="C186" s="11" t="s">
        <v>116</v>
      </c>
      <c r="D186" s="2">
        <v>2024</v>
      </c>
      <c r="E186" s="2">
        <v>0.39907999999999999</v>
      </c>
      <c r="F186" s="2">
        <v>8.6459999999999992E-3</v>
      </c>
      <c r="G186" s="2">
        <v>0.38212636</v>
      </c>
      <c r="H186" s="2">
        <v>0.41603285000000001</v>
      </c>
      <c r="J186" t="str">
        <f t="shared" si="6"/>
        <v>0.40 (0.38 to 0.42)</v>
      </c>
    </row>
    <row r="187" spans="1:15" x14ac:dyDescent="0.3">
      <c r="A187" s="6"/>
      <c r="B187" s="3">
        <v>2</v>
      </c>
      <c r="C187" s="14" t="s">
        <v>116</v>
      </c>
      <c r="D187" s="2">
        <v>2392</v>
      </c>
      <c r="E187" s="2">
        <v>0.169931</v>
      </c>
      <c r="F187" s="2">
        <v>6.6210000000000001E-3</v>
      </c>
      <c r="G187" s="2">
        <v>0.15694716</v>
      </c>
      <c r="H187" s="2">
        <v>0.18291394</v>
      </c>
      <c r="J187" t="str">
        <f t="shared" si="6"/>
        <v>0.17 (0.16 to 0.18)</v>
      </c>
    </row>
    <row r="191" spans="1:15" x14ac:dyDescent="0.3">
      <c r="A191" s="1" t="s">
        <v>237</v>
      </c>
    </row>
    <row r="193" spans="1:6" x14ac:dyDescent="0.3">
      <c r="A193" s="1" t="s">
        <v>1</v>
      </c>
    </row>
    <row r="194" spans="1:6" ht="17.25" thickBot="1" x14ac:dyDescent="0.35"/>
    <row r="195" spans="1:6" ht="16.5" customHeight="1" x14ac:dyDescent="0.3">
      <c r="A195" s="16" t="s">
        <v>135</v>
      </c>
      <c r="B195" s="18"/>
    </row>
    <row r="196" spans="1:6" ht="26.25" thickBot="1" x14ac:dyDescent="0.35">
      <c r="A196" s="12" t="s">
        <v>136</v>
      </c>
      <c r="B196" s="2">
        <v>183</v>
      </c>
    </row>
    <row r="197" spans="1:6" ht="26.25" thickBot="1" x14ac:dyDescent="0.35">
      <c r="A197" s="12" t="s">
        <v>137</v>
      </c>
      <c r="B197" s="2">
        <v>2949</v>
      </c>
    </row>
    <row r="198" spans="1:6" ht="39" thickBot="1" x14ac:dyDescent="0.35">
      <c r="A198" s="12" t="s">
        <v>138</v>
      </c>
      <c r="B198" s="2">
        <v>23222</v>
      </c>
    </row>
    <row r="199" spans="1:6" ht="25.5" x14ac:dyDescent="0.3">
      <c r="A199" s="13" t="s">
        <v>139</v>
      </c>
      <c r="B199" s="2">
        <v>9036880.5199999996</v>
      </c>
    </row>
    <row r="200" spans="1:6" ht="17.25" thickBot="1" x14ac:dyDescent="0.35"/>
    <row r="201" spans="1:6" ht="33" customHeight="1" x14ac:dyDescent="0.3">
      <c r="A201" s="16" t="s">
        <v>140</v>
      </c>
      <c r="B201" s="18"/>
    </row>
    <row r="202" spans="1:6" ht="33.75" thickBot="1" x14ac:dyDescent="0.35">
      <c r="A202" s="12" t="s">
        <v>141</v>
      </c>
      <c r="B202" s="2" t="s">
        <v>142</v>
      </c>
    </row>
    <row r="203" spans="1:6" ht="25.5" x14ac:dyDescent="0.3">
      <c r="A203" s="13" t="s">
        <v>143</v>
      </c>
      <c r="B203" s="2" t="s">
        <v>144</v>
      </c>
    </row>
    <row r="204" spans="1:6" ht="17.25" thickBot="1" x14ac:dyDescent="0.35"/>
    <row r="205" spans="1:6" ht="16.5" customHeight="1" x14ac:dyDescent="0.3">
      <c r="A205" s="16" t="s">
        <v>238</v>
      </c>
      <c r="B205" s="18"/>
      <c r="C205" s="18"/>
      <c r="D205" s="18"/>
      <c r="E205" s="18"/>
      <c r="F205" s="18"/>
    </row>
    <row r="206" spans="1:6" ht="16.5" customHeight="1" x14ac:dyDescent="0.3">
      <c r="A206" s="17" t="s">
        <v>239</v>
      </c>
      <c r="B206" s="19" t="s">
        <v>94</v>
      </c>
      <c r="C206" s="19" t="s">
        <v>240</v>
      </c>
      <c r="D206" s="3" t="s">
        <v>241</v>
      </c>
      <c r="E206" s="19" t="s">
        <v>243</v>
      </c>
      <c r="F206" s="19"/>
    </row>
    <row r="207" spans="1:6" x14ac:dyDescent="0.3">
      <c r="A207" s="17"/>
      <c r="B207" s="19"/>
      <c r="C207" s="19"/>
      <c r="D207" s="3" t="s">
        <v>242</v>
      </c>
      <c r="E207" s="19"/>
      <c r="F207" s="19"/>
    </row>
    <row r="208" spans="1:6" x14ac:dyDescent="0.3">
      <c r="A208" s="13" t="s">
        <v>116</v>
      </c>
      <c r="B208" s="2">
        <v>23222</v>
      </c>
      <c r="C208" s="2">
        <v>0.29750300000000002</v>
      </c>
      <c r="D208" s="2">
        <v>2.7789999999999998E-3</v>
      </c>
      <c r="E208" s="2">
        <v>0.29205375</v>
      </c>
      <c r="F208" s="2">
        <v>0.30295137999999999</v>
      </c>
    </row>
    <row r="212" spans="1:8" x14ac:dyDescent="0.3">
      <c r="A212" s="1" t="s">
        <v>237</v>
      </c>
    </row>
    <row r="214" spans="1:8" x14ac:dyDescent="0.3">
      <c r="A214" s="1" t="s">
        <v>1</v>
      </c>
    </row>
    <row r="215" spans="1:8" ht="17.25" thickBot="1" x14ac:dyDescent="0.35"/>
    <row r="216" spans="1:8" ht="16.5" customHeight="1" x14ac:dyDescent="0.3">
      <c r="A216" s="16" t="s">
        <v>252</v>
      </c>
      <c r="B216" s="18"/>
      <c r="C216" s="18"/>
      <c r="D216" s="18"/>
      <c r="E216" s="18"/>
      <c r="F216" s="18"/>
      <c r="G216" s="18"/>
      <c r="H216" s="18"/>
    </row>
    <row r="217" spans="1:8" ht="16.5" customHeight="1" x14ac:dyDescent="0.3">
      <c r="A217" s="17" t="s">
        <v>249</v>
      </c>
      <c r="B217" s="19" t="s">
        <v>7</v>
      </c>
      <c r="C217" s="19" t="s">
        <v>239</v>
      </c>
      <c r="D217" s="19" t="s">
        <v>94</v>
      </c>
      <c r="E217" s="19" t="s">
        <v>240</v>
      </c>
      <c r="F217" s="3" t="s">
        <v>241</v>
      </c>
      <c r="G217" s="19" t="s">
        <v>243</v>
      </c>
      <c r="H217" s="19"/>
    </row>
    <row r="218" spans="1:8" x14ac:dyDescent="0.3">
      <c r="A218" s="17"/>
      <c r="B218" s="19"/>
      <c r="C218" s="19"/>
      <c r="D218" s="19"/>
      <c r="E218" s="19"/>
      <c r="F218" s="3" t="s">
        <v>242</v>
      </c>
      <c r="G218" s="19"/>
      <c r="H218" s="19"/>
    </row>
    <row r="219" spans="1:8" ht="17.25" thickBot="1" x14ac:dyDescent="0.35">
      <c r="A219" s="6">
        <v>1</v>
      </c>
      <c r="B219" s="3">
        <v>1</v>
      </c>
      <c r="C219" s="11" t="s">
        <v>116</v>
      </c>
      <c r="D219" s="2">
        <v>2642</v>
      </c>
      <c r="E219" s="2">
        <v>0.346109</v>
      </c>
      <c r="F219" s="2">
        <v>8.3639999999999999E-3</v>
      </c>
      <c r="G219" s="2">
        <v>0.32970884</v>
      </c>
      <c r="H219" s="2">
        <v>0.36250913000000001</v>
      </c>
    </row>
    <row r="220" spans="1:8" ht="17.25" thickBot="1" x14ac:dyDescent="0.35">
      <c r="A220" s="6"/>
      <c r="B220" s="3">
        <v>2</v>
      </c>
      <c r="C220" s="11" t="s">
        <v>116</v>
      </c>
      <c r="D220" s="2">
        <v>1098</v>
      </c>
      <c r="E220" s="2">
        <v>0.37201800000000002</v>
      </c>
      <c r="F220" s="2">
        <v>1.3443E-2</v>
      </c>
      <c r="G220" s="2">
        <v>0.34565896000000002</v>
      </c>
      <c r="H220" s="2">
        <v>0.39837773999999998</v>
      </c>
    </row>
    <row r="221" spans="1:8" ht="17.25" thickBot="1" x14ac:dyDescent="0.35">
      <c r="A221" s="6">
        <v>2</v>
      </c>
      <c r="B221" s="3">
        <v>1</v>
      </c>
      <c r="C221" s="11" t="s">
        <v>116</v>
      </c>
      <c r="D221" s="2">
        <v>3727</v>
      </c>
      <c r="E221" s="2">
        <v>0.27249000000000001</v>
      </c>
      <c r="F221" s="2">
        <v>6.6299999999999996E-3</v>
      </c>
      <c r="G221" s="2">
        <v>0.25948895999999999</v>
      </c>
      <c r="H221" s="2">
        <v>0.28549131999999999</v>
      </c>
    </row>
    <row r="222" spans="1:8" ht="17.25" thickBot="1" x14ac:dyDescent="0.35">
      <c r="A222" s="6"/>
      <c r="B222" s="3">
        <v>2</v>
      </c>
      <c r="C222" s="11" t="s">
        <v>116</v>
      </c>
      <c r="D222" s="2">
        <v>1005</v>
      </c>
      <c r="E222" s="2">
        <v>0.29333399999999998</v>
      </c>
      <c r="F222" s="2">
        <v>1.4173E-2</v>
      </c>
      <c r="G222" s="2">
        <v>0.26554346000000001</v>
      </c>
      <c r="H222" s="2">
        <v>0.32112467</v>
      </c>
    </row>
    <row r="223" spans="1:8" ht="17.25" thickBot="1" x14ac:dyDescent="0.35">
      <c r="A223" s="6">
        <v>3</v>
      </c>
      <c r="B223" s="3">
        <v>1</v>
      </c>
      <c r="C223" s="11" t="s">
        <v>116</v>
      </c>
      <c r="D223" s="2">
        <v>3330</v>
      </c>
      <c r="E223" s="2">
        <v>0.289076</v>
      </c>
      <c r="F223" s="2">
        <v>7.1929999999999997E-3</v>
      </c>
      <c r="G223" s="2">
        <v>0.27497223999999998</v>
      </c>
      <c r="H223" s="2">
        <v>0.30318044999999999</v>
      </c>
    </row>
    <row r="224" spans="1:8" ht="17.25" thickBot="1" x14ac:dyDescent="0.35">
      <c r="A224" s="6"/>
      <c r="B224" s="3">
        <v>2</v>
      </c>
      <c r="C224" s="11" t="s">
        <v>116</v>
      </c>
      <c r="D224" s="2">
        <v>927</v>
      </c>
      <c r="E224" s="2">
        <v>0.327019</v>
      </c>
      <c r="F224" s="2">
        <v>1.5029000000000001E-2</v>
      </c>
      <c r="G224" s="2">
        <v>0.29754964</v>
      </c>
      <c r="H224" s="2">
        <v>0.35648777999999998</v>
      </c>
    </row>
    <row r="225" spans="1:8" ht="17.25" thickBot="1" x14ac:dyDescent="0.35">
      <c r="A225" s="6">
        <v>4</v>
      </c>
      <c r="B225" s="3">
        <v>1</v>
      </c>
      <c r="C225" s="11" t="s">
        <v>116</v>
      </c>
      <c r="D225" s="2">
        <v>3631</v>
      </c>
      <c r="E225" s="2">
        <v>0.29575299999999999</v>
      </c>
      <c r="F225" s="2">
        <v>7.1089999999999999E-3</v>
      </c>
      <c r="G225" s="2">
        <v>0.28181439000000003</v>
      </c>
      <c r="H225" s="2">
        <v>0.30969229999999998</v>
      </c>
    </row>
    <row r="226" spans="1:8" ht="17.25" thickBot="1" x14ac:dyDescent="0.35">
      <c r="A226" s="6"/>
      <c r="B226" s="3">
        <v>2</v>
      </c>
      <c r="C226" s="11" t="s">
        <v>116</v>
      </c>
      <c r="D226" s="2">
        <v>925</v>
      </c>
      <c r="E226" s="2">
        <v>0.35445199999999999</v>
      </c>
      <c r="F226" s="2">
        <v>1.2723999999999999E-2</v>
      </c>
      <c r="G226" s="2">
        <v>0.32950186999999997</v>
      </c>
      <c r="H226" s="2">
        <v>0.37940251000000003</v>
      </c>
    </row>
    <row r="227" spans="1:8" ht="17.25" thickBot="1" x14ac:dyDescent="0.35">
      <c r="A227" s="6">
        <v>5</v>
      </c>
      <c r="B227" s="3">
        <v>1</v>
      </c>
      <c r="C227" s="11" t="s">
        <v>116</v>
      </c>
      <c r="D227" s="2">
        <v>3388</v>
      </c>
      <c r="E227" s="2">
        <v>0.28537499999999999</v>
      </c>
      <c r="F227" s="2">
        <v>7.2430000000000003E-3</v>
      </c>
      <c r="G227" s="2">
        <v>0.27117324999999998</v>
      </c>
      <c r="H227" s="2">
        <v>0.29957634999999999</v>
      </c>
    </row>
    <row r="228" spans="1:8" ht="17.25" thickBot="1" x14ac:dyDescent="0.35">
      <c r="A228" s="6"/>
      <c r="B228" s="3">
        <v>2</v>
      </c>
      <c r="C228" s="11" t="s">
        <v>116</v>
      </c>
      <c r="D228" s="2">
        <v>1113</v>
      </c>
      <c r="E228" s="2">
        <v>0.32183099999999998</v>
      </c>
      <c r="F228" s="2">
        <v>1.4814000000000001E-2</v>
      </c>
      <c r="G228" s="2">
        <v>0.29278335999999999</v>
      </c>
      <c r="H228" s="2">
        <v>0.35087863000000002</v>
      </c>
    </row>
    <row r="229" spans="1:8" ht="17.25" thickBot="1" x14ac:dyDescent="0.35">
      <c r="A229" s="6">
        <v>6</v>
      </c>
      <c r="B229" s="3">
        <v>1</v>
      </c>
      <c r="C229" s="11" t="s">
        <v>116</v>
      </c>
      <c r="D229" s="2">
        <v>1051</v>
      </c>
      <c r="E229" s="2">
        <v>0.23156399999999999</v>
      </c>
      <c r="F229" s="2">
        <v>9.3449999999999991E-3</v>
      </c>
      <c r="G229" s="2">
        <v>0.21324008999999999</v>
      </c>
      <c r="H229" s="2">
        <v>0.24988774999999999</v>
      </c>
    </row>
    <row r="230" spans="1:8" x14ac:dyDescent="0.3">
      <c r="A230" s="6"/>
      <c r="B230" s="3">
        <v>2</v>
      </c>
      <c r="C230" s="14" t="s">
        <v>116</v>
      </c>
      <c r="D230" s="2">
        <v>385</v>
      </c>
      <c r="E230" s="2">
        <v>0.30197200000000002</v>
      </c>
      <c r="F230" s="2">
        <v>2.7217000000000002E-2</v>
      </c>
      <c r="G230" s="2">
        <v>0.24860392000000001</v>
      </c>
      <c r="H230" s="2">
        <v>0.35534062</v>
      </c>
    </row>
    <row r="234" spans="1:8" x14ac:dyDescent="0.3">
      <c r="A234" s="1" t="s">
        <v>237</v>
      </c>
    </row>
    <row r="236" spans="1:8" x14ac:dyDescent="0.3">
      <c r="A236" s="1" t="s">
        <v>21</v>
      </c>
    </row>
    <row r="237" spans="1:8" ht="17.25" thickBot="1" x14ac:dyDescent="0.35"/>
    <row r="238" spans="1:8" ht="16.5" customHeight="1" x14ac:dyDescent="0.3">
      <c r="A238" s="16" t="s">
        <v>135</v>
      </c>
      <c r="B238" s="18"/>
    </row>
    <row r="239" spans="1:8" ht="26.25" thickBot="1" x14ac:dyDescent="0.35">
      <c r="A239" s="12" t="s">
        <v>136</v>
      </c>
      <c r="B239" s="2">
        <v>183</v>
      </c>
    </row>
    <row r="240" spans="1:8" ht="26.25" thickBot="1" x14ac:dyDescent="0.35">
      <c r="A240" s="12" t="s">
        <v>137</v>
      </c>
      <c r="B240" s="2">
        <v>2982</v>
      </c>
    </row>
    <row r="241" spans="1:6" ht="39" thickBot="1" x14ac:dyDescent="0.35">
      <c r="A241" s="12" t="s">
        <v>138</v>
      </c>
      <c r="B241" s="2">
        <v>68635</v>
      </c>
    </row>
    <row r="242" spans="1:6" ht="25.5" x14ac:dyDescent="0.3">
      <c r="A242" s="13" t="s">
        <v>139</v>
      </c>
      <c r="B242" s="2">
        <v>30251935.699999999</v>
      </c>
    </row>
    <row r="243" spans="1:6" ht="17.25" thickBot="1" x14ac:dyDescent="0.35"/>
    <row r="244" spans="1:6" ht="33" customHeight="1" x14ac:dyDescent="0.3">
      <c r="A244" s="16" t="s">
        <v>140</v>
      </c>
      <c r="B244" s="18"/>
    </row>
    <row r="245" spans="1:6" ht="33.75" thickBot="1" x14ac:dyDescent="0.35">
      <c r="A245" s="12" t="s">
        <v>141</v>
      </c>
      <c r="B245" s="2" t="s">
        <v>142</v>
      </c>
    </row>
    <row r="246" spans="1:6" ht="25.5" x14ac:dyDescent="0.3">
      <c r="A246" s="13" t="s">
        <v>143</v>
      </c>
      <c r="B246" s="2" t="s">
        <v>144</v>
      </c>
    </row>
    <row r="247" spans="1:6" ht="17.25" thickBot="1" x14ac:dyDescent="0.35"/>
    <row r="248" spans="1:6" ht="16.5" customHeight="1" x14ac:dyDescent="0.3">
      <c r="A248" s="16" t="s">
        <v>238</v>
      </c>
      <c r="B248" s="18"/>
      <c r="C248" s="18"/>
      <c r="D248" s="18"/>
      <c r="E248" s="18"/>
      <c r="F248" s="18"/>
    </row>
    <row r="249" spans="1:6" ht="16.5" customHeight="1" x14ac:dyDescent="0.3">
      <c r="A249" s="17" t="s">
        <v>239</v>
      </c>
      <c r="B249" s="19" t="s">
        <v>94</v>
      </c>
      <c r="C249" s="19" t="s">
        <v>240</v>
      </c>
      <c r="D249" s="3" t="s">
        <v>241</v>
      </c>
      <c r="E249" s="19" t="s">
        <v>243</v>
      </c>
      <c r="F249" s="19"/>
    </row>
    <row r="250" spans="1:6" x14ac:dyDescent="0.3">
      <c r="A250" s="17"/>
      <c r="B250" s="19"/>
      <c r="C250" s="19"/>
      <c r="D250" s="3" t="s">
        <v>242</v>
      </c>
      <c r="E250" s="19"/>
      <c r="F250" s="19"/>
    </row>
    <row r="251" spans="1:6" x14ac:dyDescent="0.3">
      <c r="A251" s="13" t="s">
        <v>116</v>
      </c>
      <c r="B251" s="2">
        <v>68635</v>
      </c>
      <c r="C251" s="2">
        <v>0.34523599999999999</v>
      </c>
      <c r="D251" s="2">
        <v>1.6490000000000001E-3</v>
      </c>
      <c r="E251" s="2">
        <v>0.34200205</v>
      </c>
      <c r="F251" s="2">
        <v>0.34847033999999999</v>
      </c>
    </row>
    <row r="255" spans="1:6" x14ac:dyDescent="0.3">
      <c r="A255" s="1" t="s">
        <v>237</v>
      </c>
    </row>
    <row r="257" spans="1:15" x14ac:dyDescent="0.3">
      <c r="A257" s="1" t="s">
        <v>21</v>
      </c>
    </row>
    <row r="258" spans="1:15" ht="17.25" thickBot="1" x14ac:dyDescent="0.35"/>
    <row r="259" spans="1:15" ht="16.5" customHeight="1" x14ac:dyDescent="0.3">
      <c r="A259" s="16" t="s">
        <v>252</v>
      </c>
      <c r="B259" s="18"/>
      <c r="C259" s="18"/>
      <c r="D259" s="18"/>
      <c r="E259" s="18"/>
      <c r="F259" s="18"/>
      <c r="G259" s="18"/>
      <c r="H259" s="18"/>
    </row>
    <row r="260" spans="1:15" ht="16.5" customHeight="1" x14ac:dyDescent="0.3">
      <c r="A260" s="17" t="s">
        <v>249</v>
      </c>
      <c r="B260" s="19" t="s">
        <v>7</v>
      </c>
      <c r="C260" s="19" t="s">
        <v>239</v>
      </c>
      <c r="D260" s="19" t="s">
        <v>94</v>
      </c>
      <c r="E260" s="19" t="s">
        <v>240</v>
      </c>
      <c r="F260" s="3" t="s">
        <v>241</v>
      </c>
      <c r="G260" s="19" t="s">
        <v>243</v>
      </c>
      <c r="H260" s="19"/>
    </row>
    <row r="261" spans="1:15" x14ac:dyDescent="0.3">
      <c r="A261" s="17"/>
      <c r="B261" s="19"/>
      <c r="C261" s="19"/>
      <c r="D261" s="19"/>
      <c r="E261" s="19"/>
      <c r="F261" s="3" t="s">
        <v>242</v>
      </c>
      <c r="G261" s="19"/>
      <c r="H261" s="19"/>
    </row>
    <row r="262" spans="1:15" ht="17.25" thickBot="1" x14ac:dyDescent="0.35">
      <c r="A262" s="6">
        <v>1</v>
      </c>
      <c r="B262" s="3">
        <v>1</v>
      </c>
      <c r="C262" s="11" t="s">
        <v>116</v>
      </c>
      <c r="D262" s="2">
        <v>8842</v>
      </c>
      <c r="E262" s="2">
        <v>0.35994900000000002</v>
      </c>
      <c r="F262" s="2">
        <v>4.2820000000000002E-3</v>
      </c>
      <c r="G262" s="2">
        <v>0.35155366999999998</v>
      </c>
      <c r="H262" s="2">
        <v>0.36834528999999999</v>
      </c>
      <c r="J262" t="str">
        <f t="shared" ref="J262:J273" si="7">TEXT(E262,"0.00")&amp;" ("&amp;TEXT(G262,"0.00")&amp;" to "&amp;TEXT(H262,"0.00")&amp;")"</f>
        <v>0.36 (0.35 to 0.37)</v>
      </c>
      <c r="K262" t="str">
        <f>J264</f>
        <v>0.35 (0.34 to 0.36)</v>
      </c>
      <c r="L262" t="str">
        <f>J266</f>
        <v>0.34 (0.33 to 0.35)</v>
      </c>
      <c r="M262" t="str">
        <f>J268</f>
        <v>0.35 (0.34 to 0.36)</v>
      </c>
      <c r="N262" t="str">
        <f>J270</f>
        <v>0.32 (0.31 to 0.33)</v>
      </c>
      <c r="O262" t="str">
        <f>J272</f>
        <v>0.29 (0.27 to 0.30)</v>
      </c>
    </row>
    <row r="263" spans="1:15" ht="17.25" thickBot="1" x14ac:dyDescent="0.35">
      <c r="A263" s="6"/>
      <c r="B263" s="3">
        <v>2</v>
      </c>
      <c r="C263" s="11" t="s">
        <v>116</v>
      </c>
      <c r="D263" s="2">
        <v>3073</v>
      </c>
      <c r="E263" s="2">
        <v>0.40389999999999998</v>
      </c>
      <c r="F263" s="2">
        <v>8.175E-3</v>
      </c>
      <c r="G263" s="2">
        <v>0.38787000999999999</v>
      </c>
      <c r="H263" s="2">
        <v>0.41992901999999999</v>
      </c>
      <c r="J263" t="str">
        <f t="shared" si="7"/>
        <v>0.40 (0.39 to 0.42)</v>
      </c>
      <c r="K263" t="str">
        <f>J265</f>
        <v>0.39 (0.37 to 0.40)</v>
      </c>
      <c r="L263" t="str">
        <f>J267</f>
        <v>0.40 (0.38 to 0.42)</v>
      </c>
      <c r="M263" t="str">
        <f>J269</f>
        <v>0.38 (0.36 to 0.40)</v>
      </c>
      <c r="N263" t="str">
        <f>J271</f>
        <v>0.36 (0.34 to 0.38)</v>
      </c>
      <c r="O263" t="str">
        <f>J273</f>
        <v>0.32 (0.29 to 0.36)</v>
      </c>
    </row>
    <row r="264" spans="1:15" ht="17.25" thickBot="1" x14ac:dyDescent="0.35">
      <c r="A264" s="6">
        <v>2</v>
      </c>
      <c r="B264" s="3">
        <v>1</v>
      </c>
      <c r="C264" s="11" t="s">
        <v>116</v>
      </c>
      <c r="D264" s="2">
        <v>10502</v>
      </c>
      <c r="E264" s="2">
        <v>0.349304</v>
      </c>
      <c r="F264" s="2">
        <v>4.1609999999999998E-3</v>
      </c>
      <c r="G264" s="2">
        <v>0.34114525000000001</v>
      </c>
      <c r="H264" s="2">
        <v>0.35746366000000002</v>
      </c>
      <c r="J264" t="str">
        <f t="shared" si="7"/>
        <v>0.35 (0.34 to 0.36)</v>
      </c>
    </row>
    <row r="265" spans="1:15" ht="17.25" thickBot="1" x14ac:dyDescent="0.35">
      <c r="A265" s="6"/>
      <c r="B265" s="3">
        <v>2</v>
      </c>
      <c r="C265" s="11" t="s">
        <v>116</v>
      </c>
      <c r="D265" s="2">
        <v>2614</v>
      </c>
      <c r="E265" s="2">
        <v>0.38755000000000001</v>
      </c>
      <c r="F265" s="2">
        <v>8.7580000000000002E-3</v>
      </c>
      <c r="G265" s="2">
        <v>0.37037682</v>
      </c>
      <c r="H265" s="2">
        <v>0.40472412000000002</v>
      </c>
      <c r="J265" t="str">
        <f t="shared" si="7"/>
        <v>0.39 (0.37 to 0.40)</v>
      </c>
    </row>
    <row r="266" spans="1:15" ht="17.25" thickBot="1" x14ac:dyDescent="0.35">
      <c r="A266" s="6">
        <v>3</v>
      </c>
      <c r="B266" s="3">
        <v>1</v>
      </c>
      <c r="C266" s="11" t="s">
        <v>116</v>
      </c>
      <c r="D266" s="2">
        <v>9470</v>
      </c>
      <c r="E266" s="2">
        <v>0.33817900000000001</v>
      </c>
      <c r="F266" s="2">
        <v>4.0829999999999998E-3</v>
      </c>
      <c r="G266" s="2">
        <v>0.33017397999999998</v>
      </c>
      <c r="H266" s="2">
        <v>0.34618486999999998</v>
      </c>
      <c r="J266" t="str">
        <f t="shared" si="7"/>
        <v>0.34 (0.33 to 0.35)</v>
      </c>
    </row>
    <row r="267" spans="1:15" ht="17.25" thickBot="1" x14ac:dyDescent="0.35">
      <c r="A267" s="6"/>
      <c r="B267" s="3">
        <v>2</v>
      </c>
      <c r="C267" s="11" t="s">
        <v>116</v>
      </c>
      <c r="D267" s="2">
        <v>2005</v>
      </c>
      <c r="E267" s="2">
        <v>0.40228900000000001</v>
      </c>
      <c r="F267" s="2">
        <v>1.0163E-2</v>
      </c>
      <c r="G267" s="2">
        <v>0.38236079000000001</v>
      </c>
      <c r="H267" s="2">
        <v>0.42221652999999998</v>
      </c>
      <c r="J267" t="str">
        <f t="shared" si="7"/>
        <v>0.40 (0.38 to 0.42)</v>
      </c>
    </row>
    <row r="268" spans="1:15" ht="17.25" thickBot="1" x14ac:dyDescent="0.35">
      <c r="A268" s="6">
        <v>4</v>
      </c>
      <c r="B268" s="3">
        <v>1</v>
      </c>
      <c r="C268" s="11" t="s">
        <v>116</v>
      </c>
      <c r="D268" s="2">
        <v>11734</v>
      </c>
      <c r="E268" s="2">
        <v>0.348825</v>
      </c>
      <c r="F268" s="2">
        <v>4.0140000000000002E-3</v>
      </c>
      <c r="G268" s="2">
        <v>0.34095425000000001</v>
      </c>
      <c r="H268" s="2">
        <v>0.35669515000000002</v>
      </c>
      <c r="J268" t="str">
        <f t="shared" si="7"/>
        <v>0.35 (0.34 to 0.36)</v>
      </c>
    </row>
    <row r="269" spans="1:15" ht="17.25" thickBot="1" x14ac:dyDescent="0.35">
      <c r="A269" s="6"/>
      <c r="B269" s="3">
        <v>2</v>
      </c>
      <c r="C269" s="11" t="s">
        <v>116</v>
      </c>
      <c r="D269" s="2">
        <v>2424</v>
      </c>
      <c r="E269" s="2">
        <v>0.37915500000000002</v>
      </c>
      <c r="F269" s="2">
        <v>1.0219000000000001E-2</v>
      </c>
      <c r="G269" s="2">
        <v>0.35911684999999999</v>
      </c>
      <c r="H269" s="2">
        <v>0.39919342000000002</v>
      </c>
      <c r="J269" t="str">
        <f t="shared" si="7"/>
        <v>0.38 (0.36 to 0.40)</v>
      </c>
    </row>
    <row r="270" spans="1:15" ht="17.25" thickBot="1" x14ac:dyDescent="0.35">
      <c r="A270" s="6">
        <v>5</v>
      </c>
      <c r="B270" s="3">
        <v>1</v>
      </c>
      <c r="C270" s="11" t="s">
        <v>116</v>
      </c>
      <c r="D270" s="2">
        <v>10990</v>
      </c>
      <c r="E270" s="2">
        <v>0.32322299999999998</v>
      </c>
      <c r="F270" s="2">
        <v>4.2059999999999997E-3</v>
      </c>
      <c r="G270" s="2">
        <v>0.31497518000000002</v>
      </c>
      <c r="H270" s="2">
        <v>0.33147103</v>
      </c>
      <c r="J270" t="str">
        <f t="shared" si="7"/>
        <v>0.32 (0.31 to 0.33)</v>
      </c>
    </row>
    <row r="271" spans="1:15" ht="17.25" thickBot="1" x14ac:dyDescent="0.35">
      <c r="A271" s="6"/>
      <c r="B271" s="3">
        <v>2</v>
      </c>
      <c r="C271" s="11" t="s">
        <v>116</v>
      </c>
      <c r="D271" s="2">
        <v>2565</v>
      </c>
      <c r="E271" s="2">
        <v>0.35796899999999998</v>
      </c>
      <c r="F271" s="2">
        <v>8.7790000000000003E-3</v>
      </c>
      <c r="G271" s="2">
        <v>0.34075577000000001</v>
      </c>
      <c r="H271" s="2">
        <v>0.37518265000000001</v>
      </c>
      <c r="J271" t="str">
        <f t="shared" si="7"/>
        <v>0.36 (0.34 to 0.38)</v>
      </c>
    </row>
    <row r="272" spans="1:15" ht="17.25" thickBot="1" x14ac:dyDescent="0.35">
      <c r="A272" s="6">
        <v>6</v>
      </c>
      <c r="B272" s="3">
        <v>1</v>
      </c>
      <c r="C272" s="11" t="s">
        <v>116</v>
      </c>
      <c r="D272" s="2">
        <v>3638</v>
      </c>
      <c r="E272" s="2">
        <v>0.285275</v>
      </c>
      <c r="F272" s="2">
        <v>6.7400000000000003E-3</v>
      </c>
      <c r="G272" s="2">
        <v>0.27206016</v>
      </c>
      <c r="H272" s="2">
        <v>0.29849000999999997</v>
      </c>
      <c r="J272" t="str">
        <f t="shared" si="7"/>
        <v>0.29 (0.27 to 0.30)</v>
      </c>
    </row>
    <row r="273" spans="1:10" x14ac:dyDescent="0.3">
      <c r="A273" s="6"/>
      <c r="B273" s="3">
        <v>2</v>
      </c>
      <c r="C273" s="14" t="s">
        <v>116</v>
      </c>
      <c r="D273" s="2">
        <v>778</v>
      </c>
      <c r="E273" s="2">
        <v>0.32258599999999998</v>
      </c>
      <c r="F273" s="2">
        <v>1.7042000000000002E-2</v>
      </c>
      <c r="G273" s="2">
        <v>0.28917067000000002</v>
      </c>
      <c r="H273" s="2">
        <v>0.35600106999999998</v>
      </c>
      <c r="J273" t="str">
        <f t="shared" si="7"/>
        <v>0.32 (0.29 to 0.36)</v>
      </c>
    </row>
    <row r="277" spans="1:10" x14ac:dyDescent="0.3">
      <c r="A277" s="1" t="s">
        <v>237</v>
      </c>
    </row>
    <row r="279" spans="1:10" x14ac:dyDescent="0.3">
      <c r="A279" s="1" t="s">
        <v>1</v>
      </c>
    </row>
    <row r="280" spans="1:10" ht="17.25" thickBot="1" x14ac:dyDescent="0.35"/>
    <row r="281" spans="1:10" ht="16.5" customHeight="1" x14ac:dyDescent="0.3">
      <c r="A281" s="16" t="s">
        <v>135</v>
      </c>
      <c r="B281" s="18"/>
    </row>
    <row r="282" spans="1:10" ht="26.25" thickBot="1" x14ac:dyDescent="0.35">
      <c r="A282" s="12" t="s">
        <v>136</v>
      </c>
      <c r="B282" s="2">
        <v>183</v>
      </c>
    </row>
    <row r="283" spans="1:10" ht="26.25" thickBot="1" x14ac:dyDescent="0.35">
      <c r="A283" s="12" t="s">
        <v>137</v>
      </c>
      <c r="B283" s="2">
        <v>2949</v>
      </c>
    </row>
    <row r="284" spans="1:10" ht="39" thickBot="1" x14ac:dyDescent="0.35">
      <c r="A284" s="12" t="s">
        <v>138</v>
      </c>
      <c r="B284" s="2">
        <v>23222</v>
      </c>
    </row>
    <row r="285" spans="1:10" ht="25.5" x14ac:dyDescent="0.3">
      <c r="A285" s="13" t="s">
        <v>139</v>
      </c>
      <c r="B285" s="2">
        <v>9036880.5199999996</v>
      </c>
    </row>
    <row r="286" spans="1:10" ht="17.25" thickBot="1" x14ac:dyDescent="0.35"/>
    <row r="287" spans="1:10" ht="33" customHeight="1" x14ac:dyDescent="0.3">
      <c r="A287" s="16" t="s">
        <v>140</v>
      </c>
      <c r="B287" s="18"/>
    </row>
    <row r="288" spans="1:10" ht="33.75" thickBot="1" x14ac:dyDescent="0.35">
      <c r="A288" s="12" t="s">
        <v>141</v>
      </c>
      <c r="B288" s="2" t="s">
        <v>142</v>
      </c>
    </row>
    <row r="289" spans="1:8" ht="25.5" x14ac:dyDescent="0.3">
      <c r="A289" s="13" t="s">
        <v>143</v>
      </c>
      <c r="B289" s="2" t="s">
        <v>144</v>
      </c>
    </row>
    <row r="290" spans="1:8" ht="17.25" thickBot="1" x14ac:dyDescent="0.35"/>
    <row r="291" spans="1:8" ht="16.5" customHeight="1" x14ac:dyDescent="0.3">
      <c r="A291" s="16" t="s">
        <v>238</v>
      </c>
      <c r="B291" s="18"/>
      <c r="C291" s="18"/>
      <c r="D291" s="18"/>
      <c r="E291" s="18"/>
      <c r="F291" s="18"/>
    </row>
    <row r="292" spans="1:8" ht="16.5" customHeight="1" x14ac:dyDescent="0.3">
      <c r="A292" s="17" t="s">
        <v>239</v>
      </c>
      <c r="B292" s="19" t="s">
        <v>94</v>
      </c>
      <c r="C292" s="19" t="s">
        <v>240</v>
      </c>
      <c r="D292" s="3" t="s">
        <v>241</v>
      </c>
      <c r="E292" s="19" t="s">
        <v>243</v>
      </c>
      <c r="F292" s="19"/>
    </row>
    <row r="293" spans="1:8" x14ac:dyDescent="0.3">
      <c r="A293" s="17"/>
      <c r="B293" s="19"/>
      <c r="C293" s="19"/>
      <c r="D293" s="3" t="s">
        <v>242</v>
      </c>
      <c r="E293" s="19"/>
      <c r="F293" s="19"/>
    </row>
    <row r="294" spans="1:8" x14ac:dyDescent="0.3">
      <c r="A294" s="13" t="s">
        <v>116</v>
      </c>
      <c r="B294" s="2">
        <v>23222</v>
      </c>
      <c r="C294" s="2">
        <v>0.29750300000000002</v>
      </c>
      <c r="D294" s="2">
        <v>2.7789999999999998E-3</v>
      </c>
      <c r="E294" s="2">
        <v>0.29205375</v>
      </c>
      <c r="F294" s="2">
        <v>0.30295137999999999</v>
      </c>
    </row>
    <row r="298" spans="1:8" x14ac:dyDescent="0.3">
      <c r="A298" s="1" t="s">
        <v>237</v>
      </c>
    </row>
    <row r="300" spans="1:8" x14ac:dyDescent="0.3">
      <c r="A300" s="1" t="s">
        <v>1</v>
      </c>
    </row>
    <row r="301" spans="1:8" ht="17.25" thickBot="1" x14ac:dyDescent="0.35"/>
    <row r="302" spans="1:8" ht="16.5" customHeight="1" x14ac:dyDescent="0.3">
      <c r="A302" s="16" t="s">
        <v>253</v>
      </c>
      <c r="B302" s="18"/>
      <c r="C302" s="18"/>
      <c r="D302" s="18"/>
      <c r="E302" s="18"/>
      <c r="F302" s="18"/>
      <c r="G302" s="18"/>
      <c r="H302" s="18"/>
    </row>
    <row r="303" spans="1:8" ht="16.5" customHeight="1" x14ac:dyDescent="0.3">
      <c r="A303" s="17" t="s">
        <v>249</v>
      </c>
      <c r="B303" s="19" t="s">
        <v>8</v>
      </c>
      <c r="C303" s="19" t="s">
        <v>239</v>
      </c>
      <c r="D303" s="19" t="s">
        <v>94</v>
      </c>
      <c r="E303" s="19" t="s">
        <v>240</v>
      </c>
      <c r="F303" s="3" t="s">
        <v>241</v>
      </c>
      <c r="G303" s="19" t="s">
        <v>243</v>
      </c>
      <c r="H303" s="19"/>
    </row>
    <row r="304" spans="1:8" x14ac:dyDescent="0.3">
      <c r="A304" s="17"/>
      <c r="B304" s="19"/>
      <c r="C304" s="19"/>
      <c r="D304" s="19"/>
      <c r="E304" s="19"/>
      <c r="F304" s="3" t="s">
        <v>242</v>
      </c>
      <c r="G304" s="19"/>
      <c r="H304" s="19"/>
    </row>
    <row r="305" spans="1:8" ht="17.25" thickBot="1" x14ac:dyDescent="0.35">
      <c r="A305" s="6">
        <v>1</v>
      </c>
      <c r="B305" s="3">
        <v>1</v>
      </c>
      <c r="C305" s="11" t="s">
        <v>116</v>
      </c>
      <c r="D305" s="2">
        <v>463</v>
      </c>
      <c r="E305" s="2">
        <v>0.48598200000000003</v>
      </c>
      <c r="F305" s="2">
        <v>1.5209E-2</v>
      </c>
      <c r="G305" s="2">
        <v>0.45615858999999997</v>
      </c>
      <c r="H305" s="2">
        <v>0.5158045</v>
      </c>
    </row>
    <row r="306" spans="1:8" ht="17.25" thickBot="1" x14ac:dyDescent="0.35">
      <c r="A306" s="6"/>
      <c r="B306" s="3">
        <v>2</v>
      </c>
      <c r="C306" s="11" t="s">
        <v>116</v>
      </c>
      <c r="D306" s="2">
        <v>920</v>
      </c>
      <c r="E306" s="2">
        <v>0.43211100000000002</v>
      </c>
      <c r="F306" s="2">
        <v>1.2460000000000001E-2</v>
      </c>
      <c r="G306" s="2">
        <v>0.40767931000000002</v>
      </c>
      <c r="H306" s="2">
        <v>0.45654268999999997</v>
      </c>
    </row>
    <row r="307" spans="1:8" ht="17.25" thickBot="1" x14ac:dyDescent="0.35">
      <c r="A307" s="6"/>
      <c r="B307" s="3">
        <v>3</v>
      </c>
      <c r="C307" s="11" t="s">
        <v>116</v>
      </c>
      <c r="D307" s="2">
        <v>688</v>
      </c>
      <c r="E307" s="2">
        <v>0.306863</v>
      </c>
      <c r="F307" s="2">
        <v>1.519E-2</v>
      </c>
      <c r="G307" s="2">
        <v>0.27707809</v>
      </c>
      <c r="H307" s="2">
        <v>0.33664732000000003</v>
      </c>
    </row>
    <row r="308" spans="1:8" ht="17.25" thickBot="1" x14ac:dyDescent="0.35">
      <c r="A308" s="6"/>
      <c r="B308" s="3">
        <v>4</v>
      </c>
      <c r="C308" s="11" t="s">
        <v>116</v>
      </c>
      <c r="D308" s="2">
        <v>1429</v>
      </c>
      <c r="E308" s="2">
        <v>0.32757500000000001</v>
      </c>
      <c r="F308" s="2">
        <v>9.3410000000000003E-3</v>
      </c>
      <c r="G308" s="2">
        <v>0.30925816</v>
      </c>
      <c r="H308" s="2">
        <v>0.34589103999999998</v>
      </c>
    </row>
    <row r="309" spans="1:8" ht="17.25" thickBot="1" x14ac:dyDescent="0.35">
      <c r="A309" s="6"/>
      <c r="B309" s="3">
        <v>8</v>
      </c>
      <c r="C309" s="11" t="s">
        <v>116</v>
      </c>
      <c r="D309" s="2">
        <v>240</v>
      </c>
      <c r="E309" s="2">
        <v>0.22286600000000001</v>
      </c>
      <c r="F309" s="2">
        <v>2.4251999999999999E-2</v>
      </c>
      <c r="G309" s="2">
        <v>0.17531316</v>
      </c>
      <c r="H309" s="2">
        <v>0.27041963000000002</v>
      </c>
    </row>
    <row r="310" spans="1:8" ht="17.25" thickBot="1" x14ac:dyDescent="0.35">
      <c r="A310" s="6">
        <v>2</v>
      </c>
      <c r="B310" s="3">
        <v>1</v>
      </c>
      <c r="C310" s="11" t="s">
        <v>116</v>
      </c>
      <c r="D310" s="2">
        <v>1280</v>
      </c>
      <c r="E310" s="2">
        <v>0.40221699999999999</v>
      </c>
      <c r="F310" s="2">
        <v>1.0800000000000001E-2</v>
      </c>
      <c r="G310" s="2">
        <v>0.38104122000000001</v>
      </c>
      <c r="H310" s="2">
        <v>0.42339317999999998</v>
      </c>
    </row>
    <row r="311" spans="1:8" ht="17.25" thickBot="1" x14ac:dyDescent="0.35">
      <c r="A311" s="6"/>
      <c r="B311" s="3">
        <v>2</v>
      </c>
      <c r="C311" s="11" t="s">
        <v>116</v>
      </c>
      <c r="D311" s="2">
        <v>1127</v>
      </c>
      <c r="E311" s="2">
        <v>0.234735</v>
      </c>
      <c r="F311" s="2">
        <v>1.1413E-2</v>
      </c>
      <c r="G311" s="2">
        <v>0.21235619999999999</v>
      </c>
      <c r="H311" s="2">
        <v>0.25711445999999999</v>
      </c>
    </row>
    <row r="312" spans="1:8" ht="17.25" thickBot="1" x14ac:dyDescent="0.35">
      <c r="A312" s="6"/>
      <c r="B312" s="3">
        <v>3</v>
      </c>
      <c r="C312" s="11" t="s">
        <v>116</v>
      </c>
      <c r="D312" s="2">
        <v>1129</v>
      </c>
      <c r="E312" s="2">
        <v>0.25286900000000001</v>
      </c>
      <c r="F312" s="2">
        <v>1.0004000000000001E-2</v>
      </c>
      <c r="G312" s="2">
        <v>0.23325267</v>
      </c>
      <c r="H312" s="2">
        <v>0.27248449000000002</v>
      </c>
    </row>
    <row r="313" spans="1:8" ht="17.25" thickBot="1" x14ac:dyDescent="0.35">
      <c r="A313" s="6"/>
      <c r="B313" s="3">
        <v>4</v>
      </c>
      <c r="C313" s="11" t="s">
        <v>116</v>
      </c>
      <c r="D313" s="2">
        <v>551</v>
      </c>
      <c r="E313" s="2">
        <v>0.30124800000000002</v>
      </c>
      <c r="F313" s="2">
        <v>1.5023E-2</v>
      </c>
      <c r="G313" s="2">
        <v>0.27179027</v>
      </c>
      <c r="H313" s="2">
        <v>0.33070569</v>
      </c>
    </row>
    <row r="314" spans="1:8" ht="17.25" thickBot="1" x14ac:dyDescent="0.35">
      <c r="A314" s="6"/>
      <c r="B314" s="3">
        <v>8</v>
      </c>
      <c r="C314" s="11" t="s">
        <v>116</v>
      </c>
      <c r="D314" s="2">
        <v>645</v>
      </c>
      <c r="E314" s="2">
        <v>0.18431600000000001</v>
      </c>
      <c r="F314" s="2">
        <v>1.3188E-2</v>
      </c>
      <c r="G314" s="2">
        <v>0.15845698</v>
      </c>
      <c r="H314" s="2">
        <v>0.21017443</v>
      </c>
    </row>
    <row r="315" spans="1:8" ht="17.25" thickBot="1" x14ac:dyDescent="0.35">
      <c r="A315" s="6">
        <v>3</v>
      </c>
      <c r="B315" s="3">
        <v>1</v>
      </c>
      <c r="C315" s="11" t="s">
        <v>116</v>
      </c>
      <c r="D315" s="2">
        <v>911</v>
      </c>
      <c r="E315" s="2">
        <v>0.38550499999999999</v>
      </c>
      <c r="F315" s="2">
        <v>1.3445E-2</v>
      </c>
      <c r="G315" s="2">
        <v>0.35914063000000002</v>
      </c>
      <c r="H315" s="2">
        <v>0.41186864000000001</v>
      </c>
    </row>
    <row r="316" spans="1:8" ht="17.25" thickBot="1" x14ac:dyDescent="0.35">
      <c r="A316" s="6"/>
      <c r="B316" s="3">
        <v>2</v>
      </c>
      <c r="C316" s="11" t="s">
        <v>116</v>
      </c>
      <c r="D316" s="2">
        <v>853</v>
      </c>
      <c r="E316" s="2">
        <v>0.24394399999999999</v>
      </c>
      <c r="F316" s="2">
        <v>1.1526E-2</v>
      </c>
      <c r="G316" s="2">
        <v>0.22134454000000001</v>
      </c>
      <c r="H316" s="2">
        <v>0.26654428000000002</v>
      </c>
    </row>
    <row r="317" spans="1:8" ht="17.25" thickBot="1" x14ac:dyDescent="0.35">
      <c r="A317" s="6"/>
      <c r="B317" s="3">
        <v>3</v>
      </c>
      <c r="C317" s="11" t="s">
        <v>116</v>
      </c>
      <c r="D317" s="2">
        <v>1008</v>
      </c>
      <c r="E317" s="2">
        <v>0.26141599999999998</v>
      </c>
      <c r="F317" s="2">
        <v>1.0541E-2</v>
      </c>
      <c r="G317" s="2">
        <v>0.24074723000000001</v>
      </c>
      <c r="H317" s="2">
        <v>0.28208520999999998</v>
      </c>
    </row>
    <row r="318" spans="1:8" ht="17.25" thickBot="1" x14ac:dyDescent="0.35">
      <c r="A318" s="6"/>
      <c r="B318" s="3">
        <v>4</v>
      </c>
      <c r="C318" s="11" t="s">
        <v>116</v>
      </c>
      <c r="D318" s="2">
        <v>467</v>
      </c>
      <c r="E318" s="2">
        <v>0.30233500000000002</v>
      </c>
      <c r="F318" s="2">
        <v>1.6181999999999998E-2</v>
      </c>
      <c r="G318" s="2">
        <v>0.27060515000000002</v>
      </c>
      <c r="H318" s="2">
        <v>0.33406524999999998</v>
      </c>
    </row>
    <row r="319" spans="1:8" ht="17.25" thickBot="1" x14ac:dyDescent="0.35">
      <c r="A319" s="6"/>
      <c r="B319" s="3">
        <v>8</v>
      </c>
      <c r="C319" s="11" t="s">
        <v>116</v>
      </c>
      <c r="D319" s="2">
        <v>1018</v>
      </c>
      <c r="E319" s="2">
        <v>0.312336</v>
      </c>
      <c r="F319" s="2">
        <v>1.3398E-2</v>
      </c>
      <c r="G319" s="2">
        <v>0.28606598</v>
      </c>
      <c r="H319" s="2">
        <v>0.33860626999999999</v>
      </c>
    </row>
    <row r="320" spans="1:8" ht="17.25" thickBot="1" x14ac:dyDescent="0.35">
      <c r="A320" s="6">
        <v>4</v>
      </c>
      <c r="B320" s="3">
        <v>1</v>
      </c>
      <c r="C320" s="11" t="s">
        <v>116</v>
      </c>
      <c r="D320" s="2">
        <v>968</v>
      </c>
      <c r="E320" s="2">
        <v>0.39154299999999997</v>
      </c>
      <c r="F320" s="2">
        <v>1.1426E-2</v>
      </c>
      <c r="G320" s="2">
        <v>0.36913745999999997</v>
      </c>
      <c r="H320" s="2">
        <v>0.41394764000000001</v>
      </c>
    </row>
    <row r="321" spans="1:8" ht="17.25" thickBot="1" x14ac:dyDescent="0.35">
      <c r="A321" s="6"/>
      <c r="B321" s="3">
        <v>2</v>
      </c>
      <c r="C321" s="11" t="s">
        <v>116</v>
      </c>
      <c r="D321" s="2">
        <v>910</v>
      </c>
      <c r="E321" s="2">
        <v>0.24826699999999999</v>
      </c>
      <c r="F321" s="2">
        <v>1.1697000000000001E-2</v>
      </c>
      <c r="G321" s="2">
        <v>0.22533054999999999</v>
      </c>
      <c r="H321" s="2">
        <v>0.27120382999999998</v>
      </c>
    </row>
    <row r="322" spans="1:8" ht="17.25" thickBot="1" x14ac:dyDescent="0.35">
      <c r="A322" s="6"/>
      <c r="B322" s="3">
        <v>3</v>
      </c>
      <c r="C322" s="11" t="s">
        <v>116</v>
      </c>
      <c r="D322" s="2">
        <v>1017</v>
      </c>
      <c r="E322" s="2">
        <v>0.26279999999999998</v>
      </c>
      <c r="F322" s="2">
        <v>1.1252E-2</v>
      </c>
      <c r="G322" s="2">
        <v>0.24073681999999999</v>
      </c>
      <c r="H322" s="2">
        <v>0.28486331999999998</v>
      </c>
    </row>
    <row r="323" spans="1:8" ht="17.25" thickBot="1" x14ac:dyDescent="0.35">
      <c r="A323" s="6"/>
      <c r="B323" s="3">
        <v>4</v>
      </c>
      <c r="C323" s="11" t="s">
        <v>116</v>
      </c>
      <c r="D323" s="2">
        <v>588</v>
      </c>
      <c r="E323" s="2">
        <v>0.32847500000000002</v>
      </c>
      <c r="F323" s="2">
        <v>1.5094E-2</v>
      </c>
      <c r="G323" s="2">
        <v>0.29887803000000002</v>
      </c>
      <c r="H323" s="2">
        <v>0.35807141999999997</v>
      </c>
    </row>
    <row r="324" spans="1:8" ht="17.25" thickBot="1" x14ac:dyDescent="0.35">
      <c r="A324" s="6"/>
      <c r="B324" s="3">
        <v>8</v>
      </c>
      <c r="C324" s="11" t="s">
        <v>116</v>
      </c>
      <c r="D324" s="2">
        <v>1073</v>
      </c>
      <c r="E324" s="2">
        <v>0.32555600000000001</v>
      </c>
      <c r="F324" s="2">
        <v>1.2135999999999999E-2</v>
      </c>
      <c r="G324" s="2">
        <v>0.30175953</v>
      </c>
      <c r="H324" s="2">
        <v>0.34935218000000001</v>
      </c>
    </row>
    <row r="325" spans="1:8" ht="17.25" thickBot="1" x14ac:dyDescent="0.35">
      <c r="A325" s="6">
        <v>5</v>
      </c>
      <c r="B325" s="3">
        <v>1</v>
      </c>
      <c r="C325" s="11" t="s">
        <v>116</v>
      </c>
      <c r="D325" s="2">
        <v>899</v>
      </c>
      <c r="E325" s="2">
        <v>0.34692699999999999</v>
      </c>
      <c r="F325" s="2">
        <v>1.2012999999999999E-2</v>
      </c>
      <c r="G325" s="2">
        <v>0.3233724</v>
      </c>
      <c r="H325" s="2">
        <v>0.37048208999999999</v>
      </c>
    </row>
    <row r="326" spans="1:8" ht="17.25" thickBot="1" x14ac:dyDescent="0.35">
      <c r="A326" s="6"/>
      <c r="B326" s="3">
        <v>2</v>
      </c>
      <c r="C326" s="11" t="s">
        <v>116</v>
      </c>
      <c r="D326" s="2">
        <v>838</v>
      </c>
      <c r="E326" s="2">
        <v>0.246369</v>
      </c>
      <c r="F326" s="2">
        <v>1.2116999999999999E-2</v>
      </c>
      <c r="G326" s="2">
        <v>0.22260964999999999</v>
      </c>
      <c r="H326" s="2">
        <v>0.27012785</v>
      </c>
    </row>
    <row r="327" spans="1:8" ht="17.25" thickBot="1" x14ac:dyDescent="0.35">
      <c r="A327" s="6"/>
      <c r="B327" s="3">
        <v>3</v>
      </c>
      <c r="C327" s="11" t="s">
        <v>116</v>
      </c>
      <c r="D327" s="2">
        <v>930</v>
      </c>
      <c r="E327" s="2">
        <v>0.263019</v>
      </c>
      <c r="F327" s="2">
        <v>1.1847999999999999E-2</v>
      </c>
      <c r="G327" s="2">
        <v>0.23978795</v>
      </c>
      <c r="H327" s="2">
        <v>0.28625012</v>
      </c>
    </row>
    <row r="328" spans="1:8" ht="17.25" thickBot="1" x14ac:dyDescent="0.35">
      <c r="A328" s="6"/>
      <c r="B328" s="3">
        <v>4</v>
      </c>
      <c r="C328" s="11" t="s">
        <v>116</v>
      </c>
      <c r="D328" s="2">
        <v>548</v>
      </c>
      <c r="E328" s="2">
        <v>0.31062899999999999</v>
      </c>
      <c r="F328" s="2">
        <v>1.7193E-2</v>
      </c>
      <c r="G328" s="2">
        <v>0.27691685999999999</v>
      </c>
      <c r="H328" s="2">
        <v>0.34434039</v>
      </c>
    </row>
    <row r="329" spans="1:8" ht="17.25" thickBot="1" x14ac:dyDescent="0.35">
      <c r="A329" s="6"/>
      <c r="B329" s="3">
        <v>8</v>
      </c>
      <c r="C329" s="11" t="s">
        <v>116</v>
      </c>
      <c r="D329" s="2">
        <v>1286</v>
      </c>
      <c r="E329" s="2">
        <v>0.30772500000000003</v>
      </c>
      <c r="F329" s="2">
        <v>1.1221E-2</v>
      </c>
      <c r="G329" s="2">
        <v>0.28572217</v>
      </c>
      <c r="H329" s="2">
        <v>0.32972833000000001</v>
      </c>
    </row>
    <row r="330" spans="1:8" ht="17.25" thickBot="1" x14ac:dyDescent="0.35">
      <c r="A330" s="6">
        <v>6</v>
      </c>
      <c r="B330" s="3">
        <v>1</v>
      </c>
      <c r="C330" s="11" t="s">
        <v>116</v>
      </c>
      <c r="D330" s="2">
        <v>279</v>
      </c>
      <c r="E330" s="2">
        <v>0.31040499999999999</v>
      </c>
      <c r="F330" s="2">
        <v>1.8536E-2</v>
      </c>
      <c r="G330" s="2">
        <v>0.27405843000000002</v>
      </c>
      <c r="H330" s="2">
        <v>0.34675064999999999</v>
      </c>
    </row>
    <row r="331" spans="1:8" ht="17.25" thickBot="1" x14ac:dyDescent="0.35">
      <c r="A331" s="6"/>
      <c r="B331" s="3">
        <v>2</v>
      </c>
      <c r="C331" s="11" t="s">
        <v>116</v>
      </c>
      <c r="D331" s="2">
        <v>309</v>
      </c>
      <c r="E331" s="2">
        <v>0.197269</v>
      </c>
      <c r="F331" s="2">
        <v>1.899E-2</v>
      </c>
      <c r="G331" s="2">
        <v>0.16003259</v>
      </c>
      <c r="H331" s="2">
        <v>0.23450586000000001</v>
      </c>
    </row>
    <row r="332" spans="1:8" ht="17.25" thickBot="1" x14ac:dyDescent="0.35">
      <c r="A332" s="6"/>
      <c r="B332" s="3">
        <v>3</v>
      </c>
      <c r="C332" s="11" t="s">
        <v>116</v>
      </c>
      <c r="D332" s="2">
        <v>358</v>
      </c>
      <c r="E332" s="2">
        <v>0.23016</v>
      </c>
      <c r="F332" s="2">
        <v>1.8858E-2</v>
      </c>
      <c r="G332" s="2">
        <v>0.19318283999999999</v>
      </c>
      <c r="H332" s="2">
        <v>0.26713627000000001</v>
      </c>
    </row>
    <row r="333" spans="1:8" ht="17.25" thickBot="1" x14ac:dyDescent="0.35">
      <c r="A333" s="6"/>
      <c r="B333" s="3">
        <v>4</v>
      </c>
      <c r="C333" s="11" t="s">
        <v>116</v>
      </c>
      <c r="D333" s="2">
        <v>284</v>
      </c>
      <c r="E333" s="2">
        <v>0.29546299999999998</v>
      </c>
      <c r="F333" s="2">
        <v>2.035E-2</v>
      </c>
      <c r="G333" s="2">
        <v>0.25556100999999998</v>
      </c>
      <c r="H333" s="2">
        <v>0.33536473</v>
      </c>
    </row>
    <row r="334" spans="1:8" x14ac:dyDescent="0.3">
      <c r="A334" s="6"/>
      <c r="B334" s="3">
        <v>8</v>
      </c>
      <c r="C334" s="14" t="s">
        <v>116</v>
      </c>
      <c r="D334" s="2">
        <v>206</v>
      </c>
      <c r="E334" s="2">
        <v>0.21468599999999999</v>
      </c>
      <c r="F334" s="2">
        <v>2.3366999999999999E-2</v>
      </c>
      <c r="G334" s="2">
        <v>0.16886703</v>
      </c>
      <c r="H334" s="2">
        <v>0.26050479999999998</v>
      </c>
    </row>
    <row r="338" spans="1:6" x14ac:dyDescent="0.3">
      <c r="A338" s="1" t="s">
        <v>237</v>
      </c>
    </row>
    <row r="340" spans="1:6" x14ac:dyDescent="0.3">
      <c r="A340" s="1" t="s">
        <v>21</v>
      </c>
    </row>
    <row r="341" spans="1:6" ht="17.25" thickBot="1" x14ac:dyDescent="0.35"/>
    <row r="342" spans="1:6" ht="16.5" customHeight="1" x14ac:dyDescent="0.3">
      <c r="A342" s="16" t="s">
        <v>135</v>
      </c>
      <c r="B342" s="18"/>
    </row>
    <row r="343" spans="1:6" ht="26.25" thickBot="1" x14ac:dyDescent="0.35">
      <c r="A343" s="12" t="s">
        <v>136</v>
      </c>
      <c r="B343" s="2">
        <v>183</v>
      </c>
    </row>
    <row r="344" spans="1:6" ht="26.25" thickBot="1" x14ac:dyDescent="0.35">
      <c r="A344" s="12" t="s">
        <v>137</v>
      </c>
      <c r="B344" s="2">
        <v>2982</v>
      </c>
    </row>
    <row r="345" spans="1:6" ht="39" thickBot="1" x14ac:dyDescent="0.35">
      <c r="A345" s="12" t="s">
        <v>138</v>
      </c>
      <c r="B345" s="2">
        <v>68635</v>
      </c>
    </row>
    <row r="346" spans="1:6" ht="25.5" x14ac:dyDescent="0.3">
      <c r="A346" s="13" t="s">
        <v>139</v>
      </c>
      <c r="B346" s="2">
        <v>30251935.699999999</v>
      </c>
    </row>
    <row r="347" spans="1:6" ht="17.25" thickBot="1" x14ac:dyDescent="0.35"/>
    <row r="348" spans="1:6" ht="33" customHeight="1" x14ac:dyDescent="0.3">
      <c r="A348" s="16" t="s">
        <v>140</v>
      </c>
      <c r="B348" s="18"/>
    </row>
    <row r="349" spans="1:6" ht="33.75" thickBot="1" x14ac:dyDescent="0.35">
      <c r="A349" s="12" t="s">
        <v>141</v>
      </c>
      <c r="B349" s="2" t="s">
        <v>142</v>
      </c>
    </row>
    <row r="350" spans="1:6" ht="25.5" x14ac:dyDescent="0.3">
      <c r="A350" s="13" t="s">
        <v>143</v>
      </c>
      <c r="B350" s="2" t="s">
        <v>144</v>
      </c>
    </row>
    <row r="351" spans="1:6" ht="17.25" thickBot="1" x14ac:dyDescent="0.35"/>
    <row r="352" spans="1:6" ht="16.5" customHeight="1" x14ac:dyDescent="0.3">
      <c r="A352" s="16" t="s">
        <v>238</v>
      </c>
      <c r="B352" s="18"/>
      <c r="C352" s="18"/>
      <c r="D352" s="18"/>
      <c r="E352" s="18"/>
      <c r="F352" s="18"/>
    </row>
    <row r="353" spans="1:15" ht="16.5" customHeight="1" x14ac:dyDescent="0.3">
      <c r="A353" s="17" t="s">
        <v>239</v>
      </c>
      <c r="B353" s="19" t="s">
        <v>94</v>
      </c>
      <c r="C353" s="19" t="s">
        <v>240</v>
      </c>
      <c r="D353" s="3" t="s">
        <v>241</v>
      </c>
      <c r="E353" s="19" t="s">
        <v>243</v>
      </c>
      <c r="F353" s="19"/>
    </row>
    <row r="354" spans="1:15" x14ac:dyDescent="0.3">
      <c r="A354" s="17"/>
      <c r="B354" s="19"/>
      <c r="C354" s="19"/>
      <c r="D354" s="3" t="s">
        <v>242</v>
      </c>
      <c r="E354" s="19"/>
      <c r="F354" s="19"/>
    </row>
    <row r="355" spans="1:15" x14ac:dyDescent="0.3">
      <c r="A355" s="13" t="s">
        <v>116</v>
      </c>
      <c r="B355" s="2">
        <v>68635</v>
      </c>
      <c r="C355" s="2">
        <v>0.34523599999999999</v>
      </c>
      <c r="D355" s="2">
        <v>1.6490000000000001E-3</v>
      </c>
      <c r="E355" s="2">
        <v>0.34200205</v>
      </c>
      <c r="F355" s="2">
        <v>0.34847033999999999</v>
      </c>
    </row>
    <row r="359" spans="1:15" x14ac:dyDescent="0.3">
      <c r="A359" s="1" t="s">
        <v>237</v>
      </c>
    </row>
    <row r="361" spans="1:15" x14ac:dyDescent="0.3">
      <c r="A361" s="1" t="s">
        <v>21</v>
      </c>
    </row>
    <row r="362" spans="1:15" ht="17.25" thickBot="1" x14ac:dyDescent="0.35"/>
    <row r="363" spans="1:15" ht="16.5" customHeight="1" x14ac:dyDescent="0.3">
      <c r="A363" s="16" t="s">
        <v>253</v>
      </c>
      <c r="B363" s="18"/>
      <c r="C363" s="18"/>
      <c r="D363" s="18"/>
      <c r="E363" s="18"/>
      <c r="F363" s="18"/>
      <c r="G363" s="18"/>
      <c r="H363" s="18"/>
    </row>
    <row r="364" spans="1:15" ht="16.5" customHeight="1" x14ac:dyDescent="0.3">
      <c r="A364" s="17" t="s">
        <v>249</v>
      </c>
      <c r="B364" s="19" t="s">
        <v>8</v>
      </c>
      <c r="C364" s="19" t="s">
        <v>239</v>
      </c>
      <c r="D364" s="19" t="s">
        <v>94</v>
      </c>
      <c r="E364" s="19" t="s">
        <v>240</v>
      </c>
      <c r="F364" s="3" t="s">
        <v>241</v>
      </c>
      <c r="G364" s="19" t="s">
        <v>243</v>
      </c>
      <c r="H364" s="19"/>
    </row>
    <row r="365" spans="1:15" x14ac:dyDescent="0.3">
      <c r="A365" s="17"/>
      <c r="B365" s="19"/>
      <c r="C365" s="19"/>
      <c r="D365" s="19"/>
      <c r="E365" s="19"/>
      <c r="F365" s="3" t="s">
        <v>242</v>
      </c>
      <c r="G365" s="19"/>
      <c r="H365" s="19"/>
    </row>
    <row r="366" spans="1:15" ht="17.25" thickBot="1" x14ac:dyDescent="0.35">
      <c r="A366" s="6">
        <v>1</v>
      </c>
      <c r="B366" s="3">
        <v>1</v>
      </c>
      <c r="C366" s="11" t="s">
        <v>116</v>
      </c>
      <c r="D366" s="2">
        <v>704</v>
      </c>
      <c r="E366" s="2">
        <v>0.47902899999999998</v>
      </c>
      <c r="F366" s="2">
        <v>1.2389000000000001E-2</v>
      </c>
      <c r="G366" s="2">
        <v>0.45473648</v>
      </c>
      <c r="H366" s="2">
        <v>0.50332186999999995</v>
      </c>
      <c r="J366" t="str">
        <f t="shared" ref="J366:J389" si="8">TEXT(E366,"0.00")&amp;" ("&amp;TEXT(G366,"0.00")&amp;" to "&amp;TEXT(H366,"0.00")&amp;")"</f>
        <v>0.48 (0.45 to 0.50)</v>
      </c>
      <c r="K366" t="str">
        <f>J370</f>
        <v>0.41 (0.39 to 0.43)</v>
      </c>
      <c r="L366" t="str">
        <f>J374</f>
        <v>0.43 (0.41 to 0.44)</v>
      </c>
      <c r="M366" t="str">
        <f>J378</f>
        <v>0.41 (0.39 to 0.42)</v>
      </c>
      <c r="N366" t="str">
        <f>J382</f>
        <v>0.38 (0.37 to 0.40)</v>
      </c>
      <c r="O366" t="str">
        <f>J386</f>
        <v>0.31 (0.28 to 0.34)</v>
      </c>
    </row>
    <row r="367" spans="1:15" ht="17.25" thickBot="1" x14ac:dyDescent="0.35">
      <c r="A367" s="6"/>
      <c r="B367" s="3">
        <v>2</v>
      </c>
      <c r="C367" s="11" t="s">
        <v>116</v>
      </c>
      <c r="D367" s="2">
        <v>2055</v>
      </c>
      <c r="E367" s="2">
        <v>0.43850600000000001</v>
      </c>
      <c r="F367" s="2">
        <v>8.286E-3</v>
      </c>
      <c r="G367" s="2">
        <v>0.42225785999999998</v>
      </c>
      <c r="H367" s="2">
        <v>0.4547542</v>
      </c>
      <c r="J367" t="str">
        <f t="shared" si="8"/>
        <v>0.44 (0.42 to 0.45)</v>
      </c>
      <c r="K367" t="str">
        <f t="shared" ref="K367:K369" si="9">J371</f>
        <v>0.41 (0.39 to 0.44)</v>
      </c>
      <c r="L367" t="str">
        <f t="shared" ref="L367:L369" si="10">J375</f>
        <v>0.42 (0.40 to 0.44)</v>
      </c>
      <c r="M367" t="str">
        <f t="shared" ref="M367:M369" si="11">J379</f>
        <v>0.41 (0.39 to 0.43)</v>
      </c>
      <c r="N367" t="str">
        <f t="shared" ref="N367:N369" si="12">J383</f>
        <v>0.37 (0.35 to 0.39)</v>
      </c>
      <c r="O367" t="str">
        <f t="shared" ref="O367:O369" si="13">J387</f>
        <v>0.32 (0.29 to 0.35)</v>
      </c>
    </row>
    <row r="368" spans="1:15" ht="17.25" thickBot="1" x14ac:dyDescent="0.35">
      <c r="A368" s="6"/>
      <c r="B368" s="3">
        <v>3</v>
      </c>
      <c r="C368" s="11" t="s">
        <v>116</v>
      </c>
      <c r="D368" s="2">
        <v>1494</v>
      </c>
      <c r="E368" s="2">
        <v>0.42034100000000002</v>
      </c>
      <c r="F368" s="2">
        <v>9.8949999999999993E-3</v>
      </c>
      <c r="G368" s="2">
        <v>0.40093836999999999</v>
      </c>
      <c r="H368" s="2">
        <v>0.43974433000000002</v>
      </c>
      <c r="J368" t="str">
        <f t="shared" si="8"/>
        <v>0.42 (0.40 to 0.44)</v>
      </c>
      <c r="K368" t="str">
        <f t="shared" si="9"/>
        <v>0.37 (0.36 to 0.38)</v>
      </c>
      <c r="L368" t="str">
        <f t="shared" si="10"/>
        <v>0.37 (0.36 to 0.38)</v>
      </c>
      <c r="M368" t="str">
        <f t="shared" si="11"/>
        <v>0.37 (0.36 to 0.39)</v>
      </c>
      <c r="N368" t="str">
        <f t="shared" si="12"/>
        <v>0.36 (0.35 to 0.38)</v>
      </c>
      <c r="O368" t="str">
        <f t="shared" si="13"/>
        <v>0.32 (0.30 to 0.34)</v>
      </c>
    </row>
    <row r="369" spans="1:15" ht="17.25" thickBot="1" x14ac:dyDescent="0.35">
      <c r="A369" s="6"/>
      <c r="B369" s="3">
        <v>4</v>
      </c>
      <c r="C369" s="11" t="s">
        <v>116</v>
      </c>
      <c r="D369" s="2">
        <v>7662</v>
      </c>
      <c r="E369" s="2">
        <v>0.34337499999999999</v>
      </c>
      <c r="F369" s="2">
        <v>4.2960000000000003E-3</v>
      </c>
      <c r="G369" s="2">
        <v>0.33495192000000001</v>
      </c>
      <c r="H369" s="2">
        <v>0.35179861000000001</v>
      </c>
      <c r="J369" t="str">
        <f t="shared" si="8"/>
        <v>0.34 (0.33 to 0.35)</v>
      </c>
      <c r="K369" t="str">
        <f t="shared" si="9"/>
        <v>0.32 (0.31 to 0.33)</v>
      </c>
      <c r="L369" t="str">
        <f t="shared" si="10"/>
        <v>0.31 (0.30 to 0.32)</v>
      </c>
      <c r="M369" t="str">
        <f t="shared" si="11"/>
        <v>0.32 (0.31 to 0.33)</v>
      </c>
      <c r="N369" t="str">
        <f t="shared" si="12"/>
        <v>0.30 (0.29 to 0.31)</v>
      </c>
      <c r="O369" t="str">
        <f t="shared" si="13"/>
        <v>0.27 (0.25 to 0.29)</v>
      </c>
    </row>
    <row r="370" spans="1:15" ht="17.25" thickBot="1" x14ac:dyDescent="0.35">
      <c r="A370" s="6">
        <v>2</v>
      </c>
      <c r="B370" s="3">
        <v>1</v>
      </c>
      <c r="C370" s="11" t="s">
        <v>116</v>
      </c>
      <c r="D370" s="2">
        <v>2505</v>
      </c>
      <c r="E370" s="2">
        <v>0.41109499999999999</v>
      </c>
      <c r="F370" s="2">
        <v>8.4489999999999999E-3</v>
      </c>
      <c r="G370" s="2">
        <v>0.39452853999999998</v>
      </c>
      <c r="H370" s="2">
        <v>0.42766233999999997</v>
      </c>
      <c r="J370" t="str">
        <f t="shared" si="8"/>
        <v>0.41 (0.39 to 0.43)</v>
      </c>
    </row>
    <row r="371" spans="1:15" ht="17.25" thickBot="1" x14ac:dyDescent="0.35">
      <c r="A371" s="6"/>
      <c r="B371" s="3">
        <v>2</v>
      </c>
      <c r="C371" s="11" t="s">
        <v>116</v>
      </c>
      <c r="D371" s="2">
        <v>1481</v>
      </c>
      <c r="E371" s="2">
        <v>0.413636</v>
      </c>
      <c r="F371" s="2">
        <v>1.0902999999999999E-2</v>
      </c>
      <c r="G371" s="2">
        <v>0.39225690000000002</v>
      </c>
      <c r="H371" s="2">
        <v>0.43501556000000002</v>
      </c>
      <c r="J371" t="str">
        <f t="shared" si="8"/>
        <v>0.41 (0.39 to 0.44)</v>
      </c>
    </row>
    <row r="372" spans="1:15" ht="17.25" thickBot="1" x14ac:dyDescent="0.35">
      <c r="A372" s="6"/>
      <c r="B372" s="3">
        <v>3</v>
      </c>
      <c r="C372" s="11" t="s">
        <v>116</v>
      </c>
      <c r="D372" s="2">
        <v>3868</v>
      </c>
      <c r="E372" s="2">
        <v>0.37045299999999998</v>
      </c>
      <c r="F372" s="2">
        <v>6.535E-3</v>
      </c>
      <c r="G372" s="2">
        <v>0.35763841000000002</v>
      </c>
      <c r="H372" s="2">
        <v>0.38326716999999999</v>
      </c>
      <c r="J372" t="str">
        <f t="shared" si="8"/>
        <v>0.37 (0.36 to 0.38)</v>
      </c>
    </row>
    <row r="373" spans="1:15" ht="17.25" thickBot="1" x14ac:dyDescent="0.35">
      <c r="A373" s="6"/>
      <c r="B373" s="3">
        <v>4</v>
      </c>
      <c r="C373" s="11" t="s">
        <v>116</v>
      </c>
      <c r="D373" s="2">
        <v>5262</v>
      </c>
      <c r="E373" s="2">
        <v>0.318158</v>
      </c>
      <c r="F373" s="2">
        <v>5.3670000000000002E-3</v>
      </c>
      <c r="G373" s="2">
        <v>0.30763390000000002</v>
      </c>
      <c r="H373" s="2">
        <v>0.32868116000000003</v>
      </c>
      <c r="J373" t="str">
        <f t="shared" si="8"/>
        <v>0.32 (0.31 to 0.33)</v>
      </c>
    </row>
    <row r="374" spans="1:15" ht="17.25" thickBot="1" x14ac:dyDescent="0.35">
      <c r="A374" s="6">
        <v>3</v>
      </c>
      <c r="B374" s="3">
        <v>1</v>
      </c>
      <c r="C374" s="11" t="s">
        <v>116</v>
      </c>
      <c r="D374" s="2">
        <v>1862</v>
      </c>
      <c r="E374" s="2">
        <v>0.42563000000000001</v>
      </c>
      <c r="F374" s="2">
        <v>8.9029999999999995E-3</v>
      </c>
      <c r="G374" s="2">
        <v>0.40817390999999997</v>
      </c>
      <c r="H374" s="2">
        <v>0.44308628</v>
      </c>
      <c r="J374" t="str">
        <f t="shared" si="8"/>
        <v>0.43 (0.41 to 0.44)</v>
      </c>
    </row>
    <row r="375" spans="1:15" ht="17.25" thickBot="1" x14ac:dyDescent="0.35">
      <c r="A375" s="6"/>
      <c r="B375" s="3">
        <v>2</v>
      </c>
      <c r="C375" s="11" t="s">
        <v>116</v>
      </c>
      <c r="D375" s="2">
        <v>1253</v>
      </c>
      <c r="E375" s="2">
        <v>0.41893399999999997</v>
      </c>
      <c r="F375" s="2">
        <v>1.1148999999999999E-2</v>
      </c>
      <c r="G375" s="2">
        <v>0.39707265000000003</v>
      </c>
      <c r="H375" s="2">
        <v>0.44079496000000001</v>
      </c>
      <c r="J375" t="str">
        <f t="shared" si="8"/>
        <v>0.42 (0.40 to 0.44)</v>
      </c>
    </row>
    <row r="376" spans="1:15" ht="17.25" thickBot="1" x14ac:dyDescent="0.35">
      <c r="A376" s="6"/>
      <c r="B376" s="3">
        <v>3</v>
      </c>
      <c r="C376" s="11" t="s">
        <v>116</v>
      </c>
      <c r="D376" s="2">
        <v>3362</v>
      </c>
      <c r="E376" s="2">
        <v>0.37067499999999998</v>
      </c>
      <c r="F376" s="2">
        <v>6.4250000000000002E-3</v>
      </c>
      <c r="G376" s="2">
        <v>0.35807731999999998</v>
      </c>
      <c r="H376" s="2">
        <v>0.38327304000000001</v>
      </c>
      <c r="J376" t="str">
        <f t="shared" si="8"/>
        <v>0.37 (0.36 to 0.38)</v>
      </c>
    </row>
    <row r="377" spans="1:15" ht="17.25" thickBot="1" x14ac:dyDescent="0.35">
      <c r="A377" s="6"/>
      <c r="B377" s="3">
        <v>4</v>
      </c>
      <c r="C377" s="11" t="s">
        <v>116</v>
      </c>
      <c r="D377" s="2">
        <v>4998</v>
      </c>
      <c r="E377" s="2">
        <v>0.30596800000000002</v>
      </c>
      <c r="F377" s="2">
        <v>5.3579999999999999E-3</v>
      </c>
      <c r="G377" s="2">
        <v>0.29546159999999999</v>
      </c>
      <c r="H377" s="2">
        <v>0.31647523</v>
      </c>
      <c r="J377" t="str">
        <f t="shared" si="8"/>
        <v>0.31 (0.30 to 0.32)</v>
      </c>
    </row>
    <row r="378" spans="1:15" ht="17.25" thickBot="1" x14ac:dyDescent="0.35">
      <c r="A378" s="6">
        <v>4</v>
      </c>
      <c r="B378" s="3">
        <v>1</v>
      </c>
      <c r="C378" s="11" t="s">
        <v>116</v>
      </c>
      <c r="D378" s="2">
        <v>2027</v>
      </c>
      <c r="E378" s="2">
        <v>0.406495</v>
      </c>
      <c r="F378" s="2">
        <v>8.6160000000000004E-3</v>
      </c>
      <c r="G378" s="2">
        <v>0.38959980999999999</v>
      </c>
      <c r="H378" s="2">
        <v>0.42338955</v>
      </c>
      <c r="J378" t="str">
        <f t="shared" si="8"/>
        <v>0.41 (0.39 to 0.42)</v>
      </c>
    </row>
    <row r="379" spans="1:15" ht="17.25" thickBot="1" x14ac:dyDescent="0.35">
      <c r="A379" s="6"/>
      <c r="B379" s="3">
        <v>2</v>
      </c>
      <c r="C379" s="11" t="s">
        <v>116</v>
      </c>
      <c r="D379" s="2">
        <v>1440</v>
      </c>
      <c r="E379" s="2">
        <v>0.41419</v>
      </c>
      <c r="F379" s="2">
        <v>1.0274E-2</v>
      </c>
      <c r="G379" s="2">
        <v>0.39404355000000002</v>
      </c>
      <c r="H379" s="2">
        <v>0.43433548999999999</v>
      </c>
      <c r="J379" t="str">
        <f t="shared" si="8"/>
        <v>0.41 (0.39 to 0.43)</v>
      </c>
    </row>
    <row r="380" spans="1:15" ht="17.25" thickBot="1" x14ac:dyDescent="0.35">
      <c r="A380" s="6"/>
      <c r="B380" s="3">
        <v>3</v>
      </c>
      <c r="C380" s="11" t="s">
        <v>116</v>
      </c>
      <c r="D380" s="2">
        <v>3929</v>
      </c>
      <c r="E380" s="2">
        <v>0.37442599999999998</v>
      </c>
      <c r="F380" s="2">
        <v>6.796E-3</v>
      </c>
      <c r="G380" s="2">
        <v>0.36109989999999997</v>
      </c>
      <c r="H380" s="2">
        <v>0.38775230999999999</v>
      </c>
      <c r="J380" t="str">
        <f t="shared" si="8"/>
        <v>0.37 (0.36 to 0.39)</v>
      </c>
    </row>
    <row r="381" spans="1:15" ht="17.25" thickBot="1" x14ac:dyDescent="0.35">
      <c r="A381" s="6"/>
      <c r="B381" s="3">
        <v>4</v>
      </c>
      <c r="C381" s="11" t="s">
        <v>116</v>
      </c>
      <c r="D381" s="2">
        <v>6762</v>
      </c>
      <c r="E381" s="2">
        <v>0.32299099999999997</v>
      </c>
      <c r="F381" s="2">
        <v>4.9420000000000002E-3</v>
      </c>
      <c r="G381" s="2">
        <v>0.31330089999999999</v>
      </c>
      <c r="H381" s="2">
        <v>0.33268138000000003</v>
      </c>
      <c r="J381" t="str">
        <f t="shared" si="8"/>
        <v>0.32 (0.31 to 0.33)</v>
      </c>
    </row>
    <row r="382" spans="1:15" ht="17.25" thickBot="1" x14ac:dyDescent="0.35">
      <c r="A382" s="6">
        <v>5</v>
      </c>
      <c r="B382" s="3">
        <v>1</v>
      </c>
      <c r="C382" s="11" t="s">
        <v>116</v>
      </c>
      <c r="D382" s="2">
        <v>1623</v>
      </c>
      <c r="E382" s="2">
        <v>0.383654</v>
      </c>
      <c r="F382" s="2">
        <v>9.3050000000000008E-3</v>
      </c>
      <c r="G382" s="2">
        <v>0.36540841000000002</v>
      </c>
      <c r="H382" s="2">
        <v>0.40189981000000002</v>
      </c>
      <c r="J382" t="str">
        <f t="shared" si="8"/>
        <v>0.38 (0.37 to 0.40)</v>
      </c>
    </row>
    <row r="383" spans="1:15" ht="17.25" thickBot="1" x14ac:dyDescent="0.35">
      <c r="A383" s="6"/>
      <c r="B383" s="3">
        <v>2</v>
      </c>
      <c r="C383" s="11" t="s">
        <v>116</v>
      </c>
      <c r="D383" s="2">
        <v>1268</v>
      </c>
      <c r="E383" s="2">
        <v>0.373867</v>
      </c>
      <c r="F383" s="2">
        <v>1.0697999999999999E-2</v>
      </c>
      <c r="G383" s="2">
        <v>0.35289029</v>
      </c>
      <c r="H383" s="2">
        <v>0.39484364</v>
      </c>
      <c r="J383" t="str">
        <f t="shared" si="8"/>
        <v>0.37 (0.35 to 0.39)</v>
      </c>
    </row>
    <row r="384" spans="1:15" ht="17.25" thickBot="1" x14ac:dyDescent="0.35">
      <c r="A384" s="6"/>
      <c r="B384" s="3">
        <v>3</v>
      </c>
      <c r="C384" s="11" t="s">
        <v>116</v>
      </c>
      <c r="D384" s="2">
        <v>3878</v>
      </c>
      <c r="E384" s="2">
        <v>0.36251899999999998</v>
      </c>
      <c r="F384" s="2">
        <v>6.5079999999999999E-3</v>
      </c>
      <c r="G384" s="2">
        <v>0.34975853000000001</v>
      </c>
      <c r="H384" s="2">
        <v>0.37527992999999998</v>
      </c>
      <c r="J384" t="str">
        <f t="shared" si="8"/>
        <v>0.36 (0.35 to 0.38)</v>
      </c>
    </row>
    <row r="385" spans="1:10" ht="17.25" thickBot="1" x14ac:dyDescent="0.35">
      <c r="A385" s="6"/>
      <c r="B385" s="3">
        <v>4</v>
      </c>
      <c r="C385" s="11" t="s">
        <v>116</v>
      </c>
      <c r="D385" s="2">
        <v>6786</v>
      </c>
      <c r="E385" s="2">
        <v>0.29772300000000002</v>
      </c>
      <c r="F385" s="2">
        <v>4.7720000000000002E-3</v>
      </c>
      <c r="G385" s="2">
        <v>0.28836626999999998</v>
      </c>
      <c r="H385" s="2">
        <v>0.30707993</v>
      </c>
      <c r="J385" t="str">
        <f t="shared" si="8"/>
        <v>0.30 (0.29 to 0.31)</v>
      </c>
    </row>
    <row r="386" spans="1:10" ht="17.25" thickBot="1" x14ac:dyDescent="0.35">
      <c r="A386" s="6">
        <v>6</v>
      </c>
      <c r="B386" s="3">
        <v>1</v>
      </c>
      <c r="C386" s="11" t="s">
        <v>116</v>
      </c>
      <c r="D386" s="2">
        <v>478</v>
      </c>
      <c r="E386" s="2">
        <v>0.31093999999999999</v>
      </c>
      <c r="F386" s="2">
        <v>1.3769999999999999E-2</v>
      </c>
      <c r="G386" s="2">
        <v>0.28393874000000002</v>
      </c>
      <c r="H386" s="2">
        <v>0.33794125000000003</v>
      </c>
      <c r="J386" t="str">
        <f t="shared" si="8"/>
        <v>0.31 (0.28 to 0.34)</v>
      </c>
    </row>
    <row r="387" spans="1:10" ht="17.25" thickBot="1" x14ac:dyDescent="0.35">
      <c r="A387" s="6"/>
      <c r="B387" s="3">
        <v>2</v>
      </c>
      <c r="C387" s="11" t="s">
        <v>116</v>
      </c>
      <c r="D387" s="2">
        <v>440</v>
      </c>
      <c r="E387" s="2">
        <v>0.32101000000000002</v>
      </c>
      <c r="F387" s="2">
        <v>1.4484E-2</v>
      </c>
      <c r="G387" s="2">
        <v>0.29261078000000001</v>
      </c>
      <c r="H387" s="2">
        <v>0.34940998000000001</v>
      </c>
      <c r="J387" t="str">
        <f t="shared" si="8"/>
        <v>0.32 (0.29 to 0.35)</v>
      </c>
    </row>
    <row r="388" spans="1:10" ht="17.25" thickBot="1" x14ac:dyDescent="0.35">
      <c r="A388" s="6"/>
      <c r="B388" s="3">
        <v>3</v>
      </c>
      <c r="C388" s="11" t="s">
        <v>116</v>
      </c>
      <c r="D388" s="2">
        <v>1227</v>
      </c>
      <c r="E388" s="2">
        <v>0.322241</v>
      </c>
      <c r="F388" s="2">
        <v>1.0056000000000001E-2</v>
      </c>
      <c r="G388" s="2">
        <v>0.30252173999999998</v>
      </c>
      <c r="H388" s="2">
        <v>0.34195945</v>
      </c>
      <c r="J388" t="str">
        <f t="shared" si="8"/>
        <v>0.32 (0.30 to 0.34)</v>
      </c>
    </row>
    <row r="389" spans="1:10" x14ac:dyDescent="0.3">
      <c r="A389" s="6"/>
      <c r="B389" s="3">
        <v>4</v>
      </c>
      <c r="C389" s="14" t="s">
        <v>116</v>
      </c>
      <c r="D389" s="2">
        <v>2271</v>
      </c>
      <c r="E389" s="2">
        <v>0.27077499999999999</v>
      </c>
      <c r="F389" s="2">
        <v>8.6160000000000004E-3</v>
      </c>
      <c r="G389" s="2">
        <v>0.25388003999999997</v>
      </c>
      <c r="H389" s="2">
        <v>0.28767069000000001</v>
      </c>
      <c r="J389" t="str">
        <f t="shared" si="8"/>
        <v>0.27 (0.25 to 0.29)</v>
      </c>
    </row>
    <row r="393" spans="1:10" x14ac:dyDescent="0.3">
      <c r="A393" s="1" t="s">
        <v>237</v>
      </c>
    </row>
    <row r="395" spans="1:10" x14ac:dyDescent="0.3">
      <c r="A395" s="1" t="s">
        <v>1</v>
      </c>
    </row>
    <row r="396" spans="1:10" ht="17.25" thickBot="1" x14ac:dyDescent="0.35"/>
    <row r="397" spans="1:10" ht="16.5" customHeight="1" x14ac:dyDescent="0.3">
      <c r="A397" s="16" t="s">
        <v>135</v>
      </c>
      <c r="B397" s="18"/>
    </row>
    <row r="398" spans="1:10" ht="26.25" thickBot="1" x14ac:dyDescent="0.35">
      <c r="A398" s="12" t="s">
        <v>136</v>
      </c>
      <c r="B398" s="2">
        <v>183</v>
      </c>
    </row>
    <row r="399" spans="1:10" ht="26.25" thickBot="1" x14ac:dyDescent="0.35">
      <c r="A399" s="12" t="s">
        <v>137</v>
      </c>
      <c r="B399" s="2">
        <v>2949</v>
      </c>
    </row>
    <row r="400" spans="1:10" ht="39" thickBot="1" x14ac:dyDescent="0.35">
      <c r="A400" s="12" t="s">
        <v>138</v>
      </c>
      <c r="B400" s="2">
        <v>23222</v>
      </c>
    </row>
    <row r="401" spans="1:6" ht="25.5" x14ac:dyDescent="0.3">
      <c r="A401" s="13" t="s">
        <v>139</v>
      </c>
      <c r="B401" s="2">
        <v>9036880.5199999996</v>
      </c>
    </row>
    <row r="402" spans="1:6" ht="17.25" thickBot="1" x14ac:dyDescent="0.35"/>
    <row r="403" spans="1:6" ht="33" customHeight="1" x14ac:dyDescent="0.3">
      <c r="A403" s="16" t="s">
        <v>140</v>
      </c>
      <c r="B403" s="18"/>
    </row>
    <row r="404" spans="1:6" ht="33.75" thickBot="1" x14ac:dyDescent="0.35">
      <c r="A404" s="12" t="s">
        <v>141</v>
      </c>
      <c r="B404" s="2" t="s">
        <v>142</v>
      </c>
    </row>
    <row r="405" spans="1:6" ht="25.5" x14ac:dyDescent="0.3">
      <c r="A405" s="13" t="s">
        <v>143</v>
      </c>
      <c r="B405" s="2" t="s">
        <v>144</v>
      </c>
    </row>
    <row r="406" spans="1:6" ht="17.25" thickBot="1" x14ac:dyDescent="0.35"/>
    <row r="407" spans="1:6" ht="16.5" customHeight="1" x14ac:dyDescent="0.3">
      <c r="A407" s="16" t="s">
        <v>238</v>
      </c>
      <c r="B407" s="18"/>
      <c r="C407" s="18"/>
      <c r="D407" s="18"/>
      <c r="E407" s="18"/>
      <c r="F407" s="18"/>
    </row>
    <row r="408" spans="1:6" ht="16.5" customHeight="1" x14ac:dyDescent="0.3">
      <c r="A408" s="17" t="s">
        <v>239</v>
      </c>
      <c r="B408" s="19" t="s">
        <v>94</v>
      </c>
      <c r="C408" s="19" t="s">
        <v>240</v>
      </c>
      <c r="D408" s="3" t="s">
        <v>241</v>
      </c>
      <c r="E408" s="19" t="s">
        <v>243</v>
      </c>
      <c r="F408" s="19"/>
    </row>
    <row r="409" spans="1:6" x14ac:dyDescent="0.3">
      <c r="A409" s="17"/>
      <c r="B409" s="19"/>
      <c r="C409" s="19"/>
      <c r="D409" s="3" t="s">
        <v>242</v>
      </c>
      <c r="E409" s="19"/>
      <c r="F409" s="19"/>
    </row>
    <row r="410" spans="1:6" x14ac:dyDescent="0.3">
      <c r="A410" s="13" t="s">
        <v>116</v>
      </c>
      <c r="B410" s="2">
        <v>23222</v>
      </c>
      <c r="C410" s="2">
        <v>0.29750300000000002</v>
      </c>
      <c r="D410" s="2">
        <v>2.7789999999999998E-3</v>
      </c>
      <c r="E410" s="2">
        <v>0.29205375</v>
      </c>
      <c r="F410" s="2">
        <v>0.30295137999999999</v>
      </c>
    </row>
    <row r="414" spans="1:6" x14ac:dyDescent="0.3">
      <c r="A414" s="1" t="s">
        <v>237</v>
      </c>
    </row>
    <row r="416" spans="1:6" x14ac:dyDescent="0.3">
      <c r="A416" s="1" t="s">
        <v>1</v>
      </c>
    </row>
    <row r="417" spans="1:8" ht="17.25" thickBot="1" x14ac:dyDescent="0.35"/>
    <row r="418" spans="1:8" ht="16.5" customHeight="1" x14ac:dyDescent="0.3">
      <c r="A418" s="16" t="s">
        <v>254</v>
      </c>
      <c r="B418" s="18"/>
      <c r="C418" s="18"/>
      <c r="D418" s="18"/>
      <c r="E418" s="18"/>
      <c r="F418" s="18"/>
      <c r="G418" s="18"/>
      <c r="H418" s="18"/>
    </row>
    <row r="419" spans="1:8" ht="16.5" customHeight="1" x14ac:dyDescent="0.3">
      <c r="A419" s="17" t="s">
        <v>249</v>
      </c>
      <c r="B419" s="19" t="s">
        <v>9</v>
      </c>
      <c r="C419" s="19" t="s">
        <v>239</v>
      </c>
      <c r="D419" s="19" t="s">
        <v>94</v>
      </c>
      <c r="E419" s="19" t="s">
        <v>240</v>
      </c>
      <c r="F419" s="3" t="s">
        <v>241</v>
      </c>
      <c r="G419" s="19" t="s">
        <v>243</v>
      </c>
      <c r="H419" s="19"/>
    </row>
    <row r="420" spans="1:8" x14ac:dyDescent="0.3">
      <c r="A420" s="17"/>
      <c r="B420" s="19"/>
      <c r="C420" s="19"/>
      <c r="D420" s="19"/>
      <c r="E420" s="19"/>
      <c r="F420" s="3" t="s">
        <v>242</v>
      </c>
      <c r="G420" s="19"/>
      <c r="H420" s="19"/>
    </row>
    <row r="421" spans="1:8" ht="17.25" thickBot="1" x14ac:dyDescent="0.35">
      <c r="A421" s="6">
        <v>1</v>
      </c>
      <c r="B421" s="3">
        <v>1</v>
      </c>
      <c r="C421" s="11" t="s">
        <v>116</v>
      </c>
      <c r="D421" s="2">
        <v>1012</v>
      </c>
      <c r="E421" s="2">
        <v>0.412047</v>
      </c>
      <c r="F421" s="2">
        <v>1.244E-2</v>
      </c>
      <c r="G421" s="2">
        <v>0.38765375000000002</v>
      </c>
      <c r="H421" s="2">
        <v>0.43644008000000001</v>
      </c>
    </row>
    <row r="422" spans="1:8" ht="17.25" thickBot="1" x14ac:dyDescent="0.35">
      <c r="A422" s="6"/>
      <c r="B422" s="3">
        <v>2</v>
      </c>
      <c r="C422" s="11" t="s">
        <v>116</v>
      </c>
      <c r="D422" s="2">
        <v>954</v>
      </c>
      <c r="E422" s="2">
        <v>0.35273500000000002</v>
      </c>
      <c r="F422" s="2">
        <v>1.3299999999999999E-2</v>
      </c>
      <c r="G422" s="2">
        <v>0.32665676999999999</v>
      </c>
      <c r="H422" s="2">
        <v>0.37881276000000003</v>
      </c>
    </row>
    <row r="423" spans="1:8" ht="17.25" thickBot="1" x14ac:dyDescent="0.35">
      <c r="A423" s="6"/>
      <c r="B423" s="3">
        <v>3</v>
      </c>
      <c r="C423" s="11" t="s">
        <v>116</v>
      </c>
      <c r="D423" s="2">
        <v>933</v>
      </c>
      <c r="E423" s="2">
        <v>0.33397399999999999</v>
      </c>
      <c r="F423" s="2">
        <v>1.3106E-2</v>
      </c>
      <c r="G423" s="2">
        <v>0.30827603999999997</v>
      </c>
      <c r="H423" s="2">
        <v>0.35967215000000002</v>
      </c>
    </row>
    <row r="424" spans="1:8" ht="17.25" thickBot="1" x14ac:dyDescent="0.35">
      <c r="A424" s="6"/>
      <c r="B424" s="3">
        <v>4</v>
      </c>
      <c r="C424" s="11" t="s">
        <v>116</v>
      </c>
      <c r="D424" s="2">
        <v>841</v>
      </c>
      <c r="E424" s="2">
        <v>0.31495800000000002</v>
      </c>
      <c r="F424" s="2">
        <v>1.3042E-2</v>
      </c>
      <c r="G424" s="2">
        <v>0.28938434000000002</v>
      </c>
      <c r="H424" s="2">
        <v>0.34053191999999999</v>
      </c>
    </row>
    <row r="425" spans="1:8" ht="17.25" thickBot="1" x14ac:dyDescent="0.35">
      <c r="A425" s="6">
        <v>2</v>
      </c>
      <c r="B425" s="3">
        <v>1</v>
      </c>
      <c r="C425" s="11" t="s">
        <v>116</v>
      </c>
      <c r="D425" s="2">
        <v>1063</v>
      </c>
      <c r="E425" s="2">
        <v>0.329264</v>
      </c>
      <c r="F425" s="2">
        <v>1.2695E-2</v>
      </c>
      <c r="G425" s="2">
        <v>0.30437134999999998</v>
      </c>
      <c r="H425" s="2">
        <v>0.35415565999999998</v>
      </c>
    </row>
    <row r="426" spans="1:8" ht="17.25" thickBot="1" x14ac:dyDescent="0.35">
      <c r="A426" s="6"/>
      <c r="B426" s="3">
        <v>2</v>
      </c>
      <c r="C426" s="11" t="s">
        <v>116</v>
      </c>
      <c r="D426" s="2">
        <v>1221</v>
      </c>
      <c r="E426" s="2">
        <v>0.27886699999999998</v>
      </c>
      <c r="F426" s="2">
        <v>1.1096E-2</v>
      </c>
      <c r="G426" s="2">
        <v>0.25710959999999999</v>
      </c>
      <c r="H426" s="2">
        <v>0.30062362999999998</v>
      </c>
    </row>
    <row r="427" spans="1:8" ht="17.25" thickBot="1" x14ac:dyDescent="0.35">
      <c r="A427" s="6"/>
      <c r="B427" s="3">
        <v>3</v>
      </c>
      <c r="C427" s="11" t="s">
        <v>116</v>
      </c>
      <c r="D427" s="2">
        <v>1211</v>
      </c>
      <c r="E427" s="2">
        <v>0.26802900000000002</v>
      </c>
      <c r="F427" s="2">
        <v>1.1679E-2</v>
      </c>
      <c r="G427" s="2">
        <v>0.24512835999999999</v>
      </c>
      <c r="H427" s="2">
        <v>0.29092871999999997</v>
      </c>
    </row>
    <row r="428" spans="1:8" ht="17.25" thickBot="1" x14ac:dyDescent="0.35">
      <c r="A428" s="6"/>
      <c r="B428" s="3">
        <v>4</v>
      </c>
      <c r="C428" s="11" t="s">
        <v>116</v>
      </c>
      <c r="D428" s="2">
        <v>1237</v>
      </c>
      <c r="E428" s="2">
        <v>0.240671</v>
      </c>
      <c r="F428" s="2">
        <v>1.1162999999999999E-2</v>
      </c>
      <c r="G428" s="2">
        <v>0.21878260999999999</v>
      </c>
      <c r="H428" s="2">
        <v>0.26255993</v>
      </c>
    </row>
    <row r="429" spans="1:8" ht="17.25" thickBot="1" x14ac:dyDescent="0.35">
      <c r="A429" s="6">
        <v>3</v>
      </c>
      <c r="B429" s="3">
        <v>1</v>
      </c>
      <c r="C429" s="11" t="s">
        <v>116</v>
      </c>
      <c r="D429" s="2">
        <v>947</v>
      </c>
      <c r="E429" s="2">
        <v>0.39169900000000002</v>
      </c>
      <c r="F429" s="2">
        <v>1.2997999999999999E-2</v>
      </c>
      <c r="G429" s="2">
        <v>0.36621293999999999</v>
      </c>
      <c r="H429" s="2">
        <v>0.41718574000000003</v>
      </c>
    </row>
    <row r="430" spans="1:8" ht="17.25" thickBot="1" x14ac:dyDescent="0.35">
      <c r="A430" s="6"/>
      <c r="B430" s="3">
        <v>2</v>
      </c>
      <c r="C430" s="11" t="s">
        <v>116</v>
      </c>
      <c r="D430" s="2">
        <v>1133</v>
      </c>
      <c r="E430" s="2">
        <v>0.29070400000000002</v>
      </c>
      <c r="F430" s="2">
        <v>1.0952E-2</v>
      </c>
      <c r="G430" s="2">
        <v>0.26922874000000002</v>
      </c>
      <c r="H430" s="2">
        <v>0.31217868999999998</v>
      </c>
    </row>
    <row r="431" spans="1:8" ht="17.25" thickBot="1" x14ac:dyDescent="0.35">
      <c r="A431" s="6"/>
      <c r="B431" s="3">
        <v>3</v>
      </c>
      <c r="C431" s="11" t="s">
        <v>116</v>
      </c>
      <c r="D431" s="2">
        <v>1170</v>
      </c>
      <c r="E431" s="2">
        <v>0.27623399999999998</v>
      </c>
      <c r="F431" s="2">
        <v>1.1833E-2</v>
      </c>
      <c r="G431" s="2">
        <v>0.25303075000000003</v>
      </c>
      <c r="H431" s="2">
        <v>0.29943698000000002</v>
      </c>
    </row>
    <row r="432" spans="1:8" ht="17.25" thickBot="1" x14ac:dyDescent="0.35">
      <c r="A432" s="6"/>
      <c r="B432" s="3">
        <v>4</v>
      </c>
      <c r="C432" s="11" t="s">
        <v>116</v>
      </c>
      <c r="D432" s="2">
        <v>1007</v>
      </c>
      <c r="E432" s="2">
        <v>0.25702799999999998</v>
      </c>
      <c r="F432" s="2">
        <v>1.2326E-2</v>
      </c>
      <c r="G432" s="2">
        <v>0.23285873000000001</v>
      </c>
      <c r="H432" s="2">
        <v>0.28119752999999997</v>
      </c>
    </row>
    <row r="433" spans="1:8" ht="17.25" thickBot="1" x14ac:dyDescent="0.35">
      <c r="A433" s="6">
        <v>4</v>
      </c>
      <c r="B433" s="3">
        <v>1</v>
      </c>
      <c r="C433" s="11" t="s">
        <v>116</v>
      </c>
      <c r="D433" s="2">
        <v>1066</v>
      </c>
      <c r="E433" s="2">
        <v>0.37772899999999998</v>
      </c>
      <c r="F433" s="2">
        <v>1.2867999999999999E-2</v>
      </c>
      <c r="G433" s="2">
        <v>0.35249647000000001</v>
      </c>
      <c r="H433" s="2">
        <v>0.40296179999999998</v>
      </c>
    </row>
    <row r="434" spans="1:8" ht="17.25" thickBot="1" x14ac:dyDescent="0.35">
      <c r="A434" s="6"/>
      <c r="B434" s="3">
        <v>2</v>
      </c>
      <c r="C434" s="11" t="s">
        <v>116</v>
      </c>
      <c r="D434" s="2">
        <v>1087</v>
      </c>
      <c r="E434" s="2">
        <v>0.32435799999999998</v>
      </c>
      <c r="F434" s="2">
        <v>1.2281E-2</v>
      </c>
      <c r="G434" s="2">
        <v>0.30027714</v>
      </c>
      <c r="H434" s="2">
        <v>0.34843854000000002</v>
      </c>
    </row>
    <row r="435" spans="1:8" ht="17.25" thickBot="1" x14ac:dyDescent="0.35">
      <c r="A435" s="6"/>
      <c r="B435" s="3">
        <v>3</v>
      </c>
      <c r="C435" s="11" t="s">
        <v>116</v>
      </c>
      <c r="D435" s="2">
        <v>1178</v>
      </c>
      <c r="E435" s="2">
        <v>0.27697899999999998</v>
      </c>
      <c r="F435" s="2">
        <v>1.0697999999999999E-2</v>
      </c>
      <c r="G435" s="2">
        <v>0.25600244999999999</v>
      </c>
      <c r="H435" s="2">
        <v>0.29795593999999997</v>
      </c>
    </row>
    <row r="436" spans="1:8" ht="17.25" thickBot="1" x14ac:dyDescent="0.35">
      <c r="A436" s="6"/>
      <c r="B436" s="3">
        <v>4</v>
      </c>
      <c r="C436" s="11" t="s">
        <v>116</v>
      </c>
      <c r="D436" s="2">
        <v>1225</v>
      </c>
      <c r="E436" s="2">
        <v>0.26768500000000001</v>
      </c>
      <c r="F436" s="2">
        <v>1.2364E-2</v>
      </c>
      <c r="G436" s="2">
        <v>0.2434413</v>
      </c>
      <c r="H436" s="2">
        <v>0.29192962</v>
      </c>
    </row>
    <row r="437" spans="1:8" ht="17.25" thickBot="1" x14ac:dyDescent="0.35">
      <c r="A437" s="6">
        <v>5</v>
      </c>
      <c r="B437" s="3">
        <v>1</v>
      </c>
      <c r="C437" s="11" t="s">
        <v>116</v>
      </c>
      <c r="D437" s="2">
        <v>1217</v>
      </c>
      <c r="E437" s="2">
        <v>0.33978399999999997</v>
      </c>
      <c r="F437" s="2">
        <v>1.1790999999999999E-2</v>
      </c>
      <c r="G437" s="2">
        <v>0.31666335000000001</v>
      </c>
      <c r="H437" s="2">
        <v>0.36290387000000002</v>
      </c>
    </row>
    <row r="438" spans="1:8" ht="17.25" thickBot="1" x14ac:dyDescent="0.35">
      <c r="A438" s="6"/>
      <c r="B438" s="3">
        <v>2</v>
      </c>
      <c r="C438" s="11" t="s">
        <v>116</v>
      </c>
      <c r="D438" s="2">
        <v>1235</v>
      </c>
      <c r="E438" s="2">
        <v>0.29948999999999998</v>
      </c>
      <c r="F438" s="2">
        <v>1.1348E-2</v>
      </c>
      <c r="G438" s="2">
        <v>0.27723990999999998</v>
      </c>
      <c r="H438" s="2">
        <v>0.3217409</v>
      </c>
    </row>
    <row r="439" spans="1:8" ht="17.25" thickBot="1" x14ac:dyDescent="0.35">
      <c r="A439" s="6"/>
      <c r="B439" s="3">
        <v>3</v>
      </c>
      <c r="C439" s="11" t="s">
        <v>116</v>
      </c>
      <c r="D439" s="2">
        <v>1075</v>
      </c>
      <c r="E439" s="2">
        <v>0.27534599999999998</v>
      </c>
      <c r="F439" s="2">
        <v>1.1050000000000001E-2</v>
      </c>
      <c r="G439" s="2">
        <v>0.25367835</v>
      </c>
      <c r="H439" s="2">
        <v>0.29701319999999998</v>
      </c>
    </row>
    <row r="440" spans="1:8" ht="17.25" thickBot="1" x14ac:dyDescent="0.35">
      <c r="A440" s="6"/>
      <c r="B440" s="3">
        <v>4</v>
      </c>
      <c r="C440" s="11" t="s">
        <v>116</v>
      </c>
      <c r="D440" s="2">
        <v>974</v>
      </c>
      <c r="E440" s="2">
        <v>0.261013</v>
      </c>
      <c r="F440" s="2">
        <v>1.2300999999999999E-2</v>
      </c>
      <c r="G440" s="2">
        <v>0.23689273</v>
      </c>
      <c r="H440" s="2">
        <v>0.28513342000000003</v>
      </c>
    </row>
    <row r="441" spans="1:8" ht="17.25" thickBot="1" x14ac:dyDescent="0.35">
      <c r="A441" s="6">
        <v>6</v>
      </c>
      <c r="B441" s="3">
        <v>1</v>
      </c>
      <c r="C441" s="11" t="s">
        <v>116</v>
      </c>
      <c r="D441" s="2">
        <v>351</v>
      </c>
      <c r="E441" s="2">
        <v>0.31503999999999999</v>
      </c>
      <c r="F441" s="2">
        <v>1.9297000000000002E-2</v>
      </c>
      <c r="G441" s="2">
        <v>0.27720155000000002</v>
      </c>
      <c r="H441" s="2">
        <v>0.35287782000000001</v>
      </c>
    </row>
    <row r="442" spans="1:8" ht="17.25" thickBot="1" x14ac:dyDescent="0.35">
      <c r="A442" s="6"/>
      <c r="B442" s="3">
        <v>2</v>
      </c>
      <c r="C442" s="11" t="s">
        <v>116</v>
      </c>
      <c r="D442" s="2">
        <v>371</v>
      </c>
      <c r="E442" s="2">
        <v>0.24137900000000001</v>
      </c>
      <c r="F442" s="2">
        <v>2.0056999999999998E-2</v>
      </c>
      <c r="G442" s="2">
        <v>0.20205070999999999</v>
      </c>
      <c r="H442" s="2">
        <v>0.28070743999999997</v>
      </c>
    </row>
    <row r="443" spans="1:8" ht="17.25" thickBot="1" x14ac:dyDescent="0.35">
      <c r="A443" s="6"/>
      <c r="B443" s="3">
        <v>3</v>
      </c>
      <c r="C443" s="11" t="s">
        <v>116</v>
      </c>
      <c r="D443" s="2">
        <v>377</v>
      </c>
      <c r="E443" s="2">
        <v>0.22431000000000001</v>
      </c>
      <c r="F443" s="2">
        <v>1.6969000000000001E-2</v>
      </c>
      <c r="G443" s="2">
        <v>0.19103598999999999</v>
      </c>
      <c r="H443" s="2">
        <v>0.25758387999999999</v>
      </c>
    </row>
    <row r="444" spans="1:8" x14ac:dyDescent="0.3">
      <c r="A444" s="6"/>
      <c r="B444" s="3">
        <v>4</v>
      </c>
      <c r="C444" s="14" t="s">
        <v>116</v>
      </c>
      <c r="D444" s="2">
        <v>337</v>
      </c>
      <c r="E444" s="2">
        <v>0.234095</v>
      </c>
      <c r="F444" s="2">
        <v>1.8992999999999999E-2</v>
      </c>
      <c r="G444" s="2">
        <v>0.19685346000000001</v>
      </c>
      <c r="H444" s="2">
        <v>0.27133591000000001</v>
      </c>
    </row>
    <row r="448" spans="1:8" x14ac:dyDescent="0.3">
      <c r="A448" s="1" t="s">
        <v>237</v>
      </c>
    </row>
    <row r="450" spans="1:6" x14ac:dyDescent="0.3">
      <c r="A450" s="1" t="s">
        <v>21</v>
      </c>
    </row>
    <row r="451" spans="1:6" ht="17.25" thickBot="1" x14ac:dyDescent="0.35"/>
    <row r="452" spans="1:6" ht="16.5" customHeight="1" x14ac:dyDescent="0.3">
      <c r="A452" s="16" t="s">
        <v>135</v>
      </c>
      <c r="B452" s="18"/>
    </row>
    <row r="453" spans="1:6" ht="26.25" thickBot="1" x14ac:dyDescent="0.35">
      <c r="A453" s="12" t="s">
        <v>136</v>
      </c>
      <c r="B453" s="2">
        <v>183</v>
      </c>
    </row>
    <row r="454" spans="1:6" ht="26.25" thickBot="1" x14ac:dyDescent="0.35">
      <c r="A454" s="12" t="s">
        <v>137</v>
      </c>
      <c r="B454" s="2">
        <v>2982</v>
      </c>
    </row>
    <row r="455" spans="1:6" ht="39" thickBot="1" x14ac:dyDescent="0.35">
      <c r="A455" s="12" t="s">
        <v>138</v>
      </c>
      <c r="B455" s="2">
        <v>68635</v>
      </c>
    </row>
    <row r="456" spans="1:6" ht="25.5" x14ac:dyDescent="0.3">
      <c r="A456" s="13" t="s">
        <v>139</v>
      </c>
      <c r="B456" s="2">
        <v>30251935.699999999</v>
      </c>
    </row>
    <row r="457" spans="1:6" ht="17.25" thickBot="1" x14ac:dyDescent="0.35"/>
    <row r="458" spans="1:6" ht="33" customHeight="1" x14ac:dyDescent="0.3">
      <c r="A458" s="16" t="s">
        <v>140</v>
      </c>
      <c r="B458" s="18"/>
    </row>
    <row r="459" spans="1:6" ht="33.75" thickBot="1" x14ac:dyDescent="0.35">
      <c r="A459" s="12" t="s">
        <v>141</v>
      </c>
      <c r="B459" s="2" t="s">
        <v>142</v>
      </c>
    </row>
    <row r="460" spans="1:6" ht="25.5" x14ac:dyDescent="0.3">
      <c r="A460" s="13" t="s">
        <v>143</v>
      </c>
      <c r="B460" s="2" t="s">
        <v>144</v>
      </c>
    </row>
    <row r="461" spans="1:6" ht="17.25" thickBot="1" x14ac:dyDescent="0.35"/>
    <row r="462" spans="1:6" ht="16.5" customHeight="1" x14ac:dyDescent="0.3">
      <c r="A462" s="16" t="s">
        <v>238</v>
      </c>
      <c r="B462" s="18"/>
      <c r="C462" s="18"/>
      <c r="D462" s="18"/>
      <c r="E462" s="18"/>
      <c r="F462" s="18"/>
    </row>
    <row r="463" spans="1:6" ht="16.5" customHeight="1" x14ac:dyDescent="0.3">
      <c r="A463" s="17" t="s">
        <v>239</v>
      </c>
      <c r="B463" s="19" t="s">
        <v>94</v>
      </c>
      <c r="C463" s="19" t="s">
        <v>240</v>
      </c>
      <c r="D463" s="3" t="s">
        <v>241</v>
      </c>
      <c r="E463" s="19" t="s">
        <v>243</v>
      </c>
      <c r="F463" s="19"/>
    </row>
    <row r="464" spans="1:6" x14ac:dyDescent="0.3">
      <c r="A464" s="17"/>
      <c r="B464" s="19"/>
      <c r="C464" s="19"/>
      <c r="D464" s="3" t="s">
        <v>242</v>
      </c>
      <c r="E464" s="19"/>
      <c r="F464" s="19"/>
    </row>
    <row r="465" spans="1:15" x14ac:dyDescent="0.3">
      <c r="A465" s="13" t="s">
        <v>116</v>
      </c>
      <c r="B465" s="2">
        <v>68635</v>
      </c>
      <c r="C465" s="2">
        <v>0.34523599999999999</v>
      </c>
      <c r="D465" s="2">
        <v>1.6490000000000001E-3</v>
      </c>
      <c r="E465" s="2">
        <v>0.34200205</v>
      </c>
      <c r="F465" s="2">
        <v>0.34847033999999999</v>
      </c>
    </row>
    <row r="469" spans="1:15" x14ac:dyDescent="0.3">
      <c r="A469" s="1" t="s">
        <v>237</v>
      </c>
    </row>
    <row r="471" spans="1:15" x14ac:dyDescent="0.3">
      <c r="A471" s="1" t="s">
        <v>21</v>
      </c>
    </row>
    <row r="472" spans="1:15" ht="17.25" thickBot="1" x14ac:dyDescent="0.35"/>
    <row r="473" spans="1:15" ht="16.5" customHeight="1" x14ac:dyDescent="0.3">
      <c r="A473" s="16" t="s">
        <v>254</v>
      </c>
      <c r="B473" s="18"/>
      <c r="C473" s="18"/>
      <c r="D473" s="18"/>
      <c r="E473" s="18"/>
      <c r="F473" s="18"/>
      <c r="G473" s="18"/>
      <c r="H473" s="18"/>
    </row>
    <row r="474" spans="1:15" ht="16.5" customHeight="1" x14ac:dyDescent="0.3">
      <c r="A474" s="17" t="s">
        <v>249</v>
      </c>
      <c r="B474" s="19" t="s">
        <v>9</v>
      </c>
      <c r="C474" s="19" t="s">
        <v>239</v>
      </c>
      <c r="D474" s="19" t="s">
        <v>94</v>
      </c>
      <c r="E474" s="19" t="s">
        <v>240</v>
      </c>
      <c r="F474" s="3" t="s">
        <v>241</v>
      </c>
      <c r="G474" s="19" t="s">
        <v>243</v>
      </c>
      <c r="H474" s="19"/>
    </row>
    <row r="475" spans="1:15" x14ac:dyDescent="0.3">
      <c r="A475" s="17"/>
      <c r="B475" s="19"/>
      <c r="C475" s="19"/>
      <c r="D475" s="19"/>
      <c r="E475" s="19"/>
      <c r="F475" s="3" t="s">
        <v>242</v>
      </c>
      <c r="G475" s="19"/>
      <c r="H475" s="19"/>
    </row>
    <row r="476" spans="1:15" ht="17.25" thickBot="1" x14ac:dyDescent="0.35">
      <c r="A476" s="6">
        <v>1</v>
      </c>
      <c r="B476" s="3">
        <v>1</v>
      </c>
      <c r="C476" s="11" t="s">
        <v>116</v>
      </c>
      <c r="D476" s="2">
        <v>2306</v>
      </c>
      <c r="E476" s="2">
        <v>0.39923700000000001</v>
      </c>
      <c r="F476" s="2">
        <v>8.9429999999999996E-3</v>
      </c>
      <c r="G476" s="2">
        <v>0.38170254999999997</v>
      </c>
      <c r="H476" s="2">
        <v>0.41677172000000001</v>
      </c>
      <c r="J476" t="str">
        <f t="shared" ref="J476:J499" si="14">TEXT(E476,"0.00")&amp;" ("&amp;TEXT(G476,"0.00")&amp;" to "&amp;TEXT(H476,"0.00")&amp;")"</f>
        <v>0.40 (0.38 to 0.42)</v>
      </c>
      <c r="K476" t="str">
        <f>J480</f>
        <v>0.39 (0.37 to 0.40)</v>
      </c>
      <c r="L476" t="str">
        <f>J484</f>
        <v>0.41 (0.39 to 0.43)</v>
      </c>
      <c r="M476" t="str">
        <f>J488</f>
        <v>0.39 (0.37 to 0.41)</v>
      </c>
      <c r="N476" t="str">
        <f>J492</f>
        <v>0.36 (0.34 to 0.38)</v>
      </c>
      <c r="O476" t="str">
        <f>J496</f>
        <v>0.28 (0.26 to 0.31)</v>
      </c>
    </row>
    <row r="477" spans="1:15" ht="17.25" thickBot="1" x14ac:dyDescent="0.35">
      <c r="A477" s="6"/>
      <c r="B477" s="3">
        <v>2</v>
      </c>
      <c r="C477" s="11" t="s">
        <v>116</v>
      </c>
      <c r="D477" s="2">
        <v>2964</v>
      </c>
      <c r="E477" s="2">
        <v>0.38384800000000002</v>
      </c>
      <c r="F477" s="2">
        <v>7.7190000000000002E-3</v>
      </c>
      <c r="G477" s="2">
        <v>0.36871188999999999</v>
      </c>
      <c r="H477" s="2">
        <v>0.39898328</v>
      </c>
      <c r="J477" t="str">
        <f t="shared" si="14"/>
        <v>0.38 (0.37 to 0.40)</v>
      </c>
      <c r="K477" t="str">
        <f t="shared" ref="K477:K479" si="15">J481</f>
        <v>0.36 (0.35 to 0.38)</v>
      </c>
      <c r="L477" t="str">
        <f t="shared" ref="L477:L479" si="16">J485</f>
        <v>0.35 (0.33 to 0.36)</v>
      </c>
      <c r="M477" t="str">
        <f t="shared" ref="M477:M479" si="17">J489</f>
        <v>0.36 (0.35 to 0.38)</v>
      </c>
      <c r="N477" t="str">
        <f t="shared" ref="N477:N479" si="18">J493</f>
        <v>0.34 (0.32 to 0.35)</v>
      </c>
      <c r="O477" t="str">
        <f t="shared" ref="O477:O479" si="19">J497</f>
        <v>0.32 (0.30 to 0.34)</v>
      </c>
    </row>
    <row r="478" spans="1:15" ht="17.25" thickBot="1" x14ac:dyDescent="0.35">
      <c r="A478" s="6"/>
      <c r="B478" s="3">
        <v>3</v>
      </c>
      <c r="C478" s="11" t="s">
        <v>116</v>
      </c>
      <c r="D478" s="2">
        <v>3319</v>
      </c>
      <c r="E478" s="2">
        <v>0.358599</v>
      </c>
      <c r="F478" s="2">
        <v>6.7650000000000002E-3</v>
      </c>
      <c r="G478" s="2">
        <v>0.34533514999999998</v>
      </c>
      <c r="H478" s="2">
        <v>0.37186362000000001</v>
      </c>
      <c r="J478" t="str">
        <f t="shared" si="14"/>
        <v>0.36 (0.35 to 0.37)</v>
      </c>
      <c r="K478" t="str">
        <f t="shared" si="15"/>
        <v>0.35 (0.34 to 0.36)</v>
      </c>
      <c r="L478" t="str">
        <f t="shared" si="16"/>
        <v>0.35 (0.34 to 0.36)</v>
      </c>
      <c r="M478" t="str">
        <f t="shared" si="17"/>
        <v>0.35 (0.34 to 0.36)</v>
      </c>
      <c r="N478" t="str">
        <f t="shared" si="18"/>
        <v>0.33 (0.32 to 0.34)</v>
      </c>
      <c r="O478" t="str">
        <f t="shared" si="19"/>
        <v>0.30 (0.28 to 0.32)</v>
      </c>
    </row>
    <row r="479" spans="1:15" ht="17.25" thickBot="1" x14ac:dyDescent="0.35">
      <c r="A479" s="6"/>
      <c r="B479" s="3">
        <v>4</v>
      </c>
      <c r="C479" s="11" t="s">
        <v>116</v>
      </c>
      <c r="D479" s="2">
        <v>3326</v>
      </c>
      <c r="E479" s="2">
        <v>0.34900599999999998</v>
      </c>
      <c r="F479" s="2">
        <v>6.391E-3</v>
      </c>
      <c r="G479" s="2">
        <v>0.33647366000000001</v>
      </c>
      <c r="H479" s="2">
        <v>0.36153839999999998</v>
      </c>
      <c r="J479" t="str">
        <f t="shared" si="14"/>
        <v>0.35 (0.34 to 0.36)</v>
      </c>
      <c r="K479" t="str">
        <f t="shared" si="15"/>
        <v>0.35 (0.33 to 0.36)</v>
      </c>
      <c r="L479" t="str">
        <f t="shared" si="16"/>
        <v>0.33 (0.31 to 0.34)</v>
      </c>
      <c r="M479" t="str">
        <f t="shared" si="17"/>
        <v>0.34 (0.32 to 0.35)</v>
      </c>
      <c r="N479" t="str">
        <f t="shared" si="18"/>
        <v>0.31 (0.30 to 0.33)</v>
      </c>
      <c r="O479" t="str">
        <f t="shared" si="19"/>
        <v>0.27 (0.25 to 0.29)</v>
      </c>
    </row>
    <row r="480" spans="1:15" ht="17.25" thickBot="1" x14ac:dyDescent="0.35">
      <c r="A480" s="6">
        <v>2</v>
      </c>
      <c r="B480" s="3">
        <v>1</v>
      </c>
      <c r="C480" s="11" t="s">
        <v>116</v>
      </c>
      <c r="D480" s="2">
        <v>2174</v>
      </c>
      <c r="E480" s="2">
        <v>0.38532899999999998</v>
      </c>
      <c r="F480" s="2">
        <v>9.5820000000000002E-3</v>
      </c>
      <c r="G480" s="2">
        <v>0.36654158999999997</v>
      </c>
      <c r="H480" s="2">
        <v>0.40411730000000001</v>
      </c>
      <c r="J480" t="str">
        <f t="shared" si="14"/>
        <v>0.39 (0.37 to 0.40)</v>
      </c>
    </row>
    <row r="481" spans="1:10" ht="17.25" thickBot="1" x14ac:dyDescent="0.35">
      <c r="A481" s="6"/>
      <c r="B481" s="3">
        <v>2</v>
      </c>
      <c r="C481" s="11" t="s">
        <v>116</v>
      </c>
      <c r="D481" s="2">
        <v>3356</v>
      </c>
      <c r="E481" s="2">
        <v>0.36289199999999999</v>
      </c>
      <c r="F481" s="2">
        <v>7.3590000000000001E-3</v>
      </c>
      <c r="G481" s="2">
        <v>0.34846185000000002</v>
      </c>
      <c r="H481" s="2">
        <v>0.37732135999999999</v>
      </c>
      <c r="J481" t="str">
        <f t="shared" si="14"/>
        <v>0.36 (0.35 to 0.38)</v>
      </c>
    </row>
    <row r="482" spans="1:10" ht="17.25" thickBot="1" x14ac:dyDescent="0.35">
      <c r="A482" s="6"/>
      <c r="B482" s="3">
        <v>3</v>
      </c>
      <c r="C482" s="11" t="s">
        <v>116</v>
      </c>
      <c r="D482" s="2">
        <v>3737</v>
      </c>
      <c r="E482" s="2">
        <v>0.348804</v>
      </c>
      <c r="F482" s="2">
        <v>6.659E-3</v>
      </c>
      <c r="G482" s="2">
        <v>0.33574735999999999</v>
      </c>
      <c r="H482" s="2">
        <v>0.36185996999999998</v>
      </c>
      <c r="J482" t="str">
        <f t="shared" si="14"/>
        <v>0.35 (0.34 to 0.36)</v>
      </c>
    </row>
    <row r="483" spans="1:10" ht="17.25" thickBot="1" x14ac:dyDescent="0.35">
      <c r="A483" s="6"/>
      <c r="B483" s="3">
        <v>4</v>
      </c>
      <c r="C483" s="11" t="s">
        <v>116</v>
      </c>
      <c r="D483" s="2">
        <v>3849</v>
      </c>
      <c r="E483" s="2">
        <v>0.34567999999999999</v>
      </c>
      <c r="F483" s="2">
        <v>7.2509999999999996E-3</v>
      </c>
      <c r="G483" s="2">
        <v>0.3314629</v>
      </c>
      <c r="H483" s="2">
        <v>0.35989726</v>
      </c>
      <c r="J483" t="str">
        <f t="shared" si="14"/>
        <v>0.35 (0.33 to 0.36)</v>
      </c>
    </row>
    <row r="484" spans="1:10" ht="17.25" thickBot="1" x14ac:dyDescent="0.35">
      <c r="A484" s="6">
        <v>3</v>
      </c>
      <c r="B484" s="3">
        <v>1</v>
      </c>
      <c r="C484" s="11" t="s">
        <v>116</v>
      </c>
      <c r="D484" s="2">
        <v>1765</v>
      </c>
      <c r="E484" s="2">
        <v>0.40662300000000001</v>
      </c>
      <c r="F484" s="2">
        <v>1.0631E-2</v>
      </c>
      <c r="G484" s="2">
        <v>0.38577881000000003</v>
      </c>
      <c r="H484" s="2">
        <v>0.42746799000000002</v>
      </c>
      <c r="J484" t="str">
        <f t="shared" si="14"/>
        <v>0.41 (0.39 to 0.43)</v>
      </c>
    </row>
    <row r="485" spans="1:10" ht="17.25" thickBot="1" x14ac:dyDescent="0.35">
      <c r="A485" s="6"/>
      <c r="B485" s="3">
        <v>2</v>
      </c>
      <c r="C485" s="11" t="s">
        <v>116</v>
      </c>
      <c r="D485" s="2">
        <v>2863</v>
      </c>
      <c r="E485" s="2">
        <v>0.346416</v>
      </c>
      <c r="F485" s="2">
        <v>7.7279999999999996E-3</v>
      </c>
      <c r="G485" s="2">
        <v>0.33126251000000001</v>
      </c>
      <c r="H485" s="2">
        <v>0.36157007000000002</v>
      </c>
      <c r="J485" t="str">
        <f t="shared" si="14"/>
        <v>0.35 (0.33 to 0.36)</v>
      </c>
    </row>
    <row r="486" spans="1:10" ht="17.25" thickBot="1" x14ac:dyDescent="0.35">
      <c r="A486" s="6"/>
      <c r="B486" s="3">
        <v>3</v>
      </c>
      <c r="C486" s="11" t="s">
        <v>116</v>
      </c>
      <c r="D486" s="2">
        <v>3314</v>
      </c>
      <c r="E486" s="2">
        <v>0.34852499999999997</v>
      </c>
      <c r="F486" s="2">
        <v>6.5820000000000002E-3</v>
      </c>
      <c r="G486" s="2">
        <v>0.33561924999999998</v>
      </c>
      <c r="H486" s="2">
        <v>0.36143017</v>
      </c>
      <c r="J486" t="str">
        <f t="shared" si="14"/>
        <v>0.35 (0.34 to 0.36)</v>
      </c>
    </row>
    <row r="487" spans="1:10" ht="17.25" thickBot="1" x14ac:dyDescent="0.35">
      <c r="A487" s="6"/>
      <c r="B487" s="3">
        <v>4</v>
      </c>
      <c r="C487" s="11" t="s">
        <v>116</v>
      </c>
      <c r="D487" s="2">
        <v>3533</v>
      </c>
      <c r="E487" s="2">
        <v>0.32789800000000002</v>
      </c>
      <c r="F487" s="2">
        <v>6.7889999999999999E-3</v>
      </c>
      <c r="G487" s="2">
        <v>0.31458638999999999</v>
      </c>
      <c r="H487" s="2">
        <v>0.34121005999999998</v>
      </c>
      <c r="J487" t="str">
        <f t="shared" si="14"/>
        <v>0.33 (0.31 to 0.34)</v>
      </c>
    </row>
    <row r="488" spans="1:10" ht="17.25" thickBot="1" x14ac:dyDescent="0.35">
      <c r="A488" s="6">
        <v>4</v>
      </c>
      <c r="B488" s="3">
        <v>1</v>
      </c>
      <c r="C488" s="11" t="s">
        <v>116</v>
      </c>
      <c r="D488" s="2">
        <v>2304</v>
      </c>
      <c r="E488" s="2">
        <v>0.39095099999999999</v>
      </c>
      <c r="F488" s="2">
        <v>9.9450000000000007E-3</v>
      </c>
      <c r="G488" s="2">
        <v>0.37144973999999997</v>
      </c>
      <c r="H488" s="2">
        <v>0.41045190999999998</v>
      </c>
      <c r="J488" t="str">
        <f t="shared" si="14"/>
        <v>0.39 (0.37 to 0.41)</v>
      </c>
    </row>
    <row r="489" spans="1:10" ht="17.25" thickBot="1" x14ac:dyDescent="0.35">
      <c r="A489" s="6"/>
      <c r="B489" s="3">
        <v>2</v>
      </c>
      <c r="C489" s="11" t="s">
        <v>116</v>
      </c>
      <c r="D489" s="2">
        <v>3403</v>
      </c>
      <c r="E489" s="2">
        <v>0.36173499999999997</v>
      </c>
      <c r="F489" s="2">
        <v>6.8389999999999996E-3</v>
      </c>
      <c r="G489" s="2">
        <v>0.34832550000000001</v>
      </c>
      <c r="H489" s="2">
        <v>0.37514484999999997</v>
      </c>
      <c r="J489" t="str">
        <f t="shared" si="14"/>
        <v>0.36 (0.35 to 0.38)</v>
      </c>
    </row>
    <row r="490" spans="1:10" ht="17.25" thickBot="1" x14ac:dyDescent="0.35">
      <c r="A490" s="6"/>
      <c r="B490" s="3">
        <v>3</v>
      </c>
      <c r="C490" s="11" t="s">
        <v>116</v>
      </c>
      <c r="D490" s="2">
        <v>4062</v>
      </c>
      <c r="E490" s="2">
        <v>0.34750599999999998</v>
      </c>
      <c r="F490" s="2">
        <v>6.0309999999999999E-3</v>
      </c>
      <c r="G490" s="2">
        <v>0.33567991000000003</v>
      </c>
      <c r="H490" s="2">
        <v>0.35933292</v>
      </c>
      <c r="J490" t="str">
        <f t="shared" si="14"/>
        <v>0.35 (0.34 to 0.36)</v>
      </c>
    </row>
    <row r="491" spans="1:10" ht="17.25" thickBot="1" x14ac:dyDescent="0.35">
      <c r="A491" s="6"/>
      <c r="B491" s="3">
        <v>4</v>
      </c>
      <c r="C491" s="11" t="s">
        <v>116</v>
      </c>
      <c r="D491" s="2">
        <v>4389</v>
      </c>
      <c r="E491" s="2">
        <v>0.33609699999999998</v>
      </c>
      <c r="F491" s="2">
        <v>6.2709999999999997E-3</v>
      </c>
      <c r="G491" s="2">
        <v>0.32379987999999998</v>
      </c>
      <c r="H491" s="2">
        <v>0.34839429999999999</v>
      </c>
      <c r="J491" t="str">
        <f t="shared" si="14"/>
        <v>0.34 (0.32 to 0.35)</v>
      </c>
    </row>
    <row r="492" spans="1:10" ht="17.25" thickBot="1" x14ac:dyDescent="0.35">
      <c r="A492" s="6">
        <v>5</v>
      </c>
      <c r="B492" s="3">
        <v>1</v>
      </c>
      <c r="C492" s="11" t="s">
        <v>116</v>
      </c>
      <c r="D492" s="2">
        <v>2058</v>
      </c>
      <c r="E492" s="2">
        <v>0.35778799999999999</v>
      </c>
      <c r="F492" s="2">
        <v>9.5250000000000005E-3</v>
      </c>
      <c r="G492" s="2">
        <v>0.33911100999999999</v>
      </c>
      <c r="H492" s="2">
        <v>0.37646591000000001</v>
      </c>
      <c r="J492" t="str">
        <f t="shared" si="14"/>
        <v>0.36 (0.34 to 0.38)</v>
      </c>
    </row>
    <row r="493" spans="1:10" ht="17.25" thickBot="1" x14ac:dyDescent="0.35">
      <c r="A493" s="6"/>
      <c r="B493" s="3">
        <v>2</v>
      </c>
      <c r="C493" s="11" t="s">
        <v>116</v>
      </c>
      <c r="D493" s="2">
        <v>3220</v>
      </c>
      <c r="E493" s="2">
        <v>0.33601999999999999</v>
      </c>
      <c r="F493" s="2">
        <v>7.1999999999999998E-3</v>
      </c>
      <c r="G493" s="2">
        <v>0.32190132999999999</v>
      </c>
      <c r="H493" s="2">
        <v>0.35013824999999998</v>
      </c>
      <c r="J493" t="str">
        <f t="shared" si="14"/>
        <v>0.34 (0.32 to 0.35)</v>
      </c>
    </row>
    <row r="494" spans="1:10" ht="17.25" thickBot="1" x14ac:dyDescent="0.35">
      <c r="A494" s="6"/>
      <c r="B494" s="3">
        <v>3</v>
      </c>
      <c r="C494" s="11" t="s">
        <v>116</v>
      </c>
      <c r="D494" s="2">
        <v>3860</v>
      </c>
      <c r="E494" s="2">
        <v>0.32776100000000002</v>
      </c>
      <c r="F494" s="2">
        <v>6.3660000000000001E-3</v>
      </c>
      <c r="G494" s="2">
        <v>0.31527817000000002</v>
      </c>
      <c r="H494" s="2">
        <v>0.34024356</v>
      </c>
      <c r="J494" t="str">
        <f t="shared" si="14"/>
        <v>0.33 (0.32 to 0.34)</v>
      </c>
    </row>
    <row r="495" spans="1:10" ht="17.25" thickBot="1" x14ac:dyDescent="0.35">
      <c r="A495" s="6"/>
      <c r="B495" s="3">
        <v>4</v>
      </c>
      <c r="C495" s="11" t="s">
        <v>116</v>
      </c>
      <c r="D495" s="2">
        <v>4417</v>
      </c>
      <c r="E495" s="2">
        <v>0.31432700000000002</v>
      </c>
      <c r="F495" s="2">
        <v>6.3839999999999999E-3</v>
      </c>
      <c r="G495" s="2">
        <v>0.30180931999999999</v>
      </c>
      <c r="H495" s="2">
        <v>0.32684416999999999</v>
      </c>
      <c r="J495" t="str">
        <f t="shared" si="14"/>
        <v>0.31 (0.30 to 0.33)</v>
      </c>
    </row>
    <row r="496" spans="1:10" ht="17.25" thickBot="1" x14ac:dyDescent="0.35">
      <c r="A496" s="6">
        <v>6</v>
      </c>
      <c r="B496" s="3">
        <v>1</v>
      </c>
      <c r="C496" s="11" t="s">
        <v>116</v>
      </c>
      <c r="D496" s="2">
        <v>658</v>
      </c>
      <c r="E496" s="2">
        <v>0.28184500000000001</v>
      </c>
      <c r="F496" s="2">
        <v>1.3424999999999999E-2</v>
      </c>
      <c r="G496" s="2">
        <v>0.25551991000000002</v>
      </c>
      <c r="H496" s="2">
        <v>0.30816917999999999</v>
      </c>
      <c r="J496" t="str">
        <f t="shared" si="14"/>
        <v>0.28 (0.26 to 0.31)</v>
      </c>
    </row>
    <row r="497" spans="1:10" ht="17.25" thickBot="1" x14ac:dyDescent="0.35">
      <c r="A497" s="6"/>
      <c r="B497" s="3">
        <v>2</v>
      </c>
      <c r="C497" s="11" t="s">
        <v>116</v>
      </c>
      <c r="D497" s="2">
        <v>1028</v>
      </c>
      <c r="E497" s="2">
        <v>0.32061800000000001</v>
      </c>
      <c r="F497" s="2">
        <v>1.1245E-2</v>
      </c>
      <c r="G497" s="2">
        <v>0.29856948999999999</v>
      </c>
      <c r="H497" s="2">
        <v>0.34266692999999998</v>
      </c>
      <c r="J497" t="str">
        <f t="shared" si="14"/>
        <v>0.32 (0.30 to 0.34)</v>
      </c>
    </row>
    <row r="498" spans="1:10" ht="17.25" thickBot="1" x14ac:dyDescent="0.35">
      <c r="A498" s="6"/>
      <c r="B498" s="3">
        <v>3</v>
      </c>
      <c r="C498" s="11" t="s">
        <v>116</v>
      </c>
      <c r="D498" s="2">
        <v>1294</v>
      </c>
      <c r="E498" s="2">
        <v>0.29711399999999999</v>
      </c>
      <c r="F498" s="2">
        <v>1.0772E-2</v>
      </c>
      <c r="G498" s="2">
        <v>0.27599175999999997</v>
      </c>
      <c r="H498" s="2">
        <v>0.31823588000000003</v>
      </c>
      <c r="J498" t="str">
        <f t="shared" si="14"/>
        <v>0.30 (0.28 to 0.32)</v>
      </c>
    </row>
    <row r="499" spans="1:10" x14ac:dyDescent="0.3">
      <c r="A499" s="6"/>
      <c r="B499" s="3">
        <v>4</v>
      </c>
      <c r="C499" s="14" t="s">
        <v>116</v>
      </c>
      <c r="D499" s="2">
        <v>1436</v>
      </c>
      <c r="E499" s="2">
        <v>0.26916099999999998</v>
      </c>
      <c r="F499" s="2">
        <v>1.0296E-2</v>
      </c>
      <c r="G499" s="2">
        <v>0.24897221</v>
      </c>
      <c r="H499" s="2">
        <v>0.28935008000000001</v>
      </c>
      <c r="J499" t="str">
        <f t="shared" si="14"/>
        <v>0.27 (0.25 to 0.29)</v>
      </c>
    </row>
    <row r="503" spans="1:10" x14ac:dyDescent="0.3">
      <c r="A503" s="1" t="s">
        <v>237</v>
      </c>
    </row>
    <row r="505" spans="1:10" x14ac:dyDescent="0.3">
      <c r="A505" s="1" t="s">
        <v>1</v>
      </c>
    </row>
    <row r="506" spans="1:10" ht="17.25" thickBot="1" x14ac:dyDescent="0.35"/>
    <row r="507" spans="1:10" ht="16.5" customHeight="1" x14ac:dyDescent="0.3">
      <c r="A507" s="16" t="s">
        <v>135</v>
      </c>
      <c r="B507" s="18"/>
    </row>
    <row r="508" spans="1:10" ht="26.25" thickBot="1" x14ac:dyDescent="0.35">
      <c r="A508" s="12" t="s">
        <v>136</v>
      </c>
      <c r="B508" s="2">
        <v>183</v>
      </c>
    </row>
    <row r="509" spans="1:10" ht="26.25" thickBot="1" x14ac:dyDescent="0.35">
      <c r="A509" s="12" t="s">
        <v>137</v>
      </c>
      <c r="B509" s="2">
        <v>2949</v>
      </c>
    </row>
    <row r="510" spans="1:10" ht="39" thickBot="1" x14ac:dyDescent="0.35">
      <c r="A510" s="12" t="s">
        <v>138</v>
      </c>
      <c r="B510" s="2">
        <v>23222</v>
      </c>
    </row>
    <row r="511" spans="1:10" ht="25.5" x14ac:dyDescent="0.3">
      <c r="A511" s="13" t="s">
        <v>139</v>
      </c>
      <c r="B511" s="2">
        <v>9036880.5199999996</v>
      </c>
    </row>
    <row r="512" spans="1:10" ht="17.25" thickBot="1" x14ac:dyDescent="0.35"/>
    <row r="513" spans="1:8" ht="33" customHeight="1" x14ac:dyDescent="0.3">
      <c r="A513" s="16" t="s">
        <v>140</v>
      </c>
      <c r="B513" s="18"/>
    </row>
    <row r="514" spans="1:8" ht="33.75" thickBot="1" x14ac:dyDescent="0.35">
      <c r="A514" s="12" t="s">
        <v>141</v>
      </c>
      <c r="B514" s="2" t="s">
        <v>142</v>
      </c>
    </row>
    <row r="515" spans="1:8" ht="25.5" x14ac:dyDescent="0.3">
      <c r="A515" s="13" t="s">
        <v>143</v>
      </c>
      <c r="B515" s="2" t="s">
        <v>144</v>
      </c>
    </row>
    <row r="516" spans="1:8" ht="17.25" thickBot="1" x14ac:dyDescent="0.35"/>
    <row r="517" spans="1:8" ht="16.5" customHeight="1" x14ac:dyDescent="0.3">
      <c r="A517" s="16" t="s">
        <v>238</v>
      </c>
      <c r="B517" s="18"/>
      <c r="C517" s="18"/>
      <c r="D517" s="18"/>
      <c r="E517" s="18"/>
      <c r="F517" s="18"/>
    </row>
    <row r="518" spans="1:8" ht="16.5" customHeight="1" x14ac:dyDescent="0.3">
      <c r="A518" s="17" t="s">
        <v>239</v>
      </c>
      <c r="B518" s="19" t="s">
        <v>94</v>
      </c>
      <c r="C518" s="19" t="s">
        <v>240</v>
      </c>
      <c r="D518" s="3" t="s">
        <v>241</v>
      </c>
      <c r="E518" s="19" t="s">
        <v>243</v>
      </c>
      <c r="F518" s="19"/>
    </row>
    <row r="519" spans="1:8" x14ac:dyDescent="0.3">
      <c r="A519" s="17"/>
      <c r="B519" s="19"/>
      <c r="C519" s="19"/>
      <c r="D519" s="3" t="s">
        <v>242</v>
      </c>
      <c r="E519" s="19"/>
      <c r="F519" s="19"/>
    </row>
    <row r="520" spans="1:8" x14ac:dyDescent="0.3">
      <c r="A520" s="13" t="s">
        <v>116</v>
      </c>
      <c r="B520" s="2">
        <v>23222</v>
      </c>
      <c r="C520" s="2">
        <v>0.29750300000000002</v>
      </c>
      <c r="D520" s="2">
        <v>2.7789999999999998E-3</v>
      </c>
      <c r="E520" s="2">
        <v>0.29205375</v>
      </c>
      <c r="F520" s="2">
        <v>0.30295137999999999</v>
      </c>
    </row>
    <row r="524" spans="1:8" x14ac:dyDescent="0.3">
      <c r="A524" s="1" t="s">
        <v>237</v>
      </c>
    </row>
    <row r="526" spans="1:8" x14ac:dyDescent="0.3">
      <c r="A526" s="1" t="s">
        <v>1</v>
      </c>
    </row>
    <row r="527" spans="1:8" ht="17.25" thickBot="1" x14ac:dyDescent="0.35"/>
    <row r="528" spans="1:8" ht="16.5" customHeight="1" x14ac:dyDescent="0.3">
      <c r="A528" s="16" t="s">
        <v>255</v>
      </c>
      <c r="B528" s="18"/>
      <c r="C528" s="18"/>
      <c r="D528" s="18"/>
      <c r="E528" s="18"/>
      <c r="F528" s="18"/>
      <c r="G528" s="18"/>
      <c r="H528" s="18"/>
    </row>
    <row r="529" spans="1:8" ht="16.5" customHeight="1" x14ac:dyDescent="0.3">
      <c r="A529" s="17" t="s">
        <v>249</v>
      </c>
      <c r="B529" s="19" t="s">
        <v>10</v>
      </c>
      <c r="C529" s="19" t="s">
        <v>239</v>
      </c>
      <c r="D529" s="19" t="s">
        <v>94</v>
      </c>
      <c r="E529" s="19" t="s">
        <v>240</v>
      </c>
      <c r="F529" s="3" t="s">
        <v>241</v>
      </c>
      <c r="G529" s="19" t="s">
        <v>243</v>
      </c>
      <c r="H529" s="19"/>
    </row>
    <row r="530" spans="1:8" x14ac:dyDescent="0.3">
      <c r="A530" s="17"/>
      <c r="B530" s="19"/>
      <c r="C530" s="19"/>
      <c r="D530" s="19"/>
      <c r="E530" s="19"/>
      <c r="F530" s="3" t="s">
        <v>242</v>
      </c>
      <c r="G530" s="19"/>
      <c r="H530" s="19"/>
    </row>
    <row r="531" spans="1:8" ht="17.25" thickBot="1" x14ac:dyDescent="0.35">
      <c r="A531" s="6">
        <v>1</v>
      </c>
      <c r="B531" s="3">
        <v>1</v>
      </c>
      <c r="C531" s="11" t="s">
        <v>116</v>
      </c>
      <c r="D531" s="2">
        <v>425</v>
      </c>
      <c r="E531" s="2">
        <v>0.14046</v>
      </c>
      <c r="F531" s="2">
        <v>1.3833E-2</v>
      </c>
      <c r="G531" s="2">
        <v>0.1133353</v>
      </c>
      <c r="H531" s="2">
        <v>0.16758381</v>
      </c>
    </row>
    <row r="532" spans="1:8" ht="17.25" thickBot="1" x14ac:dyDescent="0.35">
      <c r="A532" s="6"/>
      <c r="B532" s="3">
        <v>2</v>
      </c>
      <c r="C532" s="11" t="s">
        <v>116</v>
      </c>
      <c r="D532" s="2">
        <v>1532</v>
      </c>
      <c r="E532" s="2">
        <v>0.27349800000000002</v>
      </c>
      <c r="F532" s="2">
        <v>8.7569999999999992E-3</v>
      </c>
      <c r="G532" s="2">
        <v>0.25632811999999999</v>
      </c>
      <c r="H532" s="2">
        <v>0.29066818999999999</v>
      </c>
    </row>
    <row r="533" spans="1:8" ht="17.25" thickBot="1" x14ac:dyDescent="0.35">
      <c r="A533" s="6"/>
      <c r="B533" s="3">
        <v>3</v>
      </c>
      <c r="C533" s="11" t="s">
        <v>116</v>
      </c>
      <c r="D533" s="2">
        <v>735</v>
      </c>
      <c r="E533" s="2">
        <v>0.41193099999999999</v>
      </c>
      <c r="F533" s="2">
        <v>1.3471E-2</v>
      </c>
      <c r="G533" s="2">
        <v>0.38551689</v>
      </c>
      <c r="H533" s="2">
        <v>0.43834573999999998</v>
      </c>
    </row>
    <row r="534" spans="1:8" ht="17.25" thickBot="1" x14ac:dyDescent="0.35">
      <c r="A534" s="6"/>
      <c r="B534" s="3">
        <v>4</v>
      </c>
      <c r="C534" s="11" t="s">
        <v>116</v>
      </c>
      <c r="D534" s="2">
        <v>1048</v>
      </c>
      <c r="E534" s="2">
        <v>0.51254299999999997</v>
      </c>
      <c r="F534" s="2">
        <v>1.2009000000000001E-2</v>
      </c>
      <c r="G534" s="2">
        <v>0.48899482</v>
      </c>
      <c r="H534" s="2">
        <v>0.53609063000000001</v>
      </c>
    </row>
    <row r="535" spans="1:8" ht="17.25" thickBot="1" x14ac:dyDescent="0.35">
      <c r="A535" s="6">
        <v>2</v>
      </c>
      <c r="B535" s="3">
        <v>1</v>
      </c>
      <c r="C535" s="11" t="s">
        <v>116</v>
      </c>
      <c r="D535" s="2">
        <v>810</v>
      </c>
      <c r="E535" s="2">
        <v>0.104794</v>
      </c>
      <c r="F535" s="2">
        <v>1.0179000000000001E-2</v>
      </c>
      <c r="G535" s="2">
        <v>8.4834049999999994E-2</v>
      </c>
      <c r="H535" s="2">
        <v>0.12475416</v>
      </c>
    </row>
    <row r="536" spans="1:8" ht="17.25" thickBot="1" x14ac:dyDescent="0.35">
      <c r="A536" s="6"/>
      <c r="B536" s="3">
        <v>2</v>
      </c>
      <c r="C536" s="11" t="s">
        <v>116</v>
      </c>
      <c r="D536" s="2">
        <v>1935</v>
      </c>
      <c r="E536" s="2">
        <v>0.216255</v>
      </c>
      <c r="F536" s="2">
        <v>7.5189999999999996E-3</v>
      </c>
      <c r="G536" s="2">
        <v>0.20151235000000001</v>
      </c>
      <c r="H536" s="2">
        <v>0.23099807</v>
      </c>
    </row>
    <row r="537" spans="1:8" ht="17.25" thickBot="1" x14ac:dyDescent="0.35">
      <c r="A537" s="6"/>
      <c r="B537" s="3">
        <v>3</v>
      </c>
      <c r="C537" s="11" t="s">
        <v>116</v>
      </c>
      <c r="D537" s="2">
        <v>864</v>
      </c>
      <c r="E537" s="2">
        <v>0.34712900000000002</v>
      </c>
      <c r="F537" s="2">
        <v>1.3546000000000001E-2</v>
      </c>
      <c r="G537" s="2">
        <v>0.32056801000000001</v>
      </c>
      <c r="H537" s="2">
        <v>0.37368973999999999</v>
      </c>
    </row>
    <row r="538" spans="1:8" ht="17.25" thickBot="1" x14ac:dyDescent="0.35">
      <c r="A538" s="6"/>
      <c r="B538" s="3">
        <v>4</v>
      </c>
      <c r="C538" s="11" t="s">
        <v>116</v>
      </c>
      <c r="D538" s="2">
        <v>1123</v>
      </c>
      <c r="E538" s="2">
        <v>0.46138600000000002</v>
      </c>
      <c r="F538" s="2">
        <v>1.1762E-2</v>
      </c>
      <c r="G538" s="2">
        <v>0.43832249000000001</v>
      </c>
      <c r="H538" s="2">
        <v>0.48444949999999998</v>
      </c>
    </row>
    <row r="539" spans="1:8" ht="17.25" thickBot="1" x14ac:dyDescent="0.35">
      <c r="A539" s="6">
        <v>3</v>
      </c>
      <c r="B539" s="3">
        <v>1</v>
      </c>
      <c r="C539" s="11" t="s">
        <v>116</v>
      </c>
      <c r="D539" s="2">
        <v>522</v>
      </c>
      <c r="E539" s="2">
        <v>0.117657</v>
      </c>
      <c r="F539" s="2">
        <v>1.2775999999999999E-2</v>
      </c>
      <c r="G539" s="2">
        <v>9.2605209999999993E-2</v>
      </c>
      <c r="H539" s="2">
        <v>0.14270833999999999</v>
      </c>
    </row>
    <row r="540" spans="1:8" ht="17.25" thickBot="1" x14ac:dyDescent="0.35">
      <c r="A540" s="6"/>
      <c r="B540" s="3">
        <v>2</v>
      </c>
      <c r="C540" s="11" t="s">
        <v>116</v>
      </c>
      <c r="D540" s="2">
        <v>1728</v>
      </c>
      <c r="E540" s="2">
        <v>0.21290000000000001</v>
      </c>
      <c r="F540" s="2">
        <v>8.7270000000000004E-3</v>
      </c>
      <c r="G540" s="2">
        <v>0.19578672999999999</v>
      </c>
      <c r="H540" s="2">
        <v>0.23001234000000001</v>
      </c>
    </row>
    <row r="541" spans="1:8" ht="17.25" thickBot="1" x14ac:dyDescent="0.35">
      <c r="A541" s="6"/>
      <c r="B541" s="3">
        <v>3</v>
      </c>
      <c r="C541" s="11" t="s">
        <v>116</v>
      </c>
      <c r="D541" s="2">
        <v>831</v>
      </c>
      <c r="E541" s="2">
        <v>0.343968</v>
      </c>
      <c r="F541" s="2">
        <v>1.2055E-2</v>
      </c>
      <c r="G541" s="2">
        <v>0.32032975000000002</v>
      </c>
      <c r="H541" s="2">
        <v>0.36760604000000002</v>
      </c>
    </row>
    <row r="542" spans="1:8" ht="17.25" thickBot="1" x14ac:dyDescent="0.35">
      <c r="A542" s="6"/>
      <c r="B542" s="3">
        <v>4</v>
      </c>
      <c r="C542" s="11" t="s">
        <v>116</v>
      </c>
      <c r="D542" s="2">
        <v>1176</v>
      </c>
      <c r="E542" s="2">
        <v>0.46645799999999998</v>
      </c>
      <c r="F542" s="2">
        <v>1.1650000000000001E-2</v>
      </c>
      <c r="G542" s="2">
        <v>0.4436137</v>
      </c>
      <c r="H542" s="2">
        <v>0.48930142999999998</v>
      </c>
    </row>
    <row r="543" spans="1:8" ht="17.25" thickBot="1" x14ac:dyDescent="0.35">
      <c r="A543" s="6">
        <v>4</v>
      </c>
      <c r="B543" s="3">
        <v>1</v>
      </c>
      <c r="C543" s="11" t="s">
        <v>116</v>
      </c>
      <c r="D543" s="2">
        <v>622</v>
      </c>
      <c r="E543" s="2">
        <v>0.10735599999999999</v>
      </c>
      <c r="F543" s="2">
        <v>1.0936E-2</v>
      </c>
      <c r="G543" s="2">
        <v>8.5911950000000001E-2</v>
      </c>
      <c r="H543" s="2">
        <v>0.12879958</v>
      </c>
    </row>
    <row r="544" spans="1:8" ht="17.25" thickBot="1" x14ac:dyDescent="0.35">
      <c r="A544" s="6"/>
      <c r="B544" s="3">
        <v>2</v>
      </c>
      <c r="C544" s="11" t="s">
        <v>116</v>
      </c>
      <c r="D544" s="2">
        <v>1798</v>
      </c>
      <c r="E544" s="2">
        <v>0.224526</v>
      </c>
      <c r="F544" s="2">
        <v>8.4779999999999994E-3</v>
      </c>
      <c r="G544" s="2">
        <v>0.20790148</v>
      </c>
      <c r="H544" s="2">
        <v>0.24115004000000001</v>
      </c>
    </row>
    <row r="545" spans="1:8" ht="17.25" thickBot="1" x14ac:dyDescent="0.35">
      <c r="A545" s="6"/>
      <c r="B545" s="3">
        <v>3</v>
      </c>
      <c r="C545" s="11" t="s">
        <v>116</v>
      </c>
      <c r="D545" s="2">
        <v>828</v>
      </c>
      <c r="E545" s="2">
        <v>0.38197300000000001</v>
      </c>
      <c r="F545" s="2">
        <v>1.4798E-2</v>
      </c>
      <c r="G545" s="2">
        <v>0.35295623999999998</v>
      </c>
      <c r="H545" s="2">
        <v>0.41098994999999999</v>
      </c>
    </row>
    <row r="546" spans="1:8" ht="17.25" thickBot="1" x14ac:dyDescent="0.35">
      <c r="A546" s="6"/>
      <c r="B546" s="3">
        <v>4</v>
      </c>
      <c r="C546" s="11" t="s">
        <v>116</v>
      </c>
      <c r="D546" s="2">
        <v>1308</v>
      </c>
      <c r="E546" s="2">
        <v>0.47082400000000002</v>
      </c>
      <c r="F546" s="2">
        <v>9.6780000000000008E-3</v>
      </c>
      <c r="G546" s="2">
        <v>0.45184593000000001</v>
      </c>
      <c r="H546" s="2">
        <v>0.48980145000000003</v>
      </c>
    </row>
    <row r="547" spans="1:8" ht="17.25" thickBot="1" x14ac:dyDescent="0.35">
      <c r="A547" s="6">
        <v>5</v>
      </c>
      <c r="B547" s="3">
        <v>1</v>
      </c>
      <c r="C547" s="11" t="s">
        <v>116</v>
      </c>
      <c r="D547" s="2">
        <v>506</v>
      </c>
      <c r="E547" s="2">
        <v>9.9661E-2</v>
      </c>
      <c r="F547" s="2">
        <v>1.1887E-2</v>
      </c>
      <c r="G547" s="2">
        <v>7.635198E-2</v>
      </c>
      <c r="H547" s="2">
        <v>0.12297004</v>
      </c>
    </row>
    <row r="548" spans="1:8" ht="17.25" thickBot="1" x14ac:dyDescent="0.35">
      <c r="A548" s="6"/>
      <c r="B548" s="3">
        <v>2</v>
      </c>
      <c r="C548" s="11" t="s">
        <v>116</v>
      </c>
      <c r="D548" s="2">
        <v>1782</v>
      </c>
      <c r="E548" s="2">
        <v>0.21846499999999999</v>
      </c>
      <c r="F548" s="2">
        <v>8.5000000000000006E-3</v>
      </c>
      <c r="G548" s="2">
        <v>0.20179752000000001</v>
      </c>
      <c r="H548" s="2">
        <v>0.23513252000000001</v>
      </c>
    </row>
    <row r="549" spans="1:8" ht="17.25" thickBot="1" x14ac:dyDescent="0.35">
      <c r="A549" s="6"/>
      <c r="B549" s="3">
        <v>3</v>
      </c>
      <c r="C549" s="11" t="s">
        <v>116</v>
      </c>
      <c r="D549" s="2">
        <v>837</v>
      </c>
      <c r="E549" s="2">
        <v>0.34428799999999998</v>
      </c>
      <c r="F549" s="2">
        <v>1.1540999999999999E-2</v>
      </c>
      <c r="G549" s="2">
        <v>0.32165748</v>
      </c>
      <c r="H549" s="2">
        <v>0.36691832000000002</v>
      </c>
    </row>
    <row r="550" spans="1:8" ht="17.25" thickBot="1" x14ac:dyDescent="0.35">
      <c r="A550" s="6"/>
      <c r="B550" s="3">
        <v>4</v>
      </c>
      <c r="C550" s="11" t="s">
        <v>116</v>
      </c>
      <c r="D550" s="2">
        <v>1376</v>
      </c>
      <c r="E550" s="2">
        <v>0.43553900000000001</v>
      </c>
      <c r="F550" s="2">
        <v>1.0883E-2</v>
      </c>
      <c r="G550" s="2">
        <v>0.41419839000000003</v>
      </c>
      <c r="H550" s="2">
        <v>0.45687875999999999</v>
      </c>
    </row>
    <row r="551" spans="1:8" ht="17.25" thickBot="1" x14ac:dyDescent="0.35">
      <c r="A551" s="6">
        <v>6</v>
      </c>
      <c r="B551" s="3">
        <v>1</v>
      </c>
      <c r="C551" s="11" t="s">
        <v>116</v>
      </c>
      <c r="D551" s="2">
        <v>176</v>
      </c>
      <c r="E551" s="2">
        <v>4.6332999999999999E-2</v>
      </c>
      <c r="F551" s="2">
        <v>1.7049000000000002E-2</v>
      </c>
      <c r="G551" s="2">
        <v>1.29026E-2</v>
      </c>
      <c r="H551" s="2">
        <v>7.9764210000000002E-2</v>
      </c>
    </row>
    <row r="552" spans="1:8" ht="17.25" thickBot="1" x14ac:dyDescent="0.35">
      <c r="A552" s="6"/>
      <c r="B552" s="3">
        <v>2</v>
      </c>
      <c r="C552" s="11" t="s">
        <v>116</v>
      </c>
      <c r="D552" s="2">
        <v>549</v>
      </c>
      <c r="E552" s="2">
        <v>0.14674400000000001</v>
      </c>
      <c r="F552" s="2">
        <v>1.1488E-2</v>
      </c>
      <c r="G552" s="2">
        <v>0.1242171</v>
      </c>
      <c r="H552" s="2">
        <v>0.16927089000000001</v>
      </c>
    </row>
    <row r="553" spans="1:8" ht="17.25" thickBot="1" x14ac:dyDescent="0.35">
      <c r="A553" s="6"/>
      <c r="B553" s="3">
        <v>3</v>
      </c>
      <c r="C553" s="11" t="s">
        <v>116</v>
      </c>
      <c r="D553" s="2">
        <v>286</v>
      </c>
      <c r="E553" s="2">
        <v>0.30096600000000001</v>
      </c>
      <c r="F553" s="2">
        <v>2.0820999999999999E-2</v>
      </c>
      <c r="G553" s="2">
        <v>0.26013930000000002</v>
      </c>
      <c r="H553" s="2">
        <v>0.34179336999999999</v>
      </c>
    </row>
    <row r="554" spans="1:8" x14ac:dyDescent="0.3">
      <c r="A554" s="6"/>
      <c r="B554" s="3">
        <v>4</v>
      </c>
      <c r="C554" s="14" t="s">
        <v>116</v>
      </c>
      <c r="D554" s="2">
        <v>425</v>
      </c>
      <c r="E554" s="2">
        <v>0.42622900000000002</v>
      </c>
      <c r="F554" s="2">
        <v>1.3462E-2</v>
      </c>
      <c r="G554" s="2">
        <v>0.39983147000000002</v>
      </c>
      <c r="H554" s="2">
        <v>0.45262599999999997</v>
      </c>
    </row>
    <row r="558" spans="1:8" x14ac:dyDescent="0.3">
      <c r="A558" s="1" t="s">
        <v>237</v>
      </c>
    </row>
    <row r="560" spans="1:8" x14ac:dyDescent="0.3">
      <c r="A560" s="1" t="s">
        <v>21</v>
      </c>
    </row>
    <row r="561" spans="1:6" ht="17.25" thickBot="1" x14ac:dyDescent="0.35"/>
    <row r="562" spans="1:6" ht="16.5" customHeight="1" x14ac:dyDescent="0.3">
      <c r="A562" s="16" t="s">
        <v>135</v>
      </c>
      <c r="B562" s="18"/>
    </row>
    <row r="563" spans="1:6" ht="26.25" thickBot="1" x14ac:dyDescent="0.35">
      <c r="A563" s="12" t="s">
        <v>136</v>
      </c>
      <c r="B563" s="2">
        <v>183</v>
      </c>
    </row>
    <row r="564" spans="1:6" ht="26.25" thickBot="1" x14ac:dyDescent="0.35">
      <c r="A564" s="12" t="s">
        <v>137</v>
      </c>
      <c r="B564" s="2">
        <v>2982</v>
      </c>
    </row>
    <row r="565" spans="1:6" ht="39" thickBot="1" x14ac:dyDescent="0.35">
      <c r="A565" s="12" t="s">
        <v>138</v>
      </c>
      <c r="B565" s="2">
        <v>68635</v>
      </c>
    </row>
    <row r="566" spans="1:6" ht="25.5" x14ac:dyDescent="0.3">
      <c r="A566" s="13" t="s">
        <v>139</v>
      </c>
      <c r="B566" s="2">
        <v>30251935.699999999</v>
      </c>
    </row>
    <row r="567" spans="1:6" ht="17.25" thickBot="1" x14ac:dyDescent="0.35"/>
    <row r="568" spans="1:6" ht="33" customHeight="1" x14ac:dyDescent="0.3">
      <c r="A568" s="16" t="s">
        <v>140</v>
      </c>
      <c r="B568" s="18"/>
    </row>
    <row r="569" spans="1:6" ht="33.75" thickBot="1" x14ac:dyDescent="0.35">
      <c r="A569" s="12" t="s">
        <v>141</v>
      </c>
      <c r="B569" s="2" t="s">
        <v>142</v>
      </c>
    </row>
    <row r="570" spans="1:6" ht="25.5" x14ac:dyDescent="0.3">
      <c r="A570" s="13" t="s">
        <v>143</v>
      </c>
      <c r="B570" s="2" t="s">
        <v>144</v>
      </c>
    </row>
    <row r="571" spans="1:6" ht="17.25" thickBot="1" x14ac:dyDescent="0.35"/>
    <row r="572" spans="1:6" ht="16.5" customHeight="1" x14ac:dyDescent="0.3">
      <c r="A572" s="16" t="s">
        <v>238</v>
      </c>
      <c r="B572" s="18"/>
      <c r="C572" s="18"/>
      <c r="D572" s="18"/>
      <c r="E572" s="18"/>
      <c r="F572" s="18"/>
    </row>
    <row r="573" spans="1:6" ht="16.5" customHeight="1" x14ac:dyDescent="0.3">
      <c r="A573" s="17" t="s">
        <v>239</v>
      </c>
      <c r="B573" s="19" t="s">
        <v>94</v>
      </c>
      <c r="C573" s="19" t="s">
        <v>240</v>
      </c>
      <c r="D573" s="3" t="s">
        <v>241</v>
      </c>
      <c r="E573" s="19" t="s">
        <v>243</v>
      </c>
      <c r="F573" s="19"/>
    </row>
    <row r="574" spans="1:6" x14ac:dyDescent="0.3">
      <c r="A574" s="17"/>
      <c r="B574" s="19"/>
      <c r="C574" s="19"/>
      <c r="D574" s="3" t="s">
        <v>242</v>
      </c>
      <c r="E574" s="19"/>
      <c r="F574" s="19"/>
    </row>
    <row r="575" spans="1:6" x14ac:dyDescent="0.3">
      <c r="A575" s="13" t="s">
        <v>116</v>
      </c>
      <c r="B575" s="2">
        <v>68635</v>
      </c>
      <c r="C575" s="2">
        <v>0.34523599999999999</v>
      </c>
      <c r="D575" s="2">
        <v>1.6490000000000001E-3</v>
      </c>
      <c r="E575" s="2">
        <v>0.34200205</v>
      </c>
      <c r="F575" s="2">
        <v>0.34847033999999999</v>
      </c>
    </row>
    <row r="579" spans="1:15" x14ac:dyDescent="0.3">
      <c r="A579" s="1" t="s">
        <v>237</v>
      </c>
    </row>
    <row r="581" spans="1:15" x14ac:dyDescent="0.3">
      <c r="A581" s="1" t="s">
        <v>21</v>
      </c>
    </row>
    <row r="582" spans="1:15" ht="17.25" thickBot="1" x14ac:dyDescent="0.35"/>
    <row r="583" spans="1:15" ht="16.5" customHeight="1" x14ac:dyDescent="0.3">
      <c r="A583" s="16" t="s">
        <v>255</v>
      </c>
      <c r="B583" s="18"/>
      <c r="C583" s="18"/>
      <c r="D583" s="18"/>
      <c r="E583" s="18"/>
      <c r="F583" s="18"/>
      <c r="G583" s="18"/>
      <c r="H583" s="18"/>
    </row>
    <row r="584" spans="1:15" ht="16.5" customHeight="1" x14ac:dyDescent="0.3">
      <c r="A584" s="17" t="s">
        <v>249</v>
      </c>
      <c r="B584" s="19" t="s">
        <v>10</v>
      </c>
      <c r="C584" s="19" t="s">
        <v>239</v>
      </c>
      <c r="D584" s="19" t="s">
        <v>94</v>
      </c>
      <c r="E584" s="19" t="s">
        <v>240</v>
      </c>
      <c r="F584" s="3" t="s">
        <v>241</v>
      </c>
      <c r="G584" s="19" t="s">
        <v>243</v>
      </c>
      <c r="H584" s="19"/>
    </row>
    <row r="585" spans="1:15" x14ac:dyDescent="0.3">
      <c r="A585" s="17"/>
      <c r="B585" s="19"/>
      <c r="C585" s="19"/>
      <c r="D585" s="19"/>
      <c r="E585" s="19"/>
      <c r="F585" s="3" t="s">
        <v>242</v>
      </c>
      <c r="G585" s="19"/>
      <c r="H585" s="19"/>
    </row>
    <row r="586" spans="1:15" ht="17.25" thickBot="1" x14ac:dyDescent="0.35">
      <c r="A586" s="6">
        <v>1</v>
      </c>
      <c r="B586" s="3">
        <v>1</v>
      </c>
      <c r="C586" s="11" t="s">
        <v>116</v>
      </c>
      <c r="D586" s="2">
        <v>533</v>
      </c>
      <c r="E586" s="2">
        <v>0.12740599999999999</v>
      </c>
      <c r="F586" s="2">
        <v>1.1495E-2</v>
      </c>
      <c r="G586" s="2">
        <v>0.1048661</v>
      </c>
      <c r="H586" s="2">
        <v>0.14994516999999999</v>
      </c>
      <c r="J586" t="str">
        <f t="shared" ref="J586:J609" si="20">TEXT(E586,"0.00")&amp;" ("&amp;TEXT(G586,"0.00")&amp;" to "&amp;TEXT(H586,"0.00")&amp;")"</f>
        <v>0.13 (0.10 to 0.15)</v>
      </c>
      <c r="K586" t="str">
        <f>J590</f>
        <v>0.11 (0.08 to 0.13)</v>
      </c>
      <c r="L586" t="str">
        <f>J594</f>
        <v>0.10 (0.07 to 0.12)</v>
      </c>
      <c r="M586" t="str">
        <f>J598</f>
        <v>0.11 (0.08 to 0.13)</v>
      </c>
      <c r="N586" t="str">
        <f>J602</f>
        <v>0.06 (0.04 to 0.09)</v>
      </c>
      <c r="O586" t="str">
        <f>J606</f>
        <v>0.03 (0.00 to 0.06)</v>
      </c>
    </row>
    <row r="587" spans="1:15" ht="17.25" thickBot="1" x14ac:dyDescent="0.35">
      <c r="A587" s="6"/>
      <c r="B587" s="3">
        <v>2</v>
      </c>
      <c r="C587" s="11" t="s">
        <v>116</v>
      </c>
      <c r="D587" s="2">
        <v>4653</v>
      </c>
      <c r="E587" s="2">
        <v>0.25756400000000002</v>
      </c>
      <c r="F587" s="2">
        <v>5.5960000000000003E-3</v>
      </c>
      <c r="G587" s="2">
        <v>0.24659159999999999</v>
      </c>
      <c r="H587" s="2">
        <v>0.26853647000000003</v>
      </c>
      <c r="J587" t="str">
        <f t="shared" si="20"/>
        <v>0.26 (0.25 to 0.27)</v>
      </c>
      <c r="K587" t="str">
        <f t="shared" ref="K587:K589" si="21">J591</f>
        <v>0.24 (0.23 to 0.25)</v>
      </c>
      <c r="L587" t="str">
        <f t="shared" ref="L587:L589" si="22">J595</f>
        <v>0.22 (0.21 to 0.23)</v>
      </c>
      <c r="M587" t="str">
        <f t="shared" ref="M587:M589" si="23">J599</f>
        <v>0.23 (0.22 to 0.24)</v>
      </c>
      <c r="N587" t="str">
        <f t="shared" ref="N587:N589" si="24">J603</f>
        <v>0.20 (0.19 to 0.21)</v>
      </c>
      <c r="O587" t="str">
        <f t="shared" ref="O587:O589" si="25">J607</f>
        <v>0.16 (0.14 to 0.18)</v>
      </c>
    </row>
    <row r="588" spans="1:15" ht="17.25" thickBot="1" x14ac:dyDescent="0.35">
      <c r="A588" s="6"/>
      <c r="B588" s="3">
        <v>3</v>
      </c>
      <c r="C588" s="11" t="s">
        <v>116</v>
      </c>
      <c r="D588" s="2">
        <v>2958</v>
      </c>
      <c r="E588" s="2">
        <v>0.40443899999999999</v>
      </c>
      <c r="F588" s="2">
        <v>6.2639999999999996E-3</v>
      </c>
      <c r="G588" s="2">
        <v>0.39215650000000002</v>
      </c>
      <c r="H588" s="2">
        <v>0.41672164</v>
      </c>
      <c r="J588" t="str">
        <f t="shared" si="20"/>
        <v>0.40 (0.39 to 0.42)</v>
      </c>
      <c r="K588" t="str">
        <f t="shared" si="21"/>
        <v>0.39 (0.38 to 0.41)</v>
      </c>
      <c r="L588" t="str">
        <f t="shared" si="22"/>
        <v>0.39 (0.37 to 0.40)</v>
      </c>
      <c r="M588" t="str">
        <f t="shared" si="23"/>
        <v>0.39 (0.37 to 0.40)</v>
      </c>
      <c r="N588" t="str">
        <f t="shared" si="24"/>
        <v>0.35 (0.34 to 0.36)</v>
      </c>
      <c r="O588" t="str">
        <f t="shared" si="25"/>
        <v>0.30 (0.28 to 0.32)</v>
      </c>
    </row>
    <row r="589" spans="1:15" ht="17.25" thickBot="1" x14ac:dyDescent="0.35">
      <c r="A589" s="6"/>
      <c r="B589" s="3">
        <v>4</v>
      </c>
      <c r="C589" s="11" t="s">
        <v>116</v>
      </c>
      <c r="D589" s="2">
        <v>3771</v>
      </c>
      <c r="E589" s="2">
        <v>0.51177499999999998</v>
      </c>
      <c r="F589" s="2">
        <v>5.9579999999999998E-3</v>
      </c>
      <c r="G589" s="2">
        <v>0.50009289999999995</v>
      </c>
      <c r="H589" s="2">
        <v>0.52345724999999999</v>
      </c>
      <c r="J589" t="str">
        <f t="shared" si="20"/>
        <v>0.51 (0.50 to 0.52)</v>
      </c>
      <c r="K589" t="str">
        <f t="shared" si="21"/>
        <v>0.50 (0.49 to 0.52)</v>
      </c>
      <c r="L589" t="str">
        <f t="shared" si="22"/>
        <v>0.51 (0.50 to 0.53)</v>
      </c>
      <c r="M589" t="str">
        <f t="shared" si="23"/>
        <v>0.49 (0.48 to 0.51)</v>
      </c>
      <c r="N589" t="str">
        <f t="shared" si="24"/>
        <v>0.47 (0.46 to 0.48)</v>
      </c>
      <c r="O589" t="str">
        <f t="shared" si="25"/>
        <v>0.44 (0.42 to 0.45)</v>
      </c>
    </row>
    <row r="590" spans="1:15" ht="17.25" thickBot="1" x14ac:dyDescent="0.35">
      <c r="A590" s="6">
        <v>2</v>
      </c>
      <c r="B590" s="3">
        <v>1</v>
      </c>
      <c r="C590" s="11" t="s">
        <v>116</v>
      </c>
      <c r="D590" s="2">
        <v>525</v>
      </c>
      <c r="E590" s="2">
        <v>0.108614</v>
      </c>
      <c r="F590" s="2">
        <v>1.3128000000000001E-2</v>
      </c>
      <c r="G590" s="2">
        <v>8.2873799999999997E-2</v>
      </c>
      <c r="H590" s="2">
        <v>0.13435509000000001</v>
      </c>
      <c r="J590" t="str">
        <f t="shared" si="20"/>
        <v>0.11 (0.08 to 0.13)</v>
      </c>
    </row>
    <row r="591" spans="1:15" ht="17.25" thickBot="1" x14ac:dyDescent="0.35">
      <c r="A591" s="6"/>
      <c r="B591" s="3">
        <v>2</v>
      </c>
      <c r="C591" s="11" t="s">
        <v>116</v>
      </c>
      <c r="D591" s="2">
        <v>5258</v>
      </c>
      <c r="E591" s="2">
        <v>0.24127799999999999</v>
      </c>
      <c r="F591" s="2">
        <v>5.2030000000000002E-3</v>
      </c>
      <c r="G591" s="2">
        <v>0.23107539999999999</v>
      </c>
      <c r="H591" s="2">
        <v>0.25147987999999999</v>
      </c>
      <c r="J591" t="str">
        <f t="shared" si="20"/>
        <v>0.24 (0.23 to 0.25)</v>
      </c>
    </row>
    <row r="592" spans="1:15" ht="17.25" thickBot="1" x14ac:dyDescent="0.35">
      <c r="A592" s="6"/>
      <c r="B592" s="3">
        <v>3</v>
      </c>
      <c r="C592" s="11" t="s">
        <v>116</v>
      </c>
      <c r="D592" s="2">
        <v>3114</v>
      </c>
      <c r="E592" s="2">
        <v>0.39133499999999999</v>
      </c>
      <c r="F592" s="2">
        <v>7.6299999999999996E-3</v>
      </c>
      <c r="G592" s="2">
        <v>0.37637320000000002</v>
      </c>
      <c r="H592" s="2">
        <v>0.40629598</v>
      </c>
      <c r="J592" t="str">
        <f t="shared" si="20"/>
        <v>0.39 (0.38 to 0.41)</v>
      </c>
    </row>
    <row r="593" spans="1:10" ht="17.25" thickBot="1" x14ac:dyDescent="0.35">
      <c r="A593" s="6"/>
      <c r="B593" s="3">
        <v>4</v>
      </c>
      <c r="C593" s="11" t="s">
        <v>116</v>
      </c>
      <c r="D593" s="2">
        <v>4219</v>
      </c>
      <c r="E593" s="2">
        <v>0.50467300000000004</v>
      </c>
      <c r="F593" s="2">
        <v>5.8100000000000001E-3</v>
      </c>
      <c r="G593" s="2">
        <v>0.49328090000000002</v>
      </c>
      <c r="H593" s="2">
        <v>0.51606512000000004</v>
      </c>
      <c r="J593" t="str">
        <f t="shared" si="20"/>
        <v>0.50 (0.49 to 0.52)</v>
      </c>
    </row>
    <row r="594" spans="1:10" ht="17.25" thickBot="1" x14ac:dyDescent="0.35">
      <c r="A594" s="6">
        <v>3</v>
      </c>
      <c r="B594" s="3">
        <v>1</v>
      </c>
      <c r="C594" s="11" t="s">
        <v>116</v>
      </c>
      <c r="D594" s="2">
        <v>454</v>
      </c>
      <c r="E594" s="2">
        <v>9.7082000000000002E-2</v>
      </c>
      <c r="F594" s="2">
        <v>1.2567999999999999E-2</v>
      </c>
      <c r="G594" s="2">
        <v>7.2438100000000005E-2</v>
      </c>
      <c r="H594" s="2">
        <v>0.12172521</v>
      </c>
      <c r="J594" t="str">
        <f t="shared" si="20"/>
        <v>0.10 (0.07 to 0.12)</v>
      </c>
    </row>
    <row r="595" spans="1:10" ht="17.25" thickBot="1" x14ac:dyDescent="0.35">
      <c r="A595" s="6"/>
      <c r="B595" s="3">
        <v>2</v>
      </c>
      <c r="C595" s="11" t="s">
        <v>116</v>
      </c>
      <c r="D595" s="2">
        <v>4525</v>
      </c>
      <c r="E595" s="2">
        <v>0.222249</v>
      </c>
      <c r="F595" s="2">
        <v>5.1919999999999996E-3</v>
      </c>
      <c r="G595" s="2">
        <v>0.21206800000000001</v>
      </c>
      <c r="H595" s="2">
        <v>0.23242916</v>
      </c>
      <c r="J595" t="str">
        <f t="shared" si="20"/>
        <v>0.22 (0.21 to 0.23)</v>
      </c>
    </row>
    <row r="596" spans="1:10" ht="17.25" thickBot="1" x14ac:dyDescent="0.35">
      <c r="A596" s="6"/>
      <c r="B596" s="3">
        <v>3</v>
      </c>
      <c r="C596" s="11" t="s">
        <v>116</v>
      </c>
      <c r="D596" s="2">
        <v>2758</v>
      </c>
      <c r="E596" s="2">
        <v>0.38516600000000001</v>
      </c>
      <c r="F596" s="2">
        <v>7.1720000000000004E-3</v>
      </c>
      <c r="G596" s="2">
        <v>0.37110379999999998</v>
      </c>
      <c r="H596" s="2">
        <v>0.39922826</v>
      </c>
      <c r="J596" t="str">
        <f t="shared" si="20"/>
        <v>0.39 (0.37 to 0.40)</v>
      </c>
    </row>
    <row r="597" spans="1:10" ht="17.25" thickBot="1" x14ac:dyDescent="0.35">
      <c r="A597" s="6"/>
      <c r="B597" s="3">
        <v>4</v>
      </c>
      <c r="C597" s="11" t="s">
        <v>116</v>
      </c>
      <c r="D597" s="2">
        <v>3738</v>
      </c>
      <c r="E597" s="2">
        <v>0.51284700000000005</v>
      </c>
      <c r="F597" s="2">
        <v>6.2979999999999998E-3</v>
      </c>
      <c r="G597" s="2">
        <v>0.50049790000000005</v>
      </c>
      <c r="H597" s="2">
        <v>0.52519658000000002</v>
      </c>
      <c r="J597" t="str">
        <f t="shared" si="20"/>
        <v>0.51 (0.50 to 0.53)</v>
      </c>
    </row>
    <row r="598" spans="1:10" ht="17.25" thickBot="1" x14ac:dyDescent="0.35">
      <c r="A598" s="6">
        <v>4</v>
      </c>
      <c r="B598" s="3">
        <v>1</v>
      </c>
      <c r="C598" s="11" t="s">
        <v>116</v>
      </c>
      <c r="D598" s="2">
        <v>531</v>
      </c>
      <c r="E598" s="2">
        <v>0.105309</v>
      </c>
      <c r="F598" s="2">
        <v>1.1271E-2</v>
      </c>
      <c r="G598" s="2">
        <v>8.3208900000000002E-2</v>
      </c>
      <c r="H598" s="2">
        <v>0.12740911999999999</v>
      </c>
      <c r="J598" t="str">
        <f t="shared" si="20"/>
        <v>0.11 (0.08 to 0.13)</v>
      </c>
    </row>
    <row r="599" spans="1:10" ht="17.25" thickBot="1" x14ac:dyDescent="0.35">
      <c r="A599" s="6"/>
      <c r="B599" s="3">
        <v>2</v>
      </c>
      <c r="C599" s="11" t="s">
        <v>116</v>
      </c>
      <c r="D599" s="2">
        <v>5470</v>
      </c>
      <c r="E599" s="2">
        <v>0.22959099999999999</v>
      </c>
      <c r="F599" s="2">
        <v>4.9449999999999997E-3</v>
      </c>
      <c r="G599" s="2">
        <v>0.21989500000000001</v>
      </c>
      <c r="H599" s="2">
        <v>0.23928748</v>
      </c>
      <c r="J599" t="str">
        <f t="shared" si="20"/>
        <v>0.23 (0.22 to 0.24)</v>
      </c>
    </row>
    <row r="600" spans="1:10" ht="17.25" thickBot="1" x14ac:dyDescent="0.35">
      <c r="A600" s="6"/>
      <c r="B600" s="3">
        <v>3</v>
      </c>
      <c r="C600" s="11" t="s">
        <v>116</v>
      </c>
      <c r="D600" s="2">
        <v>3265</v>
      </c>
      <c r="E600" s="2">
        <v>0.388322</v>
      </c>
      <c r="F600" s="2">
        <v>7.038E-3</v>
      </c>
      <c r="G600" s="2">
        <v>0.37452220000000003</v>
      </c>
      <c r="H600" s="2">
        <v>0.40212221999999997</v>
      </c>
      <c r="J600" t="str">
        <f t="shared" si="20"/>
        <v>0.39 (0.37 to 0.40)</v>
      </c>
    </row>
    <row r="601" spans="1:10" ht="17.25" thickBot="1" x14ac:dyDescent="0.35">
      <c r="A601" s="6"/>
      <c r="B601" s="3">
        <v>4</v>
      </c>
      <c r="C601" s="11" t="s">
        <v>116</v>
      </c>
      <c r="D601" s="2">
        <v>4892</v>
      </c>
      <c r="E601" s="2">
        <v>0.49499799999999999</v>
      </c>
      <c r="F601" s="2">
        <v>5.4999999999999997E-3</v>
      </c>
      <c r="G601" s="2">
        <v>0.48421229999999998</v>
      </c>
      <c r="H601" s="2">
        <v>0.50578279000000004</v>
      </c>
      <c r="J601" t="str">
        <f t="shared" si="20"/>
        <v>0.49 (0.48 to 0.51)</v>
      </c>
    </row>
    <row r="602" spans="1:10" ht="17.25" thickBot="1" x14ac:dyDescent="0.35">
      <c r="A602" s="6">
        <v>5</v>
      </c>
      <c r="B602" s="3">
        <v>1</v>
      </c>
      <c r="C602" s="11" t="s">
        <v>116</v>
      </c>
      <c r="D602" s="2">
        <v>522</v>
      </c>
      <c r="E602" s="2">
        <v>6.3267000000000004E-2</v>
      </c>
      <c r="F602" s="2">
        <v>1.2238000000000001E-2</v>
      </c>
      <c r="G602" s="2">
        <v>3.9270199999999998E-2</v>
      </c>
      <c r="H602" s="2">
        <v>8.7264480000000005E-2</v>
      </c>
      <c r="J602" t="str">
        <f t="shared" si="20"/>
        <v>0.06 (0.04 to 0.09)</v>
      </c>
    </row>
    <row r="603" spans="1:10" ht="17.25" thickBot="1" x14ac:dyDescent="0.35">
      <c r="A603" s="6"/>
      <c r="B603" s="3">
        <v>2</v>
      </c>
      <c r="C603" s="11" t="s">
        <v>116</v>
      </c>
      <c r="D603" s="2">
        <v>4948</v>
      </c>
      <c r="E603" s="2">
        <v>0.20122899999999999</v>
      </c>
      <c r="F603" s="2">
        <v>5.1520000000000003E-3</v>
      </c>
      <c r="G603" s="2">
        <v>0.19112670000000001</v>
      </c>
      <c r="H603" s="2">
        <v>0.21133163999999999</v>
      </c>
      <c r="J603" t="str">
        <f t="shared" si="20"/>
        <v>0.20 (0.19 to 0.21)</v>
      </c>
    </row>
    <row r="604" spans="1:10" ht="17.25" thickBot="1" x14ac:dyDescent="0.35">
      <c r="A604" s="6"/>
      <c r="B604" s="3">
        <v>3</v>
      </c>
      <c r="C604" s="11" t="s">
        <v>116</v>
      </c>
      <c r="D604" s="2">
        <v>3184</v>
      </c>
      <c r="E604" s="2">
        <v>0.35047600000000001</v>
      </c>
      <c r="F604" s="2">
        <v>6.5449999999999996E-3</v>
      </c>
      <c r="G604" s="2">
        <v>0.33764300000000003</v>
      </c>
      <c r="H604" s="2">
        <v>0.36330844000000001</v>
      </c>
      <c r="J604" t="str">
        <f t="shared" si="20"/>
        <v>0.35 (0.34 to 0.36)</v>
      </c>
    </row>
    <row r="605" spans="1:10" ht="17.25" thickBot="1" x14ac:dyDescent="0.35">
      <c r="A605" s="6"/>
      <c r="B605" s="3">
        <v>4</v>
      </c>
      <c r="C605" s="11" t="s">
        <v>116</v>
      </c>
      <c r="D605" s="2">
        <v>4901</v>
      </c>
      <c r="E605" s="2">
        <v>0.46809400000000001</v>
      </c>
      <c r="F605" s="2">
        <v>5.1679999999999999E-3</v>
      </c>
      <c r="G605" s="2">
        <v>0.4579607</v>
      </c>
      <c r="H605" s="2">
        <v>0.47822773000000002</v>
      </c>
      <c r="J605" t="str">
        <f t="shared" si="20"/>
        <v>0.47 (0.46 to 0.48)</v>
      </c>
    </row>
    <row r="606" spans="1:10" ht="17.25" thickBot="1" x14ac:dyDescent="0.35">
      <c r="A606" s="6">
        <v>6</v>
      </c>
      <c r="B606" s="3">
        <v>1</v>
      </c>
      <c r="C606" s="11" t="s">
        <v>116</v>
      </c>
      <c r="D606" s="2">
        <v>212</v>
      </c>
      <c r="E606" s="2">
        <v>3.1222E-2</v>
      </c>
      <c r="F606" s="2">
        <v>1.6442999999999999E-2</v>
      </c>
      <c r="G606" s="15">
        <v>-1.0192000000000001E-3</v>
      </c>
      <c r="H606" s="2">
        <v>6.3463690000000003E-2</v>
      </c>
      <c r="J606" t="str">
        <f t="shared" si="20"/>
        <v>0.03 (0.00 to 0.06)</v>
      </c>
    </row>
    <row r="607" spans="1:10" ht="17.25" thickBot="1" x14ac:dyDescent="0.35">
      <c r="A607" s="6"/>
      <c r="B607" s="3">
        <v>2</v>
      </c>
      <c r="C607" s="11" t="s">
        <v>116</v>
      </c>
      <c r="D607" s="2">
        <v>1581</v>
      </c>
      <c r="E607" s="2">
        <v>0.15942300000000001</v>
      </c>
      <c r="F607" s="2">
        <v>8.2629999999999995E-3</v>
      </c>
      <c r="G607" s="2">
        <v>0.14322109999999999</v>
      </c>
      <c r="H607" s="2">
        <v>0.17562426</v>
      </c>
      <c r="J607" t="str">
        <f t="shared" si="20"/>
        <v>0.16 (0.14 to 0.18)</v>
      </c>
    </row>
    <row r="608" spans="1:10" ht="17.25" thickBot="1" x14ac:dyDescent="0.35">
      <c r="A608" s="6"/>
      <c r="B608" s="3">
        <v>3</v>
      </c>
      <c r="C608" s="11" t="s">
        <v>116</v>
      </c>
      <c r="D608" s="2">
        <v>986</v>
      </c>
      <c r="E608" s="2">
        <v>0.29989199999999999</v>
      </c>
      <c r="F608" s="2">
        <v>1.0714E-2</v>
      </c>
      <c r="G608" s="2">
        <v>0.27888499999999999</v>
      </c>
      <c r="H608" s="2">
        <v>0.32089949000000001</v>
      </c>
      <c r="J608" t="str">
        <f t="shared" si="20"/>
        <v>0.30 (0.28 to 0.32)</v>
      </c>
    </row>
    <row r="609" spans="1:10" x14ac:dyDescent="0.3">
      <c r="A609" s="6"/>
      <c r="B609" s="3">
        <v>4</v>
      </c>
      <c r="C609" s="14" t="s">
        <v>116</v>
      </c>
      <c r="D609" s="2">
        <v>1637</v>
      </c>
      <c r="E609" s="2">
        <v>0.43553999999999998</v>
      </c>
      <c r="F609" s="2">
        <v>8.8649999999999996E-3</v>
      </c>
      <c r="G609" s="2">
        <v>0.41815659999999999</v>
      </c>
      <c r="H609" s="2">
        <v>0.45292311000000002</v>
      </c>
      <c r="J609" t="str">
        <f t="shared" si="20"/>
        <v>0.44 (0.42 to 0.45)</v>
      </c>
    </row>
    <row r="613" spans="1:10" x14ac:dyDescent="0.3">
      <c r="A613" s="1" t="s">
        <v>237</v>
      </c>
    </row>
    <row r="615" spans="1:10" x14ac:dyDescent="0.3">
      <c r="A615" s="1" t="s">
        <v>1</v>
      </c>
    </row>
    <row r="616" spans="1:10" ht="17.25" thickBot="1" x14ac:dyDescent="0.35"/>
    <row r="617" spans="1:10" ht="16.5" customHeight="1" x14ac:dyDescent="0.3">
      <c r="A617" s="16" t="s">
        <v>135</v>
      </c>
      <c r="B617" s="18"/>
    </row>
    <row r="618" spans="1:10" ht="26.25" thickBot="1" x14ac:dyDescent="0.35">
      <c r="A618" s="12" t="s">
        <v>136</v>
      </c>
      <c r="B618" s="2">
        <v>183</v>
      </c>
    </row>
    <row r="619" spans="1:10" ht="26.25" thickBot="1" x14ac:dyDescent="0.35">
      <c r="A619" s="12" t="s">
        <v>137</v>
      </c>
      <c r="B619" s="2">
        <v>2949</v>
      </c>
    </row>
    <row r="620" spans="1:10" ht="39" thickBot="1" x14ac:dyDescent="0.35">
      <c r="A620" s="12" t="s">
        <v>138</v>
      </c>
      <c r="B620" s="2">
        <v>23222</v>
      </c>
    </row>
    <row r="621" spans="1:10" ht="25.5" x14ac:dyDescent="0.3">
      <c r="A621" s="13" t="s">
        <v>139</v>
      </c>
      <c r="B621" s="2">
        <v>9036880.5199999996</v>
      </c>
    </row>
    <row r="622" spans="1:10" ht="17.25" thickBot="1" x14ac:dyDescent="0.35"/>
    <row r="623" spans="1:10" ht="33" customHeight="1" x14ac:dyDescent="0.3">
      <c r="A623" s="16" t="s">
        <v>140</v>
      </c>
      <c r="B623" s="18"/>
    </row>
    <row r="624" spans="1:10" ht="33.75" thickBot="1" x14ac:dyDescent="0.35">
      <c r="A624" s="12" t="s">
        <v>141</v>
      </c>
      <c r="B624" s="2" t="s">
        <v>142</v>
      </c>
    </row>
    <row r="625" spans="1:8" ht="25.5" x14ac:dyDescent="0.3">
      <c r="A625" s="13" t="s">
        <v>143</v>
      </c>
      <c r="B625" s="2" t="s">
        <v>144</v>
      </c>
    </row>
    <row r="626" spans="1:8" ht="17.25" thickBot="1" x14ac:dyDescent="0.35"/>
    <row r="627" spans="1:8" ht="16.5" customHeight="1" x14ac:dyDescent="0.3">
      <c r="A627" s="16" t="s">
        <v>238</v>
      </c>
      <c r="B627" s="18"/>
      <c r="C627" s="18"/>
      <c r="D627" s="18"/>
      <c r="E627" s="18"/>
      <c r="F627" s="18"/>
    </row>
    <row r="628" spans="1:8" ht="16.5" customHeight="1" x14ac:dyDescent="0.3">
      <c r="A628" s="17" t="s">
        <v>239</v>
      </c>
      <c r="B628" s="19" t="s">
        <v>94</v>
      </c>
      <c r="C628" s="19" t="s">
        <v>240</v>
      </c>
      <c r="D628" s="3" t="s">
        <v>241</v>
      </c>
      <c r="E628" s="19" t="s">
        <v>243</v>
      </c>
      <c r="F628" s="19"/>
    </row>
    <row r="629" spans="1:8" x14ac:dyDescent="0.3">
      <c r="A629" s="17"/>
      <c r="B629" s="19"/>
      <c r="C629" s="19"/>
      <c r="D629" s="3" t="s">
        <v>242</v>
      </c>
      <c r="E629" s="19"/>
      <c r="F629" s="19"/>
    </row>
    <row r="630" spans="1:8" x14ac:dyDescent="0.3">
      <c r="A630" s="13" t="s">
        <v>116</v>
      </c>
      <c r="B630" s="2">
        <v>23222</v>
      </c>
      <c r="C630" s="2">
        <v>0.29750300000000002</v>
      </c>
      <c r="D630" s="2">
        <v>2.7789999999999998E-3</v>
      </c>
      <c r="E630" s="2">
        <v>0.29205375</v>
      </c>
      <c r="F630" s="2">
        <v>0.30295137999999999</v>
      </c>
    </row>
    <row r="634" spans="1:8" x14ac:dyDescent="0.3">
      <c r="A634" s="1" t="s">
        <v>237</v>
      </c>
    </row>
    <row r="636" spans="1:8" x14ac:dyDescent="0.3">
      <c r="A636" s="1" t="s">
        <v>1</v>
      </c>
    </row>
    <row r="637" spans="1:8" ht="17.25" thickBot="1" x14ac:dyDescent="0.35"/>
    <row r="638" spans="1:8" ht="16.5" customHeight="1" x14ac:dyDescent="0.3">
      <c r="A638" s="16" t="s">
        <v>256</v>
      </c>
      <c r="B638" s="18"/>
      <c r="C638" s="18"/>
      <c r="D638" s="18"/>
      <c r="E638" s="18"/>
      <c r="F638" s="18"/>
      <c r="G638" s="18"/>
      <c r="H638" s="18"/>
    </row>
    <row r="639" spans="1:8" ht="16.5" customHeight="1" x14ac:dyDescent="0.3">
      <c r="A639" s="17" t="s">
        <v>249</v>
      </c>
      <c r="B639" s="19" t="s">
        <v>11</v>
      </c>
      <c r="C639" s="19" t="s">
        <v>239</v>
      </c>
      <c r="D639" s="19" t="s">
        <v>94</v>
      </c>
      <c r="E639" s="19" t="s">
        <v>240</v>
      </c>
      <c r="F639" s="3" t="s">
        <v>241</v>
      </c>
      <c r="G639" s="19" t="s">
        <v>243</v>
      </c>
      <c r="H639" s="19"/>
    </row>
    <row r="640" spans="1:8" x14ac:dyDescent="0.3">
      <c r="A640" s="17"/>
      <c r="B640" s="19"/>
      <c r="C640" s="19"/>
      <c r="D640" s="19"/>
      <c r="E640" s="19"/>
      <c r="F640" s="3" t="s">
        <v>242</v>
      </c>
      <c r="G640" s="19"/>
      <c r="H640" s="19"/>
    </row>
    <row r="641" spans="1:8" ht="17.25" thickBot="1" x14ac:dyDescent="0.35">
      <c r="A641" s="6">
        <v>1</v>
      </c>
      <c r="B641" s="3">
        <v>1</v>
      </c>
      <c r="C641" s="11" t="s">
        <v>116</v>
      </c>
      <c r="D641" s="2">
        <v>2539</v>
      </c>
      <c r="E641" s="2">
        <v>0.42699399999999998</v>
      </c>
      <c r="F641" s="2">
        <v>7.5160000000000001E-3</v>
      </c>
      <c r="G641" s="2">
        <v>0.41225509999999999</v>
      </c>
      <c r="H641" s="2">
        <v>0.44173190000000001</v>
      </c>
    </row>
    <row r="642" spans="1:8" ht="17.25" thickBot="1" x14ac:dyDescent="0.35">
      <c r="A642" s="6"/>
      <c r="B642" s="3">
        <v>2</v>
      </c>
      <c r="C642" s="11" t="s">
        <v>116</v>
      </c>
      <c r="D642" s="2">
        <v>1165</v>
      </c>
      <c r="E642" s="2">
        <v>0.21304999999999999</v>
      </c>
      <c r="F642" s="2">
        <v>1.0691000000000001E-2</v>
      </c>
      <c r="G642" s="2">
        <v>0.1920868</v>
      </c>
      <c r="H642" s="2">
        <v>0.23401330000000001</v>
      </c>
    </row>
    <row r="643" spans="1:8" ht="17.25" thickBot="1" x14ac:dyDescent="0.35">
      <c r="A643" s="6"/>
      <c r="B643" s="3">
        <v>8</v>
      </c>
      <c r="C643" s="11" t="s">
        <v>116</v>
      </c>
      <c r="D643" s="2">
        <v>36</v>
      </c>
      <c r="E643" s="2">
        <v>0.38428499999999999</v>
      </c>
      <c r="F643" s="2">
        <v>4.4715999999999999E-2</v>
      </c>
      <c r="G643" s="2">
        <v>0.29660370000000003</v>
      </c>
      <c r="H643" s="2">
        <v>0.47196549999999998</v>
      </c>
    </row>
    <row r="644" spans="1:8" ht="17.25" thickBot="1" x14ac:dyDescent="0.35">
      <c r="A644" s="6">
        <v>2</v>
      </c>
      <c r="B644" s="3">
        <v>1</v>
      </c>
      <c r="C644" s="11" t="s">
        <v>116</v>
      </c>
      <c r="D644" s="2">
        <v>2480</v>
      </c>
      <c r="E644" s="2">
        <v>0.39605800000000002</v>
      </c>
      <c r="F644" s="2">
        <v>8.2609999999999992E-3</v>
      </c>
      <c r="G644" s="2">
        <v>0.3798607</v>
      </c>
      <c r="H644" s="2">
        <v>0.4122557</v>
      </c>
    </row>
    <row r="645" spans="1:8" ht="17.25" thickBot="1" x14ac:dyDescent="0.35">
      <c r="A645" s="6"/>
      <c r="B645" s="3">
        <v>2</v>
      </c>
      <c r="C645" s="11" t="s">
        <v>116</v>
      </c>
      <c r="D645" s="2">
        <v>2247</v>
      </c>
      <c r="E645" s="2">
        <v>0.181704</v>
      </c>
      <c r="F645" s="2">
        <v>7.8469999999999998E-3</v>
      </c>
      <c r="G645" s="2">
        <v>0.1663173</v>
      </c>
      <c r="H645" s="2">
        <v>0.19709009999999999</v>
      </c>
    </row>
    <row r="646" spans="1:8" ht="17.25" thickBot="1" x14ac:dyDescent="0.35">
      <c r="A646" s="6"/>
      <c r="B646" s="3">
        <v>8</v>
      </c>
      <c r="C646" s="11" t="s">
        <v>116</v>
      </c>
      <c r="D646" s="2">
        <v>5</v>
      </c>
      <c r="E646" s="2">
        <v>0.134463</v>
      </c>
      <c r="F646" s="2">
        <v>0.14660699999999999</v>
      </c>
      <c r="G646" s="15">
        <v>-0.15300759999999999</v>
      </c>
      <c r="H646" s="2">
        <v>0.42193429999999998</v>
      </c>
    </row>
    <row r="647" spans="1:8" ht="17.25" thickBot="1" x14ac:dyDescent="0.35">
      <c r="A647" s="6">
        <v>3</v>
      </c>
      <c r="B647" s="3">
        <v>1</v>
      </c>
      <c r="C647" s="11" t="s">
        <v>116</v>
      </c>
      <c r="D647" s="2">
        <v>2430</v>
      </c>
      <c r="E647" s="2">
        <v>0.38799299999999998</v>
      </c>
      <c r="F647" s="2">
        <v>8.1279999999999998E-3</v>
      </c>
      <c r="G647" s="2">
        <v>0.37205650000000001</v>
      </c>
      <c r="H647" s="2">
        <v>0.40393010000000001</v>
      </c>
    </row>
    <row r="648" spans="1:8" ht="17.25" thickBot="1" x14ac:dyDescent="0.35">
      <c r="A648" s="6"/>
      <c r="B648" s="3">
        <v>2</v>
      </c>
      <c r="C648" s="11" t="s">
        <v>116</v>
      </c>
      <c r="D648" s="2">
        <v>1824</v>
      </c>
      <c r="E648" s="2">
        <v>0.19592499999999999</v>
      </c>
      <c r="F648" s="2">
        <v>8.5170000000000003E-3</v>
      </c>
      <c r="G648" s="2">
        <v>0.17922350000000001</v>
      </c>
      <c r="H648" s="2">
        <v>0.21262610000000001</v>
      </c>
    </row>
    <row r="649" spans="1:8" ht="17.25" thickBot="1" x14ac:dyDescent="0.35">
      <c r="A649" s="6"/>
      <c r="B649" s="3">
        <v>8</v>
      </c>
      <c r="C649" s="11" t="s">
        <v>116</v>
      </c>
      <c r="D649" s="2">
        <v>3</v>
      </c>
      <c r="E649" s="2">
        <v>3.8649999999999999E-3</v>
      </c>
      <c r="F649" s="2">
        <v>4.9950000000000003E-3</v>
      </c>
      <c r="G649" s="15">
        <v>-5.9290000000000002E-3</v>
      </c>
      <c r="H649" s="2">
        <v>1.3658999999999999E-2</v>
      </c>
    </row>
    <row r="650" spans="1:8" ht="17.25" thickBot="1" x14ac:dyDescent="0.35">
      <c r="A650" s="6">
        <v>4</v>
      </c>
      <c r="B650" s="3">
        <v>1</v>
      </c>
      <c r="C650" s="11" t="s">
        <v>116</v>
      </c>
      <c r="D650" s="2">
        <v>2588</v>
      </c>
      <c r="E650" s="2">
        <v>0.39318199999999998</v>
      </c>
      <c r="F650" s="2">
        <v>7.6880000000000004E-3</v>
      </c>
      <c r="G650" s="2">
        <v>0.37810749999999999</v>
      </c>
      <c r="H650" s="2">
        <v>0.40825650000000002</v>
      </c>
    </row>
    <row r="651" spans="1:8" ht="17.25" thickBot="1" x14ac:dyDescent="0.35">
      <c r="A651" s="6"/>
      <c r="B651" s="3">
        <v>2</v>
      </c>
      <c r="C651" s="11" t="s">
        <v>116</v>
      </c>
      <c r="D651" s="2">
        <v>1968</v>
      </c>
      <c r="E651" s="2">
        <v>0.21418799999999999</v>
      </c>
      <c r="F651" s="2">
        <v>8.456E-3</v>
      </c>
      <c r="G651" s="2">
        <v>0.19760659999999999</v>
      </c>
      <c r="H651" s="2">
        <v>0.23076920000000001</v>
      </c>
    </row>
    <row r="652" spans="1:8" ht="17.25" thickBot="1" x14ac:dyDescent="0.35">
      <c r="A652" s="6">
        <v>5</v>
      </c>
      <c r="B652" s="3">
        <v>1</v>
      </c>
      <c r="C652" s="11" t="s">
        <v>116</v>
      </c>
      <c r="D652" s="2">
        <v>2684</v>
      </c>
      <c r="E652" s="2">
        <v>0.36500100000000002</v>
      </c>
      <c r="F652" s="2">
        <v>7.6530000000000001E-3</v>
      </c>
      <c r="G652" s="2">
        <v>0.34999449999999999</v>
      </c>
      <c r="H652" s="2">
        <v>0.38000650000000002</v>
      </c>
    </row>
    <row r="653" spans="1:8" ht="17.25" thickBot="1" x14ac:dyDescent="0.35">
      <c r="A653" s="6"/>
      <c r="B653" s="3">
        <v>2</v>
      </c>
      <c r="C653" s="11" t="s">
        <v>116</v>
      </c>
      <c r="D653" s="2">
        <v>1815</v>
      </c>
      <c r="E653" s="2">
        <v>0.209421</v>
      </c>
      <c r="F653" s="2">
        <v>8.548E-3</v>
      </c>
      <c r="G653" s="2">
        <v>0.19265979999999999</v>
      </c>
      <c r="H653" s="2">
        <v>0.22618170000000001</v>
      </c>
    </row>
    <row r="654" spans="1:8" ht="17.25" thickBot="1" x14ac:dyDescent="0.35">
      <c r="A654" s="6"/>
      <c r="B654" s="3">
        <v>8</v>
      </c>
      <c r="C654" s="11" t="s">
        <v>116</v>
      </c>
      <c r="D654" s="2">
        <v>2</v>
      </c>
      <c r="E654" s="15">
        <v>-0.166523</v>
      </c>
      <c r="F654" s="2">
        <v>0</v>
      </c>
      <c r="G654" s="15">
        <v>-0.16652249999999999</v>
      </c>
      <c r="H654" s="15">
        <v>-0.16652249999999999</v>
      </c>
    </row>
    <row r="655" spans="1:8" ht="17.25" thickBot="1" x14ac:dyDescent="0.35">
      <c r="A655" s="6">
        <v>6</v>
      </c>
      <c r="B655" s="3">
        <v>1</v>
      </c>
      <c r="C655" s="11" t="s">
        <v>116</v>
      </c>
      <c r="D655" s="2">
        <v>895</v>
      </c>
      <c r="E655" s="2">
        <v>0.31471300000000002</v>
      </c>
      <c r="F655" s="2">
        <v>1.1860000000000001E-2</v>
      </c>
      <c r="G655" s="2">
        <v>0.29145850000000001</v>
      </c>
      <c r="H655" s="2">
        <v>0.33796789999999999</v>
      </c>
    </row>
    <row r="656" spans="1:8" x14ac:dyDescent="0.3">
      <c r="A656" s="6"/>
      <c r="B656" s="3">
        <v>2</v>
      </c>
      <c r="C656" s="14" t="s">
        <v>116</v>
      </c>
      <c r="D656" s="2">
        <v>541</v>
      </c>
      <c r="E656" s="2">
        <v>0.16355700000000001</v>
      </c>
      <c r="F656" s="2">
        <v>1.4522999999999999E-2</v>
      </c>
      <c r="G656" s="2">
        <v>0.13508110000000001</v>
      </c>
      <c r="H656" s="2">
        <v>0.19203319999999999</v>
      </c>
    </row>
    <row r="660" spans="1:2" x14ac:dyDescent="0.3">
      <c r="A660" s="1" t="s">
        <v>237</v>
      </c>
    </row>
    <row r="662" spans="1:2" x14ac:dyDescent="0.3">
      <c r="A662" s="1" t="s">
        <v>21</v>
      </c>
    </row>
    <row r="663" spans="1:2" ht="17.25" thickBot="1" x14ac:dyDescent="0.35"/>
    <row r="664" spans="1:2" ht="16.5" customHeight="1" x14ac:dyDescent="0.3">
      <c r="A664" s="16" t="s">
        <v>135</v>
      </c>
      <c r="B664" s="18"/>
    </row>
    <row r="665" spans="1:2" ht="26.25" thickBot="1" x14ac:dyDescent="0.35">
      <c r="A665" s="12" t="s">
        <v>136</v>
      </c>
      <c r="B665" s="2">
        <v>183</v>
      </c>
    </row>
    <row r="666" spans="1:2" ht="26.25" thickBot="1" x14ac:dyDescent="0.35">
      <c r="A666" s="12" t="s">
        <v>137</v>
      </c>
      <c r="B666" s="2">
        <v>2982</v>
      </c>
    </row>
    <row r="667" spans="1:2" ht="39" thickBot="1" x14ac:dyDescent="0.35">
      <c r="A667" s="12" t="s">
        <v>138</v>
      </c>
      <c r="B667" s="2">
        <v>68635</v>
      </c>
    </row>
    <row r="668" spans="1:2" ht="25.5" x14ac:dyDescent="0.3">
      <c r="A668" s="13" t="s">
        <v>139</v>
      </c>
      <c r="B668" s="2">
        <v>30251935.699999999</v>
      </c>
    </row>
    <row r="669" spans="1:2" ht="17.25" thickBot="1" x14ac:dyDescent="0.35"/>
    <row r="670" spans="1:2" ht="33" customHeight="1" x14ac:dyDescent="0.3">
      <c r="A670" s="16" t="s">
        <v>140</v>
      </c>
      <c r="B670" s="18"/>
    </row>
    <row r="671" spans="1:2" ht="33.75" thickBot="1" x14ac:dyDescent="0.35">
      <c r="A671" s="12" t="s">
        <v>141</v>
      </c>
      <c r="B671" s="2" t="s">
        <v>142</v>
      </c>
    </row>
    <row r="672" spans="1:2" ht="25.5" x14ac:dyDescent="0.3">
      <c r="A672" s="13" t="s">
        <v>143</v>
      </c>
      <c r="B672" s="2" t="s">
        <v>144</v>
      </c>
    </row>
    <row r="673" spans="1:15" ht="17.25" thickBot="1" x14ac:dyDescent="0.35"/>
    <row r="674" spans="1:15" ht="16.5" customHeight="1" x14ac:dyDescent="0.3">
      <c r="A674" s="16" t="s">
        <v>238</v>
      </c>
      <c r="B674" s="18"/>
      <c r="C674" s="18"/>
      <c r="D674" s="18"/>
      <c r="E674" s="18"/>
      <c r="F674" s="18"/>
    </row>
    <row r="675" spans="1:15" ht="16.5" customHeight="1" x14ac:dyDescent="0.3">
      <c r="A675" s="17" t="s">
        <v>239</v>
      </c>
      <c r="B675" s="19" t="s">
        <v>94</v>
      </c>
      <c r="C675" s="19" t="s">
        <v>240</v>
      </c>
      <c r="D675" s="3" t="s">
        <v>241</v>
      </c>
      <c r="E675" s="19" t="s">
        <v>243</v>
      </c>
      <c r="F675" s="19"/>
    </row>
    <row r="676" spans="1:15" x14ac:dyDescent="0.3">
      <c r="A676" s="17"/>
      <c r="B676" s="19"/>
      <c r="C676" s="19"/>
      <c r="D676" s="3" t="s">
        <v>242</v>
      </c>
      <c r="E676" s="19"/>
      <c r="F676" s="19"/>
    </row>
    <row r="677" spans="1:15" x14ac:dyDescent="0.3">
      <c r="A677" s="13" t="s">
        <v>116</v>
      </c>
      <c r="B677" s="2">
        <v>68635</v>
      </c>
      <c r="C677" s="2">
        <v>0.34523599999999999</v>
      </c>
      <c r="D677" s="2">
        <v>1.6490000000000001E-3</v>
      </c>
      <c r="E677" s="2">
        <v>0.34200205</v>
      </c>
      <c r="F677" s="2">
        <v>0.34847033999999999</v>
      </c>
    </row>
    <row r="681" spans="1:15" x14ac:dyDescent="0.3">
      <c r="A681" s="1" t="s">
        <v>237</v>
      </c>
    </row>
    <row r="683" spans="1:15" x14ac:dyDescent="0.3">
      <c r="A683" s="1" t="s">
        <v>21</v>
      </c>
    </row>
    <row r="684" spans="1:15" ht="17.25" thickBot="1" x14ac:dyDescent="0.35"/>
    <row r="685" spans="1:15" ht="16.5" customHeight="1" x14ac:dyDescent="0.3">
      <c r="A685" s="16" t="s">
        <v>256</v>
      </c>
      <c r="B685" s="18"/>
      <c r="C685" s="18"/>
      <c r="D685" s="18"/>
      <c r="E685" s="18"/>
      <c r="F685" s="18"/>
      <c r="G685" s="18"/>
      <c r="H685" s="18"/>
    </row>
    <row r="686" spans="1:15" ht="16.5" customHeight="1" x14ac:dyDescent="0.3">
      <c r="A686" s="17" t="s">
        <v>249</v>
      </c>
      <c r="B686" s="19" t="s">
        <v>11</v>
      </c>
      <c r="C686" s="19" t="s">
        <v>239</v>
      </c>
      <c r="D686" s="19" t="s">
        <v>94</v>
      </c>
      <c r="E686" s="19" t="s">
        <v>240</v>
      </c>
      <c r="F686" s="3" t="s">
        <v>241</v>
      </c>
      <c r="G686" s="19" t="s">
        <v>243</v>
      </c>
      <c r="H686" s="19"/>
    </row>
    <row r="687" spans="1:15" x14ac:dyDescent="0.3">
      <c r="A687" s="17"/>
      <c r="B687" s="19"/>
      <c r="C687" s="19"/>
      <c r="D687" s="19"/>
      <c r="E687" s="19"/>
      <c r="F687" s="3" t="s">
        <v>242</v>
      </c>
      <c r="G687" s="19"/>
      <c r="H687" s="19"/>
    </row>
    <row r="688" spans="1:15" ht="17.25" thickBot="1" x14ac:dyDescent="0.35">
      <c r="A688" s="6">
        <v>1</v>
      </c>
      <c r="B688" s="3">
        <v>1</v>
      </c>
      <c r="C688" s="11" t="s">
        <v>116</v>
      </c>
      <c r="D688" s="2">
        <v>10177</v>
      </c>
      <c r="E688" s="2">
        <v>0.39533699999999999</v>
      </c>
      <c r="F688" s="2">
        <v>4.0039999999999997E-3</v>
      </c>
      <c r="G688" s="2">
        <v>0.38748532000000002</v>
      </c>
      <c r="H688" s="2">
        <v>0.40318797000000001</v>
      </c>
      <c r="J688" t="str">
        <f t="shared" ref="J688:J699" si="26">TEXT(E688,"0.00")&amp;" ("&amp;TEXT(G688,"0.00")&amp;" to "&amp;TEXT(H688,"0.00")&amp;")"</f>
        <v>0.40 (0.39 to 0.40)</v>
      </c>
      <c r="K688" t="str">
        <f>J690</f>
        <v>0.39 (0.38 to 0.39)</v>
      </c>
      <c r="L688" t="str">
        <f>J692</f>
        <v>0.38 (0.37 to 0.38)</v>
      </c>
      <c r="M688" t="str">
        <f>J694</f>
        <v>0.38 (0.37 to 0.39)</v>
      </c>
      <c r="N688" t="str">
        <f>J696</f>
        <v>0.35 (0.34 to 0.36)</v>
      </c>
      <c r="O688" t="str">
        <f>J698</f>
        <v>0.30 (0.29 to 0.32)</v>
      </c>
    </row>
    <row r="689" spans="1:15" ht="17.25" thickBot="1" x14ac:dyDescent="0.35">
      <c r="A689" s="6"/>
      <c r="B689" s="3">
        <v>2</v>
      </c>
      <c r="C689" s="11" t="s">
        <v>116</v>
      </c>
      <c r="D689" s="2">
        <v>1738</v>
      </c>
      <c r="E689" s="2">
        <v>0.26802999999999999</v>
      </c>
      <c r="F689" s="2">
        <v>8.6009999999999993E-3</v>
      </c>
      <c r="G689" s="2">
        <v>0.25116442</v>
      </c>
      <c r="H689" s="2">
        <v>0.2848947</v>
      </c>
      <c r="J689" t="str">
        <f t="shared" si="26"/>
        <v>0.27 (0.25 to 0.28)</v>
      </c>
      <c r="K689" t="str">
        <f>J691</f>
        <v>0.26 (0.24 to 0.28)</v>
      </c>
      <c r="L689" t="str">
        <f>J693</f>
        <v>0.26 (0.24 to 0.27)</v>
      </c>
      <c r="M689" t="str">
        <f>J695</f>
        <v>0.28 (0.26 to 0.29)</v>
      </c>
      <c r="N689" t="str">
        <f>J697</f>
        <v>0.26 (0.25 to 0.28)</v>
      </c>
      <c r="O689" t="str">
        <f>J699</f>
        <v>0.25 (0.23 to 0.28)</v>
      </c>
    </row>
    <row r="690" spans="1:15" ht="17.25" thickBot="1" x14ac:dyDescent="0.35">
      <c r="A690" s="6">
        <v>2</v>
      </c>
      <c r="B690" s="3">
        <v>1</v>
      </c>
      <c r="C690" s="11" t="s">
        <v>116</v>
      </c>
      <c r="D690" s="2">
        <v>11190</v>
      </c>
      <c r="E690" s="2">
        <v>0.38633699999999999</v>
      </c>
      <c r="F690" s="2">
        <v>3.7859999999999999E-3</v>
      </c>
      <c r="G690" s="2">
        <v>0.37891267000000001</v>
      </c>
      <c r="H690" s="2">
        <v>0.39376143000000002</v>
      </c>
      <c r="J690" t="str">
        <f t="shared" si="26"/>
        <v>0.39 (0.38 to 0.39)</v>
      </c>
    </row>
    <row r="691" spans="1:15" ht="17.25" thickBot="1" x14ac:dyDescent="0.35">
      <c r="A691" s="6"/>
      <c r="B691" s="3">
        <v>2</v>
      </c>
      <c r="C691" s="11" t="s">
        <v>116</v>
      </c>
      <c r="D691" s="2">
        <v>1926</v>
      </c>
      <c r="E691" s="2">
        <v>0.25941199999999998</v>
      </c>
      <c r="F691" s="2">
        <v>8.9320000000000007E-3</v>
      </c>
      <c r="G691" s="2">
        <v>0.24189825000000001</v>
      </c>
      <c r="H691" s="2">
        <v>0.27692641000000001</v>
      </c>
      <c r="J691" t="str">
        <f t="shared" si="26"/>
        <v>0.26 (0.24 to 0.28)</v>
      </c>
    </row>
    <row r="692" spans="1:15" ht="17.25" thickBot="1" x14ac:dyDescent="0.35">
      <c r="A692" s="6">
        <v>3</v>
      </c>
      <c r="B692" s="3">
        <v>1</v>
      </c>
      <c r="C692" s="11" t="s">
        <v>116</v>
      </c>
      <c r="D692" s="2">
        <v>9576</v>
      </c>
      <c r="E692" s="2">
        <v>0.37698500000000001</v>
      </c>
      <c r="F692" s="2">
        <v>4.019E-3</v>
      </c>
      <c r="G692" s="2">
        <v>0.36910510000000002</v>
      </c>
      <c r="H692" s="2">
        <v>0.38486505999999998</v>
      </c>
      <c r="J692" t="str">
        <f t="shared" si="26"/>
        <v>0.38 (0.37 to 0.38)</v>
      </c>
    </row>
    <row r="693" spans="1:15" ht="17.25" thickBot="1" x14ac:dyDescent="0.35">
      <c r="A693" s="6"/>
      <c r="B693" s="3">
        <v>2</v>
      </c>
      <c r="C693" s="11" t="s">
        <v>116</v>
      </c>
      <c r="D693" s="2">
        <v>1899</v>
      </c>
      <c r="E693" s="2">
        <v>0.25600099999999998</v>
      </c>
      <c r="F693" s="2">
        <v>8.397E-3</v>
      </c>
      <c r="G693" s="2">
        <v>0.23953571000000001</v>
      </c>
      <c r="H693" s="2">
        <v>0.27246550000000003</v>
      </c>
      <c r="J693" t="str">
        <f t="shared" si="26"/>
        <v>0.26 (0.24 to 0.27)</v>
      </c>
    </row>
    <row r="694" spans="1:15" ht="17.25" thickBot="1" x14ac:dyDescent="0.35">
      <c r="A694" s="6">
        <v>4</v>
      </c>
      <c r="B694" s="3">
        <v>1</v>
      </c>
      <c r="C694" s="11" t="s">
        <v>116</v>
      </c>
      <c r="D694" s="2">
        <v>11608</v>
      </c>
      <c r="E694" s="2">
        <v>0.37760899999999997</v>
      </c>
      <c r="F694" s="2">
        <v>3.921E-3</v>
      </c>
      <c r="G694" s="2">
        <v>0.36992130000000001</v>
      </c>
      <c r="H694" s="2">
        <v>0.38529699000000001</v>
      </c>
      <c r="J694" t="str">
        <f t="shared" si="26"/>
        <v>0.38 (0.37 to 0.39)</v>
      </c>
    </row>
    <row r="695" spans="1:15" ht="17.25" thickBot="1" x14ac:dyDescent="0.35">
      <c r="A695" s="6"/>
      <c r="B695" s="3">
        <v>2</v>
      </c>
      <c r="C695" s="11" t="s">
        <v>116</v>
      </c>
      <c r="D695" s="2">
        <v>2550</v>
      </c>
      <c r="E695" s="2">
        <v>0.27775100000000003</v>
      </c>
      <c r="F695" s="2">
        <v>7.5319999999999996E-3</v>
      </c>
      <c r="G695" s="2">
        <v>0.26298218000000001</v>
      </c>
      <c r="H695" s="2">
        <v>0.29251941999999997</v>
      </c>
      <c r="J695" t="str">
        <f t="shared" si="26"/>
        <v>0.28 (0.26 to 0.29)</v>
      </c>
    </row>
    <row r="696" spans="1:15" ht="17.25" thickBot="1" x14ac:dyDescent="0.35">
      <c r="A696" s="6">
        <v>5</v>
      </c>
      <c r="B696" s="3">
        <v>1</v>
      </c>
      <c r="C696" s="11" t="s">
        <v>116</v>
      </c>
      <c r="D696" s="2">
        <v>10769</v>
      </c>
      <c r="E696" s="2">
        <v>0.35156100000000001</v>
      </c>
      <c r="F696" s="2">
        <v>4.0150000000000003E-3</v>
      </c>
      <c r="G696" s="2">
        <v>0.34368779999999999</v>
      </c>
      <c r="H696" s="2">
        <v>0.35943360000000002</v>
      </c>
      <c r="J696" t="str">
        <f t="shared" si="26"/>
        <v>0.35 (0.34 to 0.36)</v>
      </c>
    </row>
    <row r="697" spans="1:15" ht="17.25" thickBot="1" x14ac:dyDescent="0.35">
      <c r="A697" s="6"/>
      <c r="B697" s="3">
        <v>2</v>
      </c>
      <c r="C697" s="11" t="s">
        <v>116</v>
      </c>
      <c r="D697" s="2">
        <v>2786</v>
      </c>
      <c r="E697" s="2">
        <v>0.263513</v>
      </c>
      <c r="F697" s="2">
        <v>7.6680000000000003E-3</v>
      </c>
      <c r="G697" s="2">
        <v>0.24847699000000001</v>
      </c>
      <c r="H697" s="2">
        <v>0.27854809000000003</v>
      </c>
      <c r="J697" t="str">
        <f t="shared" si="26"/>
        <v>0.26 (0.25 to 0.28)</v>
      </c>
    </row>
    <row r="698" spans="1:15" ht="17.25" thickBot="1" x14ac:dyDescent="0.35">
      <c r="A698" s="6">
        <v>6</v>
      </c>
      <c r="B698" s="3">
        <v>1</v>
      </c>
      <c r="C698" s="11" t="s">
        <v>116</v>
      </c>
      <c r="D698" s="2">
        <v>3494</v>
      </c>
      <c r="E698" s="2">
        <v>0.304784</v>
      </c>
      <c r="F698" s="2">
        <v>6.2160000000000002E-3</v>
      </c>
      <c r="G698" s="2">
        <v>0.29259670999999998</v>
      </c>
      <c r="H698" s="2">
        <v>0.31697197999999999</v>
      </c>
      <c r="J698" t="str">
        <f t="shared" si="26"/>
        <v>0.30 (0.29 to 0.32)</v>
      </c>
    </row>
    <row r="699" spans="1:15" x14ac:dyDescent="0.3">
      <c r="A699" s="6"/>
      <c r="B699" s="3">
        <v>2</v>
      </c>
      <c r="C699" s="14" t="s">
        <v>116</v>
      </c>
      <c r="D699" s="2">
        <v>922</v>
      </c>
      <c r="E699" s="2">
        <v>0.25256299999999998</v>
      </c>
      <c r="F699" s="2">
        <v>1.3611E-2</v>
      </c>
      <c r="G699" s="2">
        <v>0.22587349000000001</v>
      </c>
      <c r="H699" s="2">
        <v>0.27925211</v>
      </c>
      <c r="J699" t="str">
        <f t="shared" si="26"/>
        <v>0.25 (0.23 to 0.28)</v>
      </c>
    </row>
    <row r="703" spans="1:15" x14ac:dyDescent="0.3">
      <c r="A703" s="1" t="s">
        <v>237</v>
      </c>
    </row>
    <row r="705" spans="1:6" x14ac:dyDescent="0.3">
      <c r="A705" s="1" t="s">
        <v>1</v>
      </c>
    </row>
    <row r="706" spans="1:6" ht="17.25" thickBot="1" x14ac:dyDescent="0.35"/>
    <row r="707" spans="1:6" ht="16.5" customHeight="1" x14ac:dyDescent="0.3">
      <c r="A707" s="16" t="s">
        <v>135</v>
      </c>
      <c r="B707" s="18"/>
    </row>
    <row r="708" spans="1:6" ht="26.25" thickBot="1" x14ac:dyDescent="0.35">
      <c r="A708" s="12" t="s">
        <v>136</v>
      </c>
      <c r="B708" s="2">
        <v>183</v>
      </c>
    </row>
    <row r="709" spans="1:6" ht="26.25" thickBot="1" x14ac:dyDescent="0.35">
      <c r="A709" s="12" t="s">
        <v>137</v>
      </c>
      <c r="B709" s="2">
        <v>2949</v>
      </c>
    </row>
    <row r="710" spans="1:6" ht="39" thickBot="1" x14ac:dyDescent="0.35">
      <c r="A710" s="12" t="s">
        <v>138</v>
      </c>
      <c r="B710" s="2">
        <v>23222</v>
      </c>
    </row>
    <row r="711" spans="1:6" ht="25.5" x14ac:dyDescent="0.3">
      <c r="A711" s="13" t="s">
        <v>139</v>
      </c>
      <c r="B711" s="2">
        <v>9036880.5199999996</v>
      </c>
    </row>
    <row r="712" spans="1:6" ht="17.25" thickBot="1" x14ac:dyDescent="0.35"/>
    <row r="713" spans="1:6" ht="33" customHeight="1" x14ac:dyDescent="0.3">
      <c r="A713" s="16" t="s">
        <v>140</v>
      </c>
      <c r="B713" s="18"/>
    </row>
    <row r="714" spans="1:6" ht="33.75" thickBot="1" x14ac:dyDescent="0.35">
      <c r="A714" s="12" t="s">
        <v>141</v>
      </c>
      <c r="B714" s="2" t="s">
        <v>142</v>
      </c>
    </row>
    <row r="715" spans="1:6" ht="25.5" x14ac:dyDescent="0.3">
      <c r="A715" s="13" t="s">
        <v>143</v>
      </c>
      <c r="B715" s="2" t="s">
        <v>144</v>
      </c>
    </row>
    <row r="716" spans="1:6" ht="17.25" thickBot="1" x14ac:dyDescent="0.35"/>
    <row r="717" spans="1:6" ht="16.5" customHeight="1" x14ac:dyDescent="0.3">
      <c r="A717" s="16" t="s">
        <v>238</v>
      </c>
      <c r="B717" s="18"/>
      <c r="C717" s="18"/>
      <c r="D717" s="18"/>
      <c r="E717" s="18"/>
      <c r="F717" s="18"/>
    </row>
    <row r="718" spans="1:6" ht="16.5" customHeight="1" x14ac:dyDescent="0.3">
      <c r="A718" s="17" t="s">
        <v>239</v>
      </c>
      <c r="B718" s="19" t="s">
        <v>94</v>
      </c>
      <c r="C718" s="19" t="s">
        <v>240</v>
      </c>
      <c r="D718" s="3" t="s">
        <v>241</v>
      </c>
      <c r="E718" s="19" t="s">
        <v>243</v>
      </c>
      <c r="F718" s="19"/>
    </row>
    <row r="719" spans="1:6" x14ac:dyDescent="0.3">
      <c r="A719" s="17"/>
      <c r="B719" s="19"/>
      <c r="C719" s="19"/>
      <c r="D719" s="3" t="s">
        <v>242</v>
      </c>
      <c r="E719" s="19"/>
      <c r="F719" s="19"/>
    </row>
    <row r="720" spans="1:6" x14ac:dyDescent="0.3">
      <c r="A720" s="13" t="s">
        <v>116</v>
      </c>
      <c r="B720" s="2">
        <v>23222</v>
      </c>
      <c r="C720" s="2">
        <v>0.29750300000000002</v>
      </c>
      <c r="D720" s="2">
        <v>2.7789999999999998E-3</v>
      </c>
      <c r="E720" s="2">
        <v>0.29205375</v>
      </c>
      <c r="F720" s="2">
        <v>0.30295137999999999</v>
      </c>
    </row>
    <row r="724" spans="1:8" x14ac:dyDescent="0.3">
      <c r="A724" s="1" t="s">
        <v>237</v>
      </c>
    </row>
    <row r="726" spans="1:8" x14ac:dyDescent="0.3">
      <c r="A726" s="1" t="s">
        <v>1</v>
      </c>
    </row>
    <row r="727" spans="1:8" ht="17.25" thickBot="1" x14ac:dyDescent="0.35"/>
    <row r="728" spans="1:8" ht="16.5" customHeight="1" x14ac:dyDescent="0.3">
      <c r="A728" s="16" t="s">
        <v>257</v>
      </c>
      <c r="B728" s="18"/>
      <c r="C728" s="18"/>
      <c r="D728" s="18"/>
      <c r="E728" s="18"/>
      <c r="F728" s="18"/>
      <c r="G728" s="18"/>
      <c r="H728" s="18"/>
    </row>
    <row r="729" spans="1:8" ht="16.5" customHeight="1" x14ac:dyDescent="0.3">
      <c r="A729" s="17" t="s">
        <v>249</v>
      </c>
      <c r="B729" s="19" t="s">
        <v>12</v>
      </c>
      <c r="C729" s="19" t="s">
        <v>239</v>
      </c>
      <c r="D729" s="19" t="s">
        <v>94</v>
      </c>
      <c r="E729" s="19" t="s">
        <v>240</v>
      </c>
      <c r="F729" s="3" t="s">
        <v>241</v>
      </c>
      <c r="G729" s="19" t="s">
        <v>243</v>
      </c>
      <c r="H729" s="19"/>
    </row>
    <row r="730" spans="1:8" x14ac:dyDescent="0.3">
      <c r="A730" s="17"/>
      <c r="B730" s="19"/>
      <c r="C730" s="19"/>
      <c r="D730" s="19"/>
      <c r="E730" s="19"/>
      <c r="F730" s="3" t="s">
        <v>242</v>
      </c>
      <c r="G730" s="19"/>
      <c r="H730" s="19"/>
    </row>
    <row r="731" spans="1:8" ht="17.25" thickBot="1" x14ac:dyDescent="0.35">
      <c r="A731" s="6">
        <v>1</v>
      </c>
      <c r="B731" s="3">
        <v>1</v>
      </c>
      <c r="C731" s="11" t="s">
        <v>116</v>
      </c>
      <c r="D731" s="2">
        <v>1680</v>
      </c>
      <c r="E731" s="2">
        <v>0.31218299999999999</v>
      </c>
      <c r="F731" s="2">
        <v>9.7050000000000001E-3</v>
      </c>
      <c r="G731" s="2">
        <v>0.2931531</v>
      </c>
      <c r="H731" s="2">
        <v>0.33121270000000003</v>
      </c>
    </row>
    <row r="732" spans="1:8" ht="17.25" thickBot="1" x14ac:dyDescent="0.35">
      <c r="A732" s="6"/>
      <c r="B732" s="3">
        <v>2</v>
      </c>
      <c r="C732" s="11" t="s">
        <v>116</v>
      </c>
      <c r="D732" s="2">
        <v>1059</v>
      </c>
      <c r="E732" s="2">
        <v>0.35399999999999998</v>
      </c>
      <c r="F732" s="2">
        <v>1.2116999999999999E-2</v>
      </c>
      <c r="G732" s="2">
        <v>0.33024125999999998</v>
      </c>
      <c r="H732" s="2">
        <v>0.37775967999999999</v>
      </c>
    </row>
    <row r="733" spans="1:8" ht="17.25" thickBot="1" x14ac:dyDescent="0.35">
      <c r="A733" s="6"/>
      <c r="B733" s="3">
        <v>3</v>
      </c>
      <c r="C733" s="11" t="s">
        <v>116</v>
      </c>
      <c r="D733" s="2">
        <v>979</v>
      </c>
      <c r="E733" s="2">
        <v>0.42585400000000001</v>
      </c>
      <c r="F733" s="2">
        <v>1.3422999999999999E-2</v>
      </c>
      <c r="G733" s="2">
        <v>0.39953290000000002</v>
      </c>
      <c r="H733" s="2">
        <v>0.45217487000000001</v>
      </c>
    </row>
    <row r="734" spans="1:8" ht="17.25" thickBot="1" x14ac:dyDescent="0.35">
      <c r="A734" s="6"/>
      <c r="B734" s="3">
        <v>8</v>
      </c>
      <c r="C734" s="11" t="s">
        <v>116</v>
      </c>
      <c r="D734" s="2">
        <v>22</v>
      </c>
      <c r="E734" s="2">
        <v>0.53095400000000004</v>
      </c>
      <c r="F734" s="2">
        <v>9.0697E-2</v>
      </c>
      <c r="G734" s="2">
        <v>0.35311393000000002</v>
      </c>
      <c r="H734" s="2">
        <v>0.70879451999999998</v>
      </c>
    </row>
    <row r="735" spans="1:8" ht="17.25" thickBot="1" x14ac:dyDescent="0.35">
      <c r="A735" s="6">
        <v>2</v>
      </c>
      <c r="B735" s="3">
        <v>1</v>
      </c>
      <c r="C735" s="11" t="s">
        <v>116</v>
      </c>
      <c r="D735" s="2">
        <v>2102</v>
      </c>
      <c r="E735" s="2">
        <v>0.22253500000000001</v>
      </c>
      <c r="F735" s="2">
        <v>8.6339999999999993E-3</v>
      </c>
      <c r="G735" s="2">
        <v>0.20560498999999999</v>
      </c>
      <c r="H735" s="2">
        <v>0.23946416000000001</v>
      </c>
    </row>
    <row r="736" spans="1:8" ht="17.25" thickBot="1" x14ac:dyDescent="0.35">
      <c r="A736" s="6"/>
      <c r="B736" s="3">
        <v>2</v>
      </c>
      <c r="C736" s="11" t="s">
        <v>116</v>
      </c>
      <c r="D736" s="2">
        <v>1750</v>
      </c>
      <c r="E736" s="2">
        <v>0.30738500000000002</v>
      </c>
      <c r="F736" s="2">
        <v>9.4260000000000004E-3</v>
      </c>
      <c r="G736" s="2">
        <v>0.28890284999999999</v>
      </c>
      <c r="H736" s="2">
        <v>0.32586741000000002</v>
      </c>
    </row>
    <row r="737" spans="1:8" ht="17.25" thickBot="1" x14ac:dyDescent="0.35">
      <c r="A737" s="6"/>
      <c r="B737" s="3">
        <v>3</v>
      </c>
      <c r="C737" s="11" t="s">
        <v>116</v>
      </c>
      <c r="D737" s="2">
        <v>790</v>
      </c>
      <c r="E737" s="2">
        <v>0.37405300000000002</v>
      </c>
      <c r="F737" s="2">
        <v>1.4922E-2</v>
      </c>
      <c r="G737" s="2">
        <v>0.34479324</v>
      </c>
      <c r="H737" s="2">
        <v>0.40331271000000002</v>
      </c>
    </row>
    <row r="738" spans="1:8" ht="17.25" thickBot="1" x14ac:dyDescent="0.35">
      <c r="A738" s="6"/>
      <c r="B738" s="3">
        <v>8</v>
      </c>
      <c r="C738" s="11" t="s">
        <v>116</v>
      </c>
      <c r="D738" s="2">
        <v>90</v>
      </c>
      <c r="E738" s="2">
        <v>0.27551300000000001</v>
      </c>
      <c r="F738" s="2">
        <v>3.1390000000000001E-2</v>
      </c>
      <c r="G738" s="2">
        <v>0.21396298999999999</v>
      </c>
      <c r="H738" s="2">
        <v>0.33706254000000002</v>
      </c>
    </row>
    <row r="739" spans="1:8" ht="17.25" thickBot="1" x14ac:dyDescent="0.35">
      <c r="A739" s="6">
        <v>3</v>
      </c>
      <c r="B739" s="3">
        <v>1</v>
      </c>
      <c r="C739" s="11" t="s">
        <v>116</v>
      </c>
      <c r="D739" s="2">
        <v>1521</v>
      </c>
      <c r="E739" s="2">
        <v>0.209368</v>
      </c>
      <c r="F739" s="2">
        <v>9.2379999999999997E-3</v>
      </c>
      <c r="G739" s="2">
        <v>0.19125486999999999</v>
      </c>
      <c r="H739" s="2">
        <v>0.22748183999999999</v>
      </c>
    </row>
    <row r="740" spans="1:8" ht="17.25" thickBot="1" x14ac:dyDescent="0.35">
      <c r="A740" s="6"/>
      <c r="B740" s="3">
        <v>2</v>
      </c>
      <c r="C740" s="11" t="s">
        <v>116</v>
      </c>
      <c r="D740" s="2">
        <v>1523</v>
      </c>
      <c r="E740" s="2">
        <v>0.318909</v>
      </c>
      <c r="F740" s="2">
        <v>9.41E-3</v>
      </c>
      <c r="G740" s="2">
        <v>0.30045834999999999</v>
      </c>
      <c r="H740" s="2">
        <v>0.33735938999999998</v>
      </c>
    </row>
    <row r="741" spans="1:8" ht="17.25" thickBot="1" x14ac:dyDescent="0.35">
      <c r="A741" s="6"/>
      <c r="B741" s="3">
        <v>3</v>
      </c>
      <c r="C741" s="11" t="s">
        <v>116</v>
      </c>
      <c r="D741" s="2">
        <v>619</v>
      </c>
      <c r="E741" s="2">
        <v>0.37465900000000002</v>
      </c>
      <c r="F741" s="2">
        <v>1.4447E-2</v>
      </c>
      <c r="G741" s="2">
        <v>0.34633048999999999</v>
      </c>
      <c r="H741" s="2">
        <v>0.40298841000000002</v>
      </c>
    </row>
    <row r="742" spans="1:8" ht="17.25" thickBot="1" x14ac:dyDescent="0.35">
      <c r="A742" s="6"/>
      <c r="B742" s="3">
        <v>8</v>
      </c>
      <c r="C742" s="11" t="s">
        <v>116</v>
      </c>
      <c r="D742" s="2">
        <v>594</v>
      </c>
      <c r="E742" s="2">
        <v>0.38092100000000001</v>
      </c>
      <c r="F742" s="2">
        <v>1.8541999999999999E-2</v>
      </c>
      <c r="G742" s="2">
        <v>0.34456375</v>
      </c>
      <c r="H742" s="2">
        <v>0.41727830999999999</v>
      </c>
    </row>
    <row r="743" spans="1:8" ht="17.25" thickBot="1" x14ac:dyDescent="0.35">
      <c r="A743" s="6">
        <v>4</v>
      </c>
      <c r="B743" s="3">
        <v>1</v>
      </c>
      <c r="C743" s="11" t="s">
        <v>116</v>
      </c>
      <c r="D743" s="2">
        <v>1596</v>
      </c>
      <c r="E743" s="2">
        <v>0.22060299999999999</v>
      </c>
      <c r="F743" s="2">
        <v>8.2500000000000004E-3</v>
      </c>
      <c r="G743" s="2">
        <v>0.20442724000000001</v>
      </c>
      <c r="H743" s="2">
        <v>0.23677892</v>
      </c>
    </row>
    <row r="744" spans="1:8" ht="17.25" thickBot="1" x14ac:dyDescent="0.35">
      <c r="A744" s="6"/>
      <c r="B744" s="3">
        <v>2</v>
      </c>
      <c r="C744" s="11" t="s">
        <v>116</v>
      </c>
      <c r="D744" s="2">
        <v>1673</v>
      </c>
      <c r="E744" s="2">
        <v>0.31293500000000002</v>
      </c>
      <c r="F744" s="2">
        <v>8.6890000000000005E-3</v>
      </c>
      <c r="G744" s="2">
        <v>0.29589855999999998</v>
      </c>
      <c r="H744" s="2">
        <v>0.32997233999999998</v>
      </c>
    </row>
    <row r="745" spans="1:8" ht="17.25" thickBot="1" x14ac:dyDescent="0.35">
      <c r="A745" s="6"/>
      <c r="B745" s="3">
        <v>3</v>
      </c>
      <c r="C745" s="11" t="s">
        <v>116</v>
      </c>
      <c r="D745" s="2">
        <v>679</v>
      </c>
      <c r="E745" s="2">
        <v>0.41448499999999999</v>
      </c>
      <c r="F745" s="2">
        <v>1.7868999999999999E-2</v>
      </c>
      <c r="G745" s="2">
        <v>0.37944608000000002</v>
      </c>
      <c r="H745" s="2">
        <v>0.44952292999999999</v>
      </c>
    </row>
    <row r="746" spans="1:8" ht="17.25" thickBot="1" x14ac:dyDescent="0.35">
      <c r="A746" s="6"/>
      <c r="B746" s="3">
        <v>8</v>
      </c>
      <c r="C746" s="11" t="s">
        <v>116</v>
      </c>
      <c r="D746" s="2">
        <v>608</v>
      </c>
      <c r="E746" s="2">
        <v>0.39913300000000002</v>
      </c>
      <c r="F746" s="2">
        <v>1.5809E-2</v>
      </c>
      <c r="G746" s="2">
        <v>0.36813582</v>
      </c>
      <c r="H746" s="2">
        <v>0.43013112999999997</v>
      </c>
    </row>
    <row r="747" spans="1:8" ht="17.25" thickBot="1" x14ac:dyDescent="0.35">
      <c r="A747" s="6">
        <v>5</v>
      </c>
      <c r="B747" s="3">
        <v>1</v>
      </c>
      <c r="C747" s="11" t="s">
        <v>116</v>
      </c>
      <c r="D747" s="2">
        <v>1505</v>
      </c>
      <c r="E747" s="2">
        <v>0.22021399999999999</v>
      </c>
      <c r="F747" s="2">
        <v>9.3959999999999998E-3</v>
      </c>
      <c r="G747" s="2">
        <v>0.20179127999999999</v>
      </c>
      <c r="H747" s="2">
        <v>0.23863764000000001</v>
      </c>
    </row>
    <row r="748" spans="1:8" ht="17.25" thickBot="1" x14ac:dyDescent="0.35">
      <c r="A748" s="6"/>
      <c r="B748" s="3">
        <v>2</v>
      </c>
      <c r="C748" s="11" t="s">
        <v>116</v>
      </c>
      <c r="D748" s="2">
        <v>1506</v>
      </c>
      <c r="E748" s="2">
        <v>0.31071399999999999</v>
      </c>
      <c r="F748" s="2">
        <v>1.0466E-2</v>
      </c>
      <c r="G748" s="2">
        <v>0.29019265999999999</v>
      </c>
      <c r="H748" s="2">
        <v>0.33123546999999998</v>
      </c>
    </row>
    <row r="749" spans="1:8" ht="17.25" thickBot="1" x14ac:dyDescent="0.35">
      <c r="A749" s="6"/>
      <c r="B749" s="3">
        <v>3</v>
      </c>
      <c r="C749" s="11" t="s">
        <v>116</v>
      </c>
      <c r="D749" s="2">
        <v>636</v>
      </c>
      <c r="E749" s="2">
        <v>0.34178199999999997</v>
      </c>
      <c r="F749" s="2">
        <v>1.4387E-2</v>
      </c>
      <c r="G749" s="2">
        <v>0.31357213</v>
      </c>
      <c r="H749" s="2">
        <v>0.36999191999999997</v>
      </c>
    </row>
    <row r="750" spans="1:8" ht="17.25" thickBot="1" x14ac:dyDescent="0.35">
      <c r="A750" s="6"/>
      <c r="B750" s="3">
        <v>8</v>
      </c>
      <c r="C750" s="11" t="s">
        <v>116</v>
      </c>
      <c r="D750" s="2">
        <v>854</v>
      </c>
      <c r="E750" s="2">
        <v>0.36216100000000001</v>
      </c>
      <c r="F750" s="2">
        <v>1.3781E-2</v>
      </c>
      <c r="G750" s="2">
        <v>0.33513963000000002</v>
      </c>
      <c r="H750" s="2">
        <v>0.38918270999999999</v>
      </c>
    </row>
    <row r="751" spans="1:8" ht="17.25" thickBot="1" x14ac:dyDescent="0.35">
      <c r="A751" s="6">
        <v>6</v>
      </c>
      <c r="B751" s="3">
        <v>1</v>
      </c>
      <c r="C751" s="11" t="s">
        <v>116</v>
      </c>
      <c r="D751" s="2">
        <v>447</v>
      </c>
      <c r="E751" s="2">
        <v>0.17532600000000001</v>
      </c>
      <c r="F751" s="2">
        <v>1.5354E-2</v>
      </c>
      <c r="G751" s="2">
        <v>0.14521859000000001</v>
      </c>
      <c r="H751" s="2">
        <v>0.20543334999999999</v>
      </c>
    </row>
    <row r="752" spans="1:8" ht="17.25" thickBot="1" x14ac:dyDescent="0.35">
      <c r="A752" s="6"/>
      <c r="B752" s="3">
        <v>2</v>
      </c>
      <c r="C752" s="11" t="s">
        <v>116</v>
      </c>
      <c r="D752" s="2">
        <v>474</v>
      </c>
      <c r="E752" s="2">
        <v>0.27321800000000002</v>
      </c>
      <c r="F752" s="2">
        <v>1.5292999999999999E-2</v>
      </c>
      <c r="G752" s="2">
        <v>0.24323196</v>
      </c>
      <c r="H752" s="2">
        <v>0.30320438999999999</v>
      </c>
    </row>
    <row r="753" spans="1:8" ht="17.25" thickBot="1" x14ac:dyDescent="0.35">
      <c r="A753" s="6"/>
      <c r="B753" s="3">
        <v>3</v>
      </c>
      <c r="C753" s="11" t="s">
        <v>116</v>
      </c>
      <c r="D753" s="2">
        <v>180</v>
      </c>
      <c r="E753" s="2">
        <v>0.31327700000000003</v>
      </c>
      <c r="F753" s="2">
        <v>2.1493999999999999E-2</v>
      </c>
      <c r="G753" s="2">
        <v>0.27113172000000002</v>
      </c>
      <c r="H753" s="2">
        <v>0.35542162999999999</v>
      </c>
    </row>
    <row r="754" spans="1:8" x14ac:dyDescent="0.3">
      <c r="A754" s="6"/>
      <c r="B754" s="3">
        <v>8</v>
      </c>
      <c r="C754" s="14" t="s">
        <v>116</v>
      </c>
      <c r="D754" s="2">
        <v>335</v>
      </c>
      <c r="E754" s="2">
        <v>0.28411500000000001</v>
      </c>
      <c r="F754" s="2">
        <v>1.8314E-2</v>
      </c>
      <c r="G754" s="2">
        <v>0.24820439999999999</v>
      </c>
      <c r="H754" s="2">
        <v>0.32002636000000001</v>
      </c>
    </row>
    <row r="758" spans="1:8" x14ac:dyDescent="0.3">
      <c r="A758" s="1" t="s">
        <v>237</v>
      </c>
    </row>
    <row r="760" spans="1:8" x14ac:dyDescent="0.3">
      <c r="A760" s="1" t="s">
        <v>21</v>
      </c>
    </row>
    <row r="761" spans="1:8" ht="17.25" thickBot="1" x14ac:dyDescent="0.35"/>
    <row r="762" spans="1:8" ht="16.5" customHeight="1" x14ac:dyDescent="0.3">
      <c r="A762" s="16" t="s">
        <v>135</v>
      </c>
      <c r="B762" s="18"/>
    </row>
    <row r="763" spans="1:8" ht="26.25" thickBot="1" x14ac:dyDescent="0.35">
      <c r="A763" s="12" t="s">
        <v>136</v>
      </c>
      <c r="B763" s="2">
        <v>183</v>
      </c>
    </row>
    <row r="764" spans="1:8" ht="26.25" thickBot="1" x14ac:dyDescent="0.35">
      <c r="A764" s="12" t="s">
        <v>137</v>
      </c>
      <c r="B764" s="2">
        <v>2982</v>
      </c>
    </row>
    <row r="765" spans="1:8" ht="39" thickBot="1" x14ac:dyDescent="0.35">
      <c r="A765" s="12" t="s">
        <v>138</v>
      </c>
      <c r="B765" s="2">
        <v>68635</v>
      </c>
    </row>
    <row r="766" spans="1:8" ht="25.5" x14ac:dyDescent="0.3">
      <c r="A766" s="13" t="s">
        <v>139</v>
      </c>
      <c r="B766" s="2">
        <v>30251935.699999999</v>
      </c>
    </row>
    <row r="767" spans="1:8" ht="17.25" thickBot="1" x14ac:dyDescent="0.35"/>
    <row r="768" spans="1:8" ht="33" customHeight="1" x14ac:dyDescent="0.3">
      <c r="A768" s="16" t="s">
        <v>140</v>
      </c>
      <c r="B768" s="18"/>
    </row>
    <row r="769" spans="1:8" ht="33.75" thickBot="1" x14ac:dyDescent="0.35">
      <c r="A769" s="12" t="s">
        <v>141</v>
      </c>
      <c r="B769" s="2" t="s">
        <v>142</v>
      </c>
    </row>
    <row r="770" spans="1:8" ht="25.5" x14ac:dyDescent="0.3">
      <c r="A770" s="13" t="s">
        <v>143</v>
      </c>
      <c r="B770" s="2" t="s">
        <v>144</v>
      </c>
    </row>
    <row r="771" spans="1:8" ht="17.25" thickBot="1" x14ac:dyDescent="0.35"/>
    <row r="772" spans="1:8" ht="16.5" customHeight="1" x14ac:dyDescent="0.3">
      <c r="A772" s="16" t="s">
        <v>238</v>
      </c>
      <c r="B772" s="18"/>
      <c r="C772" s="18"/>
      <c r="D772" s="18"/>
      <c r="E772" s="18"/>
      <c r="F772" s="18"/>
    </row>
    <row r="773" spans="1:8" ht="16.5" customHeight="1" x14ac:dyDescent="0.3">
      <c r="A773" s="17" t="s">
        <v>239</v>
      </c>
      <c r="B773" s="19" t="s">
        <v>94</v>
      </c>
      <c r="C773" s="19" t="s">
        <v>240</v>
      </c>
      <c r="D773" s="3" t="s">
        <v>241</v>
      </c>
      <c r="E773" s="19" t="s">
        <v>243</v>
      </c>
      <c r="F773" s="19"/>
    </row>
    <row r="774" spans="1:8" x14ac:dyDescent="0.3">
      <c r="A774" s="17"/>
      <c r="B774" s="19"/>
      <c r="C774" s="19"/>
      <c r="D774" s="3" t="s">
        <v>242</v>
      </c>
      <c r="E774" s="19"/>
      <c r="F774" s="19"/>
    </row>
    <row r="775" spans="1:8" x14ac:dyDescent="0.3">
      <c r="A775" s="13" t="s">
        <v>116</v>
      </c>
      <c r="B775" s="2">
        <v>68635</v>
      </c>
      <c r="C775" s="2">
        <v>0.34523599999999999</v>
      </c>
      <c r="D775" s="2">
        <v>1.6490000000000001E-3</v>
      </c>
      <c r="E775" s="2">
        <v>0.34200205</v>
      </c>
      <c r="F775" s="2">
        <v>0.34847033999999999</v>
      </c>
    </row>
    <row r="779" spans="1:8" x14ac:dyDescent="0.3">
      <c r="A779" s="1" t="s">
        <v>237</v>
      </c>
    </row>
    <row r="781" spans="1:8" x14ac:dyDescent="0.3">
      <c r="A781" s="1" t="s">
        <v>21</v>
      </c>
    </row>
    <row r="782" spans="1:8" ht="17.25" thickBot="1" x14ac:dyDescent="0.35"/>
    <row r="783" spans="1:8" ht="16.5" customHeight="1" x14ac:dyDescent="0.3">
      <c r="A783" s="16" t="s">
        <v>257</v>
      </c>
      <c r="B783" s="18"/>
      <c r="C783" s="18"/>
      <c r="D783" s="18"/>
      <c r="E783" s="18"/>
      <c r="F783" s="18"/>
      <c r="G783" s="18"/>
      <c r="H783" s="18"/>
    </row>
    <row r="784" spans="1:8" ht="16.5" customHeight="1" x14ac:dyDescent="0.3">
      <c r="A784" s="17" t="s">
        <v>249</v>
      </c>
      <c r="B784" s="19" t="s">
        <v>12</v>
      </c>
      <c r="C784" s="19" t="s">
        <v>239</v>
      </c>
      <c r="D784" s="19" t="s">
        <v>94</v>
      </c>
      <c r="E784" s="19" t="s">
        <v>240</v>
      </c>
      <c r="F784" s="3" t="s">
        <v>241</v>
      </c>
      <c r="G784" s="19" t="s">
        <v>243</v>
      </c>
      <c r="H784" s="19"/>
    </row>
    <row r="785" spans="1:15" x14ac:dyDescent="0.3">
      <c r="A785" s="17"/>
      <c r="B785" s="19"/>
      <c r="C785" s="19"/>
      <c r="D785" s="19"/>
      <c r="E785" s="19"/>
      <c r="F785" s="3" t="s">
        <v>242</v>
      </c>
      <c r="G785" s="19"/>
      <c r="H785" s="19"/>
    </row>
    <row r="786" spans="1:15" ht="17.25" thickBot="1" x14ac:dyDescent="0.35">
      <c r="A786" s="6">
        <v>1</v>
      </c>
      <c r="B786" s="3">
        <v>1</v>
      </c>
      <c r="C786" s="11" t="s">
        <v>116</v>
      </c>
      <c r="D786" s="2">
        <v>4828</v>
      </c>
      <c r="E786" s="2">
        <v>0.34908499999999998</v>
      </c>
      <c r="F786" s="2">
        <v>5.7990000000000003E-3</v>
      </c>
      <c r="G786" s="2">
        <v>0.33771499999999999</v>
      </c>
      <c r="H786" s="2">
        <v>0.36045561999999998</v>
      </c>
      <c r="J786" t="str">
        <f t="shared" ref="J786:J803" si="27">TEXT(E786,"0.00")&amp;" ("&amp;TEXT(G786,"0.00")&amp;" to "&amp;TEXT(H786,"0.00")&amp;")"</f>
        <v>0.35 (0.34 to 0.36)</v>
      </c>
      <c r="K786" t="str">
        <f>J789</f>
        <v>0.32 (0.31 to 0.33)</v>
      </c>
      <c r="L786" t="str">
        <f>J792</f>
        <v>0.30 (0.29 to 0.32)</v>
      </c>
      <c r="M786" t="str">
        <f>J795</f>
        <v>0.31 (0.29 to 0.32)</v>
      </c>
      <c r="N786" t="str">
        <f>J798</f>
        <v>0.29 (0.28 to 0.30)</v>
      </c>
      <c r="O786" t="str">
        <f>J801</f>
        <v>0.24 (0.22 to 0.26)</v>
      </c>
    </row>
    <row r="787" spans="1:15" ht="17.25" thickBot="1" x14ac:dyDescent="0.35">
      <c r="A787" s="6"/>
      <c r="B787" s="3">
        <v>2</v>
      </c>
      <c r="C787" s="11" t="s">
        <v>116</v>
      </c>
      <c r="D787" s="2">
        <v>4408</v>
      </c>
      <c r="E787" s="2">
        <v>0.36645100000000003</v>
      </c>
      <c r="F787" s="2">
        <v>5.6940000000000003E-3</v>
      </c>
      <c r="G787" s="2">
        <v>0.35528525999999999</v>
      </c>
      <c r="H787" s="2">
        <v>0.37761644999999999</v>
      </c>
      <c r="J787" t="str">
        <f t="shared" si="27"/>
        <v>0.37 (0.36 to 0.38)</v>
      </c>
      <c r="K787" t="str">
        <f t="shared" ref="K787:K788" si="28">J790</f>
        <v>0.37 (0.36 to 0.38)</v>
      </c>
      <c r="L787" t="str">
        <f t="shared" ref="L787:L788" si="29">J793</f>
        <v>0.36 (0.35 to 0.37)</v>
      </c>
      <c r="M787" t="str">
        <f t="shared" ref="M787:M788" si="30">J796</f>
        <v>0.37 (0.36 to 0.38)</v>
      </c>
      <c r="N787" t="str">
        <f t="shared" ref="N787:N788" si="31">J799</f>
        <v>0.34 (0.33 to 0.35)</v>
      </c>
      <c r="O787" t="str">
        <f t="shared" ref="O787:O788" si="32">J802</f>
        <v>0.30 (0.29 to 0.32)</v>
      </c>
    </row>
    <row r="788" spans="1:15" ht="17.25" thickBot="1" x14ac:dyDescent="0.35">
      <c r="A788" s="6"/>
      <c r="B788" s="3">
        <v>3</v>
      </c>
      <c r="C788" s="11" t="s">
        <v>116</v>
      </c>
      <c r="D788" s="2">
        <v>2679</v>
      </c>
      <c r="E788" s="2">
        <v>0.412798</v>
      </c>
      <c r="F788" s="2">
        <v>7.718E-3</v>
      </c>
      <c r="G788" s="2">
        <v>0.39766499999999999</v>
      </c>
      <c r="H788" s="2">
        <v>0.42793089000000001</v>
      </c>
      <c r="J788" t="str">
        <f t="shared" si="27"/>
        <v>0.41 (0.40 to 0.43)</v>
      </c>
      <c r="K788" t="str">
        <f t="shared" si="28"/>
        <v>0.39 (0.37 to 0.40)</v>
      </c>
      <c r="L788" t="str">
        <f t="shared" si="29"/>
        <v>0.39 (0.38 to 0.41)</v>
      </c>
      <c r="M788" t="str">
        <f t="shared" si="30"/>
        <v>0.40 (0.38 to 0.41)</v>
      </c>
      <c r="N788" t="str">
        <f t="shared" si="31"/>
        <v>0.38 (0.36 to 0.40)</v>
      </c>
      <c r="O788" t="str">
        <f t="shared" si="32"/>
        <v>0.36 (0.33 to 0.38)</v>
      </c>
    </row>
    <row r="789" spans="1:15" ht="17.25" thickBot="1" x14ac:dyDescent="0.35">
      <c r="A789" s="6">
        <v>2</v>
      </c>
      <c r="B789" s="3">
        <v>1</v>
      </c>
      <c r="C789" s="11" t="s">
        <v>116</v>
      </c>
      <c r="D789" s="2">
        <v>4474</v>
      </c>
      <c r="E789" s="2">
        <v>0.32145099999999999</v>
      </c>
      <c r="F789" s="2">
        <v>5.9150000000000001E-3</v>
      </c>
      <c r="G789" s="2">
        <v>0.30985175999999998</v>
      </c>
      <c r="H789" s="2">
        <v>0.33304953999999998</v>
      </c>
      <c r="J789" t="str">
        <f t="shared" si="27"/>
        <v>0.32 (0.31 to 0.33)</v>
      </c>
    </row>
    <row r="790" spans="1:15" ht="17.25" thickBot="1" x14ac:dyDescent="0.35">
      <c r="A790" s="6"/>
      <c r="B790" s="3">
        <v>2</v>
      </c>
      <c r="C790" s="11" t="s">
        <v>116</v>
      </c>
      <c r="D790" s="2">
        <v>6326</v>
      </c>
      <c r="E790" s="2">
        <v>0.372473</v>
      </c>
      <c r="F790" s="2">
        <v>5.3010000000000002E-3</v>
      </c>
      <c r="G790" s="2">
        <v>0.36207840000000002</v>
      </c>
      <c r="H790" s="2">
        <v>0.38286724999999999</v>
      </c>
      <c r="J790" t="str">
        <f t="shared" si="27"/>
        <v>0.37 (0.36 to 0.38)</v>
      </c>
    </row>
    <row r="791" spans="1:15" ht="17.25" thickBot="1" x14ac:dyDescent="0.35">
      <c r="A791" s="6"/>
      <c r="B791" s="3">
        <v>3</v>
      </c>
      <c r="C791" s="11" t="s">
        <v>116</v>
      </c>
      <c r="D791" s="2">
        <v>2316</v>
      </c>
      <c r="E791" s="2">
        <v>0.38594699999999998</v>
      </c>
      <c r="F791" s="2">
        <v>8.3809999999999996E-3</v>
      </c>
      <c r="G791" s="2">
        <v>0.36951398000000002</v>
      </c>
      <c r="H791" s="2">
        <v>0.40237948000000001</v>
      </c>
      <c r="J791" t="str">
        <f t="shared" si="27"/>
        <v>0.39 (0.37 to 0.40)</v>
      </c>
    </row>
    <row r="792" spans="1:15" ht="17.25" thickBot="1" x14ac:dyDescent="0.35">
      <c r="A792" s="6">
        <v>3</v>
      </c>
      <c r="B792" s="3">
        <v>1</v>
      </c>
      <c r="C792" s="11" t="s">
        <v>116</v>
      </c>
      <c r="D792" s="2">
        <v>3613</v>
      </c>
      <c r="E792" s="2">
        <v>0.30485600000000002</v>
      </c>
      <c r="F792" s="2">
        <v>6.4429999999999999E-3</v>
      </c>
      <c r="G792" s="2">
        <v>0.29222239</v>
      </c>
      <c r="H792" s="2">
        <v>0.31748978</v>
      </c>
      <c r="J792" t="str">
        <f t="shared" si="27"/>
        <v>0.30 (0.29 to 0.32)</v>
      </c>
    </row>
    <row r="793" spans="1:15" ht="17.25" thickBot="1" x14ac:dyDescent="0.35">
      <c r="A793" s="6"/>
      <c r="B793" s="3">
        <v>2</v>
      </c>
      <c r="C793" s="11" t="s">
        <v>116</v>
      </c>
      <c r="D793" s="2">
        <v>5912</v>
      </c>
      <c r="E793" s="2">
        <v>0.36296</v>
      </c>
      <c r="F793" s="2">
        <v>5.1399999999999996E-3</v>
      </c>
      <c r="G793" s="2">
        <v>0.35288092999999998</v>
      </c>
      <c r="H793" s="2">
        <v>0.37303901</v>
      </c>
      <c r="J793" t="str">
        <f t="shared" si="27"/>
        <v>0.36 (0.35 to 0.37)</v>
      </c>
    </row>
    <row r="794" spans="1:15" ht="17.25" thickBot="1" x14ac:dyDescent="0.35">
      <c r="A794" s="6"/>
      <c r="B794" s="3">
        <v>3</v>
      </c>
      <c r="C794" s="11" t="s">
        <v>116</v>
      </c>
      <c r="D794" s="2">
        <v>1950</v>
      </c>
      <c r="E794" s="2">
        <v>0.394264</v>
      </c>
      <c r="F794" s="2">
        <v>9.5149999999999992E-3</v>
      </c>
      <c r="G794" s="2">
        <v>0.37560711000000002</v>
      </c>
      <c r="H794" s="2">
        <v>0.41292113000000003</v>
      </c>
      <c r="J794" t="str">
        <f t="shared" si="27"/>
        <v>0.39 (0.38 to 0.41)</v>
      </c>
    </row>
    <row r="795" spans="1:15" ht="17.25" thickBot="1" x14ac:dyDescent="0.35">
      <c r="A795" s="6">
        <v>4</v>
      </c>
      <c r="B795" s="3">
        <v>1</v>
      </c>
      <c r="C795" s="11" t="s">
        <v>116</v>
      </c>
      <c r="D795" s="2">
        <v>4138</v>
      </c>
      <c r="E795" s="2">
        <v>0.30548999999999998</v>
      </c>
      <c r="F795" s="2">
        <v>6.1590000000000004E-3</v>
      </c>
      <c r="G795" s="2">
        <v>0.29341341999999998</v>
      </c>
      <c r="H795" s="2">
        <v>0.31756709999999999</v>
      </c>
      <c r="J795" t="str">
        <f t="shared" si="27"/>
        <v>0.31 (0.29 to 0.32)</v>
      </c>
    </row>
    <row r="796" spans="1:15" ht="17.25" thickBot="1" x14ac:dyDescent="0.35">
      <c r="A796" s="6"/>
      <c r="B796" s="3">
        <v>2</v>
      </c>
      <c r="C796" s="11" t="s">
        <v>116</v>
      </c>
      <c r="D796" s="2">
        <v>7449</v>
      </c>
      <c r="E796" s="2">
        <v>0.36691099999999999</v>
      </c>
      <c r="F796" s="2">
        <v>4.7749999999999997E-3</v>
      </c>
      <c r="G796" s="2">
        <v>0.35754850999999999</v>
      </c>
      <c r="H796" s="2">
        <v>0.37627251</v>
      </c>
      <c r="J796" t="str">
        <f t="shared" si="27"/>
        <v>0.37 (0.36 to 0.38)</v>
      </c>
    </row>
    <row r="797" spans="1:15" ht="17.25" thickBot="1" x14ac:dyDescent="0.35">
      <c r="A797" s="6"/>
      <c r="B797" s="3">
        <v>3</v>
      </c>
      <c r="C797" s="11" t="s">
        <v>116</v>
      </c>
      <c r="D797" s="2">
        <v>2571</v>
      </c>
      <c r="E797" s="2">
        <v>0.396569</v>
      </c>
      <c r="F797" s="2">
        <v>7.6490000000000004E-3</v>
      </c>
      <c r="G797" s="2">
        <v>0.38157186999999998</v>
      </c>
      <c r="H797" s="2">
        <v>0.41156710000000002</v>
      </c>
      <c r="J797" t="str">
        <f t="shared" si="27"/>
        <v>0.40 (0.38 to 0.41)</v>
      </c>
    </row>
    <row r="798" spans="1:15" ht="17.25" thickBot="1" x14ac:dyDescent="0.35">
      <c r="A798" s="6">
        <v>5</v>
      </c>
      <c r="B798" s="3">
        <v>1</v>
      </c>
      <c r="C798" s="11" t="s">
        <v>116</v>
      </c>
      <c r="D798" s="2">
        <v>4399</v>
      </c>
      <c r="E798" s="2">
        <v>0.28943000000000002</v>
      </c>
      <c r="F798" s="2">
        <v>5.9940000000000002E-3</v>
      </c>
      <c r="G798" s="2">
        <v>0.27767642999999997</v>
      </c>
      <c r="H798" s="2">
        <v>0.30118424999999999</v>
      </c>
      <c r="J798" t="str">
        <f t="shared" si="27"/>
        <v>0.29 (0.28 to 0.30)</v>
      </c>
    </row>
    <row r="799" spans="1:15" ht="17.25" thickBot="1" x14ac:dyDescent="0.35">
      <c r="A799" s="6"/>
      <c r="B799" s="3">
        <v>2</v>
      </c>
      <c r="C799" s="11" t="s">
        <v>116</v>
      </c>
      <c r="D799" s="2">
        <v>6843</v>
      </c>
      <c r="E799" s="2">
        <v>0.338229</v>
      </c>
      <c r="F799" s="2">
        <v>4.7619999999999997E-3</v>
      </c>
      <c r="G799" s="2">
        <v>0.32889118000000001</v>
      </c>
      <c r="H799" s="2">
        <v>0.34756682</v>
      </c>
      <c r="J799" t="str">
        <f t="shared" si="27"/>
        <v>0.34 (0.33 to 0.35)</v>
      </c>
    </row>
    <row r="800" spans="1:15" ht="17.25" thickBot="1" x14ac:dyDescent="0.35">
      <c r="A800" s="6"/>
      <c r="B800" s="3">
        <v>3</v>
      </c>
      <c r="C800" s="11" t="s">
        <v>116</v>
      </c>
      <c r="D800" s="2">
        <v>2313</v>
      </c>
      <c r="E800" s="2">
        <v>0.38050400000000001</v>
      </c>
      <c r="F800" s="2">
        <v>8.6020000000000003E-3</v>
      </c>
      <c r="G800" s="2">
        <v>0.36363741999999999</v>
      </c>
      <c r="H800" s="2">
        <v>0.39737031</v>
      </c>
      <c r="J800" t="str">
        <f t="shared" si="27"/>
        <v>0.38 (0.36 to 0.40)</v>
      </c>
    </row>
    <row r="801" spans="1:10" ht="17.25" thickBot="1" x14ac:dyDescent="0.35">
      <c r="A801" s="6">
        <v>6</v>
      </c>
      <c r="B801" s="3">
        <v>1</v>
      </c>
      <c r="C801" s="11" t="s">
        <v>116</v>
      </c>
      <c r="D801" s="2">
        <v>1424</v>
      </c>
      <c r="E801" s="2">
        <v>0.24174899999999999</v>
      </c>
      <c r="F801" s="2">
        <v>1.0728E-2</v>
      </c>
      <c r="G801" s="2">
        <v>0.22071293</v>
      </c>
      <c r="H801" s="2">
        <v>0.26278525000000003</v>
      </c>
      <c r="J801" t="str">
        <f t="shared" si="27"/>
        <v>0.24 (0.22 to 0.26)</v>
      </c>
    </row>
    <row r="802" spans="1:10" ht="17.25" thickBot="1" x14ac:dyDescent="0.35">
      <c r="A802" s="6"/>
      <c r="B802" s="3">
        <v>2</v>
      </c>
      <c r="C802" s="11" t="s">
        <v>116</v>
      </c>
      <c r="D802" s="2">
        <v>2272</v>
      </c>
      <c r="E802" s="2">
        <v>0.30357600000000001</v>
      </c>
      <c r="F802" s="2">
        <v>8.6630000000000006E-3</v>
      </c>
      <c r="G802" s="2">
        <v>0.28658982</v>
      </c>
      <c r="H802" s="2">
        <v>0.32056220000000002</v>
      </c>
      <c r="J802" t="str">
        <f t="shared" si="27"/>
        <v>0.30 (0.29 to 0.32)</v>
      </c>
    </row>
    <row r="803" spans="1:10" x14ac:dyDescent="0.3">
      <c r="A803" s="6"/>
      <c r="B803" s="3">
        <v>3</v>
      </c>
      <c r="C803" s="14" t="s">
        <v>116</v>
      </c>
      <c r="D803" s="2">
        <v>720</v>
      </c>
      <c r="E803" s="2">
        <v>0.35538500000000001</v>
      </c>
      <c r="F803" s="2">
        <v>1.4288E-2</v>
      </c>
      <c r="G803" s="2">
        <v>0.32736790999999998</v>
      </c>
      <c r="H803" s="2">
        <v>0.38340174999999999</v>
      </c>
      <c r="J803" t="str">
        <f t="shared" si="27"/>
        <v>0.36 (0.33 to 0.38)</v>
      </c>
    </row>
    <row r="807" spans="1:10" x14ac:dyDescent="0.3">
      <c r="A807" s="1" t="s">
        <v>237</v>
      </c>
    </row>
    <row r="809" spans="1:10" x14ac:dyDescent="0.3">
      <c r="A809" s="1" t="s">
        <v>1</v>
      </c>
    </row>
    <row r="810" spans="1:10" ht="17.25" thickBot="1" x14ac:dyDescent="0.35"/>
    <row r="811" spans="1:10" ht="16.5" customHeight="1" x14ac:dyDescent="0.3">
      <c r="A811" s="16" t="s">
        <v>135</v>
      </c>
      <c r="B811" s="18"/>
    </row>
    <row r="812" spans="1:10" ht="26.25" thickBot="1" x14ac:dyDescent="0.35">
      <c r="A812" s="12" t="s">
        <v>136</v>
      </c>
      <c r="B812" s="2">
        <v>183</v>
      </c>
    </row>
    <row r="813" spans="1:10" ht="26.25" thickBot="1" x14ac:dyDescent="0.35">
      <c r="A813" s="12" t="s">
        <v>137</v>
      </c>
      <c r="B813" s="2">
        <v>2949</v>
      </c>
    </row>
    <row r="814" spans="1:10" ht="39" thickBot="1" x14ac:dyDescent="0.35">
      <c r="A814" s="12" t="s">
        <v>138</v>
      </c>
      <c r="B814" s="2">
        <v>23222</v>
      </c>
    </row>
    <row r="815" spans="1:10" ht="25.5" x14ac:dyDescent="0.3">
      <c r="A815" s="13" t="s">
        <v>139</v>
      </c>
      <c r="B815" s="2">
        <v>9036880.5199999996</v>
      </c>
    </row>
    <row r="816" spans="1:10" ht="17.25" thickBot="1" x14ac:dyDescent="0.35"/>
    <row r="817" spans="1:8" ht="33" customHeight="1" x14ac:dyDescent="0.3">
      <c r="A817" s="16" t="s">
        <v>140</v>
      </c>
      <c r="B817" s="18"/>
    </row>
    <row r="818" spans="1:8" ht="33.75" thickBot="1" x14ac:dyDescent="0.35">
      <c r="A818" s="12" t="s">
        <v>141</v>
      </c>
      <c r="B818" s="2" t="s">
        <v>142</v>
      </c>
    </row>
    <row r="819" spans="1:8" ht="25.5" x14ac:dyDescent="0.3">
      <c r="A819" s="13" t="s">
        <v>143</v>
      </c>
      <c r="B819" s="2" t="s">
        <v>144</v>
      </c>
    </row>
    <row r="820" spans="1:8" ht="17.25" thickBot="1" x14ac:dyDescent="0.35"/>
    <row r="821" spans="1:8" ht="16.5" customHeight="1" x14ac:dyDescent="0.3">
      <c r="A821" s="16" t="s">
        <v>238</v>
      </c>
      <c r="B821" s="18"/>
      <c r="C821" s="18"/>
      <c r="D821" s="18"/>
      <c r="E821" s="18"/>
      <c r="F821" s="18"/>
    </row>
    <row r="822" spans="1:8" ht="16.5" customHeight="1" x14ac:dyDescent="0.3">
      <c r="A822" s="17" t="s">
        <v>239</v>
      </c>
      <c r="B822" s="19" t="s">
        <v>94</v>
      </c>
      <c r="C822" s="19" t="s">
        <v>240</v>
      </c>
      <c r="D822" s="3" t="s">
        <v>241</v>
      </c>
      <c r="E822" s="19" t="s">
        <v>243</v>
      </c>
      <c r="F822" s="19"/>
    </row>
    <row r="823" spans="1:8" x14ac:dyDescent="0.3">
      <c r="A823" s="17"/>
      <c r="B823" s="19"/>
      <c r="C823" s="19"/>
      <c r="D823" s="3" t="s">
        <v>242</v>
      </c>
      <c r="E823" s="19"/>
      <c r="F823" s="19"/>
    </row>
    <row r="824" spans="1:8" x14ac:dyDescent="0.3">
      <c r="A824" s="13" t="s">
        <v>116</v>
      </c>
      <c r="B824" s="2">
        <v>23222</v>
      </c>
      <c r="C824" s="2">
        <v>0.29750300000000002</v>
      </c>
      <c r="D824" s="2">
        <v>2.7789999999999998E-3</v>
      </c>
      <c r="E824" s="2">
        <v>0.29205375</v>
      </c>
      <c r="F824" s="2">
        <v>0.30295137999999999</v>
      </c>
    </row>
    <row r="828" spans="1:8" x14ac:dyDescent="0.3">
      <c r="A828" s="1" t="s">
        <v>237</v>
      </c>
    </row>
    <row r="830" spans="1:8" x14ac:dyDescent="0.3">
      <c r="A830" s="1" t="s">
        <v>1</v>
      </c>
    </row>
    <row r="831" spans="1:8" ht="17.25" thickBot="1" x14ac:dyDescent="0.35"/>
    <row r="832" spans="1:8" ht="16.5" customHeight="1" x14ac:dyDescent="0.3">
      <c r="A832" s="16" t="s">
        <v>258</v>
      </c>
      <c r="B832" s="18"/>
      <c r="C832" s="18"/>
      <c r="D832" s="18"/>
      <c r="E832" s="18"/>
      <c r="F832" s="18"/>
      <c r="G832" s="18"/>
      <c r="H832" s="18"/>
    </row>
    <row r="833" spans="1:8" ht="16.5" customHeight="1" x14ac:dyDescent="0.3">
      <c r="A833" s="17" t="s">
        <v>249</v>
      </c>
      <c r="B833" s="19" t="s">
        <v>13</v>
      </c>
      <c r="C833" s="19" t="s">
        <v>239</v>
      </c>
      <c r="D833" s="19" t="s">
        <v>94</v>
      </c>
      <c r="E833" s="19" t="s">
        <v>240</v>
      </c>
      <c r="F833" s="3" t="s">
        <v>241</v>
      </c>
      <c r="G833" s="19" t="s">
        <v>243</v>
      </c>
      <c r="H833" s="19"/>
    </row>
    <row r="834" spans="1:8" x14ac:dyDescent="0.3">
      <c r="A834" s="17"/>
      <c r="B834" s="19"/>
      <c r="C834" s="19"/>
      <c r="D834" s="19"/>
      <c r="E834" s="19"/>
      <c r="F834" s="3" t="s">
        <v>242</v>
      </c>
      <c r="G834" s="19"/>
      <c r="H834" s="19"/>
    </row>
    <row r="835" spans="1:8" ht="17.25" thickBot="1" x14ac:dyDescent="0.35">
      <c r="A835" s="6">
        <v>1</v>
      </c>
      <c r="B835" s="3">
        <v>1</v>
      </c>
      <c r="C835" s="11" t="s">
        <v>116</v>
      </c>
      <c r="D835" s="2">
        <v>949</v>
      </c>
      <c r="E835" s="2">
        <v>0.35811999999999999</v>
      </c>
      <c r="F835" s="2">
        <v>1.3742000000000001E-2</v>
      </c>
      <c r="G835" s="2">
        <v>0.33117387999999998</v>
      </c>
      <c r="H835" s="2">
        <v>0.38506523999999998</v>
      </c>
    </row>
    <row r="836" spans="1:8" ht="17.25" thickBot="1" x14ac:dyDescent="0.35">
      <c r="A836" s="6"/>
      <c r="B836" s="3">
        <v>2</v>
      </c>
      <c r="C836" s="11" t="s">
        <v>116</v>
      </c>
      <c r="D836" s="2">
        <v>1781</v>
      </c>
      <c r="E836" s="2">
        <v>0.35003899999999999</v>
      </c>
      <c r="F836" s="2">
        <v>9.2359999999999994E-3</v>
      </c>
      <c r="G836" s="2">
        <v>0.33192920999999997</v>
      </c>
      <c r="H836" s="2">
        <v>0.36814964999999999</v>
      </c>
    </row>
    <row r="837" spans="1:8" ht="17.25" thickBot="1" x14ac:dyDescent="0.35">
      <c r="A837" s="6"/>
      <c r="B837" s="3">
        <v>3</v>
      </c>
      <c r="C837" s="11" t="s">
        <v>116</v>
      </c>
      <c r="D837" s="2">
        <v>776</v>
      </c>
      <c r="E837" s="2">
        <v>0.38835900000000001</v>
      </c>
      <c r="F837" s="2">
        <v>1.3677999999999999E-2</v>
      </c>
      <c r="G837" s="2">
        <v>0.36153826</v>
      </c>
      <c r="H837" s="2">
        <v>0.41517973000000002</v>
      </c>
    </row>
    <row r="838" spans="1:8" ht="17.25" thickBot="1" x14ac:dyDescent="0.35">
      <c r="A838" s="6"/>
      <c r="B838" s="3">
        <v>8</v>
      </c>
      <c r="C838" s="11" t="s">
        <v>116</v>
      </c>
      <c r="D838" s="2">
        <v>234</v>
      </c>
      <c r="E838" s="2">
        <v>0.20802200000000001</v>
      </c>
      <c r="F838" s="2">
        <v>2.4188999999999999E-2</v>
      </c>
      <c r="G838" s="2">
        <v>0.16059167999999999</v>
      </c>
      <c r="H838" s="2">
        <v>0.25545329</v>
      </c>
    </row>
    <row r="839" spans="1:8" ht="17.25" thickBot="1" x14ac:dyDescent="0.35">
      <c r="A839" s="6">
        <v>2</v>
      </c>
      <c r="B839" s="3">
        <v>1</v>
      </c>
      <c r="C839" s="11" t="s">
        <v>116</v>
      </c>
      <c r="D839" s="2">
        <v>950</v>
      </c>
      <c r="E839" s="2">
        <v>0.30040699999999998</v>
      </c>
      <c r="F839" s="2">
        <v>1.2444E-2</v>
      </c>
      <c r="G839" s="2">
        <v>0.27600670999999999</v>
      </c>
      <c r="H839" s="2">
        <v>0.32480706999999998</v>
      </c>
    </row>
    <row r="840" spans="1:8" ht="17.25" thickBot="1" x14ac:dyDescent="0.35">
      <c r="A840" s="6"/>
      <c r="B840" s="3">
        <v>2</v>
      </c>
      <c r="C840" s="11" t="s">
        <v>116</v>
      </c>
      <c r="D840" s="2">
        <v>2378</v>
      </c>
      <c r="E840" s="2">
        <v>0.28090900000000002</v>
      </c>
      <c r="F840" s="2">
        <v>8.0859999999999994E-3</v>
      </c>
      <c r="G840" s="2">
        <v>0.26505337000000001</v>
      </c>
      <c r="H840" s="2">
        <v>0.29676541000000001</v>
      </c>
    </row>
    <row r="841" spans="1:8" ht="17.25" thickBot="1" x14ac:dyDescent="0.35">
      <c r="A841" s="6"/>
      <c r="B841" s="3">
        <v>3</v>
      </c>
      <c r="C841" s="11" t="s">
        <v>116</v>
      </c>
      <c r="D841" s="2">
        <v>775</v>
      </c>
      <c r="E841" s="2">
        <v>0.31462000000000001</v>
      </c>
      <c r="F841" s="2">
        <v>1.384E-2</v>
      </c>
      <c r="G841" s="2">
        <v>0.28748216999999998</v>
      </c>
      <c r="H841" s="2">
        <v>0.34175715000000001</v>
      </c>
    </row>
    <row r="842" spans="1:8" ht="17.25" thickBot="1" x14ac:dyDescent="0.35">
      <c r="A842" s="6"/>
      <c r="B842" s="3">
        <v>8</v>
      </c>
      <c r="C842" s="11" t="s">
        <v>116</v>
      </c>
      <c r="D842" s="2">
        <v>629</v>
      </c>
      <c r="E842" s="2">
        <v>0.17106499999999999</v>
      </c>
      <c r="F842" s="2">
        <v>1.3112E-2</v>
      </c>
      <c r="G842" s="2">
        <v>0.14535516000000001</v>
      </c>
      <c r="H842" s="2">
        <v>0.19677413999999999</v>
      </c>
    </row>
    <row r="843" spans="1:8" ht="17.25" thickBot="1" x14ac:dyDescent="0.35">
      <c r="A843" s="6">
        <v>3</v>
      </c>
      <c r="B843" s="3">
        <v>1</v>
      </c>
      <c r="C843" s="11" t="s">
        <v>116</v>
      </c>
      <c r="D843" s="2">
        <v>849</v>
      </c>
      <c r="E843" s="2">
        <v>0.29905900000000002</v>
      </c>
      <c r="F843" s="2">
        <v>1.2759E-2</v>
      </c>
      <c r="G843" s="2">
        <v>0.27404023</v>
      </c>
      <c r="H843" s="2">
        <v>0.32407735999999998</v>
      </c>
    </row>
    <row r="844" spans="1:8" ht="17.25" thickBot="1" x14ac:dyDescent="0.35">
      <c r="A844" s="6"/>
      <c r="B844" s="3">
        <v>2</v>
      </c>
      <c r="C844" s="11" t="s">
        <v>116</v>
      </c>
      <c r="D844" s="2">
        <v>2043</v>
      </c>
      <c r="E844" s="2">
        <v>0.29796899999999998</v>
      </c>
      <c r="F844" s="2">
        <v>8.6309999999999998E-3</v>
      </c>
      <c r="G844" s="2">
        <v>0.28104578000000002</v>
      </c>
      <c r="H844" s="2">
        <v>0.31489223</v>
      </c>
    </row>
    <row r="845" spans="1:8" ht="17.25" thickBot="1" x14ac:dyDescent="0.35">
      <c r="A845" s="6"/>
      <c r="B845" s="3">
        <v>3</v>
      </c>
      <c r="C845" s="11" t="s">
        <v>116</v>
      </c>
      <c r="D845" s="2">
        <v>698</v>
      </c>
      <c r="E845" s="2">
        <v>0.31757299999999999</v>
      </c>
      <c r="F845" s="2">
        <v>1.5796000000000001E-2</v>
      </c>
      <c r="G845" s="2">
        <v>0.28659949000000001</v>
      </c>
      <c r="H845" s="2">
        <v>0.34854690999999999</v>
      </c>
    </row>
    <row r="846" spans="1:8" ht="17.25" thickBot="1" x14ac:dyDescent="0.35">
      <c r="A846" s="6"/>
      <c r="B846" s="3">
        <v>8</v>
      </c>
      <c r="C846" s="11" t="s">
        <v>116</v>
      </c>
      <c r="D846" s="2">
        <v>667</v>
      </c>
      <c r="E846" s="2">
        <v>0.268565</v>
      </c>
      <c r="F846" s="2">
        <v>1.5304E-2</v>
      </c>
      <c r="G846" s="2">
        <v>0.23855770000000001</v>
      </c>
      <c r="H846" s="2">
        <v>0.29857291000000002</v>
      </c>
    </row>
    <row r="847" spans="1:8" ht="17.25" thickBot="1" x14ac:dyDescent="0.35">
      <c r="A847" s="6">
        <v>4</v>
      </c>
      <c r="B847" s="3">
        <v>1</v>
      </c>
      <c r="C847" s="11" t="s">
        <v>116</v>
      </c>
      <c r="D847" s="2">
        <v>1040</v>
      </c>
      <c r="E847" s="2">
        <v>0.31282700000000002</v>
      </c>
      <c r="F847" s="2">
        <v>1.2827E-2</v>
      </c>
      <c r="G847" s="2">
        <v>0.28767532000000001</v>
      </c>
      <c r="H847" s="2">
        <v>0.33797857999999997</v>
      </c>
    </row>
    <row r="848" spans="1:8" ht="17.25" thickBot="1" x14ac:dyDescent="0.35">
      <c r="A848" s="6"/>
      <c r="B848" s="3">
        <v>2</v>
      </c>
      <c r="C848" s="11" t="s">
        <v>116</v>
      </c>
      <c r="D848" s="2">
        <v>2189</v>
      </c>
      <c r="E848" s="2">
        <v>0.30660599999999999</v>
      </c>
      <c r="F848" s="2">
        <v>7.6150000000000002E-3</v>
      </c>
      <c r="G848" s="2">
        <v>0.29167373000000002</v>
      </c>
      <c r="H848" s="2">
        <v>0.32153846000000003</v>
      </c>
    </row>
    <row r="849" spans="1:8" ht="17.25" thickBot="1" x14ac:dyDescent="0.35">
      <c r="A849" s="6"/>
      <c r="B849" s="3">
        <v>3</v>
      </c>
      <c r="C849" s="11" t="s">
        <v>116</v>
      </c>
      <c r="D849" s="2">
        <v>811</v>
      </c>
      <c r="E849" s="2">
        <v>0.34106399999999998</v>
      </c>
      <c r="F849" s="2">
        <v>1.2274E-2</v>
      </c>
      <c r="G849" s="2">
        <v>0.31699624999999998</v>
      </c>
      <c r="H849" s="2">
        <v>0.36513092000000003</v>
      </c>
    </row>
    <row r="850" spans="1:8" ht="17.25" thickBot="1" x14ac:dyDescent="0.35">
      <c r="A850" s="6"/>
      <c r="B850" s="3">
        <v>8</v>
      </c>
      <c r="C850" s="11" t="s">
        <v>116</v>
      </c>
      <c r="D850" s="2">
        <v>516</v>
      </c>
      <c r="E850" s="2">
        <v>0.23496300000000001</v>
      </c>
      <c r="F850" s="2">
        <v>1.7281999999999999E-2</v>
      </c>
      <c r="G850" s="2">
        <v>0.20107620000000001</v>
      </c>
      <c r="H850" s="2">
        <v>0.26884982000000002</v>
      </c>
    </row>
    <row r="851" spans="1:8" ht="17.25" thickBot="1" x14ac:dyDescent="0.35">
      <c r="A851" s="6">
        <v>5</v>
      </c>
      <c r="B851" s="3">
        <v>1</v>
      </c>
      <c r="C851" s="11" t="s">
        <v>116</v>
      </c>
      <c r="D851" s="2">
        <v>951</v>
      </c>
      <c r="E851" s="2">
        <v>0.28406399999999998</v>
      </c>
      <c r="F851" s="2">
        <v>1.2852000000000001E-2</v>
      </c>
      <c r="G851" s="2">
        <v>0.25886414000000002</v>
      </c>
      <c r="H851" s="2">
        <v>0.30926333</v>
      </c>
    </row>
    <row r="852" spans="1:8" ht="17.25" thickBot="1" x14ac:dyDescent="0.35">
      <c r="A852" s="6"/>
      <c r="B852" s="3">
        <v>2</v>
      </c>
      <c r="C852" s="11" t="s">
        <v>116</v>
      </c>
      <c r="D852" s="2">
        <v>2215</v>
      </c>
      <c r="E852" s="2">
        <v>0.29876900000000001</v>
      </c>
      <c r="F852" s="2">
        <v>8.3330000000000001E-3</v>
      </c>
      <c r="G852" s="2">
        <v>0.28243037999999998</v>
      </c>
      <c r="H852" s="2">
        <v>0.31510775000000002</v>
      </c>
    </row>
    <row r="853" spans="1:8" ht="17.25" thickBot="1" x14ac:dyDescent="0.35">
      <c r="A853" s="6"/>
      <c r="B853" s="3">
        <v>3</v>
      </c>
      <c r="C853" s="11" t="s">
        <v>116</v>
      </c>
      <c r="D853" s="2">
        <v>861</v>
      </c>
      <c r="E853" s="2">
        <v>0.335926</v>
      </c>
      <c r="F853" s="2">
        <v>1.4049000000000001E-2</v>
      </c>
      <c r="G853" s="2">
        <v>0.30837935</v>
      </c>
      <c r="H853" s="2">
        <v>0.36347307000000001</v>
      </c>
    </row>
    <row r="854" spans="1:8" ht="17.25" thickBot="1" x14ac:dyDescent="0.35">
      <c r="A854" s="6"/>
      <c r="B854" s="3">
        <v>8</v>
      </c>
      <c r="C854" s="11" t="s">
        <v>116</v>
      </c>
      <c r="D854" s="2">
        <v>474</v>
      </c>
      <c r="E854" s="2">
        <v>0.20146600000000001</v>
      </c>
      <c r="F854" s="2">
        <v>1.7500999999999999E-2</v>
      </c>
      <c r="G854" s="2">
        <v>0.16714918000000001</v>
      </c>
      <c r="H854" s="2">
        <v>0.23578184999999999</v>
      </c>
    </row>
    <row r="855" spans="1:8" ht="17.25" thickBot="1" x14ac:dyDescent="0.35">
      <c r="A855" s="6">
        <v>6</v>
      </c>
      <c r="B855" s="3">
        <v>1</v>
      </c>
      <c r="C855" s="11" t="s">
        <v>116</v>
      </c>
      <c r="D855" s="2">
        <v>261</v>
      </c>
      <c r="E855" s="2">
        <v>0.23530899999999999</v>
      </c>
      <c r="F855" s="2">
        <v>2.0649000000000001E-2</v>
      </c>
      <c r="G855" s="2">
        <v>0.19482010999999999</v>
      </c>
      <c r="H855" s="2">
        <v>0.27579833999999998</v>
      </c>
    </row>
    <row r="856" spans="1:8" ht="17.25" thickBot="1" x14ac:dyDescent="0.35">
      <c r="A856" s="6"/>
      <c r="B856" s="3">
        <v>2</v>
      </c>
      <c r="C856" s="11" t="s">
        <v>116</v>
      </c>
      <c r="D856" s="2">
        <v>676</v>
      </c>
      <c r="E856" s="2">
        <v>0.25664799999999999</v>
      </c>
      <c r="F856" s="2">
        <v>1.2553E-2</v>
      </c>
      <c r="G856" s="2">
        <v>0.23203391000000001</v>
      </c>
      <c r="H856" s="2">
        <v>0.28126209000000002</v>
      </c>
    </row>
    <row r="857" spans="1:8" ht="17.25" thickBot="1" x14ac:dyDescent="0.35">
      <c r="A857" s="6"/>
      <c r="B857" s="3">
        <v>3</v>
      </c>
      <c r="C857" s="11" t="s">
        <v>116</v>
      </c>
      <c r="D857" s="2">
        <v>295</v>
      </c>
      <c r="E857" s="2">
        <v>0.26052199999999998</v>
      </c>
      <c r="F857" s="2">
        <v>1.8669999999999999E-2</v>
      </c>
      <c r="G857" s="2">
        <v>0.22391432</v>
      </c>
      <c r="H857" s="2">
        <v>0.29713044</v>
      </c>
    </row>
    <row r="858" spans="1:8" x14ac:dyDescent="0.3">
      <c r="A858" s="6"/>
      <c r="B858" s="3">
        <v>8</v>
      </c>
      <c r="C858" s="14" t="s">
        <v>116</v>
      </c>
      <c r="D858" s="2">
        <v>204</v>
      </c>
      <c r="E858" s="2">
        <v>0.216835</v>
      </c>
      <c r="F858" s="2">
        <v>2.4052E-2</v>
      </c>
      <c r="G858" s="2">
        <v>0.16967296000000001</v>
      </c>
      <c r="H858" s="2">
        <v>0.26399799000000002</v>
      </c>
    </row>
    <row r="862" spans="1:8" x14ac:dyDescent="0.3">
      <c r="A862" s="1" t="s">
        <v>237</v>
      </c>
    </row>
    <row r="864" spans="1:8" x14ac:dyDescent="0.3">
      <c r="A864" s="1" t="s">
        <v>21</v>
      </c>
    </row>
    <row r="865" spans="1:6" ht="17.25" thickBot="1" x14ac:dyDescent="0.35"/>
    <row r="866" spans="1:6" ht="16.5" customHeight="1" x14ac:dyDescent="0.3">
      <c r="A866" s="16" t="s">
        <v>135</v>
      </c>
      <c r="B866" s="18"/>
    </row>
    <row r="867" spans="1:6" ht="26.25" thickBot="1" x14ac:dyDescent="0.35">
      <c r="A867" s="12" t="s">
        <v>136</v>
      </c>
      <c r="B867" s="2">
        <v>183</v>
      </c>
    </row>
    <row r="868" spans="1:6" ht="26.25" thickBot="1" x14ac:dyDescent="0.35">
      <c r="A868" s="12" t="s">
        <v>137</v>
      </c>
      <c r="B868" s="2">
        <v>2982</v>
      </c>
    </row>
    <row r="869" spans="1:6" ht="39" thickBot="1" x14ac:dyDescent="0.35">
      <c r="A869" s="12" t="s">
        <v>138</v>
      </c>
      <c r="B869" s="2">
        <v>68635</v>
      </c>
    </row>
    <row r="870" spans="1:6" ht="25.5" x14ac:dyDescent="0.3">
      <c r="A870" s="13" t="s">
        <v>139</v>
      </c>
      <c r="B870" s="2">
        <v>30251935.699999999</v>
      </c>
    </row>
    <row r="871" spans="1:6" ht="17.25" thickBot="1" x14ac:dyDescent="0.35"/>
    <row r="872" spans="1:6" ht="33" customHeight="1" x14ac:dyDescent="0.3">
      <c r="A872" s="16" t="s">
        <v>140</v>
      </c>
      <c r="B872" s="18"/>
    </row>
    <row r="873" spans="1:6" ht="33.75" thickBot="1" x14ac:dyDescent="0.35">
      <c r="A873" s="12" t="s">
        <v>141</v>
      </c>
      <c r="B873" s="2" t="s">
        <v>142</v>
      </c>
    </row>
    <row r="874" spans="1:6" ht="25.5" x14ac:dyDescent="0.3">
      <c r="A874" s="13" t="s">
        <v>143</v>
      </c>
      <c r="B874" s="2" t="s">
        <v>144</v>
      </c>
    </row>
    <row r="875" spans="1:6" ht="17.25" thickBot="1" x14ac:dyDescent="0.35"/>
    <row r="876" spans="1:6" ht="16.5" customHeight="1" x14ac:dyDescent="0.3">
      <c r="A876" s="16" t="s">
        <v>238</v>
      </c>
      <c r="B876" s="18"/>
      <c r="C876" s="18"/>
      <c r="D876" s="18"/>
      <c r="E876" s="18"/>
      <c r="F876" s="18"/>
    </row>
    <row r="877" spans="1:6" ht="16.5" customHeight="1" x14ac:dyDescent="0.3">
      <c r="A877" s="17" t="s">
        <v>239</v>
      </c>
      <c r="B877" s="19" t="s">
        <v>94</v>
      </c>
      <c r="C877" s="19" t="s">
        <v>240</v>
      </c>
      <c r="D877" s="3" t="s">
        <v>241</v>
      </c>
      <c r="E877" s="19" t="s">
        <v>243</v>
      </c>
      <c r="F877" s="19"/>
    </row>
    <row r="878" spans="1:6" x14ac:dyDescent="0.3">
      <c r="A878" s="17"/>
      <c r="B878" s="19"/>
      <c r="C878" s="19"/>
      <c r="D878" s="3" t="s">
        <v>242</v>
      </c>
      <c r="E878" s="19"/>
      <c r="F878" s="19"/>
    </row>
    <row r="879" spans="1:6" x14ac:dyDescent="0.3">
      <c r="A879" s="13" t="s">
        <v>116</v>
      </c>
      <c r="B879" s="2">
        <v>68635</v>
      </c>
      <c r="C879" s="2">
        <v>0.34523599999999999</v>
      </c>
      <c r="D879" s="2">
        <v>1.6490000000000001E-3</v>
      </c>
      <c r="E879" s="2">
        <v>0.34200205</v>
      </c>
      <c r="F879" s="2">
        <v>0.34847033999999999</v>
      </c>
    </row>
    <row r="883" spans="1:15" x14ac:dyDescent="0.3">
      <c r="A883" s="1" t="s">
        <v>237</v>
      </c>
    </row>
    <row r="885" spans="1:15" x14ac:dyDescent="0.3">
      <c r="A885" s="1" t="s">
        <v>21</v>
      </c>
    </row>
    <row r="886" spans="1:15" ht="17.25" thickBot="1" x14ac:dyDescent="0.35"/>
    <row r="887" spans="1:15" ht="16.5" customHeight="1" x14ac:dyDescent="0.3">
      <c r="A887" s="16" t="s">
        <v>258</v>
      </c>
      <c r="B887" s="18"/>
      <c r="C887" s="18"/>
      <c r="D887" s="18"/>
      <c r="E887" s="18"/>
      <c r="F887" s="18"/>
      <c r="G887" s="18"/>
      <c r="H887" s="18"/>
    </row>
    <row r="888" spans="1:15" ht="16.5" customHeight="1" x14ac:dyDescent="0.3">
      <c r="A888" s="17" t="s">
        <v>249</v>
      </c>
      <c r="B888" s="19" t="s">
        <v>13</v>
      </c>
      <c r="C888" s="19" t="s">
        <v>239</v>
      </c>
      <c r="D888" s="19" t="s">
        <v>94</v>
      </c>
      <c r="E888" s="19" t="s">
        <v>240</v>
      </c>
      <c r="F888" s="3" t="s">
        <v>241</v>
      </c>
      <c r="G888" s="19" t="s">
        <v>243</v>
      </c>
      <c r="H888" s="19"/>
    </row>
    <row r="889" spans="1:15" x14ac:dyDescent="0.3">
      <c r="A889" s="17"/>
      <c r="B889" s="19"/>
      <c r="C889" s="19"/>
      <c r="D889" s="19"/>
      <c r="E889" s="19"/>
      <c r="F889" s="3" t="s">
        <v>242</v>
      </c>
      <c r="G889" s="19"/>
      <c r="H889" s="19"/>
    </row>
    <row r="890" spans="1:15" ht="17.25" thickBot="1" x14ac:dyDescent="0.35">
      <c r="A890" s="6">
        <v>1</v>
      </c>
      <c r="B890" s="3">
        <v>1</v>
      </c>
      <c r="C890" s="11" t="s">
        <v>116</v>
      </c>
      <c r="D890" s="2">
        <v>3399</v>
      </c>
      <c r="E890" s="2">
        <v>0.37068200000000001</v>
      </c>
      <c r="F890" s="2">
        <v>6.4770000000000001E-3</v>
      </c>
      <c r="G890" s="2">
        <v>0.35798192000000001</v>
      </c>
      <c r="H890" s="2">
        <v>0.38338208000000001</v>
      </c>
      <c r="J890" t="str">
        <f t="shared" ref="J890:J907" si="33">TEXT(E890,"0.00")&amp;" ("&amp;TEXT(G890,"0.00")&amp;" to "&amp;TEXT(H890,"0.00")&amp;")"</f>
        <v>0.37 (0.36 to 0.38)</v>
      </c>
      <c r="K890" t="str">
        <f>J893</f>
        <v>0.35 (0.34 to 0.36)</v>
      </c>
      <c r="L890" t="str">
        <f>J896</f>
        <v>0.36 (0.35 to 0.38)</v>
      </c>
      <c r="M890" t="str">
        <f>J899</f>
        <v>0.35 (0.34 to 0.36)</v>
      </c>
      <c r="N890" t="str">
        <f>J902</f>
        <v>0.34 (0.32 to 0.35)</v>
      </c>
      <c r="O890" t="str">
        <f>J905</f>
        <v>0.29 (0.27 to 0.31)</v>
      </c>
    </row>
    <row r="891" spans="1:15" ht="17.25" thickBot="1" x14ac:dyDescent="0.35">
      <c r="A891" s="6"/>
      <c r="B891" s="3">
        <v>2</v>
      </c>
      <c r="C891" s="11" t="s">
        <v>116</v>
      </c>
      <c r="D891" s="2">
        <v>6638</v>
      </c>
      <c r="E891" s="2">
        <v>0.35523700000000002</v>
      </c>
      <c r="F891" s="2">
        <v>4.8609999999999999E-3</v>
      </c>
      <c r="G891" s="2">
        <v>0.34570532999999998</v>
      </c>
      <c r="H891" s="2">
        <v>0.36476856000000002</v>
      </c>
      <c r="J891" t="str">
        <f t="shared" si="33"/>
        <v>0.36 (0.35 to 0.36)</v>
      </c>
      <c r="K891" t="str">
        <f t="shared" ref="K891:K892" si="34">J894</f>
        <v>0.35 (0.34 to 0.36)</v>
      </c>
      <c r="L891" t="str">
        <f t="shared" ref="L891:L892" si="35">J897</f>
        <v>0.34 (0.33 to 0.35)</v>
      </c>
      <c r="M891" t="str">
        <f t="shared" ref="M891:M892" si="36">J900</f>
        <v>0.35 (0.34 to 0.36)</v>
      </c>
      <c r="N891" t="str">
        <f t="shared" ref="N891:N892" si="37">J903</f>
        <v>0.32 (0.31 to 0.33)</v>
      </c>
      <c r="O891" t="str">
        <f t="shared" ref="O891:O892" si="38">J906</f>
        <v>0.29 (0.27 to 0.31)</v>
      </c>
    </row>
    <row r="892" spans="1:15" ht="17.25" thickBot="1" x14ac:dyDescent="0.35">
      <c r="A892" s="6"/>
      <c r="B892" s="3">
        <v>3</v>
      </c>
      <c r="C892" s="11" t="s">
        <v>116</v>
      </c>
      <c r="D892" s="2">
        <v>1878</v>
      </c>
      <c r="E892" s="2">
        <v>0.41526000000000002</v>
      </c>
      <c r="F892" s="2">
        <v>9.4680000000000007E-3</v>
      </c>
      <c r="G892" s="2">
        <v>0.39669459000000001</v>
      </c>
      <c r="H892" s="2">
        <v>0.43382500000000002</v>
      </c>
      <c r="J892" t="str">
        <f t="shared" si="33"/>
        <v>0.42 (0.40 to 0.43)</v>
      </c>
      <c r="K892" t="str">
        <f t="shared" si="34"/>
        <v>0.38 (0.37 to 0.40)</v>
      </c>
      <c r="L892" t="str">
        <f t="shared" si="35"/>
        <v>0.36 (0.34 to 0.38)</v>
      </c>
      <c r="M892" t="str">
        <f t="shared" si="36"/>
        <v>0.37 (0.36 to 0.39)</v>
      </c>
      <c r="N892" t="str">
        <f t="shared" si="37"/>
        <v>0.33 (0.32 to 0.35)</v>
      </c>
      <c r="O892" t="str">
        <f t="shared" si="38"/>
        <v>0.30 (0.27 to 0.32)</v>
      </c>
    </row>
    <row r="893" spans="1:15" ht="17.25" thickBot="1" x14ac:dyDescent="0.35">
      <c r="A893" s="6">
        <v>2</v>
      </c>
      <c r="B893" s="3">
        <v>1</v>
      </c>
      <c r="C893" s="11" t="s">
        <v>116</v>
      </c>
      <c r="D893" s="2">
        <v>3498</v>
      </c>
      <c r="E893" s="2">
        <v>0.35048499999999999</v>
      </c>
      <c r="F893" s="2">
        <v>7.1199999999999996E-3</v>
      </c>
      <c r="G893" s="2">
        <v>0.33652390999999998</v>
      </c>
      <c r="H893" s="2">
        <v>0.36444672</v>
      </c>
      <c r="J893" t="str">
        <f t="shared" si="33"/>
        <v>0.35 (0.34 to 0.36)</v>
      </c>
    </row>
    <row r="894" spans="1:15" ht="17.25" thickBot="1" x14ac:dyDescent="0.35">
      <c r="A894" s="6"/>
      <c r="B894" s="3">
        <v>2</v>
      </c>
      <c r="C894" s="11" t="s">
        <v>116</v>
      </c>
      <c r="D894" s="2">
        <v>7682</v>
      </c>
      <c r="E894" s="2">
        <v>0.35400399999999999</v>
      </c>
      <c r="F894" s="2">
        <v>4.7200000000000002E-3</v>
      </c>
      <c r="G894" s="2">
        <v>0.34474886999999999</v>
      </c>
      <c r="H894" s="2">
        <v>0.36325963999999999</v>
      </c>
      <c r="J894" t="str">
        <f t="shared" si="33"/>
        <v>0.35 (0.34 to 0.36)</v>
      </c>
    </row>
    <row r="895" spans="1:15" ht="17.25" thickBot="1" x14ac:dyDescent="0.35">
      <c r="A895" s="6"/>
      <c r="B895" s="3">
        <v>3</v>
      </c>
      <c r="C895" s="11" t="s">
        <v>116</v>
      </c>
      <c r="D895" s="2">
        <v>1936</v>
      </c>
      <c r="E895" s="2">
        <v>0.383411</v>
      </c>
      <c r="F895" s="2">
        <v>9.3080000000000003E-3</v>
      </c>
      <c r="G895" s="2">
        <v>0.36516089000000002</v>
      </c>
      <c r="H895" s="2">
        <v>0.40166191000000001</v>
      </c>
      <c r="J895" t="str">
        <f t="shared" si="33"/>
        <v>0.38 (0.37 to 0.40)</v>
      </c>
    </row>
    <row r="896" spans="1:15" ht="17.25" thickBot="1" x14ac:dyDescent="0.35">
      <c r="A896" s="6">
        <v>3</v>
      </c>
      <c r="B896" s="3">
        <v>1</v>
      </c>
      <c r="C896" s="11" t="s">
        <v>116</v>
      </c>
      <c r="D896" s="2">
        <v>2810</v>
      </c>
      <c r="E896" s="2">
        <v>0.36388799999999999</v>
      </c>
      <c r="F896" s="2">
        <v>7.9649999999999999E-3</v>
      </c>
      <c r="G896" s="2">
        <v>0.34826899</v>
      </c>
      <c r="H896" s="2">
        <v>0.37950613999999999</v>
      </c>
      <c r="J896" t="str">
        <f t="shared" si="33"/>
        <v>0.36 (0.35 to 0.38)</v>
      </c>
    </row>
    <row r="897" spans="1:10" ht="17.25" thickBot="1" x14ac:dyDescent="0.35">
      <c r="A897" s="6"/>
      <c r="B897" s="3">
        <v>2</v>
      </c>
      <c r="C897" s="11" t="s">
        <v>116</v>
      </c>
      <c r="D897" s="2">
        <v>6806</v>
      </c>
      <c r="E897" s="2">
        <v>0.33845399999999998</v>
      </c>
      <c r="F897" s="2">
        <v>4.921E-3</v>
      </c>
      <c r="G897" s="2">
        <v>0.32880543000000001</v>
      </c>
      <c r="H897" s="2">
        <v>0.3481032</v>
      </c>
      <c r="J897" t="str">
        <f t="shared" si="33"/>
        <v>0.34 (0.33 to 0.35)</v>
      </c>
    </row>
    <row r="898" spans="1:10" ht="17.25" thickBot="1" x14ac:dyDescent="0.35">
      <c r="A898" s="6"/>
      <c r="B898" s="3">
        <v>3</v>
      </c>
      <c r="C898" s="11" t="s">
        <v>116</v>
      </c>
      <c r="D898" s="2">
        <v>1859</v>
      </c>
      <c r="E898" s="2">
        <v>0.36111199999999999</v>
      </c>
      <c r="F898" s="2">
        <v>9.0519999999999993E-3</v>
      </c>
      <c r="G898" s="2">
        <v>0.34336270000000002</v>
      </c>
      <c r="H898" s="2">
        <v>0.37886176999999999</v>
      </c>
      <c r="J898" t="str">
        <f t="shared" si="33"/>
        <v>0.36 (0.34 to 0.38)</v>
      </c>
    </row>
    <row r="899" spans="1:10" ht="17.25" thickBot="1" x14ac:dyDescent="0.35">
      <c r="A899" s="6">
        <v>4</v>
      </c>
      <c r="B899" s="3">
        <v>1</v>
      </c>
      <c r="C899" s="11" t="s">
        <v>116</v>
      </c>
      <c r="D899" s="2">
        <v>3813</v>
      </c>
      <c r="E899" s="2">
        <v>0.35200100000000001</v>
      </c>
      <c r="F899" s="2">
        <v>6.4400000000000004E-3</v>
      </c>
      <c r="G899" s="2">
        <v>0.33937216999999997</v>
      </c>
      <c r="H899" s="2">
        <v>0.36462895000000001</v>
      </c>
      <c r="J899" t="str">
        <f t="shared" si="33"/>
        <v>0.35 (0.34 to 0.36)</v>
      </c>
    </row>
    <row r="900" spans="1:10" ht="17.25" thickBot="1" x14ac:dyDescent="0.35">
      <c r="A900" s="6"/>
      <c r="B900" s="3">
        <v>2</v>
      </c>
      <c r="C900" s="11" t="s">
        <v>116</v>
      </c>
      <c r="D900" s="2">
        <v>8069</v>
      </c>
      <c r="E900" s="2">
        <v>0.34850799999999998</v>
      </c>
      <c r="F900" s="2">
        <v>4.7000000000000002E-3</v>
      </c>
      <c r="G900" s="2">
        <v>0.33929154</v>
      </c>
      <c r="H900" s="2">
        <v>0.35772353000000001</v>
      </c>
      <c r="J900" t="str">
        <f t="shared" si="33"/>
        <v>0.35 (0.34 to 0.36)</v>
      </c>
    </row>
    <row r="901" spans="1:10" ht="17.25" thickBot="1" x14ac:dyDescent="0.35">
      <c r="A901" s="6"/>
      <c r="B901" s="3">
        <v>3</v>
      </c>
      <c r="C901" s="11" t="s">
        <v>116</v>
      </c>
      <c r="D901" s="2">
        <v>2276</v>
      </c>
      <c r="E901" s="2">
        <v>0.37318699999999999</v>
      </c>
      <c r="F901" s="2">
        <v>8.2950000000000003E-3</v>
      </c>
      <c r="G901" s="2">
        <v>0.35692118</v>
      </c>
      <c r="H901" s="2">
        <v>0.38945268999999999</v>
      </c>
      <c r="J901" t="str">
        <f t="shared" si="33"/>
        <v>0.37 (0.36 to 0.39)</v>
      </c>
    </row>
    <row r="902" spans="1:10" ht="17.25" thickBot="1" x14ac:dyDescent="0.35">
      <c r="A902" s="6">
        <v>5</v>
      </c>
      <c r="B902" s="3">
        <v>1</v>
      </c>
      <c r="C902" s="11" t="s">
        <v>116</v>
      </c>
      <c r="D902" s="2">
        <v>3630</v>
      </c>
      <c r="E902" s="2">
        <v>0.33751599999999998</v>
      </c>
      <c r="F902" s="2">
        <v>6.6410000000000002E-3</v>
      </c>
      <c r="G902" s="2">
        <v>0.32449507999999999</v>
      </c>
      <c r="H902" s="2">
        <v>0.35053780000000001</v>
      </c>
      <c r="J902" t="str">
        <f t="shared" si="33"/>
        <v>0.34 (0.32 to 0.35)</v>
      </c>
    </row>
    <row r="903" spans="1:10" ht="17.25" thickBot="1" x14ac:dyDescent="0.35">
      <c r="A903" s="6"/>
      <c r="B903" s="3">
        <v>2</v>
      </c>
      <c r="C903" s="11" t="s">
        <v>116</v>
      </c>
      <c r="D903" s="2">
        <v>7918</v>
      </c>
      <c r="E903" s="2">
        <v>0.32301400000000002</v>
      </c>
      <c r="F903" s="2">
        <v>4.9519999999999998E-3</v>
      </c>
      <c r="G903" s="2">
        <v>0.31330468</v>
      </c>
      <c r="H903" s="2">
        <v>0.33272299999999999</v>
      </c>
      <c r="J903" t="str">
        <f t="shared" si="33"/>
        <v>0.32 (0.31 to 0.33)</v>
      </c>
    </row>
    <row r="904" spans="1:10" ht="17.25" thickBot="1" x14ac:dyDescent="0.35">
      <c r="A904" s="6"/>
      <c r="B904" s="3">
        <v>3</v>
      </c>
      <c r="C904" s="11" t="s">
        <v>116</v>
      </c>
      <c r="D904" s="2">
        <v>2007</v>
      </c>
      <c r="E904" s="2">
        <v>0.33224799999999999</v>
      </c>
      <c r="F904" s="2">
        <v>8.7670000000000005E-3</v>
      </c>
      <c r="G904" s="2">
        <v>0.31505797000000002</v>
      </c>
      <c r="H904" s="2">
        <v>0.34943858999999999</v>
      </c>
      <c r="J904" t="str">
        <f t="shared" si="33"/>
        <v>0.33 (0.32 to 0.35)</v>
      </c>
    </row>
    <row r="905" spans="1:10" ht="17.25" thickBot="1" x14ac:dyDescent="0.35">
      <c r="A905" s="6">
        <v>6</v>
      </c>
      <c r="B905" s="3">
        <v>1</v>
      </c>
      <c r="C905" s="11" t="s">
        <v>116</v>
      </c>
      <c r="D905" s="2">
        <v>1107</v>
      </c>
      <c r="E905" s="2">
        <v>0.29096100000000003</v>
      </c>
      <c r="F905" s="2">
        <v>1.1554999999999999E-2</v>
      </c>
      <c r="G905" s="2">
        <v>0.26830454999999998</v>
      </c>
      <c r="H905" s="2">
        <v>0.31361819000000002</v>
      </c>
      <c r="J905" t="str">
        <f t="shared" si="33"/>
        <v>0.29 (0.27 to 0.31)</v>
      </c>
    </row>
    <row r="906" spans="1:10" ht="17.25" thickBot="1" x14ac:dyDescent="0.35">
      <c r="A906" s="6"/>
      <c r="B906" s="3">
        <v>2</v>
      </c>
      <c r="C906" s="11" t="s">
        <v>116</v>
      </c>
      <c r="D906" s="2">
        <v>2438</v>
      </c>
      <c r="E906" s="2">
        <v>0.28870699999999999</v>
      </c>
      <c r="F906" s="2">
        <v>8.7829999999999991E-3</v>
      </c>
      <c r="G906" s="2">
        <v>0.27148649000000002</v>
      </c>
      <c r="H906" s="2">
        <v>0.30592834000000002</v>
      </c>
      <c r="J906" t="str">
        <f t="shared" si="33"/>
        <v>0.29 (0.27 to 0.31)</v>
      </c>
    </row>
    <row r="907" spans="1:10" x14ac:dyDescent="0.3">
      <c r="A907" s="6"/>
      <c r="B907" s="3">
        <v>3</v>
      </c>
      <c r="C907" s="14" t="s">
        <v>116</v>
      </c>
      <c r="D907" s="2">
        <v>871</v>
      </c>
      <c r="E907" s="2">
        <v>0.297207</v>
      </c>
      <c r="F907" s="2">
        <v>1.1723000000000001E-2</v>
      </c>
      <c r="G907" s="2">
        <v>0.27422116000000002</v>
      </c>
      <c r="H907" s="2">
        <v>0.32019242999999997</v>
      </c>
      <c r="J907" t="str">
        <f t="shared" si="33"/>
        <v>0.30 (0.27 to 0.32)</v>
      </c>
    </row>
    <row r="911" spans="1:10" x14ac:dyDescent="0.3">
      <c r="A911" s="1" t="s">
        <v>237</v>
      </c>
    </row>
    <row r="913" spans="1:6" x14ac:dyDescent="0.3">
      <c r="A913" s="1" t="s">
        <v>1</v>
      </c>
    </row>
    <row r="914" spans="1:6" ht="17.25" thickBot="1" x14ac:dyDescent="0.35"/>
    <row r="915" spans="1:6" ht="16.5" customHeight="1" x14ac:dyDescent="0.3">
      <c r="A915" s="16" t="s">
        <v>135</v>
      </c>
      <c r="B915" s="18"/>
    </row>
    <row r="916" spans="1:6" ht="26.25" thickBot="1" x14ac:dyDescent="0.35">
      <c r="A916" s="12" t="s">
        <v>136</v>
      </c>
      <c r="B916" s="2">
        <v>183</v>
      </c>
    </row>
    <row r="917" spans="1:6" ht="26.25" thickBot="1" x14ac:dyDescent="0.35">
      <c r="A917" s="12" t="s">
        <v>137</v>
      </c>
      <c r="B917" s="2">
        <v>2949</v>
      </c>
    </row>
    <row r="918" spans="1:6" ht="39" thickBot="1" x14ac:dyDescent="0.35">
      <c r="A918" s="12" t="s">
        <v>138</v>
      </c>
      <c r="B918" s="2">
        <v>23222</v>
      </c>
    </row>
    <row r="919" spans="1:6" ht="25.5" x14ac:dyDescent="0.3">
      <c r="A919" s="13" t="s">
        <v>139</v>
      </c>
      <c r="B919" s="2">
        <v>9036880.5199999996</v>
      </c>
    </row>
    <row r="920" spans="1:6" ht="17.25" thickBot="1" x14ac:dyDescent="0.35"/>
    <row r="921" spans="1:6" ht="33" customHeight="1" x14ac:dyDescent="0.3">
      <c r="A921" s="16" t="s">
        <v>140</v>
      </c>
      <c r="B921" s="18"/>
    </row>
    <row r="922" spans="1:6" ht="33.75" thickBot="1" x14ac:dyDescent="0.35">
      <c r="A922" s="12" t="s">
        <v>141</v>
      </c>
      <c r="B922" s="2" t="s">
        <v>142</v>
      </c>
    </row>
    <row r="923" spans="1:6" ht="25.5" x14ac:dyDescent="0.3">
      <c r="A923" s="13" t="s">
        <v>143</v>
      </c>
      <c r="B923" s="2" t="s">
        <v>144</v>
      </c>
    </row>
    <row r="924" spans="1:6" ht="17.25" thickBot="1" x14ac:dyDescent="0.35"/>
    <row r="925" spans="1:6" ht="16.5" customHeight="1" x14ac:dyDescent="0.3">
      <c r="A925" s="16" t="s">
        <v>238</v>
      </c>
      <c r="B925" s="18"/>
      <c r="C925" s="18"/>
      <c r="D925" s="18"/>
      <c r="E925" s="18"/>
      <c r="F925" s="18"/>
    </row>
    <row r="926" spans="1:6" ht="16.5" customHeight="1" x14ac:dyDescent="0.3">
      <c r="A926" s="17" t="s">
        <v>239</v>
      </c>
      <c r="B926" s="19" t="s">
        <v>94</v>
      </c>
      <c r="C926" s="19" t="s">
        <v>240</v>
      </c>
      <c r="D926" s="3" t="s">
        <v>241</v>
      </c>
      <c r="E926" s="19" t="s">
        <v>243</v>
      </c>
      <c r="F926" s="19"/>
    </row>
    <row r="927" spans="1:6" x14ac:dyDescent="0.3">
      <c r="A927" s="17"/>
      <c r="B927" s="19"/>
      <c r="C927" s="19"/>
      <c r="D927" s="3" t="s">
        <v>242</v>
      </c>
      <c r="E927" s="19"/>
      <c r="F927" s="19"/>
    </row>
    <row r="928" spans="1:6" x14ac:dyDescent="0.3">
      <c r="A928" s="13" t="s">
        <v>116</v>
      </c>
      <c r="B928" s="2">
        <v>23222</v>
      </c>
      <c r="C928" s="2">
        <v>0.29750300000000002</v>
      </c>
      <c r="D928" s="2">
        <v>2.7789999999999998E-3</v>
      </c>
      <c r="E928" s="2">
        <v>0.29205375</v>
      </c>
      <c r="F928" s="2">
        <v>0.30295137999999999</v>
      </c>
    </row>
    <row r="932" spans="1:8" x14ac:dyDescent="0.3">
      <c r="A932" s="1" t="s">
        <v>237</v>
      </c>
    </row>
    <row r="934" spans="1:8" x14ac:dyDescent="0.3">
      <c r="A934" s="1" t="s">
        <v>1</v>
      </c>
    </row>
    <row r="935" spans="1:8" ht="17.25" thickBot="1" x14ac:dyDescent="0.35"/>
    <row r="936" spans="1:8" ht="16.5" customHeight="1" x14ac:dyDescent="0.3">
      <c r="A936" s="16" t="s">
        <v>259</v>
      </c>
      <c r="B936" s="18"/>
      <c r="C936" s="18"/>
      <c r="D936" s="18"/>
      <c r="E936" s="18"/>
      <c r="F936" s="18"/>
      <c r="G936" s="18"/>
      <c r="H936" s="18"/>
    </row>
    <row r="937" spans="1:8" ht="16.5" customHeight="1" x14ac:dyDescent="0.3">
      <c r="A937" s="17" t="s">
        <v>249</v>
      </c>
      <c r="B937" s="19" t="s">
        <v>14</v>
      </c>
      <c r="C937" s="19" t="s">
        <v>239</v>
      </c>
      <c r="D937" s="19" t="s">
        <v>94</v>
      </c>
      <c r="E937" s="19" t="s">
        <v>240</v>
      </c>
      <c r="F937" s="3" t="s">
        <v>241</v>
      </c>
      <c r="G937" s="19" t="s">
        <v>243</v>
      </c>
      <c r="H937" s="19"/>
    </row>
    <row r="938" spans="1:8" x14ac:dyDescent="0.3">
      <c r="A938" s="17"/>
      <c r="B938" s="19"/>
      <c r="C938" s="19"/>
      <c r="D938" s="19"/>
      <c r="E938" s="19"/>
      <c r="F938" s="3" t="s">
        <v>242</v>
      </c>
      <c r="G938" s="19"/>
      <c r="H938" s="19"/>
    </row>
    <row r="939" spans="1:8" ht="17.25" thickBot="1" x14ac:dyDescent="0.35">
      <c r="A939" s="6">
        <v>1</v>
      </c>
      <c r="B939" s="3">
        <v>1</v>
      </c>
      <c r="C939" s="11" t="s">
        <v>116</v>
      </c>
      <c r="D939" s="2">
        <v>424</v>
      </c>
      <c r="E939" s="2">
        <v>0.308697</v>
      </c>
      <c r="F939" s="2">
        <v>1.6813999999999999E-2</v>
      </c>
      <c r="G939" s="2">
        <v>0.27572813000000002</v>
      </c>
      <c r="H939" s="2">
        <v>0.34166643000000002</v>
      </c>
    </row>
    <row r="940" spans="1:8" ht="17.25" thickBot="1" x14ac:dyDescent="0.35">
      <c r="A940" s="6"/>
      <c r="B940" s="3">
        <v>2</v>
      </c>
      <c r="C940" s="11" t="s">
        <v>116</v>
      </c>
      <c r="D940" s="2">
        <v>246</v>
      </c>
      <c r="E940" s="2">
        <v>0.31683299999999998</v>
      </c>
      <c r="F940" s="2">
        <v>2.3831999999999999E-2</v>
      </c>
      <c r="G940" s="2">
        <v>0.27010263000000001</v>
      </c>
      <c r="H940" s="2">
        <v>0.36356295999999999</v>
      </c>
    </row>
    <row r="941" spans="1:8" ht="17.25" thickBot="1" x14ac:dyDescent="0.35">
      <c r="A941" s="6"/>
      <c r="B941" s="3">
        <v>3</v>
      </c>
      <c r="C941" s="11" t="s">
        <v>116</v>
      </c>
      <c r="D941" s="2">
        <v>177</v>
      </c>
      <c r="E941" s="2">
        <v>0.47256999999999999</v>
      </c>
      <c r="F941" s="2">
        <v>3.1900999999999999E-2</v>
      </c>
      <c r="G941" s="2">
        <v>0.41001777</v>
      </c>
      <c r="H941" s="2">
        <v>0.53512168000000004</v>
      </c>
    </row>
    <row r="942" spans="1:8" ht="17.25" thickBot="1" x14ac:dyDescent="0.35">
      <c r="A942" s="6"/>
      <c r="B942" s="3">
        <v>8</v>
      </c>
      <c r="C942" s="11" t="s">
        <v>116</v>
      </c>
      <c r="D942" s="2">
        <v>2893</v>
      </c>
      <c r="E942" s="2">
        <v>0.352186</v>
      </c>
      <c r="F942" s="2">
        <v>7.659E-3</v>
      </c>
      <c r="G942" s="2">
        <v>0.33716857</v>
      </c>
      <c r="H942" s="2">
        <v>0.36720289</v>
      </c>
    </row>
    <row r="943" spans="1:8" ht="17.25" thickBot="1" x14ac:dyDescent="0.35">
      <c r="A943" s="6">
        <v>2</v>
      </c>
      <c r="B943" s="3">
        <v>1</v>
      </c>
      <c r="C943" s="11" t="s">
        <v>116</v>
      </c>
      <c r="D943" s="2">
        <v>443</v>
      </c>
      <c r="E943" s="2">
        <v>0.22933000000000001</v>
      </c>
      <c r="F943" s="2">
        <v>1.6493000000000001E-2</v>
      </c>
      <c r="G943" s="2">
        <v>0.19698963</v>
      </c>
      <c r="H943" s="2">
        <v>0.26166991000000001</v>
      </c>
    </row>
    <row r="944" spans="1:8" ht="17.25" thickBot="1" x14ac:dyDescent="0.35">
      <c r="A944" s="6"/>
      <c r="B944" s="3">
        <v>2</v>
      </c>
      <c r="C944" s="11" t="s">
        <v>116</v>
      </c>
      <c r="D944" s="2">
        <v>258</v>
      </c>
      <c r="E944" s="2">
        <v>0.27199899999999999</v>
      </c>
      <c r="F944" s="2">
        <v>2.3116000000000001E-2</v>
      </c>
      <c r="G944" s="2">
        <v>0.22667267999999999</v>
      </c>
      <c r="H944" s="2">
        <v>0.31732560999999998</v>
      </c>
    </row>
    <row r="945" spans="1:8" ht="17.25" thickBot="1" x14ac:dyDescent="0.35">
      <c r="A945" s="6"/>
      <c r="B945" s="3">
        <v>3</v>
      </c>
      <c r="C945" s="11" t="s">
        <v>116</v>
      </c>
      <c r="D945" s="2">
        <v>116</v>
      </c>
      <c r="E945" s="2">
        <v>0.423736</v>
      </c>
      <c r="F945" s="2">
        <v>3.2354000000000001E-2</v>
      </c>
      <c r="G945" s="2">
        <v>0.36029552999999997</v>
      </c>
      <c r="H945" s="2">
        <v>0.48717698999999998</v>
      </c>
    </row>
    <row r="946" spans="1:8" ht="17.25" thickBot="1" x14ac:dyDescent="0.35">
      <c r="A946" s="6"/>
      <c r="B946" s="3">
        <v>8</v>
      </c>
      <c r="C946" s="11" t="s">
        <v>116</v>
      </c>
      <c r="D946" s="2">
        <v>3915</v>
      </c>
      <c r="E946" s="2">
        <v>0.27814800000000001</v>
      </c>
      <c r="F946" s="2">
        <v>6.3949999999999996E-3</v>
      </c>
      <c r="G946" s="2">
        <v>0.26560753999999998</v>
      </c>
      <c r="H946" s="2">
        <v>0.29068839000000002</v>
      </c>
    </row>
    <row r="947" spans="1:8" ht="17.25" thickBot="1" x14ac:dyDescent="0.35">
      <c r="A947" s="6">
        <v>3</v>
      </c>
      <c r="B947" s="3">
        <v>1</v>
      </c>
      <c r="C947" s="11" t="s">
        <v>116</v>
      </c>
      <c r="D947" s="2">
        <v>538</v>
      </c>
      <c r="E947" s="2">
        <v>0.254913</v>
      </c>
      <c r="F947" s="2">
        <v>1.3805E-2</v>
      </c>
      <c r="G947" s="2">
        <v>0.22784429</v>
      </c>
      <c r="H947" s="2">
        <v>0.28198107</v>
      </c>
    </row>
    <row r="948" spans="1:8" ht="17.25" thickBot="1" x14ac:dyDescent="0.35">
      <c r="A948" s="6"/>
      <c r="B948" s="3">
        <v>2</v>
      </c>
      <c r="C948" s="11" t="s">
        <v>116</v>
      </c>
      <c r="D948" s="2">
        <v>351</v>
      </c>
      <c r="E948" s="2">
        <v>0.32426300000000002</v>
      </c>
      <c r="F948" s="2">
        <v>2.0427000000000001E-2</v>
      </c>
      <c r="G948" s="2">
        <v>0.28420898</v>
      </c>
      <c r="H948" s="2">
        <v>0.36431706000000003</v>
      </c>
    </row>
    <row r="949" spans="1:8" ht="17.25" thickBot="1" x14ac:dyDescent="0.35">
      <c r="A949" s="6"/>
      <c r="B949" s="3">
        <v>3</v>
      </c>
      <c r="C949" s="11" t="s">
        <v>116</v>
      </c>
      <c r="D949" s="2">
        <v>201</v>
      </c>
      <c r="E949" s="2">
        <v>0.44203199999999998</v>
      </c>
      <c r="F949" s="2">
        <v>3.3355000000000003E-2</v>
      </c>
      <c r="G949" s="2">
        <v>0.37662930999999999</v>
      </c>
      <c r="H949" s="2">
        <v>0.50743503000000001</v>
      </c>
    </row>
    <row r="950" spans="1:8" ht="17.25" thickBot="1" x14ac:dyDescent="0.35">
      <c r="A950" s="6"/>
      <c r="B950" s="3">
        <v>8</v>
      </c>
      <c r="C950" s="11" t="s">
        <v>116</v>
      </c>
      <c r="D950" s="2">
        <v>3167</v>
      </c>
      <c r="E950" s="2">
        <v>0.287881</v>
      </c>
      <c r="F950" s="2">
        <v>7.0910000000000001E-3</v>
      </c>
      <c r="G950" s="2">
        <v>0.27397779999999999</v>
      </c>
      <c r="H950" s="2">
        <v>0.30178507999999998</v>
      </c>
    </row>
    <row r="951" spans="1:8" ht="17.25" thickBot="1" x14ac:dyDescent="0.35">
      <c r="A951" s="6">
        <v>4</v>
      </c>
      <c r="B951" s="3">
        <v>1</v>
      </c>
      <c r="C951" s="11" t="s">
        <v>116</v>
      </c>
      <c r="D951" s="2">
        <v>582</v>
      </c>
      <c r="E951" s="2">
        <v>0.29167100000000001</v>
      </c>
      <c r="F951" s="2">
        <v>1.5374000000000001E-2</v>
      </c>
      <c r="G951" s="2">
        <v>0.26152582000000002</v>
      </c>
      <c r="H951" s="2">
        <v>0.32181685999999998</v>
      </c>
    </row>
    <row r="952" spans="1:8" ht="17.25" thickBot="1" x14ac:dyDescent="0.35">
      <c r="A952" s="6"/>
      <c r="B952" s="3">
        <v>2</v>
      </c>
      <c r="C952" s="11" t="s">
        <v>116</v>
      </c>
      <c r="D952" s="2">
        <v>417</v>
      </c>
      <c r="E952" s="2">
        <v>0.332399</v>
      </c>
      <c r="F952" s="2">
        <v>1.6611999999999998E-2</v>
      </c>
      <c r="G952" s="2">
        <v>0.29982546999999998</v>
      </c>
      <c r="H952" s="2">
        <v>0.36497246999999999</v>
      </c>
    </row>
    <row r="953" spans="1:8" ht="17.25" thickBot="1" x14ac:dyDescent="0.35">
      <c r="A953" s="6"/>
      <c r="B953" s="3">
        <v>3</v>
      </c>
      <c r="C953" s="11" t="s">
        <v>116</v>
      </c>
      <c r="D953" s="2">
        <v>261</v>
      </c>
      <c r="E953" s="2">
        <v>0.45923900000000001</v>
      </c>
      <c r="F953" s="2">
        <v>2.7567000000000001E-2</v>
      </c>
      <c r="G953" s="2">
        <v>0.40518523000000001</v>
      </c>
      <c r="H953" s="2">
        <v>0.51329296000000002</v>
      </c>
    </row>
    <row r="954" spans="1:8" ht="17.25" thickBot="1" x14ac:dyDescent="0.35">
      <c r="A954" s="6"/>
      <c r="B954" s="3">
        <v>8</v>
      </c>
      <c r="C954" s="11" t="s">
        <v>116</v>
      </c>
      <c r="D954" s="2">
        <v>3296</v>
      </c>
      <c r="E954" s="2">
        <v>0.28712100000000002</v>
      </c>
      <c r="F954" s="2">
        <v>6.7600000000000004E-3</v>
      </c>
      <c r="G954" s="2">
        <v>0.27386556000000001</v>
      </c>
      <c r="H954" s="2">
        <v>0.30037656000000001</v>
      </c>
    </row>
    <row r="955" spans="1:8" ht="17.25" thickBot="1" x14ac:dyDescent="0.35">
      <c r="A955" s="6">
        <v>5</v>
      </c>
      <c r="B955" s="3">
        <v>1</v>
      </c>
      <c r="C955" s="11" t="s">
        <v>116</v>
      </c>
      <c r="D955" s="2">
        <v>641</v>
      </c>
      <c r="E955" s="2">
        <v>0.301755</v>
      </c>
      <c r="F955" s="2">
        <v>1.4238000000000001E-2</v>
      </c>
      <c r="G955" s="2">
        <v>0.27383616999999999</v>
      </c>
      <c r="H955" s="2">
        <v>0.32967345999999997</v>
      </c>
    </row>
    <row r="956" spans="1:8" ht="17.25" thickBot="1" x14ac:dyDescent="0.35">
      <c r="A956" s="6"/>
      <c r="B956" s="3">
        <v>2</v>
      </c>
      <c r="C956" s="11" t="s">
        <v>116</v>
      </c>
      <c r="D956" s="2">
        <v>383</v>
      </c>
      <c r="E956" s="2">
        <v>0.30425099999999999</v>
      </c>
      <c r="F956" s="2">
        <v>1.8079000000000001E-2</v>
      </c>
      <c r="G956" s="2">
        <v>0.26879998999999999</v>
      </c>
      <c r="H956" s="2">
        <v>0.33970127</v>
      </c>
    </row>
    <row r="957" spans="1:8" ht="17.25" thickBot="1" x14ac:dyDescent="0.35">
      <c r="A957" s="6"/>
      <c r="B957" s="3">
        <v>3</v>
      </c>
      <c r="C957" s="11" t="s">
        <v>116</v>
      </c>
      <c r="D957" s="2">
        <v>253</v>
      </c>
      <c r="E957" s="2">
        <v>0.45732899999999999</v>
      </c>
      <c r="F957" s="2">
        <v>2.6610999999999999E-2</v>
      </c>
      <c r="G957" s="2">
        <v>0.40514995999999998</v>
      </c>
      <c r="H957" s="2">
        <v>0.50950848999999998</v>
      </c>
    </row>
    <row r="958" spans="1:8" ht="17.25" thickBot="1" x14ac:dyDescent="0.35">
      <c r="A958" s="6"/>
      <c r="B958" s="3">
        <v>8</v>
      </c>
      <c r="C958" s="11" t="s">
        <v>116</v>
      </c>
      <c r="D958" s="2">
        <v>3224</v>
      </c>
      <c r="E958" s="2">
        <v>0.27106999999999998</v>
      </c>
      <c r="F958" s="2">
        <v>7.2719999999999998E-3</v>
      </c>
      <c r="G958" s="2">
        <v>0.25681085999999997</v>
      </c>
      <c r="H958" s="2">
        <v>0.28532984</v>
      </c>
    </row>
    <row r="959" spans="1:8" ht="17.25" thickBot="1" x14ac:dyDescent="0.35">
      <c r="A959" s="6">
        <v>6</v>
      </c>
      <c r="B959" s="3">
        <v>1</v>
      </c>
      <c r="C959" s="11" t="s">
        <v>116</v>
      </c>
      <c r="D959" s="2">
        <v>173</v>
      </c>
      <c r="E959" s="2">
        <v>0.29437600000000003</v>
      </c>
      <c r="F959" s="2">
        <v>2.8733000000000002E-2</v>
      </c>
      <c r="G959" s="2">
        <v>0.23803585999999999</v>
      </c>
      <c r="H959" s="2">
        <v>0.35071548000000002</v>
      </c>
    </row>
    <row r="960" spans="1:8" ht="17.25" thickBot="1" x14ac:dyDescent="0.35">
      <c r="A960" s="6"/>
      <c r="B960" s="3">
        <v>2</v>
      </c>
      <c r="C960" s="11" t="s">
        <v>116</v>
      </c>
      <c r="D960" s="2">
        <v>144</v>
      </c>
      <c r="E960" s="2">
        <v>0.27610499999999999</v>
      </c>
      <c r="F960" s="2">
        <v>2.7650000000000001E-2</v>
      </c>
      <c r="G960" s="2">
        <v>0.22188757000000001</v>
      </c>
      <c r="H960" s="2">
        <v>0.33032254999999999</v>
      </c>
    </row>
    <row r="961" spans="1:8" ht="17.25" thickBot="1" x14ac:dyDescent="0.35">
      <c r="A961" s="6"/>
      <c r="B961" s="3">
        <v>3</v>
      </c>
      <c r="C961" s="11" t="s">
        <v>116</v>
      </c>
      <c r="D961" s="2">
        <v>93</v>
      </c>
      <c r="E961" s="2">
        <v>0.34713300000000002</v>
      </c>
      <c r="F961" s="2">
        <v>4.5716E-2</v>
      </c>
      <c r="G961" s="2">
        <v>0.25749082000000001</v>
      </c>
      <c r="H961" s="2">
        <v>0.43677438000000002</v>
      </c>
    </row>
    <row r="962" spans="1:8" x14ac:dyDescent="0.3">
      <c r="A962" s="6"/>
      <c r="B962" s="3">
        <v>8</v>
      </c>
      <c r="C962" s="14" t="s">
        <v>116</v>
      </c>
      <c r="D962" s="2">
        <v>1026</v>
      </c>
      <c r="E962" s="2">
        <v>0.22262100000000001</v>
      </c>
      <c r="F962" s="2">
        <v>9.9229999999999995E-3</v>
      </c>
      <c r="G962" s="2">
        <v>0.20316328</v>
      </c>
      <c r="H962" s="2">
        <v>0.24207919999999999</v>
      </c>
    </row>
    <row r="966" spans="1:8" x14ac:dyDescent="0.3">
      <c r="A966" s="1" t="s">
        <v>237</v>
      </c>
    </row>
    <row r="968" spans="1:8" x14ac:dyDescent="0.3">
      <c r="A968" s="1" t="s">
        <v>21</v>
      </c>
    </row>
    <row r="969" spans="1:8" ht="17.25" thickBot="1" x14ac:dyDescent="0.35"/>
    <row r="970" spans="1:8" ht="16.5" customHeight="1" x14ac:dyDescent="0.3">
      <c r="A970" s="16" t="s">
        <v>135</v>
      </c>
      <c r="B970" s="18"/>
    </row>
    <row r="971" spans="1:8" ht="26.25" thickBot="1" x14ac:dyDescent="0.35">
      <c r="A971" s="12" t="s">
        <v>136</v>
      </c>
      <c r="B971" s="2">
        <v>183</v>
      </c>
    </row>
    <row r="972" spans="1:8" ht="26.25" thickBot="1" x14ac:dyDescent="0.35">
      <c r="A972" s="12" t="s">
        <v>137</v>
      </c>
      <c r="B972" s="2">
        <v>2982</v>
      </c>
    </row>
    <row r="973" spans="1:8" ht="39" thickBot="1" x14ac:dyDescent="0.35">
      <c r="A973" s="12" t="s">
        <v>138</v>
      </c>
      <c r="B973" s="2">
        <v>68635</v>
      </c>
    </row>
    <row r="974" spans="1:8" ht="25.5" x14ac:dyDescent="0.3">
      <c r="A974" s="13" t="s">
        <v>139</v>
      </c>
      <c r="B974" s="2">
        <v>30251935.699999999</v>
      </c>
    </row>
    <row r="975" spans="1:8" ht="17.25" thickBot="1" x14ac:dyDescent="0.35"/>
    <row r="976" spans="1:8" ht="33" customHeight="1" x14ac:dyDescent="0.3">
      <c r="A976" s="16" t="s">
        <v>140</v>
      </c>
      <c r="B976" s="18"/>
    </row>
    <row r="977" spans="1:8" ht="33.75" thickBot="1" x14ac:dyDescent="0.35">
      <c r="A977" s="12" t="s">
        <v>141</v>
      </c>
      <c r="B977" s="2" t="s">
        <v>142</v>
      </c>
    </row>
    <row r="978" spans="1:8" ht="25.5" x14ac:dyDescent="0.3">
      <c r="A978" s="13" t="s">
        <v>143</v>
      </c>
      <c r="B978" s="2" t="s">
        <v>144</v>
      </c>
    </row>
    <row r="979" spans="1:8" ht="17.25" thickBot="1" x14ac:dyDescent="0.35"/>
    <row r="980" spans="1:8" ht="16.5" customHeight="1" x14ac:dyDescent="0.3">
      <c r="A980" s="16" t="s">
        <v>238</v>
      </c>
      <c r="B980" s="18"/>
      <c r="C980" s="18"/>
      <c r="D980" s="18"/>
      <c r="E980" s="18"/>
      <c r="F980" s="18"/>
    </row>
    <row r="981" spans="1:8" ht="16.5" customHeight="1" x14ac:dyDescent="0.3">
      <c r="A981" s="17" t="s">
        <v>239</v>
      </c>
      <c r="B981" s="19" t="s">
        <v>94</v>
      </c>
      <c r="C981" s="19" t="s">
        <v>240</v>
      </c>
      <c r="D981" s="3" t="s">
        <v>241</v>
      </c>
      <c r="E981" s="19" t="s">
        <v>243</v>
      </c>
      <c r="F981" s="19"/>
    </row>
    <row r="982" spans="1:8" x14ac:dyDescent="0.3">
      <c r="A982" s="17"/>
      <c r="B982" s="19"/>
      <c r="C982" s="19"/>
      <c r="D982" s="3" t="s">
        <v>242</v>
      </c>
      <c r="E982" s="19"/>
      <c r="F982" s="19"/>
    </row>
    <row r="983" spans="1:8" x14ac:dyDescent="0.3">
      <c r="A983" s="13" t="s">
        <v>116</v>
      </c>
      <c r="B983" s="2">
        <v>68635</v>
      </c>
      <c r="C983" s="2">
        <v>0.34523599999999999</v>
      </c>
      <c r="D983" s="2">
        <v>1.6490000000000001E-3</v>
      </c>
      <c r="E983" s="2">
        <v>0.34200205</v>
      </c>
      <c r="F983" s="2">
        <v>0.34847033999999999</v>
      </c>
    </row>
    <row r="987" spans="1:8" x14ac:dyDescent="0.3">
      <c r="A987" s="1" t="s">
        <v>237</v>
      </c>
    </row>
    <row r="989" spans="1:8" x14ac:dyDescent="0.3">
      <c r="A989" s="1" t="s">
        <v>21</v>
      </c>
    </row>
    <row r="990" spans="1:8" ht="17.25" thickBot="1" x14ac:dyDescent="0.35"/>
    <row r="991" spans="1:8" ht="16.5" customHeight="1" x14ac:dyDescent="0.3">
      <c r="A991" s="16" t="s">
        <v>259</v>
      </c>
      <c r="B991" s="18"/>
      <c r="C991" s="18"/>
      <c r="D991" s="18"/>
      <c r="E991" s="18"/>
      <c r="F991" s="18"/>
      <c r="G991" s="18"/>
      <c r="H991" s="18"/>
    </row>
    <row r="992" spans="1:8" ht="16.5" customHeight="1" x14ac:dyDescent="0.3">
      <c r="A992" s="17" t="s">
        <v>249</v>
      </c>
      <c r="B992" s="19" t="s">
        <v>14</v>
      </c>
      <c r="C992" s="19" t="s">
        <v>239</v>
      </c>
      <c r="D992" s="19" t="s">
        <v>94</v>
      </c>
      <c r="E992" s="19" t="s">
        <v>240</v>
      </c>
      <c r="F992" s="3" t="s">
        <v>241</v>
      </c>
      <c r="G992" s="19" t="s">
        <v>243</v>
      </c>
      <c r="H992" s="19"/>
    </row>
    <row r="993" spans="1:15" x14ac:dyDescent="0.3">
      <c r="A993" s="17"/>
      <c r="B993" s="19"/>
      <c r="C993" s="19"/>
      <c r="D993" s="19"/>
      <c r="E993" s="19"/>
      <c r="F993" s="3" t="s">
        <v>242</v>
      </c>
      <c r="G993" s="19"/>
      <c r="H993" s="19"/>
    </row>
    <row r="994" spans="1:15" ht="17.25" thickBot="1" x14ac:dyDescent="0.35">
      <c r="A994" s="6">
        <v>1</v>
      </c>
      <c r="B994" s="3">
        <v>1</v>
      </c>
      <c r="C994" s="11" t="s">
        <v>116</v>
      </c>
      <c r="D994" s="2">
        <v>4479</v>
      </c>
      <c r="E994" s="2">
        <v>0.34066400000000002</v>
      </c>
      <c r="F994" s="2">
        <v>5.8320000000000004E-3</v>
      </c>
      <c r="G994" s="2">
        <v>0.32922801000000002</v>
      </c>
      <c r="H994" s="2">
        <v>0.35209928000000001</v>
      </c>
      <c r="J994" t="str">
        <f t="shared" ref="J994:J1011" si="39">TEXT(E994,"0.00")&amp;" ("&amp;TEXT(G994,"0.00")&amp;" to "&amp;TEXT(H994,"0.00")&amp;")"</f>
        <v>0.34 (0.33 to 0.35)</v>
      </c>
      <c r="K994" t="str">
        <f>J997</f>
        <v>0.32 (0.31 to 0.33)</v>
      </c>
      <c r="L994" t="str">
        <f>J1000</f>
        <v>0.32 (0.31 to 0.33)</v>
      </c>
      <c r="M994" t="str">
        <f>J1003</f>
        <v>0.33 (0.32 to 0.35)</v>
      </c>
      <c r="N994" t="str">
        <f>J1006</f>
        <v>0.31 (0.30 to 0.32)</v>
      </c>
      <c r="O994" t="str">
        <f>J1009</f>
        <v>0.28 (0.26 to 0.30)</v>
      </c>
    </row>
    <row r="995" spans="1:15" ht="17.25" thickBot="1" x14ac:dyDescent="0.35">
      <c r="A995" s="6"/>
      <c r="B995" s="3">
        <v>2</v>
      </c>
      <c r="C995" s="11" t="s">
        <v>116</v>
      </c>
      <c r="D995" s="2">
        <v>4351</v>
      </c>
      <c r="E995" s="2">
        <v>0.33950900000000001</v>
      </c>
      <c r="F995" s="2">
        <v>5.3730000000000002E-3</v>
      </c>
      <c r="G995" s="2">
        <v>0.32897385000000001</v>
      </c>
      <c r="H995" s="2">
        <v>0.35004440999999997</v>
      </c>
      <c r="J995" t="str">
        <f t="shared" si="39"/>
        <v>0.34 (0.33 to 0.35)</v>
      </c>
      <c r="K995" t="str">
        <f t="shared" ref="K995:K996" si="40">J998</f>
        <v>0.34 (0.33 to 0.35)</v>
      </c>
      <c r="L995" t="str">
        <f t="shared" ref="L995:L996" si="41">J1001</f>
        <v>0.32 (0.31 to 0.33)</v>
      </c>
      <c r="M995" t="str">
        <f t="shared" ref="M995:M996" si="42">J1004</f>
        <v>0.33 (0.32 to 0.34)</v>
      </c>
      <c r="N995" t="str">
        <f t="shared" ref="N995:N996" si="43">J1007</f>
        <v>0.31 (0.30 to 0.32)</v>
      </c>
      <c r="O995" t="str">
        <f t="shared" ref="O995:O996" si="44">J1010</f>
        <v>0.28 (0.26 to 0.30)</v>
      </c>
    </row>
    <row r="996" spans="1:15" ht="17.25" thickBot="1" x14ac:dyDescent="0.35">
      <c r="A996" s="6"/>
      <c r="B996" s="3">
        <v>3</v>
      </c>
      <c r="C996" s="11" t="s">
        <v>116</v>
      </c>
      <c r="D996" s="2">
        <v>3085</v>
      </c>
      <c r="E996" s="2">
        <v>0.44212800000000002</v>
      </c>
      <c r="F996" s="2">
        <v>6.574E-3</v>
      </c>
      <c r="G996" s="2">
        <v>0.42923792999999999</v>
      </c>
      <c r="H996" s="2">
        <v>0.45501895999999997</v>
      </c>
      <c r="J996" t="str">
        <f t="shared" si="39"/>
        <v>0.44 (0.43 to 0.46)</v>
      </c>
      <c r="K996" t="str">
        <f t="shared" si="40"/>
        <v>0.42 (0.41 to 0.44)</v>
      </c>
      <c r="L996" t="str">
        <f t="shared" si="41"/>
        <v>0.43 (0.42 to 0.45)</v>
      </c>
      <c r="M996" t="str">
        <f t="shared" si="42"/>
        <v>0.42 (0.40 to 0.43)</v>
      </c>
      <c r="N996" t="str">
        <f t="shared" si="43"/>
        <v>0.39 (0.37 to 0.40)</v>
      </c>
      <c r="O996" t="str">
        <f t="shared" si="44"/>
        <v>0.33 (0.31 to 0.36)</v>
      </c>
    </row>
    <row r="997" spans="1:15" ht="17.25" thickBot="1" x14ac:dyDescent="0.35">
      <c r="A997" s="6">
        <v>2</v>
      </c>
      <c r="B997" s="3">
        <v>1</v>
      </c>
      <c r="C997" s="11" t="s">
        <v>116</v>
      </c>
      <c r="D997" s="2">
        <v>5052</v>
      </c>
      <c r="E997" s="2">
        <v>0.32056200000000001</v>
      </c>
      <c r="F997" s="2">
        <v>5.4720000000000003E-3</v>
      </c>
      <c r="G997" s="2">
        <v>0.30983279000000002</v>
      </c>
      <c r="H997" s="2">
        <v>0.33129122</v>
      </c>
      <c r="J997" t="str">
        <f t="shared" si="39"/>
        <v>0.32 (0.31 to 0.33)</v>
      </c>
    </row>
    <row r="998" spans="1:15" ht="17.25" thickBot="1" x14ac:dyDescent="0.35">
      <c r="A998" s="6"/>
      <c r="B998" s="3">
        <v>2</v>
      </c>
      <c r="C998" s="11" t="s">
        <v>116</v>
      </c>
      <c r="D998" s="2">
        <v>4786</v>
      </c>
      <c r="E998" s="2">
        <v>0.34111799999999998</v>
      </c>
      <c r="F998" s="2">
        <v>6.1380000000000002E-3</v>
      </c>
      <c r="G998" s="2">
        <v>0.32908362000000002</v>
      </c>
      <c r="H998" s="2">
        <v>0.35315313999999998</v>
      </c>
      <c r="J998" t="str">
        <f t="shared" si="39"/>
        <v>0.34 (0.33 to 0.35)</v>
      </c>
    </row>
    <row r="999" spans="1:15" ht="17.25" thickBot="1" x14ac:dyDescent="0.35">
      <c r="A999" s="6"/>
      <c r="B999" s="3">
        <v>3</v>
      </c>
      <c r="C999" s="11" t="s">
        <v>116</v>
      </c>
      <c r="D999" s="2">
        <v>3278</v>
      </c>
      <c r="E999" s="2">
        <v>0.423765</v>
      </c>
      <c r="F999" s="2">
        <v>7.6150000000000002E-3</v>
      </c>
      <c r="G999" s="2">
        <v>0.40883439999999999</v>
      </c>
      <c r="H999" s="2">
        <v>0.43869578999999997</v>
      </c>
      <c r="J999" t="str">
        <f t="shared" si="39"/>
        <v>0.42 (0.41 to 0.44)</v>
      </c>
    </row>
    <row r="1000" spans="1:15" ht="17.25" thickBot="1" x14ac:dyDescent="0.35">
      <c r="A1000" s="6">
        <v>3</v>
      </c>
      <c r="B1000" s="3">
        <v>1</v>
      </c>
      <c r="C1000" s="11" t="s">
        <v>116</v>
      </c>
      <c r="D1000" s="2">
        <v>4399</v>
      </c>
      <c r="E1000" s="2">
        <v>0.32027</v>
      </c>
      <c r="F1000" s="2">
        <v>5.7879999999999997E-3</v>
      </c>
      <c r="G1000" s="2">
        <v>0.30891997999999998</v>
      </c>
      <c r="H1000" s="2">
        <v>0.33161960000000001</v>
      </c>
      <c r="J1000" t="str">
        <f t="shared" si="39"/>
        <v>0.32 (0.31 to 0.33)</v>
      </c>
    </row>
    <row r="1001" spans="1:15" ht="17.25" thickBot="1" x14ac:dyDescent="0.35">
      <c r="A1001" s="6"/>
      <c r="B1001" s="3">
        <v>2</v>
      </c>
      <c r="C1001" s="11" t="s">
        <v>116</v>
      </c>
      <c r="D1001" s="2">
        <v>4275</v>
      </c>
      <c r="E1001" s="2">
        <v>0.31797399999999998</v>
      </c>
      <c r="F1001" s="2">
        <v>5.934E-3</v>
      </c>
      <c r="G1001" s="2">
        <v>0.30633792999999998</v>
      </c>
      <c r="H1001" s="2">
        <v>0.32961077999999999</v>
      </c>
      <c r="J1001" t="str">
        <f t="shared" si="39"/>
        <v>0.32 (0.31 to 0.33)</v>
      </c>
    </row>
    <row r="1002" spans="1:15" ht="17.25" thickBot="1" x14ac:dyDescent="0.35">
      <c r="A1002" s="6"/>
      <c r="B1002" s="3">
        <v>3</v>
      </c>
      <c r="C1002" s="11" t="s">
        <v>116</v>
      </c>
      <c r="D1002" s="2">
        <v>2801</v>
      </c>
      <c r="E1002" s="2">
        <v>0.43290299999999998</v>
      </c>
      <c r="F1002" s="2">
        <v>8.3119999999999999E-3</v>
      </c>
      <c r="G1002" s="2">
        <v>0.41660534999999999</v>
      </c>
      <c r="H1002" s="2">
        <v>0.44920063999999998</v>
      </c>
      <c r="J1002" t="str">
        <f t="shared" si="39"/>
        <v>0.43 (0.42 to 0.45)</v>
      </c>
    </row>
    <row r="1003" spans="1:15" ht="17.25" thickBot="1" x14ac:dyDescent="0.35">
      <c r="A1003" s="6">
        <v>4</v>
      </c>
      <c r="B1003" s="3">
        <v>1</v>
      </c>
      <c r="C1003" s="11" t="s">
        <v>116</v>
      </c>
      <c r="D1003" s="2">
        <v>5475</v>
      </c>
      <c r="E1003" s="2">
        <v>0.33475300000000002</v>
      </c>
      <c r="F1003" s="2">
        <v>5.3090000000000004E-3</v>
      </c>
      <c r="G1003" s="2">
        <v>0.32434400000000002</v>
      </c>
      <c r="H1003" s="2">
        <v>0.34516226999999999</v>
      </c>
      <c r="J1003" t="str">
        <f t="shared" si="39"/>
        <v>0.33 (0.32 to 0.35)</v>
      </c>
    </row>
    <row r="1004" spans="1:15" ht="17.25" thickBot="1" x14ac:dyDescent="0.35">
      <c r="A1004" s="6"/>
      <c r="B1004" s="3">
        <v>2</v>
      </c>
      <c r="C1004" s="11" t="s">
        <v>116</v>
      </c>
      <c r="D1004" s="2">
        <v>5105</v>
      </c>
      <c r="E1004" s="2">
        <v>0.32648300000000002</v>
      </c>
      <c r="F1004" s="2">
        <v>5.3470000000000002E-3</v>
      </c>
      <c r="G1004" s="2">
        <v>0.31599770999999999</v>
      </c>
      <c r="H1004" s="2">
        <v>0.33696752000000002</v>
      </c>
      <c r="J1004" t="str">
        <f t="shared" si="39"/>
        <v>0.33 (0.32 to 0.34)</v>
      </c>
    </row>
    <row r="1005" spans="1:15" ht="17.25" thickBot="1" x14ac:dyDescent="0.35">
      <c r="A1005" s="6"/>
      <c r="B1005" s="3">
        <v>3</v>
      </c>
      <c r="C1005" s="11" t="s">
        <v>116</v>
      </c>
      <c r="D1005" s="2">
        <v>3578</v>
      </c>
      <c r="E1005" s="2">
        <v>0.41556399999999999</v>
      </c>
      <c r="F1005" s="2">
        <v>7.3749999999999996E-3</v>
      </c>
      <c r="G1005" s="2">
        <v>0.40110341999999999</v>
      </c>
      <c r="H1005" s="2">
        <v>0.43002477</v>
      </c>
      <c r="J1005" t="str">
        <f t="shared" si="39"/>
        <v>0.42 (0.40 to 0.43)</v>
      </c>
    </row>
    <row r="1006" spans="1:15" ht="17.25" thickBot="1" x14ac:dyDescent="0.35">
      <c r="A1006" s="6">
        <v>5</v>
      </c>
      <c r="B1006" s="3">
        <v>1</v>
      </c>
      <c r="C1006" s="11" t="s">
        <v>116</v>
      </c>
      <c r="D1006" s="2">
        <v>5622</v>
      </c>
      <c r="E1006" s="2">
        <v>0.31036799999999998</v>
      </c>
      <c r="F1006" s="2">
        <v>5.6389999999999999E-3</v>
      </c>
      <c r="G1006" s="2">
        <v>0.29931103999999997</v>
      </c>
      <c r="H1006" s="2">
        <v>0.32142471</v>
      </c>
      <c r="J1006" t="str">
        <f t="shared" si="39"/>
        <v>0.31 (0.30 to 0.32)</v>
      </c>
    </row>
    <row r="1007" spans="1:15" ht="17.25" thickBot="1" x14ac:dyDescent="0.35">
      <c r="A1007" s="6"/>
      <c r="B1007" s="3">
        <v>2</v>
      </c>
      <c r="C1007" s="11" t="s">
        <v>116</v>
      </c>
      <c r="D1007" s="2">
        <v>4873</v>
      </c>
      <c r="E1007" s="2">
        <v>0.31100499999999998</v>
      </c>
      <c r="F1007" s="2">
        <v>5.921E-3</v>
      </c>
      <c r="G1007" s="2">
        <v>0.29939475999999998</v>
      </c>
      <c r="H1007" s="2">
        <v>0.32261549</v>
      </c>
      <c r="J1007" t="str">
        <f t="shared" si="39"/>
        <v>0.31 (0.30 to 0.32)</v>
      </c>
    </row>
    <row r="1008" spans="1:15" ht="17.25" thickBot="1" x14ac:dyDescent="0.35">
      <c r="A1008" s="6"/>
      <c r="B1008" s="3">
        <v>3</v>
      </c>
      <c r="C1008" s="11" t="s">
        <v>116</v>
      </c>
      <c r="D1008" s="2">
        <v>3060</v>
      </c>
      <c r="E1008" s="2">
        <v>0.38624199999999997</v>
      </c>
      <c r="F1008" s="2">
        <v>7.5940000000000001E-3</v>
      </c>
      <c r="G1008" s="2">
        <v>0.37135163999999998</v>
      </c>
      <c r="H1008" s="2">
        <v>0.40113177999999999</v>
      </c>
      <c r="J1008" t="str">
        <f t="shared" si="39"/>
        <v>0.39 (0.37 to 0.40)</v>
      </c>
    </row>
    <row r="1009" spans="1:10" ht="17.25" thickBot="1" x14ac:dyDescent="0.35">
      <c r="A1009" s="6">
        <v>6</v>
      </c>
      <c r="B1009" s="3">
        <v>1</v>
      </c>
      <c r="C1009" s="11" t="s">
        <v>116</v>
      </c>
      <c r="D1009" s="2">
        <v>1881</v>
      </c>
      <c r="E1009" s="2">
        <v>0.27999099999999999</v>
      </c>
      <c r="F1009" s="2">
        <v>9.0150000000000004E-3</v>
      </c>
      <c r="G1009" s="2">
        <v>0.26231448000000002</v>
      </c>
      <c r="H1009" s="2">
        <v>0.29766839</v>
      </c>
      <c r="J1009" t="str">
        <f t="shared" si="39"/>
        <v>0.28 (0.26 to 0.30)</v>
      </c>
    </row>
    <row r="1010" spans="1:10" ht="17.25" thickBot="1" x14ac:dyDescent="0.35">
      <c r="A1010" s="6"/>
      <c r="B1010" s="3">
        <v>2</v>
      </c>
      <c r="C1010" s="11" t="s">
        <v>116</v>
      </c>
      <c r="D1010" s="2">
        <v>1609</v>
      </c>
      <c r="E1010" s="2">
        <v>0.27742</v>
      </c>
      <c r="F1010" s="2">
        <v>9.6620000000000004E-3</v>
      </c>
      <c r="G1010" s="2">
        <v>0.25847432999999997</v>
      </c>
      <c r="H1010" s="2">
        <v>0.29636585999999998</v>
      </c>
      <c r="J1010" t="str">
        <f t="shared" si="39"/>
        <v>0.28 (0.26 to 0.30)</v>
      </c>
    </row>
    <row r="1011" spans="1:10" x14ac:dyDescent="0.3">
      <c r="A1011" s="6"/>
      <c r="B1011" s="3">
        <v>3</v>
      </c>
      <c r="C1011" s="14" t="s">
        <v>116</v>
      </c>
      <c r="D1011" s="2">
        <v>926</v>
      </c>
      <c r="E1011" s="2">
        <v>0.33186599999999999</v>
      </c>
      <c r="F1011" s="2">
        <v>1.299E-2</v>
      </c>
      <c r="G1011" s="2">
        <v>0.30639400999999999</v>
      </c>
      <c r="H1011" s="2">
        <v>0.35733716999999998</v>
      </c>
      <c r="J1011" t="str">
        <f t="shared" si="39"/>
        <v>0.33 (0.31 to 0.36)</v>
      </c>
    </row>
    <row r="1015" spans="1:10" x14ac:dyDescent="0.3">
      <c r="A1015" s="1" t="s">
        <v>237</v>
      </c>
    </row>
    <row r="1017" spans="1:10" x14ac:dyDescent="0.3">
      <c r="A1017" s="1" t="s">
        <v>1</v>
      </c>
    </row>
    <row r="1018" spans="1:10" ht="17.25" thickBot="1" x14ac:dyDescent="0.35"/>
    <row r="1019" spans="1:10" ht="16.5" customHeight="1" x14ac:dyDescent="0.3">
      <c r="A1019" s="16" t="s">
        <v>135</v>
      </c>
      <c r="B1019" s="18"/>
    </row>
    <row r="1020" spans="1:10" ht="26.25" thickBot="1" x14ac:dyDescent="0.35">
      <c r="A1020" s="12" t="s">
        <v>136</v>
      </c>
      <c r="B1020" s="2">
        <v>183</v>
      </c>
    </row>
    <row r="1021" spans="1:10" ht="26.25" thickBot="1" x14ac:dyDescent="0.35">
      <c r="A1021" s="12" t="s">
        <v>137</v>
      </c>
      <c r="B1021" s="2">
        <v>2949</v>
      </c>
    </row>
    <row r="1022" spans="1:10" ht="39" thickBot="1" x14ac:dyDescent="0.35">
      <c r="A1022" s="12" t="s">
        <v>138</v>
      </c>
      <c r="B1022" s="2">
        <v>23222</v>
      </c>
    </row>
    <row r="1023" spans="1:10" ht="25.5" x14ac:dyDescent="0.3">
      <c r="A1023" s="13" t="s">
        <v>139</v>
      </c>
      <c r="B1023" s="2">
        <v>9036880.5199999996</v>
      </c>
    </row>
    <row r="1024" spans="1:10" ht="17.25" thickBot="1" x14ac:dyDescent="0.35"/>
    <row r="1025" spans="1:8" ht="33" customHeight="1" x14ac:dyDescent="0.3">
      <c r="A1025" s="16" t="s">
        <v>140</v>
      </c>
      <c r="B1025" s="18"/>
    </row>
    <row r="1026" spans="1:8" ht="33.75" thickBot="1" x14ac:dyDescent="0.35">
      <c r="A1026" s="12" t="s">
        <v>141</v>
      </c>
      <c r="B1026" s="2" t="s">
        <v>142</v>
      </c>
    </row>
    <row r="1027" spans="1:8" ht="25.5" x14ac:dyDescent="0.3">
      <c r="A1027" s="13" t="s">
        <v>143</v>
      </c>
      <c r="B1027" s="2" t="s">
        <v>144</v>
      </c>
    </row>
    <row r="1028" spans="1:8" ht="17.25" thickBot="1" x14ac:dyDescent="0.35"/>
    <row r="1029" spans="1:8" ht="16.5" customHeight="1" x14ac:dyDescent="0.3">
      <c r="A1029" s="16" t="s">
        <v>238</v>
      </c>
      <c r="B1029" s="18"/>
      <c r="C1029" s="18"/>
      <c r="D1029" s="18"/>
      <c r="E1029" s="18"/>
      <c r="F1029" s="18"/>
    </row>
    <row r="1030" spans="1:8" ht="16.5" customHeight="1" x14ac:dyDescent="0.3">
      <c r="A1030" s="17" t="s">
        <v>239</v>
      </c>
      <c r="B1030" s="19" t="s">
        <v>94</v>
      </c>
      <c r="C1030" s="19" t="s">
        <v>240</v>
      </c>
      <c r="D1030" s="3" t="s">
        <v>241</v>
      </c>
      <c r="E1030" s="19" t="s">
        <v>243</v>
      </c>
      <c r="F1030" s="19"/>
    </row>
    <row r="1031" spans="1:8" x14ac:dyDescent="0.3">
      <c r="A1031" s="17"/>
      <c r="B1031" s="19"/>
      <c r="C1031" s="19"/>
      <c r="D1031" s="3" t="s">
        <v>242</v>
      </c>
      <c r="E1031" s="19"/>
      <c r="F1031" s="19"/>
    </row>
    <row r="1032" spans="1:8" x14ac:dyDescent="0.3">
      <c r="A1032" s="13" t="s">
        <v>116</v>
      </c>
      <c r="B1032" s="2">
        <v>23222</v>
      </c>
      <c r="C1032" s="2">
        <v>0.29750300000000002</v>
      </c>
      <c r="D1032" s="2">
        <v>2.7789999999999998E-3</v>
      </c>
      <c r="E1032" s="2">
        <v>0.29205375</v>
      </c>
      <c r="F1032" s="2">
        <v>0.30295137999999999</v>
      </c>
    </row>
    <row r="1036" spans="1:8" x14ac:dyDescent="0.3">
      <c r="A1036" s="1" t="s">
        <v>237</v>
      </c>
    </row>
    <row r="1038" spans="1:8" x14ac:dyDescent="0.3">
      <c r="A1038" s="1" t="s">
        <v>1</v>
      </c>
    </row>
    <row r="1039" spans="1:8" ht="17.25" thickBot="1" x14ac:dyDescent="0.35"/>
    <row r="1040" spans="1:8" ht="16.5" customHeight="1" x14ac:dyDescent="0.3">
      <c r="A1040" s="16" t="s">
        <v>260</v>
      </c>
      <c r="B1040" s="18"/>
      <c r="C1040" s="18"/>
      <c r="D1040" s="18"/>
      <c r="E1040" s="18"/>
      <c r="F1040" s="18"/>
      <c r="G1040" s="18"/>
      <c r="H1040" s="18"/>
    </row>
    <row r="1041" spans="1:8" ht="16.5" customHeight="1" x14ac:dyDescent="0.3">
      <c r="A1041" s="17" t="s">
        <v>249</v>
      </c>
      <c r="B1041" s="19" t="s">
        <v>15</v>
      </c>
      <c r="C1041" s="19" t="s">
        <v>239</v>
      </c>
      <c r="D1041" s="19" t="s">
        <v>94</v>
      </c>
      <c r="E1041" s="19" t="s">
        <v>240</v>
      </c>
      <c r="F1041" s="3" t="s">
        <v>241</v>
      </c>
      <c r="G1041" s="19" t="s">
        <v>243</v>
      </c>
      <c r="H1041" s="19"/>
    </row>
    <row r="1042" spans="1:8" x14ac:dyDescent="0.3">
      <c r="A1042" s="17"/>
      <c r="B1042" s="19"/>
      <c r="C1042" s="19"/>
      <c r="D1042" s="19"/>
      <c r="E1042" s="19"/>
      <c r="F1042" s="3" t="s">
        <v>242</v>
      </c>
      <c r="G1042" s="19"/>
      <c r="H1042" s="19"/>
    </row>
    <row r="1043" spans="1:8" ht="17.25" thickBot="1" x14ac:dyDescent="0.35">
      <c r="A1043" s="6">
        <v>1</v>
      </c>
      <c r="B1043" s="3">
        <v>0</v>
      </c>
      <c r="C1043" s="11" t="s">
        <v>116</v>
      </c>
      <c r="D1043" s="2">
        <v>2157</v>
      </c>
      <c r="E1043" s="2">
        <v>0.38524700000000001</v>
      </c>
      <c r="F1043" s="2">
        <v>7.5779999999999997E-3</v>
      </c>
      <c r="G1043" s="2">
        <v>0.37038757</v>
      </c>
      <c r="H1043" s="2">
        <v>0.40010664000000001</v>
      </c>
    </row>
    <row r="1044" spans="1:8" ht="17.25" thickBot="1" x14ac:dyDescent="0.35">
      <c r="A1044" s="6"/>
      <c r="B1044" s="3">
        <v>1</v>
      </c>
      <c r="C1044" s="11" t="s">
        <v>116</v>
      </c>
      <c r="D1044" s="2">
        <v>556</v>
      </c>
      <c r="E1044" s="2">
        <v>0.47188000000000002</v>
      </c>
      <c r="F1044" s="2">
        <v>1.7021999999999999E-2</v>
      </c>
      <c r="G1044" s="2">
        <v>0.43850282000000002</v>
      </c>
      <c r="H1044" s="2">
        <v>0.50525726000000004</v>
      </c>
    </row>
    <row r="1045" spans="1:8" ht="17.25" thickBot="1" x14ac:dyDescent="0.35">
      <c r="A1045" s="6"/>
      <c r="B1045" s="3">
        <v>8</v>
      </c>
      <c r="C1045" s="11" t="s">
        <v>116</v>
      </c>
      <c r="D1045" s="2">
        <v>1027</v>
      </c>
      <c r="E1045" s="2">
        <v>0.20573900000000001</v>
      </c>
      <c r="F1045" s="2">
        <v>1.1058E-2</v>
      </c>
      <c r="G1045" s="2">
        <v>0.18405672000000001</v>
      </c>
      <c r="H1045" s="2">
        <v>0.22742195000000001</v>
      </c>
    </row>
    <row r="1046" spans="1:8" ht="17.25" thickBot="1" x14ac:dyDescent="0.35">
      <c r="A1046" s="6">
        <v>2</v>
      </c>
      <c r="B1046" s="3">
        <v>0</v>
      </c>
      <c r="C1046" s="11" t="s">
        <v>116</v>
      </c>
      <c r="D1046" s="2">
        <v>2295</v>
      </c>
      <c r="E1046" s="2">
        <v>0.37495299999999998</v>
      </c>
      <c r="F1046" s="2">
        <v>8.5179999999999995E-3</v>
      </c>
      <c r="G1046" s="2">
        <v>0.35825037999999998</v>
      </c>
      <c r="H1046" s="2">
        <v>0.39165577000000001</v>
      </c>
    </row>
    <row r="1047" spans="1:8" ht="17.25" thickBot="1" x14ac:dyDescent="0.35">
      <c r="A1047" s="6"/>
      <c r="B1047" s="3">
        <v>1</v>
      </c>
      <c r="C1047" s="11" t="s">
        <v>116</v>
      </c>
      <c r="D1047" s="2">
        <v>237</v>
      </c>
      <c r="E1047" s="2">
        <v>0.47809600000000002</v>
      </c>
      <c r="F1047" s="2">
        <v>2.3990999999999998E-2</v>
      </c>
      <c r="G1047" s="2">
        <v>0.43105378</v>
      </c>
      <c r="H1047" s="2">
        <v>0.52513905000000005</v>
      </c>
    </row>
    <row r="1048" spans="1:8" ht="17.25" thickBot="1" x14ac:dyDescent="0.35">
      <c r="A1048" s="6"/>
      <c r="B1048" s="3">
        <v>8</v>
      </c>
      <c r="C1048" s="11" t="s">
        <v>116</v>
      </c>
      <c r="D1048" s="2">
        <v>2200</v>
      </c>
      <c r="E1048" s="2">
        <v>0.17413600000000001</v>
      </c>
      <c r="F1048" s="2">
        <v>7.9240000000000005E-3</v>
      </c>
      <c r="G1048" s="2">
        <v>0.15859933000000001</v>
      </c>
      <c r="H1048" s="2">
        <v>0.18967344999999999</v>
      </c>
    </row>
    <row r="1049" spans="1:8" ht="17.25" thickBot="1" x14ac:dyDescent="0.35">
      <c r="A1049" s="6">
        <v>3</v>
      </c>
      <c r="B1049" s="3">
        <v>0</v>
      </c>
      <c r="C1049" s="11" t="s">
        <v>116</v>
      </c>
      <c r="D1049" s="2">
        <v>2055</v>
      </c>
      <c r="E1049" s="2">
        <v>0.35505700000000001</v>
      </c>
      <c r="F1049" s="2">
        <v>8.7950000000000007E-3</v>
      </c>
      <c r="G1049" s="2">
        <v>0.33781211</v>
      </c>
      <c r="H1049" s="2">
        <v>0.37230263000000002</v>
      </c>
    </row>
    <row r="1050" spans="1:8" ht="17.25" thickBot="1" x14ac:dyDescent="0.35">
      <c r="A1050" s="6"/>
      <c r="B1050" s="3">
        <v>1</v>
      </c>
      <c r="C1050" s="11" t="s">
        <v>116</v>
      </c>
      <c r="D1050" s="2">
        <v>277</v>
      </c>
      <c r="E1050" s="2">
        <v>0.49874800000000002</v>
      </c>
      <c r="F1050" s="2">
        <v>2.6667E-2</v>
      </c>
      <c r="G1050" s="2">
        <v>0.44645913999999998</v>
      </c>
      <c r="H1050" s="2">
        <v>0.55103667000000001</v>
      </c>
    </row>
    <row r="1051" spans="1:8" ht="17.25" thickBot="1" x14ac:dyDescent="0.35">
      <c r="A1051" s="6"/>
      <c r="B1051" s="3">
        <v>8</v>
      </c>
      <c r="C1051" s="11" t="s">
        <v>116</v>
      </c>
      <c r="D1051" s="2">
        <v>1925</v>
      </c>
      <c r="E1051" s="2">
        <v>0.20760300000000001</v>
      </c>
      <c r="F1051" s="2">
        <v>8.0000000000000002E-3</v>
      </c>
      <c r="G1051" s="2">
        <v>0.19191738</v>
      </c>
      <c r="H1051" s="2">
        <v>0.22328893</v>
      </c>
    </row>
    <row r="1052" spans="1:8" ht="17.25" thickBot="1" x14ac:dyDescent="0.35">
      <c r="A1052" s="6">
        <v>4</v>
      </c>
      <c r="B1052" s="3">
        <v>0</v>
      </c>
      <c r="C1052" s="11" t="s">
        <v>116</v>
      </c>
      <c r="D1052" s="2">
        <v>2406</v>
      </c>
      <c r="E1052" s="2">
        <v>0.36589300000000002</v>
      </c>
      <c r="F1052" s="2">
        <v>7.3340000000000002E-3</v>
      </c>
      <c r="G1052" s="2">
        <v>0.35151267000000003</v>
      </c>
      <c r="H1052" s="2">
        <v>0.38027290000000002</v>
      </c>
    </row>
    <row r="1053" spans="1:8" ht="17.25" thickBot="1" x14ac:dyDescent="0.35">
      <c r="A1053" s="6"/>
      <c r="B1053" s="3">
        <v>1</v>
      </c>
      <c r="C1053" s="11" t="s">
        <v>116</v>
      </c>
      <c r="D1053" s="2">
        <v>305</v>
      </c>
      <c r="E1053" s="2">
        <v>0.52988199999999996</v>
      </c>
      <c r="F1053" s="2">
        <v>2.3997999999999998E-2</v>
      </c>
      <c r="G1053" s="2">
        <v>0.48282634000000002</v>
      </c>
      <c r="H1053" s="2">
        <v>0.57693711000000003</v>
      </c>
    </row>
    <row r="1054" spans="1:8" ht="17.25" thickBot="1" x14ac:dyDescent="0.35">
      <c r="A1054" s="6"/>
      <c r="B1054" s="3">
        <v>8</v>
      </c>
      <c r="C1054" s="11" t="s">
        <v>116</v>
      </c>
      <c r="D1054" s="2">
        <v>1845</v>
      </c>
      <c r="E1054" s="2">
        <v>0.19436</v>
      </c>
      <c r="F1054" s="2">
        <v>7.9369999999999996E-3</v>
      </c>
      <c r="G1054" s="2">
        <v>0.17879697</v>
      </c>
      <c r="H1054" s="2">
        <v>0.20992364999999999</v>
      </c>
    </row>
    <row r="1055" spans="1:8" ht="17.25" thickBot="1" x14ac:dyDescent="0.35">
      <c r="A1055" s="6">
        <v>5</v>
      </c>
      <c r="B1055" s="3">
        <v>0</v>
      </c>
      <c r="C1055" s="11" t="s">
        <v>116</v>
      </c>
      <c r="D1055" s="2">
        <v>2533</v>
      </c>
      <c r="E1055" s="2">
        <v>0.33415499999999998</v>
      </c>
      <c r="F1055" s="2">
        <v>7.8300000000000002E-3</v>
      </c>
      <c r="G1055" s="2">
        <v>0.31880309000000001</v>
      </c>
      <c r="H1055" s="2">
        <v>0.34950771000000003</v>
      </c>
    </row>
    <row r="1056" spans="1:8" ht="17.25" thickBot="1" x14ac:dyDescent="0.35">
      <c r="A1056" s="6"/>
      <c r="B1056" s="3">
        <v>1</v>
      </c>
      <c r="C1056" s="11" t="s">
        <v>116</v>
      </c>
      <c r="D1056" s="2">
        <v>316</v>
      </c>
      <c r="E1056" s="2">
        <v>0.48560700000000001</v>
      </c>
      <c r="F1056" s="2">
        <v>2.4083E-2</v>
      </c>
      <c r="G1056" s="2">
        <v>0.43838421</v>
      </c>
      <c r="H1056" s="2">
        <v>0.53283062000000003</v>
      </c>
    </row>
    <row r="1057" spans="1:8" ht="17.25" thickBot="1" x14ac:dyDescent="0.35">
      <c r="A1057" s="6"/>
      <c r="B1057" s="3">
        <v>8</v>
      </c>
      <c r="C1057" s="11" t="s">
        <v>116</v>
      </c>
      <c r="D1057" s="2">
        <v>1652</v>
      </c>
      <c r="E1057" s="2">
        <v>0.19749900000000001</v>
      </c>
      <c r="F1057" s="2">
        <v>8.7690000000000008E-3</v>
      </c>
      <c r="G1057" s="2">
        <v>0.18030482</v>
      </c>
      <c r="H1057" s="2">
        <v>0.21469352</v>
      </c>
    </row>
    <row r="1058" spans="1:8" ht="17.25" thickBot="1" x14ac:dyDescent="0.35">
      <c r="A1058" s="6">
        <v>6</v>
      </c>
      <c r="B1058" s="3">
        <v>0</v>
      </c>
      <c r="C1058" s="11" t="s">
        <v>116</v>
      </c>
      <c r="D1058" s="2">
        <v>804</v>
      </c>
      <c r="E1058" s="2">
        <v>0.28181099999999998</v>
      </c>
      <c r="F1058" s="2">
        <v>1.3162999999999999E-2</v>
      </c>
      <c r="G1058" s="2">
        <v>0.25600093000000002</v>
      </c>
      <c r="H1058" s="2">
        <v>0.30762024999999998</v>
      </c>
    </row>
    <row r="1059" spans="1:8" ht="17.25" thickBot="1" x14ac:dyDescent="0.35">
      <c r="A1059" s="6"/>
      <c r="B1059" s="3">
        <v>1</v>
      </c>
      <c r="C1059" s="11" t="s">
        <v>116</v>
      </c>
      <c r="D1059" s="2">
        <v>92</v>
      </c>
      <c r="E1059" s="2">
        <v>0.50111799999999995</v>
      </c>
      <c r="F1059" s="2">
        <v>3.5347000000000003E-2</v>
      </c>
      <c r="G1059" s="2">
        <v>0.43180803000000001</v>
      </c>
      <c r="H1059" s="2">
        <v>0.57042791999999998</v>
      </c>
    </row>
    <row r="1060" spans="1:8" x14ac:dyDescent="0.3">
      <c r="A1060" s="6"/>
      <c r="B1060" s="3">
        <v>8</v>
      </c>
      <c r="C1060" s="14" t="s">
        <v>116</v>
      </c>
      <c r="D1060" s="2">
        <v>540</v>
      </c>
      <c r="E1060" s="2">
        <v>0.16004599999999999</v>
      </c>
      <c r="F1060" s="2">
        <v>1.3887E-2</v>
      </c>
      <c r="G1060" s="2">
        <v>0.13281634</v>
      </c>
      <c r="H1060" s="2">
        <v>0.18727648999999999</v>
      </c>
    </row>
    <row r="1064" spans="1:8" x14ac:dyDescent="0.3">
      <c r="A1064" s="1" t="s">
        <v>237</v>
      </c>
    </row>
    <row r="1066" spans="1:8" x14ac:dyDescent="0.3">
      <c r="A1066" s="1" t="s">
        <v>21</v>
      </c>
    </row>
    <row r="1067" spans="1:8" ht="17.25" thickBot="1" x14ac:dyDescent="0.35"/>
    <row r="1068" spans="1:8" ht="16.5" customHeight="1" x14ac:dyDescent="0.3">
      <c r="A1068" s="16" t="s">
        <v>135</v>
      </c>
      <c r="B1068" s="18"/>
    </row>
    <row r="1069" spans="1:8" ht="26.25" thickBot="1" x14ac:dyDescent="0.35">
      <c r="A1069" s="12" t="s">
        <v>136</v>
      </c>
      <c r="B1069" s="2">
        <v>183</v>
      </c>
    </row>
    <row r="1070" spans="1:8" ht="26.25" thickBot="1" x14ac:dyDescent="0.35">
      <c r="A1070" s="12" t="s">
        <v>137</v>
      </c>
      <c r="B1070" s="2">
        <v>2982</v>
      </c>
    </row>
    <row r="1071" spans="1:8" ht="39" thickBot="1" x14ac:dyDescent="0.35">
      <c r="A1071" s="12" t="s">
        <v>138</v>
      </c>
      <c r="B1071" s="2">
        <v>68635</v>
      </c>
    </row>
    <row r="1072" spans="1:8" ht="25.5" x14ac:dyDescent="0.3">
      <c r="A1072" s="13" t="s">
        <v>139</v>
      </c>
      <c r="B1072" s="2">
        <v>30251935.699999999</v>
      </c>
    </row>
    <row r="1073" spans="1:6" ht="17.25" thickBot="1" x14ac:dyDescent="0.35"/>
    <row r="1074" spans="1:6" ht="33" customHeight="1" x14ac:dyDescent="0.3">
      <c r="A1074" s="16" t="s">
        <v>140</v>
      </c>
      <c r="B1074" s="18"/>
    </row>
    <row r="1075" spans="1:6" ht="33.75" thickBot="1" x14ac:dyDescent="0.35">
      <c r="A1075" s="12" t="s">
        <v>141</v>
      </c>
      <c r="B1075" s="2" t="s">
        <v>142</v>
      </c>
    </row>
    <row r="1076" spans="1:6" ht="25.5" x14ac:dyDescent="0.3">
      <c r="A1076" s="13" t="s">
        <v>143</v>
      </c>
      <c r="B1076" s="2" t="s">
        <v>144</v>
      </c>
    </row>
    <row r="1077" spans="1:6" ht="17.25" thickBot="1" x14ac:dyDescent="0.35"/>
    <row r="1078" spans="1:6" ht="16.5" customHeight="1" x14ac:dyDescent="0.3">
      <c r="A1078" s="16" t="s">
        <v>238</v>
      </c>
      <c r="B1078" s="18"/>
      <c r="C1078" s="18"/>
      <c r="D1078" s="18"/>
      <c r="E1078" s="18"/>
      <c r="F1078" s="18"/>
    </row>
    <row r="1079" spans="1:6" ht="16.5" customHeight="1" x14ac:dyDescent="0.3">
      <c r="A1079" s="17" t="s">
        <v>239</v>
      </c>
      <c r="B1079" s="19" t="s">
        <v>94</v>
      </c>
      <c r="C1079" s="19" t="s">
        <v>240</v>
      </c>
      <c r="D1079" s="3" t="s">
        <v>241</v>
      </c>
      <c r="E1079" s="19" t="s">
        <v>243</v>
      </c>
      <c r="F1079" s="19"/>
    </row>
    <row r="1080" spans="1:6" x14ac:dyDescent="0.3">
      <c r="A1080" s="17"/>
      <c r="B1080" s="19"/>
      <c r="C1080" s="19"/>
      <c r="D1080" s="3" t="s">
        <v>242</v>
      </c>
      <c r="E1080" s="19"/>
      <c r="F1080" s="19"/>
    </row>
    <row r="1081" spans="1:6" x14ac:dyDescent="0.3">
      <c r="A1081" s="13" t="s">
        <v>116</v>
      </c>
      <c r="B1081" s="2">
        <v>68635</v>
      </c>
      <c r="C1081" s="2">
        <v>0.34523599999999999</v>
      </c>
      <c r="D1081" s="2">
        <v>1.6490000000000001E-3</v>
      </c>
      <c r="E1081" s="2">
        <v>0.34200205</v>
      </c>
      <c r="F1081" s="2">
        <v>0.34847033999999999</v>
      </c>
    </row>
    <row r="1085" spans="1:6" x14ac:dyDescent="0.3">
      <c r="A1085" s="1" t="s">
        <v>237</v>
      </c>
    </row>
    <row r="1087" spans="1:6" x14ac:dyDescent="0.3">
      <c r="A1087" s="1" t="s">
        <v>21</v>
      </c>
    </row>
    <row r="1088" spans="1:6" ht="17.25" thickBot="1" x14ac:dyDescent="0.35"/>
    <row r="1089" spans="1:15" ht="16.5" customHeight="1" x14ac:dyDescent="0.3">
      <c r="A1089" s="16" t="s">
        <v>260</v>
      </c>
      <c r="B1089" s="18"/>
      <c r="C1089" s="18"/>
      <c r="D1089" s="18"/>
      <c r="E1089" s="18"/>
      <c r="F1089" s="18"/>
      <c r="G1089" s="18"/>
      <c r="H1089" s="18"/>
    </row>
    <row r="1090" spans="1:15" ht="16.5" customHeight="1" x14ac:dyDescent="0.3">
      <c r="A1090" s="17" t="s">
        <v>249</v>
      </c>
      <c r="B1090" s="19" t="s">
        <v>15</v>
      </c>
      <c r="C1090" s="19" t="s">
        <v>239</v>
      </c>
      <c r="D1090" s="19" t="s">
        <v>94</v>
      </c>
      <c r="E1090" s="19" t="s">
        <v>240</v>
      </c>
      <c r="F1090" s="3" t="s">
        <v>241</v>
      </c>
      <c r="G1090" s="19" t="s">
        <v>243</v>
      </c>
      <c r="H1090" s="19"/>
    </row>
    <row r="1091" spans="1:15" x14ac:dyDescent="0.3">
      <c r="A1091" s="17"/>
      <c r="B1091" s="19"/>
      <c r="C1091" s="19"/>
      <c r="D1091" s="19"/>
      <c r="E1091" s="19"/>
      <c r="F1091" s="3" t="s">
        <v>242</v>
      </c>
      <c r="G1091" s="19"/>
      <c r="H1091" s="19"/>
    </row>
    <row r="1092" spans="1:15" ht="17.25" thickBot="1" x14ac:dyDescent="0.35">
      <c r="A1092" s="6">
        <v>1</v>
      </c>
      <c r="B1092" s="3">
        <v>0</v>
      </c>
      <c r="C1092" s="11" t="s">
        <v>116</v>
      </c>
      <c r="D1092" s="2">
        <v>6591</v>
      </c>
      <c r="E1092" s="2">
        <v>0.28193699999999999</v>
      </c>
      <c r="F1092" s="2">
        <v>4.7879999999999997E-3</v>
      </c>
      <c r="G1092" s="2">
        <v>0.27254792</v>
      </c>
      <c r="H1092" s="2">
        <v>0.29132541000000001</v>
      </c>
      <c r="J1092" t="str">
        <f t="shared" ref="J1092:J1103" si="45">TEXT(E1092,"0.00")&amp;" ("&amp;TEXT(G1092,"0.00")&amp;" to "&amp;TEXT(H1092,"0.00")&amp;")"</f>
        <v>0.28 (0.27 to 0.29)</v>
      </c>
      <c r="K1092" t="str">
        <f>J1094</f>
        <v>0.31 (0.31 to 0.32)</v>
      </c>
      <c r="L1092" t="str">
        <f>J1096</f>
        <v>0.30 (0.30 to 0.31)</v>
      </c>
      <c r="M1092" t="str">
        <f>J1098</f>
        <v>0.31 (0.30 to 0.32)</v>
      </c>
      <c r="N1092" t="str">
        <f>J1100</f>
        <v>0.30 (0.29 to 0.30)</v>
      </c>
      <c r="O1092" t="str">
        <f>J1102</f>
        <v>0.26 (0.25 to 0.27)</v>
      </c>
    </row>
    <row r="1093" spans="1:15" ht="17.25" thickBot="1" x14ac:dyDescent="0.35">
      <c r="A1093" s="6"/>
      <c r="B1093" s="3">
        <v>1</v>
      </c>
      <c r="C1093" s="11" t="s">
        <v>116</v>
      </c>
      <c r="D1093" s="2">
        <v>5324</v>
      </c>
      <c r="E1093" s="2">
        <v>0.456484</v>
      </c>
      <c r="F1093" s="2">
        <v>5.0299999999999997E-3</v>
      </c>
      <c r="G1093" s="2">
        <v>0.44662075000000001</v>
      </c>
      <c r="H1093" s="2">
        <v>0.46634689000000001</v>
      </c>
      <c r="J1093" t="str">
        <f t="shared" si="45"/>
        <v>0.46 (0.45 to 0.47)</v>
      </c>
      <c r="K1093" t="str">
        <f>J1095</f>
        <v>0.46 (0.45 to 0.48)</v>
      </c>
      <c r="L1093" t="str">
        <f>J1097</f>
        <v>0.49 (0.47 to 0.50)</v>
      </c>
      <c r="M1093" t="str">
        <f>J1099</f>
        <v>0.49 (0.48 to 0.51)</v>
      </c>
      <c r="N1093" t="str">
        <f>J1101</f>
        <v>0.45 (0.44 to 0.47)</v>
      </c>
      <c r="O1093" t="str">
        <f>J1103</f>
        <v>0.44 (0.40 to 0.47)</v>
      </c>
    </row>
    <row r="1094" spans="1:15" ht="17.25" thickBot="1" x14ac:dyDescent="0.35">
      <c r="A1094" s="6">
        <v>2</v>
      </c>
      <c r="B1094" s="3">
        <v>0</v>
      </c>
      <c r="C1094" s="11" t="s">
        <v>116</v>
      </c>
      <c r="D1094" s="2">
        <v>10072</v>
      </c>
      <c r="E1094" s="2">
        <v>0.31334000000000001</v>
      </c>
      <c r="F1094" s="2">
        <v>3.9020000000000001E-3</v>
      </c>
      <c r="G1094" s="2">
        <v>0.30568844000000001</v>
      </c>
      <c r="H1094" s="2">
        <v>0.32099193999999998</v>
      </c>
      <c r="J1094" t="str">
        <f t="shared" si="45"/>
        <v>0.31 (0.31 to 0.32)</v>
      </c>
    </row>
    <row r="1095" spans="1:15" ht="17.25" thickBot="1" x14ac:dyDescent="0.35">
      <c r="A1095" s="6"/>
      <c r="B1095" s="3">
        <v>1</v>
      </c>
      <c r="C1095" s="11" t="s">
        <v>116</v>
      </c>
      <c r="D1095" s="2">
        <v>3044</v>
      </c>
      <c r="E1095" s="2">
        <v>0.46228999999999998</v>
      </c>
      <c r="F1095" s="2">
        <v>7.1770000000000002E-3</v>
      </c>
      <c r="G1095" s="2">
        <v>0.44821727</v>
      </c>
      <c r="H1095" s="2">
        <v>0.47636296</v>
      </c>
      <c r="J1095" t="str">
        <f t="shared" si="45"/>
        <v>0.46 (0.45 to 0.48)</v>
      </c>
    </row>
    <row r="1096" spans="1:15" ht="17.25" thickBot="1" x14ac:dyDescent="0.35">
      <c r="A1096" s="6">
        <v>3</v>
      </c>
      <c r="B1096" s="3">
        <v>0</v>
      </c>
      <c r="C1096" s="11" t="s">
        <v>116</v>
      </c>
      <c r="D1096" s="2">
        <v>9105</v>
      </c>
      <c r="E1096" s="2">
        <v>0.30327100000000001</v>
      </c>
      <c r="F1096" s="2">
        <v>4.1840000000000002E-3</v>
      </c>
      <c r="G1096" s="2">
        <v>0.29506660000000001</v>
      </c>
      <c r="H1096" s="2">
        <v>0.31147482999999998</v>
      </c>
      <c r="J1096" t="str">
        <f t="shared" si="45"/>
        <v>0.30 (0.30 to 0.31)</v>
      </c>
    </row>
    <row r="1097" spans="1:15" ht="17.25" thickBot="1" x14ac:dyDescent="0.35">
      <c r="A1097" s="6"/>
      <c r="B1097" s="3">
        <v>1</v>
      </c>
      <c r="C1097" s="11" t="s">
        <v>116</v>
      </c>
      <c r="D1097" s="2">
        <v>2370</v>
      </c>
      <c r="E1097" s="2">
        <v>0.48768600000000001</v>
      </c>
      <c r="F1097" s="2">
        <v>7.8259999999999996E-3</v>
      </c>
      <c r="G1097" s="2">
        <v>0.47234014000000002</v>
      </c>
      <c r="H1097" s="2">
        <v>0.50303145999999999</v>
      </c>
      <c r="J1097" t="str">
        <f t="shared" si="45"/>
        <v>0.49 (0.47 to 0.50)</v>
      </c>
    </row>
    <row r="1098" spans="1:15" ht="17.25" thickBot="1" x14ac:dyDescent="0.35">
      <c r="A1098" s="6">
        <v>4</v>
      </c>
      <c r="B1098" s="3">
        <v>0</v>
      </c>
      <c r="C1098" s="11" t="s">
        <v>116</v>
      </c>
      <c r="D1098" s="2">
        <v>11360</v>
      </c>
      <c r="E1098" s="2">
        <v>0.31151499999999999</v>
      </c>
      <c r="F1098" s="2">
        <v>3.9490000000000003E-3</v>
      </c>
      <c r="G1098" s="2">
        <v>0.30377063999999998</v>
      </c>
      <c r="H1098" s="2">
        <v>0.31925879000000001</v>
      </c>
      <c r="J1098" t="str">
        <f t="shared" si="45"/>
        <v>0.31 (0.30 to 0.32)</v>
      </c>
    </row>
    <row r="1099" spans="1:15" ht="17.25" thickBot="1" x14ac:dyDescent="0.35">
      <c r="A1099" s="6"/>
      <c r="B1099" s="3">
        <v>1</v>
      </c>
      <c r="C1099" s="11" t="s">
        <v>116</v>
      </c>
      <c r="D1099" s="2">
        <v>2798</v>
      </c>
      <c r="E1099" s="2">
        <v>0.49210100000000001</v>
      </c>
      <c r="F1099" s="2">
        <v>7.293E-3</v>
      </c>
      <c r="G1099" s="2">
        <v>0.47780067999999998</v>
      </c>
      <c r="H1099" s="2">
        <v>0.50640202999999995</v>
      </c>
      <c r="J1099" t="str">
        <f t="shared" si="45"/>
        <v>0.49 (0.48 to 0.51)</v>
      </c>
    </row>
    <row r="1100" spans="1:15" ht="17.25" thickBot="1" x14ac:dyDescent="0.35">
      <c r="A1100" s="6">
        <v>5</v>
      </c>
      <c r="B1100" s="3">
        <v>0</v>
      </c>
      <c r="C1100" s="11" t="s">
        <v>116</v>
      </c>
      <c r="D1100" s="2">
        <v>11154</v>
      </c>
      <c r="E1100" s="2">
        <v>0.29699399999999998</v>
      </c>
      <c r="F1100" s="2">
        <v>4.0800000000000003E-3</v>
      </c>
      <c r="G1100" s="2">
        <v>0.28899364999999999</v>
      </c>
      <c r="H1100" s="2">
        <v>0.30499516999999998</v>
      </c>
      <c r="J1100" t="str">
        <f t="shared" si="45"/>
        <v>0.30 (0.29 to 0.30)</v>
      </c>
    </row>
    <row r="1101" spans="1:15" ht="17.25" thickBot="1" x14ac:dyDescent="0.35">
      <c r="A1101" s="6"/>
      <c r="B1101" s="3">
        <v>1</v>
      </c>
      <c r="C1101" s="11" t="s">
        <v>116</v>
      </c>
      <c r="D1101" s="2">
        <v>2401</v>
      </c>
      <c r="E1101" s="2">
        <v>0.452961</v>
      </c>
      <c r="F1101" s="2">
        <v>7.9749999999999995E-3</v>
      </c>
      <c r="G1101" s="2">
        <v>0.43732473999999999</v>
      </c>
      <c r="H1101" s="2">
        <v>0.46859810000000002</v>
      </c>
      <c r="J1101" t="str">
        <f t="shared" si="45"/>
        <v>0.45 (0.44 to 0.47)</v>
      </c>
    </row>
    <row r="1102" spans="1:15" ht="17.25" thickBot="1" x14ac:dyDescent="0.35">
      <c r="A1102" s="6">
        <v>6</v>
      </c>
      <c r="B1102" s="3">
        <v>0</v>
      </c>
      <c r="C1102" s="11" t="s">
        <v>116</v>
      </c>
      <c r="D1102" s="2">
        <v>3782</v>
      </c>
      <c r="E1102" s="2">
        <v>0.26235000000000003</v>
      </c>
      <c r="F1102" s="2">
        <v>6.4320000000000002E-3</v>
      </c>
      <c r="G1102" s="2">
        <v>0.24973861</v>
      </c>
      <c r="H1102" s="2">
        <v>0.27496146999999999</v>
      </c>
      <c r="J1102" t="str">
        <f t="shared" si="45"/>
        <v>0.26 (0.25 to 0.27)</v>
      </c>
    </row>
    <row r="1103" spans="1:15" x14ac:dyDescent="0.3">
      <c r="A1103" s="6"/>
      <c r="B1103" s="3">
        <v>1</v>
      </c>
      <c r="C1103" s="14" t="s">
        <v>116</v>
      </c>
      <c r="D1103" s="2">
        <v>634</v>
      </c>
      <c r="E1103" s="2">
        <v>0.43624200000000002</v>
      </c>
      <c r="F1103" s="2">
        <v>1.5942999999999999E-2</v>
      </c>
      <c r="G1103" s="2">
        <v>0.40498146000000002</v>
      </c>
      <c r="H1103" s="2">
        <v>0.46750229999999998</v>
      </c>
      <c r="J1103" t="str">
        <f t="shared" si="45"/>
        <v>0.44 (0.40 to 0.47)</v>
      </c>
    </row>
    <row r="1107" spans="1:2" x14ac:dyDescent="0.3">
      <c r="A1107" s="1" t="s">
        <v>237</v>
      </c>
    </row>
    <row r="1109" spans="1:2" x14ac:dyDescent="0.3">
      <c r="A1109" s="1" t="s">
        <v>1</v>
      </c>
    </row>
    <row r="1110" spans="1:2" ht="17.25" thickBot="1" x14ac:dyDescent="0.35"/>
    <row r="1111" spans="1:2" ht="16.5" customHeight="1" x14ac:dyDescent="0.3">
      <c r="A1111" s="16" t="s">
        <v>135</v>
      </c>
      <c r="B1111" s="18"/>
    </row>
    <row r="1112" spans="1:2" ht="26.25" thickBot="1" x14ac:dyDescent="0.35">
      <c r="A1112" s="12" t="s">
        <v>136</v>
      </c>
      <c r="B1112" s="2">
        <v>183</v>
      </c>
    </row>
    <row r="1113" spans="1:2" ht="26.25" thickBot="1" x14ac:dyDescent="0.35">
      <c r="A1113" s="12" t="s">
        <v>137</v>
      </c>
      <c r="B1113" s="2">
        <v>2949</v>
      </c>
    </row>
    <row r="1114" spans="1:2" ht="39" thickBot="1" x14ac:dyDescent="0.35">
      <c r="A1114" s="12" t="s">
        <v>138</v>
      </c>
      <c r="B1114" s="2">
        <v>23222</v>
      </c>
    </row>
    <row r="1115" spans="1:2" ht="25.5" x14ac:dyDescent="0.3">
      <c r="A1115" s="13" t="s">
        <v>139</v>
      </c>
      <c r="B1115" s="2">
        <v>9036880.5199999996</v>
      </c>
    </row>
    <row r="1116" spans="1:2" ht="17.25" thickBot="1" x14ac:dyDescent="0.35"/>
    <row r="1117" spans="1:2" ht="33" customHeight="1" x14ac:dyDescent="0.3">
      <c r="A1117" s="16" t="s">
        <v>140</v>
      </c>
      <c r="B1117" s="18"/>
    </row>
    <row r="1118" spans="1:2" ht="33.75" thickBot="1" x14ac:dyDescent="0.35">
      <c r="A1118" s="12" t="s">
        <v>141</v>
      </c>
      <c r="B1118" s="2" t="s">
        <v>142</v>
      </c>
    </row>
    <row r="1119" spans="1:2" ht="25.5" x14ac:dyDescent="0.3">
      <c r="A1119" s="13" t="s">
        <v>143</v>
      </c>
      <c r="B1119" s="2" t="s">
        <v>144</v>
      </c>
    </row>
    <row r="1120" spans="1:2" ht="17.25" thickBot="1" x14ac:dyDescent="0.35"/>
    <row r="1121" spans="1:8" ht="16.5" customHeight="1" x14ac:dyDescent="0.3">
      <c r="A1121" s="16" t="s">
        <v>238</v>
      </c>
      <c r="B1121" s="18"/>
      <c r="C1121" s="18"/>
      <c r="D1121" s="18"/>
      <c r="E1121" s="18"/>
      <c r="F1121" s="18"/>
    </row>
    <row r="1122" spans="1:8" ht="16.5" customHeight="1" x14ac:dyDescent="0.3">
      <c r="A1122" s="17" t="s">
        <v>239</v>
      </c>
      <c r="B1122" s="19" t="s">
        <v>94</v>
      </c>
      <c r="C1122" s="19" t="s">
        <v>240</v>
      </c>
      <c r="D1122" s="3" t="s">
        <v>241</v>
      </c>
      <c r="E1122" s="19" t="s">
        <v>243</v>
      </c>
      <c r="F1122" s="19"/>
    </row>
    <row r="1123" spans="1:8" x14ac:dyDescent="0.3">
      <c r="A1123" s="17"/>
      <c r="B1123" s="19"/>
      <c r="C1123" s="19"/>
      <c r="D1123" s="3" t="s">
        <v>242</v>
      </c>
      <c r="E1123" s="19"/>
      <c r="F1123" s="19"/>
    </row>
    <row r="1124" spans="1:8" x14ac:dyDescent="0.3">
      <c r="A1124" s="13" t="s">
        <v>116</v>
      </c>
      <c r="B1124" s="2">
        <v>23222</v>
      </c>
      <c r="C1124" s="2">
        <v>0.29750300000000002</v>
      </c>
      <c r="D1124" s="2">
        <v>2.7789999999999998E-3</v>
      </c>
      <c r="E1124" s="2">
        <v>0.29205375</v>
      </c>
      <c r="F1124" s="2">
        <v>0.30295137999999999</v>
      </c>
    </row>
    <row r="1128" spans="1:8" x14ac:dyDescent="0.3">
      <c r="A1128" s="1" t="s">
        <v>237</v>
      </c>
    </row>
    <row r="1130" spans="1:8" x14ac:dyDescent="0.3">
      <c r="A1130" s="1" t="s">
        <v>1</v>
      </c>
    </row>
    <row r="1131" spans="1:8" ht="17.25" thickBot="1" x14ac:dyDescent="0.35"/>
    <row r="1132" spans="1:8" ht="16.5" customHeight="1" x14ac:dyDescent="0.3">
      <c r="A1132" s="16" t="s">
        <v>261</v>
      </c>
      <c r="B1132" s="18"/>
      <c r="C1132" s="18"/>
      <c r="D1132" s="18"/>
      <c r="E1132" s="18"/>
      <c r="F1132" s="18"/>
      <c r="G1132" s="18"/>
      <c r="H1132" s="18"/>
    </row>
    <row r="1133" spans="1:8" ht="16.5" customHeight="1" x14ac:dyDescent="0.3">
      <c r="A1133" s="17" t="s">
        <v>249</v>
      </c>
      <c r="B1133" s="19" t="s">
        <v>16</v>
      </c>
      <c r="C1133" s="19" t="s">
        <v>239</v>
      </c>
      <c r="D1133" s="19" t="s">
        <v>94</v>
      </c>
      <c r="E1133" s="19" t="s">
        <v>240</v>
      </c>
      <c r="F1133" s="3" t="s">
        <v>241</v>
      </c>
      <c r="G1133" s="19" t="s">
        <v>243</v>
      </c>
      <c r="H1133" s="19"/>
    </row>
    <row r="1134" spans="1:8" x14ac:dyDescent="0.3">
      <c r="A1134" s="17"/>
      <c r="B1134" s="19"/>
      <c r="C1134" s="19"/>
      <c r="D1134" s="19"/>
      <c r="E1134" s="19"/>
      <c r="F1134" s="3" t="s">
        <v>242</v>
      </c>
      <c r="G1134" s="19"/>
      <c r="H1134" s="19"/>
    </row>
    <row r="1135" spans="1:8" ht="17.25" thickBot="1" x14ac:dyDescent="0.35">
      <c r="A1135" s="6">
        <v>1</v>
      </c>
      <c r="B1135" s="3">
        <v>0</v>
      </c>
      <c r="C1135" s="11" t="s">
        <v>116</v>
      </c>
      <c r="D1135" s="2">
        <v>2942</v>
      </c>
      <c r="E1135" s="2">
        <v>0.31890299999999999</v>
      </c>
      <c r="F1135" s="2">
        <v>7.9369999999999996E-3</v>
      </c>
      <c r="G1135" s="2">
        <v>0.30334100000000003</v>
      </c>
      <c r="H1135" s="2">
        <v>0.33446579999999998</v>
      </c>
    </row>
    <row r="1136" spans="1:8" ht="17.25" thickBot="1" x14ac:dyDescent="0.35">
      <c r="A1136" s="6"/>
      <c r="B1136" s="3">
        <v>1</v>
      </c>
      <c r="C1136" s="11" t="s">
        <v>116</v>
      </c>
      <c r="D1136" s="2">
        <v>798</v>
      </c>
      <c r="E1136" s="2">
        <v>0.50637900000000002</v>
      </c>
      <c r="F1136" s="2">
        <v>1.2602E-2</v>
      </c>
      <c r="G1136" s="2">
        <v>0.48166890000000001</v>
      </c>
      <c r="H1136" s="2">
        <v>0.53108849999999996</v>
      </c>
    </row>
    <row r="1137" spans="1:8" ht="17.25" thickBot="1" x14ac:dyDescent="0.35">
      <c r="A1137" s="6">
        <v>2</v>
      </c>
      <c r="B1137" s="3">
        <v>0</v>
      </c>
      <c r="C1137" s="11" t="s">
        <v>116</v>
      </c>
      <c r="D1137" s="2">
        <v>3761</v>
      </c>
      <c r="E1137" s="2">
        <v>0.245425</v>
      </c>
      <c r="F1137" s="2">
        <v>6.3379999999999999E-3</v>
      </c>
      <c r="G1137" s="2">
        <v>0.2329978</v>
      </c>
      <c r="H1137" s="2">
        <v>0.25785170000000002</v>
      </c>
    </row>
    <row r="1138" spans="1:8" ht="17.25" thickBot="1" x14ac:dyDescent="0.35">
      <c r="A1138" s="6"/>
      <c r="B1138" s="3">
        <v>1</v>
      </c>
      <c r="C1138" s="11" t="s">
        <v>116</v>
      </c>
      <c r="D1138" s="2">
        <v>883</v>
      </c>
      <c r="E1138" s="2">
        <v>0.469032</v>
      </c>
      <c r="F1138" s="2">
        <v>1.367E-2</v>
      </c>
      <c r="G1138" s="2">
        <v>0.4422276</v>
      </c>
      <c r="H1138" s="2">
        <v>0.49583709999999998</v>
      </c>
    </row>
    <row r="1139" spans="1:8" ht="17.25" thickBot="1" x14ac:dyDescent="0.35">
      <c r="A1139" s="6"/>
      <c r="B1139" s="3">
        <v>8</v>
      </c>
      <c r="C1139" s="11" t="s">
        <v>116</v>
      </c>
      <c r="D1139" s="2">
        <v>88</v>
      </c>
      <c r="E1139" s="2">
        <v>0.28682000000000002</v>
      </c>
      <c r="F1139" s="2">
        <v>3.1659E-2</v>
      </c>
      <c r="G1139" s="2">
        <v>0.22474330000000001</v>
      </c>
      <c r="H1139" s="2">
        <v>0.34889750000000003</v>
      </c>
    </row>
    <row r="1140" spans="1:8" ht="17.25" thickBot="1" x14ac:dyDescent="0.35">
      <c r="A1140" s="6">
        <v>3</v>
      </c>
      <c r="B1140" s="3">
        <v>0</v>
      </c>
      <c r="C1140" s="11" t="s">
        <v>116</v>
      </c>
      <c r="D1140" s="2">
        <v>2989</v>
      </c>
      <c r="E1140" s="2">
        <v>0.25505</v>
      </c>
      <c r="F1140" s="2">
        <v>7.221E-3</v>
      </c>
      <c r="G1140" s="2">
        <v>0.2408904</v>
      </c>
      <c r="H1140" s="2">
        <v>0.26921050000000002</v>
      </c>
    </row>
    <row r="1141" spans="1:8" ht="17.25" thickBot="1" x14ac:dyDescent="0.35">
      <c r="A1141" s="6"/>
      <c r="B1141" s="3">
        <v>1</v>
      </c>
      <c r="C1141" s="11" t="s">
        <v>116</v>
      </c>
      <c r="D1141" s="2">
        <v>749</v>
      </c>
      <c r="E1141" s="2">
        <v>0.43656</v>
      </c>
      <c r="F1141" s="2">
        <v>1.2437E-2</v>
      </c>
      <c r="G1141" s="2">
        <v>0.41217409999999999</v>
      </c>
      <c r="H1141" s="2">
        <v>0.46094610000000003</v>
      </c>
    </row>
    <row r="1142" spans="1:8" ht="17.25" thickBot="1" x14ac:dyDescent="0.35">
      <c r="A1142" s="6"/>
      <c r="B1142" s="3">
        <v>8</v>
      </c>
      <c r="C1142" s="11" t="s">
        <v>116</v>
      </c>
      <c r="D1142" s="2">
        <v>519</v>
      </c>
      <c r="E1142" s="2">
        <v>0.37702200000000002</v>
      </c>
      <c r="F1142" s="2">
        <v>1.9776999999999999E-2</v>
      </c>
      <c r="G1142" s="2">
        <v>0.33824280000000001</v>
      </c>
      <c r="H1142" s="2">
        <v>0.4158017</v>
      </c>
    </row>
    <row r="1143" spans="1:8" ht="17.25" thickBot="1" x14ac:dyDescent="0.35">
      <c r="A1143" s="6">
        <v>4</v>
      </c>
      <c r="B1143" s="3">
        <v>0</v>
      </c>
      <c r="C1143" s="11" t="s">
        <v>116</v>
      </c>
      <c r="D1143" s="2">
        <v>3587</v>
      </c>
      <c r="E1143" s="2">
        <v>0.27733000000000002</v>
      </c>
      <c r="F1143" s="2">
        <v>6.9569999999999996E-3</v>
      </c>
      <c r="G1143" s="2">
        <v>0.26368799999999998</v>
      </c>
      <c r="H1143" s="2">
        <v>0.29097260000000003</v>
      </c>
    </row>
    <row r="1144" spans="1:8" ht="17.25" thickBot="1" x14ac:dyDescent="0.35">
      <c r="A1144" s="6"/>
      <c r="B1144" s="3">
        <v>1</v>
      </c>
      <c r="C1144" s="11" t="s">
        <v>116</v>
      </c>
      <c r="D1144" s="2">
        <v>968</v>
      </c>
      <c r="E1144" s="2">
        <v>0.44993699999999998</v>
      </c>
      <c r="F1144" s="2">
        <v>1.2147E-2</v>
      </c>
      <c r="G1144" s="2">
        <v>0.42611909999999997</v>
      </c>
      <c r="H1144" s="2">
        <v>0.47375469999999997</v>
      </c>
    </row>
    <row r="1145" spans="1:8" ht="17.25" thickBot="1" x14ac:dyDescent="0.35">
      <c r="A1145" s="6"/>
      <c r="B1145" s="3">
        <v>8</v>
      </c>
      <c r="C1145" s="11" t="s">
        <v>116</v>
      </c>
      <c r="D1145" s="2">
        <v>1</v>
      </c>
      <c r="E1145" s="15">
        <v>-7.424E-3</v>
      </c>
      <c r="F1145" s="2">
        <v>0</v>
      </c>
      <c r="G1145" s="15">
        <v>-7.424E-3</v>
      </c>
      <c r="H1145" s="15">
        <v>-7.424E-3</v>
      </c>
    </row>
    <row r="1146" spans="1:8" ht="17.25" thickBot="1" x14ac:dyDescent="0.35">
      <c r="A1146" s="6">
        <v>5</v>
      </c>
      <c r="B1146" s="3">
        <v>0</v>
      </c>
      <c r="C1146" s="11" t="s">
        <v>116</v>
      </c>
      <c r="D1146" s="2">
        <v>3322</v>
      </c>
      <c r="E1146" s="2">
        <v>0.263347</v>
      </c>
      <c r="F1146" s="2">
        <v>7.097E-3</v>
      </c>
      <c r="G1146" s="2">
        <v>0.24943129999999999</v>
      </c>
      <c r="H1146" s="2">
        <v>0.27726269999999997</v>
      </c>
    </row>
    <row r="1147" spans="1:8" ht="17.25" thickBot="1" x14ac:dyDescent="0.35">
      <c r="A1147" s="6"/>
      <c r="B1147" s="3">
        <v>1</v>
      </c>
      <c r="C1147" s="11" t="s">
        <v>116</v>
      </c>
      <c r="D1147" s="2">
        <v>1179</v>
      </c>
      <c r="E1147" s="2">
        <v>0.40392600000000001</v>
      </c>
      <c r="F1147" s="2">
        <v>1.0630000000000001E-2</v>
      </c>
      <c r="G1147" s="2">
        <v>0.38308219999999998</v>
      </c>
      <c r="H1147" s="2">
        <v>0.42476920000000001</v>
      </c>
    </row>
    <row r="1148" spans="1:8" ht="17.25" thickBot="1" x14ac:dyDescent="0.35">
      <c r="A1148" s="6">
        <v>6</v>
      </c>
      <c r="B1148" s="3">
        <v>0</v>
      </c>
      <c r="C1148" s="11" t="s">
        <v>116</v>
      </c>
      <c r="D1148" s="2">
        <v>1084</v>
      </c>
      <c r="E1148" s="2">
        <v>0.227464</v>
      </c>
      <c r="F1148" s="2">
        <v>1.0243E-2</v>
      </c>
      <c r="G1148" s="2">
        <v>0.2073798</v>
      </c>
      <c r="H1148" s="2">
        <v>0.24754789999999999</v>
      </c>
    </row>
    <row r="1149" spans="1:8" x14ac:dyDescent="0.3">
      <c r="A1149" s="6"/>
      <c r="B1149" s="3">
        <v>1</v>
      </c>
      <c r="C1149" s="14" t="s">
        <v>116</v>
      </c>
      <c r="D1149" s="2">
        <v>352</v>
      </c>
      <c r="E1149" s="2">
        <v>0.33290900000000001</v>
      </c>
      <c r="F1149" s="2">
        <v>1.7188999999999999E-2</v>
      </c>
      <c r="G1149" s="2">
        <v>0.29920449999999998</v>
      </c>
      <c r="H1149" s="2">
        <v>0.36661379999999999</v>
      </c>
    </row>
    <row r="1153" spans="1:6" x14ac:dyDescent="0.3">
      <c r="A1153" s="1" t="s">
        <v>237</v>
      </c>
    </row>
    <row r="1155" spans="1:6" x14ac:dyDescent="0.3">
      <c r="A1155" s="1" t="s">
        <v>21</v>
      </c>
    </row>
    <row r="1156" spans="1:6" ht="17.25" thickBot="1" x14ac:dyDescent="0.35"/>
    <row r="1157" spans="1:6" ht="16.5" customHeight="1" x14ac:dyDescent="0.3">
      <c r="A1157" s="16" t="s">
        <v>135</v>
      </c>
      <c r="B1157" s="18"/>
    </row>
    <row r="1158" spans="1:6" ht="26.25" thickBot="1" x14ac:dyDescent="0.35">
      <c r="A1158" s="12" t="s">
        <v>136</v>
      </c>
      <c r="B1158" s="2">
        <v>183</v>
      </c>
    </row>
    <row r="1159" spans="1:6" ht="26.25" thickBot="1" x14ac:dyDescent="0.35">
      <c r="A1159" s="12" t="s">
        <v>137</v>
      </c>
      <c r="B1159" s="2">
        <v>2982</v>
      </c>
    </row>
    <row r="1160" spans="1:6" ht="39" thickBot="1" x14ac:dyDescent="0.35">
      <c r="A1160" s="12" t="s">
        <v>138</v>
      </c>
      <c r="B1160" s="2">
        <v>68635</v>
      </c>
    </row>
    <row r="1161" spans="1:6" ht="25.5" x14ac:dyDescent="0.3">
      <c r="A1161" s="13" t="s">
        <v>139</v>
      </c>
      <c r="B1161" s="2">
        <v>30251935.699999999</v>
      </c>
    </row>
    <row r="1162" spans="1:6" ht="17.25" thickBot="1" x14ac:dyDescent="0.35"/>
    <row r="1163" spans="1:6" ht="33" customHeight="1" x14ac:dyDescent="0.3">
      <c r="A1163" s="16" t="s">
        <v>140</v>
      </c>
      <c r="B1163" s="18"/>
    </row>
    <row r="1164" spans="1:6" ht="33.75" thickBot="1" x14ac:dyDescent="0.35">
      <c r="A1164" s="12" t="s">
        <v>141</v>
      </c>
      <c r="B1164" s="2" t="s">
        <v>142</v>
      </c>
    </row>
    <row r="1165" spans="1:6" ht="25.5" x14ac:dyDescent="0.3">
      <c r="A1165" s="13" t="s">
        <v>143</v>
      </c>
      <c r="B1165" s="2" t="s">
        <v>144</v>
      </c>
    </row>
    <row r="1166" spans="1:6" ht="17.25" thickBot="1" x14ac:dyDescent="0.35"/>
    <row r="1167" spans="1:6" ht="16.5" customHeight="1" x14ac:dyDescent="0.3">
      <c r="A1167" s="16" t="s">
        <v>238</v>
      </c>
      <c r="B1167" s="18"/>
      <c r="C1167" s="18"/>
      <c r="D1167" s="18"/>
      <c r="E1167" s="18"/>
      <c r="F1167" s="18"/>
    </row>
    <row r="1168" spans="1:6" ht="16.5" customHeight="1" x14ac:dyDescent="0.3">
      <c r="A1168" s="17" t="s">
        <v>239</v>
      </c>
      <c r="B1168" s="19" t="s">
        <v>94</v>
      </c>
      <c r="C1168" s="19" t="s">
        <v>240</v>
      </c>
      <c r="D1168" s="3" t="s">
        <v>241</v>
      </c>
      <c r="E1168" s="19" t="s">
        <v>243</v>
      </c>
      <c r="F1168" s="19"/>
    </row>
    <row r="1169" spans="1:15" x14ac:dyDescent="0.3">
      <c r="A1169" s="17"/>
      <c r="B1169" s="19"/>
      <c r="C1169" s="19"/>
      <c r="D1169" s="3" t="s">
        <v>242</v>
      </c>
      <c r="E1169" s="19"/>
      <c r="F1169" s="19"/>
    </row>
    <row r="1170" spans="1:15" x14ac:dyDescent="0.3">
      <c r="A1170" s="13" t="s">
        <v>116</v>
      </c>
      <c r="B1170" s="2">
        <v>68635</v>
      </c>
      <c r="C1170" s="2">
        <v>0.34523599999999999</v>
      </c>
      <c r="D1170" s="2">
        <v>1.6490000000000001E-3</v>
      </c>
      <c r="E1170" s="2">
        <v>0.34200205</v>
      </c>
      <c r="F1170" s="2">
        <v>0.34847033999999999</v>
      </c>
    </row>
    <row r="1174" spans="1:15" x14ac:dyDescent="0.3">
      <c r="A1174" s="1" t="s">
        <v>237</v>
      </c>
    </row>
    <row r="1176" spans="1:15" x14ac:dyDescent="0.3">
      <c r="A1176" s="1" t="s">
        <v>21</v>
      </c>
    </row>
    <row r="1177" spans="1:15" ht="17.25" thickBot="1" x14ac:dyDescent="0.35"/>
    <row r="1178" spans="1:15" ht="16.5" customHeight="1" x14ac:dyDescent="0.3">
      <c r="A1178" s="16" t="s">
        <v>261</v>
      </c>
      <c r="B1178" s="18"/>
      <c r="C1178" s="18"/>
      <c r="D1178" s="18"/>
      <c r="E1178" s="18"/>
      <c r="F1178" s="18"/>
      <c r="G1178" s="18"/>
      <c r="H1178" s="18"/>
    </row>
    <row r="1179" spans="1:15" ht="16.5" customHeight="1" x14ac:dyDescent="0.3">
      <c r="A1179" s="17" t="s">
        <v>249</v>
      </c>
      <c r="B1179" s="19" t="s">
        <v>16</v>
      </c>
      <c r="C1179" s="19" t="s">
        <v>239</v>
      </c>
      <c r="D1179" s="19" t="s">
        <v>94</v>
      </c>
      <c r="E1179" s="19" t="s">
        <v>240</v>
      </c>
      <c r="F1179" s="3" t="s">
        <v>241</v>
      </c>
      <c r="G1179" s="19" t="s">
        <v>243</v>
      </c>
      <c r="H1179" s="19"/>
    </row>
    <row r="1180" spans="1:15" x14ac:dyDescent="0.3">
      <c r="A1180" s="17"/>
      <c r="B1180" s="19"/>
      <c r="C1180" s="19"/>
      <c r="D1180" s="19"/>
      <c r="E1180" s="19"/>
      <c r="F1180" s="3" t="s">
        <v>242</v>
      </c>
      <c r="G1180" s="19"/>
      <c r="H1180" s="19"/>
    </row>
    <row r="1181" spans="1:15" ht="17.25" thickBot="1" x14ac:dyDescent="0.35">
      <c r="A1181" s="6">
        <v>1</v>
      </c>
      <c r="B1181" s="3">
        <v>0</v>
      </c>
      <c r="C1181" s="11" t="s">
        <v>116</v>
      </c>
      <c r="D1181" s="2">
        <v>9740</v>
      </c>
      <c r="E1181" s="2">
        <v>0.34549000000000002</v>
      </c>
      <c r="F1181" s="2">
        <v>4.1219999999999998E-3</v>
      </c>
      <c r="G1181" s="2">
        <v>0.33740762000000002</v>
      </c>
      <c r="H1181" s="2">
        <v>0.35357192999999998</v>
      </c>
      <c r="J1181" t="str">
        <f t="shared" ref="J1181:J1192" si="46">TEXT(E1181,"0.00")&amp;" ("&amp;TEXT(G1181,"0.00")&amp;" to "&amp;TEXT(H1181,"0.00")&amp;")"</f>
        <v>0.35 (0.34 to 0.35)</v>
      </c>
      <c r="K1181" t="str">
        <f>J1183</f>
        <v>0.34 (0.33 to 0.34)</v>
      </c>
      <c r="L1181" t="str">
        <f>J1185</f>
        <v>0.33 (0.32 to 0.34)</v>
      </c>
      <c r="M1181" t="str">
        <f>J1187</f>
        <v>0.33 (0.32 to 0.34)</v>
      </c>
      <c r="N1181" t="str">
        <f>J1189</f>
        <v>0.31 (0.30 to 0.31)</v>
      </c>
      <c r="O1181" t="str">
        <f>J1191</f>
        <v>0.27 (0.25 to 0.28)</v>
      </c>
    </row>
    <row r="1182" spans="1:15" ht="17.25" thickBot="1" x14ac:dyDescent="0.35">
      <c r="A1182" s="6"/>
      <c r="B1182" s="3">
        <v>1</v>
      </c>
      <c r="C1182" s="11" t="s">
        <v>116</v>
      </c>
      <c r="D1182" s="2">
        <v>2175</v>
      </c>
      <c r="E1182" s="2">
        <v>0.49935499999999999</v>
      </c>
      <c r="F1182" s="2">
        <v>8.6689999999999996E-3</v>
      </c>
      <c r="G1182" s="2">
        <v>0.48235541999999998</v>
      </c>
      <c r="H1182" s="2">
        <v>0.51635366999999999</v>
      </c>
      <c r="J1182" t="str">
        <f t="shared" si="46"/>
        <v>0.50 (0.48 to 0.52)</v>
      </c>
      <c r="K1182" t="str">
        <f>J1184</f>
        <v>0.47 (0.46 to 0.49)</v>
      </c>
      <c r="L1182" t="str">
        <f>J1186</f>
        <v>0.47 (0.45 to 0.48)</v>
      </c>
      <c r="M1182" t="str">
        <f>J1188</f>
        <v>0.45 (0.44 to 0.47)</v>
      </c>
      <c r="N1182" t="str">
        <f>J1190</f>
        <v>0.42 (0.41 to 0.44)</v>
      </c>
      <c r="O1182" t="str">
        <f>J1192</f>
        <v>0.37 (0.35 to 0.39)</v>
      </c>
    </row>
    <row r="1183" spans="1:15" ht="17.25" thickBot="1" x14ac:dyDescent="0.35">
      <c r="A1183" s="6">
        <v>2</v>
      </c>
      <c r="B1183" s="3">
        <v>0</v>
      </c>
      <c r="C1183" s="11" t="s">
        <v>116</v>
      </c>
      <c r="D1183" s="2">
        <v>10393</v>
      </c>
      <c r="E1183" s="2">
        <v>0.33606999999999998</v>
      </c>
      <c r="F1183" s="2">
        <v>4.0489999999999996E-3</v>
      </c>
      <c r="G1183" s="2">
        <v>0.32813057000000001</v>
      </c>
      <c r="H1183" s="2">
        <v>0.34400903999999999</v>
      </c>
      <c r="J1183" t="str">
        <f t="shared" si="46"/>
        <v>0.34 (0.33 to 0.34)</v>
      </c>
    </row>
    <row r="1184" spans="1:15" ht="17.25" thickBot="1" x14ac:dyDescent="0.35">
      <c r="A1184" s="6"/>
      <c r="B1184" s="3">
        <v>1</v>
      </c>
      <c r="C1184" s="11" t="s">
        <v>116</v>
      </c>
      <c r="D1184" s="2">
        <v>2723</v>
      </c>
      <c r="E1184" s="2">
        <v>0.471271</v>
      </c>
      <c r="F1184" s="2">
        <v>7.6449999999999999E-3</v>
      </c>
      <c r="G1184" s="2">
        <v>0.45628036999999999</v>
      </c>
      <c r="H1184" s="2">
        <v>0.48626129000000001</v>
      </c>
      <c r="J1184" t="str">
        <f t="shared" si="46"/>
        <v>0.47 (0.46 to 0.49)</v>
      </c>
    </row>
    <row r="1185" spans="1:10" ht="17.25" thickBot="1" x14ac:dyDescent="0.35">
      <c r="A1185" s="6">
        <v>3</v>
      </c>
      <c r="B1185" s="3">
        <v>0</v>
      </c>
      <c r="C1185" s="11" t="s">
        <v>116</v>
      </c>
      <c r="D1185" s="2">
        <v>9166</v>
      </c>
      <c r="E1185" s="2">
        <v>0.32708100000000001</v>
      </c>
      <c r="F1185" s="2">
        <v>4.104E-3</v>
      </c>
      <c r="G1185" s="2">
        <v>0.31903346999999999</v>
      </c>
      <c r="H1185" s="2">
        <v>0.33512861999999999</v>
      </c>
      <c r="J1185" t="str">
        <f t="shared" si="46"/>
        <v>0.33 (0.32 to 0.34)</v>
      </c>
    </row>
    <row r="1186" spans="1:10" ht="17.25" thickBot="1" x14ac:dyDescent="0.35">
      <c r="A1186" s="6"/>
      <c r="B1186" s="3">
        <v>1</v>
      </c>
      <c r="C1186" s="11" t="s">
        <v>116</v>
      </c>
      <c r="D1186" s="2">
        <v>2309</v>
      </c>
      <c r="E1186" s="2">
        <v>0.468225</v>
      </c>
      <c r="F1186" s="2">
        <v>8.0359999999999997E-3</v>
      </c>
      <c r="G1186" s="2">
        <v>0.45246724999999999</v>
      </c>
      <c r="H1186" s="2">
        <v>0.48398193</v>
      </c>
      <c r="J1186" t="str">
        <f t="shared" si="46"/>
        <v>0.47 (0.45 to 0.48)</v>
      </c>
    </row>
    <row r="1187" spans="1:10" ht="17.25" thickBot="1" x14ac:dyDescent="0.35">
      <c r="A1187" s="6">
        <v>4</v>
      </c>
      <c r="B1187" s="3">
        <v>0</v>
      </c>
      <c r="C1187" s="11" t="s">
        <v>116</v>
      </c>
      <c r="D1187" s="2">
        <v>11001</v>
      </c>
      <c r="E1187" s="2">
        <v>0.331206</v>
      </c>
      <c r="F1187" s="2">
        <v>3.9179999999999996E-3</v>
      </c>
      <c r="G1187" s="2">
        <v>0.32352363000000001</v>
      </c>
      <c r="H1187" s="2">
        <v>0.33888748000000002</v>
      </c>
      <c r="J1187" t="str">
        <f t="shared" si="46"/>
        <v>0.33 (0.32 to 0.34)</v>
      </c>
    </row>
    <row r="1188" spans="1:10" ht="17.25" thickBot="1" x14ac:dyDescent="0.35">
      <c r="A1188" s="6"/>
      <c r="B1188" s="3">
        <v>1</v>
      </c>
      <c r="C1188" s="11" t="s">
        <v>116</v>
      </c>
      <c r="D1188" s="2">
        <v>3157</v>
      </c>
      <c r="E1188" s="2">
        <v>0.45367600000000002</v>
      </c>
      <c r="F1188" s="2">
        <v>7.1549999999999999E-3</v>
      </c>
      <c r="G1188" s="2">
        <v>0.43964737999999998</v>
      </c>
      <c r="H1188" s="2">
        <v>0.46770552999999998</v>
      </c>
      <c r="J1188" t="str">
        <f t="shared" si="46"/>
        <v>0.45 (0.44 to 0.47)</v>
      </c>
    </row>
    <row r="1189" spans="1:10" ht="17.25" thickBot="1" x14ac:dyDescent="0.35">
      <c r="A1189" s="6">
        <v>5</v>
      </c>
      <c r="B1189" s="3">
        <v>0</v>
      </c>
      <c r="C1189" s="11" t="s">
        <v>116</v>
      </c>
      <c r="D1189" s="2">
        <v>10383</v>
      </c>
      <c r="E1189" s="2">
        <v>0.305865</v>
      </c>
      <c r="F1189" s="2">
        <v>4.078E-3</v>
      </c>
      <c r="G1189" s="2">
        <v>0.29786969000000002</v>
      </c>
      <c r="H1189" s="2">
        <v>0.31386106000000003</v>
      </c>
      <c r="J1189" t="str">
        <f t="shared" si="46"/>
        <v>0.31 (0.30 to 0.31)</v>
      </c>
    </row>
    <row r="1190" spans="1:10" ht="17.25" thickBot="1" x14ac:dyDescent="0.35">
      <c r="A1190" s="6"/>
      <c r="B1190" s="3">
        <v>1</v>
      </c>
      <c r="C1190" s="11" t="s">
        <v>116</v>
      </c>
      <c r="D1190" s="2">
        <v>3172</v>
      </c>
      <c r="E1190" s="2">
        <v>0.42472599999999999</v>
      </c>
      <c r="F1190" s="2">
        <v>7.0229999999999997E-3</v>
      </c>
      <c r="G1190" s="2">
        <v>0.41095590999999998</v>
      </c>
      <c r="H1190" s="2">
        <v>0.43849705999999999</v>
      </c>
      <c r="J1190" t="str">
        <f t="shared" si="46"/>
        <v>0.42 (0.41 to 0.44)</v>
      </c>
    </row>
    <row r="1191" spans="1:10" ht="17.25" thickBot="1" x14ac:dyDescent="0.35">
      <c r="A1191" s="6">
        <v>6</v>
      </c>
      <c r="B1191" s="3">
        <v>0</v>
      </c>
      <c r="C1191" s="11" t="s">
        <v>116</v>
      </c>
      <c r="D1191" s="2">
        <v>3227</v>
      </c>
      <c r="E1191" s="2">
        <v>0.26796700000000001</v>
      </c>
      <c r="F1191" s="2">
        <v>6.9170000000000004E-3</v>
      </c>
      <c r="G1191" s="2">
        <v>0.25440479999999999</v>
      </c>
      <c r="H1191" s="2">
        <v>0.28152883000000001</v>
      </c>
      <c r="J1191" t="str">
        <f t="shared" si="46"/>
        <v>0.27 (0.25 to 0.28)</v>
      </c>
    </row>
    <row r="1192" spans="1:10" x14ac:dyDescent="0.3">
      <c r="A1192" s="6"/>
      <c r="B1192" s="3">
        <v>1</v>
      </c>
      <c r="C1192" s="14" t="s">
        <v>116</v>
      </c>
      <c r="D1192" s="2">
        <v>1189</v>
      </c>
      <c r="E1192" s="2">
        <v>0.36984899999999998</v>
      </c>
      <c r="F1192" s="2">
        <v>9.1979999999999996E-3</v>
      </c>
      <c r="G1192" s="2">
        <v>0.35181449999999997</v>
      </c>
      <c r="H1192" s="2">
        <v>0.38788439000000002</v>
      </c>
      <c r="J1192" t="str">
        <f t="shared" si="46"/>
        <v>0.37 (0.35 to 0.39)</v>
      </c>
    </row>
    <row r="1196" spans="1:10" x14ac:dyDescent="0.3">
      <c r="A1196" s="1" t="s">
        <v>237</v>
      </c>
    </row>
    <row r="1198" spans="1:10" x14ac:dyDescent="0.3">
      <c r="A1198" s="1" t="s">
        <v>1</v>
      </c>
    </row>
    <row r="1199" spans="1:10" ht="17.25" thickBot="1" x14ac:dyDescent="0.35"/>
    <row r="1200" spans="1:10" ht="16.5" customHeight="1" x14ac:dyDescent="0.3">
      <c r="A1200" s="16" t="s">
        <v>135</v>
      </c>
      <c r="B1200" s="18"/>
    </row>
    <row r="1201" spans="1:6" ht="26.25" thickBot="1" x14ac:dyDescent="0.35">
      <c r="A1201" s="12" t="s">
        <v>136</v>
      </c>
      <c r="B1201" s="2">
        <v>183</v>
      </c>
    </row>
    <row r="1202" spans="1:6" ht="26.25" thickBot="1" x14ac:dyDescent="0.35">
      <c r="A1202" s="12" t="s">
        <v>137</v>
      </c>
      <c r="B1202" s="2">
        <v>2949</v>
      </c>
    </row>
    <row r="1203" spans="1:6" ht="39" thickBot="1" x14ac:dyDescent="0.35">
      <c r="A1203" s="12" t="s">
        <v>138</v>
      </c>
      <c r="B1203" s="2">
        <v>23222</v>
      </c>
    </row>
    <row r="1204" spans="1:6" ht="25.5" x14ac:dyDescent="0.3">
      <c r="A1204" s="13" t="s">
        <v>139</v>
      </c>
      <c r="B1204" s="2">
        <v>9036880.5199999996</v>
      </c>
    </row>
    <row r="1205" spans="1:6" ht="17.25" thickBot="1" x14ac:dyDescent="0.35"/>
    <row r="1206" spans="1:6" ht="33" customHeight="1" x14ac:dyDescent="0.3">
      <c r="A1206" s="16" t="s">
        <v>140</v>
      </c>
      <c r="B1206" s="18"/>
    </row>
    <row r="1207" spans="1:6" ht="33.75" thickBot="1" x14ac:dyDescent="0.35">
      <c r="A1207" s="12" t="s">
        <v>141</v>
      </c>
      <c r="B1207" s="2" t="s">
        <v>142</v>
      </c>
    </row>
    <row r="1208" spans="1:6" ht="25.5" x14ac:dyDescent="0.3">
      <c r="A1208" s="13" t="s">
        <v>143</v>
      </c>
      <c r="B1208" s="2" t="s">
        <v>144</v>
      </c>
    </row>
    <row r="1209" spans="1:6" ht="17.25" thickBot="1" x14ac:dyDescent="0.35"/>
    <row r="1210" spans="1:6" ht="16.5" customHeight="1" x14ac:dyDescent="0.3">
      <c r="A1210" s="16" t="s">
        <v>238</v>
      </c>
      <c r="B1210" s="18"/>
      <c r="C1210" s="18"/>
      <c r="D1210" s="18"/>
      <c r="E1210" s="18"/>
      <c r="F1210" s="18"/>
    </row>
    <row r="1211" spans="1:6" ht="16.5" customHeight="1" x14ac:dyDescent="0.3">
      <c r="A1211" s="17" t="s">
        <v>239</v>
      </c>
      <c r="B1211" s="19" t="s">
        <v>94</v>
      </c>
      <c r="C1211" s="19" t="s">
        <v>240</v>
      </c>
      <c r="D1211" s="3" t="s">
        <v>241</v>
      </c>
      <c r="E1211" s="19" t="s">
        <v>243</v>
      </c>
      <c r="F1211" s="19"/>
    </row>
    <row r="1212" spans="1:6" x14ac:dyDescent="0.3">
      <c r="A1212" s="17"/>
      <c r="B1212" s="19"/>
      <c r="C1212" s="19"/>
      <c r="D1212" s="3" t="s">
        <v>242</v>
      </c>
      <c r="E1212" s="19"/>
      <c r="F1212" s="19"/>
    </row>
    <row r="1213" spans="1:6" x14ac:dyDescent="0.3">
      <c r="A1213" s="13" t="s">
        <v>116</v>
      </c>
      <c r="B1213" s="2">
        <v>23222</v>
      </c>
      <c r="C1213" s="2">
        <v>0.29750300000000002</v>
      </c>
      <c r="D1213" s="2">
        <v>2.7789999999999998E-3</v>
      </c>
      <c r="E1213" s="2">
        <v>0.29205375</v>
      </c>
      <c r="F1213" s="2">
        <v>0.30295137999999999</v>
      </c>
    </row>
    <row r="1217" spans="1:8" x14ac:dyDescent="0.3">
      <c r="A1217" s="1" t="s">
        <v>237</v>
      </c>
    </row>
    <row r="1219" spans="1:8" x14ac:dyDescent="0.3">
      <c r="A1219" s="1" t="s">
        <v>1</v>
      </c>
    </row>
    <row r="1220" spans="1:8" ht="17.25" thickBot="1" x14ac:dyDescent="0.35"/>
    <row r="1221" spans="1:8" ht="16.5" customHeight="1" x14ac:dyDescent="0.3">
      <c r="A1221" s="16" t="s">
        <v>262</v>
      </c>
      <c r="B1221" s="18"/>
      <c r="C1221" s="18"/>
      <c r="D1221" s="18"/>
      <c r="E1221" s="18"/>
      <c r="F1221" s="18"/>
      <c r="G1221" s="18"/>
      <c r="H1221" s="18"/>
    </row>
    <row r="1222" spans="1:8" ht="16.5" customHeight="1" x14ac:dyDescent="0.3">
      <c r="A1222" s="17" t="s">
        <v>249</v>
      </c>
      <c r="B1222" s="19" t="s">
        <v>17</v>
      </c>
      <c r="C1222" s="19" t="s">
        <v>239</v>
      </c>
      <c r="D1222" s="19" t="s">
        <v>94</v>
      </c>
      <c r="E1222" s="19" t="s">
        <v>240</v>
      </c>
      <c r="F1222" s="3" t="s">
        <v>241</v>
      </c>
      <c r="G1222" s="19" t="s">
        <v>243</v>
      </c>
      <c r="H1222" s="19"/>
    </row>
    <row r="1223" spans="1:8" x14ac:dyDescent="0.3">
      <c r="A1223" s="17"/>
      <c r="B1223" s="19"/>
      <c r="C1223" s="19"/>
      <c r="D1223" s="19"/>
      <c r="E1223" s="19"/>
      <c r="F1223" s="3" t="s">
        <v>242</v>
      </c>
      <c r="G1223" s="19"/>
      <c r="H1223" s="19"/>
    </row>
    <row r="1224" spans="1:8" ht="17.25" thickBot="1" x14ac:dyDescent="0.35">
      <c r="A1224" s="6">
        <v>1</v>
      </c>
      <c r="B1224" s="3">
        <v>0</v>
      </c>
      <c r="C1224" s="11" t="s">
        <v>116</v>
      </c>
      <c r="D1224" s="2">
        <v>3487</v>
      </c>
      <c r="E1224" s="2">
        <v>0.34010099999999999</v>
      </c>
      <c r="F1224" s="2">
        <v>7.5599999999999999E-3</v>
      </c>
      <c r="G1224" s="2">
        <v>0.32527679999999998</v>
      </c>
      <c r="H1224" s="2">
        <v>0.35492430000000003</v>
      </c>
    </row>
    <row r="1225" spans="1:8" ht="17.25" thickBot="1" x14ac:dyDescent="0.35">
      <c r="A1225" s="6"/>
      <c r="B1225" s="3">
        <v>1</v>
      </c>
      <c r="C1225" s="11" t="s">
        <v>116</v>
      </c>
      <c r="D1225" s="2">
        <v>253</v>
      </c>
      <c r="E1225" s="2">
        <v>0.51982499999999998</v>
      </c>
      <c r="F1225" s="2">
        <v>2.8438000000000001E-2</v>
      </c>
      <c r="G1225" s="2">
        <v>0.4640628</v>
      </c>
      <c r="H1225" s="2">
        <v>0.57558710000000002</v>
      </c>
    </row>
    <row r="1226" spans="1:8" ht="17.25" thickBot="1" x14ac:dyDescent="0.35">
      <c r="A1226" s="6">
        <v>2</v>
      </c>
      <c r="B1226" s="3">
        <v>0</v>
      </c>
      <c r="C1226" s="11" t="s">
        <v>116</v>
      </c>
      <c r="D1226" s="2">
        <v>4258</v>
      </c>
      <c r="E1226" s="2">
        <v>0.26442399999999999</v>
      </c>
      <c r="F1226" s="2">
        <v>6.156E-3</v>
      </c>
      <c r="G1226" s="2">
        <v>0.25235229999999997</v>
      </c>
      <c r="H1226" s="2">
        <v>0.27649580000000001</v>
      </c>
    </row>
    <row r="1227" spans="1:8" ht="17.25" thickBot="1" x14ac:dyDescent="0.35">
      <c r="A1227" s="6"/>
      <c r="B1227" s="3">
        <v>1</v>
      </c>
      <c r="C1227" s="11" t="s">
        <v>116</v>
      </c>
      <c r="D1227" s="2">
        <v>385</v>
      </c>
      <c r="E1227" s="2">
        <v>0.46521499999999999</v>
      </c>
      <c r="F1227" s="2">
        <v>1.8078E-2</v>
      </c>
      <c r="G1227" s="2">
        <v>0.42976690000000001</v>
      </c>
      <c r="H1227" s="2">
        <v>0.50066319999999997</v>
      </c>
    </row>
    <row r="1228" spans="1:8" ht="17.25" thickBot="1" x14ac:dyDescent="0.35">
      <c r="A1228" s="6"/>
      <c r="B1228" s="3">
        <v>8</v>
      </c>
      <c r="C1228" s="11" t="s">
        <v>116</v>
      </c>
      <c r="D1228" s="2">
        <v>89</v>
      </c>
      <c r="E1228" s="2">
        <v>0.29133100000000001</v>
      </c>
      <c r="F1228" s="2">
        <v>3.1869000000000001E-2</v>
      </c>
      <c r="G1228" s="2">
        <v>0.2288413</v>
      </c>
      <c r="H1228" s="2">
        <v>0.3538212</v>
      </c>
    </row>
    <row r="1229" spans="1:8" ht="17.25" thickBot="1" x14ac:dyDescent="0.35">
      <c r="A1229" s="6">
        <v>3</v>
      </c>
      <c r="B1229" s="3">
        <v>0</v>
      </c>
      <c r="C1229" s="11" t="s">
        <v>116</v>
      </c>
      <c r="D1229" s="2">
        <v>3297</v>
      </c>
      <c r="E1229" s="2">
        <v>0.26929199999999998</v>
      </c>
      <c r="F1229" s="2">
        <v>6.9959999999999996E-3</v>
      </c>
      <c r="G1229" s="2">
        <v>0.25557459999999999</v>
      </c>
      <c r="H1229" s="2">
        <v>0.28301029999999999</v>
      </c>
    </row>
    <row r="1230" spans="1:8" ht="17.25" thickBot="1" x14ac:dyDescent="0.35">
      <c r="A1230" s="6"/>
      <c r="B1230" s="3">
        <v>1</v>
      </c>
      <c r="C1230" s="11" t="s">
        <v>116</v>
      </c>
      <c r="D1230" s="2">
        <v>441</v>
      </c>
      <c r="E1230" s="2">
        <v>0.41936499999999999</v>
      </c>
      <c r="F1230" s="2">
        <v>1.8755999999999998E-2</v>
      </c>
      <c r="G1230" s="2">
        <v>0.38258779999999998</v>
      </c>
      <c r="H1230" s="2">
        <v>0.45614300000000002</v>
      </c>
    </row>
    <row r="1231" spans="1:8" ht="17.25" thickBot="1" x14ac:dyDescent="0.35">
      <c r="A1231" s="6"/>
      <c r="B1231" s="3">
        <v>8</v>
      </c>
      <c r="C1231" s="11" t="s">
        <v>116</v>
      </c>
      <c r="D1231" s="2">
        <v>519</v>
      </c>
      <c r="E1231" s="2">
        <v>0.37702200000000002</v>
      </c>
      <c r="F1231" s="2">
        <v>1.9776999999999999E-2</v>
      </c>
      <c r="G1231" s="2">
        <v>0.33824280000000001</v>
      </c>
      <c r="H1231" s="2">
        <v>0.4158017</v>
      </c>
    </row>
    <row r="1232" spans="1:8" ht="17.25" thickBot="1" x14ac:dyDescent="0.35">
      <c r="A1232" s="6">
        <v>4</v>
      </c>
      <c r="B1232" s="3">
        <v>0</v>
      </c>
      <c r="C1232" s="11" t="s">
        <v>116</v>
      </c>
      <c r="D1232" s="2">
        <v>3874</v>
      </c>
      <c r="E1232" s="2">
        <v>0.281246</v>
      </c>
      <c r="F1232" s="2">
        <v>6.4850000000000003E-3</v>
      </c>
      <c r="G1232" s="2">
        <v>0.26853080000000001</v>
      </c>
      <c r="H1232" s="2">
        <v>0.29396109999999998</v>
      </c>
    </row>
    <row r="1233" spans="1:8" ht="17.25" thickBot="1" x14ac:dyDescent="0.35">
      <c r="A1233" s="6"/>
      <c r="B1233" s="3">
        <v>1</v>
      </c>
      <c r="C1233" s="11" t="s">
        <v>116</v>
      </c>
      <c r="D1233" s="2">
        <v>681</v>
      </c>
      <c r="E1233" s="2">
        <v>0.48170200000000002</v>
      </c>
      <c r="F1233" s="2">
        <v>1.7957000000000001E-2</v>
      </c>
      <c r="G1233" s="2">
        <v>0.44649119999999998</v>
      </c>
      <c r="H1233" s="2">
        <v>0.51691279999999995</v>
      </c>
    </row>
    <row r="1234" spans="1:8" ht="17.25" thickBot="1" x14ac:dyDescent="0.35">
      <c r="A1234" s="6"/>
      <c r="B1234" s="3">
        <v>8</v>
      </c>
      <c r="C1234" s="11" t="s">
        <v>116</v>
      </c>
      <c r="D1234" s="2">
        <v>1</v>
      </c>
      <c r="E1234" s="15">
        <v>-7.424E-3</v>
      </c>
      <c r="F1234" s="2">
        <v>0</v>
      </c>
      <c r="G1234" s="15">
        <v>-7.424E-3</v>
      </c>
      <c r="H1234" s="15">
        <v>-7.424E-3</v>
      </c>
    </row>
    <row r="1235" spans="1:8" ht="17.25" thickBot="1" x14ac:dyDescent="0.35">
      <c r="A1235" s="6">
        <v>5</v>
      </c>
      <c r="B1235" s="3">
        <v>0</v>
      </c>
      <c r="C1235" s="11" t="s">
        <v>116</v>
      </c>
      <c r="D1235" s="2">
        <v>3652</v>
      </c>
      <c r="E1235" s="2">
        <v>0.276868</v>
      </c>
      <c r="F1235" s="2">
        <v>6.9509999999999997E-3</v>
      </c>
      <c r="G1235" s="2">
        <v>0.26323859999999999</v>
      </c>
      <c r="H1235" s="2">
        <v>0.29049789999999998</v>
      </c>
    </row>
    <row r="1236" spans="1:8" ht="17.25" thickBot="1" x14ac:dyDescent="0.35">
      <c r="A1236" s="6"/>
      <c r="B1236" s="3">
        <v>1</v>
      </c>
      <c r="C1236" s="11" t="s">
        <v>116</v>
      </c>
      <c r="D1236" s="2">
        <v>849</v>
      </c>
      <c r="E1236" s="2">
        <v>0.37663200000000002</v>
      </c>
      <c r="F1236" s="2">
        <v>1.2699999999999999E-2</v>
      </c>
      <c r="G1236" s="2">
        <v>0.35172880000000001</v>
      </c>
      <c r="H1236" s="2">
        <v>0.40153440000000001</v>
      </c>
    </row>
    <row r="1237" spans="1:8" ht="17.25" thickBot="1" x14ac:dyDescent="0.35">
      <c r="A1237" s="6">
        <v>6</v>
      </c>
      <c r="B1237" s="3">
        <v>0</v>
      </c>
      <c r="C1237" s="11" t="s">
        <v>116</v>
      </c>
      <c r="D1237" s="2">
        <v>1089</v>
      </c>
      <c r="E1237" s="2">
        <v>0.23016300000000001</v>
      </c>
      <c r="F1237" s="2">
        <v>1.023E-2</v>
      </c>
      <c r="G1237" s="2">
        <v>0.21010409999999999</v>
      </c>
      <c r="H1237" s="2">
        <v>0.25022109999999997</v>
      </c>
    </row>
    <row r="1238" spans="1:8" x14ac:dyDescent="0.3">
      <c r="A1238" s="6"/>
      <c r="B1238" s="3">
        <v>1</v>
      </c>
      <c r="C1238" s="14" t="s">
        <v>116</v>
      </c>
      <c r="D1238" s="2">
        <v>347</v>
      </c>
      <c r="E1238" s="2">
        <v>0.31922699999999998</v>
      </c>
      <c r="F1238" s="2">
        <v>1.6195000000000001E-2</v>
      </c>
      <c r="G1238" s="2">
        <v>0.28747089999999997</v>
      </c>
      <c r="H1238" s="2">
        <v>0.35098370000000001</v>
      </c>
    </row>
    <row r="1242" spans="1:8" x14ac:dyDescent="0.3">
      <c r="A1242" s="1" t="s">
        <v>237</v>
      </c>
    </row>
    <row r="1244" spans="1:8" x14ac:dyDescent="0.3">
      <c r="A1244" s="1" t="s">
        <v>21</v>
      </c>
    </row>
    <row r="1245" spans="1:8" ht="17.25" thickBot="1" x14ac:dyDescent="0.35"/>
    <row r="1246" spans="1:8" ht="16.5" customHeight="1" x14ac:dyDescent="0.3">
      <c r="A1246" s="16" t="s">
        <v>135</v>
      </c>
      <c r="B1246" s="18"/>
    </row>
    <row r="1247" spans="1:8" ht="26.25" thickBot="1" x14ac:dyDescent="0.35">
      <c r="A1247" s="12" t="s">
        <v>136</v>
      </c>
      <c r="B1247" s="2">
        <v>183</v>
      </c>
    </row>
    <row r="1248" spans="1:8" ht="26.25" thickBot="1" x14ac:dyDescent="0.35">
      <c r="A1248" s="12" t="s">
        <v>137</v>
      </c>
      <c r="B1248" s="2">
        <v>2982</v>
      </c>
    </row>
    <row r="1249" spans="1:6" ht="39" thickBot="1" x14ac:dyDescent="0.35">
      <c r="A1249" s="12" t="s">
        <v>138</v>
      </c>
      <c r="B1249" s="2">
        <v>68635</v>
      </c>
    </row>
    <row r="1250" spans="1:6" ht="25.5" x14ac:dyDescent="0.3">
      <c r="A1250" s="13" t="s">
        <v>139</v>
      </c>
      <c r="B1250" s="2">
        <v>30251935.699999999</v>
      </c>
    </row>
    <row r="1251" spans="1:6" ht="17.25" thickBot="1" x14ac:dyDescent="0.35"/>
    <row r="1252" spans="1:6" ht="33" customHeight="1" x14ac:dyDescent="0.3">
      <c r="A1252" s="16" t="s">
        <v>140</v>
      </c>
      <c r="B1252" s="18"/>
    </row>
    <row r="1253" spans="1:6" ht="33.75" thickBot="1" x14ac:dyDescent="0.35">
      <c r="A1253" s="12" t="s">
        <v>141</v>
      </c>
      <c r="B1253" s="2" t="s">
        <v>142</v>
      </c>
    </row>
    <row r="1254" spans="1:6" ht="25.5" x14ac:dyDescent="0.3">
      <c r="A1254" s="13" t="s">
        <v>143</v>
      </c>
      <c r="B1254" s="2" t="s">
        <v>144</v>
      </c>
    </row>
    <row r="1255" spans="1:6" ht="17.25" thickBot="1" x14ac:dyDescent="0.35"/>
    <row r="1256" spans="1:6" ht="16.5" customHeight="1" x14ac:dyDescent="0.3">
      <c r="A1256" s="16" t="s">
        <v>238</v>
      </c>
      <c r="B1256" s="18"/>
      <c r="C1256" s="18"/>
      <c r="D1256" s="18"/>
      <c r="E1256" s="18"/>
      <c r="F1256" s="18"/>
    </row>
    <row r="1257" spans="1:6" ht="16.5" customHeight="1" x14ac:dyDescent="0.3">
      <c r="A1257" s="17" t="s">
        <v>239</v>
      </c>
      <c r="B1257" s="19" t="s">
        <v>94</v>
      </c>
      <c r="C1257" s="19" t="s">
        <v>240</v>
      </c>
      <c r="D1257" s="3" t="s">
        <v>241</v>
      </c>
      <c r="E1257" s="19" t="s">
        <v>243</v>
      </c>
      <c r="F1257" s="19"/>
    </row>
    <row r="1258" spans="1:6" x14ac:dyDescent="0.3">
      <c r="A1258" s="17"/>
      <c r="B1258" s="19"/>
      <c r="C1258" s="19"/>
      <c r="D1258" s="3" t="s">
        <v>242</v>
      </c>
      <c r="E1258" s="19"/>
      <c r="F1258" s="19"/>
    </row>
    <row r="1259" spans="1:6" x14ac:dyDescent="0.3">
      <c r="A1259" s="13" t="s">
        <v>116</v>
      </c>
      <c r="B1259" s="2">
        <v>68635</v>
      </c>
      <c r="C1259" s="2">
        <v>0.34523599999999999</v>
      </c>
      <c r="D1259" s="2">
        <v>1.6490000000000001E-3</v>
      </c>
      <c r="E1259" s="2">
        <v>0.34200205</v>
      </c>
      <c r="F1259" s="2">
        <v>0.34847033999999999</v>
      </c>
    </row>
    <row r="1263" spans="1:6" x14ac:dyDescent="0.3">
      <c r="A1263" s="1" t="s">
        <v>237</v>
      </c>
    </row>
    <row r="1265" spans="1:15" x14ac:dyDescent="0.3">
      <c r="A1265" s="1" t="s">
        <v>21</v>
      </c>
    </row>
    <row r="1266" spans="1:15" ht="17.25" thickBot="1" x14ac:dyDescent="0.35"/>
    <row r="1267" spans="1:15" ht="16.5" customHeight="1" x14ac:dyDescent="0.3">
      <c r="A1267" s="16" t="s">
        <v>262</v>
      </c>
      <c r="B1267" s="18"/>
      <c r="C1267" s="18"/>
      <c r="D1267" s="18"/>
      <c r="E1267" s="18"/>
      <c r="F1267" s="18"/>
      <c r="G1267" s="18"/>
      <c r="H1267" s="18"/>
    </row>
    <row r="1268" spans="1:15" ht="16.5" customHeight="1" x14ac:dyDescent="0.3">
      <c r="A1268" s="17" t="s">
        <v>249</v>
      </c>
      <c r="B1268" s="19" t="s">
        <v>17</v>
      </c>
      <c r="C1268" s="19" t="s">
        <v>239</v>
      </c>
      <c r="D1268" s="19" t="s">
        <v>94</v>
      </c>
      <c r="E1268" s="19" t="s">
        <v>240</v>
      </c>
      <c r="F1268" s="3" t="s">
        <v>241</v>
      </c>
      <c r="G1268" s="19" t="s">
        <v>243</v>
      </c>
      <c r="H1268" s="19"/>
    </row>
    <row r="1269" spans="1:15" x14ac:dyDescent="0.3">
      <c r="A1269" s="17"/>
      <c r="B1269" s="19"/>
      <c r="C1269" s="19"/>
      <c r="D1269" s="19"/>
      <c r="E1269" s="19"/>
      <c r="F1269" s="3" t="s">
        <v>242</v>
      </c>
      <c r="G1269" s="19"/>
      <c r="H1269" s="19"/>
    </row>
    <row r="1270" spans="1:15" ht="17.25" thickBot="1" x14ac:dyDescent="0.35">
      <c r="A1270" s="6">
        <v>1</v>
      </c>
      <c r="B1270" s="3">
        <v>0</v>
      </c>
      <c r="C1270" s="11" t="s">
        <v>116</v>
      </c>
      <c r="D1270" s="2">
        <v>11084</v>
      </c>
      <c r="E1270" s="2">
        <v>0.35629899999999998</v>
      </c>
      <c r="F1270" s="2">
        <v>3.9370000000000004E-3</v>
      </c>
      <c r="G1270" s="2">
        <v>0.34857962999999997</v>
      </c>
      <c r="H1270" s="2">
        <v>0.36401862000000001</v>
      </c>
      <c r="J1270" t="str">
        <f t="shared" ref="J1270:J1281" si="47">TEXT(E1270,"0.00")&amp;" ("&amp;TEXT(G1270,"0.00")&amp;" to "&amp;TEXT(H1270,"0.00")&amp;")"</f>
        <v>0.36 (0.35 to 0.36)</v>
      </c>
      <c r="K1270" t="str">
        <f>J1272</f>
        <v>0.34 (0.34 to 0.35)</v>
      </c>
      <c r="L1270" t="str">
        <f>J1274</f>
        <v>0.33 (0.32 to 0.34)</v>
      </c>
      <c r="M1270" t="str">
        <f>J1276</f>
        <v>0.33 (0.33 to 0.34)</v>
      </c>
      <c r="N1270" t="str">
        <f>J1278</f>
        <v>0.31 (0.30 to 0.32)</v>
      </c>
      <c r="O1270" t="str">
        <f>J1280</f>
        <v>0.28 (0.26 to 0.29)</v>
      </c>
    </row>
    <row r="1271" spans="1:15" ht="17.25" thickBot="1" x14ac:dyDescent="0.35">
      <c r="A1271" s="6"/>
      <c r="B1271" s="3">
        <v>1</v>
      </c>
      <c r="C1271" s="11" t="s">
        <v>116</v>
      </c>
      <c r="D1271" s="2">
        <v>831</v>
      </c>
      <c r="E1271" s="2">
        <v>0.54361700000000002</v>
      </c>
      <c r="F1271" s="2">
        <v>1.3566999999999999E-2</v>
      </c>
      <c r="G1271" s="2">
        <v>0.51701598000000004</v>
      </c>
      <c r="H1271" s="2">
        <v>0.57021885999999999</v>
      </c>
      <c r="J1271" t="str">
        <f t="shared" si="47"/>
        <v>0.54 (0.52 to 0.57)</v>
      </c>
      <c r="K1271" t="str">
        <f>J1273</f>
        <v>0.51 (0.49 to 0.53)</v>
      </c>
      <c r="L1271" t="str">
        <f>J1275</f>
        <v>0.48 (0.46 to 0.50)</v>
      </c>
      <c r="M1271" t="str">
        <f>J1277</f>
        <v>0.46 (0.45 to 0.48)</v>
      </c>
      <c r="N1271" t="str">
        <f>J1279</f>
        <v>0.41 (0.40 to 0.43)</v>
      </c>
      <c r="O1271" t="str">
        <f>J1281</f>
        <v>0.34 (0.32 to 0.36)</v>
      </c>
    </row>
    <row r="1272" spans="1:15" ht="17.25" thickBot="1" x14ac:dyDescent="0.35">
      <c r="A1272" s="6">
        <v>2</v>
      </c>
      <c r="B1272" s="3">
        <v>0</v>
      </c>
      <c r="C1272" s="11" t="s">
        <v>116</v>
      </c>
      <c r="D1272" s="2">
        <v>11761</v>
      </c>
      <c r="E1272" s="2">
        <v>0.34393299999999999</v>
      </c>
      <c r="F1272" s="2">
        <v>3.8899999999999998E-3</v>
      </c>
      <c r="G1272" s="2">
        <v>0.33630469000000002</v>
      </c>
      <c r="H1272" s="2">
        <v>0.35156134999999999</v>
      </c>
      <c r="J1272" t="str">
        <f t="shared" si="47"/>
        <v>0.34 (0.34 to 0.35)</v>
      </c>
    </row>
    <row r="1273" spans="1:15" ht="17.25" thickBot="1" x14ac:dyDescent="0.35">
      <c r="A1273" s="6"/>
      <c r="B1273" s="3">
        <v>1</v>
      </c>
      <c r="C1273" s="11" t="s">
        <v>116</v>
      </c>
      <c r="D1273" s="2">
        <v>1355</v>
      </c>
      <c r="E1273" s="2">
        <v>0.50896399999999997</v>
      </c>
      <c r="F1273" s="2">
        <v>1.0904E-2</v>
      </c>
      <c r="G1273" s="2">
        <v>0.48758262000000002</v>
      </c>
      <c r="H1273" s="2">
        <v>0.53034519999999996</v>
      </c>
      <c r="J1273" t="str">
        <f t="shared" si="47"/>
        <v>0.51 (0.49 to 0.53)</v>
      </c>
    </row>
    <row r="1274" spans="1:15" ht="17.25" thickBot="1" x14ac:dyDescent="0.35">
      <c r="A1274" s="6">
        <v>3</v>
      </c>
      <c r="B1274" s="3">
        <v>0</v>
      </c>
      <c r="C1274" s="11" t="s">
        <v>116</v>
      </c>
      <c r="D1274" s="2">
        <v>9888</v>
      </c>
      <c r="E1274" s="2">
        <v>0.33291199999999999</v>
      </c>
      <c r="F1274" s="2">
        <v>4.104E-3</v>
      </c>
      <c r="G1274" s="2">
        <v>0.32486512000000001</v>
      </c>
      <c r="H1274" s="2">
        <v>0.34095843999999997</v>
      </c>
      <c r="J1274" t="str">
        <f t="shared" si="47"/>
        <v>0.33 (0.32 to 0.34)</v>
      </c>
    </row>
    <row r="1275" spans="1:15" ht="17.25" thickBot="1" x14ac:dyDescent="0.35">
      <c r="A1275" s="6"/>
      <c r="B1275" s="3">
        <v>1</v>
      </c>
      <c r="C1275" s="11" t="s">
        <v>116</v>
      </c>
      <c r="D1275" s="2">
        <v>1587</v>
      </c>
      <c r="E1275" s="2">
        <v>0.476827</v>
      </c>
      <c r="F1275" s="2">
        <v>9.5739999999999992E-3</v>
      </c>
      <c r="G1275" s="2">
        <v>0.45805404999999999</v>
      </c>
      <c r="H1275" s="2">
        <v>0.49559919000000002</v>
      </c>
      <c r="J1275" t="str">
        <f t="shared" si="47"/>
        <v>0.48 (0.46 to 0.50)</v>
      </c>
    </row>
    <row r="1276" spans="1:15" ht="17.25" thickBot="1" x14ac:dyDescent="0.35">
      <c r="A1276" s="6">
        <v>4</v>
      </c>
      <c r="B1276" s="3">
        <v>0</v>
      </c>
      <c r="C1276" s="11" t="s">
        <v>116</v>
      </c>
      <c r="D1276" s="2">
        <v>11727</v>
      </c>
      <c r="E1276" s="2">
        <v>0.33453500000000003</v>
      </c>
      <c r="F1276" s="2">
        <v>3.9760000000000004E-3</v>
      </c>
      <c r="G1276" s="2">
        <v>0.32673874000000003</v>
      </c>
      <c r="H1276" s="2">
        <v>0.34233118000000001</v>
      </c>
      <c r="J1276" t="str">
        <f t="shared" si="47"/>
        <v>0.33 (0.33 to 0.34)</v>
      </c>
    </row>
    <row r="1277" spans="1:15" ht="17.25" thickBot="1" x14ac:dyDescent="0.35">
      <c r="A1277" s="6"/>
      <c r="B1277" s="3">
        <v>1</v>
      </c>
      <c r="C1277" s="11" t="s">
        <v>116</v>
      </c>
      <c r="D1277" s="2">
        <v>2431</v>
      </c>
      <c r="E1277" s="2">
        <v>0.46332299999999998</v>
      </c>
      <c r="F1277" s="2">
        <v>8.182E-3</v>
      </c>
      <c r="G1277" s="2">
        <v>0.44728009000000002</v>
      </c>
      <c r="H1277" s="2">
        <v>0.47936667999999999</v>
      </c>
      <c r="J1277" t="str">
        <f t="shared" si="47"/>
        <v>0.46 (0.45 to 0.48)</v>
      </c>
    </row>
    <row r="1278" spans="1:15" ht="17.25" thickBot="1" x14ac:dyDescent="0.35">
      <c r="A1278" s="6">
        <v>5</v>
      </c>
      <c r="B1278" s="3">
        <v>0</v>
      </c>
      <c r="C1278" s="11" t="s">
        <v>116</v>
      </c>
      <c r="D1278" s="2">
        <v>10784</v>
      </c>
      <c r="E1278" s="2">
        <v>0.31045</v>
      </c>
      <c r="F1278" s="2">
        <v>4.13E-3</v>
      </c>
      <c r="G1278" s="2">
        <v>0.30235282000000002</v>
      </c>
      <c r="H1278" s="2">
        <v>0.31854790999999999</v>
      </c>
      <c r="J1278" t="str">
        <f t="shared" si="47"/>
        <v>0.31 (0.30 to 0.32)</v>
      </c>
    </row>
    <row r="1279" spans="1:15" ht="17.25" thickBot="1" x14ac:dyDescent="0.35">
      <c r="A1279" s="6"/>
      <c r="B1279" s="3">
        <v>1</v>
      </c>
      <c r="C1279" s="11" t="s">
        <v>116</v>
      </c>
      <c r="D1279" s="2">
        <v>2771</v>
      </c>
      <c r="E1279" s="2">
        <v>0.41465800000000003</v>
      </c>
      <c r="F1279" s="2">
        <v>7.2129999999999998E-3</v>
      </c>
      <c r="G1279" s="2">
        <v>0.40051453999999997</v>
      </c>
      <c r="H1279" s="2">
        <v>0.42880098</v>
      </c>
      <c r="J1279" t="str">
        <f t="shared" si="47"/>
        <v>0.41 (0.40 to 0.43)</v>
      </c>
    </row>
    <row r="1280" spans="1:15" ht="17.25" thickBot="1" x14ac:dyDescent="0.35">
      <c r="A1280" s="6">
        <v>6</v>
      </c>
      <c r="B1280" s="3">
        <v>0</v>
      </c>
      <c r="C1280" s="11" t="s">
        <v>116</v>
      </c>
      <c r="D1280" s="2">
        <v>3223</v>
      </c>
      <c r="E1280" s="2">
        <v>0.27643299999999998</v>
      </c>
      <c r="F1280" s="2">
        <v>7.1780000000000004E-3</v>
      </c>
      <c r="G1280" s="2">
        <v>0.26235883999999998</v>
      </c>
      <c r="H1280" s="2">
        <v>0.29050692</v>
      </c>
      <c r="J1280" t="str">
        <f t="shared" si="47"/>
        <v>0.28 (0.26 to 0.29)</v>
      </c>
    </row>
    <row r="1281" spans="1:10" x14ac:dyDescent="0.3">
      <c r="A1281" s="6"/>
      <c r="B1281" s="3">
        <v>1</v>
      </c>
      <c r="C1281" s="14" t="s">
        <v>116</v>
      </c>
      <c r="D1281" s="2">
        <v>1193</v>
      </c>
      <c r="E1281" s="2">
        <v>0.33963300000000002</v>
      </c>
      <c r="F1281" s="2">
        <v>1.0866000000000001E-2</v>
      </c>
      <c r="G1281" s="2">
        <v>0.31832632999999999</v>
      </c>
      <c r="H1281" s="2">
        <v>0.36093893999999999</v>
      </c>
      <c r="J1281" t="str">
        <f t="shared" si="47"/>
        <v>0.34 (0.32 to 0.36)</v>
      </c>
    </row>
    <row r="1285" spans="1:10" x14ac:dyDescent="0.3">
      <c r="A1285" s="1" t="s">
        <v>237</v>
      </c>
    </row>
    <row r="1287" spans="1:10" x14ac:dyDescent="0.3">
      <c r="A1287" s="1" t="s">
        <v>1</v>
      </c>
    </row>
    <row r="1288" spans="1:10" ht="17.25" thickBot="1" x14ac:dyDescent="0.35"/>
    <row r="1289" spans="1:10" ht="16.5" customHeight="1" x14ac:dyDescent="0.3">
      <c r="A1289" s="16" t="s">
        <v>135</v>
      </c>
      <c r="B1289" s="18"/>
    </row>
    <row r="1290" spans="1:10" ht="26.25" thickBot="1" x14ac:dyDescent="0.35">
      <c r="A1290" s="12" t="s">
        <v>136</v>
      </c>
      <c r="B1290" s="2">
        <v>183</v>
      </c>
    </row>
    <row r="1291" spans="1:10" ht="26.25" thickBot="1" x14ac:dyDescent="0.35">
      <c r="A1291" s="12" t="s">
        <v>137</v>
      </c>
      <c r="B1291" s="2">
        <v>2949</v>
      </c>
    </row>
    <row r="1292" spans="1:10" ht="39" thickBot="1" x14ac:dyDescent="0.35">
      <c r="A1292" s="12" t="s">
        <v>138</v>
      </c>
      <c r="B1292" s="2">
        <v>23222</v>
      </c>
    </row>
    <row r="1293" spans="1:10" ht="25.5" x14ac:dyDescent="0.3">
      <c r="A1293" s="13" t="s">
        <v>139</v>
      </c>
      <c r="B1293" s="2">
        <v>9036880.5199999996</v>
      </c>
    </row>
    <row r="1294" spans="1:10" ht="17.25" thickBot="1" x14ac:dyDescent="0.35"/>
    <row r="1295" spans="1:10" ht="33" customHeight="1" x14ac:dyDescent="0.3">
      <c r="A1295" s="16" t="s">
        <v>140</v>
      </c>
      <c r="B1295" s="18"/>
    </row>
    <row r="1296" spans="1:10" ht="33.75" thickBot="1" x14ac:dyDescent="0.35">
      <c r="A1296" s="12" t="s">
        <v>141</v>
      </c>
      <c r="B1296" s="2" t="s">
        <v>142</v>
      </c>
    </row>
    <row r="1297" spans="1:8" ht="25.5" x14ac:dyDescent="0.3">
      <c r="A1297" s="13" t="s">
        <v>143</v>
      </c>
      <c r="B1297" s="2" t="s">
        <v>144</v>
      </c>
    </row>
    <row r="1298" spans="1:8" ht="17.25" thickBot="1" x14ac:dyDescent="0.35"/>
    <row r="1299" spans="1:8" ht="16.5" customHeight="1" x14ac:dyDescent="0.3">
      <c r="A1299" s="16" t="s">
        <v>238</v>
      </c>
      <c r="B1299" s="18"/>
      <c r="C1299" s="18"/>
      <c r="D1299" s="18"/>
      <c r="E1299" s="18"/>
      <c r="F1299" s="18"/>
    </row>
    <row r="1300" spans="1:8" ht="16.5" customHeight="1" x14ac:dyDescent="0.3">
      <c r="A1300" s="17" t="s">
        <v>239</v>
      </c>
      <c r="B1300" s="19" t="s">
        <v>94</v>
      </c>
      <c r="C1300" s="19" t="s">
        <v>240</v>
      </c>
      <c r="D1300" s="3" t="s">
        <v>241</v>
      </c>
      <c r="E1300" s="19" t="s">
        <v>243</v>
      </c>
      <c r="F1300" s="19"/>
    </row>
    <row r="1301" spans="1:8" x14ac:dyDescent="0.3">
      <c r="A1301" s="17"/>
      <c r="B1301" s="19"/>
      <c r="C1301" s="19"/>
      <c r="D1301" s="3" t="s">
        <v>242</v>
      </c>
      <c r="E1301" s="19"/>
      <c r="F1301" s="19"/>
    </row>
    <row r="1302" spans="1:8" x14ac:dyDescent="0.3">
      <c r="A1302" s="13" t="s">
        <v>116</v>
      </c>
      <c r="B1302" s="2">
        <v>23222</v>
      </c>
      <c r="C1302" s="2">
        <v>0.29750300000000002</v>
      </c>
      <c r="D1302" s="2">
        <v>2.7789999999999998E-3</v>
      </c>
      <c r="E1302" s="2">
        <v>0.29205375</v>
      </c>
      <c r="F1302" s="2">
        <v>0.30295137999999999</v>
      </c>
    </row>
    <row r="1306" spans="1:8" x14ac:dyDescent="0.3">
      <c r="A1306" s="1" t="s">
        <v>237</v>
      </c>
    </row>
    <row r="1308" spans="1:8" x14ac:dyDescent="0.3">
      <c r="A1308" s="1" t="s">
        <v>1</v>
      </c>
    </row>
    <row r="1309" spans="1:8" ht="17.25" thickBot="1" x14ac:dyDescent="0.35"/>
    <row r="1310" spans="1:8" ht="16.5" customHeight="1" x14ac:dyDescent="0.3">
      <c r="A1310" s="16" t="s">
        <v>263</v>
      </c>
      <c r="B1310" s="18"/>
      <c r="C1310" s="18"/>
      <c r="D1310" s="18"/>
      <c r="E1310" s="18"/>
      <c r="F1310" s="18"/>
      <c r="G1310" s="18"/>
      <c r="H1310" s="18"/>
    </row>
    <row r="1311" spans="1:8" ht="16.5" customHeight="1" x14ac:dyDescent="0.3">
      <c r="A1311" s="17" t="s">
        <v>249</v>
      </c>
      <c r="B1311" s="19" t="s">
        <v>18</v>
      </c>
      <c r="C1311" s="19" t="s">
        <v>239</v>
      </c>
      <c r="D1311" s="19" t="s">
        <v>94</v>
      </c>
      <c r="E1311" s="19" t="s">
        <v>240</v>
      </c>
      <c r="F1311" s="3" t="s">
        <v>241</v>
      </c>
      <c r="G1311" s="19" t="s">
        <v>243</v>
      </c>
      <c r="H1311" s="19"/>
    </row>
    <row r="1312" spans="1:8" x14ac:dyDescent="0.3">
      <c r="A1312" s="17"/>
      <c r="B1312" s="19"/>
      <c r="C1312" s="19"/>
      <c r="D1312" s="19"/>
      <c r="E1312" s="19"/>
      <c r="F1312" s="3" t="s">
        <v>242</v>
      </c>
      <c r="G1312" s="19"/>
      <c r="H1312" s="19"/>
    </row>
    <row r="1313" spans="1:8" ht="17.25" thickBot="1" x14ac:dyDescent="0.35">
      <c r="A1313" s="6">
        <v>1</v>
      </c>
      <c r="B1313" s="3">
        <v>0</v>
      </c>
      <c r="C1313" s="11" t="s">
        <v>116</v>
      </c>
      <c r="D1313" s="2">
        <v>3649</v>
      </c>
      <c r="E1313" s="2">
        <v>0.34926299999999999</v>
      </c>
      <c r="F1313" s="2">
        <v>7.26E-3</v>
      </c>
      <c r="G1313" s="2">
        <v>0.33502788999999999</v>
      </c>
      <c r="H1313" s="2">
        <v>0.36349756999999999</v>
      </c>
    </row>
    <row r="1314" spans="1:8" ht="17.25" thickBot="1" x14ac:dyDescent="0.35">
      <c r="A1314" s="6"/>
      <c r="B1314" s="3">
        <v>1</v>
      </c>
      <c r="C1314" s="11" t="s">
        <v>116</v>
      </c>
      <c r="D1314" s="2">
        <v>91</v>
      </c>
      <c r="E1314" s="2">
        <v>0.47610400000000003</v>
      </c>
      <c r="F1314" s="2">
        <v>3.3212999999999999E-2</v>
      </c>
      <c r="G1314" s="2">
        <v>0.41097929999999999</v>
      </c>
      <c r="H1314" s="2">
        <v>0.54122811999999998</v>
      </c>
    </row>
    <row r="1315" spans="1:8" ht="17.25" thickBot="1" x14ac:dyDescent="0.35">
      <c r="A1315" s="6">
        <v>2</v>
      </c>
      <c r="B1315" s="3">
        <v>0</v>
      </c>
      <c r="C1315" s="11" t="s">
        <v>116</v>
      </c>
      <c r="D1315" s="2">
        <v>4570</v>
      </c>
      <c r="E1315" s="2">
        <v>0.27366800000000002</v>
      </c>
      <c r="F1315" s="2">
        <v>6.0210000000000003E-3</v>
      </c>
      <c r="G1315" s="2">
        <v>0.26186262999999999</v>
      </c>
      <c r="H1315" s="2">
        <v>0.28547334000000002</v>
      </c>
    </row>
    <row r="1316" spans="1:8" ht="17.25" thickBot="1" x14ac:dyDescent="0.35">
      <c r="A1316" s="6"/>
      <c r="B1316" s="3">
        <v>1</v>
      </c>
      <c r="C1316" s="11" t="s">
        <v>116</v>
      </c>
      <c r="D1316" s="2">
        <v>73</v>
      </c>
      <c r="E1316" s="2">
        <v>0.54012499999999997</v>
      </c>
      <c r="F1316" s="2">
        <v>3.8510000000000003E-2</v>
      </c>
      <c r="G1316" s="2">
        <v>0.46461335999999998</v>
      </c>
      <c r="H1316" s="2">
        <v>0.61563623000000001</v>
      </c>
    </row>
    <row r="1317" spans="1:8" ht="17.25" thickBot="1" x14ac:dyDescent="0.35">
      <c r="A1317" s="6"/>
      <c r="B1317" s="3">
        <v>8</v>
      </c>
      <c r="C1317" s="11" t="s">
        <v>116</v>
      </c>
      <c r="D1317" s="2">
        <v>89</v>
      </c>
      <c r="E1317" s="2">
        <v>0.29133100000000001</v>
      </c>
      <c r="F1317" s="2">
        <v>3.1869000000000001E-2</v>
      </c>
      <c r="G1317" s="2">
        <v>0.22884133000000001</v>
      </c>
      <c r="H1317" s="2">
        <v>0.35382123999999998</v>
      </c>
    </row>
    <row r="1318" spans="1:8" ht="17.25" thickBot="1" x14ac:dyDescent="0.35">
      <c r="A1318" s="6">
        <v>3</v>
      </c>
      <c r="B1318" s="3">
        <v>0</v>
      </c>
      <c r="C1318" s="11" t="s">
        <v>116</v>
      </c>
      <c r="D1318" s="2">
        <v>3595</v>
      </c>
      <c r="E1318" s="2">
        <v>0.278362</v>
      </c>
      <c r="F1318" s="2">
        <v>6.7270000000000003E-3</v>
      </c>
      <c r="G1318" s="2">
        <v>0.26517189000000002</v>
      </c>
      <c r="H1318" s="2">
        <v>0.29155184000000001</v>
      </c>
    </row>
    <row r="1319" spans="1:8" ht="17.25" thickBot="1" x14ac:dyDescent="0.35">
      <c r="A1319" s="6"/>
      <c r="B1319" s="3">
        <v>1</v>
      </c>
      <c r="C1319" s="11" t="s">
        <v>116</v>
      </c>
      <c r="D1319" s="2">
        <v>73</v>
      </c>
      <c r="E1319" s="2">
        <v>0.41396899999999998</v>
      </c>
      <c r="F1319" s="2">
        <v>3.0001E-2</v>
      </c>
      <c r="G1319" s="2">
        <v>0.35514335000000002</v>
      </c>
      <c r="H1319" s="2">
        <v>0.47279469000000002</v>
      </c>
    </row>
    <row r="1320" spans="1:8" ht="17.25" thickBot="1" x14ac:dyDescent="0.35">
      <c r="A1320" s="6"/>
      <c r="B1320" s="3">
        <v>8</v>
      </c>
      <c r="C1320" s="11" t="s">
        <v>116</v>
      </c>
      <c r="D1320" s="2">
        <v>589</v>
      </c>
      <c r="E1320" s="2">
        <v>0.38021500000000003</v>
      </c>
      <c r="F1320" s="2">
        <v>1.8549E-2</v>
      </c>
      <c r="G1320" s="2">
        <v>0.34384337999999998</v>
      </c>
      <c r="H1320" s="2">
        <v>0.41658675000000001</v>
      </c>
    </row>
    <row r="1321" spans="1:8" ht="17.25" thickBot="1" x14ac:dyDescent="0.35">
      <c r="A1321" s="6">
        <v>4</v>
      </c>
      <c r="B1321" s="3">
        <v>0</v>
      </c>
      <c r="C1321" s="11" t="s">
        <v>116</v>
      </c>
      <c r="D1321" s="2">
        <v>3853</v>
      </c>
      <c r="E1321" s="2">
        <v>0.28575899999999999</v>
      </c>
      <c r="F1321" s="2">
        <v>6.6379999999999998E-3</v>
      </c>
      <c r="G1321" s="2">
        <v>0.27274334</v>
      </c>
      <c r="H1321" s="2">
        <v>0.29877419999999999</v>
      </c>
    </row>
    <row r="1322" spans="1:8" ht="17.25" thickBot="1" x14ac:dyDescent="0.35">
      <c r="A1322" s="6"/>
      <c r="B1322" s="3">
        <v>1</v>
      </c>
      <c r="C1322" s="11" t="s">
        <v>116</v>
      </c>
      <c r="D1322" s="2">
        <v>88</v>
      </c>
      <c r="E1322" s="2">
        <v>0.475798</v>
      </c>
      <c r="F1322" s="2">
        <v>4.3256999999999997E-2</v>
      </c>
      <c r="G1322" s="2">
        <v>0.39097917999999998</v>
      </c>
      <c r="H1322" s="2">
        <v>0.56061724999999996</v>
      </c>
    </row>
    <row r="1323" spans="1:8" ht="17.25" thickBot="1" x14ac:dyDescent="0.35">
      <c r="A1323" s="6"/>
      <c r="B1323" s="3">
        <v>8</v>
      </c>
      <c r="C1323" s="11" t="s">
        <v>116</v>
      </c>
      <c r="D1323" s="2">
        <v>615</v>
      </c>
      <c r="E1323" s="2">
        <v>0.39851700000000001</v>
      </c>
      <c r="F1323" s="2">
        <v>1.5816E-2</v>
      </c>
      <c r="G1323" s="2">
        <v>0.36750484999999999</v>
      </c>
      <c r="H1323" s="2">
        <v>0.42952994999999999</v>
      </c>
    </row>
    <row r="1324" spans="1:8" ht="17.25" thickBot="1" x14ac:dyDescent="0.35">
      <c r="A1324" s="6">
        <v>5</v>
      </c>
      <c r="B1324" s="3">
        <v>0</v>
      </c>
      <c r="C1324" s="11" t="s">
        <v>116</v>
      </c>
      <c r="D1324" s="2">
        <v>3543</v>
      </c>
      <c r="E1324" s="2">
        <v>0.27342699999999998</v>
      </c>
      <c r="F1324" s="2">
        <v>7.0309999999999999E-3</v>
      </c>
      <c r="G1324" s="2">
        <v>0.25964023000000003</v>
      </c>
      <c r="H1324" s="2">
        <v>0.28721382000000001</v>
      </c>
    </row>
    <row r="1325" spans="1:8" ht="17.25" thickBot="1" x14ac:dyDescent="0.35">
      <c r="A1325" s="6"/>
      <c r="B1325" s="3">
        <v>1</v>
      </c>
      <c r="C1325" s="11" t="s">
        <v>116</v>
      </c>
      <c r="D1325" s="2">
        <v>88</v>
      </c>
      <c r="E1325" s="2">
        <v>0.35510999999999998</v>
      </c>
      <c r="F1325" s="2">
        <v>3.3346000000000001E-2</v>
      </c>
      <c r="G1325" s="2">
        <v>0.28972529000000002</v>
      </c>
      <c r="H1325" s="2">
        <v>0.42049528000000003</v>
      </c>
    </row>
    <row r="1326" spans="1:8" ht="17.25" thickBot="1" x14ac:dyDescent="0.35">
      <c r="A1326" s="6"/>
      <c r="B1326" s="3">
        <v>8</v>
      </c>
      <c r="C1326" s="11" t="s">
        <v>116</v>
      </c>
      <c r="D1326" s="2">
        <v>870</v>
      </c>
      <c r="E1326" s="2">
        <v>0.36205999999999999</v>
      </c>
      <c r="F1326" s="2">
        <v>1.3436999999999999E-2</v>
      </c>
      <c r="G1326" s="2">
        <v>0.33571263000000001</v>
      </c>
      <c r="H1326" s="2">
        <v>0.38840657000000001</v>
      </c>
    </row>
    <row r="1327" spans="1:8" ht="17.25" thickBot="1" x14ac:dyDescent="0.35">
      <c r="A1327" s="6">
        <v>6</v>
      </c>
      <c r="B1327" s="3">
        <v>0</v>
      </c>
      <c r="C1327" s="11" t="s">
        <v>116</v>
      </c>
      <c r="D1327" s="2">
        <v>1045</v>
      </c>
      <c r="E1327" s="2">
        <v>0.22759399999999999</v>
      </c>
      <c r="F1327" s="2">
        <v>1.0555E-2</v>
      </c>
      <c r="G1327" s="2">
        <v>0.20689684</v>
      </c>
      <c r="H1327" s="2">
        <v>0.24829105000000001</v>
      </c>
    </row>
    <row r="1328" spans="1:8" ht="17.25" thickBot="1" x14ac:dyDescent="0.35">
      <c r="A1328" s="6"/>
      <c r="B1328" s="3">
        <v>1</v>
      </c>
      <c r="C1328" s="11" t="s">
        <v>116</v>
      </c>
      <c r="D1328" s="2">
        <v>27</v>
      </c>
      <c r="E1328" s="2">
        <v>0.29178799999999999</v>
      </c>
      <c r="F1328" s="2">
        <v>5.5369000000000002E-2</v>
      </c>
      <c r="G1328" s="2">
        <v>0.18321815</v>
      </c>
      <c r="H1328" s="2">
        <v>0.40035731000000002</v>
      </c>
    </row>
    <row r="1329" spans="1:8" x14ac:dyDescent="0.3">
      <c r="A1329" s="6"/>
      <c r="B1329" s="3">
        <v>8</v>
      </c>
      <c r="C1329" s="14" t="s">
        <v>116</v>
      </c>
      <c r="D1329" s="2">
        <v>364</v>
      </c>
      <c r="E1329" s="2">
        <v>0.30080400000000002</v>
      </c>
      <c r="F1329" s="2">
        <v>1.9592999999999999E-2</v>
      </c>
      <c r="G1329" s="2">
        <v>0.26238607000000003</v>
      </c>
      <c r="H1329" s="2">
        <v>0.33922116000000002</v>
      </c>
    </row>
    <row r="1333" spans="1:8" x14ac:dyDescent="0.3">
      <c r="A1333" s="1" t="s">
        <v>237</v>
      </c>
    </row>
    <row r="1335" spans="1:8" x14ac:dyDescent="0.3">
      <c r="A1335" s="1" t="s">
        <v>21</v>
      </c>
    </row>
    <row r="1336" spans="1:8" ht="17.25" thickBot="1" x14ac:dyDescent="0.35"/>
    <row r="1337" spans="1:8" ht="16.5" customHeight="1" x14ac:dyDescent="0.3">
      <c r="A1337" s="16" t="s">
        <v>135</v>
      </c>
      <c r="B1337" s="18"/>
    </row>
    <row r="1338" spans="1:8" ht="26.25" thickBot="1" x14ac:dyDescent="0.35">
      <c r="A1338" s="12" t="s">
        <v>136</v>
      </c>
      <c r="B1338" s="2">
        <v>183</v>
      </c>
    </row>
    <row r="1339" spans="1:8" ht="26.25" thickBot="1" x14ac:dyDescent="0.35">
      <c r="A1339" s="12" t="s">
        <v>137</v>
      </c>
      <c r="B1339" s="2">
        <v>2982</v>
      </c>
    </row>
    <row r="1340" spans="1:8" ht="39" thickBot="1" x14ac:dyDescent="0.35">
      <c r="A1340" s="12" t="s">
        <v>138</v>
      </c>
      <c r="B1340" s="2">
        <v>68635</v>
      </c>
    </row>
    <row r="1341" spans="1:8" ht="25.5" x14ac:dyDescent="0.3">
      <c r="A1341" s="13" t="s">
        <v>139</v>
      </c>
      <c r="B1341" s="2">
        <v>30251935.699999999</v>
      </c>
    </row>
    <row r="1342" spans="1:8" ht="17.25" thickBot="1" x14ac:dyDescent="0.35"/>
    <row r="1343" spans="1:8" ht="33" customHeight="1" x14ac:dyDescent="0.3">
      <c r="A1343" s="16" t="s">
        <v>140</v>
      </c>
      <c r="B1343" s="18"/>
    </row>
    <row r="1344" spans="1:8" ht="33.75" thickBot="1" x14ac:dyDescent="0.35">
      <c r="A1344" s="12" t="s">
        <v>141</v>
      </c>
      <c r="B1344" s="2" t="s">
        <v>142</v>
      </c>
    </row>
    <row r="1345" spans="1:8" ht="25.5" x14ac:dyDescent="0.3">
      <c r="A1345" s="13" t="s">
        <v>143</v>
      </c>
      <c r="B1345" s="2" t="s">
        <v>144</v>
      </c>
    </row>
    <row r="1346" spans="1:8" ht="17.25" thickBot="1" x14ac:dyDescent="0.35"/>
    <row r="1347" spans="1:8" ht="16.5" customHeight="1" x14ac:dyDescent="0.3">
      <c r="A1347" s="16" t="s">
        <v>238</v>
      </c>
      <c r="B1347" s="18"/>
      <c r="C1347" s="18"/>
      <c r="D1347" s="18"/>
      <c r="E1347" s="18"/>
      <c r="F1347" s="18"/>
    </row>
    <row r="1348" spans="1:8" ht="16.5" customHeight="1" x14ac:dyDescent="0.3">
      <c r="A1348" s="17" t="s">
        <v>239</v>
      </c>
      <c r="B1348" s="19" t="s">
        <v>94</v>
      </c>
      <c r="C1348" s="19" t="s">
        <v>240</v>
      </c>
      <c r="D1348" s="3" t="s">
        <v>241</v>
      </c>
      <c r="E1348" s="19" t="s">
        <v>243</v>
      </c>
      <c r="F1348" s="19"/>
    </row>
    <row r="1349" spans="1:8" x14ac:dyDescent="0.3">
      <c r="A1349" s="17"/>
      <c r="B1349" s="19"/>
      <c r="C1349" s="19"/>
      <c r="D1349" s="3" t="s">
        <v>242</v>
      </c>
      <c r="E1349" s="19"/>
      <c r="F1349" s="19"/>
    </row>
    <row r="1350" spans="1:8" x14ac:dyDescent="0.3">
      <c r="A1350" s="13" t="s">
        <v>116</v>
      </c>
      <c r="B1350" s="2">
        <v>68635</v>
      </c>
      <c r="C1350" s="2">
        <v>0.34523599999999999</v>
      </c>
      <c r="D1350" s="2">
        <v>1.6490000000000001E-3</v>
      </c>
      <c r="E1350" s="2">
        <v>0.34200205</v>
      </c>
      <c r="F1350" s="2">
        <v>0.34847033999999999</v>
      </c>
    </row>
    <row r="1354" spans="1:8" x14ac:dyDescent="0.3">
      <c r="A1354" s="1" t="s">
        <v>237</v>
      </c>
    </row>
    <row r="1356" spans="1:8" x14ac:dyDescent="0.3">
      <c r="A1356" s="1" t="s">
        <v>21</v>
      </c>
    </row>
    <row r="1357" spans="1:8" ht="17.25" thickBot="1" x14ac:dyDescent="0.35"/>
    <row r="1358" spans="1:8" ht="16.5" customHeight="1" x14ac:dyDescent="0.3">
      <c r="A1358" s="16" t="s">
        <v>263</v>
      </c>
      <c r="B1358" s="18"/>
      <c r="C1358" s="18"/>
      <c r="D1358" s="18"/>
      <c r="E1358" s="18"/>
      <c r="F1358" s="18"/>
      <c r="G1358" s="18"/>
      <c r="H1358" s="18"/>
    </row>
    <row r="1359" spans="1:8" ht="16.5" customHeight="1" x14ac:dyDescent="0.3">
      <c r="A1359" s="17" t="s">
        <v>249</v>
      </c>
      <c r="B1359" s="19" t="s">
        <v>18</v>
      </c>
      <c r="C1359" s="19" t="s">
        <v>239</v>
      </c>
      <c r="D1359" s="19" t="s">
        <v>94</v>
      </c>
      <c r="E1359" s="19" t="s">
        <v>240</v>
      </c>
      <c r="F1359" s="3" t="s">
        <v>241</v>
      </c>
      <c r="G1359" s="19" t="s">
        <v>243</v>
      </c>
      <c r="H1359" s="19"/>
    </row>
    <row r="1360" spans="1:8" x14ac:dyDescent="0.3">
      <c r="A1360" s="17"/>
      <c r="B1360" s="19"/>
      <c r="C1360" s="19"/>
      <c r="D1360" s="19"/>
      <c r="E1360" s="19"/>
      <c r="F1360" s="3" t="s">
        <v>242</v>
      </c>
      <c r="G1360" s="19"/>
      <c r="H1360" s="19"/>
    </row>
    <row r="1361" spans="1:15" ht="17.25" thickBot="1" x14ac:dyDescent="0.35">
      <c r="A1361" s="6">
        <v>1</v>
      </c>
      <c r="B1361" s="3">
        <v>0</v>
      </c>
      <c r="C1361" s="11" t="s">
        <v>116</v>
      </c>
      <c r="D1361" s="2">
        <v>11691</v>
      </c>
      <c r="E1361" s="2">
        <v>0.36682399999999998</v>
      </c>
      <c r="F1361" s="2">
        <v>3.846E-3</v>
      </c>
      <c r="G1361" s="2">
        <v>0.35928178</v>
      </c>
      <c r="H1361" s="2">
        <v>0.37436608999999998</v>
      </c>
      <c r="J1361" t="str">
        <f t="shared" ref="J1361:J1372" si="48">TEXT(E1361,"0.00")&amp;" ("&amp;TEXT(G1361,"0.00")&amp;" to "&amp;TEXT(H1361,"0.00")&amp;")"</f>
        <v>0.37 (0.36 to 0.37)</v>
      </c>
      <c r="K1361" t="str">
        <f>J1363</f>
        <v>0.36 (0.35 to 0.36)</v>
      </c>
      <c r="L1361" t="str">
        <f>J1365</f>
        <v>0.35 (0.34 to 0.35)</v>
      </c>
      <c r="M1361" t="str">
        <f>J1367</f>
        <v>0.35 (0.34 to 0.36)</v>
      </c>
      <c r="N1361" t="str">
        <f>J1369</f>
        <v>0.33 (0.32 to 0.33)</v>
      </c>
      <c r="O1361" t="str">
        <f>J1371</f>
        <v>0.29 (0.28 to 0.30)</v>
      </c>
    </row>
    <row r="1362" spans="1:15" ht="17.25" thickBot="1" x14ac:dyDescent="0.35">
      <c r="A1362" s="6"/>
      <c r="B1362" s="3">
        <v>1</v>
      </c>
      <c r="C1362" s="11" t="s">
        <v>116</v>
      </c>
      <c r="D1362" s="2">
        <v>224</v>
      </c>
      <c r="E1362" s="2">
        <v>0.45224999999999999</v>
      </c>
      <c r="F1362" s="2">
        <v>2.0279999999999999E-2</v>
      </c>
      <c r="G1362" s="2">
        <v>0.41248554999999998</v>
      </c>
      <c r="H1362" s="2">
        <v>0.49201509999999998</v>
      </c>
      <c r="J1362" t="str">
        <f t="shared" si="48"/>
        <v>0.45 (0.41 to 0.49)</v>
      </c>
      <c r="K1362" t="str">
        <f>J1364</f>
        <v>0.46 (0.42 to 0.51)</v>
      </c>
      <c r="L1362" t="str">
        <f>J1366</f>
        <v>0.46 (0.41 to 0.50)</v>
      </c>
      <c r="M1362" t="str">
        <f>J1368</f>
        <v>0.41 (0.36 to 0.45)</v>
      </c>
      <c r="N1362" t="str">
        <f>J1370</f>
        <v>0.40 (0.36 to 0.45)</v>
      </c>
      <c r="O1362" t="str">
        <f>J1372</f>
        <v>0.42 (0.35 to 0.48)</v>
      </c>
    </row>
    <row r="1363" spans="1:15" ht="17.25" thickBot="1" x14ac:dyDescent="0.35">
      <c r="A1363" s="6">
        <v>2</v>
      </c>
      <c r="B1363" s="3">
        <v>0</v>
      </c>
      <c r="C1363" s="11" t="s">
        <v>116</v>
      </c>
      <c r="D1363" s="2">
        <v>12900</v>
      </c>
      <c r="E1363" s="2">
        <v>0.35552899999999998</v>
      </c>
      <c r="F1363" s="2">
        <v>3.7829999999999999E-3</v>
      </c>
      <c r="G1363" s="2">
        <v>0.34811106000000003</v>
      </c>
      <c r="H1363" s="2">
        <v>0.36294717999999998</v>
      </c>
      <c r="J1363" t="str">
        <f t="shared" si="48"/>
        <v>0.36 (0.35 to 0.36)</v>
      </c>
    </row>
    <row r="1364" spans="1:15" ht="17.25" thickBot="1" x14ac:dyDescent="0.35">
      <c r="A1364" s="6"/>
      <c r="B1364" s="3">
        <v>1</v>
      </c>
      <c r="C1364" s="11" t="s">
        <v>116</v>
      </c>
      <c r="D1364" s="2">
        <v>216</v>
      </c>
      <c r="E1364" s="2">
        <v>0.46459299999999998</v>
      </c>
      <c r="F1364" s="2">
        <v>2.3446999999999999E-2</v>
      </c>
      <c r="G1364" s="2">
        <v>0.41861683</v>
      </c>
      <c r="H1364" s="2">
        <v>0.51056891999999998</v>
      </c>
      <c r="J1364" t="str">
        <f t="shared" si="48"/>
        <v>0.46 (0.42 to 0.51)</v>
      </c>
    </row>
    <row r="1365" spans="1:15" ht="17.25" thickBot="1" x14ac:dyDescent="0.35">
      <c r="A1365" s="6">
        <v>3</v>
      </c>
      <c r="B1365" s="3">
        <v>0</v>
      </c>
      <c r="C1365" s="11" t="s">
        <v>116</v>
      </c>
      <c r="D1365" s="2">
        <v>11238</v>
      </c>
      <c r="E1365" s="2">
        <v>0.346777</v>
      </c>
      <c r="F1365" s="2">
        <v>3.8340000000000002E-3</v>
      </c>
      <c r="G1365" s="2">
        <v>0.33925956000000002</v>
      </c>
      <c r="H1365" s="2">
        <v>0.35429483000000001</v>
      </c>
      <c r="J1365" t="str">
        <f t="shared" si="48"/>
        <v>0.35 (0.34 to 0.35)</v>
      </c>
    </row>
    <row r="1366" spans="1:15" ht="17.25" thickBot="1" x14ac:dyDescent="0.35">
      <c r="A1366" s="6"/>
      <c r="B1366" s="3">
        <v>1</v>
      </c>
      <c r="C1366" s="11" t="s">
        <v>116</v>
      </c>
      <c r="D1366" s="2">
        <v>237</v>
      </c>
      <c r="E1366" s="2">
        <v>0.45718500000000001</v>
      </c>
      <c r="F1366" s="2">
        <v>2.2301999999999999E-2</v>
      </c>
      <c r="G1366" s="2">
        <v>0.41345572000000003</v>
      </c>
      <c r="H1366" s="2">
        <v>0.50091487000000001</v>
      </c>
      <c r="J1366" t="str">
        <f t="shared" si="48"/>
        <v>0.46 (0.41 to 0.50)</v>
      </c>
    </row>
    <row r="1367" spans="1:15" ht="17.25" thickBot="1" x14ac:dyDescent="0.35">
      <c r="A1367" s="6">
        <v>4</v>
      </c>
      <c r="B1367" s="3">
        <v>0</v>
      </c>
      <c r="C1367" s="11" t="s">
        <v>116</v>
      </c>
      <c r="D1367" s="2">
        <v>13882</v>
      </c>
      <c r="E1367" s="2">
        <v>0.352184</v>
      </c>
      <c r="F1367" s="2">
        <v>3.7239999999999999E-3</v>
      </c>
      <c r="G1367" s="2">
        <v>0.34488179000000002</v>
      </c>
      <c r="H1367" s="2">
        <v>0.35948671999999998</v>
      </c>
      <c r="J1367" t="str">
        <f t="shared" si="48"/>
        <v>0.35 (0.34 to 0.36)</v>
      </c>
    </row>
    <row r="1368" spans="1:15" ht="17.25" thickBot="1" x14ac:dyDescent="0.35">
      <c r="A1368" s="6"/>
      <c r="B1368" s="3">
        <v>1</v>
      </c>
      <c r="C1368" s="11" t="s">
        <v>116</v>
      </c>
      <c r="D1368" s="2">
        <v>276</v>
      </c>
      <c r="E1368" s="2">
        <v>0.406171</v>
      </c>
      <c r="F1368" s="2">
        <v>2.1999999999999999E-2</v>
      </c>
      <c r="G1368" s="2">
        <v>0.36303333999999998</v>
      </c>
      <c r="H1368" s="2">
        <v>0.44930965</v>
      </c>
      <c r="J1368" t="str">
        <f t="shared" si="48"/>
        <v>0.41 (0.36 to 0.45)</v>
      </c>
    </row>
    <row r="1369" spans="1:15" ht="17.25" thickBot="1" x14ac:dyDescent="0.35">
      <c r="A1369" s="6">
        <v>5</v>
      </c>
      <c r="B1369" s="3">
        <v>0</v>
      </c>
      <c r="C1369" s="11" t="s">
        <v>116</v>
      </c>
      <c r="D1369" s="2">
        <v>13294</v>
      </c>
      <c r="E1369" s="2">
        <v>0.32720700000000003</v>
      </c>
      <c r="F1369" s="2">
        <v>3.8379999999999998E-3</v>
      </c>
      <c r="G1369" s="2">
        <v>0.31968062000000003</v>
      </c>
      <c r="H1369" s="2">
        <v>0.33473287000000002</v>
      </c>
      <c r="J1369" t="str">
        <f t="shared" si="48"/>
        <v>0.33 (0.32 to 0.33)</v>
      </c>
    </row>
    <row r="1370" spans="1:15" ht="17.25" thickBot="1" x14ac:dyDescent="0.35">
      <c r="A1370" s="6"/>
      <c r="B1370" s="3">
        <v>1</v>
      </c>
      <c r="C1370" s="11" t="s">
        <v>116</v>
      </c>
      <c r="D1370" s="2">
        <v>261</v>
      </c>
      <c r="E1370" s="2">
        <v>0.40313100000000002</v>
      </c>
      <c r="F1370" s="2">
        <v>2.1735000000000001E-2</v>
      </c>
      <c r="G1370" s="2">
        <v>0.36051285</v>
      </c>
      <c r="H1370" s="2">
        <v>0.44574975</v>
      </c>
      <c r="J1370" t="str">
        <f t="shared" si="48"/>
        <v>0.40 (0.36 to 0.45)</v>
      </c>
    </row>
    <row r="1371" spans="1:15" ht="17.25" thickBot="1" x14ac:dyDescent="0.35">
      <c r="A1371" s="6">
        <v>6</v>
      </c>
      <c r="B1371" s="3">
        <v>0</v>
      </c>
      <c r="C1371" s="11" t="s">
        <v>116</v>
      </c>
      <c r="D1371" s="2">
        <v>4339</v>
      </c>
      <c r="E1371" s="2">
        <v>0.28913299999999997</v>
      </c>
      <c r="F1371" s="2">
        <v>6.3689999999999997E-3</v>
      </c>
      <c r="G1371" s="2">
        <v>0.27664422</v>
      </c>
      <c r="H1371" s="2">
        <v>0.30162246999999998</v>
      </c>
      <c r="J1371" t="str">
        <f t="shared" si="48"/>
        <v>0.29 (0.28 to 0.30)</v>
      </c>
    </row>
    <row r="1372" spans="1:15" x14ac:dyDescent="0.3">
      <c r="A1372" s="6"/>
      <c r="B1372" s="3">
        <v>1</v>
      </c>
      <c r="C1372" s="14" t="s">
        <v>116</v>
      </c>
      <c r="D1372" s="2">
        <v>77</v>
      </c>
      <c r="E1372" s="2">
        <v>0.41740100000000002</v>
      </c>
      <c r="F1372" s="2">
        <v>3.4423000000000002E-2</v>
      </c>
      <c r="G1372" s="2">
        <v>0.34990346</v>
      </c>
      <c r="H1372" s="2">
        <v>0.48489895</v>
      </c>
      <c r="J1372" t="str">
        <f t="shared" si="48"/>
        <v>0.42 (0.35 to 0.48)</v>
      </c>
    </row>
    <row r="1376" spans="1:15" x14ac:dyDescent="0.3">
      <c r="A1376" s="1" t="s">
        <v>237</v>
      </c>
    </row>
    <row r="1378" spans="1:6" x14ac:dyDescent="0.3">
      <c r="A1378" s="1" t="s">
        <v>1</v>
      </c>
    </row>
    <row r="1379" spans="1:6" ht="17.25" thickBot="1" x14ac:dyDescent="0.35"/>
    <row r="1380" spans="1:6" ht="16.5" customHeight="1" x14ac:dyDescent="0.3">
      <c r="A1380" s="16" t="s">
        <v>135</v>
      </c>
      <c r="B1380" s="18"/>
    </row>
    <row r="1381" spans="1:6" ht="26.25" thickBot="1" x14ac:dyDescent="0.35">
      <c r="A1381" s="12" t="s">
        <v>136</v>
      </c>
      <c r="B1381" s="2">
        <v>183</v>
      </c>
    </row>
    <row r="1382" spans="1:6" ht="26.25" thickBot="1" x14ac:dyDescent="0.35">
      <c r="A1382" s="12" t="s">
        <v>137</v>
      </c>
      <c r="B1382" s="2">
        <v>2949</v>
      </c>
    </row>
    <row r="1383" spans="1:6" ht="39" thickBot="1" x14ac:dyDescent="0.35">
      <c r="A1383" s="12" t="s">
        <v>138</v>
      </c>
      <c r="B1383" s="2">
        <v>23222</v>
      </c>
    </row>
    <row r="1384" spans="1:6" ht="25.5" x14ac:dyDescent="0.3">
      <c r="A1384" s="13" t="s">
        <v>139</v>
      </c>
      <c r="B1384" s="2">
        <v>9036880.5199999996</v>
      </c>
    </row>
    <row r="1385" spans="1:6" ht="17.25" thickBot="1" x14ac:dyDescent="0.35"/>
    <row r="1386" spans="1:6" ht="33" customHeight="1" x14ac:dyDescent="0.3">
      <c r="A1386" s="16" t="s">
        <v>140</v>
      </c>
      <c r="B1386" s="18"/>
    </row>
    <row r="1387" spans="1:6" ht="33.75" thickBot="1" x14ac:dyDescent="0.35">
      <c r="A1387" s="12" t="s">
        <v>141</v>
      </c>
      <c r="B1387" s="2" t="s">
        <v>142</v>
      </c>
    </row>
    <row r="1388" spans="1:6" ht="25.5" x14ac:dyDescent="0.3">
      <c r="A1388" s="13" t="s">
        <v>143</v>
      </c>
      <c r="B1388" s="2" t="s">
        <v>144</v>
      </c>
    </row>
    <row r="1389" spans="1:6" ht="17.25" thickBot="1" x14ac:dyDescent="0.35"/>
    <row r="1390" spans="1:6" ht="16.5" customHeight="1" x14ac:dyDescent="0.3">
      <c r="A1390" s="16" t="s">
        <v>238</v>
      </c>
      <c r="B1390" s="18"/>
      <c r="C1390" s="18"/>
      <c r="D1390" s="18"/>
      <c r="E1390" s="18"/>
      <c r="F1390" s="18"/>
    </row>
    <row r="1391" spans="1:6" ht="16.5" customHeight="1" x14ac:dyDescent="0.3">
      <c r="A1391" s="17" t="s">
        <v>239</v>
      </c>
      <c r="B1391" s="19" t="s">
        <v>94</v>
      </c>
      <c r="C1391" s="19" t="s">
        <v>240</v>
      </c>
      <c r="D1391" s="3" t="s">
        <v>241</v>
      </c>
      <c r="E1391" s="19" t="s">
        <v>243</v>
      </c>
      <c r="F1391" s="19"/>
    </row>
    <row r="1392" spans="1:6" x14ac:dyDescent="0.3">
      <c r="A1392" s="17"/>
      <c r="B1392" s="19"/>
      <c r="C1392" s="19"/>
      <c r="D1392" s="3" t="s">
        <v>242</v>
      </c>
      <c r="E1392" s="19"/>
      <c r="F1392" s="19"/>
    </row>
    <row r="1393" spans="1:8" x14ac:dyDescent="0.3">
      <c r="A1393" s="13" t="s">
        <v>116</v>
      </c>
      <c r="B1393" s="2">
        <v>23222</v>
      </c>
      <c r="C1393" s="2">
        <v>0.29750300000000002</v>
      </c>
      <c r="D1393" s="2">
        <v>2.7789999999999998E-3</v>
      </c>
      <c r="E1393" s="2">
        <v>0.29205375</v>
      </c>
      <c r="F1393" s="2">
        <v>0.30295137999999999</v>
      </c>
    </row>
    <row r="1397" spans="1:8" x14ac:dyDescent="0.3">
      <c r="A1397" s="1" t="s">
        <v>237</v>
      </c>
    </row>
    <row r="1399" spans="1:8" x14ac:dyDescent="0.3">
      <c r="A1399" s="1" t="s">
        <v>1</v>
      </c>
    </row>
    <row r="1400" spans="1:8" ht="17.25" thickBot="1" x14ac:dyDescent="0.35"/>
    <row r="1401" spans="1:8" ht="16.5" customHeight="1" x14ac:dyDescent="0.3">
      <c r="A1401" s="16" t="s">
        <v>264</v>
      </c>
      <c r="B1401" s="18"/>
      <c r="C1401" s="18"/>
      <c r="D1401" s="18"/>
      <c r="E1401" s="18"/>
      <c r="F1401" s="18"/>
      <c r="G1401" s="18"/>
      <c r="H1401" s="18"/>
    </row>
    <row r="1402" spans="1:8" ht="16.5" customHeight="1" x14ac:dyDescent="0.3">
      <c r="A1402" s="17" t="s">
        <v>249</v>
      </c>
      <c r="B1402" s="19" t="s">
        <v>19</v>
      </c>
      <c r="C1402" s="19" t="s">
        <v>239</v>
      </c>
      <c r="D1402" s="19" t="s">
        <v>94</v>
      </c>
      <c r="E1402" s="19" t="s">
        <v>240</v>
      </c>
      <c r="F1402" s="3" t="s">
        <v>241</v>
      </c>
      <c r="G1402" s="19" t="s">
        <v>243</v>
      </c>
      <c r="H1402" s="19"/>
    </row>
    <row r="1403" spans="1:8" x14ac:dyDescent="0.3">
      <c r="A1403" s="17"/>
      <c r="B1403" s="19"/>
      <c r="C1403" s="19"/>
      <c r="D1403" s="19"/>
      <c r="E1403" s="19"/>
      <c r="F1403" s="3" t="s">
        <v>242</v>
      </c>
      <c r="G1403" s="19"/>
      <c r="H1403" s="19"/>
    </row>
    <row r="1404" spans="1:8" ht="17.25" thickBot="1" x14ac:dyDescent="0.35">
      <c r="A1404" s="6">
        <v>1</v>
      </c>
      <c r="B1404" s="3">
        <v>0</v>
      </c>
      <c r="C1404" s="11" t="s">
        <v>116</v>
      </c>
      <c r="D1404" s="2">
        <v>3711</v>
      </c>
      <c r="E1404" s="2">
        <v>0.35077599999999998</v>
      </c>
      <c r="F1404" s="2">
        <v>7.254E-3</v>
      </c>
      <c r="G1404" s="2">
        <v>0.33655317000000001</v>
      </c>
      <c r="H1404" s="2">
        <v>0.36499983000000003</v>
      </c>
    </row>
    <row r="1405" spans="1:8" ht="17.25" thickBot="1" x14ac:dyDescent="0.35">
      <c r="A1405" s="6"/>
      <c r="B1405" s="3">
        <v>1</v>
      </c>
      <c r="C1405" s="11" t="s">
        <v>116</v>
      </c>
      <c r="D1405" s="2">
        <v>29</v>
      </c>
      <c r="E1405" s="2">
        <v>0.46108300000000002</v>
      </c>
      <c r="F1405" s="2">
        <v>9.5096E-2</v>
      </c>
      <c r="G1405" s="2">
        <v>0.27461730000000001</v>
      </c>
      <c r="H1405" s="2">
        <v>0.64754820999999996</v>
      </c>
    </row>
    <row r="1406" spans="1:8" ht="17.25" thickBot="1" x14ac:dyDescent="0.35">
      <c r="A1406" s="6">
        <v>2</v>
      </c>
      <c r="B1406" s="3">
        <v>0</v>
      </c>
      <c r="C1406" s="11" t="s">
        <v>116</v>
      </c>
      <c r="D1406" s="2">
        <v>4616</v>
      </c>
      <c r="E1406" s="2">
        <v>0.27577699999999999</v>
      </c>
      <c r="F1406" s="2">
        <v>5.9870000000000001E-3</v>
      </c>
      <c r="G1406" s="2">
        <v>0.26403809</v>
      </c>
      <c r="H1406" s="2">
        <v>0.28751565000000001</v>
      </c>
    </row>
    <row r="1407" spans="1:8" ht="17.25" thickBot="1" x14ac:dyDescent="0.35">
      <c r="A1407" s="6"/>
      <c r="B1407" s="3">
        <v>1</v>
      </c>
      <c r="C1407" s="11" t="s">
        <v>116</v>
      </c>
      <c r="D1407" s="2">
        <v>27</v>
      </c>
      <c r="E1407" s="2">
        <v>0.47680499999999998</v>
      </c>
      <c r="F1407" s="2">
        <v>9.4628000000000004E-2</v>
      </c>
      <c r="G1407" s="2">
        <v>0.29125526000000002</v>
      </c>
      <c r="H1407" s="2">
        <v>0.66235421000000005</v>
      </c>
    </row>
    <row r="1408" spans="1:8" ht="17.25" thickBot="1" x14ac:dyDescent="0.35">
      <c r="A1408" s="6"/>
      <c r="B1408" s="3">
        <v>8</v>
      </c>
      <c r="C1408" s="11" t="s">
        <v>116</v>
      </c>
      <c r="D1408" s="2">
        <v>89</v>
      </c>
      <c r="E1408" s="2">
        <v>0.29133100000000001</v>
      </c>
      <c r="F1408" s="2">
        <v>3.1869000000000001E-2</v>
      </c>
      <c r="G1408" s="2">
        <v>0.22884133000000001</v>
      </c>
      <c r="H1408" s="2">
        <v>0.35382123999999998</v>
      </c>
    </row>
    <row r="1409" spans="1:8" ht="17.25" thickBot="1" x14ac:dyDescent="0.35">
      <c r="A1409" s="6">
        <v>3</v>
      </c>
      <c r="B1409" s="3">
        <v>0</v>
      </c>
      <c r="C1409" s="11" t="s">
        <v>116</v>
      </c>
      <c r="D1409" s="2">
        <v>3638</v>
      </c>
      <c r="E1409" s="2">
        <v>0.27905099999999999</v>
      </c>
      <c r="F1409" s="2">
        <v>6.5960000000000003E-3</v>
      </c>
      <c r="G1409" s="2">
        <v>0.26611721999999999</v>
      </c>
      <c r="H1409" s="2">
        <v>0.29198498000000001</v>
      </c>
    </row>
    <row r="1410" spans="1:8" ht="17.25" thickBot="1" x14ac:dyDescent="0.35">
      <c r="A1410" s="6"/>
      <c r="B1410" s="3">
        <v>1</v>
      </c>
      <c r="C1410" s="11" t="s">
        <v>116</v>
      </c>
      <c r="D1410" s="2">
        <v>27</v>
      </c>
      <c r="E1410" s="2">
        <v>0.45082</v>
      </c>
      <c r="F1410" s="2">
        <v>7.1030999999999997E-2</v>
      </c>
      <c r="G1410" s="2">
        <v>0.31154148999999998</v>
      </c>
      <c r="H1410" s="2">
        <v>0.59009842000000001</v>
      </c>
    </row>
    <row r="1411" spans="1:8" ht="17.25" thickBot="1" x14ac:dyDescent="0.35">
      <c r="A1411" s="6"/>
      <c r="B1411" s="3">
        <v>8</v>
      </c>
      <c r="C1411" s="11" t="s">
        <v>116</v>
      </c>
      <c r="D1411" s="2">
        <v>592</v>
      </c>
      <c r="E1411" s="2">
        <v>0.380519</v>
      </c>
      <c r="F1411" s="2">
        <v>1.8158000000000001E-2</v>
      </c>
      <c r="G1411" s="2">
        <v>0.34491441</v>
      </c>
      <c r="H1411" s="2">
        <v>0.41612408000000001</v>
      </c>
    </row>
    <row r="1412" spans="1:8" ht="17.25" thickBot="1" x14ac:dyDescent="0.35">
      <c r="A1412" s="6">
        <v>4</v>
      </c>
      <c r="B1412" s="3">
        <v>0</v>
      </c>
      <c r="C1412" s="11" t="s">
        <v>116</v>
      </c>
      <c r="D1412" s="2">
        <v>3905</v>
      </c>
      <c r="E1412" s="2">
        <v>0.28770099999999998</v>
      </c>
      <c r="F1412" s="2">
        <v>6.6299999999999996E-3</v>
      </c>
      <c r="G1412" s="2">
        <v>0.27470117999999999</v>
      </c>
      <c r="H1412" s="2">
        <v>0.30070164999999999</v>
      </c>
    </row>
    <row r="1413" spans="1:8" ht="17.25" thickBot="1" x14ac:dyDescent="0.35">
      <c r="A1413" s="6"/>
      <c r="B1413" s="3">
        <v>1</v>
      </c>
      <c r="C1413" s="11" t="s">
        <v>116</v>
      </c>
      <c r="D1413" s="2">
        <v>33</v>
      </c>
      <c r="E1413" s="2">
        <v>0.50105200000000005</v>
      </c>
      <c r="F1413" s="2">
        <v>5.9036999999999999E-2</v>
      </c>
      <c r="G1413" s="2">
        <v>0.38529176999999998</v>
      </c>
      <c r="H1413" s="2">
        <v>0.61681317999999996</v>
      </c>
    </row>
    <row r="1414" spans="1:8" ht="17.25" thickBot="1" x14ac:dyDescent="0.35">
      <c r="A1414" s="6"/>
      <c r="B1414" s="3">
        <v>8</v>
      </c>
      <c r="C1414" s="11" t="s">
        <v>116</v>
      </c>
      <c r="D1414" s="2">
        <v>618</v>
      </c>
      <c r="E1414" s="2">
        <v>0.399142</v>
      </c>
      <c r="F1414" s="2">
        <v>1.5816E-2</v>
      </c>
      <c r="G1414" s="2">
        <v>0.36813009000000002</v>
      </c>
      <c r="H1414" s="2">
        <v>0.43015404000000002</v>
      </c>
    </row>
    <row r="1415" spans="1:8" ht="17.25" thickBot="1" x14ac:dyDescent="0.35">
      <c r="A1415" s="6">
        <v>5</v>
      </c>
      <c r="B1415" s="3">
        <v>0</v>
      </c>
      <c r="C1415" s="11" t="s">
        <v>116</v>
      </c>
      <c r="D1415" s="2">
        <v>3585</v>
      </c>
      <c r="E1415" s="2">
        <v>0.27282899999999999</v>
      </c>
      <c r="F1415" s="2">
        <v>6.8900000000000003E-3</v>
      </c>
      <c r="G1415" s="2">
        <v>0.25931932000000002</v>
      </c>
      <c r="H1415" s="2">
        <v>0.28633958999999998</v>
      </c>
    </row>
    <row r="1416" spans="1:8" ht="17.25" thickBot="1" x14ac:dyDescent="0.35">
      <c r="A1416" s="6"/>
      <c r="B1416" s="3">
        <v>1</v>
      </c>
      <c r="C1416" s="11" t="s">
        <v>116</v>
      </c>
      <c r="D1416" s="2">
        <v>38</v>
      </c>
      <c r="E1416" s="2">
        <v>0.43490899999999999</v>
      </c>
      <c r="F1416" s="2">
        <v>4.4914999999999997E-2</v>
      </c>
      <c r="G1416" s="2">
        <v>0.34683815000000001</v>
      </c>
      <c r="H1416" s="2">
        <v>0.52298047999999997</v>
      </c>
    </row>
    <row r="1417" spans="1:8" ht="17.25" thickBot="1" x14ac:dyDescent="0.35">
      <c r="A1417" s="6"/>
      <c r="B1417" s="3">
        <v>8</v>
      </c>
      <c r="C1417" s="11" t="s">
        <v>116</v>
      </c>
      <c r="D1417" s="2">
        <v>878</v>
      </c>
      <c r="E1417" s="2">
        <v>0.36391800000000002</v>
      </c>
      <c r="F1417" s="2">
        <v>1.3439E-2</v>
      </c>
      <c r="G1417" s="2">
        <v>0.33756718000000002</v>
      </c>
      <c r="H1417" s="2">
        <v>0.39026838000000003</v>
      </c>
    </row>
    <row r="1418" spans="1:8" ht="17.25" thickBot="1" x14ac:dyDescent="0.35">
      <c r="A1418" s="6">
        <v>6</v>
      </c>
      <c r="B1418" s="3">
        <v>0</v>
      </c>
      <c r="C1418" s="11" t="s">
        <v>116</v>
      </c>
      <c r="D1418" s="2">
        <v>1060</v>
      </c>
      <c r="E1418" s="2">
        <v>0.22746</v>
      </c>
      <c r="F1418" s="2">
        <v>1.0448000000000001E-2</v>
      </c>
      <c r="G1418" s="2">
        <v>0.20697249000000001</v>
      </c>
      <c r="H1418" s="2">
        <v>0.24794737</v>
      </c>
    </row>
    <row r="1419" spans="1:8" ht="17.25" thickBot="1" x14ac:dyDescent="0.35">
      <c r="A1419" s="6"/>
      <c r="B1419" s="3">
        <v>1</v>
      </c>
      <c r="C1419" s="11" t="s">
        <v>116</v>
      </c>
      <c r="D1419" s="2">
        <v>11</v>
      </c>
      <c r="E1419" s="2">
        <v>0.38225599999999998</v>
      </c>
      <c r="F1419" s="2">
        <v>9.0357999999999994E-2</v>
      </c>
      <c r="G1419" s="2">
        <v>0.20508098999999999</v>
      </c>
      <c r="H1419" s="2">
        <v>0.55943169999999998</v>
      </c>
    </row>
    <row r="1420" spans="1:8" x14ac:dyDescent="0.3">
      <c r="A1420" s="6"/>
      <c r="B1420" s="3">
        <v>8</v>
      </c>
      <c r="C1420" s="14" t="s">
        <v>116</v>
      </c>
      <c r="D1420" s="2">
        <v>365</v>
      </c>
      <c r="E1420" s="2">
        <v>0.30040099999999997</v>
      </c>
      <c r="F1420" s="2">
        <v>1.9532999999999998E-2</v>
      </c>
      <c r="G1420" s="2">
        <v>0.26209937</v>
      </c>
      <c r="H1420" s="2">
        <v>0.33870236999999997</v>
      </c>
    </row>
    <row r="1424" spans="1:8" x14ac:dyDescent="0.3">
      <c r="A1424" s="1" t="s">
        <v>237</v>
      </c>
    </row>
    <row r="1426" spans="1:6" x14ac:dyDescent="0.3">
      <c r="A1426" s="1" t="s">
        <v>21</v>
      </c>
    </row>
    <row r="1427" spans="1:6" ht="17.25" thickBot="1" x14ac:dyDescent="0.35"/>
    <row r="1428" spans="1:6" ht="16.5" customHeight="1" x14ac:dyDescent="0.3">
      <c r="A1428" s="16" t="s">
        <v>135</v>
      </c>
      <c r="B1428" s="18"/>
    </row>
    <row r="1429" spans="1:6" ht="26.25" thickBot="1" x14ac:dyDescent="0.35">
      <c r="A1429" s="12" t="s">
        <v>136</v>
      </c>
      <c r="B1429" s="2">
        <v>183</v>
      </c>
    </row>
    <row r="1430" spans="1:6" ht="26.25" thickBot="1" x14ac:dyDescent="0.35">
      <c r="A1430" s="12" t="s">
        <v>137</v>
      </c>
      <c r="B1430" s="2">
        <v>2982</v>
      </c>
    </row>
    <row r="1431" spans="1:6" ht="39" thickBot="1" x14ac:dyDescent="0.35">
      <c r="A1431" s="12" t="s">
        <v>138</v>
      </c>
      <c r="B1431" s="2">
        <v>68635</v>
      </c>
    </row>
    <row r="1432" spans="1:6" ht="25.5" x14ac:dyDescent="0.3">
      <c r="A1432" s="13" t="s">
        <v>139</v>
      </c>
      <c r="B1432" s="2">
        <v>30251935.699999999</v>
      </c>
    </row>
    <row r="1433" spans="1:6" ht="17.25" thickBot="1" x14ac:dyDescent="0.35"/>
    <row r="1434" spans="1:6" ht="33" customHeight="1" x14ac:dyDescent="0.3">
      <c r="A1434" s="16" t="s">
        <v>140</v>
      </c>
      <c r="B1434" s="18"/>
    </row>
    <row r="1435" spans="1:6" ht="33.75" thickBot="1" x14ac:dyDescent="0.35">
      <c r="A1435" s="12" t="s">
        <v>141</v>
      </c>
      <c r="B1435" s="2" t="s">
        <v>142</v>
      </c>
    </row>
    <row r="1436" spans="1:6" ht="25.5" x14ac:dyDescent="0.3">
      <c r="A1436" s="13" t="s">
        <v>143</v>
      </c>
      <c r="B1436" s="2" t="s">
        <v>144</v>
      </c>
    </row>
    <row r="1437" spans="1:6" ht="17.25" thickBot="1" x14ac:dyDescent="0.35"/>
    <row r="1438" spans="1:6" ht="16.5" customHeight="1" x14ac:dyDescent="0.3">
      <c r="A1438" s="16" t="s">
        <v>238</v>
      </c>
      <c r="B1438" s="18"/>
      <c r="C1438" s="18"/>
      <c r="D1438" s="18"/>
      <c r="E1438" s="18"/>
      <c r="F1438" s="18"/>
    </row>
    <row r="1439" spans="1:6" ht="16.5" customHeight="1" x14ac:dyDescent="0.3">
      <c r="A1439" s="17" t="s">
        <v>239</v>
      </c>
      <c r="B1439" s="19" t="s">
        <v>94</v>
      </c>
      <c r="C1439" s="19" t="s">
        <v>240</v>
      </c>
      <c r="D1439" s="3" t="s">
        <v>241</v>
      </c>
      <c r="E1439" s="19" t="s">
        <v>243</v>
      </c>
      <c r="F1439" s="19"/>
    </row>
    <row r="1440" spans="1:6" x14ac:dyDescent="0.3">
      <c r="A1440" s="17"/>
      <c r="B1440" s="19"/>
      <c r="C1440" s="19"/>
      <c r="D1440" s="3" t="s">
        <v>242</v>
      </c>
      <c r="E1440" s="19"/>
      <c r="F1440" s="19"/>
    </row>
    <row r="1441" spans="1:15" x14ac:dyDescent="0.3">
      <c r="A1441" s="13" t="s">
        <v>116</v>
      </c>
      <c r="B1441" s="2">
        <v>68635</v>
      </c>
      <c r="C1441" s="2">
        <v>0.34523599999999999</v>
      </c>
      <c r="D1441" s="2">
        <v>1.6490000000000001E-3</v>
      </c>
      <c r="E1441" s="2">
        <v>0.34200205</v>
      </c>
      <c r="F1441" s="2">
        <v>0.34847033999999999</v>
      </c>
    </row>
    <row r="1445" spans="1:15" x14ac:dyDescent="0.3">
      <c r="A1445" s="1" t="s">
        <v>237</v>
      </c>
    </row>
    <row r="1447" spans="1:15" x14ac:dyDescent="0.3">
      <c r="A1447" s="1" t="s">
        <v>21</v>
      </c>
    </row>
    <row r="1448" spans="1:15" ht="17.25" thickBot="1" x14ac:dyDescent="0.35"/>
    <row r="1449" spans="1:15" ht="16.5" customHeight="1" x14ac:dyDescent="0.3">
      <c r="A1449" s="16" t="s">
        <v>264</v>
      </c>
      <c r="B1449" s="18"/>
      <c r="C1449" s="18"/>
      <c r="D1449" s="18"/>
      <c r="E1449" s="18"/>
      <c r="F1449" s="18"/>
      <c r="G1449" s="18"/>
      <c r="H1449" s="18"/>
    </row>
    <row r="1450" spans="1:15" ht="16.5" customHeight="1" x14ac:dyDescent="0.3">
      <c r="A1450" s="17" t="s">
        <v>249</v>
      </c>
      <c r="B1450" s="19" t="s">
        <v>19</v>
      </c>
      <c r="C1450" s="19" t="s">
        <v>239</v>
      </c>
      <c r="D1450" s="19" t="s">
        <v>94</v>
      </c>
      <c r="E1450" s="19" t="s">
        <v>240</v>
      </c>
      <c r="F1450" s="3" t="s">
        <v>241</v>
      </c>
      <c r="G1450" s="19" t="s">
        <v>243</v>
      </c>
      <c r="H1450" s="19"/>
    </row>
    <row r="1451" spans="1:15" x14ac:dyDescent="0.3">
      <c r="A1451" s="17"/>
      <c r="B1451" s="19"/>
      <c r="C1451" s="19"/>
      <c r="D1451" s="19"/>
      <c r="E1451" s="19"/>
      <c r="F1451" s="3" t="s">
        <v>242</v>
      </c>
      <c r="G1451" s="19"/>
      <c r="H1451" s="19"/>
    </row>
    <row r="1452" spans="1:15" ht="17.25" thickBot="1" x14ac:dyDescent="0.35">
      <c r="A1452" s="6">
        <v>1</v>
      </c>
      <c r="B1452" s="3">
        <v>0</v>
      </c>
      <c r="C1452" s="11" t="s">
        <v>116</v>
      </c>
      <c r="D1452" s="2">
        <v>11812</v>
      </c>
      <c r="E1452" s="2">
        <v>0.36737399999999998</v>
      </c>
      <c r="F1452" s="2">
        <v>3.813E-3</v>
      </c>
      <c r="G1452" s="2">
        <v>0.35989757</v>
      </c>
      <c r="H1452" s="2">
        <v>0.37484999000000002</v>
      </c>
      <c r="J1452" t="str">
        <f t="shared" ref="J1452:J1463" si="49">TEXT(E1452,"0.00")&amp;" ("&amp;TEXT(G1452,"0.00")&amp;" to "&amp;TEXT(H1452,"0.00")&amp;")"</f>
        <v>0.37 (0.36 to 0.37)</v>
      </c>
      <c r="K1452" t="str">
        <f>J1454</f>
        <v>0.36 (0.35 to 0.36)</v>
      </c>
      <c r="L1452" t="str">
        <f>J1456</f>
        <v>0.35 (0.34 to 0.36)</v>
      </c>
      <c r="M1452" t="str">
        <f>J1458</f>
        <v>0.35 (0.35 to 0.36)</v>
      </c>
      <c r="N1452" t="str">
        <f>J1460</f>
        <v>0.33 (0.32 to 0.34)</v>
      </c>
      <c r="O1452" t="str">
        <f>J1462</f>
        <v>0.29 (0.28 to 0.30)</v>
      </c>
    </row>
    <row r="1453" spans="1:15" ht="17.25" thickBot="1" x14ac:dyDescent="0.35">
      <c r="A1453" s="6"/>
      <c r="B1453" s="3">
        <v>1</v>
      </c>
      <c r="C1453" s="11" t="s">
        <v>116</v>
      </c>
      <c r="D1453" s="2">
        <v>103</v>
      </c>
      <c r="E1453" s="2">
        <v>0.453459</v>
      </c>
      <c r="F1453" s="2">
        <v>2.9526E-2</v>
      </c>
      <c r="G1453" s="2">
        <v>0.39556395</v>
      </c>
      <c r="H1453" s="2">
        <v>0.51135472000000004</v>
      </c>
      <c r="J1453" t="str">
        <f t="shared" si="49"/>
        <v>0.45 (0.40 to 0.51)</v>
      </c>
      <c r="K1453" t="str">
        <f>J1455</f>
        <v>0.51 (0.44 to 0.57)</v>
      </c>
      <c r="L1453" t="str">
        <f>J1457</f>
        <v>0.43 (0.35 to 0.50)</v>
      </c>
      <c r="M1453" t="str">
        <f>J1459</f>
        <v>0.42 (0.36 to 0.49)</v>
      </c>
      <c r="N1453" t="str">
        <f>J1461</f>
        <v>0.43 (0.39 to 0.48)</v>
      </c>
      <c r="O1453" t="str">
        <f>J1463</f>
        <v>0.35 (0.24 to 0.45)</v>
      </c>
    </row>
    <row r="1454" spans="1:15" ht="17.25" thickBot="1" x14ac:dyDescent="0.35">
      <c r="A1454" s="6">
        <v>2</v>
      </c>
      <c r="B1454" s="3">
        <v>0</v>
      </c>
      <c r="C1454" s="11" t="s">
        <v>116</v>
      </c>
      <c r="D1454" s="2">
        <v>13014</v>
      </c>
      <c r="E1454" s="2">
        <v>0.355883</v>
      </c>
      <c r="F1454" s="2">
        <v>3.7469999999999999E-3</v>
      </c>
      <c r="G1454" s="2">
        <v>0.34853635999999999</v>
      </c>
      <c r="H1454" s="2">
        <v>0.36322980999999999</v>
      </c>
      <c r="J1454" t="str">
        <f t="shared" si="49"/>
        <v>0.36 (0.35 to 0.36)</v>
      </c>
    </row>
    <row r="1455" spans="1:15" ht="17.25" thickBot="1" x14ac:dyDescent="0.35">
      <c r="A1455" s="6"/>
      <c r="B1455" s="3">
        <v>1</v>
      </c>
      <c r="C1455" s="11" t="s">
        <v>116</v>
      </c>
      <c r="D1455" s="2">
        <v>102</v>
      </c>
      <c r="E1455" s="2">
        <v>0.50528899999999999</v>
      </c>
      <c r="F1455" s="2">
        <v>3.2524999999999998E-2</v>
      </c>
      <c r="G1455" s="2">
        <v>0.44151326000000002</v>
      </c>
      <c r="H1455" s="2">
        <v>0.56906387999999997</v>
      </c>
      <c r="J1455" t="str">
        <f t="shared" si="49"/>
        <v>0.51 (0.44 to 0.57)</v>
      </c>
    </row>
    <row r="1456" spans="1:15" ht="17.25" thickBot="1" x14ac:dyDescent="0.35">
      <c r="A1456" s="6">
        <v>3</v>
      </c>
      <c r="B1456" s="3">
        <v>0</v>
      </c>
      <c r="C1456" s="11" t="s">
        <v>116</v>
      </c>
      <c r="D1456" s="2">
        <v>11385</v>
      </c>
      <c r="E1456" s="2">
        <v>0.34797</v>
      </c>
      <c r="F1456" s="2">
        <v>3.8149999999999998E-3</v>
      </c>
      <c r="G1456" s="2">
        <v>0.34049084000000002</v>
      </c>
      <c r="H1456" s="2">
        <v>0.35544989999999999</v>
      </c>
      <c r="J1456" t="str">
        <f t="shared" si="49"/>
        <v>0.35 (0.34 to 0.36)</v>
      </c>
    </row>
    <row r="1457" spans="1:10" ht="17.25" thickBot="1" x14ac:dyDescent="0.35">
      <c r="A1457" s="6"/>
      <c r="B1457" s="3">
        <v>1</v>
      </c>
      <c r="C1457" s="11" t="s">
        <v>116</v>
      </c>
      <c r="D1457" s="2">
        <v>90</v>
      </c>
      <c r="E1457" s="2">
        <v>0.42596000000000001</v>
      </c>
      <c r="F1457" s="2">
        <v>3.6457999999999997E-2</v>
      </c>
      <c r="G1457" s="2">
        <v>0.35447211000000001</v>
      </c>
      <c r="H1457" s="2">
        <v>0.49744739999999998</v>
      </c>
      <c r="J1457" t="str">
        <f t="shared" si="49"/>
        <v>0.43 (0.35 to 0.50)</v>
      </c>
    </row>
    <row r="1458" spans="1:10" ht="17.25" thickBot="1" x14ac:dyDescent="0.35">
      <c r="A1458" s="6">
        <v>4</v>
      </c>
      <c r="B1458" s="3">
        <v>0</v>
      </c>
      <c r="C1458" s="11" t="s">
        <v>116</v>
      </c>
      <c r="D1458" s="2">
        <v>14006</v>
      </c>
      <c r="E1458" s="2">
        <v>0.35242699999999999</v>
      </c>
      <c r="F1458" s="2">
        <v>3.728E-3</v>
      </c>
      <c r="G1458" s="2">
        <v>0.34511762000000001</v>
      </c>
      <c r="H1458" s="2">
        <v>0.35973671000000002</v>
      </c>
      <c r="J1458" t="str">
        <f t="shared" si="49"/>
        <v>0.35 (0.35 to 0.36)</v>
      </c>
    </row>
    <row r="1459" spans="1:10" ht="17.25" thickBot="1" x14ac:dyDescent="0.35">
      <c r="A1459" s="6"/>
      <c r="B1459" s="3">
        <v>1</v>
      </c>
      <c r="C1459" s="11" t="s">
        <v>116</v>
      </c>
      <c r="D1459" s="2">
        <v>152</v>
      </c>
      <c r="E1459" s="2">
        <v>0.42365799999999998</v>
      </c>
      <c r="F1459" s="2">
        <v>3.1662000000000003E-2</v>
      </c>
      <c r="G1459" s="2">
        <v>0.36157436999999998</v>
      </c>
      <c r="H1459" s="2">
        <v>0.48574105000000001</v>
      </c>
      <c r="J1459" t="str">
        <f t="shared" si="49"/>
        <v>0.42 (0.36 to 0.49)</v>
      </c>
    </row>
    <row r="1460" spans="1:10" ht="17.25" thickBot="1" x14ac:dyDescent="0.35">
      <c r="A1460" s="6">
        <v>5</v>
      </c>
      <c r="B1460" s="3">
        <v>0</v>
      </c>
      <c r="C1460" s="11" t="s">
        <v>116</v>
      </c>
      <c r="D1460" s="2">
        <v>13405</v>
      </c>
      <c r="E1460" s="2">
        <v>0.327482</v>
      </c>
      <c r="F1460" s="2">
        <v>3.8400000000000001E-3</v>
      </c>
      <c r="G1460" s="2">
        <v>0.31995289999999998</v>
      </c>
      <c r="H1460" s="2">
        <v>0.33501110000000001</v>
      </c>
      <c r="J1460" t="str">
        <f t="shared" si="49"/>
        <v>0.33 (0.32 to 0.34)</v>
      </c>
    </row>
    <row r="1461" spans="1:10" ht="17.25" thickBot="1" x14ac:dyDescent="0.35">
      <c r="A1461" s="6"/>
      <c r="B1461" s="3">
        <v>1</v>
      </c>
      <c r="C1461" s="11" t="s">
        <v>116</v>
      </c>
      <c r="D1461" s="2">
        <v>150</v>
      </c>
      <c r="E1461" s="2">
        <v>0.43317800000000001</v>
      </c>
      <c r="F1461" s="2">
        <v>2.2452E-2</v>
      </c>
      <c r="G1461" s="2">
        <v>0.38915348</v>
      </c>
      <c r="H1461" s="2">
        <v>0.47720166000000003</v>
      </c>
      <c r="J1461" t="str">
        <f t="shared" si="49"/>
        <v>0.43 (0.39 to 0.48)</v>
      </c>
    </row>
    <row r="1462" spans="1:10" ht="17.25" thickBot="1" x14ac:dyDescent="0.35">
      <c r="A1462" s="6">
        <v>6</v>
      </c>
      <c r="B1462" s="3">
        <v>0</v>
      </c>
      <c r="C1462" s="11" t="s">
        <v>116</v>
      </c>
      <c r="D1462" s="2">
        <v>4376</v>
      </c>
      <c r="E1462" s="2">
        <v>0.29044999999999999</v>
      </c>
      <c r="F1462" s="2">
        <v>6.365E-3</v>
      </c>
      <c r="G1462" s="2">
        <v>0.27796895999999999</v>
      </c>
      <c r="H1462" s="2">
        <v>0.3029307</v>
      </c>
      <c r="J1462" t="str">
        <f t="shared" si="49"/>
        <v>0.29 (0.28 to 0.30)</v>
      </c>
    </row>
    <row r="1463" spans="1:10" x14ac:dyDescent="0.3">
      <c r="A1463" s="6"/>
      <c r="B1463" s="3">
        <v>1</v>
      </c>
      <c r="C1463" s="14" t="s">
        <v>116</v>
      </c>
      <c r="D1463" s="2">
        <v>40</v>
      </c>
      <c r="E1463" s="2">
        <v>0.34534300000000001</v>
      </c>
      <c r="F1463" s="2">
        <v>5.1617999999999997E-2</v>
      </c>
      <c r="G1463" s="2">
        <v>0.24412943000000001</v>
      </c>
      <c r="H1463" s="2">
        <v>0.44655561999999999</v>
      </c>
      <c r="J1463" t="str">
        <f t="shared" si="49"/>
        <v>0.35 (0.24 to 0.45)</v>
      </c>
    </row>
    <row r="1467" spans="1:10" x14ac:dyDescent="0.3">
      <c r="A1467" s="1" t="s">
        <v>237</v>
      </c>
    </row>
    <row r="1469" spans="1:10" x14ac:dyDescent="0.3">
      <c r="A1469" s="1" t="s">
        <v>1</v>
      </c>
    </row>
    <row r="1470" spans="1:10" ht="17.25" thickBot="1" x14ac:dyDescent="0.35"/>
    <row r="1471" spans="1:10" ht="16.5" customHeight="1" x14ac:dyDescent="0.3">
      <c r="A1471" s="16" t="s">
        <v>135</v>
      </c>
      <c r="B1471" s="18"/>
    </row>
    <row r="1472" spans="1:10" ht="26.25" thickBot="1" x14ac:dyDescent="0.35">
      <c r="A1472" s="12" t="s">
        <v>136</v>
      </c>
      <c r="B1472" s="2">
        <v>183</v>
      </c>
    </row>
    <row r="1473" spans="1:6" ht="26.25" thickBot="1" x14ac:dyDescent="0.35">
      <c r="A1473" s="12" t="s">
        <v>137</v>
      </c>
      <c r="B1473" s="2">
        <v>2949</v>
      </c>
    </row>
    <row r="1474" spans="1:6" ht="39" thickBot="1" x14ac:dyDescent="0.35">
      <c r="A1474" s="12" t="s">
        <v>138</v>
      </c>
      <c r="B1474" s="2">
        <v>23222</v>
      </c>
    </row>
    <row r="1475" spans="1:6" ht="25.5" x14ac:dyDescent="0.3">
      <c r="A1475" s="13" t="s">
        <v>139</v>
      </c>
      <c r="B1475" s="2">
        <v>9036880.5199999996</v>
      </c>
    </row>
    <row r="1476" spans="1:6" ht="17.25" thickBot="1" x14ac:dyDescent="0.35"/>
    <row r="1477" spans="1:6" ht="33" customHeight="1" x14ac:dyDescent="0.3">
      <c r="A1477" s="16" t="s">
        <v>140</v>
      </c>
      <c r="B1477" s="18"/>
    </row>
    <row r="1478" spans="1:6" ht="33.75" thickBot="1" x14ac:dyDescent="0.35">
      <c r="A1478" s="12" t="s">
        <v>141</v>
      </c>
      <c r="B1478" s="2" t="s">
        <v>142</v>
      </c>
    </row>
    <row r="1479" spans="1:6" ht="25.5" x14ac:dyDescent="0.3">
      <c r="A1479" s="13" t="s">
        <v>143</v>
      </c>
      <c r="B1479" s="2" t="s">
        <v>144</v>
      </c>
    </row>
    <row r="1480" spans="1:6" ht="17.25" thickBot="1" x14ac:dyDescent="0.35"/>
    <row r="1481" spans="1:6" ht="16.5" customHeight="1" x14ac:dyDescent="0.3">
      <c r="A1481" s="16" t="s">
        <v>238</v>
      </c>
      <c r="B1481" s="18"/>
      <c r="C1481" s="18"/>
      <c r="D1481" s="18"/>
      <c r="E1481" s="18"/>
      <c r="F1481" s="18"/>
    </row>
    <row r="1482" spans="1:6" ht="16.5" customHeight="1" x14ac:dyDescent="0.3">
      <c r="A1482" s="17" t="s">
        <v>239</v>
      </c>
      <c r="B1482" s="19" t="s">
        <v>94</v>
      </c>
      <c r="C1482" s="19" t="s">
        <v>240</v>
      </c>
      <c r="D1482" s="3" t="s">
        <v>241</v>
      </c>
      <c r="E1482" s="19" t="s">
        <v>243</v>
      </c>
      <c r="F1482" s="19"/>
    </row>
    <row r="1483" spans="1:6" x14ac:dyDescent="0.3">
      <c r="A1483" s="17"/>
      <c r="B1483" s="19"/>
      <c r="C1483" s="19"/>
      <c r="D1483" s="3" t="s">
        <v>242</v>
      </c>
      <c r="E1483" s="19"/>
      <c r="F1483" s="19"/>
    </row>
    <row r="1484" spans="1:6" x14ac:dyDescent="0.3">
      <c r="A1484" s="13" t="s">
        <v>116</v>
      </c>
      <c r="B1484" s="2">
        <v>23222</v>
      </c>
      <c r="C1484" s="2">
        <v>0.29750300000000002</v>
      </c>
      <c r="D1484" s="2">
        <v>2.7789999999999998E-3</v>
      </c>
      <c r="E1484" s="2">
        <v>0.29205375</v>
      </c>
      <c r="F1484" s="2">
        <v>0.30295137999999999</v>
      </c>
    </row>
    <row r="1488" spans="1:6" x14ac:dyDescent="0.3">
      <c r="A1488" s="1" t="s">
        <v>237</v>
      </c>
    </row>
    <row r="1490" spans="1:8" x14ac:dyDescent="0.3">
      <c r="A1490" s="1" t="s">
        <v>1</v>
      </c>
    </row>
    <row r="1491" spans="1:8" ht="17.25" thickBot="1" x14ac:dyDescent="0.35"/>
    <row r="1492" spans="1:8" ht="16.5" customHeight="1" x14ac:dyDescent="0.3">
      <c r="A1492" s="16" t="s">
        <v>265</v>
      </c>
      <c r="B1492" s="18"/>
      <c r="C1492" s="18"/>
      <c r="D1492" s="18"/>
      <c r="E1492" s="18"/>
      <c r="F1492" s="18"/>
      <c r="G1492" s="18"/>
      <c r="H1492" s="18"/>
    </row>
    <row r="1493" spans="1:8" ht="16.5" customHeight="1" x14ac:dyDescent="0.3">
      <c r="A1493" s="17" t="s">
        <v>249</v>
      </c>
      <c r="B1493" s="19" t="s">
        <v>20</v>
      </c>
      <c r="C1493" s="19" t="s">
        <v>239</v>
      </c>
      <c r="D1493" s="19" t="s">
        <v>94</v>
      </c>
      <c r="E1493" s="19" t="s">
        <v>240</v>
      </c>
      <c r="F1493" s="3" t="s">
        <v>241</v>
      </c>
      <c r="G1493" s="19" t="s">
        <v>243</v>
      </c>
      <c r="H1493" s="19"/>
    </row>
    <row r="1494" spans="1:8" x14ac:dyDescent="0.3">
      <c r="A1494" s="17"/>
      <c r="B1494" s="19"/>
      <c r="C1494" s="19"/>
      <c r="D1494" s="19"/>
      <c r="E1494" s="19"/>
      <c r="F1494" s="3" t="s">
        <v>242</v>
      </c>
      <c r="G1494" s="19"/>
      <c r="H1494" s="19"/>
    </row>
    <row r="1495" spans="1:8" ht="17.25" thickBot="1" x14ac:dyDescent="0.35">
      <c r="A1495" s="6">
        <v>1</v>
      </c>
      <c r="B1495" s="3">
        <v>0</v>
      </c>
      <c r="C1495" s="11" t="s">
        <v>116</v>
      </c>
      <c r="D1495" s="2">
        <v>3687</v>
      </c>
      <c r="E1495" s="2">
        <v>0.35053200000000001</v>
      </c>
      <c r="F1495" s="2">
        <v>7.2389999999999998E-3</v>
      </c>
      <c r="G1495" s="2">
        <v>0.33633637999999999</v>
      </c>
      <c r="H1495" s="2">
        <v>0.36472694</v>
      </c>
    </row>
    <row r="1496" spans="1:8" ht="17.25" thickBot="1" x14ac:dyDescent="0.35">
      <c r="A1496" s="6"/>
      <c r="B1496" s="3">
        <v>1</v>
      </c>
      <c r="C1496" s="11" t="s">
        <v>116</v>
      </c>
      <c r="D1496" s="2">
        <v>53</v>
      </c>
      <c r="E1496" s="2">
        <v>0.43989</v>
      </c>
      <c r="F1496" s="2">
        <v>3.0858E-2</v>
      </c>
      <c r="G1496" s="2">
        <v>0.37938277999999998</v>
      </c>
      <c r="H1496" s="2">
        <v>0.50039723000000003</v>
      </c>
    </row>
    <row r="1497" spans="1:8" ht="17.25" thickBot="1" x14ac:dyDescent="0.35">
      <c r="A1497" s="6">
        <v>2</v>
      </c>
      <c r="B1497" s="3">
        <v>0</v>
      </c>
      <c r="C1497" s="11" t="s">
        <v>116</v>
      </c>
      <c r="D1497" s="2">
        <v>4561</v>
      </c>
      <c r="E1497" s="2">
        <v>0.27395900000000001</v>
      </c>
      <c r="F1497" s="2">
        <v>6.0210000000000003E-3</v>
      </c>
      <c r="G1497" s="2">
        <v>0.26215427000000002</v>
      </c>
      <c r="H1497" s="2">
        <v>0.28576472000000003</v>
      </c>
    </row>
    <row r="1498" spans="1:8" ht="17.25" thickBot="1" x14ac:dyDescent="0.35">
      <c r="A1498" s="6"/>
      <c r="B1498" s="3">
        <v>1</v>
      </c>
      <c r="C1498" s="11" t="s">
        <v>116</v>
      </c>
      <c r="D1498" s="2">
        <v>82</v>
      </c>
      <c r="E1498" s="2">
        <v>0.502467</v>
      </c>
      <c r="F1498" s="2">
        <v>3.2267999999999998E-2</v>
      </c>
      <c r="G1498" s="2">
        <v>0.43919566999999998</v>
      </c>
      <c r="H1498" s="2">
        <v>0.56573790000000002</v>
      </c>
    </row>
    <row r="1499" spans="1:8" ht="17.25" thickBot="1" x14ac:dyDescent="0.35">
      <c r="A1499" s="6"/>
      <c r="B1499" s="3">
        <v>8</v>
      </c>
      <c r="C1499" s="11" t="s">
        <v>116</v>
      </c>
      <c r="D1499" s="2">
        <v>89</v>
      </c>
      <c r="E1499" s="2">
        <v>0.29133100000000001</v>
      </c>
      <c r="F1499" s="2">
        <v>3.1869000000000001E-2</v>
      </c>
      <c r="G1499" s="2">
        <v>0.22884133000000001</v>
      </c>
      <c r="H1499" s="2">
        <v>0.35382123999999998</v>
      </c>
    </row>
    <row r="1500" spans="1:8" ht="17.25" thickBot="1" x14ac:dyDescent="0.35">
      <c r="A1500" s="6">
        <v>3</v>
      </c>
      <c r="B1500" s="3">
        <v>0</v>
      </c>
      <c r="C1500" s="11" t="s">
        <v>116</v>
      </c>
      <c r="D1500" s="2">
        <v>3595</v>
      </c>
      <c r="E1500" s="2">
        <v>0.278445</v>
      </c>
      <c r="F1500" s="2">
        <v>6.6649999999999999E-3</v>
      </c>
      <c r="G1500" s="2">
        <v>0.26537544000000002</v>
      </c>
      <c r="H1500" s="2">
        <v>0.29151474999999999</v>
      </c>
    </row>
    <row r="1501" spans="1:8" ht="17.25" thickBot="1" x14ac:dyDescent="0.35">
      <c r="A1501" s="6"/>
      <c r="B1501" s="3">
        <v>1</v>
      </c>
      <c r="C1501" s="11" t="s">
        <v>116</v>
      </c>
      <c r="D1501" s="2">
        <v>70</v>
      </c>
      <c r="E1501" s="2">
        <v>0.394511</v>
      </c>
      <c r="F1501" s="2">
        <v>3.0804999999999999E-2</v>
      </c>
      <c r="G1501" s="2">
        <v>0.33410874000000002</v>
      </c>
      <c r="H1501" s="2">
        <v>0.45491315999999998</v>
      </c>
    </row>
    <row r="1502" spans="1:8" ht="17.25" thickBot="1" x14ac:dyDescent="0.35">
      <c r="A1502" s="6"/>
      <c r="B1502" s="3">
        <v>8</v>
      </c>
      <c r="C1502" s="11" t="s">
        <v>116</v>
      </c>
      <c r="D1502" s="2">
        <v>592</v>
      </c>
      <c r="E1502" s="2">
        <v>0.380519</v>
      </c>
      <c r="F1502" s="2">
        <v>1.8158000000000001E-2</v>
      </c>
      <c r="G1502" s="2">
        <v>0.34491441</v>
      </c>
      <c r="H1502" s="2">
        <v>0.41612408000000001</v>
      </c>
    </row>
    <row r="1503" spans="1:8" ht="17.25" thickBot="1" x14ac:dyDescent="0.35">
      <c r="A1503" s="6">
        <v>4</v>
      </c>
      <c r="B1503" s="3">
        <v>0</v>
      </c>
      <c r="C1503" s="11" t="s">
        <v>116</v>
      </c>
      <c r="D1503" s="2">
        <v>3875</v>
      </c>
      <c r="E1503" s="2">
        <v>0.28718700000000003</v>
      </c>
      <c r="F1503" s="2">
        <v>6.6540000000000002E-3</v>
      </c>
      <c r="G1503" s="2">
        <v>0.27414079000000002</v>
      </c>
      <c r="H1503" s="2">
        <v>0.30023407000000002</v>
      </c>
    </row>
    <row r="1504" spans="1:8" ht="17.25" thickBot="1" x14ac:dyDescent="0.35">
      <c r="A1504" s="6"/>
      <c r="B1504" s="3">
        <v>1</v>
      </c>
      <c r="C1504" s="11" t="s">
        <v>116</v>
      </c>
      <c r="D1504" s="2">
        <v>62</v>
      </c>
      <c r="E1504" s="2">
        <v>0.44281700000000002</v>
      </c>
      <c r="F1504" s="2">
        <v>4.1541000000000002E-2</v>
      </c>
      <c r="G1504" s="2">
        <v>0.36136116000000001</v>
      </c>
      <c r="H1504" s="2">
        <v>0.52427210999999996</v>
      </c>
    </row>
    <row r="1505" spans="1:8" ht="17.25" thickBot="1" x14ac:dyDescent="0.35">
      <c r="A1505" s="6"/>
      <c r="B1505" s="3">
        <v>8</v>
      </c>
      <c r="C1505" s="11" t="s">
        <v>116</v>
      </c>
      <c r="D1505" s="2">
        <v>619</v>
      </c>
      <c r="E1505" s="2">
        <v>0.39917999999999998</v>
      </c>
      <c r="F1505" s="2">
        <v>1.5807999999999999E-2</v>
      </c>
      <c r="G1505" s="2">
        <v>0.36818432000000001</v>
      </c>
      <c r="H1505" s="2">
        <v>0.43017599000000001</v>
      </c>
    </row>
    <row r="1506" spans="1:8" ht="17.25" thickBot="1" x14ac:dyDescent="0.35">
      <c r="A1506" s="6">
        <v>5</v>
      </c>
      <c r="B1506" s="3">
        <v>0</v>
      </c>
      <c r="C1506" s="11" t="s">
        <v>116</v>
      </c>
      <c r="D1506" s="2">
        <v>3544</v>
      </c>
      <c r="E1506" s="2">
        <v>0.27177200000000001</v>
      </c>
      <c r="F1506" s="2">
        <v>6.9329999999999999E-3</v>
      </c>
      <c r="G1506" s="2">
        <v>0.25817772999999999</v>
      </c>
      <c r="H1506" s="2">
        <v>0.28536693000000002</v>
      </c>
    </row>
    <row r="1507" spans="1:8" ht="17.25" thickBot="1" x14ac:dyDescent="0.35">
      <c r="A1507" s="6"/>
      <c r="B1507" s="3">
        <v>1</v>
      </c>
      <c r="C1507" s="11" t="s">
        <v>116</v>
      </c>
      <c r="D1507" s="2">
        <v>79</v>
      </c>
      <c r="E1507" s="2">
        <v>0.413827</v>
      </c>
      <c r="F1507" s="2">
        <v>3.2458000000000001E-2</v>
      </c>
      <c r="G1507" s="2">
        <v>0.35018249000000001</v>
      </c>
      <c r="H1507" s="2">
        <v>0.47747070000000003</v>
      </c>
    </row>
    <row r="1508" spans="1:8" ht="17.25" thickBot="1" x14ac:dyDescent="0.35">
      <c r="A1508" s="6"/>
      <c r="B1508" s="3">
        <v>8</v>
      </c>
      <c r="C1508" s="11" t="s">
        <v>116</v>
      </c>
      <c r="D1508" s="2">
        <v>878</v>
      </c>
      <c r="E1508" s="2">
        <v>0.36391800000000002</v>
      </c>
      <c r="F1508" s="2">
        <v>1.3439E-2</v>
      </c>
      <c r="G1508" s="2">
        <v>0.33756718000000002</v>
      </c>
      <c r="H1508" s="2">
        <v>0.39026838000000003</v>
      </c>
    </row>
    <row r="1509" spans="1:8" ht="17.25" thickBot="1" x14ac:dyDescent="0.35">
      <c r="A1509" s="6">
        <v>6</v>
      </c>
      <c r="B1509" s="3">
        <v>0</v>
      </c>
      <c r="C1509" s="11" t="s">
        <v>116</v>
      </c>
      <c r="D1509" s="2">
        <v>1043</v>
      </c>
      <c r="E1509" s="2">
        <v>0.22717799999999999</v>
      </c>
      <c r="F1509" s="2">
        <v>1.0607999999999999E-2</v>
      </c>
      <c r="G1509" s="2">
        <v>0.20637813999999999</v>
      </c>
      <c r="H1509" s="2">
        <v>0.24797794000000001</v>
      </c>
    </row>
    <row r="1510" spans="1:8" ht="17.25" thickBot="1" x14ac:dyDescent="0.35">
      <c r="A1510" s="6"/>
      <c r="B1510" s="3">
        <v>1</v>
      </c>
      <c r="C1510" s="11" t="s">
        <v>116</v>
      </c>
      <c r="D1510" s="2">
        <v>26</v>
      </c>
      <c r="E1510" s="2">
        <v>0.316581</v>
      </c>
      <c r="F1510" s="2">
        <v>4.3638999999999997E-2</v>
      </c>
      <c r="G1510" s="2">
        <v>0.23101321999999999</v>
      </c>
      <c r="H1510" s="2">
        <v>0.40214796000000003</v>
      </c>
    </row>
    <row r="1511" spans="1:8" x14ac:dyDescent="0.3">
      <c r="A1511" s="6"/>
      <c r="B1511" s="3">
        <v>8</v>
      </c>
      <c r="C1511" s="14" t="s">
        <v>116</v>
      </c>
      <c r="D1511" s="2">
        <v>367</v>
      </c>
      <c r="E1511" s="2">
        <v>0.30076900000000001</v>
      </c>
      <c r="F1511" s="2">
        <v>1.9435999999999998E-2</v>
      </c>
      <c r="G1511" s="2">
        <v>0.26265889999999997</v>
      </c>
      <c r="H1511" s="2">
        <v>0.33887969000000001</v>
      </c>
    </row>
    <row r="1515" spans="1:8" x14ac:dyDescent="0.3">
      <c r="A1515" s="1" t="s">
        <v>237</v>
      </c>
    </row>
    <row r="1517" spans="1:8" x14ac:dyDescent="0.3">
      <c r="A1517" s="1" t="s">
        <v>21</v>
      </c>
    </row>
    <row r="1518" spans="1:8" ht="17.25" thickBot="1" x14ac:dyDescent="0.35"/>
    <row r="1519" spans="1:8" ht="16.5" customHeight="1" x14ac:dyDescent="0.3">
      <c r="A1519" s="16" t="s">
        <v>135</v>
      </c>
      <c r="B1519" s="18"/>
    </row>
    <row r="1520" spans="1:8" ht="26.25" thickBot="1" x14ac:dyDescent="0.35">
      <c r="A1520" s="12" t="s">
        <v>136</v>
      </c>
      <c r="B1520" s="2">
        <v>183</v>
      </c>
    </row>
    <row r="1521" spans="1:6" ht="26.25" thickBot="1" x14ac:dyDescent="0.35">
      <c r="A1521" s="12" t="s">
        <v>137</v>
      </c>
      <c r="B1521" s="2">
        <v>2982</v>
      </c>
    </row>
    <row r="1522" spans="1:6" ht="39" thickBot="1" x14ac:dyDescent="0.35">
      <c r="A1522" s="12" t="s">
        <v>138</v>
      </c>
      <c r="B1522" s="2">
        <v>68635</v>
      </c>
    </row>
    <row r="1523" spans="1:6" ht="25.5" x14ac:dyDescent="0.3">
      <c r="A1523" s="13" t="s">
        <v>139</v>
      </c>
      <c r="B1523" s="2">
        <v>30251935.699999999</v>
      </c>
    </row>
    <row r="1524" spans="1:6" ht="17.25" thickBot="1" x14ac:dyDescent="0.35"/>
    <row r="1525" spans="1:6" ht="33" customHeight="1" x14ac:dyDescent="0.3">
      <c r="A1525" s="16" t="s">
        <v>140</v>
      </c>
      <c r="B1525" s="18"/>
    </row>
    <row r="1526" spans="1:6" ht="33.75" thickBot="1" x14ac:dyDescent="0.35">
      <c r="A1526" s="12" t="s">
        <v>141</v>
      </c>
      <c r="B1526" s="2" t="s">
        <v>142</v>
      </c>
    </row>
    <row r="1527" spans="1:6" ht="25.5" x14ac:dyDescent="0.3">
      <c r="A1527" s="13" t="s">
        <v>143</v>
      </c>
      <c r="B1527" s="2" t="s">
        <v>144</v>
      </c>
    </row>
    <row r="1528" spans="1:6" ht="17.25" thickBot="1" x14ac:dyDescent="0.35"/>
    <row r="1529" spans="1:6" ht="16.5" customHeight="1" x14ac:dyDescent="0.3">
      <c r="A1529" s="16" t="s">
        <v>238</v>
      </c>
      <c r="B1529" s="18"/>
      <c r="C1529" s="18"/>
      <c r="D1529" s="18"/>
      <c r="E1529" s="18"/>
      <c r="F1529" s="18"/>
    </row>
    <row r="1530" spans="1:6" ht="16.5" customHeight="1" x14ac:dyDescent="0.3">
      <c r="A1530" s="17" t="s">
        <v>239</v>
      </c>
      <c r="B1530" s="19" t="s">
        <v>94</v>
      </c>
      <c r="C1530" s="19" t="s">
        <v>240</v>
      </c>
      <c r="D1530" s="3" t="s">
        <v>241</v>
      </c>
      <c r="E1530" s="19" t="s">
        <v>243</v>
      </c>
      <c r="F1530" s="19"/>
    </row>
    <row r="1531" spans="1:6" x14ac:dyDescent="0.3">
      <c r="A1531" s="17"/>
      <c r="B1531" s="19"/>
      <c r="C1531" s="19"/>
      <c r="D1531" s="3" t="s">
        <v>242</v>
      </c>
      <c r="E1531" s="19"/>
      <c r="F1531" s="19"/>
    </row>
    <row r="1532" spans="1:6" x14ac:dyDescent="0.3">
      <c r="A1532" s="13" t="s">
        <v>116</v>
      </c>
      <c r="B1532" s="2">
        <v>68635</v>
      </c>
      <c r="C1532" s="2">
        <v>0.34523599999999999</v>
      </c>
      <c r="D1532" s="2">
        <v>1.6490000000000001E-3</v>
      </c>
      <c r="E1532" s="2">
        <v>0.34200205</v>
      </c>
      <c r="F1532" s="2">
        <v>0.34847033999999999</v>
      </c>
    </row>
    <row r="1536" spans="1:6" x14ac:dyDescent="0.3">
      <c r="A1536" s="1" t="s">
        <v>237</v>
      </c>
    </row>
    <row r="1538" spans="1:15" x14ac:dyDescent="0.3">
      <c r="A1538" s="1" t="s">
        <v>21</v>
      </c>
    </row>
    <row r="1539" spans="1:15" ht="17.25" thickBot="1" x14ac:dyDescent="0.35"/>
    <row r="1540" spans="1:15" ht="16.5" customHeight="1" x14ac:dyDescent="0.3">
      <c r="A1540" s="16" t="s">
        <v>265</v>
      </c>
      <c r="B1540" s="18"/>
      <c r="C1540" s="18"/>
      <c r="D1540" s="18"/>
      <c r="E1540" s="18"/>
      <c r="F1540" s="18"/>
      <c r="G1540" s="18"/>
      <c r="H1540" s="18"/>
    </row>
    <row r="1541" spans="1:15" ht="16.5" customHeight="1" x14ac:dyDescent="0.3">
      <c r="A1541" s="17" t="s">
        <v>249</v>
      </c>
      <c r="B1541" s="19" t="s">
        <v>20</v>
      </c>
      <c r="C1541" s="19" t="s">
        <v>239</v>
      </c>
      <c r="D1541" s="19" t="s">
        <v>94</v>
      </c>
      <c r="E1541" s="19" t="s">
        <v>240</v>
      </c>
      <c r="F1541" s="3" t="s">
        <v>241</v>
      </c>
      <c r="G1541" s="19" t="s">
        <v>243</v>
      </c>
      <c r="H1541" s="19"/>
    </row>
    <row r="1542" spans="1:15" x14ac:dyDescent="0.3">
      <c r="A1542" s="17"/>
      <c r="B1542" s="19"/>
      <c r="C1542" s="19"/>
      <c r="D1542" s="19"/>
      <c r="E1542" s="19"/>
      <c r="F1542" s="3" t="s">
        <v>242</v>
      </c>
      <c r="G1542" s="19"/>
      <c r="H1542" s="19"/>
    </row>
    <row r="1543" spans="1:15" ht="17.25" thickBot="1" x14ac:dyDescent="0.35">
      <c r="A1543" s="6">
        <v>1</v>
      </c>
      <c r="B1543" s="3">
        <v>0</v>
      </c>
      <c r="C1543" s="11" t="s">
        <v>116</v>
      </c>
      <c r="D1543" s="2">
        <v>11784</v>
      </c>
      <c r="E1543" s="2">
        <v>0.36711199999999999</v>
      </c>
      <c r="F1543" s="2">
        <v>3.8430000000000001E-3</v>
      </c>
      <c r="G1543" s="2">
        <v>0.35957761999999999</v>
      </c>
      <c r="H1543" s="2">
        <v>0.37464655000000002</v>
      </c>
      <c r="J1543" t="str">
        <f t="shared" ref="J1543:J1554" si="50">TEXT(E1543,"0.00")&amp;" ("&amp;TEXT(G1543,"0.00")&amp;" to "&amp;TEXT(H1543,"0.00")&amp;")"</f>
        <v>0.37 (0.36 to 0.37)</v>
      </c>
      <c r="K1543" t="str">
        <f>J1545</f>
        <v>0.36 (0.35 to 0.36)</v>
      </c>
      <c r="L1543" t="str">
        <f>J1547</f>
        <v>0.35 (0.34 to 0.36)</v>
      </c>
      <c r="M1543" t="str">
        <f>J1549</f>
        <v>0.35 (0.34 to 0.36)</v>
      </c>
      <c r="N1543" t="str">
        <f>J1551</f>
        <v>0.33 (0.32 to 0.33)</v>
      </c>
      <c r="O1543" t="str">
        <f>J1553</f>
        <v>0.29 (0.28 to 0.30)</v>
      </c>
    </row>
    <row r="1544" spans="1:15" ht="17.25" thickBot="1" x14ac:dyDescent="0.35">
      <c r="A1544" s="6"/>
      <c r="B1544" s="3">
        <v>1</v>
      </c>
      <c r="C1544" s="11" t="s">
        <v>116</v>
      </c>
      <c r="D1544" s="2">
        <v>131</v>
      </c>
      <c r="E1544" s="2">
        <v>0.46750199999999997</v>
      </c>
      <c r="F1544" s="2">
        <v>3.9294000000000003E-2</v>
      </c>
      <c r="G1544" s="2">
        <v>0.39045312999999998</v>
      </c>
      <c r="H1544" s="2">
        <v>0.54455085999999997</v>
      </c>
      <c r="J1544" t="str">
        <f t="shared" si="50"/>
        <v>0.47 (0.39 to 0.54)</v>
      </c>
      <c r="K1544" t="str">
        <f>J1546</f>
        <v>0.41 (0.36 to 0.47)</v>
      </c>
      <c r="L1544" t="str">
        <f>J1548</f>
        <v>0.41 (0.35 to 0.46)</v>
      </c>
      <c r="M1544" t="str">
        <f>J1550</f>
        <v>0.43 (0.38 to 0.48)</v>
      </c>
      <c r="N1544" t="str">
        <f>J1552</f>
        <v>0.43 (0.38 to 0.47)</v>
      </c>
      <c r="O1544" t="str">
        <f>J1554</f>
        <v>0.33 (0.26 to 0.39)</v>
      </c>
    </row>
    <row r="1545" spans="1:15" ht="17.25" thickBot="1" x14ac:dyDescent="0.35">
      <c r="A1545" s="6">
        <v>2</v>
      </c>
      <c r="B1545" s="3">
        <v>0</v>
      </c>
      <c r="C1545" s="11" t="s">
        <v>116</v>
      </c>
      <c r="D1545" s="2">
        <v>12865</v>
      </c>
      <c r="E1545" s="2">
        <v>0.35605500000000001</v>
      </c>
      <c r="F1545" s="2">
        <v>3.7940000000000001E-3</v>
      </c>
      <c r="G1545" s="2">
        <v>0.34861592000000002</v>
      </c>
      <c r="H1545" s="2">
        <v>0.36349484999999998</v>
      </c>
      <c r="J1545" t="str">
        <f t="shared" si="50"/>
        <v>0.36 (0.35 to 0.36)</v>
      </c>
    </row>
    <row r="1546" spans="1:15" ht="17.25" thickBot="1" x14ac:dyDescent="0.35">
      <c r="A1546" s="6"/>
      <c r="B1546" s="3">
        <v>1</v>
      </c>
      <c r="C1546" s="11" t="s">
        <v>116</v>
      </c>
      <c r="D1546" s="2">
        <v>251</v>
      </c>
      <c r="E1546" s="2">
        <v>0.41215299999999999</v>
      </c>
      <c r="F1546" s="2">
        <v>2.7522999999999999E-2</v>
      </c>
      <c r="G1546" s="2">
        <v>0.35818597000000002</v>
      </c>
      <c r="H1546" s="2">
        <v>0.46612039</v>
      </c>
      <c r="J1546" t="str">
        <f t="shared" si="50"/>
        <v>0.41 (0.36 to 0.47)</v>
      </c>
    </row>
    <row r="1547" spans="1:15" ht="17.25" thickBot="1" x14ac:dyDescent="0.35">
      <c r="A1547" s="6">
        <v>3</v>
      </c>
      <c r="B1547" s="3">
        <v>0</v>
      </c>
      <c r="C1547" s="11" t="s">
        <v>116</v>
      </c>
      <c r="D1547" s="2">
        <v>11284</v>
      </c>
      <c r="E1547" s="2">
        <v>0.34767199999999998</v>
      </c>
      <c r="F1547" s="2">
        <v>3.803E-3</v>
      </c>
      <c r="G1547" s="2">
        <v>0.34021478999999999</v>
      </c>
      <c r="H1547" s="2">
        <v>0.35512956000000001</v>
      </c>
      <c r="J1547" t="str">
        <f t="shared" si="50"/>
        <v>0.35 (0.34 to 0.36)</v>
      </c>
    </row>
    <row r="1548" spans="1:15" ht="17.25" thickBot="1" x14ac:dyDescent="0.35">
      <c r="A1548" s="6"/>
      <c r="B1548" s="3">
        <v>1</v>
      </c>
      <c r="C1548" s="11" t="s">
        <v>116</v>
      </c>
      <c r="D1548" s="2">
        <v>191</v>
      </c>
      <c r="E1548" s="2">
        <v>0.40903200000000001</v>
      </c>
      <c r="F1548" s="2">
        <v>2.8317999999999999E-2</v>
      </c>
      <c r="G1548" s="2">
        <v>0.3535064</v>
      </c>
      <c r="H1548" s="2">
        <v>0.46455858999999999</v>
      </c>
      <c r="J1548" t="str">
        <f t="shared" si="50"/>
        <v>0.41 (0.35 to 0.46)</v>
      </c>
    </row>
    <row r="1549" spans="1:15" ht="17.25" thickBot="1" x14ac:dyDescent="0.35">
      <c r="A1549" s="6">
        <v>4</v>
      </c>
      <c r="B1549" s="3">
        <v>0</v>
      </c>
      <c r="C1549" s="11" t="s">
        <v>116</v>
      </c>
      <c r="D1549" s="2">
        <v>13897</v>
      </c>
      <c r="E1549" s="2">
        <v>0.35192600000000002</v>
      </c>
      <c r="F1549" s="2">
        <v>3.7160000000000001E-3</v>
      </c>
      <c r="G1549" s="2">
        <v>0.34463951999999998</v>
      </c>
      <c r="H1549" s="2">
        <v>0.35921241999999998</v>
      </c>
      <c r="J1549" t="str">
        <f t="shared" si="50"/>
        <v>0.35 (0.34 to 0.36)</v>
      </c>
    </row>
    <row r="1550" spans="1:15" ht="17.25" thickBot="1" x14ac:dyDescent="0.35">
      <c r="A1550" s="6"/>
      <c r="B1550" s="3">
        <v>1</v>
      </c>
      <c r="C1550" s="11" t="s">
        <v>116</v>
      </c>
      <c r="D1550" s="2">
        <v>261</v>
      </c>
      <c r="E1550" s="2">
        <v>0.43276599999999998</v>
      </c>
      <c r="F1550" s="2">
        <v>2.4378E-2</v>
      </c>
      <c r="G1550" s="2">
        <v>0.38496546999999998</v>
      </c>
      <c r="H1550" s="2">
        <v>0.48056605000000002</v>
      </c>
      <c r="J1550" t="str">
        <f t="shared" si="50"/>
        <v>0.43 (0.38 to 0.48)</v>
      </c>
    </row>
    <row r="1551" spans="1:15" ht="17.25" thickBot="1" x14ac:dyDescent="0.35">
      <c r="A1551" s="6">
        <v>5</v>
      </c>
      <c r="B1551" s="3">
        <v>0</v>
      </c>
      <c r="C1551" s="11" t="s">
        <v>116</v>
      </c>
      <c r="D1551" s="2">
        <v>13287</v>
      </c>
      <c r="E1551" s="2">
        <v>0.32692300000000002</v>
      </c>
      <c r="F1551" s="2">
        <v>3.8430000000000001E-3</v>
      </c>
      <c r="G1551" s="2">
        <v>0.31938713000000002</v>
      </c>
      <c r="H1551" s="2">
        <v>0.33445937999999997</v>
      </c>
      <c r="J1551" t="str">
        <f t="shared" si="50"/>
        <v>0.33 (0.32 to 0.33)</v>
      </c>
    </row>
    <row r="1552" spans="1:15" ht="17.25" thickBot="1" x14ac:dyDescent="0.35">
      <c r="A1552" s="6"/>
      <c r="B1552" s="3">
        <v>1</v>
      </c>
      <c r="C1552" s="11" t="s">
        <v>116</v>
      </c>
      <c r="D1552" s="2">
        <v>268</v>
      </c>
      <c r="E1552" s="2">
        <v>0.42505500000000002</v>
      </c>
      <c r="F1552" s="2">
        <v>2.1026E-2</v>
      </c>
      <c r="G1552" s="2">
        <v>0.38382567000000001</v>
      </c>
      <c r="H1552" s="2">
        <v>0.46628355999999999</v>
      </c>
      <c r="J1552" t="str">
        <f t="shared" si="50"/>
        <v>0.43 (0.38 to 0.47)</v>
      </c>
    </row>
    <row r="1553" spans="1:10" ht="17.25" thickBot="1" x14ac:dyDescent="0.35">
      <c r="A1553" s="6">
        <v>6</v>
      </c>
      <c r="B1553" s="3">
        <v>0</v>
      </c>
      <c r="C1553" s="11" t="s">
        <v>116</v>
      </c>
      <c r="D1553" s="2">
        <v>4317</v>
      </c>
      <c r="E1553" s="2">
        <v>0.29023599999999999</v>
      </c>
      <c r="F1553" s="2">
        <v>6.3600000000000002E-3</v>
      </c>
      <c r="G1553" s="2">
        <v>0.27776575999999997</v>
      </c>
      <c r="H1553" s="2">
        <v>0.30270636000000001</v>
      </c>
      <c r="J1553" t="str">
        <f t="shared" si="50"/>
        <v>0.29 (0.28 to 0.30)</v>
      </c>
    </row>
    <row r="1554" spans="1:10" x14ac:dyDescent="0.3">
      <c r="A1554" s="6"/>
      <c r="B1554" s="3">
        <v>1</v>
      </c>
      <c r="C1554" s="14" t="s">
        <v>116</v>
      </c>
      <c r="D1554" s="2">
        <v>99</v>
      </c>
      <c r="E1554" s="2">
        <v>0.32519599999999999</v>
      </c>
      <c r="F1554" s="2">
        <v>3.3882000000000002E-2</v>
      </c>
      <c r="G1554" s="2">
        <v>0.25875946999999999</v>
      </c>
      <c r="H1554" s="2">
        <v>0.39163175</v>
      </c>
      <c r="J1554" t="str">
        <f t="shared" si="50"/>
        <v>0.33 (0.26 to 0.39)</v>
      </c>
    </row>
  </sheetData>
  <mergeCells count="448">
    <mergeCell ref="A26:H26"/>
    <mergeCell ref="A27:A28"/>
    <mergeCell ref="B27:B28"/>
    <mergeCell ref="C27:C28"/>
    <mergeCell ref="D27:D28"/>
    <mergeCell ref="E27:E28"/>
    <mergeCell ref="G27:H28"/>
    <mergeCell ref="A5:B5"/>
    <mergeCell ref="A11:B11"/>
    <mergeCell ref="A15:F15"/>
    <mergeCell ref="A16:A17"/>
    <mergeCell ref="B16:B17"/>
    <mergeCell ref="C16:C17"/>
    <mergeCell ref="E16:F17"/>
    <mergeCell ref="A81:H81"/>
    <mergeCell ref="A82:A83"/>
    <mergeCell ref="B82:B83"/>
    <mergeCell ref="C82:C83"/>
    <mergeCell ref="D82:D83"/>
    <mergeCell ref="E82:E83"/>
    <mergeCell ref="G82:H83"/>
    <mergeCell ref="A60:B60"/>
    <mergeCell ref="A66:B66"/>
    <mergeCell ref="A70:F70"/>
    <mergeCell ref="A71:A72"/>
    <mergeCell ref="B71:B72"/>
    <mergeCell ref="C71:C72"/>
    <mergeCell ref="E71:F72"/>
    <mergeCell ref="A130:H130"/>
    <mergeCell ref="A131:A132"/>
    <mergeCell ref="B131:B132"/>
    <mergeCell ref="C131:C132"/>
    <mergeCell ref="D131:D132"/>
    <mergeCell ref="E131:E132"/>
    <mergeCell ref="G131:H132"/>
    <mergeCell ref="A109:B109"/>
    <mergeCell ref="A115:B115"/>
    <mergeCell ref="A119:F119"/>
    <mergeCell ref="A120:A121"/>
    <mergeCell ref="B120:B121"/>
    <mergeCell ref="C120:C121"/>
    <mergeCell ref="E120:F121"/>
    <mergeCell ref="A173:H173"/>
    <mergeCell ref="A174:A175"/>
    <mergeCell ref="B174:B175"/>
    <mergeCell ref="C174:C175"/>
    <mergeCell ref="D174:D175"/>
    <mergeCell ref="E174:E175"/>
    <mergeCell ref="G174:H175"/>
    <mergeCell ref="A152:B152"/>
    <mergeCell ref="A158:B158"/>
    <mergeCell ref="A162:F162"/>
    <mergeCell ref="A163:A164"/>
    <mergeCell ref="B163:B164"/>
    <mergeCell ref="C163:C164"/>
    <mergeCell ref="E163:F164"/>
    <mergeCell ref="A216:H216"/>
    <mergeCell ref="A217:A218"/>
    <mergeCell ref="B217:B218"/>
    <mergeCell ref="C217:C218"/>
    <mergeCell ref="D217:D218"/>
    <mergeCell ref="E217:E218"/>
    <mergeCell ref="G217:H218"/>
    <mergeCell ref="A195:B195"/>
    <mergeCell ref="A201:B201"/>
    <mergeCell ref="A205:F205"/>
    <mergeCell ref="A206:A207"/>
    <mergeCell ref="B206:B207"/>
    <mergeCell ref="C206:C207"/>
    <mergeCell ref="E206:F207"/>
    <mergeCell ref="A259:H259"/>
    <mergeCell ref="A260:A261"/>
    <mergeCell ref="B260:B261"/>
    <mergeCell ref="C260:C261"/>
    <mergeCell ref="D260:D261"/>
    <mergeCell ref="E260:E261"/>
    <mergeCell ref="G260:H261"/>
    <mergeCell ref="A238:B238"/>
    <mergeCell ref="A244:B244"/>
    <mergeCell ref="A248:F248"/>
    <mergeCell ref="A249:A250"/>
    <mergeCell ref="B249:B250"/>
    <mergeCell ref="C249:C250"/>
    <mergeCell ref="E249:F250"/>
    <mergeCell ref="A302:H302"/>
    <mergeCell ref="A303:A304"/>
    <mergeCell ref="B303:B304"/>
    <mergeCell ref="C303:C304"/>
    <mergeCell ref="D303:D304"/>
    <mergeCell ref="E303:E304"/>
    <mergeCell ref="G303:H304"/>
    <mergeCell ref="A281:B281"/>
    <mergeCell ref="A287:B287"/>
    <mergeCell ref="A291:F291"/>
    <mergeCell ref="A292:A293"/>
    <mergeCell ref="B292:B293"/>
    <mergeCell ref="C292:C293"/>
    <mergeCell ref="E292:F293"/>
    <mergeCell ref="A363:H363"/>
    <mergeCell ref="A364:A365"/>
    <mergeCell ref="B364:B365"/>
    <mergeCell ref="C364:C365"/>
    <mergeCell ref="D364:D365"/>
    <mergeCell ref="E364:E365"/>
    <mergeCell ref="G364:H365"/>
    <mergeCell ref="A342:B342"/>
    <mergeCell ref="A348:B348"/>
    <mergeCell ref="A352:F352"/>
    <mergeCell ref="A353:A354"/>
    <mergeCell ref="B353:B354"/>
    <mergeCell ref="C353:C354"/>
    <mergeCell ref="E353:F354"/>
    <mergeCell ref="A418:H418"/>
    <mergeCell ref="A419:A420"/>
    <mergeCell ref="B419:B420"/>
    <mergeCell ref="C419:C420"/>
    <mergeCell ref="D419:D420"/>
    <mergeCell ref="E419:E420"/>
    <mergeCell ref="G419:H420"/>
    <mergeCell ref="A397:B397"/>
    <mergeCell ref="A403:B403"/>
    <mergeCell ref="A407:F407"/>
    <mergeCell ref="A408:A409"/>
    <mergeCell ref="B408:B409"/>
    <mergeCell ref="C408:C409"/>
    <mergeCell ref="E408:F409"/>
    <mergeCell ref="A473:H473"/>
    <mergeCell ref="A474:A475"/>
    <mergeCell ref="B474:B475"/>
    <mergeCell ref="C474:C475"/>
    <mergeCell ref="D474:D475"/>
    <mergeCell ref="E474:E475"/>
    <mergeCell ref="G474:H475"/>
    <mergeCell ref="A452:B452"/>
    <mergeCell ref="A458:B458"/>
    <mergeCell ref="A462:F462"/>
    <mergeCell ref="A463:A464"/>
    <mergeCell ref="B463:B464"/>
    <mergeCell ref="C463:C464"/>
    <mergeCell ref="E463:F464"/>
    <mergeCell ref="A528:H528"/>
    <mergeCell ref="A529:A530"/>
    <mergeCell ref="B529:B530"/>
    <mergeCell ref="C529:C530"/>
    <mergeCell ref="D529:D530"/>
    <mergeCell ref="E529:E530"/>
    <mergeCell ref="G529:H530"/>
    <mergeCell ref="A507:B507"/>
    <mergeCell ref="A513:B513"/>
    <mergeCell ref="A517:F517"/>
    <mergeCell ref="A518:A519"/>
    <mergeCell ref="B518:B519"/>
    <mergeCell ref="C518:C519"/>
    <mergeCell ref="E518:F519"/>
    <mergeCell ref="A583:H583"/>
    <mergeCell ref="A584:A585"/>
    <mergeCell ref="B584:B585"/>
    <mergeCell ref="C584:C585"/>
    <mergeCell ref="D584:D585"/>
    <mergeCell ref="E584:E585"/>
    <mergeCell ref="G584:H585"/>
    <mergeCell ref="A562:B562"/>
    <mergeCell ref="A568:B568"/>
    <mergeCell ref="A572:F572"/>
    <mergeCell ref="A573:A574"/>
    <mergeCell ref="B573:B574"/>
    <mergeCell ref="C573:C574"/>
    <mergeCell ref="E573:F574"/>
    <mergeCell ref="A638:H638"/>
    <mergeCell ref="A639:A640"/>
    <mergeCell ref="B639:B640"/>
    <mergeCell ref="C639:C640"/>
    <mergeCell ref="D639:D640"/>
    <mergeCell ref="E639:E640"/>
    <mergeCell ref="G639:H640"/>
    <mergeCell ref="A617:B617"/>
    <mergeCell ref="A623:B623"/>
    <mergeCell ref="A627:F627"/>
    <mergeCell ref="A628:A629"/>
    <mergeCell ref="B628:B629"/>
    <mergeCell ref="C628:C629"/>
    <mergeCell ref="E628:F629"/>
    <mergeCell ref="A685:H685"/>
    <mergeCell ref="A686:A687"/>
    <mergeCell ref="B686:B687"/>
    <mergeCell ref="C686:C687"/>
    <mergeCell ref="D686:D687"/>
    <mergeCell ref="E686:E687"/>
    <mergeCell ref="G686:H687"/>
    <mergeCell ref="A664:B664"/>
    <mergeCell ref="A670:B670"/>
    <mergeCell ref="A674:F674"/>
    <mergeCell ref="A675:A676"/>
    <mergeCell ref="B675:B676"/>
    <mergeCell ref="C675:C676"/>
    <mergeCell ref="E675:F676"/>
    <mergeCell ref="A728:H728"/>
    <mergeCell ref="A729:A730"/>
    <mergeCell ref="B729:B730"/>
    <mergeCell ref="C729:C730"/>
    <mergeCell ref="D729:D730"/>
    <mergeCell ref="E729:E730"/>
    <mergeCell ref="G729:H730"/>
    <mergeCell ref="A707:B707"/>
    <mergeCell ref="A713:B713"/>
    <mergeCell ref="A717:F717"/>
    <mergeCell ref="A718:A719"/>
    <mergeCell ref="B718:B719"/>
    <mergeCell ref="C718:C719"/>
    <mergeCell ref="E718:F719"/>
    <mergeCell ref="A783:H783"/>
    <mergeCell ref="A784:A785"/>
    <mergeCell ref="B784:B785"/>
    <mergeCell ref="C784:C785"/>
    <mergeCell ref="D784:D785"/>
    <mergeCell ref="E784:E785"/>
    <mergeCell ref="G784:H785"/>
    <mergeCell ref="A762:B762"/>
    <mergeCell ref="A768:B768"/>
    <mergeCell ref="A772:F772"/>
    <mergeCell ref="A773:A774"/>
    <mergeCell ref="B773:B774"/>
    <mergeCell ref="C773:C774"/>
    <mergeCell ref="E773:F774"/>
    <mergeCell ref="A832:H832"/>
    <mergeCell ref="A833:A834"/>
    <mergeCell ref="B833:B834"/>
    <mergeCell ref="C833:C834"/>
    <mergeCell ref="D833:D834"/>
    <mergeCell ref="E833:E834"/>
    <mergeCell ref="G833:H834"/>
    <mergeCell ref="A811:B811"/>
    <mergeCell ref="A817:B817"/>
    <mergeCell ref="A821:F821"/>
    <mergeCell ref="A822:A823"/>
    <mergeCell ref="B822:B823"/>
    <mergeCell ref="C822:C823"/>
    <mergeCell ref="E822:F823"/>
    <mergeCell ref="A887:H887"/>
    <mergeCell ref="A888:A889"/>
    <mergeCell ref="B888:B889"/>
    <mergeCell ref="C888:C889"/>
    <mergeCell ref="D888:D889"/>
    <mergeCell ref="E888:E889"/>
    <mergeCell ref="G888:H889"/>
    <mergeCell ref="A866:B866"/>
    <mergeCell ref="A872:B872"/>
    <mergeCell ref="A876:F876"/>
    <mergeCell ref="A877:A878"/>
    <mergeCell ref="B877:B878"/>
    <mergeCell ref="C877:C878"/>
    <mergeCell ref="E877:F878"/>
    <mergeCell ref="A936:H936"/>
    <mergeCell ref="A937:A938"/>
    <mergeCell ref="B937:B938"/>
    <mergeCell ref="C937:C938"/>
    <mergeCell ref="D937:D938"/>
    <mergeCell ref="E937:E938"/>
    <mergeCell ref="G937:H938"/>
    <mergeCell ref="A915:B915"/>
    <mergeCell ref="A921:B921"/>
    <mergeCell ref="A925:F925"/>
    <mergeCell ref="A926:A927"/>
    <mergeCell ref="B926:B927"/>
    <mergeCell ref="C926:C927"/>
    <mergeCell ref="E926:F927"/>
    <mergeCell ref="A991:H991"/>
    <mergeCell ref="A992:A993"/>
    <mergeCell ref="B992:B993"/>
    <mergeCell ref="C992:C993"/>
    <mergeCell ref="D992:D993"/>
    <mergeCell ref="E992:E993"/>
    <mergeCell ref="G992:H993"/>
    <mergeCell ref="A970:B970"/>
    <mergeCell ref="A976:B976"/>
    <mergeCell ref="A980:F980"/>
    <mergeCell ref="A981:A982"/>
    <mergeCell ref="B981:B982"/>
    <mergeCell ref="C981:C982"/>
    <mergeCell ref="E981:F982"/>
    <mergeCell ref="A1040:H1040"/>
    <mergeCell ref="A1041:A1042"/>
    <mergeCell ref="B1041:B1042"/>
    <mergeCell ref="C1041:C1042"/>
    <mergeCell ref="D1041:D1042"/>
    <mergeCell ref="E1041:E1042"/>
    <mergeCell ref="G1041:H1042"/>
    <mergeCell ref="A1019:B1019"/>
    <mergeCell ref="A1025:B1025"/>
    <mergeCell ref="A1029:F1029"/>
    <mergeCell ref="A1030:A1031"/>
    <mergeCell ref="B1030:B1031"/>
    <mergeCell ref="C1030:C1031"/>
    <mergeCell ref="E1030:F1031"/>
    <mergeCell ref="A1089:H1089"/>
    <mergeCell ref="A1090:A1091"/>
    <mergeCell ref="B1090:B1091"/>
    <mergeCell ref="C1090:C1091"/>
    <mergeCell ref="D1090:D1091"/>
    <mergeCell ref="E1090:E1091"/>
    <mergeCell ref="G1090:H1091"/>
    <mergeCell ref="A1068:B1068"/>
    <mergeCell ref="A1074:B1074"/>
    <mergeCell ref="A1078:F1078"/>
    <mergeCell ref="A1079:A1080"/>
    <mergeCell ref="B1079:B1080"/>
    <mergeCell ref="C1079:C1080"/>
    <mergeCell ref="E1079:F1080"/>
    <mergeCell ref="A1132:H1132"/>
    <mergeCell ref="A1133:A1134"/>
    <mergeCell ref="B1133:B1134"/>
    <mergeCell ref="C1133:C1134"/>
    <mergeCell ref="D1133:D1134"/>
    <mergeCell ref="E1133:E1134"/>
    <mergeCell ref="G1133:H1134"/>
    <mergeCell ref="A1111:B1111"/>
    <mergeCell ref="A1117:B1117"/>
    <mergeCell ref="A1121:F1121"/>
    <mergeCell ref="A1122:A1123"/>
    <mergeCell ref="B1122:B1123"/>
    <mergeCell ref="C1122:C1123"/>
    <mergeCell ref="E1122:F1123"/>
    <mergeCell ref="A1178:H1178"/>
    <mergeCell ref="A1179:A1180"/>
    <mergeCell ref="B1179:B1180"/>
    <mergeCell ref="C1179:C1180"/>
    <mergeCell ref="D1179:D1180"/>
    <mergeCell ref="E1179:E1180"/>
    <mergeCell ref="G1179:H1180"/>
    <mergeCell ref="A1157:B1157"/>
    <mergeCell ref="A1163:B1163"/>
    <mergeCell ref="A1167:F1167"/>
    <mergeCell ref="A1168:A1169"/>
    <mergeCell ref="B1168:B1169"/>
    <mergeCell ref="C1168:C1169"/>
    <mergeCell ref="E1168:F1169"/>
    <mergeCell ref="A1221:H1221"/>
    <mergeCell ref="A1222:A1223"/>
    <mergeCell ref="B1222:B1223"/>
    <mergeCell ref="C1222:C1223"/>
    <mergeCell ref="D1222:D1223"/>
    <mergeCell ref="E1222:E1223"/>
    <mergeCell ref="G1222:H1223"/>
    <mergeCell ref="A1200:B1200"/>
    <mergeCell ref="A1206:B1206"/>
    <mergeCell ref="A1210:F1210"/>
    <mergeCell ref="A1211:A1212"/>
    <mergeCell ref="B1211:B1212"/>
    <mergeCell ref="C1211:C1212"/>
    <mergeCell ref="E1211:F1212"/>
    <mergeCell ref="A1267:H1267"/>
    <mergeCell ref="A1268:A1269"/>
    <mergeCell ref="B1268:B1269"/>
    <mergeCell ref="C1268:C1269"/>
    <mergeCell ref="D1268:D1269"/>
    <mergeCell ref="E1268:E1269"/>
    <mergeCell ref="G1268:H1269"/>
    <mergeCell ref="A1246:B1246"/>
    <mergeCell ref="A1252:B1252"/>
    <mergeCell ref="A1256:F1256"/>
    <mergeCell ref="A1257:A1258"/>
    <mergeCell ref="B1257:B1258"/>
    <mergeCell ref="C1257:C1258"/>
    <mergeCell ref="E1257:F1258"/>
    <mergeCell ref="A1310:H1310"/>
    <mergeCell ref="A1311:A1312"/>
    <mergeCell ref="B1311:B1312"/>
    <mergeCell ref="C1311:C1312"/>
    <mergeCell ref="D1311:D1312"/>
    <mergeCell ref="E1311:E1312"/>
    <mergeCell ref="G1311:H1312"/>
    <mergeCell ref="A1289:B1289"/>
    <mergeCell ref="A1295:B1295"/>
    <mergeCell ref="A1299:F1299"/>
    <mergeCell ref="A1300:A1301"/>
    <mergeCell ref="B1300:B1301"/>
    <mergeCell ref="C1300:C1301"/>
    <mergeCell ref="E1300:F1301"/>
    <mergeCell ref="A1358:H1358"/>
    <mergeCell ref="A1359:A1360"/>
    <mergeCell ref="B1359:B1360"/>
    <mergeCell ref="C1359:C1360"/>
    <mergeCell ref="D1359:D1360"/>
    <mergeCell ref="E1359:E1360"/>
    <mergeCell ref="G1359:H1360"/>
    <mergeCell ref="A1337:B1337"/>
    <mergeCell ref="A1343:B1343"/>
    <mergeCell ref="A1347:F1347"/>
    <mergeCell ref="A1348:A1349"/>
    <mergeCell ref="B1348:B1349"/>
    <mergeCell ref="C1348:C1349"/>
    <mergeCell ref="E1348:F1349"/>
    <mergeCell ref="A1401:H1401"/>
    <mergeCell ref="A1402:A1403"/>
    <mergeCell ref="B1402:B1403"/>
    <mergeCell ref="C1402:C1403"/>
    <mergeCell ref="D1402:D1403"/>
    <mergeCell ref="E1402:E1403"/>
    <mergeCell ref="G1402:H1403"/>
    <mergeCell ref="A1380:B1380"/>
    <mergeCell ref="A1386:B1386"/>
    <mergeCell ref="A1390:F1390"/>
    <mergeCell ref="A1391:A1392"/>
    <mergeCell ref="B1391:B1392"/>
    <mergeCell ref="C1391:C1392"/>
    <mergeCell ref="E1391:F1392"/>
    <mergeCell ref="A1449:H1449"/>
    <mergeCell ref="A1450:A1451"/>
    <mergeCell ref="B1450:B1451"/>
    <mergeCell ref="C1450:C1451"/>
    <mergeCell ref="D1450:D1451"/>
    <mergeCell ref="E1450:E1451"/>
    <mergeCell ref="G1450:H1451"/>
    <mergeCell ref="A1428:B1428"/>
    <mergeCell ref="A1434:B1434"/>
    <mergeCell ref="A1438:F1438"/>
    <mergeCell ref="A1439:A1440"/>
    <mergeCell ref="B1439:B1440"/>
    <mergeCell ref="C1439:C1440"/>
    <mergeCell ref="E1439:F1440"/>
    <mergeCell ref="A1492:H1492"/>
    <mergeCell ref="A1493:A1494"/>
    <mergeCell ref="B1493:B1494"/>
    <mergeCell ref="C1493:C1494"/>
    <mergeCell ref="D1493:D1494"/>
    <mergeCell ref="E1493:E1494"/>
    <mergeCell ref="G1493:H1494"/>
    <mergeCell ref="A1471:B1471"/>
    <mergeCell ref="A1477:B1477"/>
    <mergeCell ref="A1481:F1481"/>
    <mergeCell ref="A1482:A1483"/>
    <mergeCell ref="B1482:B1483"/>
    <mergeCell ref="C1482:C1483"/>
    <mergeCell ref="E1482:F1483"/>
    <mergeCell ref="A1540:H1540"/>
    <mergeCell ref="A1541:A1542"/>
    <mergeCell ref="B1541:B1542"/>
    <mergeCell ref="C1541:C1542"/>
    <mergeCell ref="D1541:D1542"/>
    <mergeCell ref="E1541:E1542"/>
    <mergeCell ref="G1541:H1542"/>
    <mergeCell ref="A1519:B1519"/>
    <mergeCell ref="A1525:B1525"/>
    <mergeCell ref="A1529:F1529"/>
    <mergeCell ref="A1530:A1531"/>
    <mergeCell ref="B1530:B1531"/>
    <mergeCell ref="C1530:C1531"/>
    <mergeCell ref="E1530:F1531"/>
  </mergeCells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08FA3-AC10-4F2C-A2B0-22A1BED5E483}">
  <dimension ref="A1:O1554"/>
  <sheetViews>
    <sheetView topLeftCell="A1529" workbookViewId="0">
      <selection activeCell="J1543" sqref="J1543"/>
    </sheetView>
  </sheetViews>
  <sheetFormatPr defaultRowHeight="16.5" x14ac:dyDescent="0.3"/>
  <cols>
    <col min="10" max="15" width="17.25" bestFit="1" customWidth="1"/>
  </cols>
  <sheetData>
    <row r="1" spans="1:6" x14ac:dyDescent="0.3">
      <c r="A1" s="1" t="s">
        <v>237</v>
      </c>
    </row>
    <row r="3" spans="1:6" x14ac:dyDescent="0.3">
      <c r="A3" s="1" t="s">
        <v>1</v>
      </c>
    </row>
    <row r="4" spans="1:6" ht="17.25" thickBot="1" x14ac:dyDescent="0.35"/>
    <row r="5" spans="1:6" ht="16.5" customHeight="1" x14ac:dyDescent="0.3">
      <c r="A5" s="16" t="s">
        <v>135</v>
      </c>
      <c r="B5" s="18"/>
    </row>
    <row r="6" spans="1:6" ht="26.25" thickBot="1" x14ac:dyDescent="0.35">
      <c r="A6" s="12" t="s">
        <v>136</v>
      </c>
      <c r="B6" s="2">
        <v>183</v>
      </c>
    </row>
    <row r="7" spans="1:6" ht="26.25" thickBot="1" x14ac:dyDescent="0.35">
      <c r="A7" s="12" t="s">
        <v>137</v>
      </c>
      <c r="B7" s="2">
        <v>2949</v>
      </c>
    </row>
    <row r="8" spans="1:6" ht="39" thickBot="1" x14ac:dyDescent="0.35">
      <c r="A8" s="12" t="s">
        <v>138</v>
      </c>
      <c r="B8" s="2">
        <v>23222</v>
      </c>
    </row>
    <row r="9" spans="1:6" ht="25.5" x14ac:dyDescent="0.3">
      <c r="A9" s="13" t="s">
        <v>139</v>
      </c>
      <c r="B9" s="2">
        <v>9036880.5199999996</v>
      </c>
    </row>
    <row r="10" spans="1:6" ht="17.25" thickBot="1" x14ac:dyDescent="0.35"/>
    <row r="11" spans="1:6" ht="33" customHeight="1" x14ac:dyDescent="0.3">
      <c r="A11" s="16" t="s">
        <v>140</v>
      </c>
      <c r="B11" s="18"/>
    </row>
    <row r="12" spans="1:6" ht="33.75" thickBot="1" x14ac:dyDescent="0.35">
      <c r="A12" s="12" t="s">
        <v>141</v>
      </c>
      <c r="B12" s="2" t="s">
        <v>142</v>
      </c>
    </row>
    <row r="13" spans="1:6" ht="25.5" x14ac:dyDescent="0.3">
      <c r="A13" s="13" t="s">
        <v>143</v>
      </c>
      <c r="B13" s="2" t="s">
        <v>144</v>
      </c>
    </row>
    <row r="14" spans="1:6" ht="17.25" thickBot="1" x14ac:dyDescent="0.35"/>
    <row r="15" spans="1:6" ht="16.5" customHeight="1" x14ac:dyDescent="0.3">
      <c r="A15" s="16" t="s">
        <v>238</v>
      </c>
      <c r="B15" s="18"/>
      <c r="C15" s="18"/>
      <c r="D15" s="18"/>
      <c r="E15" s="18"/>
      <c r="F15" s="18"/>
    </row>
    <row r="16" spans="1:6" ht="16.5" customHeight="1" x14ac:dyDescent="0.3">
      <c r="A16" s="17" t="s">
        <v>239</v>
      </c>
      <c r="B16" s="19" t="s">
        <v>94</v>
      </c>
      <c r="C16" s="19" t="s">
        <v>240</v>
      </c>
      <c r="D16" s="3" t="s">
        <v>241</v>
      </c>
      <c r="E16" s="19" t="s">
        <v>243</v>
      </c>
      <c r="F16" s="19"/>
    </row>
    <row r="17" spans="1:8" x14ac:dyDescent="0.3">
      <c r="A17" s="17"/>
      <c r="B17" s="19"/>
      <c r="C17" s="19"/>
      <c r="D17" s="3" t="s">
        <v>242</v>
      </c>
      <c r="E17" s="19"/>
      <c r="F17" s="19"/>
    </row>
    <row r="18" spans="1:8" x14ac:dyDescent="0.3">
      <c r="A18" s="13" t="s">
        <v>117</v>
      </c>
      <c r="B18" s="2">
        <v>23222</v>
      </c>
      <c r="C18" s="2">
        <v>33.805624000000002</v>
      </c>
      <c r="D18" s="2">
        <v>7.0877999999999997E-2</v>
      </c>
      <c r="E18" s="2">
        <v>33.666644300000002</v>
      </c>
      <c r="F18" s="2">
        <v>33.944603299999997</v>
      </c>
    </row>
    <row r="22" spans="1:8" x14ac:dyDescent="0.3">
      <c r="A22" s="1" t="s">
        <v>237</v>
      </c>
    </row>
    <row r="24" spans="1:8" x14ac:dyDescent="0.3">
      <c r="A24" s="1" t="s">
        <v>1</v>
      </c>
    </row>
    <row r="25" spans="1:8" ht="17.25" thickBot="1" x14ac:dyDescent="0.35"/>
    <row r="26" spans="1:8" ht="16.5" customHeight="1" x14ac:dyDescent="0.3">
      <c r="A26" s="16" t="s">
        <v>250</v>
      </c>
      <c r="B26" s="18"/>
      <c r="C26" s="18"/>
      <c r="D26" s="18"/>
      <c r="E26" s="18"/>
      <c r="F26" s="18"/>
      <c r="G26" s="18"/>
      <c r="H26" s="18"/>
    </row>
    <row r="27" spans="1:8" ht="16.5" customHeight="1" x14ac:dyDescent="0.3">
      <c r="A27" s="17" t="s">
        <v>249</v>
      </c>
      <c r="B27" s="19" t="s">
        <v>2</v>
      </c>
      <c r="C27" s="19" t="s">
        <v>239</v>
      </c>
      <c r="D27" s="19" t="s">
        <v>94</v>
      </c>
      <c r="E27" s="19" t="s">
        <v>240</v>
      </c>
      <c r="F27" s="3" t="s">
        <v>241</v>
      </c>
      <c r="G27" s="19" t="s">
        <v>243</v>
      </c>
      <c r="H27" s="19"/>
    </row>
    <row r="28" spans="1:8" x14ac:dyDescent="0.3">
      <c r="A28" s="17"/>
      <c r="B28" s="19"/>
      <c r="C28" s="19"/>
      <c r="D28" s="19"/>
      <c r="E28" s="19"/>
      <c r="F28" s="3" t="s">
        <v>242</v>
      </c>
      <c r="G28" s="19"/>
      <c r="H28" s="19"/>
    </row>
    <row r="29" spans="1:8" ht="17.25" thickBot="1" x14ac:dyDescent="0.35">
      <c r="A29" s="6">
        <v>1</v>
      </c>
      <c r="B29" s="3">
        <v>1</v>
      </c>
      <c r="C29" s="11" t="s">
        <v>117</v>
      </c>
      <c r="D29" s="2">
        <v>484</v>
      </c>
      <c r="E29" s="2">
        <v>33.666975000000001</v>
      </c>
      <c r="F29" s="2">
        <v>0.36626199999999998</v>
      </c>
      <c r="G29" s="2">
        <v>32.948801000000003</v>
      </c>
      <c r="H29" s="2">
        <v>34.385149400000003</v>
      </c>
    </row>
    <row r="30" spans="1:8" ht="17.25" thickBot="1" x14ac:dyDescent="0.35">
      <c r="A30" s="6"/>
      <c r="B30" s="3">
        <v>2</v>
      </c>
      <c r="C30" s="11" t="s">
        <v>117</v>
      </c>
      <c r="D30" s="2">
        <v>1151</v>
      </c>
      <c r="E30" s="2">
        <v>36.841141</v>
      </c>
      <c r="F30" s="2">
        <v>0.25607400000000002</v>
      </c>
      <c r="G30" s="2">
        <v>36.339024999999999</v>
      </c>
      <c r="H30" s="2">
        <v>37.343257399999999</v>
      </c>
    </row>
    <row r="31" spans="1:8" ht="17.25" thickBot="1" x14ac:dyDescent="0.35">
      <c r="A31" s="6"/>
      <c r="B31" s="3">
        <v>3</v>
      </c>
      <c r="C31" s="11" t="s">
        <v>117</v>
      </c>
      <c r="D31" s="2">
        <v>1105</v>
      </c>
      <c r="E31" s="2">
        <v>37.436923999999998</v>
      </c>
      <c r="F31" s="2">
        <v>0.233538</v>
      </c>
      <c r="G31" s="2">
        <v>36.978997700000001</v>
      </c>
      <c r="H31" s="2">
        <v>37.894851099999997</v>
      </c>
    </row>
    <row r="32" spans="1:8" ht="17.25" thickBot="1" x14ac:dyDescent="0.35">
      <c r="A32" s="6"/>
      <c r="B32" s="3">
        <v>8</v>
      </c>
      <c r="C32" s="11" t="s">
        <v>117</v>
      </c>
      <c r="D32" s="2">
        <v>1000</v>
      </c>
      <c r="E32" s="2">
        <v>29.704625</v>
      </c>
      <c r="F32" s="2">
        <v>0.245362</v>
      </c>
      <c r="G32" s="2">
        <v>29.2235145</v>
      </c>
      <c r="H32" s="2">
        <v>30.185735099999999</v>
      </c>
    </row>
    <row r="33" spans="1:8" ht="17.25" thickBot="1" x14ac:dyDescent="0.35">
      <c r="A33" s="6">
        <v>2</v>
      </c>
      <c r="B33" s="3">
        <v>1</v>
      </c>
      <c r="C33" s="11" t="s">
        <v>117</v>
      </c>
      <c r="D33" s="2">
        <v>344</v>
      </c>
      <c r="E33" s="2">
        <v>34.517118000000004</v>
      </c>
      <c r="F33" s="2">
        <v>0.48859200000000003</v>
      </c>
      <c r="G33" s="2">
        <v>33.559075800000002</v>
      </c>
      <c r="H33" s="2">
        <v>35.475160099999997</v>
      </c>
    </row>
    <row r="34" spans="1:8" ht="17.25" thickBot="1" x14ac:dyDescent="0.35">
      <c r="A34" s="6"/>
      <c r="B34" s="3">
        <v>2</v>
      </c>
      <c r="C34" s="11" t="s">
        <v>117</v>
      </c>
      <c r="D34" s="2">
        <v>1133</v>
      </c>
      <c r="E34" s="2">
        <v>36.300040000000003</v>
      </c>
      <c r="F34" s="2">
        <v>0.26420100000000002</v>
      </c>
      <c r="G34" s="2">
        <v>35.781988300000002</v>
      </c>
      <c r="H34" s="2">
        <v>36.818092200000002</v>
      </c>
    </row>
    <row r="35" spans="1:8" ht="17.25" thickBot="1" x14ac:dyDescent="0.35">
      <c r="A35" s="6"/>
      <c r="B35" s="3">
        <v>3</v>
      </c>
      <c r="C35" s="11" t="s">
        <v>117</v>
      </c>
      <c r="D35" s="2">
        <v>1142</v>
      </c>
      <c r="E35" s="2">
        <v>36.902802000000001</v>
      </c>
      <c r="F35" s="2">
        <v>0.256079</v>
      </c>
      <c r="G35" s="2">
        <v>36.400676799999999</v>
      </c>
      <c r="H35" s="2">
        <v>37.404926799999998</v>
      </c>
    </row>
    <row r="36" spans="1:8" ht="17.25" thickBot="1" x14ac:dyDescent="0.35">
      <c r="A36" s="6"/>
      <c r="B36" s="3">
        <v>8</v>
      </c>
      <c r="C36" s="11" t="s">
        <v>117</v>
      </c>
      <c r="D36" s="2">
        <v>2113</v>
      </c>
      <c r="E36" s="2">
        <v>29.611124</v>
      </c>
      <c r="F36" s="2">
        <v>0.182648</v>
      </c>
      <c r="G36" s="2">
        <v>29.252983499999999</v>
      </c>
      <c r="H36" s="2">
        <v>29.969264899999999</v>
      </c>
    </row>
    <row r="37" spans="1:8" ht="17.25" thickBot="1" x14ac:dyDescent="0.35">
      <c r="A37" s="6">
        <v>3</v>
      </c>
      <c r="B37" s="3">
        <v>1</v>
      </c>
      <c r="C37" s="11" t="s">
        <v>117</v>
      </c>
      <c r="D37" s="2">
        <v>385</v>
      </c>
      <c r="E37" s="2">
        <v>34.989829</v>
      </c>
      <c r="F37" s="2">
        <v>0.47143499999999999</v>
      </c>
      <c r="G37" s="2">
        <v>34.065429100000003</v>
      </c>
      <c r="H37" s="2">
        <v>35.914229200000001</v>
      </c>
    </row>
    <row r="38" spans="1:8" ht="17.25" thickBot="1" x14ac:dyDescent="0.35">
      <c r="A38" s="6"/>
      <c r="B38" s="3">
        <v>2</v>
      </c>
      <c r="C38" s="11" t="s">
        <v>117</v>
      </c>
      <c r="D38" s="2">
        <v>1194</v>
      </c>
      <c r="E38" s="2">
        <v>36.464492</v>
      </c>
      <c r="F38" s="2">
        <v>0.25310899999999997</v>
      </c>
      <c r="G38" s="2">
        <v>35.968191300000001</v>
      </c>
      <c r="H38" s="2">
        <v>36.960793500000001</v>
      </c>
    </row>
    <row r="39" spans="1:8" ht="17.25" thickBot="1" x14ac:dyDescent="0.35">
      <c r="A39" s="6"/>
      <c r="B39" s="3">
        <v>3</v>
      </c>
      <c r="C39" s="11" t="s">
        <v>117</v>
      </c>
      <c r="D39" s="2">
        <v>1058</v>
      </c>
      <c r="E39" s="2">
        <v>37.143334000000003</v>
      </c>
      <c r="F39" s="2">
        <v>0.24579200000000001</v>
      </c>
      <c r="G39" s="2">
        <v>36.661379500000002</v>
      </c>
      <c r="H39" s="2">
        <v>37.625288500000003</v>
      </c>
    </row>
    <row r="40" spans="1:8" ht="17.25" thickBot="1" x14ac:dyDescent="0.35">
      <c r="A40" s="6"/>
      <c r="B40" s="3">
        <v>8</v>
      </c>
      <c r="C40" s="11" t="s">
        <v>117</v>
      </c>
      <c r="D40" s="2">
        <v>1620</v>
      </c>
      <c r="E40" s="2">
        <v>30.245245000000001</v>
      </c>
      <c r="F40" s="2">
        <v>0.206425</v>
      </c>
      <c r="G40" s="2">
        <v>29.840482699999999</v>
      </c>
      <c r="H40" s="2">
        <v>30.650006999999999</v>
      </c>
    </row>
    <row r="41" spans="1:8" ht="17.25" thickBot="1" x14ac:dyDescent="0.35">
      <c r="A41" s="6">
        <v>4</v>
      </c>
      <c r="B41" s="3">
        <v>1</v>
      </c>
      <c r="C41" s="11" t="s">
        <v>117</v>
      </c>
      <c r="D41" s="2">
        <v>415</v>
      </c>
      <c r="E41" s="2">
        <v>34.818457000000002</v>
      </c>
      <c r="F41" s="2">
        <v>0.47295999999999999</v>
      </c>
      <c r="G41" s="2">
        <v>33.891067200000002</v>
      </c>
      <c r="H41" s="2">
        <v>35.745846</v>
      </c>
    </row>
    <row r="42" spans="1:8" ht="17.25" thickBot="1" x14ac:dyDescent="0.35">
      <c r="A42" s="6"/>
      <c r="B42" s="3">
        <v>2</v>
      </c>
      <c r="C42" s="11" t="s">
        <v>117</v>
      </c>
      <c r="D42" s="2">
        <v>1156</v>
      </c>
      <c r="E42" s="2">
        <v>36.745030999999997</v>
      </c>
      <c r="F42" s="2">
        <v>0.26184800000000003</v>
      </c>
      <c r="G42" s="2">
        <v>36.231593400000001</v>
      </c>
      <c r="H42" s="2">
        <v>37.2584686</v>
      </c>
    </row>
    <row r="43" spans="1:8" ht="17.25" thickBot="1" x14ac:dyDescent="0.35">
      <c r="A43" s="6"/>
      <c r="B43" s="3">
        <v>3</v>
      </c>
      <c r="C43" s="11" t="s">
        <v>117</v>
      </c>
      <c r="D43" s="2">
        <v>1264</v>
      </c>
      <c r="E43" s="2">
        <v>37.233034000000004</v>
      </c>
      <c r="F43" s="2">
        <v>0.21688099999999999</v>
      </c>
      <c r="G43" s="2">
        <v>36.807768600000003</v>
      </c>
      <c r="H43" s="2">
        <v>37.658299900000003</v>
      </c>
    </row>
    <row r="44" spans="1:8" ht="17.25" thickBot="1" x14ac:dyDescent="0.35">
      <c r="A44" s="6"/>
      <c r="B44" s="3">
        <v>8</v>
      </c>
      <c r="C44" s="11" t="s">
        <v>117</v>
      </c>
      <c r="D44" s="2">
        <v>1721</v>
      </c>
      <c r="E44" s="2">
        <v>29.953271999999998</v>
      </c>
      <c r="F44" s="2">
        <v>0.18919800000000001</v>
      </c>
      <c r="G44" s="2">
        <v>29.582288299999998</v>
      </c>
      <c r="H44" s="2">
        <v>30.324255600000001</v>
      </c>
    </row>
    <row r="45" spans="1:8" ht="17.25" thickBot="1" x14ac:dyDescent="0.35">
      <c r="A45" s="6">
        <v>5</v>
      </c>
      <c r="B45" s="3">
        <v>1</v>
      </c>
      <c r="C45" s="11" t="s">
        <v>117</v>
      </c>
      <c r="D45" s="2">
        <v>353</v>
      </c>
      <c r="E45" s="2">
        <v>35.372056000000001</v>
      </c>
      <c r="F45" s="2">
        <v>0.56127499999999997</v>
      </c>
      <c r="G45" s="2">
        <v>34.271495999999999</v>
      </c>
      <c r="H45" s="2">
        <v>36.472615300000001</v>
      </c>
    </row>
    <row r="46" spans="1:8" ht="17.25" thickBot="1" x14ac:dyDescent="0.35">
      <c r="A46" s="6"/>
      <c r="B46" s="3">
        <v>2</v>
      </c>
      <c r="C46" s="11" t="s">
        <v>117</v>
      </c>
      <c r="D46" s="2">
        <v>984</v>
      </c>
      <c r="E46" s="2">
        <v>36.855843999999998</v>
      </c>
      <c r="F46" s="2">
        <v>0.28915999999999997</v>
      </c>
      <c r="G46" s="2">
        <v>36.288852599999998</v>
      </c>
      <c r="H46" s="2">
        <v>37.4228357</v>
      </c>
    </row>
    <row r="47" spans="1:8" ht="17.25" thickBot="1" x14ac:dyDescent="0.35">
      <c r="A47" s="6"/>
      <c r="B47" s="3">
        <v>3</v>
      </c>
      <c r="C47" s="11" t="s">
        <v>117</v>
      </c>
      <c r="D47" s="2">
        <v>1617</v>
      </c>
      <c r="E47" s="2">
        <v>36.157401999999998</v>
      </c>
      <c r="F47" s="2">
        <v>0.19498599999999999</v>
      </c>
      <c r="G47" s="2">
        <v>35.775069799999997</v>
      </c>
      <c r="H47" s="2">
        <v>36.539735100000001</v>
      </c>
    </row>
    <row r="48" spans="1:8" ht="17.25" thickBot="1" x14ac:dyDescent="0.35">
      <c r="A48" s="6"/>
      <c r="B48" s="3">
        <v>8</v>
      </c>
      <c r="C48" s="11" t="s">
        <v>117</v>
      </c>
      <c r="D48" s="2">
        <v>1547</v>
      </c>
      <c r="E48" s="2">
        <v>31.063338000000002</v>
      </c>
      <c r="F48" s="2">
        <v>0.27896399999999999</v>
      </c>
      <c r="G48" s="2">
        <v>30.5163391</v>
      </c>
      <c r="H48" s="2">
        <v>31.610337399999999</v>
      </c>
    </row>
    <row r="49" spans="1:8" ht="17.25" thickBot="1" x14ac:dyDescent="0.35">
      <c r="A49" s="6">
        <v>6</v>
      </c>
      <c r="B49" s="3">
        <v>1</v>
      </c>
      <c r="C49" s="11" t="s">
        <v>117</v>
      </c>
      <c r="D49" s="2">
        <v>129</v>
      </c>
      <c r="E49" s="2">
        <v>34.770837999999998</v>
      </c>
      <c r="F49" s="2">
        <v>1.0078940000000001</v>
      </c>
      <c r="G49" s="2">
        <v>32.794537800000001</v>
      </c>
      <c r="H49" s="2">
        <v>36.747138700000001</v>
      </c>
    </row>
    <row r="50" spans="1:8" ht="17.25" thickBot="1" x14ac:dyDescent="0.35">
      <c r="A50" s="6"/>
      <c r="B50" s="3">
        <v>2</v>
      </c>
      <c r="C50" s="11" t="s">
        <v>117</v>
      </c>
      <c r="D50" s="2">
        <v>346</v>
      </c>
      <c r="E50" s="2">
        <v>36.067461000000002</v>
      </c>
      <c r="F50" s="2">
        <v>0.488035</v>
      </c>
      <c r="G50" s="2">
        <v>35.110511299999999</v>
      </c>
      <c r="H50" s="2">
        <v>37.024410600000003</v>
      </c>
    </row>
    <row r="51" spans="1:8" ht="17.25" thickBot="1" x14ac:dyDescent="0.35">
      <c r="A51" s="6"/>
      <c r="B51" s="3">
        <v>3</v>
      </c>
      <c r="C51" s="11" t="s">
        <v>117</v>
      </c>
      <c r="D51" s="2">
        <v>523</v>
      </c>
      <c r="E51" s="2">
        <v>34.996580999999999</v>
      </c>
      <c r="F51" s="2">
        <v>0.332181</v>
      </c>
      <c r="G51" s="2">
        <v>34.345232699999997</v>
      </c>
      <c r="H51" s="2">
        <v>35.6479286</v>
      </c>
    </row>
    <row r="52" spans="1:8" x14ac:dyDescent="0.3">
      <c r="A52" s="6"/>
      <c r="B52" s="3">
        <v>8</v>
      </c>
      <c r="C52" s="14" t="s">
        <v>117</v>
      </c>
      <c r="D52" s="2">
        <v>438</v>
      </c>
      <c r="E52" s="2">
        <v>29.859221000000002</v>
      </c>
      <c r="F52" s="2">
        <v>0.50339699999999998</v>
      </c>
      <c r="G52" s="2">
        <v>28.872149400000001</v>
      </c>
      <c r="H52" s="2">
        <v>30.846292600000002</v>
      </c>
    </row>
    <row r="56" spans="1:8" x14ac:dyDescent="0.3">
      <c r="A56" s="1" t="s">
        <v>237</v>
      </c>
    </row>
    <row r="58" spans="1:8" x14ac:dyDescent="0.3">
      <c r="A58" s="1" t="s">
        <v>21</v>
      </c>
    </row>
    <row r="59" spans="1:8" ht="17.25" thickBot="1" x14ac:dyDescent="0.35"/>
    <row r="60" spans="1:8" ht="16.5" customHeight="1" x14ac:dyDescent="0.3">
      <c r="A60" s="16" t="s">
        <v>135</v>
      </c>
      <c r="B60" s="18"/>
    </row>
    <row r="61" spans="1:8" ht="26.25" thickBot="1" x14ac:dyDescent="0.35">
      <c r="A61" s="12" t="s">
        <v>136</v>
      </c>
      <c r="B61" s="2">
        <v>183</v>
      </c>
    </row>
    <row r="62" spans="1:8" ht="26.25" thickBot="1" x14ac:dyDescent="0.35">
      <c r="A62" s="12" t="s">
        <v>137</v>
      </c>
      <c r="B62" s="2">
        <v>2982</v>
      </c>
    </row>
    <row r="63" spans="1:8" ht="39" thickBot="1" x14ac:dyDescent="0.35">
      <c r="A63" s="12" t="s">
        <v>138</v>
      </c>
      <c r="B63" s="2">
        <v>68635</v>
      </c>
    </row>
    <row r="64" spans="1:8" ht="25.5" x14ac:dyDescent="0.3">
      <c r="A64" s="13" t="s">
        <v>139</v>
      </c>
      <c r="B64" s="2">
        <v>30251935.699999999</v>
      </c>
    </row>
    <row r="65" spans="1:6" ht="17.25" thickBot="1" x14ac:dyDescent="0.35"/>
    <row r="66" spans="1:6" ht="33" customHeight="1" x14ac:dyDescent="0.3">
      <c r="A66" s="16" t="s">
        <v>140</v>
      </c>
      <c r="B66" s="18"/>
    </row>
    <row r="67" spans="1:6" ht="33.75" thickBot="1" x14ac:dyDescent="0.35">
      <c r="A67" s="12" t="s">
        <v>141</v>
      </c>
      <c r="B67" s="2" t="s">
        <v>142</v>
      </c>
    </row>
    <row r="68" spans="1:6" ht="25.5" x14ac:dyDescent="0.3">
      <c r="A68" s="13" t="s">
        <v>143</v>
      </c>
      <c r="B68" s="2" t="s">
        <v>144</v>
      </c>
    </row>
    <row r="69" spans="1:6" ht="17.25" thickBot="1" x14ac:dyDescent="0.35"/>
    <row r="70" spans="1:6" ht="16.5" customHeight="1" x14ac:dyDescent="0.3">
      <c r="A70" s="16" t="s">
        <v>238</v>
      </c>
      <c r="B70" s="18"/>
      <c r="C70" s="18"/>
      <c r="D70" s="18"/>
      <c r="E70" s="18"/>
      <c r="F70" s="18"/>
    </row>
    <row r="71" spans="1:6" ht="16.5" customHeight="1" x14ac:dyDescent="0.3">
      <c r="A71" s="17" t="s">
        <v>239</v>
      </c>
      <c r="B71" s="19" t="s">
        <v>94</v>
      </c>
      <c r="C71" s="19" t="s">
        <v>240</v>
      </c>
      <c r="D71" s="3" t="s">
        <v>241</v>
      </c>
      <c r="E71" s="19" t="s">
        <v>243</v>
      </c>
      <c r="F71" s="19"/>
    </row>
    <row r="72" spans="1:6" x14ac:dyDescent="0.3">
      <c r="A72" s="17"/>
      <c r="B72" s="19"/>
      <c r="C72" s="19"/>
      <c r="D72" s="3" t="s">
        <v>242</v>
      </c>
      <c r="E72" s="19"/>
      <c r="F72" s="19"/>
    </row>
    <row r="73" spans="1:6" x14ac:dyDescent="0.3">
      <c r="A73" s="13" t="s">
        <v>117</v>
      </c>
      <c r="B73" s="2">
        <v>68635</v>
      </c>
      <c r="C73" s="2">
        <v>35.601097000000003</v>
      </c>
      <c r="D73" s="2">
        <v>3.8943999999999999E-2</v>
      </c>
      <c r="E73" s="2">
        <v>35.524735800000002</v>
      </c>
      <c r="F73" s="2">
        <v>35.677458399999999</v>
      </c>
    </row>
    <row r="77" spans="1:6" x14ac:dyDescent="0.3">
      <c r="A77" s="1" t="s">
        <v>237</v>
      </c>
    </row>
    <row r="79" spans="1:6" x14ac:dyDescent="0.3">
      <c r="A79" s="1" t="s">
        <v>21</v>
      </c>
    </row>
    <row r="80" spans="1:6" ht="17.25" thickBot="1" x14ac:dyDescent="0.35"/>
    <row r="81" spans="1:15" ht="16.5" customHeight="1" x14ac:dyDescent="0.3">
      <c r="A81" s="16" t="s">
        <v>250</v>
      </c>
      <c r="B81" s="18"/>
      <c r="C81" s="18"/>
      <c r="D81" s="18"/>
      <c r="E81" s="18"/>
      <c r="F81" s="18"/>
      <c r="G81" s="18"/>
      <c r="H81" s="18"/>
    </row>
    <row r="82" spans="1:15" ht="16.5" customHeight="1" x14ac:dyDescent="0.3">
      <c r="A82" s="17" t="s">
        <v>249</v>
      </c>
      <c r="B82" s="19" t="s">
        <v>2</v>
      </c>
      <c r="C82" s="19" t="s">
        <v>239</v>
      </c>
      <c r="D82" s="19" t="s">
        <v>94</v>
      </c>
      <c r="E82" s="19" t="s">
        <v>240</v>
      </c>
      <c r="F82" s="3" t="s">
        <v>241</v>
      </c>
      <c r="G82" s="19" t="s">
        <v>243</v>
      </c>
      <c r="H82" s="19"/>
    </row>
    <row r="83" spans="1:15" x14ac:dyDescent="0.3">
      <c r="A83" s="17"/>
      <c r="B83" s="19"/>
      <c r="C83" s="19"/>
      <c r="D83" s="19"/>
      <c r="E83" s="19"/>
      <c r="F83" s="3" t="s">
        <v>242</v>
      </c>
      <c r="G83" s="19"/>
      <c r="H83" s="19"/>
    </row>
    <row r="84" spans="1:15" ht="17.25" thickBot="1" x14ac:dyDescent="0.35">
      <c r="A84" s="6">
        <v>1</v>
      </c>
      <c r="B84" s="3">
        <v>1</v>
      </c>
      <c r="C84" s="11" t="s">
        <v>117</v>
      </c>
      <c r="D84" s="2">
        <v>4203</v>
      </c>
      <c r="E84" s="2">
        <v>34.044775000000001</v>
      </c>
      <c r="F84" s="2">
        <v>0.12573599999999999</v>
      </c>
      <c r="G84" s="2">
        <v>33.798231199999996</v>
      </c>
      <c r="H84" s="2">
        <v>34.291318500000003</v>
      </c>
      <c r="J84" t="str">
        <f t="shared" ref="J84:J101" si="0">TEXT(E84,"0.00")&amp;" ("&amp;TEXT(G84,"0.00")&amp;" to "&amp;TEXT(H84,"0.00")&amp;")"</f>
        <v>34.04 (33.80 to 34.29)</v>
      </c>
      <c r="K84" t="str">
        <f>J87</f>
        <v>34.07 (33.75 to 34.39)</v>
      </c>
      <c r="L84" t="str">
        <f>J90</f>
        <v>33.80 (33.51 to 34.10)</v>
      </c>
      <c r="M84" t="str">
        <f>J93</f>
        <v>34.38 (34.08 to 34.67)</v>
      </c>
      <c r="N84" t="str">
        <f>J96</f>
        <v>34.61 (34.29 to 34.93)</v>
      </c>
      <c r="O84" t="str">
        <f>J99</f>
        <v>34.73 (34.03 to 35.43)</v>
      </c>
    </row>
    <row r="85" spans="1:15" ht="17.25" thickBot="1" x14ac:dyDescent="0.35">
      <c r="A85" s="6"/>
      <c r="B85" s="3">
        <v>2</v>
      </c>
      <c r="C85" s="11" t="s">
        <v>117</v>
      </c>
      <c r="D85" s="2">
        <v>5539</v>
      </c>
      <c r="E85" s="2">
        <v>36.845284999999997</v>
      </c>
      <c r="F85" s="2">
        <v>0.11015900000000001</v>
      </c>
      <c r="G85" s="2">
        <v>36.6292835</v>
      </c>
      <c r="H85" s="2">
        <v>37.061286699999997</v>
      </c>
      <c r="J85" t="str">
        <f t="shared" si="0"/>
        <v>36.85 (36.63 to 37.06)</v>
      </c>
      <c r="K85" t="str">
        <f t="shared" ref="K85:K86" si="1">J88</f>
        <v>36.65 (36.45 to 36.85)</v>
      </c>
      <c r="L85" t="str">
        <f t="shared" ref="L85:L86" si="2">J91</f>
        <v>36.40 (36.19 to 36.60)</v>
      </c>
      <c r="M85" t="str">
        <f t="shared" ref="M85:M86" si="3">J94</f>
        <v>36.50 (36.29 to 36.72)</v>
      </c>
      <c r="N85" t="str">
        <f t="shared" ref="N85:N86" si="4">J97</f>
        <v>36.44 (36.22 to 36.66)</v>
      </c>
      <c r="O85" t="str">
        <f t="shared" ref="O85:O86" si="5">J100</f>
        <v>35.63 (35.28 to 35.97)</v>
      </c>
    </row>
    <row r="86" spans="1:15" ht="17.25" thickBot="1" x14ac:dyDescent="0.35">
      <c r="A86" s="6"/>
      <c r="B86" s="3">
        <v>3</v>
      </c>
      <c r="C86" s="11" t="s">
        <v>117</v>
      </c>
      <c r="D86" s="2">
        <v>2173</v>
      </c>
      <c r="E86" s="2">
        <v>36.610571</v>
      </c>
      <c r="F86" s="2">
        <v>0.164994</v>
      </c>
      <c r="G86" s="2">
        <v>36.287048300000002</v>
      </c>
      <c r="H86" s="2">
        <v>36.934094100000003</v>
      </c>
      <c r="J86" t="str">
        <f t="shared" si="0"/>
        <v>36.61 (36.29 to 36.93)</v>
      </c>
      <c r="K86" t="str">
        <f t="shared" si="1"/>
        <v>36.35 (36.03 to 36.67)</v>
      </c>
      <c r="L86" t="str">
        <f t="shared" si="2"/>
        <v>36.67 (36.35 to 36.99)</v>
      </c>
      <c r="M86" t="str">
        <f t="shared" si="3"/>
        <v>36.80 (36.52 to 37.09)</v>
      </c>
      <c r="N86" t="str">
        <f t="shared" si="4"/>
        <v>36.66 (36.40 to 36.92)</v>
      </c>
      <c r="O86" t="str">
        <f t="shared" si="5"/>
        <v>35.37 (34.95 to 35.80)</v>
      </c>
    </row>
    <row r="87" spans="1:15" ht="17.25" thickBot="1" x14ac:dyDescent="0.35">
      <c r="A87" s="6">
        <v>2</v>
      </c>
      <c r="B87" s="3">
        <v>1</v>
      </c>
      <c r="C87" s="11" t="s">
        <v>117</v>
      </c>
      <c r="D87" s="2">
        <v>4179</v>
      </c>
      <c r="E87" s="2">
        <v>34.073214999999998</v>
      </c>
      <c r="F87" s="2">
        <v>0.16375799999999999</v>
      </c>
      <c r="G87" s="2">
        <v>33.752116600000001</v>
      </c>
      <c r="H87" s="2">
        <v>34.394314100000003</v>
      </c>
      <c r="J87" t="str">
        <f t="shared" si="0"/>
        <v>34.07 (33.75 to 34.39)</v>
      </c>
    </row>
    <row r="88" spans="1:15" ht="17.25" thickBot="1" x14ac:dyDescent="0.35">
      <c r="A88" s="6"/>
      <c r="B88" s="3">
        <v>2</v>
      </c>
      <c r="C88" s="11" t="s">
        <v>117</v>
      </c>
      <c r="D88" s="2">
        <v>6402</v>
      </c>
      <c r="E88" s="2">
        <v>36.65081</v>
      </c>
      <c r="F88" s="2">
        <v>0.10101300000000001</v>
      </c>
      <c r="G88" s="2">
        <v>36.452742999999998</v>
      </c>
      <c r="H88" s="2">
        <v>36.848877299999998</v>
      </c>
      <c r="J88" t="str">
        <f t="shared" si="0"/>
        <v>36.65 (36.45 to 36.85)</v>
      </c>
    </row>
    <row r="89" spans="1:15" ht="17.25" thickBot="1" x14ac:dyDescent="0.35">
      <c r="A89" s="6"/>
      <c r="B89" s="3">
        <v>3</v>
      </c>
      <c r="C89" s="11" t="s">
        <v>117</v>
      </c>
      <c r="D89" s="2">
        <v>2535</v>
      </c>
      <c r="E89" s="2">
        <v>36.347197999999999</v>
      </c>
      <c r="F89" s="2">
        <v>0.16428899999999999</v>
      </c>
      <c r="G89" s="2">
        <v>36.025058299999998</v>
      </c>
      <c r="H89" s="2">
        <v>36.669336999999999</v>
      </c>
      <c r="J89" t="str">
        <f t="shared" si="0"/>
        <v>36.35 (36.03 to 36.67)</v>
      </c>
    </row>
    <row r="90" spans="1:15" ht="17.25" thickBot="1" x14ac:dyDescent="0.35">
      <c r="A90" s="6">
        <v>3</v>
      </c>
      <c r="B90" s="3">
        <v>1</v>
      </c>
      <c r="C90" s="11" t="s">
        <v>117</v>
      </c>
      <c r="D90" s="2">
        <v>3520</v>
      </c>
      <c r="E90" s="2">
        <v>33.803696000000002</v>
      </c>
      <c r="F90" s="2">
        <v>0.151895</v>
      </c>
      <c r="G90" s="2">
        <v>33.505858600000003</v>
      </c>
      <c r="H90" s="2">
        <v>34.101533099999997</v>
      </c>
      <c r="J90" t="str">
        <f t="shared" si="0"/>
        <v>33.80 (33.51 to 34.10)</v>
      </c>
    </row>
    <row r="91" spans="1:15" ht="17.25" thickBot="1" x14ac:dyDescent="0.35">
      <c r="A91" s="6"/>
      <c r="B91" s="3">
        <v>2</v>
      </c>
      <c r="C91" s="11" t="s">
        <v>117</v>
      </c>
      <c r="D91" s="2">
        <v>5743</v>
      </c>
      <c r="E91" s="2">
        <v>36.395465999999999</v>
      </c>
      <c r="F91" s="2">
        <v>0.10381700000000001</v>
      </c>
      <c r="G91" s="2">
        <v>36.191901199999997</v>
      </c>
      <c r="H91" s="2">
        <v>36.599031400000001</v>
      </c>
      <c r="J91" t="str">
        <f t="shared" si="0"/>
        <v>36.40 (36.19 to 36.60)</v>
      </c>
    </row>
    <row r="92" spans="1:15" ht="17.25" thickBot="1" x14ac:dyDescent="0.35">
      <c r="A92" s="6"/>
      <c r="B92" s="3">
        <v>3</v>
      </c>
      <c r="C92" s="11" t="s">
        <v>117</v>
      </c>
      <c r="D92" s="2">
        <v>2212</v>
      </c>
      <c r="E92" s="2">
        <v>36.670704999999998</v>
      </c>
      <c r="F92" s="2">
        <v>0.161802</v>
      </c>
      <c r="G92" s="2">
        <v>36.353442200000003</v>
      </c>
      <c r="H92" s="2">
        <v>36.9879684</v>
      </c>
      <c r="J92" t="str">
        <f t="shared" si="0"/>
        <v>36.67 (36.35 to 36.99)</v>
      </c>
    </row>
    <row r="93" spans="1:15" ht="17.25" thickBot="1" x14ac:dyDescent="0.35">
      <c r="A93" s="6">
        <v>4</v>
      </c>
      <c r="B93" s="3">
        <v>1</v>
      </c>
      <c r="C93" s="11" t="s">
        <v>117</v>
      </c>
      <c r="D93" s="2">
        <v>4230</v>
      </c>
      <c r="E93" s="2">
        <v>34.376815000000001</v>
      </c>
      <c r="F93" s="2">
        <v>0.15140899999999999</v>
      </c>
      <c r="G93" s="2">
        <v>34.079930699999998</v>
      </c>
      <c r="H93" s="2">
        <v>34.6736991</v>
      </c>
      <c r="J93" t="str">
        <f t="shared" si="0"/>
        <v>34.38 (34.08 to 34.67)</v>
      </c>
    </row>
    <row r="94" spans="1:15" ht="17.25" thickBot="1" x14ac:dyDescent="0.35">
      <c r="A94" s="6"/>
      <c r="B94" s="3">
        <v>2</v>
      </c>
      <c r="C94" s="11" t="s">
        <v>117</v>
      </c>
      <c r="D94" s="2">
        <v>6950</v>
      </c>
      <c r="E94" s="2">
        <v>36.503124999999997</v>
      </c>
      <c r="F94" s="2">
        <v>0.10839699999999999</v>
      </c>
      <c r="G94" s="2">
        <v>36.290579299999997</v>
      </c>
      <c r="H94" s="2">
        <v>36.715670099999997</v>
      </c>
      <c r="J94" t="str">
        <f t="shared" si="0"/>
        <v>36.50 (36.29 to 36.72)</v>
      </c>
    </row>
    <row r="95" spans="1:15" ht="17.25" thickBot="1" x14ac:dyDescent="0.35">
      <c r="A95" s="6"/>
      <c r="B95" s="3">
        <v>3</v>
      </c>
      <c r="C95" s="11" t="s">
        <v>117</v>
      </c>
      <c r="D95" s="2">
        <v>2978</v>
      </c>
      <c r="E95" s="2">
        <v>36.802934</v>
      </c>
      <c r="F95" s="2">
        <v>0.14493200000000001</v>
      </c>
      <c r="G95" s="2">
        <v>36.518748799999997</v>
      </c>
      <c r="H95" s="2">
        <v>37.0871189</v>
      </c>
      <c r="J95" t="str">
        <f t="shared" si="0"/>
        <v>36.80 (36.52 to 37.09)</v>
      </c>
    </row>
    <row r="96" spans="1:15" ht="17.25" thickBot="1" x14ac:dyDescent="0.35">
      <c r="A96" s="6">
        <v>5</v>
      </c>
      <c r="B96" s="3">
        <v>1</v>
      </c>
      <c r="C96" s="11" t="s">
        <v>117</v>
      </c>
      <c r="D96" s="2">
        <v>3857</v>
      </c>
      <c r="E96" s="2">
        <v>34.605814000000002</v>
      </c>
      <c r="F96" s="2">
        <v>0.163019</v>
      </c>
      <c r="G96" s="2">
        <v>34.286163999999999</v>
      </c>
      <c r="H96" s="2">
        <v>34.925463399999998</v>
      </c>
      <c r="J96" t="str">
        <f t="shared" si="0"/>
        <v>34.61 (34.29 to 34.93)</v>
      </c>
    </row>
    <row r="97" spans="1:10" ht="17.25" thickBot="1" x14ac:dyDescent="0.35">
      <c r="A97" s="6"/>
      <c r="B97" s="3">
        <v>2</v>
      </c>
      <c r="C97" s="11" t="s">
        <v>117</v>
      </c>
      <c r="D97" s="2">
        <v>6693</v>
      </c>
      <c r="E97" s="2">
        <v>36.440572000000003</v>
      </c>
      <c r="F97" s="2">
        <v>0.11430800000000001</v>
      </c>
      <c r="G97" s="2">
        <v>36.216436299999998</v>
      </c>
      <c r="H97" s="2">
        <v>36.6647076</v>
      </c>
      <c r="J97" t="str">
        <f t="shared" si="0"/>
        <v>36.44 (36.22 to 36.66)</v>
      </c>
    </row>
    <row r="98" spans="1:10" ht="17.25" thickBot="1" x14ac:dyDescent="0.35">
      <c r="A98" s="6"/>
      <c r="B98" s="3">
        <v>3</v>
      </c>
      <c r="C98" s="11" t="s">
        <v>117</v>
      </c>
      <c r="D98" s="2">
        <v>3005</v>
      </c>
      <c r="E98" s="2">
        <v>36.658189</v>
      </c>
      <c r="F98" s="2">
        <v>0.13397300000000001</v>
      </c>
      <c r="G98" s="2">
        <v>36.395492400000002</v>
      </c>
      <c r="H98" s="2">
        <v>36.920885300000002</v>
      </c>
      <c r="J98" t="str">
        <f t="shared" si="0"/>
        <v>36.66 (36.40 to 36.92)</v>
      </c>
    </row>
    <row r="99" spans="1:10" ht="17.25" thickBot="1" x14ac:dyDescent="0.35">
      <c r="A99" s="6">
        <v>6</v>
      </c>
      <c r="B99" s="3">
        <v>1</v>
      </c>
      <c r="C99" s="11" t="s">
        <v>117</v>
      </c>
      <c r="D99" s="2">
        <v>1090</v>
      </c>
      <c r="E99" s="2">
        <v>34.725560999999999</v>
      </c>
      <c r="F99" s="2">
        <v>0.35685600000000001</v>
      </c>
      <c r="G99" s="2">
        <v>34.025833800000001</v>
      </c>
      <c r="H99" s="2">
        <v>35.425288399999999</v>
      </c>
      <c r="J99" t="str">
        <f t="shared" si="0"/>
        <v>34.73 (34.03 to 35.43)</v>
      </c>
    </row>
    <row r="100" spans="1:10" ht="17.25" thickBot="1" x14ac:dyDescent="0.35">
      <c r="A100" s="6"/>
      <c r="B100" s="3">
        <v>2</v>
      </c>
      <c r="C100" s="11" t="s">
        <v>117</v>
      </c>
      <c r="D100" s="2">
        <v>2143</v>
      </c>
      <c r="E100" s="2">
        <v>35.626905000000001</v>
      </c>
      <c r="F100" s="2">
        <v>0.177178</v>
      </c>
      <c r="G100" s="2">
        <v>35.279492400000002</v>
      </c>
      <c r="H100" s="2">
        <v>35.974317800000001</v>
      </c>
      <c r="J100" t="str">
        <f t="shared" si="0"/>
        <v>35.63 (35.28 to 35.97)</v>
      </c>
    </row>
    <row r="101" spans="1:10" x14ac:dyDescent="0.3">
      <c r="A101" s="6"/>
      <c r="B101" s="3">
        <v>3</v>
      </c>
      <c r="C101" s="14" t="s">
        <v>117</v>
      </c>
      <c r="D101" s="2">
        <v>1183</v>
      </c>
      <c r="E101" s="2">
        <v>35.372086000000003</v>
      </c>
      <c r="F101" s="2">
        <v>0.216</v>
      </c>
      <c r="G101" s="2">
        <v>34.948551399999999</v>
      </c>
      <c r="H101" s="2">
        <v>35.795621199999999</v>
      </c>
      <c r="J101" t="str">
        <f t="shared" si="0"/>
        <v>35.37 (34.95 to 35.80)</v>
      </c>
    </row>
    <row r="105" spans="1:10" x14ac:dyDescent="0.3">
      <c r="A105" s="1" t="s">
        <v>237</v>
      </c>
    </row>
    <row r="107" spans="1:10" x14ac:dyDescent="0.3">
      <c r="A107" s="1" t="s">
        <v>1</v>
      </c>
    </row>
    <row r="108" spans="1:10" ht="17.25" thickBot="1" x14ac:dyDescent="0.35"/>
    <row r="109" spans="1:10" ht="16.5" customHeight="1" x14ac:dyDescent="0.3">
      <c r="A109" s="16" t="s">
        <v>135</v>
      </c>
      <c r="B109" s="18"/>
    </row>
    <row r="110" spans="1:10" ht="26.25" thickBot="1" x14ac:dyDescent="0.35">
      <c r="A110" s="12" t="s">
        <v>136</v>
      </c>
      <c r="B110" s="2">
        <v>183</v>
      </c>
    </row>
    <row r="111" spans="1:10" ht="26.25" thickBot="1" x14ac:dyDescent="0.35">
      <c r="A111" s="12" t="s">
        <v>137</v>
      </c>
      <c r="B111" s="2">
        <v>2949</v>
      </c>
    </row>
    <row r="112" spans="1:10" ht="39" thickBot="1" x14ac:dyDescent="0.35">
      <c r="A112" s="12" t="s">
        <v>138</v>
      </c>
      <c r="B112" s="2">
        <v>23222</v>
      </c>
    </row>
    <row r="113" spans="1:6" ht="25.5" x14ac:dyDescent="0.3">
      <c r="A113" s="13" t="s">
        <v>139</v>
      </c>
      <c r="B113" s="2">
        <v>9036880.5199999996</v>
      </c>
    </row>
    <row r="114" spans="1:6" ht="17.25" thickBot="1" x14ac:dyDescent="0.35"/>
    <row r="115" spans="1:6" ht="33" customHeight="1" x14ac:dyDescent="0.3">
      <c r="A115" s="16" t="s">
        <v>140</v>
      </c>
      <c r="B115" s="18"/>
    </row>
    <row r="116" spans="1:6" ht="33.75" thickBot="1" x14ac:dyDescent="0.35">
      <c r="A116" s="12" t="s">
        <v>141</v>
      </c>
      <c r="B116" s="2" t="s">
        <v>142</v>
      </c>
    </row>
    <row r="117" spans="1:6" ht="25.5" x14ac:dyDescent="0.3">
      <c r="A117" s="13" t="s">
        <v>143</v>
      </c>
      <c r="B117" s="2" t="s">
        <v>144</v>
      </c>
    </row>
    <row r="118" spans="1:6" ht="17.25" thickBot="1" x14ac:dyDescent="0.35"/>
    <row r="119" spans="1:6" ht="16.5" customHeight="1" x14ac:dyDescent="0.3">
      <c r="A119" s="16" t="s">
        <v>238</v>
      </c>
      <c r="B119" s="18"/>
      <c r="C119" s="18"/>
      <c r="D119" s="18"/>
      <c r="E119" s="18"/>
      <c r="F119" s="18"/>
    </row>
    <row r="120" spans="1:6" ht="16.5" customHeight="1" x14ac:dyDescent="0.3">
      <c r="A120" s="17" t="s">
        <v>239</v>
      </c>
      <c r="B120" s="19" t="s">
        <v>94</v>
      </c>
      <c r="C120" s="19" t="s">
        <v>240</v>
      </c>
      <c r="D120" s="3" t="s">
        <v>241</v>
      </c>
      <c r="E120" s="19" t="s">
        <v>243</v>
      </c>
      <c r="F120" s="19"/>
    </row>
    <row r="121" spans="1:6" x14ac:dyDescent="0.3">
      <c r="A121" s="17"/>
      <c r="B121" s="19"/>
      <c r="C121" s="19"/>
      <c r="D121" s="3" t="s">
        <v>242</v>
      </c>
      <c r="E121" s="19"/>
      <c r="F121" s="19"/>
    </row>
    <row r="122" spans="1:6" x14ac:dyDescent="0.3">
      <c r="A122" s="13" t="s">
        <v>117</v>
      </c>
      <c r="B122" s="2">
        <v>23222</v>
      </c>
      <c r="C122" s="2">
        <v>33.805624000000002</v>
      </c>
      <c r="D122" s="2">
        <v>7.0877999999999997E-2</v>
      </c>
      <c r="E122" s="2">
        <v>33.666644300000002</v>
      </c>
      <c r="F122" s="2">
        <v>33.944603299999997</v>
      </c>
    </row>
    <row r="126" spans="1:6" x14ac:dyDescent="0.3">
      <c r="A126" s="1" t="s">
        <v>237</v>
      </c>
    </row>
    <row r="128" spans="1:6" x14ac:dyDescent="0.3">
      <c r="A128" s="1" t="s">
        <v>1</v>
      </c>
    </row>
    <row r="129" spans="1:8" ht="17.25" thickBot="1" x14ac:dyDescent="0.35"/>
    <row r="130" spans="1:8" ht="16.5" customHeight="1" x14ac:dyDescent="0.3">
      <c r="A130" s="16" t="s">
        <v>251</v>
      </c>
      <c r="B130" s="18"/>
      <c r="C130" s="18"/>
      <c r="D130" s="18"/>
      <c r="E130" s="18"/>
      <c r="F130" s="18"/>
      <c r="G130" s="18"/>
      <c r="H130" s="18"/>
    </row>
    <row r="131" spans="1:8" ht="16.5" customHeight="1" x14ac:dyDescent="0.3">
      <c r="A131" s="17" t="s">
        <v>249</v>
      </c>
      <c r="B131" s="19" t="s">
        <v>6</v>
      </c>
      <c r="C131" s="19" t="s">
        <v>239</v>
      </c>
      <c r="D131" s="19" t="s">
        <v>94</v>
      </c>
      <c r="E131" s="19" t="s">
        <v>240</v>
      </c>
      <c r="F131" s="3" t="s">
        <v>241</v>
      </c>
      <c r="G131" s="19" t="s">
        <v>243</v>
      </c>
      <c r="H131" s="19"/>
    </row>
    <row r="132" spans="1:8" x14ac:dyDescent="0.3">
      <c r="A132" s="17"/>
      <c r="B132" s="19"/>
      <c r="C132" s="19"/>
      <c r="D132" s="19"/>
      <c r="E132" s="19"/>
      <c r="F132" s="3" t="s">
        <v>242</v>
      </c>
      <c r="G132" s="19"/>
      <c r="H132" s="19"/>
    </row>
    <row r="133" spans="1:8" ht="17.25" thickBot="1" x14ac:dyDescent="0.35">
      <c r="A133" s="6">
        <v>1</v>
      </c>
      <c r="B133" s="3">
        <v>1</v>
      </c>
      <c r="C133" s="11" t="s">
        <v>117</v>
      </c>
      <c r="D133" s="2">
        <v>1181</v>
      </c>
      <c r="E133" s="2">
        <v>34.353298000000002</v>
      </c>
      <c r="F133" s="2">
        <v>0.29342499999999999</v>
      </c>
      <c r="G133" s="2">
        <v>33.777944300000001</v>
      </c>
      <c r="H133" s="2">
        <v>34.928651100000003</v>
      </c>
    </row>
    <row r="134" spans="1:8" ht="17.25" thickBot="1" x14ac:dyDescent="0.35">
      <c r="A134" s="6"/>
      <c r="B134" s="3">
        <v>2</v>
      </c>
      <c r="C134" s="11" t="s">
        <v>117</v>
      </c>
      <c r="D134" s="2">
        <v>2559</v>
      </c>
      <c r="E134" s="2">
        <v>34.437831000000003</v>
      </c>
      <c r="F134" s="2">
        <v>0.20205400000000001</v>
      </c>
      <c r="G134" s="2">
        <v>34.041638499999998</v>
      </c>
      <c r="H134" s="2">
        <v>34.834023799999997</v>
      </c>
    </row>
    <row r="135" spans="1:8" ht="17.25" thickBot="1" x14ac:dyDescent="0.35">
      <c r="A135" s="6">
        <v>2</v>
      </c>
      <c r="B135" s="3">
        <v>1</v>
      </c>
      <c r="C135" s="11" t="s">
        <v>117</v>
      </c>
      <c r="D135" s="2">
        <v>1777</v>
      </c>
      <c r="E135" s="2">
        <v>32.689830999999998</v>
      </c>
      <c r="F135" s="2">
        <v>0.21790999999999999</v>
      </c>
      <c r="G135" s="2">
        <v>32.262548500000001</v>
      </c>
      <c r="H135" s="2">
        <v>33.117113400000001</v>
      </c>
    </row>
    <row r="136" spans="1:8" ht="17.25" thickBot="1" x14ac:dyDescent="0.35">
      <c r="A136" s="6"/>
      <c r="B136" s="3">
        <v>2</v>
      </c>
      <c r="C136" s="11" t="s">
        <v>117</v>
      </c>
      <c r="D136" s="2">
        <v>2955</v>
      </c>
      <c r="E136" s="2">
        <v>32.960155999999998</v>
      </c>
      <c r="F136" s="2">
        <v>0.176704</v>
      </c>
      <c r="G136" s="2">
        <v>32.613671199999999</v>
      </c>
      <c r="H136" s="2">
        <v>33.306641200000001</v>
      </c>
    </row>
    <row r="137" spans="1:8" ht="17.25" thickBot="1" x14ac:dyDescent="0.35">
      <c r="A137" s="6">
        <v>3</v>
      </c>
      <c r="B137" s="3">
        <v>1</v>
      </c>
      <c r="C137" s="11" t="s">
        <v>117</v>
      </c>
      <c r="D137" s="2">
        <v>1694</v>
      </c>
      <c r="E137" s="2">
        <v>34.462764999999997</v>
      </c>
      <c r="F137" s="2">
        <v>0.25385000000000002</v>
      </c>
      <c r="G137" s="2">
        <v>33.965010900000003</v>
      </c>
      <c r="H137" s="2">
        <v>34.960518800000003</v>
      </c>
    </row>
    <row r="138" spans="1:8" ht="17.25" thickBot="1" x14ac:dyDescent="0.35">
      <c r="A138" s="6"/>
      <c r="B138" s="3">
        <v>2</v>
      </c>
      <c r="C138" s="11" t="s">
        <v>117</v>
      </c>
      <c r="D138" s="2">
        <v>2563</v>
      </c>
      <c r="E138" s="2">
        <v>33.437429999999999</v>
      </c>
      <c r="F138" s="2">
        <v>0.167601</v>
      </c>
      <c r="G138" s="2">
        <v>33.108794000000003</v>
      </c>
      <c r="H138" s="2">
        <v>33.766066799999997</v>
      </c>
    </row>
    <row r="139" spans="1:8" ht="17.25" thickBot="1" x14ac:dyDescent="0.35">
      <c r="A139" s="6">
        <v>4</v>
      </c>
      <c r="B139" s="3">
        <v>1</v>
      </c>
      <c r="C139" s="11" t="s">
        <v>117</v>
      </c>
      <c r="D139" s="2">
        <v>1776</v>
      </c>
      <c r="E139" s="2">
        <v>34.430273999999997</v>
      </c>
      <c r="F139" s="2">
        <v>0.24329500000000001</v>
      </c>
      <c r="G139" s="2">
        <v>33.953215999999998</v>
      </c>
      <c r="H139" s="2">
        <v>34.907331200000002</v>
      </c>
    </row>
    <row r="140" spans="1:8" ht="17.25" thickBot="1" x14ac:dyDescent="0.35">
      <c r="A140" s="6"/>
      <c r="B140" s="3">
        <v>2</v>
      </c>
      <c r="C140" s="11" t="s">
        <v>117</v>
      </c>
      <c r="D140" s="2">
        <v>2780</v>
      </c>
      <c r="E140" s="2">
        <v>33.411045999999999</v>
      </c>
      <c r="F140" s="2">
        <v>0.17894599999999999</v>
      </c>
      <c r="G140" s="2">
        <v>33.060164200000003</v>
      </c>
      <c r="H140" s="2">
        <v>33.761926899999999</v>
      </c>
    </row>
    <row r="141" spans="1:8" ht="17.25" thickBot="1" x14ac:dyDescent="0.35">
      <c r="A141" s="6">
        <v>5</v>
      </c>
      <c r="B141" s="3">
        <v>1</v>
      </c>
      <c r="C141" s="11" t="s">
        <v>117</v>
      </c>
      <c r="D141" s="2">
        <v>1748</v>
      </c>
      <c r="E141" s="2">
        <v>35.543168000000001</v>
      </c>
      <c r="F141" s="2">
        <v>0.277503</v>
      </c>
      <c r="G141" s="2">
        <v>34.9990351</v>
      </c>
      <c r="H141" s="2">
        <v>36.087301400000001</v>
      </c>
    </row>
    <row r="142" spans="1:8" ht="17.25" thickBot="1" x14ac:dyDescent="0.35">
      <c r="A142" s="6"/>
      <c r="B142" s="3">
        <v>2</v>
      </c>
      <c r="C142" s="11" t="s">
        <v>117</v>
      </c>
      <c r="D142" s="2">
        <v>2753</v>
      </c>
      <c r="E142" s="2">
        <v>33.389232</v>
      </c>
      <c r="F142" s="2">
        <v>0.19936599999999999</v>
      </c>
      <c r="G142" s="2">
        <v>32.998311399999999</v>
      </c>
      <c r="H142" s="2">
        <v>33.780152100000002</v>
      </c>
    </row>
    <row r="143" spans="1:8" ht="17.25" thickBot="1" x14ac:dyDescent="0.35">
      <c r="A143" s="6">
        <v>6</v>
      </c>
      <c r="B143" s="3">
        <v>1</v>
      </c>
      <c r="C143" s="11" t="s">
        <v>117</v>
      </c>
      <c r="D143" s="2">
        <v>565</v>
      </c>
      <c r="E143" s="2">
        <v>35.427863000000002</v>
      </c>
      <c r="F143" s="2">
        <v>0.46770800000000001</v>
      </c>
      <c r="G143" s="2">
        <v>34.510771400000003</v>
      </c>
      <c r="H143" s="2">
        <v>36.344954299999998</v>
      </c>
    </row>
    <row r="144" spans="1:8" x14ac:dyDescent="0.3">
      <c r="A144" s="6"/>
      <c r="B144" s="3">
        <v>2</v>
      </c>
      <c r="C144" s="14" t="s">
        <v>117</v>
      </c>
      <c r="D144" s="2">
        <v>871</v>
      </c>
      <c r="E144" s="2">
        <v>31.835632</v>
      </c>
      <c r="F144" s="2">
        <v>0.31635000000000002</v>
      </c>
      <c r="G144" s="2">
        <v>31.215326000000001</v>
      </c>
      <c r="H144" s="2">
        <v>32.455938000000003</v>
      </c>
    </row>
    <row r="148" spans="1:2" x14ac:dyDescent="0.3">
      <c r="A148" s="1" t="s">
        <v>237</v>
      </c>
    </row>
    <row r="150" spans="1:2" x14ac:dyDescent="0.3">
      <c r="A150" s="1" t="s">
        <v>21</v>
      </c>
    </row>
    <row r="151" spans="1:2" ht="17.25" thickBot="1" x14ac:dyDescent="0.35"/>
    <row r="152" spans="1:2" ht="16.5" customHeight="1" x14ac:dyDescent="0.3">
      <c r="A152" s="16" t="s">
        <v>135</v>
      </c>
      <c r="B152" s="18"/>
    </row>
    <row r="153" spans="1:2" ht="26.25" thickBot="1" x14ac:dyDescent="0.35">
      <c r="A153" s="12" t="s">
        <v>136</v>
      </c>
      <c r="B153" s="2">
        <v>183</v>
      </c>
    </row>
    <row r="154" spans="1:2" ht="26.25" thickBot="1" x14ac:dyDescent="0.35">
      <c r="A154" s="12" t="s">
        <v>137</v>
      </c>
      <c r="B154" s="2">
        <v>2982</v>
      </c>
    </row>
    <row r="155" spans="1:2" ht="39" thickBot="1" x14ac:dyDescent="0.35">
      <c r="A155" s="12" t="s">
        <v>138</v>
      </c>
      <c r="B155" s="2">
        <v>68635</v>
      </c>
    </row>
    <row r="156" spans="1:2" ht="25.5" x14ac:dyDescent="0.3">
      <c r="A156" s="13" t="s">
        <v>139</v>
      </c>
      <c r="B156" s="2">
        <v>30251935.699999999</v>
      </c>
    </row>
    <row r="157" spans="1:2" ht="17.25" thickBot="1" x14ac:dyDescent="0.35"/>
    <row r="158" spans="1:2" ht="33" customHeight="1" x14ac:dyDescent="0.3">
      <c r="A158" s="16" t="s">
        <v>140</v>
      </c>
      <c r="B158" s="18"/>
    </row>
    <row r="159" spans="1:2" ht="33.75" thickBot="1" x14ac:dyDescent="0.35">
      <c r="A159" s="12" t="s">
        <v>141</v>
      </c>
      <c r="B159" s="2" t="s">
        <v>142</v>
      </c>
    </row>
    <row r="160" spans="1:2" ht="25.5" x14ac:dyDescent="0.3">
      <c r="A160" s="13" t="s">
        <v>143</v>
      </c>
      <c r="B160" s="2" t="s">
        <v>144</v>
      </c>
    </row>
    <row r="161" spans="1:15" ht="17.25" thickBot="1" x14ac:dyDescent="0.35"/>
    <row r="162" spans="1:15" ht="16.5" customHeight="1" x14ac:dyDescent="0.3">
      <c r="A162" s="16" t="s">
        <v>238</v>
      </c>
      <c r="B162" s="18"/>
      <c r="C162" s="18"/>
      <c r="D162" s="18"/>
      <c r="E162" s="18"/>
      <c r="F162" s="18"/>
    </row>
    <row r="163" spans="1:15" ht="16.5" customHeight="1" x14ac:dyDescent="0.3">
      <c r="A163" s="17" t="s">
        <v>239</v>
      </c>
      <c r="B163" s="19" t="s">
        <v>94</v>
      </c>
      <c r="C163" s="19" t="s">
        <v>240</v>
      </c>
      <c r="D163" s="3" t="s">
        <v>241</v>
      </c>
      <c r="E163" s="19" t="s">
        <v>243</v>
      </c>
      <c r="F163" s="19"/>
    </row>
    <row r="164" spans="1:15" x14ac:dyDescent="0.3">
      <c r="A164" s="17"/>
      <c r="B164" s="19"/>
      <c r="C164" s="19"/>
      <c r="D164" s="3" t="s">
        <v>242</v>
      </c>
      <c r="E164" s="19"/>
      <c r="F164" s="19"/>
    </row>
    <row r="165" spans="1:15" x14ac:dyDescent="0.3">
      <c r="A165" s="13" t="s">
        <v>117</v>
      </c>
      <c r="B165" s="2">
        <v>68635</v>
      </c>
      <c r="C165" s="2">
        <v>35.601097000000003</v>
      </c>
      <c r="D165" s="2">
        <v>3.8943999999999999E-2</v>
      </c>
      <c r="E165" s="2">
        <v>35.524735800000002</v>
      </c>
      <c r="F165" s="2">
        <v>35.677458399999999</v>
      </c>
    </row>
    <row r="169" spans="1:15" x14ac:dyDescent="0.3">
      <c r="A169" s="1" t="s">
        <v>237</v>
      </c>
    </row>
    <row r="171" spans="1:15" x14ac:dyDescent="0.3">
      <c r="A171" s="1" t="s">
        <v>21</v>
      </c>
    </row>
    <row r="172" spans="1:15" ht="17.25" thickBot="1" x14ac:dyDescent="0.35"/>
    <row r="173" spans="1:15" ht="16.5" customHeight="1" x14ac:dyDescent="0.3">
      <c r="A173" s="16" t="s">
        <v>251</v>
      </c>
      <c r="B173" s="18"/>
      <c r="C173" s="18"/>
      <c r="D173" s="18"/>
      <c r="E173" s="18"/>
      <c r="F173" s="18"/>
      <c r="G173" s="18"/>
      <c r="H173" s="18"/>
    </row>
    <row r="174" spans="1:15" ht="16.5" customHeight="1" x14ac:dyDescent="0.3">
      <c r="A174" s="17" t="s">
        <v>249</v>
      </c>
      <c r="B174" s="19" t="s">
        <v>6</v>
      </c>
      <c r="C174" s="19" t="s">
        <v>239</v>
      </c>
      <c r="D174" s="19" t="s">
        <v>94</v>
      </c>
      <c r="E174" s="19" t="s">
        <v>240</v>
      </c>
      <c r="F174" s="3" t="s">
        <v>241</v>
      </c>
      <c r="G174" s="19" t="s">
        <v>243</v>
      </c>
      <c r="H174" s="19"/>
    </row>
    <row r="175" spans="1:15" x14ac:dyDescent="0.3">
      <c r="A175" s="17"/>
      <c r="B175" s="19"/>
      <c r="C175" s="19"/>
      <c r="D175" s="19"/>
      <c r="E175" s="19"/>
      <c r="F175" s="3" t="s">
        <v>242</v>
      </c>
      <c r="G175" s="19"/>
      <c r="H175" s="19"/>
    </row>
    <row r="176" spans="1:15" ht="17.25" thickBot="1" x14ac:dyDescent="0.35">
      <c r="A176" s="6">
        <v>1</v>
      </c>
      <c r="B176" s="3">
        <v>1</v>
      </c>
      <c r="C176" s="11" t="s">
        <v>117</v>
      </c>
      <c r="D176" s="2">
        <v>5831</v>
      </c>
      <c r="E176" s="2">
        <v>37.034491000000003</v>
      </c>
      <c r="F176" s="2">
        <v>0.112274</v>
      </c>
      <c r="G176" s="2">
        <v>36.814343100000002</v>
      </c>
      <c r="H176" s="2">
        <v>37.254639900000001</v>
      </c>
      <c r="J176" t="str">
        <f t="shared" ref="J176:J187" si="6">TEXT(E176,"0.00")&amp;" ("&amp;TEXT(G176,"0.00")&amp;" to "&amp;TEXT(H176,"0.00")&amp;")"</f>
        <v>37.03 (36.81 to 37.25)</v>
      </c>
      <c r="K176" t="str">
        <f>J178</f>
        <v>36.97 (36.72 to 37.21)</v>
      </c>
      <c r="L176" t="str">
        <f>J180</f>
        <v>37.29 (37.07 to 37.51)</v>
      </c>
      <c r="M176" t="str">
        <f>J182</f>
        <v>37.83 (37.61 to 38.04)</v>
      </c>
      <c r="N176" t="str">
        <f>J184</f>
        <v>38.04 (37.82 to 38.27)</v>
      </c>
      <c r="O176" t="str">
        <f>J186</f>
        <v>37.92 (37.47 to 38.36)</v>
      </c>
    </row>
    <row r="177" spans="1:15" ht="17.25" thickBot="1" x14ac:dyDescent="0.35">
      <c r="A177" s="6"/>
      <c r="B177" s="3">
        <v>2</v>
      </c>
      <c r="C177" s="11" t="s">
        <v>117</v>
      </c>
      <c r="D177" s="2">
        <v>6084</v>
      </c>
      <c r="E177" s="2">
        <v>33.746076000000002</v>
      </c>
      <c r="F177" s="2">
        <v>0.118024</v>
      </c>
      <c r="G177" s="2">
        <v>33.514653299999999</v>
      </c>
      <c r="H177" s="2">
        <v>33.977499399999999</v>
      </c>
      <c r="J177" t="str">
        <f t="shared" si="6"/>
        <v>33.75 (33.51 to 33.98)</v>
      </c>
      <c r="K177" t="str">
        <f>J179</f>
        <v>33.74 (33.50 to 33.99)</v>
      </c>
      <c r="L177" t="str">
        <f>J181</f>
        <v>33.12 (32.90 to 33.33)</v>
      </c>
      <c r="M177" t="str">
        <f>J183</f>
        <v>33.32 (33.10 to 33.55)</v>
      </c>
      <c r="N177" t="str">
        <f>J185</f>
        <v>33.24 (33.01 to 33.48)</v>
      </c>
      <c r="O177" t="str">
        <f>J187</f>
        <v>32.35 (31.97 to 32.73)</v>
      </c>
    </row>
    <row r="178" spans="1:15" ht="17.25" thickBot="1" x14ac:dyDescent="0.35">
      <c r="A178" s="6">
        <v>2</v>
      </c>
      <c r="B178" s="3">
        <v>1</v>
      </c>
      <c r="C178" s="11" t="s">
        <v>117</v>
      </c>
      <c r="D178" s="2">
        <v>6484</v>
      </c>
      <c r="E178" s="2">
        <v>36.968040999999999</v>
      </c>
      <c r="F178" s="2">
        <v>0.123974</v>
      </c>
      <c r="G178" s="2">
        <v>36.724952199999997</v>
      </c>
      <c r="H178" s="2">
        <v>37.211130500000003</v>
      </c>
      <c r="J178" t="str">
        <f t="shared" si="6"/>
        <v>36.97 (36.72 to 37.21)</v>
      </c>
    </row>
    <row r="179" spans="1:15" ht="17.25" thickBot="1" x14ac:dyDescent="0.35">
      <c r="A179" s="6"/>
      <c r="B179" s="3">
        <v>2</v>
      </c>
      <c r="C179" s="11" t="s">
        <v>117</v>
      </c>
      <c r="D179" s="2">
        <v>6632</v>
      </c>
      <c r="E179" s="2">
        <v>33.743547999999997</v>
      </c>
      <c r="F179" s="2">
        <v>0.12537499999999999</v>
      </c>
      <c r="G179" s="2">
        <v>33.497711299999999</v>
      </c>
      <c r="H179" s="2">
        <v>33.989384600000001</v>
      </c>
      <c r="J179" t="str">
        <f t="shared" si="6"/>
        <v>33.74 (33.50 to 33.99)</v>
      </c>
    </row>
    <row r="180" spans="1:15" ht="17.25" thickBot="1" x14ac:dyDescent="0.35">
      <c r="A180" s="6">
        <v>3</v>
      </c>
      <c r="B180" s="3">
        <v>1</v>
      </c>
      <c r="C180" s="11" t="s">
        <v>117</v>
      </c>
      <c r="D180" s="2">
        <v>5508</v>
      </c>
      <c r="E180" s="2">
        <v>37.291268000000002</v>
      </c>
      <c r="F180" s="2">
        <v>0.113023</v>
      </c>
      <c r="G180" s="2">
        <v>37.0696516</v>
      </c>
      <c r="H180" s="2">
        <v>37.512884</v>
      </c>
      <c r="J180" t="str">
        <f t="shared" si="6"/>
        <v>37.29 (37.07 to 37.51)</v>
      </c>
    </row>
    <row r="181" spans="1:15" ht="17.25" thickBot="1" x14ac:dyDescent="0.35">
      <c r="A181" s="6"/>
      <c r="B181" s="3">
        <v>2</v>
      </c>
      <c r="C181" s="11" t="s">
        <v>117</v>
      </c>
      <c r="D181" s="2">
        <v>5967</v>
      </c>
      <c r="E181" s="2">
        <v>33.116829000000003</v>
      </c>
      <c r="F181" s="2">
        <v>0.109775</v>
      </c>
      <c r="G181" s="2">
        <v>32.901581200000003</v>
      </c>
      <c r="H181" s="2">
        <v>33.332076600000001</v>
      </c>
      <c r="J181" t="str">
        <f t="shared" si="6"/>
        <v>33.12 (32.90 to 33.33)</v>
      </c>
    </row>
    <row r="182" spans="1:15" ht="17.25" thickBot="1" x14ac:dyDescent="0.35">
      <c r="A182" s="6">
        <v>4</v>
      </c>
      <c r="B182" s="3">
        <v>1</v>
      </c>
      <c r="C182" s="11" t="s">
        <v>117</v>
      </c>
      <c r="D182" s="2">
        <v>6783</v>
      </c>
      <c r="E182" s="2">
        <v>37.828935000000001</v>
      </c>
      <c r="F182" s="2">
        <v>0.109252</v>
      </c>
      <c r="G182" s="2">
        <v>37.614711900000003</v>
      </c>
      <c r="H182" s="2">
        <v>38.043158099999999</v>
      </c>
      <c r="J182" t="str">
        <f t="shared" si="6"/>
        <v>37.83 (37.61 to 38.04)</v>
      </c>
    </row>
    <row r="183" spans="1:15" ht="17.25" thickBot="1" x14ac:dyDescent="0.35">
      <c r="A183" s="6"/>
      <c r="B183" s="3">
        <v>2</v>
      </c>
      <c r="C183" s="11" t="s">
        <v>117</v>
      </c>
      <c r="D183" s="2">
        <v>7375</v>
      </c>
      <c r="E183" s="2">
        <v>33.322904000000001</v>
      </c>
      <c r="F183" s="2">
        <v>0.11377900000000001</v>
      </c>
      <c r="G183" s="2">
        <v>33.099804800000001</v>
      </c>
      <c r="H183" s="2">
        <v>33.546003800000001</v>
      </c>
      <c r="J183" t="str">
        <f t="shared" si="6"/>
        <v>33.32 (33.10 to 33.55)</v>
      </c>
    </row>
    <row r="184" spans="1:15" ht="17.25" thickBot="1" x14ac:dyDescent="0.35">
      <c r="A184" s="6">
        <v>5</v>
      </c>
      <c r="B184" s="3">
        <v>1</v>
      </c>
      <c r="C184" s="11" t="s">
        <v>117</v>
      </c>
      <c r="D184" s="2">
        <v>6570</v>
      </c>
      <c r="E184" s="2">
        <v>38.044490000000003</v>
      </c>
      <c r="F184" s="2">
        <v>0.11567</v>
      </c>
      <c r="G184" s="2">
        <v>37.817683600000002</v>
      </c>
      <c r="H184" s="2">
        <v>38.271296100000001</v>
      </c>
      <c r="J184" t="str">
        <f t="shared" si="6"/>
        <v>38.04 (37.82 to 38.27)</v>
      </c>
    </row>
    <row r="185" spans="1:15" ht="17.25" thickBot="1" x14ac:dyDescent="0.35">
      <c r="A185" s="6"/>
      <c r="B185" s="3">
        <v>2</v>
      </c>
      <c r="C185" s="11" t="s">
        <v>117</v>
      </c>
      <c r="D185" s="2">
        <v>6985</v>
      </c>
      <c r="E185" s="2">
        <v>33.244272000000002</v>
      </c>
      <c r="F185" s="2">
        <v>0.121058</v>
      </c>
      <c r="G185" s="2">
        <v>33.006900700000003</v>
      </c>
      <c r="H185" s="2">
        <v>33.481643200000001</v>
      </c>
      <c r="J185" t="str">
        <f t="shared" si="6"/>
        <v>33.24 (33.01 to 33.48)</v>
      </c>
    </row>
    <row r="186" spans="1:15" ht="17.25" thickBot="1" x14ac:dyDescent="0.35">
      <c r="A186" s="6">
        <v>6</v>
      </c>
      <c r="B186" s="3">
        <v>1</v>
      </c>
      <c r="C186" s="11" t="s">
        <v>117</v>
      </c>
      <c r="D186" s="2">
        <v>2024</v>
      </c>
      <c r="E186" s="2">
        <v>37.915258999999999</v>
      </c>
      <c r="F186" s="2">
        <v>0.22608</v>
      </c>
      <c r="G186" s="2">
        <v>37.471958600000001</v>
      </c>
      <c r="H186" s="2">
        <v>38.358559300000003</v>
      </c>
      <c r="J186" t="str">
        <f t="shared" si="6"/>
        <v>37.92 (37.47 to 38.36)</v>
      </c>
    </row>
    <row r="187" spans="1:15" x14ac:dyDescent="0.3">
      <c r="A187" s="6"/>
      <c r="B187" s="3">
        <v>2</v>
      </c>
      <c r="C187" s="14" t="s">
        <v>117</v>
      </c>
      <c r="D187" s="2">
        <v>2392</v>
      </c>
      <c r="E187" s="2">
        <v>32.345384000000003</v>
      </c>
      <c r="F187" s="2">
        <v>0.19392400000000001</v>
      </c>
      <c r="G187" s="2">
        <v>31.965135199999999</v>
      </c>
      <c r="H187" s="2">
        <v>32.725633000000002</v>
      </c>
      <c r="J187" t="str">
        <f t="shared" si="6"/>
        <v>32.35 (31.97 to 32.73)</v>
      </c>
    </row>
    <row r="191" spans="1:15" x14ac:dyDescent="0.3">
      <c r="A191" s="1" t="s">
        <v>237</v>
      </c>
    </row>
    <row r="193" spans="1:6" x14ac:dyDescent="0.3">
      <c r="A193" s="1" t="s">
        <v>1</v>
      </c>
    </row>
    <row r="194" spans="1:6" ht="17.25" thickBot="1" x14ac:dyDescent="0.35"/>
    <row r="195" spans="1:6" ht="16.5" customHeight="1" x14ac:dyDescent="0.3">
      <c r="A195" s="16" t="s">
        <v>135</v>
      </c>
      <c r="B195" s="18"/>
    </row>
    <row r="196" spans="1:6" ht="26.25" thickBot="1" x14ac:dyDescent="0.35">
      <c r="A196" s="12" t="s">
        <v>136</v>
      </c>
      <c r="B196" s="2">
        <v>183</v>
      </c>
    </row>
    <row r="197" spans="1:6" ht="26.25" thickBot="1" x14ac:dyDescent="0.35">
      <c r="A197" s="12" t="s">
        <v>137</v>
      </c>
      <c r="B197" s="2">
        <v>2949</v>
      </c>
    </row>
    <row r="198" spans="1:6" ht="39" thickBot="1" x14ac:dyDescent="0.35">
      <c r="A198" s="12" t="s">
        <v>138</v>
      </c>
      <c r="B198" s="2">
        <v>23222</v>
      </c>
    </row>
    <row r="199" spans="1:6" ht="25.5" x14ac:dyDescent="0.3">
      <c r="A199" s="13" t="s">
        <v>139</v>
      </c>
      <c r="B199" s="2">
        <v>9036880.5199999996</v>
      </c>
    </row>
    <row r="200" spans="1:6" ht="17.25" thickBot="1" x14ac:dyDescent="0.35"/>
    <row r="201" spans="1:6" ht="33" customHeight="1" x14ac:dyDescent="0.3">
      <c r="A201" s="16" t="s">
        <v>140</v>
      </c>
      <c r="B201" s="18"/>
    </row>
    <row r="202" spans="1:6" ht="33.75" thickBot="1" x14ac:dyDescent="0.35">
      <c r="A202" s="12" t="s">
        <v>141</v>
      </c>
      <c r="B202" s="2" t="s">
        <v>142</v>
      </c>
    </row>
    <row r="203" spans="1:6" ht="25.5" x14ac:dyDescent="0.3">
      <c r="A203" s="13" t="s">
        <v>143</v>
      </c>
      <c r="B203" s="2" t="s">
        <v>144</v>
      </c>
    </row>
    <row r="204" spans="1:6" ht="17.25" thickBot="1" x14ac:dyDescent="0.35"/>
    <row r="205" spans="1:6" ht="16.5" customHeight="1" x14ac:dyDescent="0.3">
      <c r="A205" s="16" t="s">
        <v>238</v>
      </c>
      <c r="B205" s="18"/>
      <c r="C205" s="18"/>
      <c r="D205" s="18"/>
      <c r="E205" s="18"/>
      <c r="F205" s="18"/>
    </row>
    <row r="206" spans="1:6" ht="16.5" customHeight="1" x14ac:dyDescent="0.3">
      <c r="A206" s="17" t="s">
        <v>239</v>
      </c>
      <c r="B206" s="19" t="s">
        <v>94</v>
      </c>
      <c r="C206" s="19" t="s">
        <v>240</v>
      </c>
      <c r="D206" s="3" t="s">
        <v>241</v>
      </c>
      <c r="E206" s="19" t="s">
        <v>243</v>
      </c>
      <c r="F206" s="19"/>
    </row>
    <row r="207" spans="1:6" x14ac:dyDescent="0.3">
      <c r="A207" s="17"/>
      <c r="B207" s="19"/>
      <c r="C207" s="19"/>
      <c r="D207" s="3" t="s">
        <v>242</v>
      </c>
      <c r="E207" s="19"/>
      <c r="F207" s="19"/>
    </row>
    <row r="208" spans="1:6" x14ac:dyDescent="0.3">
      <c r="A208" s="13" t="s">
        <v>117</v>
      </c>
      <c r="B208" s="2">
        <v>23222</v>
      </c>
      <c r="C208" s="2">
        <v>33.805624000000002</v>
      </c>
      <c r="D208" s="2">
        <v>7.0877999999999997E-2</v>
      </c>
      <c r="E208" s="2">
        <v>33.666644300000002</v>
      </c>
      <c r="F208" s="2">
        <v>33.944603299999997</v>
      </c>
    </row>
    <row r="212" spans="1:8" x14ac:dyDescent="0.3">
      <c r="A212" s="1" t="s">
        <v>237</v>
      </c>
    </row>
    <row r="214" spans="1:8" x14ac:dyDescent="0.3">
      <c r="A214" s="1" t="s">
        <v>1</v>
      </c>
    </row>
    <row r="215" spans="1:8" ht="17.25" thickBot="1" x14ac:dyDescent="0.35"/>
    <row r="216" spans="1:8" ht="16.5" customHeight="1" x14ac:dyDescent="0.3">
      <c r="A216" s="16" t="s">
        <v>252</v>
      </c>
      <c r="B216" s="18"/>
      <c r="C216" s="18"/>
      <c r="D216" s="18"/>
      <c r="E216" s="18"/>
      <c r="F216" s="18"/>
      <c r="G216" s="18"/>
      <c r="H216" s="18"/>
    </row>
    <row r="217" spans="1:8" ht="16.5" customHeight="1" x14ac:dyDescent="0.3">
      <c r="A217" s="17" t="s">
        <v>249</v>
      </c>
      <c r="B217" s="19" t="s">
        <v>7</v>
      </c>
      <c r="C217" s="19" t="s">
        <v>239</v>
      </c>
      <c r="D217" s="19" t="s">
        <v>94</v>
      </c>
      <c r="E217" s="19" t="s">
        <v>240</v>
      </c>
      <c r="F217" s="3" t="s">
        <v>241</v>
      </c>
      <c r="G217" s="19" t="s">
        <v>243</v>
      </c>
      <c r="H217" s="19"/>
    </row>
    <row r="218" spans="1:8" x14ac:dyDescent="0.3">
      <c r="A218" s="17"/>
      <c r="B218" s="19"/>
      <c r="C218" s="19"/>
      <c r="D218" s="19"/>
      <c r="E218" s="19"/>
      <c r="F218" s="3" t="s">
        <v>242</v>
      </c>
      <c r="G218" s="19"/>
      <c r="H218" s="19"/>
    </row>
    <row r="219" spans="1:8" ht="17.25" thickBot="1" x14ac:dyDescent="0.35">
      <c r="A219" s="6">
        <v>1</v>
      </c>
      <c r="B219" s="3">
        <v>1</v>
      </c>
      <c r="C219" s="11" t="s">
        <v>117</v>
      </c>
      <c r="D219" s="2">
        <v>2642</v>
      </c>
      <c r="E219" s="2">
        <v>34.333970000000001</v>
      </c>
      <c r="F219" s="2">
        <v>0.212455</v>
      </c>
      <c r="G219" s="2">
        <v>33.917384800000001</v>
      </c>
      <c r="H219" s="2">
        <v>34.750556099999997</v>
      </c>
    </row>
    <row r="220" spans="1:8" ht="17.25" thickBot="1" x14ac:dyDescent="0.35">
      <c r="A220" s="6"/>
      <c r="B220" s="3">
        <v>2</v>
      </c>
      <c r="C220" s="11" t="s">
        <v>117</v>
      </c>
      <c r="D220" s="2">
        <v>1098</v>
      </c>
      <c r="E220" s="2">
        <v>34.682453000000002</v>
      </c>
      <c r="F220" s="2">
        <v>0.37504999999999999</v>
      </c>
      <c r="G220" s="2">
        <v>33.947047699999999</v>
      </c>
      <c r="H220" s="2">
        <v>35.417858899999999</v>
      </c>
    </row>
    <row r="221" spans="1:8" ht="17.25" thickBot="1" x14ac:dyDescent="0.35">
      <c r="A221" s="6">
        <v>2</v>
      </c>
      <c r="B221" s="3">
        <v>1</v>
      </c>
      <c r="C221" s="11" t="s">
        <v>117</v>
      </c>
      <c r="D221" s="2">
        <v>3727</v>
      </c>
      <c r="E221" s="2">
        <v>32.709344999999999</v>
      </c>
      <c r="F221" s="2">
        <v>0.149197</v>
      </c>
      <c r="G221" s="2">
        <v>32.416795800000003</v>
      </c>
      <c r="H221" s="2">
        <v>33.001894299999996</v>
      </c>
    </row>
    <row r="222" spans="1:8" ht="17.25" thickBot="1" x14ac:dyDescent="0.35">
      <c r="A222" s="6"/>
      <c r="B222" s="3">
        <v>2</v>
      </c>
      <c r="C222" s="11" t="s">
        <v>117</v>
      </c>
      <c r="D222" s="2">
        <v>1005</v>
      </c>
      <c r="E222" s="2">
        <v>33.332794</v>
      </c>
      <c r="F222" s="2">
        <v>0.35763800000000001</v>
      </c>
      <c r="G222" s="2">
        <v>32.631529100000002</v>
      </c>
      <c r="H222" s="2">
        <v>34.034058600000002</v>
      </c>
    </row>
    <row r="223" spans="1:8" ht="17.25" thickBot="1" x14ac:dyDescent="0.35">
      <c r="A223" s="6">
        <v>3</v>
      </c>
      <c r="B223" s="3">
        <v>1</v>
      </c>
      <c r="C223" s="11" t="s">
        <v>117</v>
      </c>
      <c r="D223" s="2">
        <v>3330</v>
      </c>
      <c r="E223" s="2">
        <v>33.720844999999997</v>
      </c>
      <c r="F223" s="2">
        <v>0.181004</v>
      </c>
      <c r="G223" s="2">
        <v>33.365927999999997</v>
      </c>
      <c r="H223" s="2">
        <v>34.075761999999997</v>
      </c>
    </row>
    <row r="224" spans="1:8" ht="17.25" thickBot="1" x14ac:dyDescent="0.35">
      <c r="A224" s="6"/>
      <c r="B224" s="3">
        <v>2</v>
      </c>
      <c r="C224" s="11" t="s">
        <v>117</v>
      </c>
      <c r="D224" s="2">
        <v>927</v>
      </c>
      <c r="E224" s="2">
        <v>34.593429999999998</v>
      </c>
      <c r="F224" s="2">
        <v>0.32258900000000001</v>
      </c>
      <c r="G224" s="2">
        <v>33.960891400000001</v>
      </c>
      <c r="H224" s="2">
        <v>35.225968999999999</v>
      </c>
    </row>
    <row r="225" spans="1:8" ht="17.25" thickBot="1" x14ac:dyDescent="0.35">
      <c r="A225" s="6">
        <v>4</v>
      </c>
      <c r="B225" s="3">
        <v>1</v>
      </c>
      <c r="C225" s="11" t="s">
        <v>117</v>
      </c>
      <c r="D225" s="2">
        <v>3631</v>
      </c>
      <c r="E225" s="2">
        <v>33.546537999999998</v>
      </c>
      <c r="F225" s="2">
        <v>0.17199200000000001</v>
      </c>
      <c r="G225" s="2">
        <v>33.2092916</v>
      </c>
      <c r="H225" s="2">
        <v>33.883783700000002</v>
      </c>
    </row>
    <row r="226" spans="1:8" ht="17.25" thickBot="1" x14ac:dyDescent="0.35">
      <c r="A226" s="6"/>
      <c r="B226" s="3">
        <v>2</v>
      </c>
      <c r="C226" s="11" t="s">
        <v>117</v>
      </c>
      <c r="D226" s="2">
        <v>925</v>
      </c>
      <c r="E226" s="2">
        <v>35.319439000000003</v>
      </c>
      <c r="F226" s="2">
        <v>0.389899</v>
      </c>
      <c r="G226" s="2">
        <v>34.554917199999998</v>
      </c>
      <c r="H226" s="2">
        <v>36.083961199999997</v>
      </c>
    </row>
    <row r="227" spans="1:8" ht="17.25" thickBot="1" x14ac:dyDescent="0.35">
      <c r="A227" s="6">
        <v>5</v>
      </c>
      <c r="B227" s="3">
        <v>1</v>
      </c>
      <c r="C227" s="11" t="s">
        <v>117</v>
      </c>
      <c r="D227" s="2">
        <v>3388</v>
      </c>
      <c r="E227" s="2">
        <v>34.040877000000002</v>
      </c>
      <c r="F227" s="2">
        <v>0.20383799999999999</v>
      </c>
      <c r="G227" s="2">
        <v>33.641186900000001</v>
      </c>
      <c r="H227" s="2">
        <v>34.440567899999998</v>
      </c>
    </row>
    <row r="228" spans="1:8" ht="17.25" thickBot="1" x14ac:dyDescent="0.35">
      <c r="A228" s="6"/>
      <c r="B228" s="3">
        <v>2</v>
      </c>
      <c r="C228" s="11" t="s">
        <v>117</v>
      </c>
      <c r="D228" s="2">
        <v>1113</v>
      </c>
      <c r="E228" s="2">
        <v>35.48424</v>
      </c>
      <c r="F228" s="2">
        <v>0.35780299999999998</v>
      </c>
      <c r="G228" s="2">
        <v>34.782651799999996</v>
      </c>
      <c r="H228" s="2">
        <v>36.185828700000002</v>
      </c>
    </row>
    <row r="229" spans="1:8" ht="17.25" thickBot="1" x14ac:dyDescent="0.35">
      <c r="A229" s="6">
        <v>6</v>
      </c>
      <c r="B229" s="3">
        <v>1</v>
      </c>
      <c r="C229" s="11" t="s">
        <v>117</v>
      </c>
      <c r="D229" s="2">
        <v>1051</v>
      </c>
      <c r="E229" s="2">
        <v>32.754941000000002</v>
      </c>
      <c r="F229" s="2">
        <v>0.32058999999999999</v>
      </c>
      <c r="G229" s="2">
        <v>32.126321699999998</v>
      </c>
      <c r="H229" s="2">
        <v>33.383561200000003</v>
      </c>
    </row>
    <row r="230" spans="1:8" x14ac:dyDescent="0.3">
      <c r="A230" s="6"/>
      <c r="B230" s="3">
        <v>2</v>
      </c>
      <c r="C230" s="14" t="s">
        <v>117</v>
      </c>
      <c r="D230" s="2">
        <v>385</v>
      </c>
      <c r="E230" s="2">
        <v>35.679070000000003</v>
      </c>
      <c r="F230" s="2">
        <v>0.54659500000000005</v>
      </c>
      <c r="G230" s="2">
        <v>34.607293800000001</v>
      </c>
      <c r="H230" s="2">
        <v>36.750845400000003</v>
      </c>
    </row>
    <row r="234" spans="1:8" x14ac:dyDescent="0.3">
      <c r="A234" s="1" t="s">
        <v>237</v>
      </c>
    </row>
    <row r="236" spans="1:8" x14ac:dyDescent="0.3">
      <c r="A236" s="1" t="s">
        <v>21</v>
      </c>
    </row>
    <row r="237" spans="1:8" ht="17.25" thickBot="1" x14ac:dyDescent="0.35"/>
    <row r="238" spans="1:8" ht="16.5" customHeight="1" x14ac:dyDescent="0.3">
      <c r="A238" s="16" t="s">
        <v>135</v>
      </c>
      <c r="B238" s="18"/>
    </row>
    <row r="239" spans="1:8" ht="26.25" thickBot="1" x14ac:dyDescent="0.35">
      <c r="A239" s="12" t="s">
        <v>136</v>
      </c>
      <c r="B239" s="2">
        <v>183</v>
      </c>
    </row>
    <row r="240" spans="1:8" ht="26.25" thickBot="1" x14ac:dyDescent="0.35">
      <c r="A240" s="12" t="s">
        <v>137</v>
      </c>
      <c r="B240" s="2">
        <v>2982</v>
      </c>
    </row>
    <row r="241" spans="1:6" ht="39" thickBot="1" x14ac:dyDescent="0.35">
      <c r="A241" s="12" t="s">
        <v>138</v>
      </c>
      <c r="B241" s="2">
        <v>68635</v>
      </c>
    </row>
    <row r="242" spans="1:6" ht="25.5" x14ac:dyDescent="0.3">
      <c r="A242" s="13" t="s">
        <v>139</v>
      </c>
      <c r="B242" s="2">
        <v>30251935.699999999</v>
      </c>
    </row>
    <row r="243" spans="1:6" ht="17.25" thickBot="1" x14ac:dyDescent="0.35"/>
    <row r="244" spans="1:6" ht="33" customHeight="1" x14ac:dyDescent="0.3">
      <c r="A244" s="16" t="s">
        <v>140</v>
      </c>
      <c r="B244" s="18"/>
    </row>
    <row r="245" spans="1:6" ht="33.75" thickBot="1" x14ac:dyDescent="0.35">
      <c r="A245" s="12" t="s">
        <v>141</v>
      </c>
      <c r="B245" s="2" t="s">
        <v>142</v>
      </c>
    </row>
    <row r="246" spans="1:6" ht="25.5" x14ac:dyDescent="0.3">
      <c r="A246" s="13" t="s">
        <v>143</v>
      </c>
      <c r="B246" s="2" t="s">
        <v>144</v>
      </c>
    </row>
    <row r="247" spans="1:6" ht="17.25" thickBot="1" x14ac:dyDescent="0.35"/>
    <row r="248" spans="1:6" ht="16.5" customHeight="1" x14ac:dyDescent="0.3">
      <c r="A248" s="16" t="s">
        <v>238</v>
      </c>
      <c r="B248" s="18"/>
      <c r="C248" s="18"/>
      <c r="D248" s="18"/>
      <c r="E248" s="18"/>
      <c r="F248" s="18"/>
    </row>
    <row r="249" spans="1:6" ht="16.5" customHeight="1" x14ac:dyDescent="0.3">
      <c r="A249" s="17" t="s">
        <v>239</v>
      </c>
      <c r="B249" s="19" t="s">
        <v>94</v>
      </c>
      <c r="C249" s="19" t="s">
        <v>240</v>
      </c>
      <c r="D249" s="3" t="s">
        <v>241</v>
      </c>
      <c r="E249" s="19" t="s">
        <v>243</v>
      </c>
      <c r="F249" s="19"/>
    </row>
    <row r="250" spans="1:6" x14ac:dyDescent="0.3">
      <c r="A250" s="17"/>
      <c r="B250" s="19"/>
      <c r="C250" s="19"/>
      <c r="D250" s="3" t="s">
        <v>242</v>
      </c>
      <c r="E250" s="19"/>
      <c r="F250" s="19"/>
    </row>
    <row r="251" spans="1:6" x14ac:dyDescent="0.3">
      <c r="A251" s="13" t="s">
        <v>117</v>
      </c>
      <c r="B251" s="2">
        <v>68635</v>
      </c>
      <c r="C251" s="2">
        <v>35.601097000000003</v>
      </c>
      <c r="D251" s="2">
        <v>3.8943999999999999E-2</v>
      </c>
      <c r="E251" s="2">
        <v>35.524735800000002</v>
      </c>
      <c r="F251" s="2">
        <v>35.677458399999999</v>
      </c>
    </row>
    <row r="255" spans="1:6" x14ac:dyDescent="0.3">
      <c r="A255" s="1" t="s">
        <v>237</v>
      </c>
    </row>
    <row r="257" spans="1:15" x14ac:dyDescent="0.3">
      <c r="A257" s="1" t="s">
        <v>21</v>
      </c>
    </row>
    <row r="258" spans="1:15" ht="17.25" thickBot="1" x14ac:dyDescent="0.35"/>
    <row r="259" spans="1:15" ht="16.5" customHeight="1" x14ac:dyDescent="0.3">
      <c r="A259" s="16" t="s">
        <v>252</v>
      </c>
      <c r="B259" s="18"/>
      <c r="C259" s="18"/>
      <c r="D259" s="18"/>
      <c r="E259" s="18"/>
      <c r="F259" s="18"/>
      <c r="G259" s="18"/>
      <c r="H259" s="18"/>
    </row>
    <row r="260" spans="1:15" ht="16.5" customHeight="1" x14ac:dyDescent="0.3">
      <c r="A260" s="17" t="s">
        <v>249</v>
      </c>
      <c r="B260" s="19" t="s">
        <v>7</v>
      </c>
      <c r="C260" s="19" t="s">
        <v>239</v>
      </c>
      <c r="D260" s="19" t="s">
        <v>94</v>
      </c>
      <c r="E260" s="19" t="s">
        <v>240</v>
      </c>
      <c r="F260" s="3" t="s">
        <v>241</v>
      </c>
      <c r="G260" s="19" t="s">
        <v>243</v>
      </c>
      <c r="H260" s="19"/>
    </row>
    <row r="261" spans="1:15" x14ac:dyDescent="0.3">
      <c r="A261" s="17"/>
      <c r="B261" s="19"/>
      <c r="C261" s="19"/>
      <c r="D261" s="19"/>
      <c r="E261" s="19"/>
      <c r="F261" s="3" t="s">
        <v>242</v>
      </c>
      <c r="G261" s="19"/>
      <c r="H261" s="19"/>
    </row>
    <row r="262" spans="1:15" ht="17.25" thickBot="1" x14ac:dyDescent="0.35">
      <c r="A262" s="6">
        <v>1</v>
      </c>
      <c r="B262" s="3">
        <v>1</v>
      </c>
      <c r="C262" s="11" t="s">
        <v>117</v>
      </c>
      <c r="D262" s="2">
        <v>8842</v>
      </c>
      <c r="E262" s="2">
        <v>35.437420000000003</v>
      </c>
      <c r="F262" s="2">
        <v>9.6059000000000005E-2</v>
      </c>
      <c r="G262" s="2">
        <v>35.249066499999998</v>
      </c>
      <c r="H262" s="2">
        <v>35.625774</v>
      </c>
      <c r="J262" t="str">
        <f t="shared" ref="J262:J273" si="7">TEXT(E262,"0.00")&amp;" ("&amp;TEXT(G262,"0.00")&amp;" to "&amp;TEXT(H262,"0.00")&amp;")"</f>
        <v>35.44 (35.25 to 35.63)</v>
      </c>
      <c r="K262" t="str">
        <f>J264</f>
        <v>35.36 (35.17 to 35.55)</v>
      </c>
      <c r="L262" t="str">
        <f>J266</f>
        <v>35.18 (35.00 to 35.36)</v>
      </c>
      <c r="M262" t="str">
        <f>J268</f>
        <v>35.59 (35.41 to 35.76)</v>
      </c>
      <c r="N262" t="str">
        <f>J270</f>
        <v>35.65 (35.45 to 35.85)</v>
      </c>
      <c r="O262" t="str">
        <f>J272</f>
        <v>35.10 (34.74 to 35.46)</v>
      </c>
    </row>
    <row r="263" spans="1:15" ht="17.25" thickBot="1" x14ac:dyDescent="0.35">
      <c r="A263" s="6"/>
      <c r="B263" s="3">
        <v>2</v>
      </c>
      <c r="C263" s="11" t="s">
        <v>117</v>
      </c>
      <c r="D263" s="2">
        <v>3073</v>
      </c>
      <c r="E263" s="2">
        <v>36.208247999999998</v>
      </c>
      <c r="F263" s="2">
        <v>0.177484</v>
      </c>
      <c r="G263" s="2">
        <v>35.860235600000003</v>
      </c>
      <c r="H263" s="2">
        <v>36.556259599999997</v>
      </c>
      <c r="J263" t="str">
        <f t="shared" si="7"/>
        <v>36.21 (35.86 to 36.56)</v>
      </c>
      <c r="K263" t="str">
        <f>J265</f>
        <v>36.32 (35.86 to 36.78)</v>
      </c>
      <c r="L263" t="str">
        <f>J267</f>
        <v>36.48 (36.04 to 36.91)</v>
      </c>
      <c r="M263" t="str">
        <f>J269</f>
        <v>36.72 (36.14 to 37.30)</v>
      </c>
      <c r="N263" t="str">
        <f>J271</f>
        <v>36.70 (36.37 to 37.03)</v>
      </c>
      <c r="O263" t="str">
        <f>J273</f>
        <v>36.32 (35.28 to 37.36)</v>
      </c>
    </row>
    <row r="264" spans="1:15" ht="17.25" thickBot="1" x14ac:dyDescent="0.35">
      <c r="A264" s="6">
        <v>2</v>
      </c>
      <c r="B264" s="3">
        <v>1</v>
      </c>
      <c r="C264" s="11" t="s">
        <v>117</v>
      </c>
      <c r="D264" s="2">
        <v>10502</v>
      </c>
      <c r="E264" s="2">
        <v>35.361533000000001</v>
      </c>
      <c r="F264" s="2">
        <v>9.6880999999999995E-2</v>
      </c>
      <c r="G264" s="2">
        <v>35.171568100000002</v>
      </c>
      <c r="H264" s="2">
        <v>35.551497500000004</v>
      </c>
      <c r="J264" t="str">
        <f t="shared" si="7"/>
        <v>35.36 (35.17 to 35.55)</v>
      </c>
    </row>
    <row r="265" spans="1:15" ht="17.25" thickBot="1" x14ac:dyDescent="0.35">
      <c r="A265" s="6"/>
      <c r="B265" s="3">
        <v>2</v>
      </c>
      <c r="C265" s="11" t="s">
        <v>117</v>
      </c>
      <c r="D265" s="2">
        <v>2614</v>
      </c>
      <c r="E265" s="2">
        <v>36.320720000000001</v>
      </c>
      <c r="F265" s="2">
        <v>0.235735</v>
      </c>
      <c r="G265" s="2">
        <v>35.858488000000001</v>
      </c>
      <c r="H265" s="2">
        <v>36.782952399999999</v>
      </c>
      <c r="J265" t="str">
        <f t="shared" si="7"/>
        <v>36.32 (35.86 to 36.78)</v>
      </c>
    </row>
    <row r="266" spans="1:15" ht="17.25" thickBot="1" x14ac:dyDescent="0.35">
      <c r="A266" s="6">
        <v>3</v>
      </c>
      <c r="B266" s="3">
        <v>1</v>
      </c>
      <c r="C266" s="11" t="s">
        <v>117</v>
      </c>
      <c r="D266" s="2">
        <v>9470</v>
      </c>
      <c r="E266" s="2">
        <v>35.182872000000003</v>
      </c>
      <c r="F266" s="2">
        <v>9.0839000000000003E-2</v>
      </c>
      <c r="G266" s="2">
        <v>35.004752699999997</v>
      </c>
      <c r="H266" s="2">
        <v>35.360990399999999</v>
      </c>
      <c r="J266" t="str">
        <f t="shared" si="7"/>
        <v>35.18 (35.00 to 35.36)</v>
      </c>
    </row>
    <row r="267" spans="1:15" ht="17.25" thickBot="1" x14ac:dyDescent="0.35">
      <c r="A267" s="6"/>
      <c r="B267" s="3">
        <v>2</v>
      </c>
      <c r="C267" s="11" t="s">
        <v>117</v>
      </c>
      <c r="D267" s="2">
        <v>2005</v>
      </c>
      <c r="E267" s="2">
        <v>36.477922999999997</v>
      </c>
      <c r="F267" s="2">
        <v>0.22176899999999999</v>
      </c>
      <c r="G267" s="2">
        <v>36.043074900000001</v>
      </c>
      <c r="H267" s="2">
        <v>36.912770199999997</v>
      </c>
      <c r="J267" t="str">
        <f t="shared" si="7"/>
        <v>36.48 (36.04 to 36.91)</v>
      </c>
    </row>
    <row r="268" spans="1:15" ht="17.25" thickBot="1" x14ac:dyDescent="0.35">
      <c r="A268" s="6">
        <v>4</v>
      </c>
      <c r="B268" s="3">
        <v>1</v>
      </c>
      <c r="C268" s="11" t="s">
        <v>117</v>
      </c>
      <c r="D268" s="2">
        <v>11734</v>
      </c>
      <c r="E268" s="2">
        <v>35.585102999999997</v>
      </c>
      <c r="F268" s="2">
        <v>8.9096999999999996E-2</v>
      </c>
      <c r="G268" s="2">
        <v>35.410401399999998</v>
      </c>
      <c r="H268" s="2">
        <v>35.759805499999999</v>
      </c>
      <c r="J268" t="str">
        <f t="shared" si="7"/>
        <v>35.59 (35.41 to 35.76)</v>
      </c>
    </row>
    <row r="269" spans="1:15" ht="17.25" thickBot="1" x14ac:dyDescent="0.35">
      <c r="A269" s="6"/>
      <c r="B269" s="3">
        <v>2</v>
      </c>
      <c r="C269" s="11" t="s">
        <v>117</v>
      </c>
      <c r="D269" s="2">
        <v>2424</v>
      </c>
      <c r="E269" s="2">
        <v>36.718919999999997</v>
      </c>
      <c r="F269" s="2">
        <v>0.29514200000000002</v>
      </c>
      <c r="G269" s="2">
        <v>36.140202899999998</v>
      </c>
      <c r="H269" s="2">
        <v>37.297637700000003</v>
      </c>
      <c r="J269" t="str">
        <f t="shared" si="7"/>
        <v>36.72 (36.14 to 37.30)</v>
      </c>
    </row>
    <row r="270" spans="1:15" ht="17.25" thickBot="1" x14ac:dyDescent="0.35">
      <c r="A270" s="6">
        <v>5</v>
      </c>
      <c r="B270" s="3">
        <v>1</v>
      </c>
      <c r="C270" s="11" t="s">
        <v>117</v>
      </c>
      <c r="D270" s="2">
        <v>10990</v>
      </c>
      <c r="E270" s="2">
        <v>35.652403999999997</v>
      </c>
      <c r="F270" s="2">
        <v>0.103299</v>
      </c>
      <c r="G270" s="2">
        <v>35.449854299999998</v>
      </c>
      <c r="H270" s="2">
        <v>35.854953000000002</v>
      </c>
      <c r="J270" t="str">
        <f t="shared" si="7"/>
        <v>35.65 (35.45 to 35.85)</v>
      </c>
    </row>
    <row r="271" spans="1:15" ht="17.25" thickBot="1" x14ac:dyDescent="0.35">
      <c r="A271" s="6"/>
      <c r="B271" s="3">
        <v>2</v>
      </c>
      <c r="C271" s="11" t="s">
        <v>117</v>
      </c>
      <c r="D271" s="2">
        <v>2565</v>
      </c>
      <c r="E271" s="2">
        <v>36.695529000000001</v>
      </c>
      <c r="F271" s="2">
        <v>0.16847100000000001</v>
      </c>
      <c r="G271" s="2">
        <v>36.365188500000002</v>
      </c>
      <c r="H271" s="2">
        <v>37.025869399999998</v>
      </c>
      <c r="J271" t="str">
        <f t="shared" si="7"/>
        <v>36.70 (36.37 to 37.03)</v>
      </c>
    </row>
    <row r="272" spans="1:15" ht="17.25" thickBot="1" x14ac:dyDescent="0.35">
      <c r="A272" s="6">
        <v>6</v>
      </c>
      <c r="B272" s="3">
        <v>1</v>
      </c>
      <c r="C272" s="11" t="s">
        <v>117</v>
      </c>
      <c r="D272" s="2">
        <v>3638</v>
      </c>
      <c r="E272" s="2">
        <v>35.102676000000002</v>
      </c>
      <c r="F272" s="2">
        <v>0.18251500000000001</v>
      </c>
      <c r="G272" s="2">
        <v>34.744798299999999</v>
      </c>
      <c r="H272" s="2">
        <v>35.460552900000003</v>
      </c>
      <c r="J272" t="str">
        <f t="shared" si="7"/>
        <v>35.10 (34.74 to 35.46)</v>
      </c>
    </row>
    <row r="273" spans="1:10" x14ac:dyDescent="0.3">
      <c r="A273" s="6"/>
      <c r="B273" s="3">
        <v>2</v>
      </c>
      <c r="C273" s="14" t="s">
        <v>117</v>
      </c>
      <c r="D273" s="2">
        <v>778</v>
      </c>
      <c r="E273" s="2">
        <v>36.320453999999998</v>
      </c>
      <c r="F273" s="2">
        <v>0.53122599999999998</v>
      </c>
      <c r="G273" s="2">
        <v>35.278819800000001</v>
      </c>
      <c r="H273" s="2">
        <v>37.3620886</v>
      </c>
      <c r="J273" t="str">
        <f t="shared" si="7"/>
        <v>36.32 (35.28 to 37.36)</v>
      </c>
    </row>
    <row r="277" spans="1:10" x14ac:dyDescent="0.3">
      <c r="A277" s="1" t="s">
        <v>237</v>
      </c>
    </row>
    <row r="279" spans="1:10" x14ac:dyDescent="0.3">
      <c r="A279" s="1" t="s">
        <v>1</v>
      </c>
    </row>
    <row r="280" spans="1:10" ht="17.25" thickBot="1" x14ac:dyDescent="0.35"/>
    <row r="281" spans="1:10" ht="16.5" customHeight="1" x14ac:dyDescent="0.3">
      <c r="A281" s="16" t="s">
        <v>135</v>
      </c>
      <c r="B281" s="18"/>
    </row>
    <row r="282" spans="1:10" ht="26.25" thickBot="1" x14ac:dyDescent="0.35">
      <c r="A282" s="12" t="s">
        <v>136</v>
      </c>
      <c r="B282" s="2">
        <v>183</v>
      </c>
    </row>
    <row r="283" spans="1:10" ht="26.25" thickBot="1" x14ac:dyDescent="0.35">
      <c r="A283" s="12" t="s">
        <v>137</v>
      </c>
      <c r="B283" s="2">
        <v>2949</v>
      </c>
    </row>
    <row r="284" spans="1:10" ht="39" thickBot="1" x14ac:dyDescent="0.35">
      <c r="A284" s="12" t="s">
        <v>138</v>
      </c>
      <c r="B284" s="2">
        <v>23222</v>
      </c>
    </row>
    <row r="285" spans="1:10" ht="25.5" x14ac:dyDescent="0.3">
      <c r="A285" s="13" t="s">
        <v>139</v>
      </c>
      <c r="B285" s="2">
        <v>9036880.5199999996</v>
      </c>
    </row>
    <row r="286" spans="1:10" ht="17.25" thickBot="1" x14ac:dyDescent="0.35"/>
    <row r="287" spans="1:10" ht="33" customHeight="1" x14ac:dyDescent="0.3">
      <c r="A287" s="16" t="s">
        <v>140</v>
      </c>
      <c r="B287" s="18"/>
    </row>
    <row r="288" spans="1:10" ht="33.75" thickBot="1" x14ac:dyDescent="0.35">
      <c r="A288" s="12" t="s">
        <v>141</v>
      </c>
      <c r="B288" s="2" t="s">
        <v>142</v>
      </c>
    </row>
    <row r="289" spans="1:8" ht="25.5" x14ac:dyDescent="0.3">
      <c r="A289" s="13" t="s">
        <v>143</v>
      </c>
      <c r="B289" s="2" t="s">
        <v>144</v>
      </c>
    </row>
    <row r="290" spans="1:8" ht="17.25" thickBot="1" x14ac:dyDescent="0.35"/>
    <row r="291" spans="1:8" ht="16.5" customHeight="1" x14ac:dyDescent="0.3">
      <c r="A291" s="16" t="s">
        <v>238</v>
      </c>
      <c r="B291" s="18"/>
      <c r="C291" s="18"/>
      <c r="D291" s="18"/>
      <c r="E291" s="18"/>
      <c r="F291" s="18"/>
    </row>
    <row r="292" spans="1:8" ht="16.5" customHeight="1" x14ac:dyDescent="0.3">
      <c r="A292" s="17" t="s">
        <v>239</v>
      </c>
      <c r="B292" s="19" t="s">
        <v>94</v>
      </c>
      <c r="C292" s="19" t="s">
        <v>240</v>
      </c>
      <c r="D292" s="3" t="s">
        <v>241</v>
      </c>
      <c r="E292" s="19" t="s">
        <v>243</v>
      </c>
      <c r="F292" s="19"/>
    </row>
    <row r="293" spans="1:8" x14ac:dyDescent="0.3">
      <c r="A293" s="17"/>
      <c r="B293" s="19"/>
      <c r="C293" s="19"/>
      <c r="D293" s="3" t="s">
        <v>242</v>
      </c>
      <c r="E293" s="19"/>
      <c r="F293" s="19"/>
    </row>
    <row r="294" spans="1:8" x14ac:dyDescent="0.3">
      <c r="A294" s="13" t="s">
        <v>117</v>
      </c>
      <c r="B294" s="2">
        <v>23222</v>
      </c>
      <c r="C294" s="2">
        <v>33.805624000000002</v>
      </c>
      <c r="D294" s="2">
        <v>7.0877999999999997E-2</v>
      </c>
      <c r="E294" s="2">
        <v>33.666644300000002</v>
      </c>
      <c r="F294" s="2">
        <v>33.944603299999997</v>
      </c>
    </row>
    <row r="298" spans="1:8" x14ac:dyDescent="0.3">
      <c r="A298" s="1" t="s">
        <v>237</v>
      </c>
    </row>
    <row r="300" spans="1:8" x14ac:dyDescent="0.3">
      <c r="A300" s="1" t="s">
        <v>1</v>
      </c>
    </row>
    <row r="301" spans="1:8" ht="17.25" thickBot="1" x14ac:dyDescent="0.35"/>
    <row r="302" spans="1:8" ht="16.5" customHeight="1" x14ac:dyDescent="0.3">
      <c r="A302" s="16" t="s">
        <v>253</v>
      </c>
      <c r="B302" s="18"/>
      <c r="C302" s="18"/>
      <c r="D302" s="18"/>
      <c r="E302" s="18"/>
      <c r="F302" s="18"/>
      <c r="G302" s="18"/>
      <c r="H302" s="18"/>
    </row>
    <row r="303" spans="1:8" ht="16.5" customHeight="1" x14ac:dyDescent="0.3">
      <c r="A303" s="17" t="s">
        <v>249</v>
      </c>
      <c r="B303" s="19" t="s">
        <v>8</v>
      </c>
      <c r="C303" s="19" t="s">
        <v>239</v>
      </c>
      <c r="D303" s="19" t="s">
        <v>94</v>
      </c>
      <c r="E303" s="19" t="s">
        <v>240</v>
      </c>
      <c r="F303" s="3" t="s">
        <v>241</v>
      </c>
      <c r="G303" s="19" t="s">
        <v>243</v>
      </c>
      <c r="H303" s="19"/>
    </row>
    <row r="304" spans="1:8" x14ac:dyDescent="0.3">
      <c r="A304" s="17"/>
      <c r="B304" s="19"/>
      <c r="C304" s="19"/>
      <c r="D304" s="19"/>
      <c r="E304" s="19"/>
      <c r="F304" s="3" t="s">
        <v>242</v>
      </c>
      <c r="G304" s="19"/>
      <c r="H304" s="19"/>
    </row>
    <row r="305" spans="1:8" ht="17.25" thickBot="1" x14ac:dyDescent="0.35">
      <c r="A305" s="6">
        <v>1</v>
      </c>
      <c r="B305" s="3">
        <v>1</v>
      </c>
      <c r="C305" s="11" t="s">
        <v>117</v>
      </c>
      <c r="D305" s="2">
        <v>463</v>
      </c>
      <c r="E305" s="2">
        <v>37.791936999999997</v>
      </c>
      <c r="F305" s="2">
        <v>0.37261</v>
      </c>
      <c r="G305" s="2">
        <v>37.061315899999997</v>
      </c>
      <c r="H305" s="2">
        <v>38.522558199999999</v>
      </c>
    </row>
    <row r="306" spans="1:8" ht="17.25" thickBot="1" x14ac:dyDescent="0.35">
      <c r="A306" s="6"/>
      <c r="B306" s="3">
        <v>2</v>
      </c>
      <c r="C306" s="11" t="s">
        <v>117</v>
      </c>
      <c r="D306" s="2">
        <v>920</v>
      </c>
      <c r="E306" s="2">
        <v>36.642225000000003</v>
      </c>
      <c r="F306" s="2">
        <v>0.29514000000000001</v>
      </c>
      <c r="G306" s="2">
        <v>36.063507600000001</v>
      </c>
      <c r="H306" s="2">
        <v>37.220941600000003</v>
      </c>
    </row>
    <row r="307" spans="1:8" ht="17.25" thickBot="1" x14ac:dyDescent="0.35">
      <c r="A307" s="6"/>
      <c r="B307" s="3">
        <v>3</v>
      </c>
      <c r="C307" s="11" t="s">
        <v>117</v>
      </c>
      <c r="D307" s="2">
        <v>688</v>
      </c>
      <c r="E307" s="2">
        <v>33.262701</v>
      </c>
      <c r="F307" s="2">
        <v>0.37511100000000003</v>
      </c>
      <c r="G307" s="2">
        <v>32.527175900000003</v>
      </c>
      <c r="H307" s="2">
        <v>33.998226699999996</v>
      </c>
    </row>
    <row r="308" spans="1:8" ht="17.25" thickBot="1" x14ac:dyDescent="0.35">
      <c r="A308" s="6"/>
      <c r="B308" s="3">
        <v>4</v>
      </c>
      <c r="C308" s="11" t="s">
        <v>117</v>
      </c>
      <c r="D308" s="2">
        <v>1429</v>
      </c>
      <c r="E308" s="2">
        <v>34.073324999999997</v>
      </c>
      <c r="F308" s="2">
        <v>0.22939200000000001</v>
      </c>
      <c r="G308" s="2">
        <v>33.623528399999998</v>
      </c>
      <c r="H308" s="2">
        <v>34.523120900000002</v>
      </c>
    </row>
    <row r="309" spans="1:8" ht="17.25" thickBot="1" x14ac:dyDescent="0.35">
      <c r="A309" s="6"/>
      <c r="B309" s="3">
        <v>8</v>
      </c>
      <c r="C309" s="11" t="s">
        <v>117</v>
      </c>
      <c r="D309" s="2">
        <v>240</v>
      </c>
      <c r="E309" s="2">
        <v>28.251425000000001</v>
      </c>
      <c r="F309" s="2">
        <v>0.44126199999999999</v>
      </c>
      <c r="G309" s="2">
        <v>27.386188300000001</v>
      </c>
      <c r="H309" s="2">
        <v>29.116660899999999</v>
      </c>
    </row>
    <row r="310" spans="1:8" ht="17.25" thickBot="1" x14ac:dyDescent="0.35">
      <c r="A310" s="6">
        <v>2</v>
      </c>
      <c r="B310" s="3">
        <v>1</v>
      </c>
      <c r="C310" s="11" t="s">
        <v>117</v>
      </c>
      <c r="D310" s="2">
        <v>1280</v>
      </c>
      <c r="E310" s="2">
        <v>35.800811000000003</v>
      </c>
      <c r="F310" s="2">
        <v>0.25947399999999998</v>
      </c>
      <c r="G310" s="2">
        <v>35.292029900000003</v>
      </c>
      <c r="H310" s="2">
        <v>36.309592899999998</v>
      </c>
    </row>
    <row r="311" spans="1:8" ht="17.25" thickBot="1" x14ac:dyDescent="0.35">
      <c r="A311" s="6"/>
      <c r="B311" s="3">
        <v>2</v>
      </c>
      <c r="C311" s="11" t="s">
        <v>117</v>
      </c>
      <c r="D311" s="2">
        <v>1127</v>
      </c>
      <c r="E311" s="2">
        <v>31.676307000000001</v>
      </c>
      <c r="F311" s="2">
        <v>0.288406</v>
      </c>
      <c r="G311" s="2">
        <v>31.110793900000001</v>
      </c>
      <c r="H311" s="2">
        <v>32.241820599999997</v>
      </c>
    </row>
    <row r="312" spans="1:8" ht="17.25" thickBot="1" x14ac:dyDescent="0.35">
      <c r="A312" s="6"/>
      <c r="B312" s="3">
        <v>3</v>
      </c>
      <c r="C312" s="11" t="s">
        <v>117</v>
      </c>
      <c r="D312" s="2">
        <v>1129</v>
      </c>
      <c r="E312" s="2">
        <v>32.993084000000003</v>
      </c>
      <c r="F312" s="2">
        <v>0.26818999999999998</v>
      </c>
      <c r="G312" s="2">
        <v>32.467211200000001</v>
      </c>
      <c r="H312" s="2">
        <v>33.518956199999998</v>
      </c>
    </row>
    <row r="313" spans="1:8" ht="17.25" thickBot="1" x14ac:dyDescent="0.35">
      <c r="A313" s="6"/>
      <c r="B313" s="3">
        <v>4</v>
      </c>
      <c r="C313" s="11" t="s">
        <v>117</v>
      </c>
      <c r="D313" s="2">
        <v>551</v>
      </c>
      <c r="E313" s="2">
        <v>34.326752999999997</v>
      </c>
      <c r="F313" s="2">
        <v>0.37524400000000002</v>
      </c>
      <c r="G313" s="2">
        <v>33.590965199999999</v>
      </c>
      <c r="H313" s="2">
        <v>35.062540400000003</v>
      </c>
    </row>
    <row r="314" spans="1:8" ht="17.25" thickBot="1" x14ac:dyDescent="0.35">
      <c r="A314" s="6"/>
      <c r="B314" s="3">
        <v>8</v>
      </c>
      <c r="C314" s="11" t="s">
        <v>117</v>
      </c>
      <c r="D314" s="2">
        <v>645</v>
      </c>
      <c r="E314" s="2">
        <v>28.212349</v>
      </c>
      <c r="F314" s="2">
        <v>0.32924799999999999</v>
      </c>
      <c r="G314" s="2">
        <v>27.5667528</v>
      </c>
      <c r="H314" s="2">
        <v>28.857946200000001</v>
      </c>
    </row>
    <row r="315" spans="1:8" ht="17.25" thickBot="1" x14ac:dyDescent="0.35">
      <c r="A315" s="6">
        <v>3</v>
      </c>
      <c r="B315" s="3">
        <v>1</v>
      </c>
      <c r="C315" s="11" t="s">
        <v>117</v>
      </c>
      <c r="D315" s="2">
        <v>911</v>
      </c>
      <c r="E315" s="2">
        <v>36.078999000000003</v>
      </c>
      <c r="F315" s="2">
        <v>0.31489600000000001</v>
      </c>
      <c r="G315" s="2">
        <v>35.461545100000002</v>
      </c>
      <c r="H315" s="2">
        <v>36.696453499999997</v>
      </c>
    </row>
    <row r="316" spans="1:8" ht="17.25" thickBot="1" x14ac:dyDescent="0.35">
      <c r="A316" s="6"/>
      <c r="B316" s="3">
        <v>2</v>
      </c>
      <c r="C316" s="11" t="s">
        <v>117</v>
      </c>
      <c r="D316" s="2">
        <v>853</v>
      </c>
      <c r="E316" s="2">
        <v>32.278019999999998</v>
      </c>
      <c r="F316" s="2">
        <v>0.31208900000000001</v>
      </c>
      <c r="G316" s="2">
        <v>31.666069100000001</v>
      </c>
      <c r="H316" s="2">
        <v>32.889971000000003</v>
      </c>
    </row>
    <row r="317" spans="1:8" ht="17.25" thickBot="1" x14ac:dyDescent="0.35">
      <c r="A317" s="6"/>
      <c r="B317" s="3">
        <v>3</v>
      </c>
      <c r="C317" s="11" t="s">
        <v>117</v>
      </c>
      <c r="D317" s="2">
        <v>1008</v>
      </c>
      <c r="E317" s="2">
        <v>33.635812999999999</v>
      </c>
      <c r="F317" s="2">
        <v>0.28377599999999997</v>
      </c>
      <c r="G317" s="2">
        <v>33.079379000000003</v>
      </c>
      <c r="H317" s="2">
        <v>34.192247600000002</v>
      </c>
    </row>
    <row r="318" spans="1:8" ht="17.25" thickBot="1" x14ac:dyDescent="0.35">
      <c r="A318" s="6"/>
      <c r="B318" s="3">
        <v>4</v>
      </c>
      <c r="C318" s="11" t="s">
        <v>117</v>
      </c>
      <c r="D318" s="2">
        <v>467</v>
      </c>
      <c r="E318" s="2">
        <v>34.064573000000003</v>
      </c>
      <c r="F318" s="2">
        <v>0.344914</v>
      </c>
      <c r="G318" s="2">
        <v>33.388257299999999</v>
      </c>
      <c r="H318" s="2">
        <v>34.740887800000003</v>
      </c>
    </row>
    <row r="319" spans="1:8" ht="17.25" thickBot="1" x14ac:dyDescent="0.35">
      <c r="A319" s="6"/>
      <c r="B319" s="3">
        <v>8</v>
      </c>
      <c r="C319" s="11" t="s">
        <v>117</v>
      </c>
      <c r="D319" s="2">
        <v>1018</v>
      </c>
      <c r="E319" s="2">
        <v>33.858212000000002</v>
      </c>
      <c r="F319" s="2">
        <v>0.33202900000000002</v>
      </c>
      <c r="G319" s="2">
        <v>33.2071617</v>
      </c>
      <c r="H319" s="2">
        <v>34.509261899999998</v>
      </c>
    </row>
    <row r="320" spans="1:8" ht="17.25" thickBot="1" x14ac:dyDescent="0.35">
      <c r="A320" s="6">
        <v>4</v>
      </c>
      <c r="B320" s="3">
        <v>1</v>
      </c>
      <c r="C320" s="11" t="s">
        <v>117</v>
      </c>
      <c r="D320" s="2">
        <v>968</v>
      </c>
      <c r="E320" s="2">
        <v>36.187922999999998</v>
      </c>
      <c r="F320" s="2">
        <v>0.27986699999999998</v>
      </c>
      <c r="G320" s="2">
        <v>35.639153200000003</v>
      </c>
      <c r="H320" s="2">
        <v>36.736692099999999</v>
      </c>
    </row>
    <row r="321" spans="1:8" ht="17.25" thickBot="1" x14ac:dyDescent="0.35">
      <c r="A321" s="6"/>
      <c r="B321" s="3">
        <v>2</v>
      </c>
      <c r="C321" s="11" t="s">
        <v>117</v>
      </c>
      <c r="D321" s="2">
        <v>910</v>
      </c>
      <c r="E321" s="2">
        <v>32.182098000000003</v>
      </c>
      <c r="F321" s="2">
        <v>0.29088900000000001</v>
      </c>
      <c r="G321" s="2">
        <v>31.611716399999999</v>
      </c>
      <c r="H321" s="2">
        <v>32.7524789</v>
      </c>
    </row>
    <row r="322" spans="1:8" ht="17.25" thickBot="1" x14ac:dyDescent="0.35">
      <c r="A322" s="6"/>
      <c r="B322" s="3">
        <v>3</v>
      </c>
      <c r="C322" s="11" t="s">
        <v>117</v>
      </c>
      <c r="D322" s="2">
        <v>1017</v>
      </c>
      <c r="E322" s="2">
        <v>33.218415999999998</v>
      </c>
      <c r="F322" s="2">
        <v>0.279642</v>
      </c>
      <c r="G322" s="2">
        <v>32.670087299999999</v>
      </c>
      <c r="H322" s="2">
        <v>33.766745100000001</v>
      </c>
    </row>
    <row r="323" spans="1:8" ht="17.25" thickBot="1" x14ac:dyDescent="0.35">
      <c r="A323" s="6"/>
      <c r="B323" s="3">
        <v>4</v>
      </c>
      <c r="C323" s="11" t="s">
        <v>117</v>
      </c>
      <c r="D323" s="2">
        <v>588</v>
      </c>
      <c r="E323" s="2">
        <v>34.756753000000003</v>
      </c>
      <c r="F323" s="2">
        <v>0.36178500000000002</v>
      </c>
      <c r="G323" s="2">
        <v>34.047358099999997</v>
      </c>
      <c r="H323" s="2">
        <v>35.466148699999998</v>
      </c>
    </row>
    <row r="324" spans="1:8" ht="17.25" thickBot="1" x14ac:dyDescent="0.35">
      <c r="A324" s="6"/>
      <c r="B324" s="3">
        <v>8</v>
      </c>
      <c r="C324" s="11" t="s">
        <v>117</v>
      </c>
      <c r="D324" s="2">
        <v>1073</v>
      </c>
      <c r="E324" s="2">
        <v>33.692722000000003</v>
      </c>
      <c r="F324" s="2">
        <v>0.30114800000000003</v>
      </c>
      <c r="G324" s="2">
        <v>33.102224900000003</v>
      </c>
      <c r="H324" s="2">
        <v>34.283219699999997</v>
      </c>
    </row>
    <row r="325" spans="1:8" ht="17.25" thickBot="1" x14ac:dyDescent="0.35">
      <c r="A325" s="6">
        <v>5</v>
      </c>
      <c r="B325" s="3">
        <v>1</v>
      </c>
      <c r="C325" s="11" t="s">
        <v>117</v>
      </c>
      <c r="D325" s="2">
        <v>899</v>
      </c>
      <c r="E325" s="2">
        <v>35.634520999999999</v>
      </c>
      <c r="F325" s="2">
        <v>0.30176999999999998</v>
      </c>
      <c r="G325" s="2">
        <v>35.042803999999997</v>
      </c>
      <c r="H325" s="2">
        <v>36.226237400000002</v>
      </c>
    </row>
    <row r="326" spans="1:8" ht="17.25" thickBot="1" x14ac:dyDescent="0.35">
      <c r="A326" s="6"/>
      <c r="B326" s="3">
        <v>2</v>
      </c>
      <c r="C326" s="11" t="s">
        <v>117</v>
      </c>
      <c r="D326" s="2">
        <v>838</v>
      </c>
      <c r="E326" s="2">
        <v>33.018445999999997</v>
      </c>
      <c r="F326" s="2">
        <v>0.33443699999999998</v>
      </c>
      <c r="G326" s="2">
        <v>32.362675000000003</v>
      </c>
      <c r="H326" s="2">
        <v>33.674217499999997</v>
      </c>
    </row>
    <row r="327" spans="1:8" ht="17.25" thickBot="1" x14ac:dyDescent="0.35">
      <c r="A327" s="6"/>
      <c r="B327" s="3">
        <v>3</v>
      </c>
      <c r="C327" s="11" t="s">
        <v>117</v>
      </c>
      <c r="D327" s="2">
        <v>930</v>
      </c>
      <c r="E327" s="2">
        <v>34.380096999999999</v>
      </c>
      <c r="F327" s="2">
        <v>0.361481</v>
      </c>
      <c r="G327" s="2">
        <v>33.671296599999998</v>
      </c>
      <c r="H327" s="2">
        <v>35.0888974</v>
      </c>
    </row>
    <row r="328" spans="1:8" ht="17.25" thickBot="1" x14ac:dyDescent="0.35">
      <c r="A328" s="6"/>
      <c r="B328" s="3">
        <v>4</v>
      </c>
      <c r="C328" s="11" t="s">
        <v>117</v>
      </c>
      <c r="D328" s="2">
        <v>548</v>
      </c>
      <c r="E328" s="2">
        <v>35.026420000000002</v>
      </c>
      <c r="F328" s="2">
        <v>0.45130799999999999</v>
      </c>
      <c r="G328" s="2">
        <v>34.141485899999999</v>
      </c>
      <c r="H328" s="2">
        <v>35.911354699999997</v>
      </c>
    </row>
    <row r="329" spans="1:8" ht="17.25" thickBot="1" x14ac:dyDescent="0.35">
      <c r="A329" s="6"/>
      <c r="B329" s="3">
        <v>8</v>
      </c>
      <c r="C329" s="11" t="s">
        <v>117</v>
      </c>
      <c r="D329" s="2">
        <v>1286</v>
      </c>
      <c r="E329" s="2">
        <v>34.009417999999997</v>
      </c>
      <c r="F329" s="2">
        <v>0.298427</v>
      </c>
      <c r="G329" s="2">
        <v>33.424255799999997</v>
      </c>
      <c r="H329" s="2">
        <v>34.594579699999997</v>
      </c>
    </row>
    <row r="330" spans="1:8" ht="17.25" thickBot="1" x14ac:dyDescent="0.35">
      <c r="A330" s="6">
        <v>6</v>
      </c>
      <c r="B330" s="3">
        <v>1</v>
      </c>
      <c r="C330" s="11" t="s">
        <v>117</v>
      </c>
      <c r="D330" s="2">
        <v>279</v>
      </c>
      <c r="E330" s="2">
        <v>34.315111000000002</v>
      </c>
      <c r="F330" s="2">
        <v>0.48069299999999998</v>
      </c>
      <c r="G330" s="2">
        <v>33.3725576</v>
      </c>
      <c r="H330" s="2">
        <v>35.257663700000002</v>
      </c>
    </row>
    <row r="331" spans="1:8" ht="17.25" thickBot="1" x14ac:dyDescent="0.35">
      <c r="A331" s="6"/>
      <c r="B331" s="3">
        <v>2</v>
      </c>
      <c r="C331" s="11" t="s">
        <v>117</v>
      </c>
      <c r="D331" s="2">
        <v>309</v>
      </c>
      <c r="E331" s="2">
        <v>31.876391000000002</v>
      </c>
      <c r="F331" s="2">
        <v>0.52308600000000005</v>
      </c>
      <c r="G331" s="2">
        <v>30.850712900000001</v>
      </c>
      <c r="H331" s="2">
        <v>32.9020686</v>
      </c>
    </row>
    <row r="332" spans="1:8" ht="17.25" thickBot="1" x14ac:dyDescent="0.35">
      <c r="A332" s="6"/>
      <c r="B332" s="3">
        <v>3</v>
      </c>
      <c r="C332" s="11" t="s">
        <v>117</v>
      </c>
      <c r="D332" s="2">
        <v>358</v>
      </c>
      <c r="E332" s="2">
        <v>33.781494000000002</v>
      </c>
      <c r="F332" s="2">
        <v>0.59992800000000002</v>
      </c>
      <c r="G332" s="2">
        <v>32.605141500000002</v>
      </c>
      <c r="H332" s="2">
        <v>34.957846600000003</v>
      </c>
    </row>
    <row r="333" spans="1:8" ht="17.25" thickBot="1" x14ac:dyDescent="0.35">
      <c r="A333" s="6"/>
      <c r="B333" s="3">
        <v>4</v>
      </c>
      <c r="C333" s="11" t="s">
        <v>117</v>
      </c>
      <c r="D333" s="2">
        <v>284</v>
      </c>
      <c r="E333" s="2">
        <v>34.993161000000001</v>
      </c>
      <c r="F333" s="2">
        <v>0.52311799999999997</v>
      </c>
      <c r="G333" s="2">
        <v>33.967419599999999</v>
      </c>
      <c r="H333" s="2">
        <v>36.018902599999997</v>
      </c>
    </row>
    <row r="334" spans="1:8" x14ac:dyDescent="0.3">
      <c r="A334" s="6"/>
      <c r="B334" s="3">
        <v>8</v>
      </c>
      <c r="C334" s="14" t="s">
        <v>117</v>
      </c>
      <c r="D334" s="2">
        <v>206</v>
      </c>
      <c r="E334" s="2">
        <v>31.443376000000001</v>
      </c>
      <c r="F334" s="2">
        <v>0.82418499999999995</v>
      </c>
      <c r="G334" s="2">
        <v>29.827296199999999</v>
      </c>
      <c r="H334" s="2">
        <v>33.059455700000001</v>
      </c>
    </row>
    <row r="338" spans="1:6" x14ac:dyDescent="0.3">
      <c r="A338" s="1" t="s">
        <v>237</v>
      </c>
    </row>
    <row r="340" spans="1:6" x14ac:dyDescent="0.3">
      <c r="A340" s="1" t="s">
        <v>21</v>
      </c>
    </row>
    <row r="341" spans="1:6" ht="17.25" thickBot="1" x14ac:dyDescent="0.35"/>
    <row r="342" spans="1:6" ht="16.5" customHeight="1" x14ac:dyDescent="0.3">
      <c r="A342" s="16" t="s">
        <v>135</v>
      </c>
      <c r="B342" s="18"/>
    </row>
    <row r="343" spans="1:6" ht="26.25" thickBot="1" x14ac:dyDescent="0.35">
      <c r="A343" s="12" t="s">
        <v>136</v>
      </c>
      <c r="B343" s="2">
        <v>183</v>
      </c>
    </row>
    <row r="344" spans="1:6" ht="26.25" thickBot="1" x14ac:dyDescent="0.35">
      <c r="A344" s="12" t="s">
        <v>137</v>
      </c>
      <c r="B344" s="2">
        <v>2982</v>
      </c>
    </row>
    <row r="345" spans="1:6" ht="39" thickBot="1" x14ac:dyDescent="0.35">
      <c r="A345" s="12" t="s">
        <v>138</v>
      </c>
      <c r="B345" s="2">
        <v>68635</v>
      </c>
    </row>
    <row r="346" spans="1:6" ht="25.5" x14ac:dyDescent="0.3">
      <c r="A346" s="13" t="s">
        <v>139</v>
      </c>
      <c r="B346" s="2">
        <v>30251935.699999999</v>
      </c>
    </row>
    <row r="347" spans="1:6" ht="17.25" thickBot="1" x14ac:dyDescent="0.35"/>
    <row r="348" spans="1:6" ht="33" customHeight="1" x14ac:dyDescent="0.3">
      <c r="A348" s="16" t="s">
        <v>140</v>
      </c>
      <c r="B348" s="18"/>
    </row>
    <row r="349" spans="1:6" ht="33.75" thickBot="1" x14ac:dyDescent="0.35">
      <c r="A349" s="12" t="s">
        <v>141</v>
      </c>
      <c r="B349" s="2" t="s">
        <v>142</v>
      </c>
    </row>
    <row r="350" spans="1:6" ht="25.5" x14ac:dyDescent="0.3">
      <c r="A350" s="13" t="s">
        <v>143</v>
      </c>
      <c r="B350" s="2" t="s">
        <v>144</v>
      </c>
    </row>
    <row r="351" spans="1:6" ht="17.25" thickBot="1" x14ac:dyDescent="0.35"/>
    <row r="352" spans="1:6" ht="16.5" customHeight="1" x14ac:dyDescent="0.3">
      <c r="A352" s="16" t="s">
        <v>238</v>
      </c>
      <c r="B352" s="18"/>
      <c r="C352" s="18"/>
      <c r="D352" s="18"/>
      <c r="E352" s="18"/>
      <c r="F352" s="18"/>
    </row>
    <row r="353" spans="1:15" ht="16.5" customHeight="1" x14ac:dyDescent="0.3">
      <c r="A353" s="17" t="s">
        <v>239</v>
      </c>
      <c r="B353" s="19" t="s">
        <v>94</v>
      </c>
      <c r="C353" s="19" t="s">
        <v>240</v>
      </c>
      <c r="D353" s="3" t="s">
        <v>241</v>
      </c>
      <c r="E353" s="19" t="s">
        <v>243</v>
      </c>
      <c r="F353" s="19"/>
    </row>
    <row r="354" spans="1:15" x14ac:dyDescent="0.3">
      <c r="A354" s="17"/>
      <c r="B354" s="19"/>
      <c r="C354" s="19"/>
      <c r="D354" s="3" t="s">
        <v>242</v>
      </c>
      <c r="E354" s="19"/>
      <c r="F354" s="19"/>
    </row>
    <row r="355" spans="1:15" x14ac:dyDescent="0.3">
      <c r="A355" s="13" t="s">
        <v>117</v>
      </c>
      <c r="B355" s="2">
        <v>68635</v>
      </c>
      <c r="C355" s="2">
        <v>35.601097000000003</v>
      </c>
      <c r="D355" s="2">
        <v>3.8943999999999999E-2</v>
      </c>
      <c r="E355" s="2">
        <v>35.524735800000002</v>
      </c>
      <c r="F355" s="2">
        <v>35.677458399999999</v>
      </c>
    </row>
    <row r="359" spans="1:15" x14ac:dyDescent="0.3">
      <c r="A359" s="1" t="s">
        <v>237</v>
      </c>
    </row>
    <row r="361" spans="1:15" x14ac:dyDescent="0.3">
      <c r="A361" s="1" t="s">
        <v>21</v>
      </c>
    </row>
    <row r="362" spans="1:15" ht="17.25" thickBot="1" x14ac:dyDescent="0.35"/>
    <row r="363" spans="1:15" ht="16.5" customHeight="1" x14ac:dyDescent="0.3">
      <c r="A363" s="16" t="s">
        <v>253</v>
      </c>
      <c r="B363" s="18"/>
      <c r="C363" s="18"/>
      <c r="D363" s="18"/>
      <c r="E363" s="18"/>
      <c r="F363" s="18"/>
      <c r="G363" s="18"/>
      <c r="H363" s="18"/>
    </row>
    <row r="364" spans="1:15" ht="16.5" customHeight="1" x14ac:dyDescent="0.3">
      <c r="A364" s="17" t="s">
        <v>249</v>
      </c>
      <c r="B364" s="19" t="s">
        <v>8</v>
      </c>
      <c r="C364" s="19" t="s">
        <v>239</v>
      </c>
      <c r="D364" s="19" t="s">
        <v>94</v>
      </c>
      <c r="E364" s="19" t="s">
        <v>240</v>
      </c>
      <c r="F364" s="3" t="s">
        <v>241</v>
      </c>
      <c r="G364" s="19" t="s">
        <v>243</v>
      </c>
      <c r="H364" s="19"/>
    </row>
    <row r="365" spans="1:15" x14ac:dyDescent="0.3">
      <c r="A365" s="17"/>
      <c r="B365" s="19"/>
      <c r="C365" s="19"/>
      <c r="D365" s="19"/>
      <c r="E365" s="19"/>
      <c r="F365" s="3" t="s">
        <v>242</v>
      </c>
      <c r="G365" s="19"/>
      <c r="H365" s="19"/>
    </row>
    <row r="366" spans="1:15" ht="17.25" thickBot="1" x14ac:dyDescent="0.35">
      <c r="A366" s="6">
        <v>1</v>
      </c>
      <c r="B366" s="3">
        <v>1</v>
      </c>
      <c r="C366" s="11" t="s">
        <v>117</v>
      </c>
      <c r="D366" s="2">
        <v>704</v>
      </c>
      <c r="E366" s="2">
        <v>37.136834999999998</v>
      </c>
      <c r="F366" s="2">
        <v>0.28753099999999998</v>
      </c>
      <c r="G366" s="2">
        <v>36.5730419</v>
      </c>
      <c r="H366" s="2">
        <v>37.700628600000002</v>
      </c>
      <c r="J366" t="str">
        <f t="shared" ref="J366:J389" si="8">TEXT(E366,"0.00")&amp;" ("&amp;TEXT(G366,"0.00")&amp;" to "&amp;TEXT(H366,"0.00")&amp;")"</f>
        <v>37.14 (36.57 to 37.70)</v>
      </c>
      <c r="K366" t="str">
        <f>J370</f>
        <v>36.60 (36.27 to 36.92)</v>
      </c>
      <c r="L366" t="str">
        <f>J374</f>
        <v>37.28 (36.91 to 37.65)</v>
      </c>
      <c r="M366" t="str">
        <f>J378</f>
        <v>37.23 (36.85 to 37.60)</v>
      </c>
      <c r="N366" t="str">
        <f>J382</f>
        <v>37.18 (36.79 to 37.58)</v>
      </c>
      <c r="O366" t="str">
        <f>J386</f>
        <v>36.30 (35.53 to 37.07)</v>
      </c>
    </row>
    <row r="367" spans="1:15" ht="17.25" thickBot="1" x14ac:dyDescent="0.35">
      <c r="A367" s="6"/>
      <c r="B367" s="3">
        <v>2</v>
      </c>
      <c r="C367" s="11" t="s">
        <v>117</v>
      </c>
      <c r="D367" s="2">
        <v>2055</v>
      </c>
      <c r="E367" s="2">
        <v>37.060656999999999</v>
      </c>
      <c r="F367" s="2">
        <v>0.172762</v>
      </c>
      <c r="G367" s="2">
        <v>36.721904199999997</v>
      </c>
      <c r="H367" s="2">
        <v>37.3994103</v>
      </c>
      <c r="J367" t="str">
        <f t="shared" si="8"/>
        <v>37.06 (36.72 to 37.40)</v>
      </c>
      <c r="K367" t="str">
        <f t="shared" ref="K367:K369" si="9">J371</f>
        <v>36.96 (36.50 to 37.41)</v>
      </c>
      <c r="L367" t="str">
        <f t="shared" ref="L367:L369" si="10">J375</f>
        <v>36.92 (36.47 to 37.37)</v>
      </c>
      <c r="M367" t="str">
        <f t="shared" ref="M367:M369" si="11">J379</f>
        <v>37.20 (36.74 to 37.66)</v>
      </c>
      <c r="N367" t="str">
        <f t="shared" ref="N367:N369" si="12">J383</f>
        <v>36.88 (36.44 to 37.32)</v>
      </c>
      <c r="O367" t="str">
        <f t="shared" ref="O367:O369" si="13">J387</f>
        <v>35.75 (35.04 to 36.47)</v>
      </c>
    </row>
    <row r="368" spans="1:15" ht="17.25" thickBot="1" x14ac:dyDescent="0.35">
      <c r="A368" s="6"/>
      <c r="B368" s="3">
        <v>3</v>
      </c>
      <c r="C368" s="11" t="s">
        <v>117</v>
      </c>
      <c r="D368" s="2">
        <v>1494</v>
      </c>
      <c r="E368" s="2">
        <v>36.897531999999998</v>
      </c>
      <c r="F368" s="2">
        <v>0.18771199999999999</v>
      </c>
      <c r="G368" s="2">
        <v>36.529464599999997</v>
      </c>
      <c r="H368" s="2">
        <v>37.265599199999997</v>
      </c>
      <c r="J368" t="str">
        <f t="shared" si="8"/>
        <v>36.90 (36.53 to 37.27)</v>
      </c>
      <c r="K368" t="str">
        <f t="shared" si="9"/>
        <v>35.93 (35.62 to 36.24)</v>
      </c>
      <c r="L368" t="str">
        <f t="shared" si="10"/>
        <v>35.67 (35.40 to 35.93)</v>
      </c>
      <c r="M368" t="str">
        <f t="shared" si="11"/>
        <v>36.24 (35.95 to 36.54)</v>
      </c>
      <c r="N368" t="str">
        <f t="shared" si="12"/>
        <v>36.53 (36.23 to 36.83)</v>
      </c>
      <c r="O368" t="str">
        <f t="shared" si="13"/>
        <v>35.97 (35.43 to 36.52)</v>
      </c>
    </row>
    <row r="369" spans="1:15" ht="17.25" thickBot="1" x14ac:dyDescent="0.35">
      <c r="A369" s="6"/>
      <c r="B369" s="3">
        <v>4</v>
      </c>
      <c r="C369" s="11" t="s">
        <v>117</v>
      </c>
      <c r="D369" s="2">
        <v>7662</v>
      </c>
      <c r="E369" s="2">
        <v>35.063536999999997</v>
      </c>
      <c r="F369" s="2">
        <v>9.9888000000000005E-2</v>
      </c>
      <c r="G369" s="2">
        <v>34.867674999999998</v>
      </c>
      <c r="H369" s="2">
        <v>35.259399600000002</v>
      </c>
      <c r="J369" t="str">
        <f t="shared" si="8"/>
        <v>35.06 (34.87 to 35.26)</v>
      </c>
      <c r="K369" t="str">
        <f t="shared" si="9"/>
        <v>34.65 (34.38 to 34.92)</v>
      </c>
      <c r="L369" t="str">
        <f t="shared" si="10"/>
        <v>34.54 (34.29 to 34.80)</v>
      </c>
      <c r="M369" t="str">
        <f t="shared" si="11"/>
        <v>34.99 (34.77 to 35.22)</v>
      </c>
      <c r="N369" t="str">
        <f t="shared" si="12"/>
        <v>35.12 (34.88 to 35.35)</v>
      </c>
      <c r="O369" t="str">
        <f t="shared" si="13"/>
        <v>34.80 (34.35 to 35.25)</v>
      </c>
    </row>
    <row r="370" spans="1:15" ht="17.25" thickBot="1" x14ac:dyDescent="0.35">
      <c r="A370" s="6">
        <v>2</v>
      </c>
      <c r="B370" s="3">
        <v>1</v>
      </c>
      <c r="C370" s="11" t="s">
        <v>117</v>
      </c>
      <c r="D370" s="2">
        <v>2505</v>
      </c>
      <c r="E370" s="2">
        <v>36.596331999999997</v>
      </c>
      <c r="F370" s="2">
        <v>0.16620499999999999</v>
      </c>
      <c r="G370" s="2">
        <v>36.2704339</v>
      </c>
      <c r="H370" s="2">
        <v>36.922229100000003</v>
      </c>
      <c r="J370" t="str">
        <f t="shared" si="8"/>
        <v>36.60 (36.27 to 36.92)</v>
      </c>
    </row>
    <row r="371" spans="1:15" ht="17.25" thickBot="1" x14ac:dyDescent="0.35">
      <c r="A371" s="6"/>
      <c r="B371" s="3">
        <v>2</v>
      </c>
      <c r="C371" s="11" t="s">
        <v>117</v>
      </c>
      <c r="D371" s="2">
        <v>1481</v>
      </c>
      <c r="E371" s="2">
        <v>36.955317999999998</v>
      </c>
      <c r="F371" s="2">
        <v>0.231323</v>
      </c>
      <c r="G371" s="2">
        <v>36.501738199999998</v>
      </c>
      <c r="H371" s="2">
        <v>37.408898200000003</v>
      </c>
      <c r="J371" t="str">
        <f t="shared" si="8"/>
        <v>36.96 (36.50 to 37.41)</v>
      </c>
    </row>
    <row r="372" spans="1:15" ht="17.25" thickBot="1" x14ac:dyDescent="0.35">
      <c r="A372" s="6"/>
      <c r="B372" s="3">
        <v>3</v>
      </c>
      <c r="C372" s="11" t="s">
        <v>117</v>
      </c>
      <c r="D372" s="2">
        <v>3868</v>
      </c>
      <c r="E372" s="2">
        <v>35.931279000000004</v>
      </c>
      <c r="F372" s="2">
        <v>0.15973399999999999</v>
      </c>
      <c r="G372" s="2">
        <v>35.618071200000003</v>
      </c>
      <c r="H372" s="2">
        <v>36.244486500000001</v>
      </c>
      <c r="J372" t="str">
        <f t="shared" si="8"/>
        <v>35.93 (35.62 to 36.24)</v>
      </c>
    </row>
    <row r="373" spans="1:15" ht="17.25" thickBot="1" x14ac:dyDescent="0.35">
      <c r="A373" s="6"/>
      <c r="B373" s="3">
        <v>4</v>
      </c>
      <c r="C373" s="11" t="s">
        <v>117</v>
      </c>
      <c r="D373" s="2">
        <v>5262</v>
      </c>
      <c r="E373" s="2">
        <v>34.653157</v>
      </c>
      <c r="F373" s="2">
        <v>0.138017</v>
      </c>
      <c r="G373" s="2">
        <v>34.382531899999996</v>
      </c>
      <c r="H373" s="2">
        <v>34.923783100000001</v>
      </c>
      <c r="J373" t="str">
        <f t="shared" si="8"/>
        <v>34.65 (34.38 to 34.92)</v>
      </c>
    </row>
    <row r="374" spans="1:15" ht="17.25" thickBot="1" x14ac:dyDescent="0.35">
      <c r="A374" s="6">
        <v>3</v>
      </c>
      <c r="B374" s="3">
        <v>1</v>
      </c>
      <c r="C374" s="11" t="s">
        <v>117</v>
      </c>
      <c r="D374" s="2">
        <v>1862</v>
      </c>
      <c r="E374" s="2">
        <v>37.278592000000003</v>
      </c>
      <c r="F374" s="2">
        <v>0.190307</v>
      </c>
      <c r="G374" s="2">
        <v>36.905434999999997</v>
      </c>
      <c r="H374" s="2">
        <v>37.651749199999998</v>
      </c>
      <c r="J374" t="str">
        <f t="shared" si="8"/>
        <v>37.28 (36.91 to 37.65)</v>
      </c>
    </row>
    <row r="375" spans="1:15" ht="17.25" thickBot="1" x14ac:dyDescent="0.35">
      <c r="A375" s="6"/>
      <c r="B375" s="3">
        <v>2</v>
      </c>
      <c r="C375" s="11" t="s">
        <v>117</v>
      </c>
      <c r="D375" s="2">
        <v>1253</v>
      </c>
      <c r="E375" s="2">
        <v>36.921506000000001</v>
      </c>
      <c r="F375" s="2">
        <v>0.230103</v>
      </c>
      <c r="G375" s="2">
        <v>36.470318499999998</v>
      </c>
      <c r="H375" s="2">
        <v>37.372694099999997</v>
      </c>
      <c r="J375" t="str">
        <f t="shared" si="8"/>
        <v>36.92 (36.47 to 37.37)</v>
      </c>
    </row>
    <row r="376" spans="1:15" ht="17.25" thickBot="1" x14ac:dyDescent="0.35">
      <c r="A376" s="6"/>
      <c r="B376" s="3">
        <v>3</v>
      </c>
      <c r="C376" s="11" t="s">
        <v>117</v>
      </c>
      <c r="D376" s="2">
        <v>3362</v>
      </c>
      <c r="E376" s="2">
        <v>35.667811999999998</v>
      </c>
      <c r="F376" s="2">
        <v>0.13601099999999999</v>
      </c>
      <c r="G376" s="2">
        <v>35.401119700000002</v>
      </c>
      <c r="H376" s="2">
        <v>35.934505100000003</v>
      </c>
      <c r="J376" t="str">
        <f t="shared" si="8"/>
        <v>35.67 (35.40 to 35.93)</v>
      </c>
    </row>
    <row r="377" spans="1:15" ht="17.25" thickBot="1" x14ac:dyDescent="0.35">
      <c r="A377" s="6"/>
      <c r="B377" s="3">
        <v>4</v>
      </c>
      <c r="C377" s="11" t="s">
        <v>117</v>
      </c>
      <c r="D377" s="2">
        <v>4998</v>
      </c>
      <c r="E377" s="2">
        <v>34.540787999999999</v>
      </c>
      <c r="F377" s="2">
        <v>0.13000800000000001</v>
      </c>
      <c r="G377" s="2">
        <v>34.285866400000003</v>
      </c>
      <c r="H377" s="2">
        <v>34.795708900000001</v>
      </c>
      <c r="J377" t="str">
        <f t="shared" si="8"/>
        <v>34.54 (34.29 to 34.80)</v>
      </c>
    </row>
    <row r="378" spans="1:15" ht="17.25" thickBot="1" x14ac:dyDescent="0.35">
      <c r="A378" s="6">
        <v>4</v>
      </c>
      <c r="B378" s="3">
        <v>1</v>
      </c>
      <c r="C378" s="11" t="s">
        <v>117</v>
      </c>
      <c r="D378" s="2">
        <v>2027</v>
      </c>
      <c r="E378" s="2">
        <v>37.226365999999999</v>
      </c>
      <c r="F378" s="2">
        <v>0.19134300000000001</v>
      </c>
      <c r="G378" s="2">
        <v>36.851178400000002</v>
      </c>
      <c r="H378" s="2">
        <v>37.601554</v>
      </c>
      <c r="J378" t="str">
        <f t="shared" si="8"/>
        <v>37.23 (36.85 to 37.60)</v>
      </c>
    </row>
    <row r="379" spans="1:15" ht="17.25" thickBot="1" x14ac:dyDescent="0.35">
      <c r="A379" s="6"/>
      <c r="B379" s="3">
        <v>2</v>
      </c>
      <c r="C379" s="11" t="s">
        <v>117</v>
      </c>
      <c r="D379" s="2">
        <v>1440</v>
      </c>
      <c r="E379" s="2">
        <v>37.202325999999999</v>
      </c>
      <c r="F379" s="2">
        <v>0.23453399999999999</v>
      </c>
      <c r="G379" s="2">
        <v>36.742449100000002</v>
      </c>
      <c r="H379" s="2">
        <v>37.662203599999998</v>
      </c>
      <c r="J379" t="str">
        <f t="shared" si="8"/>
        <v>37.20 (36.74 to 37.66)</v>
      </c>
    </row>
    <row r="380" spans="1:15" ht="17.25" thickBot="1" x14ac:dyDescent="0.35">
      <c r="A380" s="6"/>
      <c r="B380" s="3">
        <v>3</v>
      </c>
      <c r="C380" s="11" t="s">
        <v>117</v>
      </c>
      <c r="D380" s="2">
        <v>3929</v>
      </c>
      <c r="E380" s="2">
        <v>36.242514999999997</v>
      </c>
      <c r="F380" s="2">
        <v>0.14959500000000001</v>
      </c>
      <c r="G380" s="2">
        <v>35.949187100000003</v>
      </c>
      <c r="H380" s="2">
        <v>36.535843399999997</v>
      </c>
      <c r="J380" t="str">
        <f t="shared" si="8"/>
        <v>36.24 (35.95 to 36.54)</v>
      </c>
    </row>
    <row r="381" spans="1:15" ht="17.25" thickBot="1" x14ac:dyDescent="0.35">
      <c r="A381" s="6"/>
      <c r="B381" s="3">
        <v>4</v>
      </c>
      <c r="C381" s="11" t="s">
        <v>117</v>
      </c>
      <c r="D381" s="2">
        <v>6762</v>
      </c>
      <c r="E381" s="2">
        <v>34.991695999999997</v>
      </c>
      <c r="F381" s="2">
        <v>0.113965</v>
      </c>
      <c r="G381" s="2">
        <v>34.7682328</v>
      </c>
      <c r="H381" s="2">
        <v>35.215159399999997</v>
      </c>
      <c r="J381" t="str">
        <f t="shared" si="8"/>
        <v>34.99 (34.77 to 35.22)</v>
      </c>
    </row>
    <row r="382" spans="1:15" ht="17.25" thickBot="1" x14ac:dyDescent="0.35">
      <c r="A382" s="6">
        <v>5</v>
      </c>
      <c r="B382" s="3">
        <v>1</v>
      </c>
      <c r="C382" s="11" t="s">
        <v>117</v>
      </c>
      <c r="D382" s="2">
        <v>1623</v>
      </c>
      <c r="E382" s="2">
        <v>37.182011000000003</v>
      </c>
      <c r="F382" s="2">
        <v>0.20108000000000001</v>
      </c>
      <c r="G382" s="2">
        <v>36.787730400000001</v>
      </c>
      <c r="H382" s="2">
        <v>37.576292199999997</v>
      </c>
      <c r="J382" t="str">
        <f t="shared" si="8"/>
        <v>37.18 (36.79 to 37.58)</v>
      </c>
    </row>
    <row r="383" spans="1:15" ht="17.25" thickBot="1" x14ac:dyDescent="0.35">
      <c r="A383" s="6"/>
      <c r="B383" s="3">
        <v>2</v>
      </c>
      <c r="C383" s="11" t="s">
        <v>117</v>
      </c>
      <c r="D383" s="2">
        <v>1268</v>
      </c>
      <c r="E383" s="2">
        <v>36.877667000000002</v>
      </c>
      <c r="F383" s="2">
        <v>0.22323100000000001</v>
      </c>
      <c r="G383" s="2">
        <v>36.439951700000002</v>
      </c>
      <c r="H383" s="2">
        <v>37.315381299999999</v>
      </c>
      <c r="J383" t="str">
        <f t="shared" si="8"/>
        <v>36.88 (36.44 to 37.32)</v>
      </c>
    </row>
    <row r="384" spans="1:15" ht="17.25" thickBot="1" x14ac:dyDescent="0.35">
      <c r="A384" s="6"/>
      <c r="B384" s="3">
        <v>3</v>
      </c>
      <c r="C384" s="11" t="s">
        <v>117</v>
      </c>
      <c r="D384" s="2">
        <v>3878</v>
      </c>
      <c r="E384" s="2">
        <v>36.530746000000001</v>
      </c>
      <c r="F384" s="2">
        <v>0.15176899999999999</v>
      </c>
      <c r="G384" s="2">
        <v>36.233155799999999</v>
      </c>
      <c r="H384" s="2">
        <v>36.828335699999997</v>
      </c>
      <c r="J384" t="str">
        <f t="shared" si="8"/>
        <v>36.53 (36.23 to 36.83)</v>
      </c>
    </row>
    <row r="385" spans="1:10" ht="17.25" thickBot="1" x14ac:dyDescent="0.35">
      <c r="A385" s="6"/>
      <c r="B385" s="3">
        <v>4</v>
      </c>
      <c r="C385" s="11" t="s">
        <v>117</v>
      </c>
      <c r="D385" s="2">
        <v>6786</v>
      </c>
      <c r="E385" s="2">
        <v>35.115934000000003</v>
      </c>
      <c r="F385" s="2">
        <v>0.120391</v>
      </c>
      <c r="G385" s="2">
        <v>34.879870699999998</v>
      </c>
      <c r="H385" s="2">
        <v>35.351997099999998</v>
      </c>
      <c r="J385" t="str">
        <f t="shared" si="8"/>
        <v>35.12 (34.88 to 35.35)</v>
      </c>
    </row>
    <row r="386" spans="1:10" ht="17.25" thickBot="1" x14ac:dyDescent="0.35">
      <c r="A386" s="6">
        <v>6</v>
      </c>
      <c r="B386" s="3">
        <v>1</v>
      </c>
      <c r="C386" s="11" t="s">
        <v>117</v>
      </c>
      <c r="D386" s="2">
        <v>478</v>
      </c>
      <c r="E386" s="2">
        <v>36.299368000000001</v>
      </c>
      <c r="F386" s="2">
        <v>0.39346900000000001</v>
      </c>
      <c r="G386" s="2">
        <v>35.527848599999999</v>
      </c>
      <c r="H386" s="2">
        <v>37.070886899999998</v>
      </c>
      <c r="J386" t="str">
        <f t="shared" si="8"/>
        <v>36.30 (35.53 to 37.07)</v>
      </c>
    </row>
    <row r="387" spans="1:10" ht="17.25" thickBot="1" x14ac:dyDescent="0.35">
      <c r="A387" s="6"/>
      <c r="B387" s="3">
        <v>2</v>
      </c>
      <c r="C387" s="11" t="s">
        <v>117</v>
      </c>
      <c r="D387" s="2">
        <v>440</v>
      </c>
      <c r="E387" s="2">
        <v>35.752972</v>
      </c>
      <c r="F387" s="2">
        <v>0.36555199999999999</v>
      </c>
      <c r="G387" s="2">
        <v>35.036193099999998</v>
      </c>
      <c r="H387" s="2">
        <v>36.469751100000003</v>
      </c>
      <c r="J387" t="str">
        <f t="shared" si="8"/>
        <v>35.75 (35.04 to 36.47)</v>
      </c>
    </row>
    <row r="388" spans="1:10" ht="17.25" thickBot="1" x14ac:dyDescent="0.35">
      <c r="A388" s="6"/>
      <c r="B388" s="3">
        <v>3</v>
      </c>
      <c r="C388" s="11" t="s">
        <v>117</v>
      </c>
      <c r="D388" s="2">
        <v>1227</v>
      </c>
      <c r="E388" s="2">
        <v>35.973571999999997</v>
      </c>
      <c r="F388" s="2">
        <v>0.27787000000000001</v>
      </c>
      <c r="G388" s="2">
        <v>35.428722399999998</v>
      </c>
      <c r="H388" s="2">
        <v>36.518422399999999</v>
      </c>
      <c r="J388" t="str">
        <f t="shared" si="8"/>
        <v>35.97 (35.43 to 36.52)</v>
      </c>
    </row>
    <row r="389" spans="1:10" x14ac:dyDescent="0.3">
      <c r="A389" s="6"/>
      <c r="B389" s="3">
        <v>4</v>
      </c>
      <c r="C389" s="14" t="s">
        <v>117</v>
      </c>
      <c r="D389" s="2">
        <v>2271</v>
      </c>
      <c r="E389" s="2">
        <v>34.797514999999997</v>
      </c>
      <c r="F389" s="2">
        <v>0.23050799999999999</v>
      </c>
      <c r="G389" s="2">
        <v>34.345531999999999</v>
      </c>
      <c r="H389" s="2">
        <v>35.249497099999999</v>
      </c>
      <c r="J389" t="str">
        <f t="shared" si="8"/>
        <v>34.80 (34.35 to 35.25)</v>
      </c>
    </row>
    <row r="393" spans="1:10" x14ac:dyDescent="0.3">
      <c r="A393" s="1" t="s">
        <v>237</v>
      </c>
    </row>
    <row r="395" spans="1:10" x14ac:dyDescent="0.3">
      <c r="A395" s="1" t="s">
        <v>1</v>
      </c>
    </row>
    <row r="396" spans="1:10" ht="17.25" thickBot="1" x14ac:dyDescent="0.35"/>
    <row r="397" spans="1:10" ht="16.5" customHeight="1" x14ac:dyDescent="0.3">
      <c r="A397" s="16" t="s">
        <v>135</v>
      </c>
      <c r="B397" s="18"/>
    </row>
    <row r="398" spans="1:10" ht="26.25" thickBot="1" x14ac:dyDescent="0.35">
      <c r="A398" s="12" t="s">
        <v>136</v>
      </c>
      <c r="B398" s="2">
        <v>183</v>
      </c>
    </row>
    <row r="399" spans="1:10" ht="26.25" thickBot="1" x14ac:dyDescent="0.35">
      <c r="A399" s="12" t="s">
        <v>137</v>
      </c>
      <c r="B399" s="2">
        <v>2949</v>
      </c>
    </row>
    <row r="400" spans="1:10" ht="39" thickBot="1" x14ac:dyDescent="0.35">
      <c r="A400" s="12" t="s">
        <v>138</v>
      </c>
      <c r="B400" s="2">
        <v>23222</v>
      </c>
    </row>
    <row r="401" spans="1:6" ht="25.5" x14ac:dyDescent="0.3">
      <c r="A401" s="13" t="s">
        <v>139</v>
      </c>
      <c r="B401" s="2">
        <v>9036880.5199999996</v>
      </c>
    </row>
    <row r="402" spans="1:6" ht="17.25" thickBot="1" x14ac:dyDescent="0.35"/>
    <row r="403" spans="1:6" ht="33" customHeight="1" x14ac:dyDescent="0.3">
      <c r="A403" s="16" t="s">
        <v>140</v>
      </c>
      <c r="B403" s="18"/>
    </row>
    <row r="404" spans="1:6" ht="33.75" thickBot="1" x14ac:dyDescent="0.35">
      <c r="A404" s="12" t="s">
        <v>141</v>
      </c>
      <c r="B404" s="2" t="s">
        <v>142</v>
      </c>
    </row>
    <row r="405" spans="1:6" ht="25.5" x14ac:dyDescent="0.3">
      <c r="A405" s="13" t="s">
        <v>143</v>
      </c>
      <c r="B405" s="2" t="s">
        <v>144</v>
      </c>
    </row>
    <row r="406" spans="1:6" ht="17.25" thickBot="1" x14ac:dyDescent="0.35"/>
    <row r="407" spans="1:6" ht="16.5" customHeight="1" x14ac:dyDescent="0.3">
      <c r="A407" s="16" t="s">
        <v>238</v>
      </c>
      <c r="B407" s="18"/>
      <c r="C407" s="18"/>
      <c r="D407" s="18"/>
      <c r="E407" s="18"/>
      <c r="F407" s="18"/>
    </row>
    <row r="408" spans="1:6" ht="16.5" customHeight="1" x14ac:dyDescent="0.3">
      <c r="A408" s="17" t="s">
        <v>239</v>
      </c>
      <c r="B408" s="19" t="s">
        <v>94</v>
      </c>
      <c r="C408" s="19" t="s">
        <v>240</v>
      </c>
      <c r="D408" s="3" t="s">
        <v>241</v>
      </c>
      <c r="E408" s="19" t="s">
        <v>243</v>
      </c>
      <c r="F408" s="19"/>
    </row>
    <row r="409" spans="1:6" x14ac:dyDescent="0.3">
      <c r="A409" s="17"/>
      <c r="B409" s="19"/>
      <c r="C409" s="19"/>
      <c r="D409" s="3" t="s">
        <v>242</v>
      </c>
      <c r="E409" s="19"/>
      <c r="F409" s="19"/>
    </row>
    <row r="410" spans="1:6" x14ac:dyDescent="0.3">
      <c r="A410" s="13" t="s">
        <v>117</v>
      </c>
      <c r="B410" s="2">
        <v>23222</v>
      </c>
      <c r="C410" s="2">
        <v>33.805624000000002</v>
      </c>
      <c r="D410" s="2">
        <v>7.0877999999999997E-2</v>
      </c>
      <c r="E410" s="2">
        <v>33.666644300000002</v>
      </c>
      <c r="F410" s="2">
        <v>33.944603299999997</v>
      </c>
    </row>
    <row r="414" spans="1:6" x14ac:dyDescent="0.3">
      <c r="A414" s="1" t="s">
        <v>237</v>
      </c>
    </row>
    <row r="416" spans="1:6" x14ac:dyDescent="0.3">
      <c r="A416" s="1" t="s">
        <v>1</v>
      </c>
    </row>
    <row r="417" spans="1:8" ht="17.25" thickBot="1" x14ac:dyDescent="0.35"/>
    <row r="418" spans="1:8" ht="16.5" customHeight="1" x14ac:dyDescent="0.3">
      <c r="A418" s="16" t="s">
        <v>254</v>
      </c>
      <c r="B418" s="18"/>
      <c r="C418" s="18"/>
      <c r="D418" s="18"/>
      <c r="E418" s="18"/>
      <c r="F418" s="18"/>
      <c r="G418" s="18"/>
      <c r="H418" s="18"/>
    </row>
    <row r="419" spans="1:8" ht="16.5" customHeight="1" x14ac:dyDescent="0.3">
      <c r="A419" s="17" t="s">
        <v>249</v>
      </c>
      <c r="B419" s="19" t="s">
        <v>9</v>
      </c>
      <c r="C419" s="19" t="s">
        <v>239</v>
      </c>
      <c r="D419" s="19" t="s">
        <v>94</v>
      </c>
      <c r="E419" s="19" t="s">
        <v>240</v>
      </c>
      <c r="F419" s="3" t="s">
        <v>241</v>
      </c>
      <c r="G419" s="19" t="s">
        <v>243</v>
      </c>
      <c r="H419" s="19"/>
    </row>
    <row r="420" spans="1:8" x14ac:dyDescent="0.3">
      <c r="A420" s="17"/>
      <c r="B420" s="19"/>
      <c r="C420" s="19"/>
      <c r="D420" s="19"/>
      <c r="E420" s="19"/>
      <c r="F420" s="3" t="s">
        <v>242</v>
      </c>
      <c r="G420" s="19"/>
      <c r="H420" s="19"/>
    </row>
    <row r="421" spans="1:8" ht="17.25" thickBot="1" x14ac:dyDescent="0.35">
      <c r="A421" s="6">
        <v>1</v>
      </c>
      <c r="B421" s="3">
        <v>1</v>
      </c>
      <c r="C421" s="11" t="s">
        <v>117</v>
      </c>
      <c r="D421" s="2">
        <v>1012</v>
      </c>
      <c r="E421" s="2">
        <v>35.850625000000001</v>
      </c>
      <c r="F421" s="2">
        <v>0.28450399999999998</v>
      </c>
      <c r="G421" s="2">
        <v>35.292763200000003</v>
      </c>
      <c r="H421" s="2">
        <v>36.4084869</v>
      </c>
    </row>
    <row r="422" spans="1:8" ht="17.25" thickBot="1" x14ac:dyDescent="0.35">
      <c r="A422" s="6"/>
      <c r="B422" s="3">
        <v>2</v>
      </c>
      <c r="C422" s="11" t="s">
        <v>117</v>
      </c>
      <c r="D422" s="2">
        <v>954</v>
      </c>
      <c r="E422" s="2">
        <v>34.518326000000002</v>
      </c>
      <c r="F422" s="2">
        <v>0.34420699999999999</v>
      </c>
      <c r="G422" s="2">
        <v>33.843397400000001</v>
      </c>
      <c r="H422" s="2">
        <v>35.193255299999997</v>
      </c>
    </row>
    <row r="423" spans="1:8" ht="17.25" thickBot="1" x14ac:dyDescent="0.35">
      <c r="A423" s="6"/>
      <c r="B423" s="3">
        <v>3</v>
      </c>
      <c r="C423" s="11" t="s">
        <v>117</v>
      </c>
      <c r="D423" s="2">
        <v>933</v>
      </c>
      <c r="E423" s="2">
        <v>33.787619999999997</v>
      </c>
      <c r="F423" s="2">
        <v>0.31363099999999999</v>
      </c>
      <c r="G423" s="2">
        <v>33.172644699999999</v>
      </c>
      <c r="H423" s="2">
        <v>34.402595499999997</v>
      </c>
    </row>
    <row r="424" spans="1:8" ht="17.25" thickBot="1" x14ac:dyDescent="0.35">
      <c r="A424" s="6"/>
      <c r="B424" s="3">
        <v>4</v>
      </c>
      <c r="C424" s="11" t="s">
        <v>117</v>
      </c>
      <c r="D424" s="2">
        <v>841</v>
      </c>
      <c r="E424" s="2">
        <v>33.674613000000001</v>
      </c>
      <c r="F424" s="2">
        <v>0.33114399999999999</v>
      </c>
      <c r="G424" s="2">
        <v>33.025299199999999</v>
      </c>
      <c r="H424" s="2">
        <v>34.323927500000003</v>
      </c>
    </row>
    <row r="425" spans="1:8" ht="17.25" thickBot="1" x14ac:dyDescent="0.35">
      <c r="A425" s="6">
        <v>2</v>
      </c>
      <c r="B425" s="3">
        <v>1</v>
      </c>
      <c r="C425" s="11" t="s">
        <v>117</v>
      </c>
      <c r="D425" s="2">
        <v>1063</v>
      </c>
      <c r="E425" s="2">
        <v>34.082783999999997</v>
      </c>
      <c r="F425" s="2">
        <v>0.32675900000000002</v>
      </c>
      <c r="G425" s="2">
        <v>33.442067100000003</v>
      </c>
      <c r="H425" s="2">
        <v>34.723500999999999</v>
      </c>
    </row>
    <row r="426" spans="1:8" ht="17.25" thickBot="1" x14ac:dyDescent="0.35">
      <c r="A426" s="6"/>
      <c r="B426" s="3">
        <v>2</v>
      </c>
      <c r="C426" s="11" t="s">
        <v>117</v>
      </c>
      <c r="D426" s="2">
        <v>1221</v>
      </c>
      <c r="E426" s="2">
        <v>32.753670999999997</v>
      </c>
      <c r="F426" s="2">
        <v>0.26561499999999999</v>
      </c>
      <c r="G426" s="2">
        <v>32.232847200000002</v>
      </c>
      <c r="H426" s="2">
        <v>33.274494300000001</v>
      </c>
    </row>
    <row r="427" spans="1:8" ht="17.25" thickBot="1" x14ac:dyDescent="0.35">
      <c r="A427" s="6"/>
      <c r="B427" s="3">
        <v>3</v>
      </c>
      <c r="C427" s="11" t="s">
        <v>117</v>
      </c>
      <c r="D427" s="2">
        <v>1211</v>
      </c>
      <c r="E427" s="2">
        <v>32.376328000000001</v>
      </c>
      <c r="F427" s="2">
        <v>0.27584599999999998</v>
      </c>
      <c r="G427" s="2">
        <v>31.835442400000002</v>
      </c>
      <c r="H427" s="2">
        <v>32.917212999999997</v>
      </c>
    </row>
    <row r="428" spans="1:8" ht="17.25" thickBot="1" x14ac:dyDescent="0.35">
      <c r="A428" s="6"/>
      <c r="B428" s="3">
        <v>4</v>
      </c>
      <c r="C428" s="11" t="s">
        <v>117</v>
      </c>
      <c r="D428" s="2">
        <v>1237</v>
      </c>
      <c r="E428" s="2">
        <v>32.403171</v>
      </c>
      <c r="F428" s="2">
        <v>0.280501</v>
      </c>
      <c r="G428" s="2">
        <v>31.853157700000001</v>
      </c>
      <c r="H428" s="2">
        <v>32.953184</v>
      </c>
    </row>
    <row r="429" spans="1:8" ht="17.25" thickBot="1" x14ac:dyDescent="0.35">
      <c r="A429" s="6">
        <v>3</v>
      </c>
      <c r="B429" s="3">
        <v>1</v>
      </c>
      <c r="C429" s="11" t="s">
        <v>117</v>
      </c>
      <c r="D429" s="2">
        <v>947</v>
      </c>
      <c r="E429" s="2">
        <v>36.282980999999999</v>
      </c>
      <c r="F429" s="2">
        <v>0.30683300000000002</v>
      </c>
      <c r="G429" s="2">
        <v>35.681337200000002</v>
      </c>
      <c r="H429" s="2">
        <v>36.8846256</v>
      </c>
    </row>
    <row r="430" spans="1:8" ht="17.25" thickBot="1" x14ac:dyDescent="0.35">
      <c r="A430" s="6"/>
      <c r="B430" s="3">
        <v>2</v>
      </c>
      <c r="C430" s="11" t="s">
        <v>117</v>
      </c>
      <c r="D430" s="2">
        <v>1133</v>
      </c>
      <c r="E430" s="2">
        <v>33.906568999999998</v>
      </c>
      <c r="F430" s="2">
        <v>0.27190300000000001</v>
      </c>
      <c r="G430" s="2">
        <v>33.373416200000001</v>
      </c>
      <c r="H430" s="2">
        <v>34.439722600000003</v>
      </c>
    </row>
    <row r="431" spans="1:8" ht="17.25" thickBot="1" x14ac:dyDescent="0.35">
      <c r="A431" s="6"/>
      <c r="B431" s="3">
        <v>3</v>
      </c>
      <c r="C431" s="11" t="s">
        <v>117</v>
      </c>
      <c r="D431" s="2">
        <v>1170</v>
      </c>
      <c r="E431" s="2">
        <v>33.205387000000002</v>
      </c>
      <c r="F431" s="2">
        <v>0.28485300000000002</v>
      </c>
      <c r="G431" s="2">
        <v>32.646841199999997</v>
      </c>
      <c r="H431" s="2">
        <v>33.763933299999998</v>
      </c>
    </row>
    <row r="432" spans="1:8" ht="17.25" thickBot="1" x14ac:dyDescent="0.35">
      <c r="A432" s="6"/>
      <c r="B432" s="3">
        <v>4</v>
      </c>
      <c r="C432" s="11" t="s">
        <v>117</v>
      </c>
      <c r="D432" s="2">
        <v>1007</v>
      </c>
      <c r="E432" s="2">
        <v>32.931762999999997</v>
      </c>
      <c r="F432" s="2">
        <v>0.30179699999999998</v>
      </c>
      <c r="G432" s="2">
        <v>32.339992899999999</v>
      </c>
      <c r="H432" s="2">
        <v>33.523533299999997</v>
      </c>
    </row>
    <row r="433" spans="1:8" ht="17.25" thickBot="1" x14ac:dyDescent="0.35">
      <c r="A433" s="6">
        <v>4</v>
      </c>
      <c r="B433" s="3">
        <v>1</v>
      </c>
      <c r="C433" s="11" t="s">
        <v>117</v>
      </c>
      <c r="D433" s="2">
        <v>1066</v>
      </c>
      <c r="E433" s="2">
        <v>35.895651999999998</v>
      </c>
      <c r="F433" s="2">
        <v>0.29483900000000002</v>
      </c>
      <c r="G433" s="2">
        <v>35.3175253</v>
      </c>
      <c r="H433" s="2">
        <v>36.473779200000003</v>
      </c>
    </row>
    <row r="434" spans="1:8" ht="17.25" thickBot="1" x14ac:dyDescent="0.35">
      <c r="A434" s="6"/>
      <c r="B434" s="3">
        <v>2</v>
      </c>
      <c r="C434" s="11" t="s">
        <v>117</v>
      </c>
      <c r="D434" s="2">
        <v>1087</v>
      </c>
      <c r="E434" s="2">
        <v>34.480820000000001</v>
      </c>
      <c r="F434" s="2">
        <v>0.32502399999999998</v>
      </c>
      <c r="G434" s="2">
        <v>33.843505800000003</v>
      </c>
      <c r="H434" s="2">
        <v>35.118133800000003</v>
      </c>
    </row>
    <row r="435" spans="1:8" ht="17.25" thickBot="1" x14ac:dyDescent="0.35">
      <c r="A435" s="6"/>
      <c r="B435" s="3">
        <v>3</v>
      </c>
      <c r="C435" s="11" t="s">
        <v>117</v>
      </c>
      <c r="D435" s="2">
        <v>1178</v>
      </c>
      <c r="E435" s="2">
        <v>33.1173</v>
      </c>
      <c r="F435" s="2">
        <v>0.26411499999999999</v>
      </c>
      <c r="G435" s="2">
        <v>32.599417699999997</v>
      </c>
      <c r="H435" s="2">
        <v>33.6351814</v>
      </c>
    </row>
    <row r="436" spans="1:8" ht="17.25" thickBot="1" x14ac:dyDescent="0.35">
      <c r="A436" s="6"/>
      <c r="B436" s="3">
        <v>4</v>
      </c>
      <c r="C436" s="11" t="s">
        <v>117</v>
      </c>
      <c r="D436" s="2">
        <v>1225</v>
      </c>
      <c r="E436" s="2">
        <v>32.592607000000001</v>
      </c>
      <c r="F436" s="2">
        <v>0.30021199999999998</v>
      </c>
      <c r="G436" s="2">
        <v>32.0039455</v>
      </c>
      <c r="H436" s="2">
        <v>33.181269100000002</v>
      </c>
    </row>
    <row r="437" spans="1:8" ht="17.25" thickBot="1" x14ac:dyDescent="0.35">
      <c r="A437" s="6">
        <v>5</v>
      </c>
      <c r="B437" s="3">
        <v>1</v>
      </c>
      <c r="C437" s="11" t="s">
        <v>117</v>
      </c>
      <c r="D437" s="2">
        <v>1217</v>
      </c>
      <c r="E437" s="2">
        <v>35.639178000000001</v>
      </c>
      <c r="F437" s="2">
        <v>0.35344199999999998</v>
      </c>
      <c r="G437" s="2">
        <v>34.94614</v>
      </c>
      <c r="H437" s="2">
        <v>36.332215099999999</v>
      </c>
    </row>
    <row r="438" spans="1:8" ht="17.25" thickBot="1" x14ac:dyDescent="0.35">
      <c r="A438" s="6"/>
      <c r="B438" s="3">
        <v>2</v>
      </c>
      <c r="C438" s="11" t="s">
        <v>117</v>
      </c>
      <c r="D438" s="2">
        <v>1235</v>
      </c>
      <c r="E438" s="2">
        <v>34.773615999999997</v>
      </c>
      <c r="F438" s="2">
        <v>0.34854499999999999</v>
      </c>
      <c r="G438" s="2">
        <v>34.090182499999997</v>
      </c>
      <c r="H438" s="2">
        <v>35.4570504</v>
      </c>
    </row>
    <row r="439" spans="1:8" ht="17.25" thickBot="1" x14ac:dyDescent="0.35">
      <c r="A439" s="6"/>
      <c r="B439" s="3">
        <v>3</v>
      </c>
      <c r="C439" s="11" t="s">
        <v>117</v>
      </c>
      <c r="D439" s="2">
        <v>1075</v>
      </c>
      <c r="E439" s="2">
        <v>33.452751999999997</v>
      </c>
      <c r="F439" s="2">
        <v>0.298321</v>
      </c>
      <c r="G439" s="2">
        <v>32.867797000000003</v>
      </c>
      <c r="H439" s="2">
        <v>34.037706700000001</v>
      </c>
    </row>
    <row r="440" spans="1:8" ht="17.25" thickBot="1" x14ac:dyDescent="0.35">
      <c r="A440" s="6"/>
      <c r="B440" s="3">
        <v>4</v>
      </c>
      <c r="C440" s="11" t="s">
        <v>117</v>
      </c>
      <c r="D440" s="2">
        <v>974</v>
      </c>
      <c r="E440" s="2">
        <v>33.557802000000002</v>
      </c>
      <c r="F440" s="2">
        <v>0.32385799999999998</v>
      </c>
      <c r="G440" s="2">
        <v>32.922773900000003</v>
      </c>
      <c r="H440" s="2">
        <v>34.1928299</v>
      </c>
    </row>
    <row r="441" spans="1:8" ht="17.25" thickBot="1" x14ac:dyDescent="0.35">
      <c r="A441" s="6">
        <v>6</v>
      </c>
      <c r="B441" s="3">
        <v>1</v>
      </c>
      <c r="C441" s="11" t="s">
        <v>117</v>
      </c>
      <c r="D441" s="2">
        <v>351</v>
      </c>
      <c r="E441" s="2">
        <v>34.292516999999997</v>
      </c>
      <c r="F441" s="2">
        <v>0.53323799999999999</v>
      </c>
      <c r="G441" s="2">
        <v>33.246930999999996</v>
      </c>
      <c r="H441" s="2">
        <v>35.338102499999998</v>
      </c>
    </row>
    <row r="442" spans="1:8" ht="17.25" thickBot="1" x14ac:dyDescent="0.35">
      <c r="A442" s="6"/>
      <c r="B442" s="3">
        <v>2</v>
      </c>
      <c r="C442" s="11" t="s">
        <v>117</v>
      </c>
      <c r="D442" s="2">
        <v>371</v>
      </c>
      <c r="E442" s="2">
        <v>34.019678999999996</v>
      </c>
      <c r="F442" s="2">
        <v>0.69719500000000001</v>
      </c>
      <c r="G442" s="2">
        <v>32.6526025</v>
      </c>
      <c r="H442" s="2">
        <v>35.386755000000001</v>
      </c>
    </row>
    <row r="443" spans="1:8" ht="17.25" thickBot="1" x14ac:dyDescent="0.35">
      <c r="A443" s="6"/>
      <c r="B443" s="3">
        <v>3</v>
      </c>
      <c r="C443" s="11" t="s">
        <v>117</v>
      </c>
      <c r="D443" s="2">
        <v>377</v>
      </c>
      <c r="E443" s="2">
        <v>32.740538000000001</v>
      </c>
      <c r="F443" s="2">
        <v>0.51581999999999995</v>
      </c>
      <c r="G443" s="2">
        <v>31.729107200000001</v>
      </c>
      <c r="H443" s="2">
        <v>33.751969500000001</v>
      </c>
    </row>
    <row r="444" spans="1:8" x14ac:dyDescent="0.3">
      <c r="A444" s="6"/>
      <c r="B444" s="3">
        <v>4</v>
      </c>
      <c r="C444" s="14" t="s">
        <v>117</v>
      </c>
      <c r="D444" s="2">
        <v>337</v>
      </c>
      <c r="E444" s="2">
        <v>33.007376000000001</v>
      </c>
      <c r="F444" s="2">
        <v>0.54628299999999996</v>
      </c>
      <c r="G444" s="2">
        <v>31.936212600000001</v>
      </c>
      <c r="H444" s="2">
        <v>34.078539399999997</v>
      </c>
    </row>
    <row r="448" spans="1:8" x14ac:dyDescent="0.3">
      <c r="A448" s="1" t="s">
        <v>237</v>
      </c>
    </row>
    <row r="450" spans="1:6" x14ac:dyDescent="0.3">
      <c r="A450" s="1" t="s">
        <v>21</v>
      </c>
    </row>
    <row r="451" spans="1:6" ht="17.25" thickBot="1" x14ac:dyDescent="0.35"/>
    <row r="452" spans="1:6" ht="16.5" customHeight="1" x14ac:dyDescent="0.3">
      <c r="A452" s="16" t="s">
        <v>135</v>
      </c>
      <c r="B452" s="18"/>
    </row>
    <row r="453" spans="1:6" ht="26.25" thickBot="1" x14ac:dyDescent="0.35">
      <c r="A453" s="12" t="s">
        <v>136</v>
      </c>
      <c r="B453" s="2">
        <v>183</v>
      </c>
    </row>
    <row r="454" spans="1:6" ht="26.25" thickBot="1" x14ac:dyDescent="0.35">
      <c r="A454" s="12" t="s">
        <v>137</v>
      </c>
      <c r="B454" s="2">
        <v>2982</v>
      </c>
    </row>
    <row r="455" spans="1:6" ht="39" thickBot="1" x14ac:dyDescent="0.35">
      <c r="A455" s="12" t="s">
        <v>138</v>
      </c>
      <c r="B455" s="2">
        <v>68635</v>
      </c>
    </row>
    <row r="456" spans="1:6" ht="25.5" x14ac:dyDescent="0.3">
      <c r="A456" s="13" t="s">
        <v>139</v>
      </c>
      <c r="B456" s="2">
        <v>30251935.699999999</v>
      </c>
    </row>
    <row r="457" spans="1:6" ht="17.25" thickBot="1" x14ac:dyDescent="0.35"/>
    <row r="458" spans="1:6" ht="33" customHeight="1" x14ac:dyDescent="0.3">
      <c r="A458" s="16" t="s">
        <v>140</v>
      </c>
      <c r="B458" s="18"/>
    </row>
    <row r="459" spans="1:6" ht="33.75" thickBot="1" x14ac:dyDescent="0.35">
      <c r="A459" s="12" t="s">
        <v>141</v>
      </c>
      <c r="B459" s="2" t="s">
        <v>142</v>
      </c>
    </row>
    <row r="460" spans="1:6" ht="25.5" x14ac:dyDescent="0.3">
      <c r="A460" s="13" t="s">
        <v>143</v>
      </c>
      <c r="B460" s="2" t="s">
        <v>144</v>
      </c>
    </row>
    <row r="461" spans="1:6" ht="17.25" thickBot="1" x14ac:dyDescent="0.35"/>
    <row r="462" spans="1:6" ht="16.5" customHeight="1" x14ac:dyDescent="0.3">
      <c r="A462" s="16" t="s">
        <v>238</v>
      </c>
      <c r="B462" s="18"/>
      <c r="C462" s="18"/>
      <c r="D462" s="18"/>
      <c r="E462" s="18"/>
      <c r="F462" s="18"/>
    </row>
    <row r="463" spans="1:6" ht="16.5" customHeight="1" x14ac:dyDescent="0.3">
      <c r="A463" s="17" t="s">
        <v>239</v>
      </c>
      <c r="B463" s="19" t="s">
        <v>94</v>
      </c>
      <c r="C463" s="19" t="s">
        <v>240</v>
      </c>
      <c r="D463" s="3" t="s">
        <v>241</v>
      </c>
      <c r="E463" s="19" t="s">
        <v>243</v>
      </c>
      <c r="F463" s="19"/>
    </row>
    <row r="464" spans="1:6" x14ac:dyDescent="0.3">
      <c r="A464" s="17"/>
      <c r="B464" s="19"/>
      <c r="C464" s="19"/>
      <c r="D464" s="3" t="s">
        <v>242</v>
      </c>
      <c r="E464" s="19"/>
      <c r="F464" s="19"/>
    </row>
    <row r="465" spans="1:15" x14ac:dyDescent="0.3">
      <c r="A465" s="13" t="s">
        <v>117</v>
      </c>
      <c r="B465" s="2">
        <v>68635</v>
      </c>
      <c r="C465" s="2">
        <v>35.601097000000003</v>
      </c>
      <c r="D465" s="2">
        <v>3.8943999999999999E-2</v>
      </c>
      <c r="E465" s="2">
        <v>35.524735800000002</v>
      </c>
      <c r="F465" s="2">
        <v>35.677458399999999</v>
      </c>
    </row>
    <row r="469" spans="1:15" x14ac:dyDescent="0.3">
      <c r="A469" s="1" t="s">
        <v>237</v>
      </c>
    </row>
    <row r="471" spans="1:15" x14ac:dyDescent="0.3">
      <c r="A471" s="1" t="s">
        <v>21</v>
      </c>
    </row>
    <row r="472" spans="1:15" ht="17.25" thickBot="1" x14ac:dyDescent="0.35"/>
    <row r="473" spans="1:15" ht="16.5" customHeight="1" x14ac:dyDescent="0.3">
      <c r="A473" s="16" t="s">
        <v>254</v>
      </c>
      <c r="B473" s="18"/>
      <c r="C473" s="18"/>
      <c r="D473" s="18"/>
      <c r="E473" s="18"/>
      <c r="F473" s="18"/>
      <c r="G473" s="18"/>
      <c r="H473" s="18"/>
    </row>
    <row r="474" spans="1:15" ht="16.5" customHeight="1" x14ac:dyDescent="0.3">
      <c r="A474" s="17" t="s">
        <v>249</v>
      </c>
      <c r="B474" s="19" t="s">
        <v>9</v>
      </c>
      <c r="C474" s="19" t="s">
        <v>239</v>
      </c>
      <c r="D474" s="19" t="s">
        <v>94</v>
      </c>
      <c r="E474" s="19" t="s">
        <v>240</v>
      </c>
      <c r="F474" s="3" t="s">
        <v>241</v>
      </c>
      <c r="G474" s="19" t="s">
        <v>243</v>
      </c>
      <c r="H474" s="19"/>
    </row>
    <row r="475" spans="1:15" x14ac:dyDescent="0.3">
      <c r="A475" s="17"/>
      <c r="B475" s="19"/>
      <c r="C475" s="19"/>
      <c r="D475" s="19"/>
      <c r="E475" s="19"/>
      <c r="F475" s="3" t="s">
        <v>242</v>
      </c>
      <c r="G475" s="19"/>
      <c r="H475" s="19"/>
    </row>
    <row r="476" spans="1:15" ht="17.25" thickBot="1" x14ac:dyDescent="0.35">
      <c r="A476" s="6">
        <v>1</v>
      </c>
      <c r="B476" s="3">
        <v>1</v>
      </c>
      <c r="C476" s="11" t="s">
        <v>117</v>
      </c>
      <c r="D476" s="2">
        <v>2306</v>
      </c>
      <c r="E476" s="2">
        <v>35.928378000000002</v>
      </c>
      <c r="F476" s="2">
        <v>0.20288</v>
      </c>
      <c r="G476" s="2">
        <v>35.530569100000001</v>
      </c>
      <c r="H476" s="2">
        <v>36.326187500000003</v>
      </c>
      <c r="J476" t="str">
        <f t="shared" ref="J476:J499" si="14">TEXT(E476,"0.00")&amp;" ("&amp;TEXT(G476,"0.00")&amp;" to "&amp;TEXT(H476,"0.00")&amp;")"</f>
        <v>35.93 (35.53 to 36.33)</v>
      </c>
      <c r="K476" t="str">
        <f>J480</f>
        <v>35.83 (35.38 to 36.28)</v>
      </c>
      <c r="L476" t="str">
        <f>J484</f>
        <v>36.47 (35.99 to 36.96)</v>
      </c>
      <c r="M476" t="str">
        <f>J488</f>
        <v>36.44 (35.98 to 36.90)</v>
      </c>
      <c r="N476" t="str">
        <f>J492</f>
        <v>36.30 (35.86 to 36.75)</v>
      </c>
      <c r="O476" t="str">
        <f>J496</f>
        <v>34.97 (34.13 to 35.80)</v>
      </c>
    </row>
    <row r="477" spans="1:15" ht="17.25" thickBot="1" x14ac:dyDescent="0.35">
      <c r="A477" s="6"/>
      <c r="B477" s="3">
        <v>2</v>
      </c>
      <c r="C477" s="11" t="s">
        <v>117</v>
      </c>
      <c r="D477" s="2">
        <v>2964</v>
      </c>
      <c r="E477" s="2">
        <v>36.050821999999997</v>
      </c>
      <c r="F477" s="2">
        <v>0.16947000000000001</v>
      </c>
      <c r="G477" s="2">
        <v>35.718522800000002</v>
      </c>
      <c r="H477" s="2">
        <v>36.383121600000003</v>
      </c>
      <c r="J477" t="str">
        <f t="shared" si="14"/>
        <v>36.05 (35.72 to 36.38)</v>
      </c>
      <c r="K477" t="str">
        <f t="shared" ref="K477:K479" si="15">J481</f>
        <v>35.80 (35.43 to 36.18)</v>
      </c>
      <c r="L477" t="str">
        <f t="shared" ref="L477:L479" si="16">J485</f>
        <v>35.48 (35.14 to 35.82)</v>
      </c>
      <c r="M477" t="str">
        <f t="shared" ref="M477:M479" si="17">J489</f>
        <v>36.05 (35.74 to 36.37)</v>
      </c>
      <c r="N477" t="str">
        <f t="shared" ref="N477:N479" si="18">J493</f>
        <v>36.14 (35.77 to 36.51)</v>
      </c>
      <c r="O477" t="str">
        <f t="shared" ref="O477:O479" si="19">J497</f>
        <v>36.01 (35.36 to 36.65)</v>
      </c>
    </row>
    <row r="478" spans="1:15" ht="17.25" thickBot="1" x14ac:dyDescent="0.35">
      <c r="A478" s="6"/>
      <c r="B478" s="3">
        <v>3</v>
      </c>
      <c r="C478" s="11" t="s">
        <v>117</v>
      </c>
      <c r="D478" s="2">
        <v>3319</v>
      </c>
      <c r="E478" s="2">
        <v>35.492114999999998</v>
      </c>
      <c r="F478" s="2">
        <v>0.15194099999999999</v>
      </c>
      <c r="G478" s="2">
        <v>35.194187399999997</v>
      </c>
      <c r="H478" s="2">
        <v>35.7900432</v>
      </c>
      <c r="J478" t="str">
        <f t="shared" si="14"/>
        <v>35.49 (35.19 to 35.79)</v>
      </c>
      <c r="K478" t="str">
        <f t="shared" si="15"/>
        <v>35.43 (35.12 to 35.73)</v>
      </c>
      <c r="L478" t="str">
        <f t="shared" si="16"/>
        <v>35.31 (35.01 to 35.61)</v>
      </c>
      <c r="M478" t="str">
        <f t="shared" si="17"/>
        <v>35.78 (35.48 to 36.07)</v>
      </c>
      <c r="N478" t="str">
        <f t="shared" si="18"/>
        <v>35.84 (35.54 to 36.14)</v>
      </c>
      <c r="O478" t="str">
        <f t="shared" si="19"/>
        <v>35.54 (34.95 to 36.14)</v>
      </c>
    </row>
    <row r="479" spans="1:15" ht="17.25" thickBot="1" x14ac:dyDescent="0.35">
      <c r="A479" s="6"/>
      <c r="B479" s="3">
        <v>4</v>
      </c>
      <c r="C479" s="11" t="s">
        <v>117</v>
      </c>
      <c r="D479" s="2">
        <v>3326</v>
      </c>
      <c r="E479" s="2">
        <v>35.107584000000003</v>
      </c>
      <c r="F479" s="2">
        <v>0.13917599999999999</v>
      </c>
      <c r="G479" s="2">
        <v>34.834686699999999</v>
      </c>
      <c r="H479" s="2">
        <v>35.380482299999997</v>
      </c>
      <c r="J479" t="str">
        <f t="shared" si="14"/>
        <v>35.11 (34.83 to 35.38)</v>
      </c>
      <c r="K479" t="str">
        <f t="shared" si="15"/>
        <v>35.31 (34.98 to 35.63)</v>
      </c>
      <c r="L479" t="str">
        <f t="shared" si="16"/>
        <v>34.99 (34.70 to 35.29)</v>
      </c>
      <c r="M479" t="str">
        <f t="shared" si="17"/>
        <v>35.19 (34.92 to 35.47)</v>
      </c>
      <c r="N479" t="str">
        <f t="shared" si="18"/>
        <v>35.41 (35.09 to 35.72)</v>
      </c>
      <c r="O479" t="str">
        <f t="shared" si="19"/>
        <v>34.70 (34.15 to 35.24)</v>
      </c>
    </row>
    <row r="480" spans="1:15" ht="17.25" thickBot="1" x14ac:dyDescent="0.35">
      <c r="A480" s="6">
        <v>2</v>
      </c>
      <c r="B480" s="3">
        <v>1</v>
      </c>
      <c r="C480" s="11" t="s">
        <v>117</v>
      </c>
      <c r="D480" s="2">
        <v>2174</v>
      </c>
      <c r="E480" s="2">
        <v>35.828108</v>
      </c>
      <c r="F480" s="2">
        <v>0.23103799999999999</v>
      </c>
      <c r="G480" s="2">
        <v>35.375085300000002</v>
      </c>
      <c r="H480" s="2">
        <v>36.281130099999999</v>
      </c>
      <c r="J480" t="str">
        <f t="shared" si="14"/>
        <v>35.83 (35.38 to 36.28)</v>
      </c>
    </row>
    <row r="481" spans="1:10" ht="17.25" thickBot="1" x14ac:dyDescent="0.35">
      <c r="A481" s="6"/>
      <c r="B481" s="3">
        <v>2</v>
      </c>
      <c r="C481" s="11" t="s">
        <v>117</v>
      </c>
      <c r="D481" s="2">
        <v>3356</v>
      </c>
      <c r="E481" s="2">
        <v>35.801585000000003</v>
      </c>
      <c r="F481" s="2">
        <v>0.19195899999999999</v>
      </c>
      <c r="G481" s="2">
        <v>35.425189600000003</v>
      </c>
      <c r="H481" s="2">
        <v>36.177980599999998</v>
      </c>
      <c r="J481" t="str">
        <f t="shared" si="14"/>
        <v>35.80 (35.43 to 36.18)</v>
      </c>
    </row>
    <row r="482" spans="1:10" ht="17.25" thickBot="1" x14ac:dyDescent="0.35">
      <c r="A482" s="6"/>
      <c r="B482" s="3">
        <v>3</v>
      </c>
      <c r="C482" s="11" t="s">
        <v>117</v>
      </c>
      <c r="D482" s="2">
        <v>3737</v>
      </c>
      <c r="E482" s="2">
        <v>35.425632</v>
      </c>
      <c r="F482" s="2">
        <v>0.15698799999999999</v>
      </c>
      <c r="G482" s="2">
        <v>35.117807399999997</v>
      </c>
      <c r="H482" s="2">
        <v>35.7334563</v>
      </c>
      <c r="J482" t="str">
        <f t="shared" si="14"/>
        <v>35.43 (35.12 to 35.73)</v>
      </c>
    </row>
    <row r="483" spans="1:10" ht="17.25" thickBot="1" x14ac:dyDescent="0.35">
      <c r="A483" s="6"/>
      <c r="B483" s="3">
        <v>4</v>
      </c>
      <c r="C483" s="11" t="s">
        <v>117</v>
      </c>
      <c r="D483" s="2">
        <v>3849</v>
      </c>
      <c r="E483" s="2">
        <v>35.306669999999997</v>
      </c>
      <c r="F483" s="2">
        <v>0.16516700000000001</v>
      </c>
      <c r="G483" s="2">
        <v>34.982809500000002</v>
      </c>
      <c r="H483" s="2">
        <v>35.630530800000003</v>
      </c>
      <c r="J483" t="str">
        <f t="shared" si="14"/>
        <v>35.31 (34.98 to 35.63)</v>
      </c>
    </row>
    <row r="484" spans="1:10" ht="17.25" thickBot="1" x14ac:dyDescent="0.35">
      <c r="A484" s="6">
        <v>3</v>
      </c>
      <c r="B484" s="3">
        <v>1</v>
      </c>
      <c r="C484" s="11" t="s">
        <v>117</v>
      </c>
      <c r="D484" s="2">
        <v>1765</v>
      </c>
      <c r="E484" s="2">
        <v>36.472669000000003</v>
      </c>
      <c r="F484" s="2">
        <v>0.24690699999999999</v>
      </c>
      <c r="G484" s="2">
        <v>35.988530300000001</v>
      </c>
      <c r="H484" s="2">
        <v>36.956808100000003</v>
      </c>
      <c r="J484" t="str">
        <f t="shared" si="14"/>
        <v>36.47 (35.99 to 36.96)</v>
      </c>
    </row>
    <row r="485" spans="1:10" ht="17.25" thickBot="1" x14ac:dyDescent="0.35">
      <c r="A485" s="6"/>
      <c r="B485" s="3">
        <v>2</v>
      </c>
      <c r="C485" s="11" t="s">
        <v>117</v>
      </c>
      <c r="D485" s="2">
        <v>2863</v>
      </c>
      <c r="E485" s="2">
        <v>35.480823999999998</v>
      </c>
      <c r="F485" s="2">
        <v>0.17347299999999999</v>
      </c>
      <c r="G485" s="2">
        <v>35.140676999999997</v>
      </c>
      <c r="H485" s="2">
        <v>35.820971399999998</v>
      </c>
      <c r="J485" t="str">
        <f t="shared" si="14"/>
        <v>35.48 (35.14 to 35.82)</v>
      </c>
    </row>
    <row r="486" spans="1:10" ht="17.25" thickBot="1" x14ac:dyDescent="0.35">
      <c r="A486" s="6"/>
      <c r="B486" s="3">
        <v>3</v>
      </c>
      <c r="C486" s="11" t="s">
        <v>117</v>
      </c>
      <c r="D486" s="2">
        <v>3314</v>
      </c>
      <c r="E486" s="2">
        <v>35.308343000000001</v>
      </c>
      <c r="F486" s="2">
        <v>0.151888</v>
      </c>
      <c r="G486" s="2">
        <v>35.010519700000003</v>
      </c>
      <c r="H486" s="2">
        <v>35.606165500000003</v>
      </c>
      <c r="J486" t="str">
        <f t="shared" si="14"/>
        <v>35.31 (35.01 to 35.61)</v>
      </c>
    </row>
    <row r="487" spans="1:10" ht="17.25" thickBot="1" x14ac:dyDescent="0.35">
      <c r="A487" s="6"/>
      <c r="B487" s="3">
        <v>4</v>
      </c>
      <c r="C487" s="11" t="s">
        <v>117</v>
      </c>
      <c r="D487" s="2">
        <v>3533</v>
      </c>
      <c r="E487" s="2">
        <v>34.991836999999997</v>
      </c>
      <c r="F487" s="2">
        <v>0.1502</v>
      </c>
      <c r="G487" s="2">
        <v>34.697322100000001</v>
      </c>
      <c r="H487" s="2">
        <v>35.286351500000002</v>
      </c>
      <c r="J487" t="str">
        <f t="shared" si="14"/>
        <v>34.99 (34.70 to 35.29)</v>
      </c>
    </row>
    <row r="488" spans="1:10" ht="17.25" thickBot="1" x14ac:dyDescent="0.35">
      <c r="A488" s="6">
        <v>4</v>
      </c>
      <c r="B488" s="3">
        <v>1</v>
      </c>
      <c r="C488" s="11" t="s">
        <v>117</v>
      </c>
      <c r="D488" s="2">
        <v>2304</v>
      </c>
      <c r="E488" s="2">
        <v>36.439895</v>
      </c>
      <c r="F488" s="2">
        <v>0.23377300000000001</v>
      </c>
      <c r="G488" s="2">
        <v>35.981509699999997</v>
      </c>
      <c r="H488" s="2">
        <v>36.898281300000001</v>
      </c>
      <c r="J488" t="str">
        <f t="shared" si="14"/>
        <v>36.44 (35.98 to 36.90)</v>
      </c>
    </row>
    <row r="489" spans="1:10" ht="17.25" thickBot="1" x14ac:dyDescent="0.35">
      <c r="A489" s="6"/>
      <c r="B489" s="3">
        <v>2</v>
      </c>
      <c r="C489" s="11" t="s">
        <v>117</v>
      </c>
      <c r="D489" s="2">
        <v>3403</v>
      </c>
      <c r="E489" s="2">
        <v>36.054743999999999</v>
      </c>
      <c r="F489" s="2">
        <v>0.160917</v>
      </c>
      <c r="G489" s="2">
        <v>35.739216499999998</v>
      </c>
      <c r="H489" s="2">
        <v>36.370272</v>
      </c>
      <c r="J489" t="str">
        <f t="shared" si="14"/>
        <v>36.05 (35.74 to 36.37)</v>
      </c>
    </row>
    <row r="490" spans="1:10" ht="17.25" thickBot="1" x14ac:dyDescent="0.35">
      <c r="A490" s="6"/>
      <c r="B490" s="3">
        <v>3</v>
      </c>
      <c r="C490" s="11" t="s">
        <v>117</v>
      </c>
      <c r="D490" s="2">
        <v>4062</v>
      </c>
      <c r="E490" s="2">
        <v>35.775176999999999</v>
      </c>
      <c r="F490" s="2">
        <v>0.14980599999999999</v>
      </c>
      <c r="G490" s="2">
        <v>35.481436899999999</v>
      </c>
      <c r="H490" s="2">
        <v>36.068918099999998</v>
      </c>
      <c r="J490" t="str">
        <f t="shared" si="14"/>
        <v>35.78 (35.48 to 36.07)</v>
      </c>
    </row>
    <row r="491" spans="1:10" ht="17.25" thickBot="1" x14ac:dyDescent="0.35">
      <c r="A491" s="6"/>
      <c r="B491" s="3">
        <v>4</v>
      </c>
      <c r="C491" s="11" t="s">
        <v>117</v>
      </c>
      <c r="D491" s="2">
        <v>4389</v>
      </c>
      <c r="E491" s="2">
        <v>35.194619000000003</v>
      </c>
      <c r="F491" s="2">
        <v>0.14070099999999999</v>
      </c>
      <c r="G491" s="2">
        <v>34.918730099999998</v>
      </c>
      <c r="H491" s="2">
        <v>35.4705078</v>
      </c>
      <c r="J491" t="str">
        <f t="shared" si="14"/>
        <v>35.19 (34.92 to 35.47)</v>
      </c>
    </row>
    <row r="492" spans="1:10" ht="17.25" thickBot="1" x14ac:dyDescent="0.35">
      <c r="A492" s="6">
        <v>5</v>
      </c>
      <c r="B492" s="3">
        <v>1</v>
      </c>
      <c r="C492" s="11" t="s">
        <v>117</v>
      </c>
      <c r="D492" s="2">
        <v>2058</v>
      </c>
      <c r="E492" s="2">
        <v>36.302616</v>
      </c>
      <c r="F492" s="2">
        <v>0.228213</v>
      </c>
      <c r="G492" s="2">
        <v>35.855132500000003</v>
      </c>
      <c r="H492" s="2">
        <v>36.7500991</v>
      </c>
      <c r="J492" t="str">
        <f t="shared" si="14"/>
        <v>36.30 (35.86 to 36.75)</v>
      </c>
    </row>
    <row r="493" spans="1:10" ht="17.25" thickBot="1" x14ac:dyDescent="0.35">
      <c r="A493" s="6"/>
      <c r="B493" s="3">
        <v>2</v>
      </c>
      <c r="C493" s="11" t="s">
        <v>117</v>
      </c>
      <c r="D493" s="2">
        <v>3220</v>
      </c>
      <c r="E493" s="2">
        <v>36.140039000000002</v>
      </c>
      <c r="F493" s="2">
        <v>0.18650700000000001</v>
      </c>
      <c r="G493" s="2">
        <v>35.774332700000002</v>
      </c>
      <c r="H493" s="2">
        <v>36.505744399999998</v>
      </c>
      <c r="J493" t="str">
        <f t="shared" si="14"/>
        <v>36.14 (35.77 to 36.51)</v>
      </c>
    </row>
    <row r="494" spans="1:10" ht="17.25" thickBot="1" x14ac:dyDescent="0.35">
      <c r="A494" s="6"/>
      <c r="B494" s="3">
        <v>3</v>
      </c>
      <c r="C494" s="11" t="s">
        <v>117</v>
      </c>
      <c r="D494" s="2">
        <v>3860</v>
      </c>
      <c r="E494" s="2">
        <v>35.837055999999997</v>
      </c>
      <c r="F494" s="2">
        <v>0.15336</v>
      </c>
      <c r="G494" s="2">
        <v>35.536346700000003</v>
      </c>
      <c r="H494" s="2">
        <v>36.137765700000003</v>
      </c>
      <c r="J494" t="str">
        <f t="shared" si="14"/>
        <v>35.84 (35.54 to 36.14)</v>
      </c>
    </row>
    <row r="495" spans="1:10" ht="17.25" thickBot="1" x14ac:dyDescent="0.35">
      <c r="A495" s="6"/>
      <c r="B495" s="3">
        <v>4</v>
      </c>
      <c r="C495" s="11" t="s">
        <v>117</v>
      </c>
      <c r="D495" s="2">
        <v>4417</v>
      </c>
      <c r="E495" s="2">
        <v>35.406613</v>
      </c>
      <c r="F495" s="2">
        <v>0.159608</v>
      </c>
      <c r="G495" s="2">
        <v>35.093652599999999</v>
      </c>
      <c r="H495" s="2">
        <v>35.719574100000003</v>
      </c>
      <c r="J495" t="str">
        <f t="shared" si="14"/>
        <v>35.41 (35.09 to 35.72)</v>
      </c>
    </row>
    <row r="496" spans="1:10" ht="17.25" thickBot="1" x14ac:dyDescent="0.35">
      <c r="A496" s="6">
        <v>6</v>
      </c>
      <c r="B496" s="3">
        <v>1</v>
      </c>
      <c r="C496" s="11" t="s">
        <v>117</v>
      </c>
      <c r="D496" s="2">
        <v>658</v>
      </c>
      <c r="E496" s="2">
        <v>34.965083999999997</v>
      </c>
      <c r="F496" s="2">
        <v>0.42527199999999998</v>
      </c>
      <c r="G496" s="2">
        <v>34.131205299999998</v>
      </c>
      <c r="H496" s="2">
        <v>35.798962400000001</v>
      </c>
      <c r="J496" t="str">
        <f t="shared" si="14"/>
        <v>34.97 (34.13 to 35.80)</v>
      </c>
    </row>
    <row r="497" spans="1:10" ht="17.25" thickBot="1" x14ac:dyDescent="0.35">
      <c r="A497" s="6"/>
      <c r="B497" s="3">
        <v>2</v>
      </c>
      <c r="C497" s="11" t="s">
        <v>117</v>
      </c>
      <c r="D497" s="2">
        <v>1028</v>
      </c>
      <c r="E497" s="2">
        <v>36.008800999999998</v>
      </c>
      <c r="F497" s="2">
        <v>0.32872099999999999</v>
      </c>
      <c r="G497" s="2">
        <v>35.364240899999999</v>
      </c>
      <c r="H497" s="2">
        <v>36.653360599999999</v>
      </c>
      <c r="J497" t="str">
        <f t="shared" si="14"/>
        <v>36.01 (35.36 to 36.65)</v>
      </c>
    </row>
    <row r="498" spans="1:10" ht="17.25" thickBot="1" x14ac:dyDescent="0.35">
      <c r="A498" s="6"/>
      <c r="B498" s="3">
        <v>3</v>
      </c>
      <c r="C498" s="11" t="s">
        <v>117</v>
      </c>
      <c r="D498" s="2">
        <v>1294</v>
      </c>
      <c r="E498" s="2">
        <v>35.541384999999998</v>
      </c>
      <c r="F498" s="2">
        <v>0.303846</v>
      </c>
      <c r="G498" s="2">
        <v>34.945599799999997</v>
      </c>
      <c r="H498" s="2">
        <v>36.137169299999996</v>
      </c>
      <c r="J498" t="str">
        <f t="shared" si="14"/>
        <v>35.54 (34.95 to 36.14)</v>
      </c>
    </row>
    <row r="499" spans="1:10" x14ac:dyDescent="0.3">
      <c r="A499" s="6"/>
      <c r="B499" s="3">
        <v>4</v>
      </c>
      <c r="C499" s="14" t="s">
        <v>117</v>
      </c>
      <c r="D499" s="2">
        <v>1436</v>
      </c>
      <c r="E499" s="2">
        <v>34.696874000000001</v>
      </c>
      <c r="F499" s="2">
        <v>0.27645900000000001</v>
      </c>
      <c r="G499" s="2">
        <v>34.154789800000003</v>
      </c>
      <c r="H499" s="2">
        <v>35.238958500000003</v>
      </c>
      <c r="J499" t="str">
        <f t="shared" si="14"/>
        <v>34.70 (34.15 to 35.24)</v>
      </c>
    </row>
    <row r="503" spans="1:10" x14ac:dyDescent="0.3">
      <c r="A503" s="1" t="s">
        <v>237</v>
      </c>
    </row>
    <row r="505" spans="1:10" x14ac:dyDescent="0.3">
      <c r="A505" s="1" t="s">
        <v>1</v>
      </c>
    </row>
    <row r="506" spans="1:10" ht="17.25" thickBot="1" x14ac:dyDescent="0.35"/>
    <row r="507" spans="1:10" ht="16.5" customHeight="1" x14ac:dyDescent="0.3">
      <c r="A507" s="16" t="s">
        <v>135</v>
      </c>
      <c r="B507" s="18"/>
    </row>
    <row r="508" spans="1:10" ht="26.25" thickBot="1" x14ac:dyDescent="0.35">
      <c r="A508" s="12" t="s">
        <v>136</v>
      </c>
      <c r="B508" s="2">
        <v>183</v>
      </c>
    </row>
    <row r="509" spans="1:10" ht="26.25" thickBot="1" x14ac:dyDescent="0.35">
      <c r="A509" s="12" t="s">
        <v>137</v>
      </c>
      <c r="B509" s="2">
        <v>2949</v>
      </c>
    </row>
    <row r="510" spans="1:10" ht="39" thickBot="1" x14ac:dyDescent="0.35">
      <c r="A510" s="12" t="s">
        <v>138</v>
      </c>
      <c r="B510" s="2">
        <v>23222</v>
      </c>
    </row>
    <row r="511" spans="1:10" ht="25.5" x14ac:dyDescent="0.3">
      <c r="A511" s="13" t="s">
        <v>139</v>
      </c>
      <c r="B511" s="2">
        <v>9036880.5199999996</v>
      </c>
    </row>
    <row r="512" spans="1:10" ht="17.25" thickBot="1" x14ac:dyDescent="0.35"/>
    <row r="513" spans="1:8" ht="33" customHeight="1" x14ac:dyDescent="0.3">
      <c r="A513" s="16" t="s">
        <v>140</v>
      </c>
      <c r="B513" s="18"/>
    </row>
    <row r="514" spans="1:8" ht="33.75" thickBot="1" x14ac:dyDescent="0.35">
      <c r="A514" s="12" t="s">
        <v>141</v>
      </c>
      <c r="B514" s="2" t="s">
        <v>142</v>
      </c>
    </row>
    <row r="515" spans="1:8" ht="25.5" x14ac:dyDescent="0.3">
      <c r="A515" s="13" t="s">
        <v>143</v>
      </c>
      <c r="B515" s="2" t="s">
        <v>144</v>
      </c>
    </row>
    <row r="516" spans="1:8" ht="17.25" thickBot="1" x14ac:dyDescent="0.35"/>
    <row r="517" spans="1:8" ht="16.5" customHeight="1" x14ac:dyDescent="0.3">
      <c r="A517" s="16" t="s">
        <v>238</v>
      </c>
      <c r="B517" s="18"/>
      <c r="C517" s="18"/>
      <c r="D517" s="18"/>
      <c r="E517" s="18"/>
      <c r="F517" s="18"/>
    </row>
    <row r="518" spans="1:8" ht="16.5" customHeight="1" x14ac:dyDescent="0.3">
      <c r="A518" s="17" t="s">
        <v>239</v>
      </c>
      <c r="B518" s="19" t="s">
        <v>94</v>
      </c>
      <c r="C518" s="19" t="s">
        <v>240</v>
      </c>
      <c r="D518" s="3" t="s">
        <v>241</v>
      </c>
      <c r="E518" s="19" t="s">
        <v>243</v>
      </c>
      <c r="F518" s="19"/>
    </row>
    <row r="519" spans="1:8" x14ac:dyDescent="0.3">
      <c r="A519" s="17"/>
      <c r="B519" s="19"/>
      <c r="C519" s="19"/>
      <c r="D519" s="3" t="s">
        <v>242</v>
      </c>
      <c r="E519" s="19"/>
      <c r="F519" s="19"/>
    </row>
    <row r="520" spans="1:8" x14ac:dyDescent="0.3">
      <c r="A520" s="13" t="s">
        <v>117</v>
      </c>
      <c r="B520" s="2">
        <v>23222</v>
      </c>
      <c r="C520" s="2">
        <v>33.805624000000002</v>
      </c>
      <c r="D520" s="2">
        <v>7.0877999999999997E-2</v>
      </c>
      <c r="E520" s="2">
        <v>33.666644300000002</v>
      </c>
      <c r="F520" s="2">
        <v>33.944603299999997</v>
      </c>
    </row>
    <row r="524" spans="1:8" x14ac:dyDescent="0.3">
      <c r="A524" s="1" t="s">
        <v>237</v>
      </c>
    </row>
    <row r="526" spans="1:8" x14ac:dyDescent="0.3">
      <c r="A526" s="1" t="s">
        <v>1</v>
      </c>
    </row>
    <row r="527" spans="1:8" ht="17.25" thickBot="1" x14ac:dyDescent="0.35"/>
    <row r="528" spans="1:8" ht="16.5" customHeight="1" x14ac:dyDescent="0.3">
      <c r="A528" s="16" t="s">
        <v>255</v>
      </c>
      <c r="B528" s="18"/>
      <c r="C528" s="18"/>
      <c r="D528" s="18"/>
      <c r="E528" s="18"/>
      <c r="F528" s="18"/>
      <c r="G528" s="18"/>
      <c r="H528" s="18"/>
    </row>
    <row r="529" spans="1:8" ht="16.5" customHeight="1" x14ac:dyDescent="0.3">
      <c r="A529" s="17" t="s">
        <v>249</v>
      </c>
      <c r="B529" s="19" t="s">
        <v>10</v>
      </c>
      <c r="C529" s="19" t="s">
        <v>239</v>
      </c>
      <c r="D529" s="19" t="s">
        <v>94</v>
      </c>
      <c r="E529" s="19" t="s">
        <v>240</v>
      </c>
      <c r="F529" s="3" t="s">
        <v>241</v>
      </c>
      <c r="G529" s="19" t="s">
        <v>243</v>
      </c>
      <c r="H529" s="19"/>
    </row>
    <row r="530" spans="1:8" x14ac:dyDescent="0.3">
      <c r="A530" s="17"/>
      <c r="B530" s="19"/>
      <c r="C530" s="19"/>
      <c r="D530" s="19"/>
      <c r="E530" s="19"/>
      <c r="F530" s="3" t="s">
        <v>242</v>
      </c>
      <c r="G530" s="19"/>
      <c r="H530" s="19"/>
    </row>
    <row r="531" spans="1:8" ht="17.25" thickBot="1" x14ac:dyDescent="0.35">
      <c r="A531" s="6">
        <v>1</v>
      </c>
      <c r="B531" s="3">
        <v>1</v>
      </c>
      <c r="C531" s="11" t="s">
        <v>117</v>
      </c>
      <c r="D531" s="2">
        <v>425</v>
      </c>
      <c r="E531" s="2">
        <v>23.995159999999998</v>
      </c>
      <c r="F531" s="2">
        <v>0.11990099999999999</v>
      </c>
      <c r="G531" s="2">
        <v>23.760054700000001</v>
      </c>
      <c r="H531" s="2">
        <v>24.2302648</v>
      </c>
    </row>
    <row r="532" spans="1:8" ht="17.25" thickBot="1" x14ac:dyDescent="0.35">
      <c r="A532" s="6"/>
      <c r="B532" s="3">
        <v>2</v>
      </c>
      <c r="C532" s="11" t="s">
        <v>117</v>
      </c>
      <c r="D532" s="2">
        <v>1532</v>
      </c>
      <c r="E532" s="2">
        <v>30.615127999999999</v>
      </c>
      <c r="F532" s="2">
        <v>0.106155</v>
      </c>
      <c r="G532" s="2">
        <v>30.4069781</v>
      </c>
      <c r="H532" s="2">
        <v>30.8232784</v>
      </c>
    </row>
    <row r="533" spans="1:8" ht="17.25" thickBot="1" x14ac:dyDescent="0.35">
      <c r="A533" s="6"/>
      <c r="B533" s="3">
        <v>3</v>
      </c>
      <c r="C533" s="11" t="s">
        <v>117</v>
      </c>
      <c r="D533" s="2">
        <v>735</v>
      </c>
      <c r="E533" s="2">
        <v>36.438031000000002</v>
      </c>
      <c r="F533" s="2">
        <v>0.143763</v>
      </c>
      <c r="G533" s="2">
        <v>36.156137600000001</v>
      </c>
      <c r="H533" s="2">
        <v>36.7199235</v>
      </c>
    </row>
    <row r="534" spans="1:8" ht="17.25" thickBot="1" x14ac:dyDescent="0.35">
      <c r="A534" s="6"/>
      <c r="B534" s="3">
        <v>4</v>
      </c>
      <c r="C534" s="11" t="s">
        <v>117</v>
      </c>
      <c r="D534" s="2">
        <v>1048</v>
      </c>
      <c r="E534" s="2">
        <v>42.949154</v>
      </c>
      <c r="F534" s="2">
        <v>0.21773799999999999</v>
      </c>
      <c r="G534" s="2">
        <v>42.522207899999998</v>
      </c>
      <c r="H534" s="2">
        <v>43.376100600000001</v>
      </c>
    </row>
    <row r="535" spans="1:8" ht="17.25" thickBot="1" x14ac:dyDescent="0.35">
      <c r="A535" s="6">
        <v>2</v>
      </c>
      <c r="B535" s="3">
        <v>1</v>
      </c>
      <c r="C535" s="11" t="s">
        <v>117</v>
      </c>
      <c r="D535" s="2">
        <v>810</v>
      </c>
      <c r="E535" s="2">
        <v>23.703783000000001</v>
      </c>
      <c r="F535" s="2">
        <v>0.10392</v>
      </c>
      <c r="G535" s="2">
        <v>23.500014100000001</v>
      </c>
      <c r="H535" s="2">
        <v>23.907551399999999</v>
      </c>
    </row>
    <row r="536" spans="1:8" ht="17.25" thickBot="1" x14ac:dyDescent="0.35">
      <c r="A536" s="6"/>
      <c r="B536" s="3">
        <v>2</v>
      </c>
      <c r="C536" s="11" t="s">
        <v>117</v>
      </c>
      <c r="D536" s="2">
        <v>1935</v>
      </c>
      <c r="E536" s="2">
        <v>29.940152000000001</v>
      </c>
      <c r="F536" s="2">
        <v>8.9818999999999996E-2</v>
      </c>
      <c r="G536" s="2">
        <v>29.764032400000001</v>
      </c>
      <c r="H536" s="2">
        <v>30.116272299999999</v>
      </c>
    </row>
    <row r="537" spans="1:8" ht="17.25" thickBot="1" x14ac:dyDescent="0.35">
      <c r="A537" s="6"/>
      <c r="B537" s="3">
        <v>3</v>
      </c>
      <c r="C537" s="11" t="s">
        <v>117</v>
      </c>
      <c r="D537" s="2">
        <v>864</v>
      </c>
      <c r="E537" s="2">
        <v>35.710268999999997</v>
      </c>
      <c r="F537" s="2">
        <v>0.138514</v>
      </c>
      <c r="G537" s="2">
        <v>35.438668700000001</v>
      </c>
      <c r="H537" s="2">
        <v>35.981870200000003</v>
      </c>
    </row>
    <row r="538" spans="1:8" ht="17.25" thickBot="1" x14ac:dyDescent="0.35">
      <c r="A538" s="6"/>
      <c r="B538" s="3">
        <v>4</v>
      </c>
      <c r="C538" s="11" t="s">
        <v>117</v>
      </c>
      <c r="D538" s="2">
        <v>1123</v>
      </c>
      <c r="E538" s="2">
        <v>42.687753999999998</v>
      </c>
      <c r="F538" s="2">
        <v>0.22378999999999999</v>
      </c>
      <c r="G538" s="2">
        <v>42.248940900000001</v>
      </c>
      <c r="H538" s="2">
        <v>43.1265663</v>
      </c>
    </row>
    <row r="539" spans="1:8" ht="17.25" thickBot="1" x14ac:dyDescent="0.35">
      <c r="A539" s="6">
        <v>3</v>
      </c>
      <c r="B539" s="3">
        <v>1</v>
      </c>
      <c r="C539" s="11" t="s">
        <v>117</v>
      </c>
      <c r="D539" s="2">
        <v>522</v>
      </c>
      <c r="E539" s="2">
        <v>23.860792</v>
      </c>
      <c r="F539" s="2">
        <v>0.108803</v>
      </c>
      <c r="G539" s="2">
        <v>23.647448799999999</v>
      </c>
      <c r="H539" s="2">
        <v>24.074134900000001</v>
      </c>
    </row>
    <row r="540" spans="1:8" ht="17.25" thickBot="1" x14ac:dyDescent="0.35">
      <c r="A540" s="6"/>
      <c r="B540" s="3">
        <v>2</v>
      </c>
      <c r="C540" s="11" t="s">
        <v>117</v>
      </c>
      <c r="D540" s="2">
        <v>1728</v>
      </c>
      <c r="E540" s="2">
        <v>30.034351000000001</v>
      </c>
      <c r="F540" s="2">
        <v>9.3198000000000003E-2</v>
      </c>
      <c r="G540" s="2">
        <v>29.8516072</v>
      </c>
      <c r="H540" s="2">
        <v>30.217095100000002</v>
      </c>
    </row>
    <row r="541" spans="1:8" ht="17.25" thickBot="1" x14ac:dyDescent="0.35">
      <c r="A541" s="6"/>
      <c r="B541" s="3">
        <v>3</v>
      </c>
      <c r="C541" s="11" t="s">
        <v>117</v>
      </c>
      <c r="D541" s="2">
        <v>831</v>
      </c>
      <c r="E541" s="2">
        <v>35.633327000000001</v>
      </c>
      <c r="F541" s="2">
        <v>0.13527700000000001</v>
      </c>
      <c r="G541" s="2">
        <v>35.368072099999999</v>
      </c>
      <c r="H541" s="2">
        <v>35.898581700000001</v>
      </c>
    </row>
    <row r="542" spans="1:8" ht="17.25" thickBot="1" x14ac:dyDescent="0.35">
      <c r="A542" s="6"/>
      <c r="B542" s="3">
        <v>4</v>
      </c>
      <c r="C542" s="11" t="s">
        <v>117</v>
      </c>
      <c r="D542" s="2">
        <v>1176</v>
      </c>
      <c r="E542" s="2">
        <v>42.808239999999998</v>
      </c>
      <c r="F542" s="2">
        <v>0.21659999999999999</v>
      </c>
      <c r="G542" s="2">
        <v>42.383524899999998</v>
      </c>
      <c r="H542" s="2">
        <v>43.232954800000002</v>
      </c>
    </row>
    <row r="543" spans="1:8" ht="17.25" thickBot="1" x14ac:dyDescent="0.35">
      <c r="A543" s="6">
        <v>4</v>
      </c>
      <c r="B543" s="3">
        <v>1</v>
      </c>
      <c r="C543" s="11" t="s">
        <v>117</v>
      </c>
      <c r="D543" s="2">
        <v>622</v>
      </c>
      <c r="E543" s="2">
        <v>23.678374000000002</v>
      </c>
      <c r="F543" s="2">
        <v>0.109205</v>
      </c>
      <c r="G543" s="2">
        <v>23.464242599999999</v>
      </c>
      <c r="H543" s="2">
        <v>23.8925053</v>
      </c>
    </row>
    <row r="544" spans="1:8" ht="17.25" thickBot="1" x14ac:dyDescent="0.35">
      <c r="A544" s="6"/>
      <c r="B544" s="3">
        <v>2</v>
      </c>
      <c r="C544" s="11" t="s">
        <v>117</v>
      </c>
      <c r="D544" s="2">
        <v>1798</v>
      </c>
      <c r="E544" s="2">
        <v>30.009056000000001</v>
      </c>
      <c r="F544" s="2">
        <v>9.2766000000000001E-2</v>
      </c>
      <c r="G544" s="2">
        <v>29.827159600000002</v>
      </c>
      <c r="H544" s="2">
        <v>30.190952899999999</v>
      </c>
    </row>
    <row r="545" spans="1:8" ht="17.25" thickBot="1" x14ac:dyDescent="0.35">
      <c r="A545" s="6"/>
      <c r="B545" s="3">
        <v>3</v>
      </c>
      <c r="C545" s="11" t="s">
        <v>117</v>
      </c>
      <c r="D545" s="2">
        <v>828</v>
      </c>
      <c r="E545" s="2">
        <v>36.125945999999999</v>
      </c>
      <c r="F545" s="2">
        <v>0.192103</v>
      </c>
      <c r="G545" s="2">
        <v>35.749266800000001</v>
      </c>
      <c r="H545" s="2">
        <v>36.502625799999997</v>
      </c>
    </row>
    <row r="546" spans="1:8" ht="17.25" thickBot="1" x14ac:dyDescent="0.35">
      <c r="A546" s="6"/>
      <c r="B546" s="3">
        <v>4</v>
      </c>
      <c r="C546" s="11" t="s">
        <v>117</v>
      </c>
      <c r="D546" s="2">
        <v>1308</v>
      </c>
      <c r="E546" s="2">
        <v>42.832659</v>
      </c>
      <c r="F546" s="2">
        <v>0.211978</v>
      </c>
      <c r="G546" s="2">
        <v>42.417007900000002</v>
      </c>
      <c r="H546" s="2">
        <v>43.248311000000001</v>
      </c>
    </row>
    <row r="547" spans="1:8" ht="17.25" thickBot="1" x14ac:dyDescent="0.35">
      <c r="A547" s="6">
        <v>5</v>
      </c>
      <c r="B547" s="3">
        <v>1</v>
      </c>
      <c r="C547" s="11" t="s">
        <v>117</v>
      </c>
      <c r="D547" s="2">
        <v>506</v>
      </c>
      <c r="E547" s="2">
        <v>23.706762000000001</v>
      </c>
      <c r="F547" s="2">
        <v>0.122187</v>
      </c>
      <c r="G547" s="2">
        <v>23.467175099999999</v>
      </c>
      <c r="H547" s="2">
        <v>23.946348400000002</v>
      </c>
    </row>
    <row r="548" spans="1:8" ht="17.25" thickBot="1" x14ac:dyDescent="0.35">
      <c r="A548" s="6"/>
      <c r="B548" s="3">
        <v>2</v>
      </c>
      <c r="C548" s="11" t="s">
        <v>117</v>
      </c>
      <c r="D548" s="2">
        <v>1782</v>
      </c>
      <c r="E548" s="2">
        <v>30.086385</v>
      </c>
      <c r="F548" s="2">
        <v>0.101908</v>
      </c>
      <c r="G548" s="2">
        <v>29.886561</v>
      </c>
      <c r="H548" s="2">
        <v>30.286208999999999</v>
      </c>
    </row>
    <row r="549" spans="1:8" ht="17.25" thickBot="1" x14ac:dyDescent="0.35">
      <c r="A549" s="6"/>
      <c r="B549" s="3">
        <v>3</v>
      </c>
      <c r="C549" s="11" t="s">
        <v>117</v>
      </c>
      <c r="D549" s="2">
        <v>837</v>
      </c>
      <c r="E549" s="2">
        <v>35.796931000000001</v>
      </c>
      <c r="F549" s="2">
        <v>0.13027</v>
      </c>
      <c r="G549" s="2">
        <v>35.541494700000001</v>
      </c>
      <c r="H549" s="2">
        <v>36.052368000000001</v>
      </c>
    </row>
    <row r="550" spans="1:8" ht="17.25" thickBot="1" x14ac:dyDescent="0.35">
      <c r="A550" s="6"/>
      <c r="B550" s="3">
        <v>4</v>
      </c>
      <c r="C550" s="11" t="s">
        <v>117</v>
      </c>
      <c r="D550" s="2">
        <v>1376</v>
      </c>
      <c r="E550" s="2">
        <v>43.232104</v>
      </c>
      <c r="F550" s="2">
        <v>0.23732200000000001</v>
      </c>
      <c r="G550" s="2">
        <v>42.7667571</v>
      </c>
      <c r="H550" s="2">
        <v>43.697451000000001</v>
      </c>
    </row>
    <row r="551" spans="1:8" ht="17.25" thickBot="1" x14ac:dyDescent="0.35">
      <c r="A551" s="6">
        <v>6</v>
      </c>
      <c r="B551" s="3">
        <v>1</v>
      </c>
      <c r="C551" s="11" t="s">
        <v>117</v>
      </c>
      <c r="D551" s="2">
        <v>176</v>
      </c>
      <c r="E551" s="2">
        <v>22.439629</v>
      </c>
      <c r="F551" s="2">
        <v>0.17377999999999999</v>
      </c>
      <c r="G551" s="2">
        <v>22.0988769</v>
      </c>
      <c r="H551" s="2">
        <v>22.780381999999999</v>
      </c>
    </row>
    <row r="552" spans="1:8" ht="17.25" thickBot="1" x14ac:dyDescent="0.35">
      <c r="A552" s="6"/>
      <c r="B552" s="3">
        <v>2</v>
      </c>
      <c r="C552" s="11" t="s">
        <v>117</v>
      </c>
      <c r="D552" s="2">
        <v>549</v>
      </c>
      <c r="E552" s="2">
        <v>28.871914</v>
      </c>
      <c r="F552" s="2">
        <v>0.14460799999999999</v>
      </c>
      <c r="G552" s="2">
        <v>28.588363399999999</v>
      </c>
      <c r="H552" s="2">
        <v>29.1554641</v>
      </c>
    </row>
    <row r="553" spans="1:8" ht="17.25" thickBot="1" x14ac:dyDescent="0.35">
      <c r="A553" s="6"/>
      <c r="B553" s="3">
        <v>3</v>
      </c>
      <c r="C553" s="11" t="s">
        <v>117</v>
      </c>
      <c r="D553" s="2">
        <v>286</v>
      </c>
      <c r="E553" s="2">
        <v>34.677430999999999</v>
      </c>
      <c r="F553" s="2">
        <v>0.246008</v>
      </c>
      <c r="G553" s="2">
        <v>34.195053999999999</v>
      </c>
      <c r="H553" s="2">
        <v>35.159807899999997</v>
      </c>
    </row>
    <row r="554" spans="1:8" x14ac:dyDescent="0.3">
      <c r="A554" s="6"/>
      <c r="B554" s="3">
        <v>4</v>
      </c>
      <c r="C554" s="14" t="s">
        <v>117</v>
      </c>
      <c r="D554" s="2">
        <v>425</v>
      </c>
      <c r="E554" s="2">
        <v>43.039437</v>
      </c>
      <c r="F554" s="2">
        <v>0.42199900000000001</v>
      </c>
      <c r="G554" s="2">
        <v>42.211971699999999</v>
      </c>
      <c r="H554" s="2">
        <v>43.866902199999998</v>
      </c>
    </row>
    <row r="558" spans="1:8" x14ac:dyDescent="0.3">
      <c r="A558" s="1" t="s">
        <v>237</v>
      </c>
    </row>
    <row r="560" spans="1:8" x14ac:dyDescent="0.3">
      <c r="A560" s="1" t="s">
        <v>21</v>
      </c>
    </row>
    <row r="561" spans="1:6" ht="17.25" thickBot="1" x14ac:dyDescent="0.35"/>
    <row r="562" spans="1:6" ht="16.5" customHeight="1" x14ac:dyDescent="0.3">
      <c r="A562" s="16" t="s">
        <v>135</v>
      </c>
      <c r="B562" s="18"/>
    </row>
    <row r="563" spans="1:6" ht="26.25" thickBot="1" x14ac:dyDescent="0.35">
      <c r="A563" s="12" t="s">
        <v>136</v>
      </c>
      <c r="B563" s="2">
        <v>183</v>
      </c>
    </row>
    <row r="564" spans="1:6" ht="26.25" thickBot="1" x14ac:dyDescent="0.35">
      <c r="A564" s="12" t="s">
        <v>137</v>
      </c>
      <c r="B564" s="2">
        <v>2982</v>
      </c>
    </row>
    <row r="565" spans="1:6" ht="39" thickBot="1" x14ac:dyDescent="0.35">
      <c r="A565" s="12" t="s">
        <v>138</v>
      </c>
      <c r="B565" s="2">
        <v>68635</v>
      </c>
    </row>
    <row r="566" spans="1:6" ht="25.5" x14ac:dyDescent="0.3">
      <c r="A566" s="13" t="s">
        <v>139</v>
      </c>
      <c r="B566" s="2">
        <v>30251935.699999999</v>
      </c>
    </row>
    <row r="567" spans="1:6" ht="17.25" thickBot="1" x14ac:dyDescent="0.35"/>
    <row r="568" spans="1:6" ht="33" customHeight="1" x14ac:dyDescent="0.3">
      <c r="A568" s="16" t="s">
        <v>140</v>
      </c>
      <c r="B568" s="18"/>
    </row>
    <row r="569" spans="1:6" ht="33.75" thickBot="1" x14ac:dyDescent="0.35">
      <c r="A569" s="12" t="s">
        <v>141</v>
      </c>
      <c r="B569" s="2" t="s">
        <v>142</v>
      </c>
    </row>
    <row r="570" spans="1:6" ht="25.5" x14ac:dyDescent="0.3">
      <c r="A570" s="13" t="s">
        <v>143</v>
      </c>
      <c r="B570" s="2" t="s">
        <v>144</v>
      </c>
    </row>
    <row r="571" spans="1:6" ht="17.25" thickBot="1" x14ac:dyDescent="0.35"/>
    <row r="572" spans="1:6" ht="16.5" customHeight="1" x14ac:dyDescent="0.3">
      <c r="A572" s="16" t="s">
        <v>238</v>
      </c>
      <c r="B572" s="18"/>
      <c r="C572" s="18"/>
      <c r="D572" s="18"/>
      <c r="E572" s="18"/>
      <c r="F572" s="18"/>
    </row>
    <row r="573" spans="1:6" ht="16.5" customHeight="1" x14ac:dyDescent="0.3">
      <c r="A573" s="17" t="s">
        <v>239</v>
      </c>
      <c r="B573" s="19" t="s">
        <v>94</v>
      </c>
      <c r="C573" s="19" t="s">
        <v>240</v>
      </c>
      <c r="D573" s="3" t="s">
        <v>241</v>
      </c>
      <c r="E573" s="19" t="s">
        <v>243</v>
      </c>
      <c r="F573" s="19"/>
    </row>
    <row r="574" spans="1:6" x14ac:dyDescent="0.3">
      <c r="A574" s="17"/>
      <c r="B574" s="19"/>
      <c r="C574" s="19"/>
      <c r="D574" s="3" t="s">
        <v>242</v>
      </c>
      <c r="E574" s="19"/>
      <c r="F574" s="19"/>
    </row>
    <row r="575" spans="1:6" x14ac:dyDescent="0.3">
      <c r="A575" s="13" t="s">
        <v>117</v>
      </c>
      <c r="B575" s="2">
        <v>68635</v>
      </c>
      <c r="C575" s="2">
        <v>35.601097000000003</v>
      </c>
      <c r="D575" s="2">
        <v>3.8943999999999999E-2</v>
      </c>
      <c r="E575" s="2">
        <v>35.524735800000002</v>
      </c>
      <c r="F575" s="2">
        <v>35.677458399999999</v>
      </c>
    </row>
    <row r="579" spans="1:15" x14ac:dyDescent="0.3">
      <c r="A579" s="1" t="s">
        <v>237</v>
      </c>
    </row>
    <row r="581" spans="1:15" x14ac:dyDescent="0.3">
      <c r="A581" s="1" t="s">
        <v>21</v>
      </c>
    </row>
    <row r="582" spans="1:15" ht="17.25" thickBot="1" x14ac:dyDescent="0.35"/>
    <row r="583" spans="1:15" ht="16.5" customHeight="1" x14ac:dyDescent="0.3">
      <c r="A583" s="16" t="s">
        <v>255</v>
      </c>
      <c r="B583" s="18"/>
      <c r="C583" s="18"/>
      <c r="D583" s="18"/>
      <c r="E583" s="18"/>
      <c r="F583" s="18"/>
      <c r="G583" s="18"/>
      <c r="H583" s="18"/>
    </row>
    <row r="584" spans="1:15" ht="16.5" customHeight="1" x14ac:dyDescent="0.3">
      <c r="A584" s="17" t="s">
        <v>249</v>
      </c>
      <c r="B584" s="19" t="s">
        <v>10</v>
      </c>
      <c r="C584" s="19" t="s">
        <v>239</v>
      </c>
      <c r="D584" s="19" t="s">
        <v>94</v>
      </c>
      <c r="E584" s="19" t="s">
        <v>240</v>
      </c>
      <c r="F584" s="3" t="s">
        <v>241</v>
      </c>
      <c r="G584" s="19" t="s">
        <v>243</v>
      </c>
      <c r="H584" s="19"/>
    </row>
    <row r="585" spans="1:15" x14ac:dyDescent="0.3">
      <c r="A585" s="17"/>
      <c r="B585" s="19"/>
      <c r="C585" s="19"/>
      <c r="D585" s="19"/>
      <c r="E585" s="19"/>
      <c r="F585" s="3" t="s">
        <v>242</v>
      </c>
      <c r="G585" s="19"/>
      <c r="H585" s="19"/>
    </row>
    <row r="586" spans="1:15" ht="17.25" thickBot="1" x14ac:dyDescent="0.35">
      <c r="A586" s="6">
        <v>1</v>
      </c>
      <c r="B586" s="3">
        <v>1</v>
      </c>
      <c r="C586" s="11" t="s">
        <v>117</v>
      </c>
      <c r="D586" s="2">
        <v>533</v>
      </c>
      <c r="E586" s="2">
        <v>24.433011</v>
      </c>
      <c r="F586" s="2">
        <v>0.107963</v>
      </c>
      <c r="G586" s="2">
        <v>24.221315499999999</v>
      </c>
      <c r="H586" s="2">
        <v>24.644705699999999</v>
      </c>
      <c r="J586" t="str">
        <f t="shared" ref="J586:J609" si="20">TEXT(E586,"0.00")&amp;" ("&amp;TEXT(G586,"0.00")&amp;" to "&amp;TEXT(H586,"0.00")&amp;")"</f>
        <v>24.43 (24.22 to 24.64)</v>
      </c>
      <c r="K586" t="str">
        <f>J590</f>
        <v>24.18 (23.96 to 24.40)</v>
      </c>
      <c r="L586" t="str">
        <f>J594</f>
        <v>24.11 (23.90 to 24.31)</v>
      </c>
      <c r="M586" t="str">
        <f>J598</f>
        <v>24.02 (23.80 to 24.23)</v>
      </c>
      <c r="N586" t="str">
        <f>J602</f>
        <v>23.77 (23.56 to 23.97)</v>
      </c>
      <c r="O586" t="str">
        <f>J606</f>
        <v>22.86 (22.57 to 23.15)</v>
      </c>
    </row>
    <row r="587" spans="1:15" ht="17.25" thickBot="1" x14ac:dyDescent="0.35">
      <c r="A587" s="6"/>
      <c r="B587" s="3">
        <v>2</v>
      </c>
      <c r="C587" s="11" t="s">
        <v>117</v>
      </c>
      <c r="D587" s="2">
        <v>4653</v>
      </c>
      <c r="E587" s="2">
        <v>30.640039999999999</v>
      </c>
      <c r="F587" s="2">
        <v>6.6554000000000002E-2</v>
      </c>
      <c r="G587" s="2">
        <v>30.509541299999999</v>
      </c>
      <c r="H587" s="2">
        <v>30.770539200000002</v>
      </c>
      <c r="J587" t="str">
        <f t="shared" si="20"/>
        <v>30.64 (30.51 to 30.77)</v>
      </c>
      <c r="K587" t="str">
        <f t="shared" ref="K587:K589" si="21">J591</f>
        <v>30.39 (30.26 to 30.52)</v>
      </c>
      <c r="L587" t="str">
        <f t="shared" ref="L587:L589" si="22">J595</f>
        <v>30.16 (30.04 to 30.27)</v>
      </c>
      <c r="M587" t="str">
        <f t="shared" ref="M587:M589" si="23">J599</f>
        <v>30.18 (30.07 to 30.30)</v>
      </c>
      <c r="N587" t="str">
        <f t="shared" ref="N587:N589" si="24">J603</f>
        <v>29.88 (29.77 to 30.00)</v>
      </c>
      <c r="O587" t="str">
        <f t="shared" ref="O587:O589" si="25">J607</f>
        <v>29.09 (28.88 to 29.30)</v>
      </c>
    </row>
    <row r="588" spans="1:15" ht="17.25" thickBot="1" x14ac:dyDescent="0.35">
      <c r="A588" s="6"/>
      <c r="B588" s="3">
        <v>3</v>
      </c>
      <c r="C588" s="11" t="s">
        <v>117</v>
      </c>
      <c r="D588" s="2">
        <v>2958</v>
      </c>
      <c r="E588" s="2">
        <v>36.266773000000001</v>
      </c>
      <c r="F588" s="2">
        <v>6.8075999999999998E-2</v>
      </c>
      <c r="G588" s="2">
        <v>36.1332886</v>
      </c>
      <c r="H588" s="2">
        <v>36.400258200000003</v>
      </c>
      <c r="J588" t="str">
        <f t="shared" si="20"/>
        <v>36.27 (36.13 to 36.40)</v>
      </c>
      <c r="K588" t="str">
        <f t="shared" si="21"/>
        <v>36.09 (35.93 to 36.26)</v>
      </c>
      <c r="L588" t="str">
        <f t="shared" si="22"/>
        <v>35.84 (35.68 to 36.00)</v>
      </c>
      <c r="M588" t="str">
        <f t="shared" si="23"/>
        <v>35.99 (35.83 to 36.16)</v>
      </c>
      <c r="N588" t="str">
        <f t="shared" si="24"/>
        <v>35.57 (35.43 to 35.71)</v>
      </c>
      <c r="O588" t="str">
        <f t="shared" si="25"/>
        <v>34.68 (34.43 to 34.93)</v>
      </c>
    </row>
    <row r="589" spans="1:15" ht="17.25" thickBot="1" x14ac:dyDescent="0.35">
      <c r="A589" s="6"/>
      <c r="B589" s="3">
        <v>4</v>
      </c>
      <c r="C589" s="11" t="s">
        <v>117</v>
      </c>
      <c r="D589" s="2">
        <v>3771</v>
      </c>
      <c r="E589" s="2">
        <v>42.806896999999999</v>
      </c>
      <c r="F589" s="2">
        <v>0.106445</v>
      </c>
      <c r="G589" s="2">
        <v>42.598178400000002</v>
      </c>
      <c r="H589" s="2">
        <v>43.015615799999999</v>
      </c>
      <c r="J589" t="str">
        <f t="shared" si="20"/>
        <v>42.81 (42.60 to 43.02)</v>
      </c>
      <c r="K589" t="str">
        <f t="shared" si="21"/>
        <v>42.90 (42.66 to 43.14)</v>
      </c>
      <c r="L589" t="str">
        <f t="shared" si="22"/>
        <v>43.10 (42.87 to 43.34)</v>
      </c>
      <c r="M589" t="str">
        <f t="shared" si="23"/>
        <v>43.07 (42.86 to 43.29)</v>
      </c>
      <c r="N589" t="str">
        <f t="shared" si="24"/>
        <v>43.08 (42.85 to 43.30)</v>
      </c>
      <c r="O589" t="str">
        <f t="shared" si="25"/>
        <v>42.71 (42.32 to 43.11)</v>
      </c>
    </row>
    <row r="590" spans="1:15" ht="17.25" thickBot="1" x14ac:dyDescent="0.35">
      <c r="A590" s="6">
        <v>2</v>
      </c>
      <c r="B590" s="3">
        <v>1</v>
      </c>
      <c r="C590" s="11" t="s">
        <v>117</v>
      </c>
      <c r="D590" s="2">
        <v>525</v>
      </c>
      <c r="E590" s="2">
        <v>24.179382</v>
      </c>
      <c r="F590" s="2">
        <v>0.11362999999999999</v>
      </c>
      <c r="G590" s="2">
        <v>23.956574400000001</v>
      </c>
      <c r="H590" s="2">
        <v>24.4021905</v>
      </c>
      <c r="J590" t="str">
        <f t="shared" si="20"/>
        <v>24.18 (23.96 to 24.40)</v>
      </c>
    </row>
    <row r="591" spans="1:15" ht="17.25" thickBot="1" x14ac:dyDescent="0.35">
      <c r="A591" s="6"/>
      <c r="B591" s="3">
        <v>2</v>
      </c>
      <c r="C591" s="11" t="s">
        <v>117</v>
      </c>
      <c r="D591" s="2">
        <v>5258</v>
      </c>
      <c r="E591" s="2">
        <v>30.389561</v>
      </c>
      <c r="F591" s="2">
        <v>6.4210000000000003E-2</v>
      </c>
      <c r="G591" s="2">
        <v>30.263657500000001</v>
      </c>
      <c r="H591" s="2">
        <v>30.5154648</v>
      </c>
      <c r="J591" t="str">
        <f t="shared" si="20"/>
        <v>30.39 (30.26 to 30.52)</v>
      </c>
    </row>
    <row r="592" spans="1:15" ht="17.25" thickBot="1" x14ac:dyDescent="0.35">
      <c r="A592" s="6"/>
      <c r="B592" s="3">
        <v>3</v>
      </c>
      <c r="C592" s="11" t="s">
        <v>117</v>
      </c>
      <c r="D592" s="2">
        <v>3114</v>
      </c>
      <c r="E592" s="2">
        <v>36.094960999999998</v>
      </c>
      <c r="F592" s="2">
        <v>8.3392999999999995E-2</v>
      </c>
      <c r="G592" s="2">
        <v>35.931443199999997</v>
      </c>
      <c r="H592" s="2">
        <v>36.258478099999998</v>
      </c>
      <c r="J592" t="str">
        <f t="shared" si="20"/>
        <v>36.09 (35.93 to 36.26)</v>
      </c>
    </row>
    <row r="593" spans="1:10" ht="17.25" thickBot="1" x14ac:dyDescent="0.35">
      <c r="A593" s="6"/>
      <c r="B593" s="3">
        <v>4</v>
      </c>
      <c r="C593" s="11" t="s">
        <v>117</v>
      </c>
      <c r="D593" s="2">
        <v>4219</v>
      </c>
      <c r="E593" s="2">
        <v>42.901297999999997</v>
      </c>
      <c r="F593" s="2">
        <v>0.123473</v>
      </c>
      <c r="G593" s="2">
        <v>42.659191499999999</v>
      </c>
      <c r="H593" s="2">
        <v>43.143404699999998</v>
      </c>
      <c r="J593" t="str">
        <f t="shared" si="20"/>
        <v>42.90 (42.66 to 43.14)</v>
      </c>
    </row>
    <row r="594" spans="1:10" ht="17.25" thickBot="1" x14ac:dyDescent="0.35">
      <c r="A594" s="6">
        <v>3</v>
      </c>
      <c r="B594" s="3">
        <v>1</v>
      </c>
      <c r="C594" s="11" t="s">
        <v>117</v>
      </c>
      <c r="D594" s="2">
        <v>454</v>
      </c>
      <c r="E594" s="2">
        <v>24.106282</v>
      </c>
      <c r="F594" s="2">
        <v>0.105737</v>
      </c>
      <c r="G594" s="2">
        <v>23.898951799999999</v>
      </c>
      <c r="H594" s="2">
        <v>24.313611999999999</v>
      </c>
      <c r="J594" t="str">
        <f t="shared" si="20"/>
        <v>24.11 (23.90 to 24.31)</v>
      </c>
    </row>
    <row r="595" spans="1:10" ht="17.25" thickBot="1" x14ac:dyDescent="0.35">
      <c r="A595" s="6"/>
      <c r="B595" s="3">
        <v>2</v>
      </c>
      <c r="C595" s="11" t="s">
        <v>117</v>
      </c>
      <c r="D595" s="2">
        <v>4525</v>
      </c>
      <c r="E595" s="2">
        <v>30.157330999999999</v>
      </c>
      <c r="F595" s="2">
        <v>5.8194000000000003E-2</v>
      </c>
      <c r="G595" s="2">
        <v>30.043224299999999</v>
      </c>
      <c r="H595" s="2">
        <v>30.2714386</v>
      </c>
      <c r="J595" t="str">
        <f t="shared" si="20"/>
        <v>30.16 (30.04 to 30.27)</v>
      </c>
    </row>
    <row r="596" spans="1:10" ht="17.25" thickBot="1" x14ac:dyDescent="0.35">
      <c r="A596" s="6"/>
      <c r="B596" s="3">
        <v>3</v>
      </c>
      <c r="C596" s="11" t="s">
        <v>117</v>
      </c>
      <c r="D596" s="2">
        <v>2758</v>
      </c>
      <c r="E596" s="2">
        <v>35.841278000000003</v>
      </c>
      <c r="F596" s="2">
        <v>8.1117999999999996E-2</v>
      </c>
      <c r="G596" s="2">
        <v>35.682221599999998</v>
      </c>
      <c r="H596" s="2">
        <v>36.000334199999998</v>
      </c>
      <c r="J596" t="str">
        <f t="shared" si="20"/>
        <v>35.84 (35.68 to 36.00)</v>
      </c>
    </row>
    <row r="597" spans="1:10" ht="17.25" thickBot="1" x14ac:dyDescent="0.35">
      <c r="A597" s="6"/>
      <c r="B597" s="3">
        <v>4</v>
      </c>
      <c r="C597" s="11" t="s">
        <v>117</v>
      </c>
      <c r="D597" s="2">
        <v>3738</v>
      </c>
      <c r="E597" s="2">
        <v>43.104773000000002</v>
      </c>
      <c r="F597" s="2">
        <v>0.120063</v>
      </c>
      <c r="G597" s="2">
        <v>42.869351600000002</v>
      </c>
      <c r="H597" s="2">
        <v>43.340194699999998</v>
      </c>
      <c r="J597" t="str">
        <f t="shared" si="20"/>
        <v>43.10 (42.87 to 43.34)</v>
      </c>
    </row>
    <row r="598" spans="1:10" ht="17.25" thickBot="1" x14ac:dyDescent="0.35">
      <c r="A598" s="6">
        <v>4</v>
      </c>
      <c r="B598" s="3">
        <v>1</v>
      </c>
      <c r="C598" s="11" t="s">
        <v>117</v>
      </c>
      <c r="D598" s="2">
        <v>531</v>
      </c>
      <c r="E598" s="2">
        <v>24.015567999999998</v>
      </c>
      <c r="F598" s="2">
        <v>0.11089499999999999</v>
      </c>
      <c r="G598" s="2">
        <v>23.798124600000001</v>
      </c>
      <c r="H598" s="2">
        <v>24.233011600000001</v>
      </c>
      <c r="J598" t="str">
        <f t="shared" si="20"/>
        <v>24.02 (23.80 to 24.23)</v>
      </c>
    </row>
    <row r="599" spans="1:10" ht="17.25" thickBot="1" x14ac:dyDescent="0.35">
      <c r="A599" s="6"/>
      <c r="B599" s="3">
        <v>2</v>
      </c>
      <c r="C599" s="11" t="s">
        <v>117</v>
      </c>
      <c r="D599" s="2">
        <v>5470</v>
      </c>
      <c r="E599" s="2">
        <v>30.181539999999998</v>
      </c>
      <c r="F599" s="2">
        <v>5.8088000000000001E-2</v>
      </c>
      <c r="G599" s="2">
        <v>30.067640699999998</v>
      </c>
      <c r="H599" s="2">
        <v>30.295439900000002</v>
      </c>
      <c r="J599" t="str">
        <f t="shared" si="20"/>
        <v>30.18 (30.07 to 30.30)</v>
      </c>
    </row>
    <row r="600" spans="1:10" ht="17.25" thickBot="1" x14ac:dyDescent="0.35">
      <c r="A600" s="6"/>
      <c r="B600" s="3">
        <v>3</v>
      </c>
      <c r="C600" s="11" t="s">
        <v>117</v>
      </c>
      <c r="D600" s="2">
        <v>3265</v>
      </c>
      <c r="E600" s="2">
        <v>35.994906</v>
      </c>
      <c r="F600" s="2">
        <v>8.251E-2</v>
      </c>
      <c r="G600" s="2">
        <v>35.8331199</v>
      </c>
      <c r="H600" s="2">
        <v>36.156693099999998</v>
      </c>
      <c r="J600" t="str">
        <f t="shared" si="20"/>
        <v>35.99 (35.83 to 36.16)</v>
      </c>
    </row>
    <row r="601" spans="1:10" ht="17.25" thickBot="1" x14ac:dyDescent="0.35">
      <c r="A601" s="6"/>
      <c r="B601" s="3">
        <v>4</v>
      </c>
      <c r="C601" s="11" t="s">
        <v>117</v>
      </c>
      <c r="D601" s="2">
        <v>4892</v>
      </c>
      <c r="E601" s="2">
        <v>43.074581000000002</v>
      </c>
      <c r="F601" s="2">
        <v>0.107705</v>
      </c>
      <c r="G601" s="2">
        <v>42.863390899999999</v>
      </c>
      <c r="H601" s="2">
        <v>43.285770200000002</v>
      </c>
      <c r="J601" t="str">
        <f t="shared" si="20"/>
        <v>43.07 (42.86 to 43.29)</v>
      </c>
    </row>
    <row r="602" spans="1:10" ht="17.25" thickBot="1" x14ac:dyDescent="0.35">
      <c r="A602" s="6">
        <v>5</v>
      </c>
      <c r="B602" s="3">
        <v>1</v>
      </c>
      <c r="C602" s="11" t="s">
        <v>117</v>
      </c>
      <c r="D602" s="2">
        <v>522</v>
      </c>
      <c r="E602" s="2">
        <v>23.766375</v>
      </c>
      <c r="F602" s="2">
        <v>0.105515</v>
      </c>
      <c r="G602" s="2">
        <v>23.559479100000001</v>
      </c>
      <c r="H602" s="2">
        <v>23.973270800000002</v>
      </c>
      <c r="J602" t="str">
        <f t="shared" si="20"/>
        <v>23.77 (23.56 to 23.97)</v>
      </c>
    </row>
    <row r="603" spans="1:10" ht="17.25" thickBot="1" x14ac:dyDescent="0.35">
      <c r="A603" s="6"/>
      <c r="B603" s="3">
        <v>2</v>
      </c>
      <c r="C603" s="11" t="s">
        <v>117</v>
      </c>
      <c r="D603" s="2">
        <v>4948</v>
      </c>
      <c r="E603" s="2">
        <v>29.884257000000002</v>
      </c>
      <c r="F603" s="2">
        <v>5.9247000000000001E-2</v>
      </c>
      <c r="G603" s="2">
        <v>29.768084900000002</v>
      </c>
      <c r="H603" s="2">
        <v>30.000429199999999</v>
      </c>
      <c r="J603" t="str">
        <f t="shared" si="20"/>
        <v>29.88 (29.77 to 30.00)</v>
      </c>
    </row>
    <row r="604" spans="1:10" ht="17.25" thickBot="1" x14ac:dyDescent="0.35">
      <c r="A604" s="6"/>
      <c r="B604" s="3">
        <v>3</v>
      </c>
      <c r="C604" s="11" t="s">
        <v>117</v>
      </c>
      <c r="D604" s="2">
        <v>3184</v>
      </c>
      <c r="E604" s="2">
        <v>35.566333</v>
      </c>
      <c r="F604" s="2">
        <v>7.1154999999999996E-2</v>
      </c>
      <c r="G604" s="2">
        <v>35.426811200000003</v>
      </c>
      <c r="H604" s="2">
        <v>35.705855300000003</v>
      </c>
      <c r="J604" t="str">
        <f t="shared" si="20"/>
        <v>35.57 (35.43 to 35.71)</v>
      </c>
    </row>
    <row r="605" spans="1:10" ht="17.25" thickBot="1" x14ac:dyDescent="0.35">
      <c r="A605" s="6"/>
      <c r="B605" s="3">
        <v>4</v>
      </c>
      <c r="C605" s="11" t="s">
        <v>117</v>
      </c>
      <c r="D605" s="2">
        <v>4901</v>
      </c>
      <c r="E605" s="2">
        <v>43.076735999999997</v>
      </c>
      <c r="F605" s="2">
        <v>0.113422</v>
      </c>
      <c r="G605" s="2">
        <v>42.8543369</v>
      </c>
      <c r="H605" s="2">
        <v>43.2991344</v>
      </c>
      <c r="J605" t="str">
        <f t="shared" si="20"/>
        <v>43.08 (42.85 to 43.30)</v>
      </c>
    </row>
    <row r="606" spans="1:10" ht="17.25" thickBot="1" x14ac:dyDescent="0.35">
      <c r="A606" s="6">
        <v>6</v>
      </c>
      <c r="B606" s="3">
        <v>1</v>
      </c>
      <c r="C606" s="11" t="s">
        <v>117</v>
      </c>
      <c r="D606" s="2">
        <v>212</v>
      </c>
      <c r="E606" s="2">
        <v>22.859629999999999</v>
      </c>
      <c r="F606" s="2">
        <v>0.14619099999999999</v>
      </c>
      <c r="G606" s="2">
        <v>22.572977399999999</v>
      </c>
      <c r="H606" s="2">
        <v>23.146282200000002</v>
      </c>
      <c r="J606" t="str">
        <f t="shared" si="20"/>
        <v>22.86 (22.57 to 23.15)</v>
      </c>
    </row>
    <row r="607" spans="1:10" ht="17.25" thickBot="1" x14ac:dyDescent="0.35">
      <c r="A607" s="6"/>
      <c r="B607" s="3">
        <v>2</v>
      </c>
      <c r="C607" s="11" t="s">
        <v>117</v>
      </c>
      <c r="D607" s="2">
        <v>1581</v>
      </c>
      <c r="E607" s="2">
        <v>29.092562999999998</v>
      </c>
      <c r="F607" s="2">
        <v>0.10785599999999999</v>
      </c>
      <c r="G607" s="2">
        <v>28.8810778</v>
      </c>
      <c r="H607" s="2">
        <v>29.304048699999999</v>
      </c>
      <c r="J607" t="str">
        <f t="shared" si="20"/>
        <v>29.09 (28.88 to 29.30)</v>
      </c>
    </row>
    <row r="608" spans="1:10" ht="17.25" thickBot="1" x14ac:dyDescent="0.35">
      <c r="A608" s="6"/>
      <c r="B608" s="3">
        <v>3</v>
      </c>
      <c r="C608" s="11" t="s">
        <v>117</v>
      </c>
      <c r="D608" s="2">
        <v>986</v>
      </c>
      <c r="E608" s="2">
        <v>34.681744999999999</v>
      </c>
      <c r="F608" s="2">
        <v>0.127277</v>
      </c>
      <c r="G608" s="2">
        <v>34.432179400000003</v>
      </c>
      <c r="H608" s="2">
        <v>34.931311200000003</v>
      </c>
      <c r="J608" t="str">
        <f t="shared" si="20"/>
        <v>34.68 (34.43 to 34.93)</v>
      </c>
    </row>
    <row r="609" spans="1:10" x14ac:dyDescent="0.3">
      <c r="A609" s="6"/>
      <c r="B609" s="3">
        <v>4</v>
      </c>
      <c r="C609" s="14" t="s">
        <v>117</v>
      </c>
      <c r="D609" s="2">
        <v>1637</v>
      </c>
      <c r="E609" s="2">
        <v>42.713982999999999</v>
      </c>
      <c r="F609" s="2">
        <v>0.199459</v>
      </c>
      <c r="G609" s="2">
        <v>42.322882499999999</v>
      </c>
      <c r="H609" s="2">
        <v>43.105083999999998</v>
      </c>
      <c r="J609" t="str">
        <f t="shared" si="20"/>
        <v>42.71 (42.32 to 43.11)</v>
      </c>
    </row>
    <row r="613" spans="1:10" x14ac:dyDescent="0.3">
      <c r="A613" s="1" t="s">
        <v>237</v>
      </c>
    </row>
    <row r="615" spans="1:10" x14ac:dyDescent="0.3">
      <c r="A615" s="1" t="s">
        <v>1</v>
      </c>
    </row>
    <row r="616" spans="1:10" ht="17.25" thickBot="1" x14ac:dyDescent="0.35"/>
    <row r="617" spans="1:10" ht="16.5" customHeight="1" x14ac:dyDescent="0.3">
      <c r="A617" s="16" t="s">
        <v>135</v>
      </c>
      <c r="B617" s="18"/>
    </row>
    <row r="618" spans="1:10" ht="26.25" thickBot="1" x14ac:dyDescent="0.35">
      <c r="A618" s="12" t="s">
        <v>136</v>
      </c>
      <c r="B618" s="2">
        <v>183</v>
      </c>
    </row>
    <row r="619" spans="1:10" ht="26.25" thickBot="1" x14ac:dyDescent="0.35">
      <c r="A619" s="12" t="s">
        <v>137</v>
      </c>
      <c r="B619" s="2">
        <v>2949</v>
      </c>
    </row>
    <row r="620" spans="1:10" ht="39" thickBot="1" x14ac:dyDescent="0.35">
      <c r="A620" s="12" t="s">
        <v>138</v>
      </c>
      <c r="B620" s="2">
        <v>23222</v>
      </c>
    </row>
    <row r="621" spans="1:10" ht="25.5" x14ac:dyDescent="0.3">
      <c r="A621" s="13" t="s">
        <v>139</v>
      </c>
      <c r="B621" s="2">
        <v>9036880.5199999996</v>
      </c>
    </row>
    <row r="622" spans="1:10" ht="17.25" thickBot="1" x14ac:dyDescent="0.35"/>
    <row r="623" spans="1:10" ht="33" customHeight="1" x14ac:dyDescent="0.3">
      <c r="A623" s="16" t="s">
        <v>140</v>
      </c>
      <c r="B623" s="18"/>
    </row>
    <row r="624" spans="1:10" ht="33.75" thickBot="1" x14ac:dyDescent="0.35">
      <c r="A624" s="12" t="s">
        <v>141</v>
      </c>
      <c r="B624" s="2" t="s">
        <v>142</v>
      </c>
    </row>
    <row r="625" spans="1:8" ht="25.5" x14ac:dyDescent="0.3">
      <c r="A625" s="13" t="s">
        <v>143</v>
      </c>
      <c r="B625" s="2" t="s">
        <v>144</v>
      </c>
    </row>
    <row r="626" spans="1:8" ht="17.25" thickBot="1" x14ac:dyDescent="0.35"/>
    <row r="627" spans="1:8" ht="16.5" customHeight="1" x14ac:dyDescent="0.3">
      <c r="A627" s="16" t="s">
        <v>238</v>
      </c>
      <c r="B627" s="18"/>
      <c r="C627" s="18"/>
      <c r="D627" s="18"/>
      <c r="E627" s="18"/>
      <c r="F627" s="18"/>
    </row>
    <row r="628" spans="1:8" ht="16.5" customHeight="1" x14ac:dyDescent="0.3">
      <c r="A628" s="17" t="s">
        <v>239</v>
      </c>
      <c r="B628" s="19" t="s">
        <v>94</v>
      </c>
      <c r="C628" s="19" t="s">
        <v>240</v>
      </c>
      <c r="D628" s="3" t="s">
        <v>241</v>
      </c>
      <c r="E628" s="19" t="s">
        <v>243</v>
      </c>
      <c r="F628" s="19"/>
    </row>
    <row r="629" spans="1:8" x14ac:dyDescent="0.3">
      <c r="A629" s="17"/>
      <c r="B629" s="19"/>
      <c r="C629" s="19"/>
      <c r="D629" s="3" t="s">
        <v>242</v>
      </c>
      <c r="E629" s="19"/>
      <c r="F629" s="19"/>
    </row>
    <row r="630" spans="1:8" x14ac:dyDescent="0.3">
      <c r="A630" s="13" t="s">
        <v>117</v>
      </c>
      <c r="B630" s="2">
        <v>23222</v>
      </c>
      <c r="C630" s="2">
        <v>33.805624000000002</v>
      </c>
      <c r="D630" s="2">
        <v>7.0877999999999997E-2</v>
      </c>
      <c r="E630" s="2">
        <v>33.666644300000002</v>
      </c>
      <c r="F630" s="2">
        <v>33.944603299999997</v>
      </c>
    </row>
    <row r="634" spans="1:8" x14ac:dyDescent="0.3">
      <c r="A634" s="1" t="s">
        <v>237</v>
      </c>
    </row>
    <row r="636" spans="1:8" x14ac:dyDescent="0.3">
      <c r="A636" s="1" t="s">
        <v>1</v>
      </c>
    </row>
    <row r="637" spans="1:8" ht="17.25" thickBot="1" x14ac:dyDescent="0.35"/>
    <row r="638" spans="1:8" ht="16.5" customHeight="1" x14ac:dyDescent="0.3">
      <c r="A638" s="16" t="s">
        <v>256</v>
      </c>
      <c r="B638" s="18"/>
      <c r="C638" s="18"/>
      <c r="D638" s="18"/>
      <c r="E638" s="18"/>
      <c r="F638" s="18"/>
      <c r="G638" s="18"/>
      <c r="H638" s="18"/>
    </row>
    <row r="639" spans="1:8" ht="16.5" customHeight="1" x14ac:dyDescent="0.3">
      <c r="A639" s="17" t="s">
        <v>249</v>
      </c>
      <c r="B639" s="19" t="s">
        <v>11</v>
      </c>
      <c r="C639" s="19" t="s">
        <v>239</v>
      </c>
      <c r="D639" s="19" t="s">
        <v>94</v>
      </c>
      <c r="E639" s="19" t="s">
        <v>240</v>
      </c>
      <c r="F639" s="3" t="s">
        <v>241</v>
      </c>
      <c r="G639" s="19" t="s">
        <v>243</v>
      </c>
      <c r="H639" s="19"/>
    </row>
    <row r="640" spans="1:8" x14ac:dyDescent="0.3">
      <c r="A640" s="17"/>
      <c r="B640" s="19"/>
      <c r="C640" s="19"/>
      <c r="D640" s="19"/>
      <c r="E640" s="19"/>
      <c r="F640" s="3" t="s">
        <v>242</v>
      </c>
      <c r="G640" s="19"/>
      <c r="H640" s="19"/>
    </row>
    <row r="641" spans="1:8" ht="17.25" thickBot="1" x14ac:dyDescent="0.35">
      <c r="A641" s="6">
        <v>1</v>
      </c>
      <c r="B641" s="3">
        <v>1</v>
      </c>
      <c r="C641" s="11" t="s">
        <v>117</v>
      </c>
      <c r="D641" s="2">
        <v>2539</v>
      </c>
      <c r="E641" s="2">
        <v>36.577328999999999</v>
      </c>
      <c r="F641" s="2">
        <v>0.17858499999999999</v>
      </c>
      <c r="G641" s="2">
        <v>36.227156800000003</v>
      </c>
      <c r="H641" s="2">
        <v>36.927502099999998</v>
      </c>
    </row>
    <row r="642" spans="1:8" ht="17.25" thickBot="1" x14ac:dyDescent="0.35">
      <c r="A642" s="6"/>
      <c r="B642" s="3">
        <v>2</v>
      </c>
      <c r="C642" s="11" t="s">
        <v>117</v>
      </c>
      <c r="D642" s="2">
        <v>1165</v>
      </c>
      <c r="E642" s="2">
        <v>30.413516999999999</v>
      </c>
      <c r="F642" s="2">
        <v>0.25507200000000002</v>
      </c>
      <c r="G642" s="2">
        <v>29.9133669</v>
      </c>
      <c r="H642" s="2">
        <v>30.913666800000001</v>
      </c>
    </row>
    <row r="643" spans="1:8" ht="17.25" thickBot="1" x14ac:dyDescent="0.35">
      <c r="A643" s="6"/>
      <c r="B643" s="3">
        <v>8</v>
      </c>
      <c r="C643" s="11" t="s">
        <v>117</v>
      </c>
      <c r="D643" s="2">
        <v>36</v>
      </c>
      <c r="E643" s="2">
        <v>35.646923000000001</v>
      </c>
      <c r="F643" s="2">
        <v>1.260429</v>
      </c>
      <c r="G643" s="2">
        <v>33.175445400000001</v>
      </c>
      <c r="H643" s="2">
        <v>38.118400899999997</v>
      </c>
    </row>
    <row r="644" spans="1:8" ht="17.25" thickBot="1" x14ac:dyDescent="0.35">
      <c r="A644" s="6">
        <v>2</v>
      </c>
      <c r="B644" s="3">
        <v>1</v>
      </c>
      <c r="C644" s="11" t="s">
        <v>117</v>
      </c>
      <c r="D644" s="2">
        <v>2480</v>
      </c>
      <c r="E644" s="2">
        <v>36.229098</v>
      </c>
      <c r="F644" s="2">
        <v>0.191053</v>
      </c>
      <c r="G644" s="2">
        <v>35.854476599999998</v>
      </c>
      <c r="H644" s="2">
        <v>36.603718499999999</v>
      </c>
    </row>
    <row r="645" spans="1:8" ht="17.25" thickBot="1" x14ac:dyDescent="0.35">
      <c r="A645" s="6"/>
      <c r="B645" s="3">
        <v>2</v>
      </c>
      <c r="C645" s="11" t="s">
        <v>117</v>
      </c>
      <c r="D645" s="2">
        <v>2247</v>
      </c>
      <c r="E645" s="2">
        <v>30.133481</v>
      </c>
      <c r="F645" s="2">
        <v>0.18778</v>
      </c>
      <c r="G645" s="2">
        <v>29.765277399999999</v>
      </c>
      <c r="H645" s="2">
        <v>30.5016842</v>
      </c>
    </row>
    <row r="646" spans="1:8" ht="17.25" thickBot="1" x14ac:dyDescent="0.35">
      <c r="A646" s="6"/>
      <c r="B646" s="3">
        <v>8</v>
      </c>
      <c r="C646" s="11" t="s">
        <v>117</v>
      </c>
      <c r="D646" s="2">
        <v>5</v>
      </c>
      <c r="E646" s="2">
        <v>29.741188999999999</v>
      </c>
      <c r="F646" s="2">
        <v>3.4664730000000001</v>
      </c>
      <c r="G646" s="2">
        <v>22.9440515</v>
      </c>
      <c r="H646" s="2">
        <v>36.538326400000003</v>
      </c>
    </row>
    <row r="647" spans="1:8" ht="17.25" thickBot="1" x14ac:dyDescent="0.35">
      <c r="A647" s="6">
        <v>3</v>
      </c>
      <c r="B647" s="3">
        <v>1</v>
      </c>
      <c r="C647" s="11" t="s">
        <v>117</v>
      </c>
      <c r="D647" s="2">
        <v>2430</v>
      </c>
      <c r="E647" s="2">
        <v>36.516311000000002</v>
      </c>
      <c r="F647" s="2">
        <v>0.19212299999999999</v>
      </c>
      <c r="G647" s="2">
        <v>36.139592399999998</v>
      </c>
      <c r="H647" s="2">
        <v>36.893030000000003</v>
      </c>
    </row>
    <row r="648" spans="1:8" ht="17.25" thickBot="1" x14ac:dyDescent="0.35">
      <c r="A648" s="6"/>
      <c r="B648" s="3">
        <v>2</v>
      </c>
      <c r="C648" s="11" t="s">
        <v>117</v>
      </c>
      <c r="D648" s="2">
        <v>1824</v>
      </c>
      <c r="E648" s="2">
        <v>31.007493</v>
      </c>
      <c r="F648" s="2">
        <v>0.206096</v>
      </c>
      <c r="G648" s="2">
        <v>30.6033753</v>
      </c>
      <c r="H648" s="2">
        <v>31.411610100000001</v>
      </c>
    </row>
    <row r="649" spans="1:8" ht="17.25" thickBot="1" x14ac:dyDescent="0.35">
      <c r="A649" s="6"/>
      <c r="B649" s="3">
        <v>8</v>
      </c>
      <c r="C649" s="11" t="s">
        <v>117</v>
      </c>
      <c r="D649" s="2">
        <v>3</v>
      </c>
      <c r="E649" s="2">
        <v>24.049057000000001</v>
      </c>
      <c r="F649" s="2">
        <v>4.1776000000000001E-2</v>
      </c>
      <c r="G649" s="2">
        <v>23.9671409</v>
      </c>
      <c r="H649" s="2">
        <v>24.130972700000001</v>
      </c>
    </row>
    <row r="650" spans="1:8" ht="17.25" thickBot="1" x14ac:dyDescent="0.35">
      <c r="A650" s="6">
        <v>4</v>
      </c>
      <c r="B650" s="3">
        <v>1</v>
      </c>
      <c r="C650" s="11" t="s">
        <v>117</v>
      </c>
      <c r="D650" s="2">
        <v>2588</v>
      </c>
      <c r="E650" s="2">
        <v>36.656077000000003</v>
      </c>
      <c r="F650" s="2">
        <v>0.18345900000000001</v>
      </c>
      <c r="G650" s="2">
        <v>36.296346999999997</v>
      </c>
      <c r="H650" s="2">
        <v>37.015807899999999</v>
      </c>
    </row>
    <row r="651" spans="1:8" ht="17.25" thickBot="1" x14ac:dyDescent="0.35">
      <c r="A651" s="6"/>
      <c r="B651" s="3">
        <v>2</v>
      </c>
      <c r="C651" s="11" t="s">
        <v>117</v>
      </c>
      <c r="D651" s="2">
        <v>1968</v>
      </c>
      <c r="E651" s="2">
        <v>30.906559999999999</v>
      </c>
      <c r="F651" s="2">
        <v>0.20766899999999999</v>
      </c>
      <c r="G651" s="2">
        <v>30.4993585</v>
      </c>
      <c r="H651" s="2">
        <v>31.313761800000002</v>
      </c>
    </row>
    <row r="652" spans="1:8" ht="17.25" thickBot="1" x14ac:dyDescent="0.35">
      <c r="A652" s="6">
        <v>5</v>
      </c>
      <c r="B652" s="3">
        <v>1</v>
      </c>
      <c r="C652" s="11" t="s">
        <v>117</v>
      </c>
      <c r="D652" s="2">
        <v>2684</v>
      </c>
      <c r="E652" s="2">
        <v>36.338172999999998</v>
      </c>
      <c r="F652" s="2">
        <v>0.182619</v>
      </c>
      <c r="G652" s="2">
        <v>35.980090199999999</v>
      </c>
      <c r="H652" s="2">
        <v>36.696255899999997</v>
      </c>
    </row>
    <row r="653" spans="1:8" ht="17.25" thickBot="1" x14ac:dyDescent="0.35">
      <c r="A653" s="6"/>
      <c r="B653" s="3">
        <v>2</v>
      </c>
      <c r="C653" s="11" t="s">
        <v>117</v>
      </c>
      <c r="D653" s="2">
        <v>1815</v>
      </c>
      <c r="E653" s="2">
        <v>32.003436000000001</v>
      </c>
      <c r="F653" s="2">
        <v>0.27005299999999999</v>
      </c>
      <c r="G653" s="2">
        <v>31.473909800000001</v>
      </c>
      <c r="H653" s="2">
        <v>32.532962699999999</v>
      </c>
    </row>
    <row r="654" spans="1:8" ht="17.25" thickBot="1" x14ac:dyDescent="0.35">
      <c r="A654" s="6"/>
      <c r="B654" s="3">
        <v>8</v>
      </c>
      <c r="C654" s="11" t="s">
        <v>117</v>
      </c>
      <c r="D654" s="2">
        <v>2</v>
      </c>
      <c r="E654" s="2">
        <v>27.123851999999999</v>
      </c>
      <c r="F654" s="2">
        <v>0</v>
      </c>
      <c r="G654" s="2">
        <v>27.123852100000001</v>
      </c>
      <c r="H654" s="2">
        <v>27.123852100000001</v>
      </c>
    </row>
    <row r="655" spans="1:8" ht="17.25" thickBot="1" x14ac:dyDescent="0.35">
      <c r="A655" s="6">
        <v>6</v>
      </c>
      <c r="B655" s="3">
        <v>1</v>
      </c>
      <c r="C655" s="11" t="s">
        <v>117</v>
      </c>
      <c r="D655" s="2">
        <v>895</v>
      </c>
      <c r="E655" s="2">
        <v>35.420318999999999</v>
      </c>
      <c r="F655" s="2">
        <v>0.30521700000000002</v>
      </c>
      <c r="G655" s="2">
        <v>34.821842400000001</v>
      </c>
      <c r="H655" s="2">
        <v>36.018795699999998</v>
      </c>
    </row>
    <row r="656" spans="1:8" x14ac:dyDescent="0.3">
      <c r="A656" s="6"/>
      <c r="B656" s="3">
        <v>2</v>
      </c>
      <c r="C656" s="14" t="s">
        <v>117</v>
      </c>
      <c r="D656" s="2">
        <v>541</v>
      </c>
      <c r="E656" s="2">
        <v>30.925062</v>
      </c>
      <c r="F656" s="2">
        <v>0.47031499999999998</v>
      </c>
      <c r="G656" s="2">
        <v>30.002856600000001</v>
      </c>
      <c r="H656" s="2">
        <v>31.847266600000001</v>
      </c>
    </row>
    <row r="660" spans="1:2" x14ac:dyDescent="0.3">
      <c r="A660" s="1" t="s">
        <v>237</v>
      </c>
    </row>
    <row r="662" spans="1:2" x14ac:dyDescent="0.3">
      <c r="A662" s="1" t="s">
        <v>21</v>
      </c>
    </row>
    <row r="663" spans="1:2" ht="17.25" thickBot="1" x14ac:dyDescent="0.35"/>
    <row r="664" spans="1:2" ht="16.5" customHeight="1" x14ac:dyDescent="0.3">
      <c r="A664" s="16" t="s">
        <v>135</v>
      </c>
      <c r="B664" s="18"/>
    </row>
    <row r="665" spans="1:2" ht="26.25" thickBot="1" x14ac:dyDescent="0.35">
      <c r="A665" s="12" t="s">
        <v>136</v>
      </c>
      <c r="B665" s="2">
        <v>183</v>
      </c>
    </row>
    <row r="666" spans="1:2" ht="26.25" thickBot="1" x14ac:dyDescent="0.35">
      <c r="A666" s="12" t="s">
        <v>137</v>
      </c>
      <c r="B666" s="2">
        <v>2982</v>
      </c>
    </row>
    <row r="667" spans="1:2" ht="39" thickBot="1" x14ac:dyDescent="0.35">
      <c r="A667" s="12" t="s">
        <v>138</v>
      </c>
      <c r="B667" s="2">
        <v>68635</v>
      </c>
    </row>
    <row r="668" spans="1:2" ht="25.5" x14ac:dyDescent="0.3">
      <c r="A668" s="13" t="s">
        <v>139</v>
      </c>
      <c r="B668" s="2">
        <v>30251935.699999999</v>
      </c>
    </row>
    <row r="669" spans="1:2" ht="17.25" thickBot="1" x14ac:dyDescent="0.35"/>
    <row r="670" spans="1:2" ht="33" customHeight="1" x14ac:dyDescent="0.3">
      <c r="A670" s="16" t="s">
        <v>140</v>
      </c>
      <c r="B670" s="18"/>
    </row>
    <row r="671" spans="1:2" ht="33.75" thickBot="1" x14ac:dyDescent="0.35">
      <c r="A671" s="12" t="s">
        <v>141</v>
      </c>
      <c r="B671" s="2" t="s">
        <v>142</v>
      </c>
    </row>
    <row r="672" spans="1:2" ht="25.5" x14ac:dyDescent="0.3">
      <c r="A672" s="13" t="s">
        <v>143</v>
      </c>
      <c r="B672" s="2" t="s">
        <v>144</v>
      </c>
    </row>
    <row r="673" spans="1:15" ht="17.25" thickBot="1" x14ac:dyDescent="0.35"/>
    <row r="674" spans="1:15" ht="16.5" customHeight="1" x14ac:dyDescent="0.3">
      <c r="A674" s="16" t="s">
        <v>238</v>
      </c>
      <c r="B674" s="18"/>
      <c r="C674" s="18"/>
      <c r="D674" s="18"/>
      <c r="E674" s="18"/>
      <c r="F674" s="18"/>
    </row>
    <row r="675" spans="1:15" ht="16.5" customHeight="1" x14ac:dyDescent="0.3">
      <c r="A675" s="17" t="s">
        <v>239</v>
      </c>
      <c r="B675" s="19" t="s">
        <v>94</v>
      </c>
      <c r="C675" s="19" t="s">
        <v>240</v>
      </c>
      <c r="D675" s="3" t="s">
        <v>241</v>
      </c>
      <c r="E675" s="19" t="s">
        <v>243</v>
      </c>
      <c r="F675" s="19"/>
    </row>
    <row r="676" spans="1:15" x14ac:dyDescent="0.3">
      <c r="A676" s="17"/>
      <c r="B676" s="19"/>
      <c r="C676" s="19"/>
      <c r="D676" s="3" t="s">
        <v>242</v>
      </c>
      <c r="E676" s="19"/>
      <c r="F676" s="19"/>
    </row>
    <row r="677" spans="1:15" x14ac:dyDescent="0.3">
      <c r="A677" s="13" t="s">
        <v>117</v>
      </c>
      <c r="B677" s="2">
        <v>68635</v>
      </c>
      <c r="C677" s="2">
        <v>35.601097000000003</v>
      </c>
      <c r="D677" s="2">
        <v>3.8943999999999999E-2</v>
      </c>
      <c r="E677" s="2">
        <v>35.524735800000002</v>
      </c>
      <c r="F677" s="2">
        <v>35.677458399999999</v>
      </c>
    </row>
    <row r="681" spans="1:15" x14ac:dyDescent="0.3">
      <c r="A681" s="1" t="s">
        <v>237</v>
      </c>
    </row>
    <row r="683" spans="1:15" x14ac:dyDescent="0.3">
      <c r="A683" s="1" t="s">
        <v>21</v>
      </c>
    </row>
    <row r="684" spans="1:15" ht="17.25" thickBot="1" x14ac:dyDescent="0.35"/>
    <row r="685" spans="1:15" ht="16.5" customHeight="1" x14ac:dyDescent="0.3">
      <c r="A685" s="16" t="s">
        <v>256</v>
      </c>
      <c r="B685" s="18"/>
      <c r="C685" s="18"/>
      <c r="D685" s="18"/>
      <c r="E685" s="18"/>
      <c r="F685" s="18"/>
      <c r="G685" s="18"/>
      <c r="H685" s="18"/>
    </row>
    <row r="686" spans="1:15" ht="16.5" customHeight="1" x14ac:dyDescent="0.3">
      <c r="A686" s="17" t="s">
        <v>249</v>
      </c>
      <c r="B686" s="19" t="s">
        <v>11</v>
      </c>
      <c r="C686" s="19" t="s">
        <v>239</v>
      </c>
      <c r="D686" s="19" t="s">
        <v>94</v>
      </c>
      <c r="E686" s="19" t="s">
        <v>240</v>
      </c>
      <c r="F686" s="3" t="s">
        <v>241</v>
      </c>
      <c r="G686" s="19" t="s">
        <v>243</v>
      </c>
      <c r="H686" s="19"/>
    </row>
    <row r="687" spans="1:15" x14ac:dyDescent="0.3">
      <c r="A687" s="17"/>
      <c r="B687" s="19"/>
      <c r="C687" s="19"/>
      <c r="D687" s="19"/>
      <c r="E687" s="19"/>
      <c r="F687" s="3" t="s">
        <v>242</v>
      </c>
      <c r="G687" s="19"/>
      <c r="H687" s="19"/>
    </row>
    <row r="688" spans="1:15" ht="17.25" thickBot="1" x14ac:dyDescent="0.35">
      <c r="A688" s="6">
        <v>1</v>
      </c>
      <c r="B688" s="3">
        <v>1</v>
      </c>
      <c r="C688" s="11" t="s">
        <v>117</v>
      </c>
      <c r="D688" s="2">
        <v>10177</v>
      </c>
      <c r="E688" s="2">
        <v>36.218677999999997</v>
      </c>
      <c r="F688" s="2">
        <v>8.8562000000000002E-2</v>
      </c>
      <c r="G688" s="2">
        <v>36.045024300000001</v>
      </c>
      <c r="H688" s="2">
        <v>36.392332600000003</v>
      </c>
      <c r="J688" t="str">
        <f t="shared" ref="J688:J699" si="26">TEXT(E688,"0.00")&amp;" ("&amp;TEXT(G688,"0.00")&amp;" to "&amp;TEXT(H688,"0.00")&amp;")"</f>
        <v>36.22 (36.05 to 36.39)</v>
      </c>
      <c r="K688" t="str">
        <f>J690</f>
        <v>36.20 (36.04 to 36.37)</v>
      </c>
      <c r="L688" t="str">
        <f>J692</f>
        <v>36.00 (35.84 to 36.17)</v>
      </c>
      <c r="M688" t="str">
        <f>J694</f>
        <v>36.22 (36.06 to 36.39)</v>
      </c>
      <c r="N688" t="str">
        <f>J696</f>
        <v>36.22 (36.04 to 36.41)</v>
      </c>
      <c r="O688" t="str">
        <f>J698</f>
        <v>35.49 (35.17 to 35.81)</v>
      </c>
    </row>
    <row r="689" spans="1:15" ht="17.25" thickBot="1" x14ac:dyDescent="0.35">
      <c r="A689" s="6"/>
      <c r="B689" s="3">
        <v>2</v>
      </c>
      <c r="C689" s="11" t="s">
        <v>117</v>
      </c>
      <c r="D689" s="2">
        <v>1738</v>
      </c>
      <c r="E689" s="2">
        <v>33.240656999999999</v>
      </c>
      <c r="F689" s="2">
        <v>0.19474</v>
      </c>
      <c r="G689" s="2">
        <v>32.8588083</v>
      </c>
      <c r="H689" s="2">
        <v>33.6225059</v>
      </c>
      <c r="J689" t="str">
        <f t="shared" si="26"/>
        <v>33.24 (32.86 to 33.62)</v>
      </c>
      <c r="K689" t="str">
        <f>J691</f>
        <v>33.40 (32.96 to 33.84)</v>
      </c>
      <c r="L689" t="str">
        <f>J693</f>
        <v>33.40 (32.99 to 33.82)</v>
      </c>
      <c r="M689" t="str">
        <f>J695</f>
        <v>34.26 (33.85 to 34.68)</v>
      </c>
      <c r="N689" t="str">
        <f>J697</f>
        <v>34.64 (34.23 to 35.05)</v>
      </c>
      <c r="O689" t="str">
        <f>J699</f>
        <v>34.72 (33.94 to 35.50)</v>
      </c>
    </row>
    <row r="690" spans="1:15" ht="17.25" thickBot="1" x14ac:dyDescent="0.35">
      <c r="A690" s="6">
        <v>2</v>
      </c>
      <c r="B690" s="3">
        <v>1</v>
      </c>
      <c r="C690" s="11" t="s">
        <v>117</v>
      </c>
      <c r="D690" s="2">
        <v>11190</v>
      </c>
      <c r="E690" s="2">
        <v>36.201275000000003</v>
      </c>
      <c r="F690" s="2">
        <v>8.4175E-2</v>
      </c>
      <c r="G690" s="2">
        <v>36.036224199999999</v>
      </c>
      <c r="H690" s="2">
        <v>36.366326000000001</v>
      </c>
      <c r="J690" t="str">
        <f t="shared" si="26"/>
        <v>36.20 (36.04 to 36.37)</v>
      </c>
    </row>
    <row r="691" spans="1:15" ht="17.25" thickBot="1" x14ac:dyDescent="0.35">
      <c r="A691" s="6"/>
      <c r="B691" s="3">
        <v>2</v>
      </c>
      <c r="C691" s="11" t="s">
        <v>117</v>
      </c>
      <c r="D691" s="2">
        <v>1926</v>
      </c>
      <c r="E691" s="2">
        <v>33.399717000000003</v>
      </c>
      <c r="F691" s="2">
        <v>0.22490099999999999</v>
      </c>
      <c r="G691" s="2">
        <v>32.958728999999998</v>
      </c>
      <c r="H691" s="2">
        <v>33.8407044</v>
      </c>
      <c r="J691" t="str">
        <f t="shared" si="26"/>
        <v>33.40 (32.96 to 33.84)</v>
      </c>
    </row>
    <row r="692" spans="1:15" ht="17.25" thickBot="1" x14ac:dyDescent="0.35">
      <c r="A692" s="6">
        <v>3</v>
      </c>
      <c r="B692" s="3">
        <v>1</v>
      </c>
      <c r="C692" s="11" t="s">
        <v>117</v>
      </c>
      <c r="D692" s="2">
        <v>9576</v>
      </c>
      <c r="E692" s="2">
        <v>36.004069999999999</v>
      </c>
      <c r="F692" s="2">
        <v>8.2974000000000006E-2</v>
      </c>
      <c r="G692" s="2">
        <v>35.841373400000002</v>
      </c>
      <c r="H692" s="2">
        <v>36.166766000000003</v>
      </c>
      <c r="J692" t="str">
        <f t="shared" si="26"/>
        <v>36.00 (35.84 to 36.17)</v>
      </c>
    </row>
    <row r="693" spans="1:15" ht="17.25" thickBot="1" x14ac:dyDescent="0.35">
      <c r="A693" s="6"/>
      <c r="B693" s="3">
        <v>2</v>
      </c>
      <c r="C693" s="11" t="s">
        <v>117</v>
      </c>
      <c r="D693" s="2">
        <v>1899</v>
      </c>
      <c r="E693" s="2">
        <v>33.402189</v>
      </c>
      <c r="F693" s="2">
        <v>0.21238599999999999</v>
      </c>
      <c r="G693" s="2">
        <v>32.985740100000001</v>
      </c>
      <c r="H693" s="2">
        <v>33.818638700000001</v>
      </c>
      <c r="J693" t="str">
        <f t="shared" si="26"/>
        <v>33.40 (32.99 to 33.82)</v>
      </c>
    </row>
    <row r="694" spans="1:15" ht="17.25" thickBot="1" x14ac:dyDescent="0.35">
      <c r="A694" s="6">
        <v>4</v>
      </c>
      <c r="B694" s="3">
        <v>1</v>
      </c>
      <c r="C694" s="11" t="s">
        <v>117</v>
      </c>
      <c r="D694" s="2">
        <v>11608</v>
      </c>
      <c r="E694" s="2">
        <v>36.224215000000001</v>
      </c>
      <c r="F694" s="2">
        <v>8.5051000000000002E-2</v>
      </c>
      <c r="G694" s="2">
        <v>36.057445199999997</v>
      </c>
      <c r="H694" s="2">
        <v>36.390983900000002</v>
      </c>
      <c r="J694" t="str">
        <f t="shared" si="26"/>
        <v>36.22 (36.06 to 36.39)</v>
      </c>
    </row>
    <row r="695" spans="1:15" ht="17.25" thickBot="1" x14ac:dyDescent="0.35">
      <c r="A695" s="6"/>
      <c r="B695" s="3">
        <v>2</v>
      </c>
      <c r="C695" s="11" t="s">
        <v>117</v>
      </c>
      <c r="D695" s="2">
        <v>2550</v>
      </c>
      <c r="E695" s="2">
        <v>34.262227000000003</v>
      </c>
      <c r="F695" s="2">
        <v>0.211365</v>
      </c>
      <c r="G695" s="2">
        <v>33.847780399999998</v>
      </c>
      <c r="H695" s="2">
        <v>34.676673999999998</v>
      </c>
      <c r="J695" t="str">
        <f t="shared" si="26"/>
        <v>34.26 (33.85 to 34.68)</v>
      </c>
    </row>
    <row r="696" spans="1:15" ht="17.25" thickBot="1" x14ac:dyDescent="0.35">
      <c r="A696" s="6">
        <v>5</v>
      </c>
      <c r="B696" s="3">
        <v>1</v>
      </c>
      <c r="C696" s="11" t="s">
        <v>117</v>
      </c>
      <c r="D696" s="2">
        <v>10769</v>
      </c>
      <c r="E696" s="2">
        <v>36.224901000000003</v>
      </c>
      <c r="F696" s="2">
        <v>9.3977000000000005E-2</v>
      </c>
      <c r="G696" s="2">
        <v>36.040630399999998</v>
      </c>
      <c r="H696" s="2">
        <v>36.409172499999997</v>
      </c>
      <c r="J696" t="str">
        <f t="shared" si="26"/>
        <v>36.22 (36.04 to 36.41)</v>
      </c>
    </row>
    <row r="697" spans="1:15" ht="17.25" thickBot="1" x14ac:dyDescent="0.35">
      <c r="A697" s="6"/>
      <c r="B697" s="3">
        <v>2</v>
      </c>
      <c r="C697" s="11" t="s">
        <v>117</v>
      </c>
      <c r="D697" s="2">
        <v>2786</v>
      </c>
      <c r="E697" s="2">
        <v>34.635964999999999</v>
      </c>
      <c r="F697" s="2">
        <v>0.209367</v>
      </c>
      <c r="G697" s="2">
        <v>34.225435099999999</v>
      </c>
      <c r="H697" s="2">
        <v>35.046494699999997</v>
      </c>
      <c r="J697" t="str">
        <f t="shared" si="26"/>
        <v>34.64 (34.23 to 35.05)</v>
      </c>
    </row>
    <row r="698" spans="1:15" ht="17.25" thickBot="1" x14ac:dyDescent="0.35">
      <c r="A698" s="6">
        <v>6</v>
      </c>
      <c r="B698" s="3">
        <v>1</v>
      </c>
      <c r="C698" s="11" t="s">
        <v>117</v>
      </c>
      <c r="D698" s="2">
        <v>3494</v>
      </c>
      <c r="E698" s="2">
        <v>35.49044</v>
      </c>
      <c r="F698" s="2">
        <v>0.16090399999999999</v>
      </c>
      <c r="G698" s="2">
        <v>35.174937900000003</v>
      </c>
      <c r="H698" s="2">
        <v>35.8059431</v>
      </c>
      <c r="J698" t="str">
        <f t="shared" si="26"/>
        <v>35.49 (35.17 to 35.81)</v>
      </c>
    </row>
    <row r="699" spans="1:15" x14ac:dyDescent="0.3">
      <c r="A699" s="6"/>
      <c r="B699" s="3">
        <v>2</v>
      </c>
      <c r="C699" s="14" t="s">
        <v>117</v>
      </c>
      <c r="D699" s="2">
        <v>922</v>
      </c>
      <c r="E699" s="2">
        <v>34.718437000000002</v>
      </c>
      <c r="F699" s="2">
        <v>0.39628799999999997</v>
      </c>
      <c r="G699" s="2">
        <v>33.941389899999997</v>
      </c>
      <c r="H699" s="2">
        <v>35.495483800000002</v>
      </c>
      <c r="J699" t="str">
        <f t="shared" si="26"/>
        <v>34.72 (33.94 to 35.50)</v>
      </c>
    </row>
    <row r="703" spans="1:15" x14ac:dyDescent="0.3">
      <c r="A703" s="1" t="s">
        <v>237</v>
      </c>
    </row>
    <row r="705" spans="1:6" x14ac:dyDescent="0.3">
      <c r="A705" s="1" t="s">
        <v>1</v>
      </c>
    </row>
    <row r="706" spans="1:6" ht="17.25" thickBot="1" x14ac:dyDescent="0.35"/>
    <row r="707" spans="1:6" ht="16.5" customHeight="1" x14ac:dyDescent="0.3">
      <c r="A707" s="16" t="s">
        <v>135</v>
      </c>
      <c r="B707" s="18"/>
    </row>
    <row r="708" spans="1:6" ht="26.25" thickBot="1" x14ac:dyDescent="0.35">
      <c r="A708" s="12" t="s">
        <v>136</v>
      </c>
      <c r="B708" s="2">
        <v>183</v>
      </c>
    </row>
    <row r="709" spans="1:6" ht="26.25" thickBot="1" x14ac:dyDescent="0.35">
      <c r="A709" s="12" t="s">
        <v>137</v>
      </c>
      <c r="B709" s="2">
        <v>2949</v>
      </c>
    </row>
    <row r="710" spans="1:6" ht="39" thickBot="1" x14ac:dyDescent="0.35">
      <c r="A710" s="12" t="s">
        <v>138</v>
      </c>
      <c r="B710" s="2">
        <v>23222</v>
      </c>
    </row>
    <row r="711" spans="1:6" ht="25.5" x14ac:dyDescent="0.3">
      <c r="A711" s="13" t="s">
        <v>139</v>
      </c>
      <c r="B711" s="2">
        <v>9036880.5199999996</v>
      </c>
    </row>
    <row r="712" spans="1:6" ht="17.25" thickBot="1" x14ac:dyDescent="0.35"/>
    <row r="713" spans="1:6" ht="33" customHeight="1" x14ac:dyDescent="0.3">
      <c r="A713" s="16" t="s">
        <v>140</v>
      </c>
      <c r="B713" s="18"/>
    </row>
    <row r="714" spans="1:6" ht="33.75" thickBot="1" x14ac:dyDescent="0.35">
      <c r="A714" s="12" t="s">
        <v>141</v>
      </c>
      <c r="B714" s="2" t="s">
        <v>142</v>
      </c>
    </row>
    <row r="715" spans="1:6" ht="25.5" x14ac:dyDescent="0.3">
      <c r="A715" s="13" t="s">
        <v>143</v>
      </c>
      <c r="B715" s="2" t="s">
        <v>144</v>
      </c>
    </row>
    <row r="716" spans="1:6" ht="17.25" thickBot="1" x14ac:dyDescent="0.35"/>
    <row r="717" spans="1:6" ht="16.5" customHeight="1" x14ac:dyDescent="0.3">
      <c r="A717" s="16" t="s">
        <v>238</v>
      </c>
      <c r="B717" s="18"/>
      <c r="C717" s="18"/>
      <c r="D717" s="18"/>
      <c r="E717" s="18"/>
      <c r="F717" s="18"/>
    </row>
    <row r="718" spans="1:6" ht="16.5" customHeight="1" x14ac:dyDescent="0.3">
      <c r="A718" s="17" t="s">
        <v>239</v>
      </c>
      <c r="B718" s="19" t="s">
        <v>94</v>
      </c>
      <c r="C718" s="19" t="s">
        <v>240</v>
      </c>
      <c r="D718" s="3" t="s">
        <v>241</v>
      </c>
      <c r="E718" s="19" t="s">
        <v>243</v>
      </c>
      <c r="F718" s="19"/>
    </row>
    <row r="719" spans="1:6" x14ac:dyDescent="0.3">
      <c r="A719" s="17"/>
      <c r="B719" s="19"/>
      <c r="C719" s="19"/>
      <c r="D719" s="3" t="s">
        <v>242</v>
      </c>
      <c r="E719" s="19"/>
      <c r="F719" s="19"/>
    </row>
    <row r="720" spans="1:6" x14ac:dyDescent="0.3">
      <c r="A720" s="13" t="s">
        <v>117</v>
      </c>
      <c r="B720" s="2">
        <v>23222</v>
      </c>
      <c r="C720" s="2">
        <v>33.805624000000002</v>
      </c>
      <c r="D720" s="2">
        <v>7.0877999999999997E-2</v>
      </c>
      <c r="E720" s="2">
        <v>33.666644300000002</v>
      </c>
      <c r="F720" s="2">
        <v>33.944603299999997</v>
      </c>
    </row>
    <row r="724" spans="1:8" x14ac:dyDescent="0.3">
      <c r="A724" s="1" t="s">
        <v>237</v>
      </c>
    </row>
    <row r="726" spans="1:8" x14ac:dyDescent="0.3">
      <c r="A726" s="1" t="s">
        <v>1</v>
      </c>
    </row>
    <row r="727" spans="1:8" ht="17.25" thickBot="1" x14ac:dyDescent="0.35"/>
    <row r="728" spans="1:8" ht="16.5" customHeight="1" x14ac:dyDescent="0.3">
      <c r="A728" s="16" t="s">
        <v>257</v>
      </c>
      <c r="B728" s="18"/>
      <c r="C728" s="18"/>
      <c r="D728" s="18"/>
      <c r="E728" s="18"/>
      <c r="F728" s="18"/>
      <c r="G728" s="18"/>
      <c r="H728" s="18"/>
    </row>
    <row r="729" spans="1:8" ht="16.5" customHeight="1" x14ac:dyDescent="0.3">
      <c r="A729" s="17" t="s">
        <v>249</v>
      </c>
      <c r="B729" s="19" t="s">
        <v>12</v>
      </c>
      <c r="C729" s="19" t="s">
        <v>239</v>
      </c>
      <c r="D729" s="19" t="s">
        <v>94</v>
      </c>
      <c r="E729" s="19" t="s">
        <v>240</v>
      </c>
      <c r="F729" s="3" t="s">
        <v>241</v>
      </c>
      <c r="G729" s="19" t="s">
        <v>243</v>
      </c>
      <c r="H729" s="19"/>
    </row>
    <row r="730" spans="1:8" x14ac:dyDescent="0.3">
      <c r="A730" s="17"/>
      <c r="B730" s="19"/>
      <c r="C730" s="19"/>
      <c r="D730" s="19"/>
      <c r="E730" s="19"/>
      <c r="F730" s="3" t="s">
        <v>242</v>
      </c>
      <c r="G730" s="19"/>
      <c r="H730" s="19"/>
    </row>
    <row r="731" spans="1:8" ht="17.25" thickBot="1" x14ac:dyDescent="0.35">
      <c r="A731" s="6">
        <v>1</v>
      </c>
      <c r="B731" s="3">
        <v>1</v>
      </c>
      <c r="C731" s="11" t="s">
        <v>117</v>
      </c>
      <c r="D731" s="2">
        <v>1680</v>
      </c>
      <c r="E731" s="2">
        <v>33.403073999999997</v>
      </c>
      <c r="F731" s="2">
        <v>0.23955499999999999</v>
      </c>
      <c r="G731" s="2">
        <v>32.933349800000002</v>
      </c>
      <c r="H731" s="2">
        <v>33.872797599999998</v>
      </c>
    </row>
    <row r="732" spans="1:8" ht="17.25" thickBot="1" x14ac:dyDescent="0.35">
      <c r="A732" s="6"/>
      <c r="B732" s="3">
        <v>2</v>
      </c>
      <c r="C732" s="11" t="s">
        <v>117</v>
      </c>
      <c r="D732" s="2">
        <v>1059</v>
      </c>
      <c r="E732" s="2">
        <v>34.167423999999997</v>
      </c>
      <c r="F732" s="2">
        <v>0.27497100000000002</v>
      </c>
      <c r="G732" s="2">
        <v>33.628254800000001</v>
      </c>
      <c r="H732" s="2">
        <v>34.706593400000003</v>
      </c>
    </row>
    <row r="733" spans="1:8" ht="17.25" thickBot="1" x14ac:dyDescent="0.35">
      <c r="A733" s="6"/>
      <c r="B733" s="3">
        <v>3</v>
      </c>
      <c r="C733" s="11" t="s">
        <v>117</v>
      </c>
      <c r="D733" s="2">
        <v>979</v>
      </c>
      <c r="E733" s="2">
        <v>36.799686000000001</v>
      </c>
      <c r="F733" s="2">
        <v>0.34088099999999999</v>
      </c>
      <c r="G733" s="2">
        <v>36.1312791</v>
      </c>
      <c r="H733" s="2">
        <v>37.4680933</v>
      </c>
    </row>
    <row r="734" spans="1:8" ht="17.25" thickBot="1" x14ac:dyDescent="0.35">
      <c r="A734" s="6"/>
      <c r="B734" s="3">
        <v>8</v>
      </c>
      <c r="C734" s="11" t="s">
        <v>117</v>
      </c>
      <c r="D734" s="2">
        <v>22</v>
      </c>
      <c r="E734" s="2">
        <v>37.174655000000001</v>
      </c>
      <c r="F734" s="2">
        <v>1.9670300000000001</v>
      </c>
      <c r="G734" s="2">
        <v>33.3176585</v>
      </c>
      <c r="H734" s="2">
        <v>41.031651799999999</v>
      </c>
    </row>
    <row r="735" spans="1:8" ht="17.25" thickBot="1" x14ac:dyDescent="0.35">
      <c r="A735" s="6">
        <v>2</v>
      </c>
      <c r="B735" s="3">
        <v>1</v>
      </c>
      <c r="C735" s="11" t="s">
        <v>117</v>
      </c>
      <c r="D735" s="2">
        <v>2102</v>
      </c>
      <c r="E735" s="2">
        <v>31.411818</v>
      </c>
      <c r="F735" s="2">
        <v>0.19672799999999999</v>
      </c>
      <c r="G735" s="2">
        <v>31.026070600000001</v>
      </c>
      <c r="H735" s="2">
        <v>31.797566</v>
      </c>
    </row>
    <row r="736" spans="1:8" ht="17.25" thickBot="1" x14ac:dyDescent="0.35">
      <c r="A736" s="6"/>
      <c r="B736" s="3">
        <v>2</v>
      </c>
      <c r="C736" s="11" t="s">
        <v>117</v>
      </c>
      <c r="D736" s="2">
        <v>1750</v>
      </c>
      <c r="E736" s="2">
        <v>33.511625000000002</v>
      </c>
      <c r="F736" s="2">
        <v>0.236369</v>
      </c>
      <c r="G736" s="2">
        <v>33.048146600000003</v>
      </c>
      <c r="H736" s="2">
        <v>33.975102999999997</v>
      </c>
    </row>
    <row r="737" spans="1:8" ht="17.25" thickBot="1" x14ac:dyDescent="0.35">
      <c r="A737" s="6"/>
      <c r="B737" s="3">
        <v>3</v>
      </c>
      <c r="C737" s="11" t="s">
        <v>117</v>
      </c>
      <c r="D737" s="2">
        <v>790</v>
      </c>
      <c r="E737" s="2">
        <v>35.55359</v>
      </c>
      <c r="F737" s="2">
        <v>0.44659100000000002</v>
      </c>
      <c r="G737" s="2">
        <v>34.6779048</v>
      </c>
      <c r="H737" s="2">
        <v>36.429274399999997</v>
      </c>
    </row>
    <row r="738" spans="1:8" ht="17.25" thickBot="1" x14ac:dyDescent="0.35">
      <c r="A738" s="6"/>
      <c r="B738" s="3">
        <v>8</v>
      </c>
      <c r="C738" s="11" t="s">
        <v>117</v>
      </c>
      <c r="D738" s="2">
        <v>90</v>
      </c>
      <c r="E738" s="2">
        <v>33.844005000000003</v>
      </c>
      <c r="F738" s="2">
        <v>0.67739499999999997</v>
      </c>
      <c r="G738" s="2">
        <v>32.515753599999996</v>
      </c>
      <c r="H738" s="2">
        <v>35.172255900000003</v>
      </c>
    </row>
    <row r="739" spans="1:8" ht="17.25" thickBot="1" x14ac:dyDescent="0.35">
      <c r="A739" s="6">
        <v>3</v>
      </c>
      <c r="B739" s="3">
        <v>1</v>
      </c>
      <c r="C739" s="11" t="s">
        <v>117</v>
      </c>
      <c r="D739" s="2">
        <v>1521</v>
      </c>
      <c r="E739" s="2">
        <v>31.216984</v>
      </c>
      <c r="F739" s="2">
        <v>0.19975399999999999</v>
      </c>
      <c r="G739" s="2">
        <v>30.825302300000001</v>
      </c>
      <c r="H739" s="2">
        <v>31.6086648</v>
      </c>
    </row>
    <row r="740" spans="1:8" ht="17.25" thickBot="1" x14ac:dyDescent="0.35">
      <c r="A740" s="6"/>
      <c r="B740" s="3">
        <v>2</v>
      </c>
      <c r="C740" s="11" t="s">
        <v>117</v>
      </c>
      <c r="D740" s="2">
        <v>1523</v>
      </c>
      <c r="E740" s="2">
        <v>34.504596999999997</v>
      </c>
      <c r="F740" s="2">
        <v>0.24801000000000001</v>
      </c>
      <c r="G740" s="2">
        <v>34.018293800000002</v>
      </c>
      <c r="H740" s="2">
        <v>34.990899499999998</v>
      </c>
    </row>
    <row r="741" spans="1:8" ht="17.25" thickBot="1" x14ac:dyDescent="0.35">
      <c r="A741" s="6"/>
      <c r="B741" s="3">
        <v>3</v>
      </c>
      <c r="C741" s="11" t="s">
        <v>117</v>
      </c>
      <c r="D741" s="2">
        <v>619</v>
      </c>
      <c r="E741" s="2">
        <v>36.493012</v>
      </c>
      <c r="F741" s="2">
        <v>0.39333200000000001</v>
      </c>
      <c r="G741" s="2">
        <v>35.721757599999997</v>
      </c>
      <c r="H741" s="2">
        <v>37.264267099999998</v>
      </c>
    </row>
    <row r="742" spans="1:8" ht="17.25" thickBot="1" x14ac:dyDescent="0.35">
      <c r="A742" s="6"/>
      <c r="B742" s="3">
        <v>8</v>
      </c>
      <c r="C742" s="11" t="s">
        <v>117</v>
      </c>
      <c r="D742" s="2">
        <v>594</v>
      </c>
      <c r="E742" s="2">
        <v>36.489978999999998</v>
      </c>
      <c r="F742" s="2">
        <v>0.39866000000000001</v>
      </c>
      <c r="G742" s="2">
        <v>35.708278499999999</v>
      </c>
      <c r="H742" s="2">
        <v>37.271680400000001</v>
      </c>
    </row>
    <row r="743" spans="1:8" ht="17.25" thickBot="1" x14ac:dyDescent="0.35">
      <c r="A743" s="6">
        <v>4</v>
      </c>
      <c r="B743" s="3">
        <v>1</v>
      </c>
      <c r="C743" s="11" t="s">
        <v>117</v>
      </c>
      <c r="D743" s="2">
        <v>1596</v>
      </c>
      <c r="E743" s="2">
        <v>31.166283</v>
      </c>
      <c r="F743" s="2">
        <v>0.20898600000000001</v>
      </c>
      <c r="G743" s="2">
        <v>30.756499600000001</v>
      </c>
      <c r="H743" s="2">
        <v>31.576067299999998</v>
      </c>
    </row>
    <row r="744" spans="1:8" ht="17.25" thickBot="1" x14ac:dyDescent="0.35">
      <c r="A744" s="6"/>
      <c r="B744" s="3">
        <v>2</v>
      </c>
      <c r="C744" s="11" t="s">
        <v>117</v>
      </c>
      <c r="D744" s="2">
        <v>1673</v>
      </c>
      <c r="E744" s="2">
        <v>34.160156000000001</v>
      </c>
      <c r="F744" s="2">
        <v>0.21295700000000001</v>
      </c>
      <c r="G744" s="2">
        <v>33.742585300000002</v>
      </c>
      <c r="H744" s="2">
        <v>34.577727000000003</v>
      </c>
    </row>
    <row r="745" spans="1:8" ht="17.25" thickBot="1" x14ac:dyDescent="0.35">
      <c r="A745" s="6"/>
      <c r="B745" s="3">
        <v>3</v>
      </c>
      <c r="C745" s="11" t="s">
        <v>117</v>
      </c>
      <c r="D745" s="2">
        <v>679</v>
      </c>
      <c r="E745" s="2">
        <v>37.114401000000001</v>
      </c>
      <c r="F745" s="2">
        <v>0.430925</v>
      </c>
      <c r="G745" s="2">
        <v>36.2694337</v>
      </c>
      <c r="H745" s="2">
        <v>37.959369199999998</v>
      </c>
    </row>
    <row r="746" spans="1:8" ht="17.25" thickBot="1" x14ac:dyDescent="0.35">
      <c r="A746" s="6"/>
      <c r="B746" s="3">
        <v>8</v>
      </c>
      <c r="C746" s="11" t="s">
        <v>117</v>
      </c>
      <c r="D746" s="2">
        <v>608</v>
      </c>
      <c r="E746" s="2">
        <v>36.719422000000002</v>
      </c>
      <c r="F746" s="2">
        <v>0.34465099999999999</v>
      </c>
      <c r="G746" s="2">
        <v>36.043622300000003</v>
      </c>
      <c r="H746" s="2">
        <v>37.395221499999998</v>
      </c>
    </row>
    <row r="747" spans="1:8" ht="17.25" thickBot="1" x14ac:dyDescent="0.35">
      <c r="A747" s="6">
        <v>5</v>
      </c>
      <c r="B747" s="3">
        <v>1</v>
      </c>
      <c r="C747" s="11" t="s">
        <v>117</v>
      </c>
      <c r="D747" s="2">
        <v>1505</v>
      </c>
      <c r="E747" s="2">
        <v>31.940131000000001</v>
      </c>
      <c r="F747" s="2">
        <v>0.24691299999999999</v>
      </c>
      <c r="G747" s="2">
        <v>31.4559791</v>
      </c>
      <c r="H747" s="2">
        <v>32.424283299999999</v>
      </c>
    </row>
    <row r="748" spans="1:8" ht="17.25" thickBot="1" x14ac:dyDescent="0.35">
      <c r="A748" s="6"/>
      <c r="B748" s="3">
        <v>2</v>
      </c>
      <c r="C748" s="11" t="s">
        <v>117</v>
      </c>
      <c r="D748" s="2">
        <v>1506</v>
      </c>
      <c r="E748" s="2">
        <v>35.078406999999999</v>
      </c>
      <c r="F748" s="2">
        <v>0.29017599999999999</v>
      </c>
      <c r="G748" s="2">
        <v>34.5094244</v>
      </c>
      <c r="H748" s="2">
        <v>35.6473899</v>
      </c>
    </row>
    <row r="749" spans="1:8" ht="17.25" thickBot="1" x14ac:dyDescent="0.35">
      <c r="A749" s="6"/>
      <c r="B749" s="3">
        <v>3</v>
      </c>
      <c r="C749" s="11" t="s">
        <v>117</v>
      </c>
      <c r="D749" s="2">
        <v>636</v>
      </c>
      <c r="E749" s="2">
        <v>36.347928000000003</v>
      </c>
      <c r="F749" s="2">
        <v>0.43222699999999997</v>
      </c>
      <c r="G749" s="2">
        <v>35.500408</v>
      </c>
      <c r="H749" s="2">
        <v>37.195447899999998</v>
      </c>
    </row>
    <row r="750" spans="1:8" ht="17.25" thickBot="1" x14ac:dyDescent="0.35">
      <c r="A750" s="6"/>
      <c r="B750" s="3">
        <v>8</v>
      </c>
      <c r="C750" s="11" t="s">
        <v>117</v>
      </c>
      <c r="D750" s="2">
        <v>854</v>
      </c>
      <c r="E750" s="2">
        <v>36.104495999999997</v>
      </c>
      <c r="F750" s="2">
        <v>0.35383700000000001</v>
      </c>
      <c r="G750" s="2">
        <v>35.410685000000001</v>
      </c>
      <c r="H750" s="2">
        <v>36.798307600000001</v>
      </c>
    </row>
    <row r="751" spans="1:8" ht="17.25" thickBot="1" x14ac:dyDescent="0.35">
      <c r="A751" s="6">
        <v>6</v>
      </c>
      <c r="B751" s="3">
        <v>1</v>
      </c>
      <c r="C751" s="11" t="s">
        <v>117</v>
      </c>
      <c r="D751" s="2">
        <v>447</v>
      </c>
      <c r="E751" s="2">
        <v>31.015129000000002</v>
      </c>
      <c r="F751" s="2">
        <v>0.45450600000000002</v>
      </c>
      <c r="G751" s="2">
        <v>30.123923900000001</v>
      </c>
      <c r="H751" s="2">
        <v>31.906333400000001</v>
      </c>
    </row>
    <row r="752" spans="1:8" ht="17.25" thickBot="1" x14ac:dyDescent="0.35">
      <c r="A752" s="6"/>
      <c r="B752" s="3">
        <v>2</v>
      </c>
      <c r="C752" s="11" t="s">
        <v>117</v>
      </c>
      <c r="D752" s="2">
        <v>474</v>
      </c>
      <c r="E752" s="2">
        <v>33.470453999999997</v>
      </c>
      <c r="F752" s="2">
        <v>0.41113</v>
      </c>
      <c r="G752" s="2">
        <v>32.664301000000002</v>
      </c>
      <c r="H752" s="2">
        <v>34.276607599999998</v>
      </c>
    </row>
    <row r="753" spans="1:8" ht="17.25" thickBot="1" x14ac:dyDescent="0.35">
      <c r="A753" s="6"/>
      <c r="B753" s="3">
        <v>3</v>
      </c>
      <c r="C753" s="11" t="s">
        <v>117</v>
      </c>
      <c r="D753" s="2">
        <v>180</v>
      </c>
      <c r="E753" s="2">
        <v>36.015602999999999</v>
      </c>
      <c r="F753" s="2">
        <v>0.91725800000000002</v>
      </c>
      <c r="G753" s="2">
        <v>34.217023500000003</v>
      </c>
      <c r="H753" s="2">
        <v>37.814183499999999</v>
      </c>
    </row>
    <row r="754" spans="1:8" x14ac:dyDescent="0.3">
      <c r="A754" s="6"/>
      <c r="B754" s="3">
        <v>8</v>
      </c>
      <c r="C754" s="14" t="s">
        <v>117</v>
      </c>
      <c r="D754" s="2">
        <v>335</v>
      </c>
      <c r="E754" s="2">
        <v>35.457236999999999</v>
      </c>
      <c r="F754" s="2">
        <v>0.51793800000000001</v>
      </c>
      <c r="G754" s="2">
        <v>34.441651999999998</v>
      </c>
      <c r="H754" s="2">
        <v>36.472822200000003</v>
      </c>
    </row>
    <row r="758" spans="1:8" x14ac:dyDescent="0.3">
      <c r="A758" s="1" t="s">
        <v>237</v>
      </c>
    </row>
    <row r="760" spans="1:8" x14ac:dyDescent="0.3">
      <c r="A760" s="1" t="s">
        <v>21</v>
      </c>
    </row>
    <row r="761" spans="1:8" ht="17.25" thickBot="1" x14ac:dyDescent="0.35"/>
    <row r="762" spans="1:8" ht="16.5" customHeight="1" x14ac:dyDescent="0.3">
      <c r="A762" s="16" t="s">
        <v>135</v>
      </c>
      <c r="B762" s="18"/>
    </row>
    <row r="763" spans="1:8" ht="26.25" thickBot="1" x14ac:dyDescent="0.35">
      <c r="A763" s="12" t="s">
        <v>136</v>
      </c>
      <c r="B763" s="2">
        <v>183</v>
      </c>
    </row>
    <row r="764" spans="1:8" ht="26.25" thickBot="1" x14ac:dyDescent="0.35">
      <c r="A764" s="12" t="s">
        <v>137</v>
      </c>
      <c r="B764" s="2">
        <v>2982</v>
      </c>
    </row>
    <row r="765" spans="1:8" ht="39" thickBot="1" x14ac:dyDescent="0.35">
      <c r="A765" s="12" t="s">
        <v>138</v>
      </c>
      <c r="B765" s="2">
        <v>68635</v>
      </c>
    </row>
    <row r="766" spans="1:8" ht="25.5" x14ac:dyDescent="0.3">
      <c r="A766" s="13" t="s">
        <v>139</v>
      </c>
      <c r="B766" s="2">
        <v>30251935.699999999</v>
      </c>
    </row>
    <row r="767" spans="1:8" ht="17.25" thickBot="1" x14ac:dyDescent="0.35"/>
    <row r="768" spans="1:8" ht="33" customHeight="1" x14ac:dyDescent="0.3">
      <c r="A768" s="16" t="s">
        <v>140</v>
      </c>
      <c r="B768" s="18"/>
    </row>
    <row r="769" spans="1:8" ht="33.75" thickBot="1" x14ac:dyDescent="0.35">
      <c r="A769" s="12" t="s">
        <v>141</v>
      </c>
      <c r="B769" s="2" t="s">
        <v>142</v>
      </c>
    </row>
    <row r="770" spans="1:8" ht="25.5" x14ac:dyDescent="0.3">
      <c r="A770" s="13" t="s">
        <v>143</v>
      </c>
      <c r="B770" s="2" t="s">
        <v>144</v>
      </c>
    </row>
    <row r="771" spans="1:8" ht="17.25" thickBot="1" x14ac:dyDescent="0.35"/>
    <row r="772" spans="1:8" ht="16.5" customHeight="1" x14ac:dyDescent="0.3">
      <c r="A772" s="16" t="s">
        <v>238</v>
      </c>
      <c r="B772" s="18"/>
      <c r="C772" s="18"/>
      <c r="D772" s="18"/>
      <c r="E772" s="18"/>
      <c r="F772" s="18"/>
    </row>
    <row r="773" spans="1:8" ht="16.5" customHeight="1" x14ac:dyDescent="0.3">
      <c r="A773" s="17" t="s">
        <v>239</v>
      </c>
      <c r="B773" s="19" t="s">
        <v>94</v>
      </c>
      <c r="C773" s="19" t="s">
        <v>240</v>
      </c>
      <c r="D773" s="3" t="s">
        <v>241</v>
      </c>
      <c r="E773" s="19" t="s">
        <v>243</v>
      </c>
      <c r="F773" s="19"/>
    </row>
    <row r="774" spans="1:8" x14ac:dyDescent="0.3">
      <c r="A774" s="17"/>
      <c r="B774" s="19"/>
      <c r="C774" s="19"/>
      <c r="D774" s="3" t="s">
        <v>242</v>
      </c>
      <c r="E774" s="19"/>
      <c r="F774" s="19"/>
    </row>
    <row r="775" spans="1:8" x14ac:dyDescent="0.3">
      <c r="A775" s="13" t="s">
        <v>117</v>
      </c>
      <c r="B775" s="2">
        <v>68635</v>
      </c>
      <c r="C775" s="2">
        <v>35.601097000000003</v>
      </c>
      <c r="D775" s="2">
        <v>3.8943999999999999E-2</v>
      </c>
      <c r="E775" s="2">
        <v>35.524735800000002</v>
      </c>
      <c r="F775" s="2">
        <v>35.677458399999999</v>
      </c>
    </row>
    <row r="779" spans="1:8" x14ac:dyDescent="0.3">
      <c r="A779" s="1" t="s">
        <v>237</v>
      </c>
    </row>
    <row r="781" spans="1:8" x14ac:dyDescent="0.3">
      <c r="A781" s="1" t="s">
        <v>21</v>
      </c>
    </row>
    <row r="782" spans="1:8" ht="17.25" thickBot="1" x14ac:dyDescent="0.35"/>
    <row r="783" spans="1:8" ht="16.5" customHeight="1" x14ac:dyDescent="0.3">
      <c r="A783" s="16" t="s">
        <v>257</v>
      </c>
      <c r="B783" s="18"/>
      <c r="C783" s="18"/>
      <c r="D783" s="18"/>
      <c r="E783" s="18"/>
      <c r="F783" s="18"/>
      <c r="G783" s="18"/>
      <c r="H783" s="18"/>
    </row>
    <row r="784" spans="1:8" ht="16.5" customHeight="1" x14ac:dyDescent="0.3">
      <c r="A784" s="17" t="s">
        <v>249</v>
      </c>
      <c r="B784" s="19" t="s">
        <v>12</v>
      </c>
      <c r="C784" s="19" t="s">
        <v>239</v>
      </c>
      <c r="D784" s="19" t="s">
        <v>94</v>
      </c>
      <c r="E784" s="19" t="s">
        <v>240</v>
      </c>
      <c r="F784" s="3" t="s">
        <v>241</v>
      </c>
      <c r="G784" s="19" t="s">
        <v>243</v>
      </c>
      <c r="H784" s="19"/>
    </row>
    <row r="785" spans="1:15" x14ac:dyDescent="0.3">
      <c r="A785" s="17"/>
      <c r="B785" s="19"/>
      <c r="C785" s="19"/>
      <c r="D785" s="19"/>
      <c r="E785" s="19"/>
      <c r="F785" s="3" t="s">
        <v>242</v>
      </c>
      <c r="G785" s="19"/>
      <c r="H785" s="19"/>
    </row>
    <row r="786" spans="1:15" ht="17.25" thickBot="1" x14ac:dyDescent="0.35">
      <c r="A786" s="6">
        <v>1</v>
      </c>
      <c r="B786" s="3">
        <v>1</v>
      </c>
      <c r="C786" s="11" t="s">
        <v>117</v>
      </c>
      <c r="D786" s="2">
        <v>4828</v>
      </c>
      <c r="E786" s="2">
        <v>35.13626</v>
      </c>
      <c r="F786" s="2">
        <v>0.12864300000000001</v>
      </c>
      <c r="G786" s="2">
        <v>34.884016000000003</v>
      </c>
      <c r="H786" s="2">
        <v>35.388504500000003</v>
      </c>
      <c r="J786" t="str">
        <f t="shared" ref="J786:J803" si="27">TEXT(E786,"0.00")&amp;" ("&amp;TEXT(G786,"0.00")&amp;" to "&amp;TEXT(H786,"0.00")&amp;")"</f>
        <v>35.14 (34.88 to 35.39)</v>
      </c>
      <c r="K786" t="str">
        <f>J789</f>
        <v>34.94 (34.67 to 35.21)</v>
      </c>
      <c r="L786" t="str">
        <f>J792</f>
        <v>34.44 (34.19 to 34.69)</v>
      </c>
      <c r="M786" t="str">
        <f>J795</f>
        <v>34.65 (34.39 to 34.91)</v>
      </c>
      <c r="N786" t="str">
        <f>J798</f>
        <v>34.86 (34.59 to 35.13)</v>
      </c>
      <c r="O786" t="str">
        <f>J801</f>
        <v>34.05 (33.56 to 34.54)</v>
      </c>
    </row>
    <row r="787" spans="1:15" ht="17.25" thickBot="1" x14ac:dyDescent="0.35">
      <c r="A787" s="6"/>
      <c r="B787" s="3">
        <v>2</v>
      </c>
      <c r="C787" s="11" t="s">
        <v>117</v>
      </c>
      <c r="D787" s="2">
        <v>4408</v>
      </c>
      <c r="E787" s="2">
        <v>35.619117000000003</v>
      </c>
      <c r="F787" s="2">
        <v>0.122486</v>
      </c>
      <c r="G787" s="2">
        <v>35.3789461</v>
      </c>
      <c r="H787" s="2">
        <v>35.859288300000003</v>
      </c>
      <c r="J787" t="str">
        <f t="shared" si="27"/>
        <v>35.62 (35.38 to 35.86)</v>
      </c>
      <c r="K787" t="str">
        <f t="shared" ref="K787:K788" si="28">J790</f>
        <v>35.73 (35.48 to 35.98)</v>
      </c>
      <c r="L787" t="str">
        <f t="shared" ref="L787:L788" si="29">J793</f>
        <v>35.66 (35.44 to 35.89)</v>
      </c>
      <c r="M787" t="str">
        <f t="shared" ref="M787:M788" si="30">J796</f>
        <v>35.87 (35.65 to 36.09)</v>
      </c>
      <c r="N787" t="str">
        <f t="shared" ref="N787:N788" si="31">J799</f>
        <v>35.79 (35.56 to 36.02)</v>
      </c>
      <c r="O787" t="str">
        <f t="shared" ref="O787:O788" si="32">J802</f>
        <v>35.24 (34.82 to 35.66)</v>
      </c>
    </row>
    <row r="788" spans="1:15" ht="17.25" thickBot="1" x14ac:dyDescent="0.35">
      <c r="A788" s="6"/>
      <c r="B788" s="3">
        <v>3</v>
      </c>
      <c r="C788" s="11" t="s">
        <v>117</v>
      </c>
      <c r="D788" s="2">
        <v>2679</v>
      </c>
      <c r="E788" s="2">
        <v>36.467539000000002</v>
      </c>
      <c r="F788" s="2">
        <v>0.19725100000000001</v>
      </c>
      <c r="G788" s="2">
        <v>36.080766500000003</v>
      </c>
      <c r="H788" s="2">
        <v>36.854312299999997</v>
      </c>
      <c r="J788" t="str">
        <f t="shared" si="27"/>
        <v>36.47 (36.08 to 36.85)</v>
      </c>
      <c r="K788" t="str">
        <f t="shared" si="28"/>
        <v>36.33 (35.93 to 36.72)</v>
      </c>
      <c r="L788" t="str">
        <f t="shared" si="29"/>
        <v>36.53 (36.06 to 37.00)</v>
      </c>
      <c r="M788" t="str">
        <f t="shared" si="30"/>
        <v>37.35 (36.95 to 37.75)</v>
      </c>
      <c r="N788" t="str">
        <f t="shared" si="31"/>
        <v>37.89 (37.40 to 38.38)</v>
      </c>
      <c r="O788" t="str">
        <f t="shared" si="32"/>
        <v>38.11 (37.18 to 39.03)</v>
      </c>
    </row>
    <row r="789" spans="1:15" ht="17.25" thickBot="1" x14ac:dyDescent="0.35">
      <c r="A789" s="6">
        <v>2</v>
      </c>
      <c r="B789" s="3">
        <v>1</v>
      </c>
      <c r="C789" s="11" t="s">
        <v>117</v>
      </c>
      <c r="D789" s="2">
        <v>4474</v>
      </c>
      <c r="E789" s="2">
        <v>34.938470000000002</v>
      </c>
      <c r="F789" s="2">
        <v>0.13885500000000001</v>
      </c>
      <c r="G789" s="2">
        <v>34.666202200000001</v>
      </c>
      <c r="H789" s="2">
        <v>35.210737799999997</v>
      </c>
      <c r="J789" t="str">
        <f t="shared" si="27"/>
        <v>34.94 (34.67 to 35.21)</v>
      </c>
    </row>
    <row r="790" spans="1:15" ht="17.25" thickBot="1" x14ac:dyDescent="0.35">
      <c r="A790" s="6"/>
      <c r="B790" s="3">
        <v>2</v>
      </c>
      <c r="C790" s="11" t="s">
        <v>117</v>
      </c>
      <c r="D790" s="2">
        <v>6326</v>
      </c>
      <c r="E790" s="2">
        <v>35.729841</v>
      </c>
      <c r="F790" s="2">
        <v>0.12740000000000001</v>
      </c>
      <c r="G790" s="2">
        <v>35.4800343</v>
      </c>
      <c r="H790" s="2">
        <v>35.979648400000002</v>
      </c>
      <c r="J790" t="str">
        <f t="shared" si="27"/>
        <v>35.73 (35.48 to 35.98)</v>
      </c>
    </row>
    <row r="791" spans="1:15" ht="17.25" thickBot="1" x14ac:dyDescent="0.35">
      <c r="A791" s="6"/>
      <c r="B791" s="3">
        <v>3</v>
      </c>
      <c r="C791" s="11" t="s">
        <v>117</v>
      </c>
      <c r="D791" s="2">
        <v>2316</v>
      </c>
      <c r="E791" s="2">
        <v>36.325938000000001</v>
      </c>
      <c r="F791" s="2">
        <v>0.20288100000000001</v>
      </c>
      <c r="G791" s="2">
        <v>35.928126599999999</v>
      </c>
      <c r="H791" s="2">
        <v>36.723748999999998</v>
      </c>
      <c r="J791" t="str">
        <f t="shared" si="27"/>
        <v>36.33 (35.93 to 36.72)</v>
      </c>
    </row>
    <row r="792" spans="1:15" ht="17.25" thickBot="1" x14ac:dyDescent="0.35">
      <c r="A792" s="6">
        <v>3</v>
      </c>
      <c r="B792" s="3">
        <v>1</v>
      </c>
      <c r="C792" s="11" t="s">
        <v>117</v>
      </c>
      <c r="D792" s="2">
        <v>3613</v>
      </c>
      <c r="E792" s="2">
        <v>34.439214</v>
      </c>
      <c r="F792" s="2">
        <v>0.126585</v>
      </c>
      <c r="G792" s="2">
        <v>34.191004800000002</v>
      </c>
      <c r="H792" s="2">
        <v>34.6874234</v>
      </c>
      <c r="J792" t="str">
        <f t="shared" si="27"/>
        <v>34.44 (34.19 to 34.69)</v>
      </c>
    </row>
    <row r="793" spans="1:15" ht="17.25" thickBot="1" x14ac:dyDescent="0.35">
      <c r="A793" s="6"/>
      <c r="B793" s="3">
        <v>2</v>
      </c>
      <c r="C793" s="11" t="s">
        <v>117</v>
      </c>
      <c r="D793" s="2">
        <v>5912</v>
      </c>
      <c r="E793" s="2">
        <v>35.664194000000002</v>
      </c>
      <c r="F793" s="2">
        <v>0.116878</v>
      </c>
      <c r="G793" s="2">
        <v>35.435017500000001</v>
      </c>
      <c r="H793" s="2">
        <v>35.893370599999997</v>
      </c>
      <c r="J793" t="str">
        <f t="shared" si="27"/>
        <v>35.66 (35.44 to 35.89)</v>
      </c>
    </row>
    <row r="794" spans="1:15" ht="17.25" thickBot="1" x14ac:dyDescent="0.35">
      <c r="A794" s="6"/>
      <c r="B794" s="3">
        <v>3</v>
      </c>
      <c r="C794" s="11" t="s">
        <v>117</v>
      </c>
      <c r="D794" s="2">
        <v>1950</v>
      </c>
      <c r="E794" s="2">
        <v>36.530493999999997</v>
      </c>
      <c r="F794" s="2">
        <v>0.24067</v>
      </c>
      <c r="G794" s="2">
        <v>36.058584699999997</v>
      </c>
      <c r="H794" s="2">
        <v>37.002403100000002</v>
      </c>
      <c r="J794" t="str">
        <f t="shared" si="27"/>
        <v>36.53 (36.06 to 37.00)</v>
      </c>
    </row>
    <row r="795" spans="1:15" ht="17.25" thickBot="1" x14ac:dyDescent="0.35">
      <c r="A795" s="6">
        <v>4</v>
      </c>
      <c r="B795" s="3">
        <v>1</v>
      </c>
      <c r="C795" s="11" t="s">
        <v>117</v>
      </c>
      <c r="D795" s="2">
        <v>4138</v>
      </c>
      <c r="E795" s="2">
        <v>34.653418000000002</v>
      </c>
      <c r="F795" s="2">
        <v>0.131884</v>
      </c>
      <c r="G795" s="2">
        <v>34.394817600000003</v>
      </c>
      <c r="H795" s="2">
        <v>34.912018000000003</v>
      </c>
      <c r="J795" t="str">
        <f t="shared" si="27"/>
        <v>34.65 (34.39 to 34.91)</v>
      </c>
    </row>
    <row r="796" spans="1:15" ht="17.25" thickBot="1" x14ac:dyDescent="0.35">
      <c r="A796" s="6"/>
      <c r="B796" s="3">
        <v>2</v>
      </c>
      <c r="C796" s="11" t="s">
        <v>117</v>
      </c>
      <c r="D796" s="2">
        <v>7449</v>
      </c>
      <c r="E796" s="2">
        <v>35.866349</v>
      </c>
      <c r="F796" s="2">
        <v>0.112182</v>
      </c>
      <c r="G796" s="2">
        <v>35.646381499999997</v>
      </c>
      <c r="H796" s="2">
        <v>36.086315599999999</v>
      </c>
      <c r="J796" t="str">
        <f t="shared" si="27"/>
        <v>35.87 (35.65 to 36.09)</v>
      </c>
    </row>
    <row r="797" spans="1:15" ht="17.25" thickBot="1" x14ac:dyDescent="0.35">
      <c r="A797" s="6"/>
      <c r="B797" s="3">
        <v>3</v>
      </c>
      <c r="C797" s="11" t="s">
        <v>117</v>
      </c>
      <c r="D797" s="2">
        <v>2571</v>
      </c>
      <c r="E797" s="2">
        <v>37.352702999999998</v>
      </c>
      <c r="F797" s="2">
        <v>0.20380699999999999</v>
      </c>
      <c r="G797" s="2">
        <v>36.953076899999999</v>
      </c>
      <c r="H797" s="2">
        <v>37.752330100000002</v>
      </c>
      <c r="J797" t="str">
        <f t="shared" si="27"/>
        <v>37.35 (36.95 to 37.75)</v>
      </c>
    </row>
    <row r="798" spans="1:15" ht="17.25" thickBot="1" x14ac:dyDescent="0.35">
      <c r="A798" s="6">
        <v>5</v>
      </c>
      <c r="B798" s="3">
        <v>1</v>
      </c>
      <c r="C798" s="11" t="s">
        <v>117</v>
      </c>
      <c r="D798" s="2">
        <v>4399</v>
      </c>
      <c r="E798" s="2">
        <v>34.860107999999997</v>
      </c>
      <c r="F798" s="2">
        <v>0.14010300000000001</v>
      </c>
      <c r="G798" s="2">
        <v>34.5853921</v>
      </c>
      <c r="H798" s="2">
        <v>35.134823900000001</v>
      </c>
      <c r="J798" t="str">
        <f t="shared" si="27"/>
        <v>34.86 (34.59 to 35.13)</v>
      </c>
    </row>
    <row r="799" spans="1:15" ht="17.25" thickBot="1" x14ac:dyDescent="0.35">
      <c r="A799" s="6"/>
      <c r="B799" s="3">
        <v>2</v>
      </c>
      <c r="C799" s="11" t="s">
        <v>117</v>
      </c>
      <c r="D799" s="2">
        <v>6843</v>
      </c>
      <c r="E799" s="2">
        <v>35.792771999999999</v>
      </c>
      <c r="F799" s="2">
        <v>0.11680400000000001</v>
      </c>
      <c r="G799" s="2">
        <v>35.563740600000003</v>
      </c>
      <c r="H799" s="2">
        <v>36.021802800000003</v>
      </c>
      <c r="J799" t="str">
        <f t="shared" si="27"/>
        <v>35.79 (35.56 to 36.02)</v>
      </c>
    </row>
    <row r="800" spans="1:15" ht="17.25" thickBot="1" x14ac:dyDescent="0.35">
      <c r="A800" s="6"/>
      <c r="B800" s="3">
        <v>3</v>
      </c>
      <c r="C800" s="11" t="s">
        <v>117</v>
      </c>
      <c r="D800" s="2">
        <v>2313</v>
      </c>
      <c r="E800" s="2">
        <v>37.889474999999997</v>
      </c>
      <c r="F800" s="2">
        <v>0.248692</v>
      </c>
      <c r="G800" s="2">
        <v>37.401836000000003</v>
      </c>
      <c r="H800" s="2">
        <v>38.377113999999999</v>
      </c>
      <c r="J800" t="str">
        <f t="shared" si="27"/>
        <v>37.89 (37.40 to 38.38)</v>
      </c>
    </row>
    <row r="801" spans="1:10" ht="17.25" thickBot="1" x14ac:dyDescent="0.35">
      <c r="A801" s="6">
        <v>6</v>
      </c>
      <c r="B801" s="3">
        <v>1</v>
      </c>
      <c r="C801" s="11" t="s">
        <v>117</v>
      </c>
      <c r="D801" s="2">
        <v>1424</v>
      </c>
      <c r="E801" s="2">
        <v>34.049557999999998</v>
      </c>
      <c r="F801" s="2">
        <v>0.249887</v>
      </c>
      <c r="G801" s="2">
        <v>33.559576100000001</v>
      </c>
      <c r="H801" s="2">
        <v>34.539540199999998</v>
      </c>
      <c r="J801" t="str">
        <f t="shared" si="27"/>
        <v>34.05 (33.56 to 34.54)</v>
      </c>
    </row>
    <row r="802" spans="1:10" ht="17.25" thickBot="1" x14ac:dyDescent="0.35">
      <c r="A802" s="6"/>
      <c r="B802" s="3">
        <v>2</v>
      </c>
      <c r="C802" s="11" t="s">
        <v>117</v>
      </c>
      <c r="D802" s="2">
        <v>2272</v>
      </c>
      <c r="E802" s="2">
        <v>35.241183999999997</v>
      </c>
      <c r="F802" s="2">
        <v>0.21474099999999999</v>
      </c>
      <c r="G802" s="2">
        <v>34.820117400000001</v>
      </c>
      <c r="H802" s="2">
        <v>35.662250100000001</v>
      </c>
      <c r="J802" t="str">
        <f t="shared" si="27"/>
        <v>35.24 (34.82 to 35.66)</v>
      </c>
    </row>
    <row r="803" spans="1:10" x14ac:dyDescent="0.3">
      <c r="A803" s="6"/>
      <c r="B803" s="3">
        <v>3</v>
      </c>
      <c r="C803" s="14" t="s">
        <v>117</v>
      </c>
      <c r="D803" s="2">
        <v>720</v>
      </c>
      <c r="E803" s="2">
        <v>38.106352999999999</v>
      </c>
      <c r="F803" s="2">
        <v>0.47321600000000003</v>
      </c>
      <c r="G803" s="2">
        <v>37.178465699999997</v>
      </c>
      <c r="H803" s="2">
        <v>39.034239800000002</v>
      </c>
      <c r="J803" t="str">
        <f t="shared" si="27"/>
        <v>38.11 (37.18 to 39.03)</v>
      </c>
    </row>
    <row r="807" spans="1:10" x14ac:dyDescent="0.3">
      <c r="A807" s="1" t="s">
        <v>237</v>
      </c>
    </row>
    <row r="809" spans="1:10" x14ac:dyDescent="0.3">
      <c r="A809" s="1" t="s">
        <v>1</v>
      </c>
    </row>
    <row r="810" spans="1:10" ht="17.25" thickBot="1" x14ac:dyDescent="0.35"/>
    <row r="811" spans="1:10" ht="16.5" customHeight="1" x14ac:dyDescent="0.3">
      <c r="A811" s="16" t="s">
        <v>135</v>
      </c>
      <c r="B811" s="18"/>
    </row>
    <row r="812" spans="1:10" ht="26.25" thickBot="1" x14ac:dyDescent="0.35">
      <c r="A812" s="12" t="s">
        <v>136</v>
      </c>
      <c r="B812" s="2">
        <v>183</v>
      </c>
    </row>
    <row r="813" spans="1:10" ht="26.25" thickBot="1" x14ac:dyDescent="0.35">
      <c r="A813" s="12" t="s">
        <v>137</v>
      </c>
      <c r="B813" s="2">
        <v>2949</v>
      </c>
    </row>
    <row r="814" spans="1:10" ht="39" thickBot="1" x14ac:dyDescent="0.35">
      <c r="A814" s="12" t="s">
        <v>138</v>
      </c>
      <c r="B814" s="2">
        <v>23222</v>
      </c>
    </row>
    <row r="815" spans="1:10" ht="25.5" x14ac:dyDescent="0.3">
      <c r="A815" s="13" t="s">
        <v>139</v>
      </c>
      <c r="B815" s="2">
        <v>9036880.5199999996</v>
      </c>
    </row>
    <row r="816" spans="1:10" ht="17.25" thickBot="1" x14ac:dyDescent="0.35"/>
    <row r="817" spans="1:8" ht="33" customHeight="1" x14ac:dyDescent="0.3">
      <c r="A817" s="16" t="s">
        <v>140</v>
      </c>
      <c r="B817" s="18"/>
    </row>
    <row r="818" spans="1:8" ht="33.75" thickBot="1" x14ac:dyDescent="0.35">
      <c r="A818" s="12" t="s">
        <v>141</v>
      </c>
      <c r="B818" s="2" t="s">
        <v>142</v>
      </c>
    </row>
    <row r="819" spans="1:8" ht="25.5" x14ac:dyDescent="0.3">
      <c r="A819" s="13" t="s">
        <v>143</v>
      </c>
      <c r="B819" s="2" t="s">
        <v>144</v>
      </c>
    </row>
    <row r="820" spans="1:8" ht="17.25" thickBot="1" x14ac:dyDescent="0.35"/>
    <row r="821" spans="1:8" ht="16.5" customHeight="1" x14ac:dyDescent="0.3">
      <c r="A821" s="16" t="s">
        <v>238</v>
      </c>
      <c r="B821" s="18"/>
      <c r="C821" s="18"/>
      <c r="D821" s="18"/>
      <c r="E821" s="18"/>
      <c r="F821" s="18"/>
    </row>
    <row r="822" spans="1:8" ht="16.5" customHeight="1" x14ac:dyDescent="0.3">
      <c r="A822" s="17" t="s">
        <v>239</v>
      </c>
      <c r="B822" s="19" t="s">
        <v>94</v>
      </c>
      <c r="C822" s="19" t="s">
        <v>240</v>
      </c>
      <c r="D822" s="3" t="s">
        <v>241</v>
      </c>
      <c r="E822" s="19" t="s">
        <v>243</v>
      </c>
      <c r="F822" s="19"/>
    </row>
    <row r="823" spans="1:8" x14ac:dyDescent="0.3">
      <c r="A823" s="17"/>
      <c r="B823" s="19"/>
      <c r="C823" s="19"/>
      <c r="D823" s="3" t="s">
        <v>242</v>
      </c>
      <c r="E823" s="19"/>
      <c r="F823" s="19"/>
    </row>
    <row r="824" spans="1:8" x14ac:dyDescent="0.3">
      <c r="A824" s="13" t="s">
        <v>117</v>
      </c>
      <c r="B824" s="2">
        <v>23222</v>
      </c>
      <c r="C824" s="2">
        <v>33.805624000000002</v>
      </c>
      <c r="D824" s="2">
        <v>7.0877999999999997E-2</v>
      </c>
      <c r="E824" s="2">
        <v>33.666644300000002</v>
      </c>
      <c r="F824" s="2">
        <v>33.944603299999997</v>
      </c>
    </row>
    <row r="828" spans="1:8" x14ac:dyDescent="0.3">
      <c r="A828" s="1" t="s">
        <v>237</v>
      </c>
    </row>
    <row r="830" spans="1:8" x14ac:dyDescent="0.3">
      <c r="A830" s="1" t="s">
        <v>1</v>
      </c>
    </row>
    <row r="831" spans="1:8" ht="17.25" thickBot="1" x14ac:dyDescent="0.35"/>
    <row r="832" spans="1:8" ht="16.5" customHeight="1" x14ac:dyDescent="0.3">
      <c r="A832" s="16" t="s">
        <v>258</v>
      </c>
      <c r="B832" s="18"/>
      <c r="C832" s="18"/>
      <c r="D832" s="18"/>
      <c r="E832" s="18"/>
      <c r="F832" s="18"/>
      <c r="G832" s="18"/>
      <c r="H832" s="18"/>
    </row>
    <row r="833" spans="1:8" ht="16.5" customHeight="1" x14ac:dyDescent="0.3">
      <c r="A833" s="17" t="s">
        <v>249</v>
      </c>
      <c r="B833" s="19" t="s">
        <v>13</v>
      </c>
      <c r="C833" s="19" t="s">
        <v>239</v>
      </c>
      <c r="D833" s="19" t="s">
        <v>94</v>
      </c>
      <c r="E833" s="19" t="s">
        <v>240</v>
      </c>
      <c r="F833" s="3" t="s">
        <v>241</v>
      </c>
      <c r="G833" s="19" t="s">
        <v>243</v>
      </c>
      <c r="H833" s="19"/>
    </row>
    <row r="834" spans="1:8" x14ac:dyDescent="0.3">
      <c r="A834" s="17"/>
      <c r="B834" s="19"/>
      <c r="C834" s="19"/>
      <c r="D834" s="19"/>
      <c r="E834" s="19"/>
      <c r="F834" s="3" t="s">
        <v>242</v>
      </c>
      <c r="G834" s="19"/>
      <c r="H834" s="19"/>
    </row>
    <row r="835" spans="1:8" ht="17.25" thickBot="1" x14ac:dyDescent="0.35">
      <c r="A835" s="6">
        <v>1</v>
      </c>
      <c r="B835" s="3">
        <v>1</v>
      </c>
      <c r="C835" s="11" t="s">
        <v>117</v>
      </c>
      <c r="D835" s="2">
        <v>949</v>
      </c>
      <c r="E835" s="2">
        <v>35.266224000000001</v>
      </c>
      <c r="F835" s="2">
        <v>0.350134</v>
      </c>
      <c r="G835" s="2">
        <v>34.579674400000002</v>
      </c>
      <c r="H835" s="2">
        <v>35.952773800000003</v>
      </c>
    </row>
    <row r="836" spans="1:8" ht="17.25" thickBot="1" x14ac:dyDescent="0.35">
      <c r="A836" s="6"/>
      <c r="B836" s="3">
        <v>2</v>
      </c>
      <c r="C836" s="11" t="s">
        <v>117</v>
      </c>
      <c r="D836" s="2">
        <v>1781</v>
      </c>
      <c r="E836" s="2">
        <v>34.316381</v>
      </c>
      <c r="F836" s="2">
        <v>0.22050400000000001</v>
      </c>
      <c r="G836" s="2">
        <v>33.884012800000001</v>
      </c>
      <c r="H836" s="2">
        <v>34.748749699999998</v>
      </c>
    </row>
    <row r="837" spans="1:8" ht="17.25" thickBot="1" x14ac:dyDescent="0.35">
      <c r="A837" s="6"/>
      <c r="B837" s="3">
        <v>3</v>
      </c>
      <c r="C837" s="11" t="s">
        <v>117</v>
      </c>
      <c r="D837" s="2">
        <v>776</v>
      </c>
      <c r="E837" s="2">
        <v>35.369331000000003</v>
      </c>
      <c r="F837" s="2">
        <v>0.31641599999999998</v>
      </c>
      <c r="G837" s="2">
        <v>34.7488952</v>
      </c>
      <c r="H837" s="2">
        <v>35.989766600000003</v>
      </c>
    </row>
    <row r="838" spans="1:8" ht="17.25" thickBot="1" x14ac:dyDescent="0.35">
      <c r="A838" s="6"/>
      <c r="B838" s="3">
        <v>8</v>
      </c>
      <c r="C838" s="11" t="s">
        <v>117</v>
      </c>
      <c r="D838" s="2">
        <v>234</v>
      </c>
      <c r="E838" s="2">
        <v>27.945233999999999</v>
      </c>
      <c r="F838" s="2">
        <v>0.44853399999999999</v>
      </c>
      <c r="G838" s="2">
        <v>27.065738</v>
      </c>
      <c r="H838" s="2">
        <v>28.8247301</v>
      </c>
    </row>
    <row r="839" spans="1:8" ht="17.25" thickBot="1" x14ac:dyDescent="0.35">
      <c r="A839" s="6">
        <v>2</v>
      </c>
      <c r="B839" s="3">
        <v>1</v>
      </c>
      <c r="C839" s="11" t="s">
        <v>117</v>
      </c>
      <c r="D839" s="2">
        <v>950</v>
      </c>
      <c r="E839" s="2">
        <v>33.960666000000003</v>
      </c>
      <c r="F839" s="2">
        <v>0.33624100000000001</v>
      </c>
      <c r="G839" s="2">
        <v>33.301356400000003</v>
      </c>
      <c r="H839" s="2">
        <v>34.619975699999998</v>
      </c>
    </row>
    <row r="840" spans="1:8" ht="17.25" thickBot="1" x14ac:dyDescent="0.35">
      <c r="A840" s="6"/>
      <c r="B840" s="3">
        <v>2</v>
      </c>
      <c r="C840" s="11" t="s">
        <v>117</v>
      </c>
      <c r="D840" s="2">
        <v>2378</v>
      </c>
      <c r="E840" s="2">
        <v>33.250478999999999</v>
      </c>
      <c r="F840" s="2">
        <v>0.18557399999999999</v>
      </c>
      <c r="G840" s="2">
        <v>32.886600899999998</v>
      </c>
      <c r="H840" s="2">
        <v>33.614357099999999</v>
      </c>
    </row>
    <row r="841" spans="1:8" ht="17.25" thickBot="1" x14ac:dyDescent="0.35">
      <c r="A841" s="6"/>
      <c r="B841" s="3">
        <v>3</v>
      </c>
      <c r="C841" s="11" t="s">
        <v>117</v>
      </c>
      <c r="D841" s="2">
        <v>775</v>
      </c>
      <c r="E841" s="2">
        <v>33.867998</v>
      </c>
      <c r="F841" s="2">
        <v>0.34414600000000001</v>
      </c>
      <c r="G841" s="2">
        <v>33.193188300000003</v>
      </c>
      <c r="H841" s="2">
        <v>34.542807199999999</v>
      </c>
    </row>
    <row r="842" spans="1:8" ht="17.25" thickBot="1" x14ac:dyDescent="0.35">
      <c r="A842" s="6"/>
      <c r="B842" s="3">
        <v>8</v>
      </c>
      <c r="C842" s="11" t="s">
        <v>117</v>
      </c>
      <c r="D842" s="2">
        <v>629</v>
      </c>
      <c r="E842" s="2">
        <v>27.784782</v>
      </c>
      <c r="F842" s="2">
        <v>0.31483100000000003</v>
      </c>
      <c r="G842" s="2">
        <v>27.167453800000001</v>
      </c>
      <c r="H842" s="2">
        <v>28.4021103</v>
      </c>
    </row>
    <row r="843" spans="1:8" ht="17.25" thickBot="1" x14ac:dyDescent="0.35">
      <c r="A843" s="6">
        <v>3</v>
      </c>
      <c r="B843" s="3">
        <v>1</v>
      </c>
      <c r="C843" s="11" t="s">
        <v>117</v>
      </c>
      <c r="D843" s="2">
        <v>849</v>
      </c>
      <c r="E843" s="2">
        <v>33.994391999999998</v>
      </c>
      <c r="F843" s="2">
        <v>0.29405700000000001</v>
      </c>
      <c r="G843" s="2">
        <v>33.4177982</v>
      </c>
      <c r="H843" s="2">
        <v>34.570985200000003</v>
      </c>
    </row>
    <row r="844" spans="1:8" ht="17.25" thickBot="1" x14ac:dyDescent="0.35">
      <c r="A844" s="6"/>
      <c r="B844" s="3">
        <v>2</v>
      </c>
      <c r="C844" s="11" t="s">
        <v>117</v>
      </c>
      <c r="D844" s="2">
        <v>2043</v>
      </c>
      <c r="E844" s="2">
        <v>34.189765999999999</v>
      </c>
      <c r="F844" s="2">
        <v>0.20344699999999999</v>
      </c>
      <c r="G844" s="2">
        <v>33.790842400000002</v>
      </c>
      <c r="H844" s="2">
        <v>34.588689799999997</v>
      </c>
    </row>
    <row r="845" spans="1:8" ht="17.25" thickBot="1" x14ac:dyDescent="0.35">
      <c r="A845" s="6"/>
      <c r="B845" s="3">
        <v>3</v>
      </c>
      <c r="C845" s="11" t="s">
        <v>117</v>
      </c>
      <c r="D845" s="2">
        <v>698</v>
      </c>
      <c r="E845" s="2">
        <v>34.516672</v>
      </c>
      <c r="F845" s="2">
        <v>0.33887699999999998</v>
      </c>
      <c r="G845" s="2">
        <v>33.852195799999997</v>
      </c>
      <c r="H845" s="2">
        <v>35.1811492</v>
      </c>
    </row>
    <row r="846" spans="1:8" ht="17.25" thickBot="1" x14ac:dyDescent="0.35">
      <c r="A846" s="6"/>
      <c r="B846" s="3">
        <v>8</v>
      </c>
      <c r="C846" s="11" t="s">
        <v>117</v>
      </c>
      <c r="D846" s="2">
        <v>667</v>
      </c>
      <c r="E846" s="2">
        <v>32.215876000000002</v>
      </c>
      <c r="F846" s="2">
        <v>0.40210600000000002</v>
      </c>
      <c r="G846" s="2">
        <v>31.427418500000002</v>
      </c>
      <c r="H846" s="2">
        <v>33.004333699999997</v>
      </c>
    </row>
    <row r="847" spans="1:8" ht="17.25" thickBot="1" x14ac:dyDescent="0.35">
      <c r="A847" s="6">
        <v>4</v>
      </c>
      <c r="B847" s="3">
        <v>1</v>
      </c>
      <c r="C847" s="11" t="s">
        <v>117</v>
      </c>
      <c r="D847" s="2">
        <v>1040</v>
      </c>
      <c r="E847" s="2">
        <v>34.650782</v>
      </c>
      <c r="F847" s="2">
        <v>0.28759600000000002</v>
      </c>
      <c r="G847" s="2">
        <v>34.0868574</v>
      </c>
      <c r="H847" s="2">
        <v>35.214705700000003</v>
      </c>
    </row>
    <row r="848" spans="1:8" ht="17.25" thickBot="1" x14ac:dyDescent="0.35">
      <c r="A848" s="6"/>
      <c r="B848" s="3">
        <v>2</v>
      </c>
      <c r="C848" s="11" t="s">
        <v>117</v>
      </c>
      <c r="D848" s="2">
        <v>2189</v>
      </c>
      <c r="E848" s="2">
        <v>34.015258000000003</v>
      </c>
      <c r="F848" s="2">
        <v>0.18280099999999999</v>
      </c>
      <c r="G848" s="2">
        <v>33.656817799999999</v>
      </c>
      <c r="H848" s="2">
        <v>34.373698500000003</v>
      </c>
    </row>
    <row r="849" spans="1:8" ht="17.25" thickBot="1" x14ac:dyDescent="0.35">
      <c r="A849" s="6"/>
      <c r="B849" s="3">
        <v>3</v>
      </c>
      <c r="C849" s="11" t="s">
        <v>117</v>
      </c>
      <c r="D849" s="2">
        <v>811</v>
      </c>
      <c r="E849" s="2">
        <v>34.923535999999999</v>
      </c>
      <c r="F849" s="2">
        <v>0.35389300000000001</v>
      </c>
      <c r="G849" s="2">
        <v>34.2296136</v>
      </c>
      <c r="H849" s="2">
        <v>35.617457799999997</v>
      </c>
    </row>
    <row r="850" spans="1:8" ht="17.25" thickBot="1" x14ac:dyDescent="0.35">
      <c r="A850" s="6"/>
      <c r="B850" s="3">
        <v>8</v>
      </c>
      <c r="C850" s="11" t="s">
        <v>117</v>
      </c>
      <c r="D850" s="2">
        <v>516</v>
      </c>
      <c r="E850" s="2">
        <v>29.639078000000001</v>
      </c>
      <c r="F850" s="2">
        <v>0.383021</v>
      </c>
      <c r="G850" s="2">
        <v>28.888040799999999</v>
      </c>
      <c r="H850" s="2">
        <v>30.390114400000002</v>
      </c>
    </row>
    <row r="851" spans="1:8" ht="17.25" thickBot="1" x14ac:dyDescent="0.35">
      <c r="A851" s="6">
        <v>5</v>
      </c>
      <c r="B851" s="3">
        <v>1</v>
      </c>
      <c r="C851" s="11" t="s">
        <v>117</v>
      </c>
      <c r="D851" s="2">
        <v>951</v>
      </c>
      <c r="E851" s="2">
        <v>34.816521000000002</v>
      </c>
      <c r="F851" s="2">
        <v>0.35197699999999998</v>
      </c>
      <c r="G851" s="2">
        <v>34.126355799999999</v>
      </c>
      <c r="H851" s="2">
        <v>35.506685500000003</v>
      </c>
    </row>
    <row r="852" spans="1:8" ht="17.25" thickBot="1" x14ac:dyDescent="0.35">
      <c r="A852" s="6"/>
      <c r="B852" s="3">
        <v>2</v>
      </c>
      <c r="C852" s="11" t="s">
        <v>117</v>
      </c>
      <c r="D852" s="2">
        <v>2215</v>
      </c>
      <c r="E852" s="2">
        <v>34.582042999999999</v>
      </c>
      <c r="F852" s="2">
        <v>0.23854300000000001</v>
      </c>
      <c r="G852" s="2">
        <v>34.114303</v>
      </c>
      <c r="H852" s="2">
        <v>35.049782200000003</v>
      </c>
    </row>
    <row r="853" spans="1:8" ht="17.25" thickBot="1" x14ac:dyDescent="0.35">
      <c r="A853" s="6"/>
      <c r="B853" s="3">
        <v>3</v>
      </c>
      <c r="C853" s="11" t="s">
        <v>117</v>
      </c>
      <c r="D853" s="2">
        <v>861</v>
      </c>
      <c r="E853" s="2">
        <v>35.466180000000001</v>
      </c>
      <c r="F853" s="2">
        <v>0.33178000000000002</v>
      </c>
      <c r="G853" s="2">
        <v>34.815617899999999</v>
      </c>
      <c r="H853" s="2">
        <v>36.1167412</v>
      </c>
    </row>
    <row r="854" spans="1:8" ht="17.25" thickBot="1" x14ac:dyDescent="0.35">
      <c r="A854" s="6"/>
      <c r="B854" s="3">
        <v>8</v>
      </c>
      <c r="C854" s="11" t="s">
        <v>117</v>
      </c>
      <c r="D854" s="2">
        <v>474</v>
      </c>
      <c r="E854" s="2">
        <v>29.776517999999999</v>
      </c>
      <c r="F854" s="2">
        <v>0.48193900000000001</v>
      </c>
      <c r="G854" s="2">
        <v>28.831521800000001</v>
      </c>
      <c r="H854" s="2">
        <v>30.7215141</v>
      </c>
    </row>
    <row r="855" spans="1:8" ht="17.25" thickBot="1" x14ac:dyDescent="0.35">
      <c r="A855" s="6">
        <v>6</v>
      </c>
      <c r="B855" s="3">
        <v>1</v>
      </c>
      <c r="C855" s="11" t="s">
        <v>117</v>
      </c>
      <c r="D855" s="2">
        <v>261</v>
      </c>
      <c r="E855" s="2">
        <v>33.922522000000001</v>
      </c>
      <c r="F855" s="2">
        <v>0.61141400000000001</v>
      </c>
      <c r="G855" s="2">
        <v>32.723647900000003</v>
      </c>
      <c r="H855" s="2">
        <v>35.121396300000001</v>
      </c>
    </row>
    <row r="856" spans="1:8" ht="17.25" thickBot="1" x14ac:dyDescent="0.35">
      <c r="A856" s="6"/>
      <c r="B856" s="3">
        <v>2</v>
      </c>
      <c r="C856" s="11" t="s">
        <v>117</v>
      </c>
      <c r="D856" s="2">
        <v>676</v>
      </c>
      <c r="E856" s="2">
        <v>33.69641</v>
      </c>
      <c r="F856" s="2">
        <v>0.41583500000000001</v>
      </c>
      <c r="G856" s="2">
        <v>32.881031900000004</v>
      </c>
      <c r="H856" s="2">
        <v>34.511787300000002</v>
      </c>
    </row>
    <row r="857" spans="1:8" ht="17.25" thickBot="1" x14ac:dyDescent="0.35">
      <c r="A857" s="6"/>
      <c r="B857" s="3">
        <v>3</v>
      </c>
      <c r="C857" s="11" t="s">
        <v>117</v>
      </c>
      <c r="D857" s="2">
        <v>295</v>
      </c>
      <c r="E857" s="2">
        <v>33.580165000000001</v>
      </c>
      <c r="F857" s="2">
        <v>0.57662400000000003</v>
      </c>
      <c r="G857" s="2">
        <v>32.449508399999999</v>
      </c>
      <c r="H857" s="2">
        <v>34.710822200000003</v>
      </c>
    </row>
    <row r="858" spans="1:8" x14ac:dyDescent="0.3">
      <c r="A858" s="6"/>
      <c r="B858" s="3">
        <v>8</v>
      </c>
      <c r="C858" s="14" t="s">
        <v>117</v>
      </c>
      <c r="D858" s="2">
        <v>204</v>
      </c>
      <c r="E858" s="2">
        <v>31.57037</v>
      </c>
      <c r="F858" s="2">
        <v>0.84750599999999998</v>
      </c>
      <c r="G858" s="2">
        <v>29.908561800000001</v>
      </c>
      <c r="H858" s="2">
        <v>33.232178099999999</v>
      </c>
    </row>
    <row r="862" spans="1:8" x14ac:dyDescent="0.3">
      <c r="A862" s="1" t="s">
        <v>237</v>
      </c>
    </row>
    <row r="864" spans="1:8" x14ac:dyDescent="0.3">
      <c r="A864" s="1" t="s">
        <v>21</v>
      </c>
    </row>
    <row r="865" spans="1:6" ht="17.25" thickBot="1" x14ac:dyDescent="0.35"/>
    <row r="866" spans="1:6" ht="16.5" customHeight="1" x14ac:dyDescent="0.3">
      <c r="A866" s="16" t="s">
        <v>135</v>
      </c>
      <c r="B866" s="18"/>
    </row>
    <row r="867" spans="1:6" ht="26.25" thickBot="1" x14ac:dyDescent="0.35">
      <c r="A867" s="12" t="s">
        <v>136</v>
      </c>
      <c r="B867" s="2">
        <v>183</v>
      </c>
    </row>
    <row r="868" spans="1:6" ht="26.25" thickBot="1" x14ac:dyDescent="0.35">
      <c r="A868" s="12" t="s">
        <v>137</v>
      </c>
      <c r="B868" s="2">
        <v>2982</v>
      </c>
    </row>
    <row r="869" spans="1:6" ht="39" thickBot="1" x14ac:dyDescent="0.35">
      <c r="A869" s="12" t="s">
        <v>138</v>
      </c>
      <c r="B869" s="2">
        <v>68635</v>
      </c>
    </row>
    <row r="870" spans="1:6" ht="25.5" x14ac:dyDescent="0.3">
      <c r="A870" s="13" t="s">
        <v>139</v>
      </c>
      <c r="B870" s="2">
        <v>30251935.699999999</v>
      </c>
    </row>
    <row r="871" spans="1:6" ht="17.25" thickBot="1" x14ac:dyDescent="0.35"/>
    <row r="872" spans="1:6" ht="33" customHeight="1" x14ac:dyDescent="0.3">
      <c r="A872" s="16" t="s">
        <v>140</v>
      </c>
      <c r="B872" s="18"/>
    </row>
    <row r="873" spans="1:6" ht="33.75" thickBot="1" x14ac:dyDescent="0.35">
      <c r="A873" s="12" t="s">
        <v>141</v>
      </c>
      <c r="B873" s="2" t="s">
        <v>142</v>
      </c>
    </row>
    <row r="874" spans="1:6" ht="25.5" x14ac:dyDescent="0.3">
      <c r="A874" s="13" t="s">
        <v>143</v>
      </c>
      <c r="B874" s="2" t="s">
        <v>144</v>
      </c>
    </row>
    <row r="875" spans="1:6" ht="17.25" thickBot="1" x14ac:dyDescent="0.35"/>
    <row r="876" spans="1:6" ht="16.5" customHeight="1" x14ac:dyDescent="0.3">
      <c r="A876" s="16" t="s">
        <v>238</v>
      </c>
      <c r="B876" s="18"/>
      <c r="C876" s="18"/>
      <c r="D876" s="18"/>
      <c r="E876" s="18"/>
      <c r="F876" s="18"/>
    </row>
    <row r="877" spans="1:6" ht="16.5" customHeight="1" x14ac:dyDescent="0.3">
      <c r="A877" s="17" t="s">
        <v>239</v>
      </c>
      <c r="B877" s="19" t="s">
        <v>94</v>
      </c>
      <c r="C877" s="19" t="s">
        <v>240</v>
      </c>
      <c r="D877" s="3" t="s">
        <v>241</v>
      </c>
      <c r="E877" s="19" t="s">
        <v>243</v>
      </c>
      <c r="F877" s="19"/>
    </row>
    <row r="878" spans="1:6" x14ac:dyDescent="0.3">
      <c r="A878" s="17"/>
      <c r="B878" s="19"/>
      <c r="C878" s="19"/>
      <c r="D878" s="3" t="s">
        <v>242</v>
      </c>
      <c r="E878" s="19"/>
      <c r="F878" s="19"/>
    </row>
    <row r="879" spans="1:6" x14ac:dyDescent="0.3">
      <c r="A879" s="13" t="s">
        <v>117</v>
      </c>
      <c r="B879" s="2">
        <v>68635</v>
      </c>
      <c r="C879" s="2">
        <v>35.601097000000003</v>
      </c>
      <c r="D879" s="2">
        <v>3.8943999999999999E-2</v>
      </c>
      <c r="E879" s="2">
        <v>35.524735800000002</v>
      </c>
      <c r="F879" s="2">
        <v>35.677458399999999</v>
      </c>
    </row>
    <row r="883" spans="1:15" x14ac:dyDescent="0.3">
      <c r="A883" s="1" t="s">
        <v>237</v>
      </c>
    </row>
    <row r="885" spans="1:15" x14ac:dyDescent="0.3">
      <c r="A885" s="1" t="s">
        <v>21</v>
      </c>
    </row>
    <row r="886" spans="1:15" ht="17.25" thickBot="1" x14ac:dyDescent="0.35"/>
    <row r="887" spans="1:15" ht="16.5" customHeight="1" x14ac:dyDescent="0.3">
      <c r="A887" s="16" t="s">
        <v>258</v>
      </c>
      <c r="B887" s="18"/>
      <c r="C887" s="18"/>
      <c r="D887" s="18"/>
      <c r="E887" s="18"/>
      <c r="F887" s="18"/>
      <c r="G887" s="18"/>
      <c r="H887" s="18"/>
    </row>
    <row r="888" spans="1:15" ht="16.5" customHeight="1" x14ac:dyDescent="0.3">
      <c r="A888" s="17" t="s">
        <v>249</v>
      </c>
      <c r="B888" s="19" t="s">
        <v>13</v>
      </c>
      <c r="C888" s="19" t="s">
        <v>239</v>
      </c>
      <c r="D888" s="19" t="s">
        <v>94</v>
      </c>
      <c r="E888" s="19" t="s">
        <v>240</v>
      </c>
      <c r="F888" s="3" t="s">
        <v>241</v>
      </c>
      <c r="G888" s="19" t="s">
        <v>243</v>
      </c>
      <c r="H888" s="19"/>
    </row>
    <row r="889" spans="1:15" x14ac:dyDescent="0.3">
      <c r="A889" s="17"/>
      <c r="B889" s="19"/>
      <c r="C889" s="19"/>
      <c r="D889" s="19"/>
      <c r="E889" s="19"/>
      <c r="F889" s="3" t="s">
        <v>242</v>
      </c>
      <c r="G889" s="19"/>
      <c r="H889" s="19"/>
    </row>
    <row r="890" spans="1:15" ht="17.25" thickBot="1" x14ac:dyDescent="0.35">
      <c r="A890" s="6">
        <v>1</v>
      </c>
      <c r="B890" s="3">
        <v>1</v>
      </c>
      <c r="C890" s="11" t="s">
        <v>117</v>
      </c>
      <c r="D890" s="2">
        <v>3399</v>
      </c>
      <c r="E890" s="2">
        <v>35.730705</v>
      </c>
      <c r="F890" s="2">
        <v>0.15839400000000001</v>
      </c>
      <c r="G890" s="2">
        <v>35.4201239</v>
      </c>
      <c r="H890" s="2">
        <v>36.0412854</v>
      </c>
      <c r="J890" t="str">
        <f t="shared" ref="J890:J907" si="33">TEXT(E890,"0.00")&amp;" ("&amp;TEXT(G890,"0.00")&amp;" to "&amp;TEXT(H890,"0.00")&amp;")"</f>
        <v>35.73 (35.42 to 36.04)</v>
      </c>
      <c r="K890" t="str">
        <f>J893</f>
        <v>35.53 (35.20 to 35.85)</v>
      </c>
      <c r="L890" t="str">
        <f>J896</f>
        <v>35.80 (35.45 to 36.15)</v>
      </c>
      <c r="M890" t="str">
        <f>J899</f>
        <v>35.93 (35.61 to 36.25)</v>
      </c>
      <c r="N890" t="str">
        <f>J902</f>
        <v>36.10 (35.79 to 36.42)</v>
      </c>
      <c r="O890" t="str">
        <f>J905</f>
        <v>35.61 (34.97 to 36.26)</v>
      </c>
    </row>
    <row r="891" spans="1:15" ht="17.25" thickBot="1" x14ac:dyDescent="0.35">
      <c r="A891" s="6"/>
      <c r="B891" s="3">
        <v>2</v>
      </c>
      <c r="C891" s="11" t="s">
        <v>117</v>
      </c>
      <c r="D891" s="2">
        <v>6638</v>
      </c>
      <c r="E891" s="2">
        <v>35.226168000000001</v>
      </c>
      <c r="F891" s="2">
        <v>0.10495500000000001</v>
      </c>
      <c r="G891" s="2">
        <v>35.020370700000001</v>
      </c>
      <c r="H891" s="2">
        <v>35.431965499999997</v>
      </c>
      <c r="J891" t="str">
        <f t="shared" si="33"/>
        <v>35.23 (35.02 to 35.43)</v>
      </c>
      <c r="K891" t="str">
        <f t="shared" ref="K891:K892" si="34">J894</f>
        <v>35.45 (35.24 to 35.66)</v>
      </c>
      <c r="L891" t="str">
        <f t="shared" ref="L891:L892" si="35">J897</f>
        <v>35.09 (34.88 to 35.29)</v>
      </c>
      <c r="M891" t="str">
        <f t="shared" ref="M891:M892" si="36">J900</f>
        <v>35.54 (35.34 to 35.74)</v>
      </c>
      <c r="N891" t="str">
        <f t="shared" ref="N891:N892" si="37">J903</f>
        <v>35.62 (35.39 to 35.84)</v>
      </c>
      <c r="O891" t="str">
        <f t="shared" ref="O891:O892" si="38">J906</f>
        <v>35.12 (34.68 to 35.55)</v>
      </c>
    </row>
    <row r="892" spans="1:15" ht="17.25" thickBot="1" x14ac:dyDescent="0.35">
      <c r="A892" s="6"/>
      <c r="B892" s="3">
        <v>3</v>
      </c>
      <c r="C892" s="11" t="s">
        <v>117</v>
      </c>
      <c r="D892" s="2">
        <v>1878</v>
      </c>
      <c r="E892" s="2">
        <v>36.719946999999998</v>
      </c>
      <c r="F892" s="2">
        <v>0.19616600000000001</v>
      </c>
      <c r="G892" s="2">
        <v>36.335303099999997</v>
      </c>
      <c r="H892" s="2">
        <v>37.1045911</v>
      </c>
      <c r="J892" t="str">
        <f t="shared" si="33"/>
        <v>36.72 (36.34 to 37.10)</v>
      </c>
      <c r="K892" t="str">
        <f t="shared" si="34"/>
        <v>36.07 (35.61 to 36.53)</v>
      </c>
      <c r="L892" t="str">
        <f t="shared" si="35"/>
        <v>35.88 (35.51 to 36.25)</v>
      </c>
      <c r="M892" t="str">
        <f t="shared" si="36"/>
        <v>36.18 (35.81 to 36.56)</v>
      </c>
      <c r="N892" t="str">
        <f t="shared" si="37"/>
        <v>36.00 (35.53 to 36.47)</v>
      </c>
      <c r="O892" t="str">
        <f t="shared" si="38"/>
        <v>35.33 (34.77 to 35.89)</v>
      </c>
    </row>
    <row r="893" spans="1:15" ht="17.25" thickBot="1" x14ac:dyDescent="0.35">
      <c r="A893" s="6">
        <v>2</v>
      </c>
      <c r="B893" s="3">
        <v>1</v>
      </c>
      <c r="C893" s="11" t="s">
        <v>117</v>
      </c>
      <c r="D893" s="2">
        <v>3498</v>
      </c>
      <c r="E893" s="2">
        <v>35.525368</v>
      </c>
      <c r="F893" s="2">
        <v>0.16802400000000001</v>
      </c>
      <c r="G893" s="2">
        <v>35.195905000000003</v>
      </c>
      <c r="H893" s="2">
        <v>35.854831500000003</v>
      </c>
      <c r="J893" t="str">
        <f t="shared" si="33"/>
        <v>35.53 (35.20 to 35.85)</v>
      </c>
    </row>
    <row r="894" spans="1:15" ht="17.25" thickBot="1" x14ac:dyDescent="0.35">
      <c r="A894" s="6"/>
      <c r="B894" s="3">
        <v>2</v>
      </c>
      <c r="C894" s="11" t="s">
        <v>117</v>
      </c>
      <c r="D894" s="2">
        <v>7682</v>
      </c>
      <c r="E894" s="2">
        <v>35.448619000000001</v>
      </c>
      <c r="F894" s="2">
        <v>0.106419</v>
      </c>
      <c r="G894" s="2">
        <v>35.239951300000001</v>
      </c>
      <c r="H894" s="2">
        <v>35.657285799999997</v>
      </c>
      <c r="J894" t="str">
        <f t="shared" si="33"/>
        <v>35.45 (35.24 to 35.66)</v>
      </c>
    </row>
    <row r="895" spans="1:15" ht="17.25" thickBot="1" x14ac:dyDescent="0.35">
      <c r="A895" s="6"/>
      <c r="B895" s="3">
        <v>3</v>
      </c>
      <c r="C895" s="11" t="s">
        <v>117</v>
      </c>
      <c r="D895" s="2">
        <v>1936</v>
      </c>
      <c r="E895" s="2">
        <v>36.067093999999997</v>
      </c>
      <c r="F895" s="2">
        <v>0.23514299999999999</v>
      </c>
      <c r="G895" s="2">
        <v>35.606022000000003</v>
      </c>
      <c r="H895" s="2">
        <v>36.528165700000002</v>
      </c>
      <c r="J895" t="str">
        <f t="shared" si="33"/>
        <v>36.07 (35.61 to 36.53)</v>
      </c>
    </row>
    <row r="896" spans="1:15" ht="17.25" thickBot="1" x14ac:dyDescent="0.35">
      <c r="A896" s="6">
        <v>3</v>
      </c>
      <c r="B896" s="3">
        <v>1</v>
      </c>
      <c r="C896" s="11" t="s">
        <v>117</v>
      </c>
      <c r="D896" s="2">
        <v>2810</v>
      </c>
      <c r="E896" s="2">
        <v>35.798257999999997</v>
      </c>
      <c r="F896" s="2">
        <v>0.17826</v>
      </c>
      <c r="G896" s="2">
        <v>35.4487241</v>
      </c>
      <c r="H896" s="2">
        <v>36.147792600000002</v>
      </c>
      <c r="J896" t="str">
        <f t="shared" si="33"/>
        <v>35.80 (35.45 to 36.15)</v>
      </c>
    </row>
    <row r="897" spans="1:10" ht="17.25" thickBot="1" x14ac:dyDescent="0.35">
      <c r="A897" s="6"/>
      <c r="B897" s="3">
        <v>2</v>
      </c>
      <c r="C897" s="11" t="s">
        <v>117</v>
      </c>
      <c r="D897" s="2">
        <v>6806</v>
      </c>
      <c r="E897" s="2">
        <v>35.088661000000002</v>
      </c>
      <c r="F897" s="2">
        <v>0.10498</v>
      </c>
      <c r="G897" s="2">
        <v>34.882816200000001</v>
      </c>
      <c r="H897" s="2">
        <v>35.294506400000003</v>
      </c>
      <c r="J897" t="str">
        <f t="shared" si="33"/>
        <v>35.09 (34.88 to 35.29)</v>
      </c>
    </row>
    <row r="898" spans="1:10" ht="17.25" thickBot="1" x14ac:dyDescent="0.35">
      <c r="A898" s="6"/>
      <c r="B898" s="3">
        <v>3</v>
      </c>
      <c r="C898" s="11" t="s">
        <v>117</v>
      </c>
      <c r="D898" s="2">
        <v>1859</v>
      </c>
      <c r="E898" s="2">
        <v>35.880674999999997</v>
      </c>
      <c r="F898" s="2">
        <v>0.18848599999999999</v>
      </c>
      <c r="G898" s="2">
        <v>35.511090299999999</v>
      </c>
      <c r="H898" s="2">
        <v>36.2502596</v>
      </c>
      <c r="J898" t="str">
        <f t="shared" si="33"/>
        <v>35.88 (35.51 to 36.25)</v>
      </c>
    </row>
    <row r="899" spans="1:10" ht="17.25" thickBot="1" x14ac:dyDescent="0.35">
      <c r="A899" s="6">
        <v>4</v>
      </c>
      <c r="B899" s="3">
        <v>1</v>
      </c>
      <c r="C899" s="11" t="s">
        <v>117</v>
      </c>
      <c r="D899" s="2">
        <v>3813</v>
      </c>
      <c r="E899" s="2">
        <v>35.929969999999997</v>
      </c>
      <c r="F899" s="2">
        <v>0.16561200000000001</v>
      </c>
      <c r="G899" s="2">
        <v>35.605237000000002</v>
      </c>
      <c r="H899" s="2">
        <v>36.254703300000003</v>
      </c>
      <c r="J899" t="str">
        <f t="shared" si="33"/>
        <v>35.93 (35.61 to 36.25)</v>
      </c>
    </row>
    <row r="900" spans="1:10" ht="17.25" thickBot="1" x14ac:dyDescent="0.35">
      <c r="A900" s="6"/>
      <c r="B900" s="3">
        <v>2</v>
      </c>
      <c r="C900" s="11" t="s">
        <v>117</v>
      </c>
      <c r="D900" s="2">
        <v>8069</v>
      </c>
      <c r="E900" s="2">
        <v>35.538915000000003</v>
      </c>
      <c r="F900" s="2">
        <v>0.100374</v>
      </c>
      <c r="G900" s="2">
        <v>35.3421004</v>
      </c>
      <c r="H900" s="2">
        <v>35.735730099999998</v>
      </c>
      <c r="J900" t="str">
        <f t="shared" si="33"/>
        <v>35.54 (35.34 to 35.74)</v>
      </c>
    </row>
    <row r="901" spans="1:10" ht="17.25" thickBot="1" x14ac:dyDescent="0.35">
      <c r="A901" s="6"/>
      <c r="B901" s="3">
        <v>3</v>
      </c>
      <c r="C901" s="11" t="s">
        <v>117</v>
      </c>
      <c r="D901" s="2">
        <v>2276</v>
      </c>
      <c r="E901" s="2">
        <v>36.183740999999998</v>
      </c>
      <c r="F901" s="2">
        <v>0.19108700000000001</v>
      </c>
      <c r="G901" s="2">
        <v>35.809055200000003</v>
      </c>
      <c r="H901" s="2">
        <v>36.558425900000003</v>
      </c>
      <c r="J901" t="str">
        <f t="shared" si="33"/>
        <v>36.18 (35.81 to 36.56)</v>
      </c>
    </row>
    <row r="902" spans="1:10" ht="17.25" thickBot="1" x14ac:dyDescent="0.35">
      <c r="A902" s="6">
        <v>5</v>
      </c>
      <c r="B902" s="3">
        <v>1</v>
      </c>
      <c r="C902" s="11" t="s">
        <v>117</v>
      </c>
      <c r="D902" s="2">
        <v>3630</v>
      </c>
      <c r="E902" s="2">
        <v>36.103673999999998</v>
      </c>
      <c r="F902" s="2">
        <v>0.16112499999999999</v>
      </c>
      <c r="G902" s="2">
        <v>35.787737300000003</v>
      </c>
      <c r="H902" s="2">
        <v>36.419610400000003</v>
      </c>
      <c r="J902" t="str">
        <f t="shared" si="33"/>
        <v>36.10 (35.79 to 36.42)</v>
      </c>
    </row>
    <row r="903" spans="1:10" ht="17.25" thickBot="1" x14ac:dyDescent="0.35">
      <c r="A903" s="6"/>
      <c r="B903" s="3">
        <v>2</v>
      </c>
      <c r="C903" s="11" t="s">
        <v>117</v>
      </c>
      <c r="D903" s="2">
        <v>7918</v>
      </c>
      <c r="E903" s="2">
        <v>35.617094000000002</v>
      </c>
      <c r="F903" s="2">
        <v>0.11530799999999999</v>
      </c>
      <c r="G903" s="2">
        <v>35.390996399999999</v>
      </c>
      <c r="H903" s="2">
        <v>35.843191699999998</v>
      </c>
      <c r="J903" t="str">
        <f t="shared" si="33"/>
        <v>35.62 (35.39 to 35.84)</v>
      </c>
    </row>
    <row r="904" spans="1:10" ht="17.25" thickBot="1" x14ac:dyDescent="0.35">
      <c r="A904" s="6"/>
      <c r="B904" s="3">
        <v>3</v>
      </c>
      <c r="C904" s="11" t="s">
        <v>117</v>
      </c>
      <c r="D904" s="2">
        <v>2007</v>
      </c>
      <c r="E904" s="2">
        <v>36.003549</v>
      </c>
      <c r="F904" s="2">
        <v>0.23919699999999999</v>
      </c>
      <c r="G904" s="2">
        <v>35.534528600000002</v>
      </c>
      <c r="H904" s="2">
        <v>36.472568600000002</v>
      </c>
      <c r="J904" t="str">
        <f t="shared" si="33"/>
        <v>36.00 (35.53 to 36.47)</v>
      </c>
    </row>
    <row r="905" spans="1:10" ht="17.25" thickBot="1" x14ac:dyDescent="0.35">
      <c r="A905" s="6">
        <v>6</v>
      </c>
      <c r="B905" s="3">
        <v>1</v>
      </c>
      <c r="C905" s="11" t="s">
        <v>117</v>
      </c>
      <c r="D905" s="2">
        <v>1107</v>
      </c>
      <c r="E905" s="2">
        <v>35.612130999999998</v>
      </c>
      <c r="F905" s="2">
        <v>0.32889800000000002</v>
      </c>
      <c r="G905" s="2">
        <v>34.967224799999997</v>
      </c>
      <c r="H905" s="2">
        <v>36.2570379</v>
      </c>
      <c r="J905" t="str">
        <f t="shared" si="33"/>
        <v>35.61 (34.97 to 36.26)</v>
      </c>
    </row>
    <row r="906" spans="1:10" ht="17.25" thickBot="1" x14ac:dyDescent="0.35">
      <c r="A906" s="6"/>
      <c r="B906" s="3">
        <v>2</v>
      </c>
      <c r="C906" s="11" t="s">
        <v>117</v>
      </c>
      <c r="D906" s="2">
        <v>2438</v>
      </c>
      <c r="E906" s="2">
        <v>35.115822000000001</v>
      </c>
      <c r="F906" s="2">
        <v>0.22114700000000001</v>
      </c>
      <c r="G906" s="2">
        <v>34.682193699999999</v>
      </c>
      <c r="H906" s="2">
        <v>35.549450299999997</v>
      </c>
      <c r="J906" t="str">
        <f t="shared" si="33"/>
        <v>35.12 (34.68 to 35.55)</v>
      </c>
    </row>
    <row r="907" spans="1:10" x14ac:dyDescent="0.3">
      <c r="A907" s="6"/>
      <c r="B907" s="3">
        <v>3</v>
      </c>
      <c r="C907" s="14" t="s">
        <v>117</v>
      </c>
      <c r="D907" s="2">
        <v>871</v>
      </c>
      <c r="E907" s="2">
        <v>35.328260999999998</v>
      </c>
      <c r="F907" s="2">
        <v>0.28670299999999999</v>
      </c>
      <c r="G907" s="2">
        <v>34.766089700000002</v>
      </c>
      <c r="H907" s="2">
        <v>35.890431900000003</v>
      </c>
      <c r="J907" t="str">
        <f t="shared" si="33"/>
        <v>35.33 (34.77 to 35.89)</v>
      </c>
    </row>
    <row r="911" spans="1:10" x14ac:dyDescent="0.3">
      <c r="A911" s="1" t="s">
        <v>237</v>
      </c>
    </row>
    <row r="913" spans="1:6" x14ac:dyDescent="0.3">
      <c r="A913" s="1" t="s">
        <v>1</v>
      </c>
    </row>
    <row r="914" spans="1:6" ht="17.25" thickBot="1" x14ac:dyDescent="0.35"/>
    <row r="915" spans="1:6" ht="16.5" customHeight="1" x14ac:dyDescent="0.3">
      <c r="A915" s="16" t="s">
        <v>135</v>
      </c>
      <c r="B915" s="18"/>
    </row>
    <row r="916" spans="1:6" ht="26.25" thickBot="1" x14ac:dyDescent="0.35">
      <c r="A916" s="12" t="s">
        <v>136</v>
      </c>
      <c r="B916" s="2">
        <v>183</v>
      </c>
    </row>
    <row r="917" spans="1:6" ht="26.25" thickBot="1" x14ac:dyDescent="0.35">
      <c r="A917" s="12" t="s">
        <v>137</v>
      </c>
      <c r="B917" s="2">
        <v>2949</v>
      </c>
    </row>
    <row r="918" spans="1:6" ht="39" thickBot="1" x14ac:dyDescent="0.35">
      <c r="A918" s="12" t="s">
        <v>138</v>
      </c>
      <c r="B918" s="2">
        <v>23222</v>
      </c>
    </row>
    <row r="919" spans="1:6" ht="25.5" x14ac:dyDescent="0.3">
      <c r="A919" s="13" t="s">
        <v>139</v>
      </c>
      <c r="B919" s="2">
        <v>9036880.5199999996</v>
      </c>
    </row>
    <row r="920" spans="1:6" ht="17.25" thickBot="1" x14ac:dyDescent="0.35"/>
    <row r="921" spans="1:6" ht="33" customHeight="1" x14ac:dyDescent="0.3">
      <c r="A921" s="16" t="s">
        <v>140</v>
      </c>
      <c r="B921" s="18"/>
    </row>
    <row r="922" spans="1:6" ht="33.75" thickBot="1" x14ac:dyDescent="0.35">
      <c r="A922" s="12" t="s">
        <v>141</v>
      </c>
      <c r="B922" s="2" t="s">
        <v>142</v>
      </c>
    </row>
    <row r="923" spans="1:6" ht="25.5" x14ac:dyDescent="0.3">
      <c r="A923" s="13" t="s">
        <v>143</v>
      </c>
      <c r="B923" s="2" t="s">
        <v>144</v>
      </c>
    </row>
    <row r="924" spans="1:6" ht="17.25" thickBot="1" x14ac:dyDescent="0.35"/>
    <row r="925" spans="1:6" ht="16.5" customHeight="1" x14ac:dyDescent="0.3">
      <c r="A925" s="16" t="s">
        <v>238</v>
      </c>
      <c r="B925" s="18"/>
      <c r="C925" s="18"/>
      <c r="D925" s="18"/>
      <c r="E925" s="18"/>
      <c r="F925" s="18"/>
    </row>
    <row r="926" spans="1:6" ht="16.5" customHeight="1" x14ac:dyDescent="0.3">
      <c r="A926" s="17" t="s">
        <v>239</v>
      </c>
      <c r="B926" s="19" t="s">
        <v>94</v>
      </c>
      <c r="C926" s="19" t="s">
        <v>240</v>
      </c>
      <c r="D926" s="3" t="s">
        <v>241</v>
      </c>
      <c r="E926" s="19" t="s">
        <v>243</v>
      </c>
      <c r="F926" s="19"/>
    </row>
    <row r="927" spans="1:6" x14ac:dyDescent="0.3">
      <c r="A927" s="17"/>
      <c r="B927" s="19"/>
      <c r="C927" s="19"/>
      <c r="D927" s="3" t="s">
        <v>242</v>
      </c>
      <c r="E927" s="19"/>
      <c r="F927" s="19"/>
    </row>
    <row r="928" spans="1:6" x14ac:dyDescent="0.3">
      <c r="A928" s="13" t="s">
        <v>117</v>
      </c>
      <c r="B928" s="2">
        <v>23222</v>
      </c>
      <c r="C928" s="2">
        <v>33.805624000000002</v>
      </c>
      <c r="D928" s="2">
        <v>7.0877999999999997E-2</v>
      </c>
      <c r="E928" s="2">
        <v>33.666644300000002</v>
      </c>
      <c r="F928" s="2">
        <v>33.944603299999997</v>
      </c>
    </row>
    <row r="932" spans="1:8" x14ac:dyDescent="0.3">
      <c r="A932" s="1" t="s">
        <v>237</v>
      </c>
    </row>
    <row r="934" spans="1:8" x14ac:dyDescent="0.3">
      <c r="A934" s="1" t="s">
        <v>1</v>
      </c>
    </row>
    <row r="935" spans="1:8" ht="17.25" thickBot="1" x14ac:dyDescent="0.35"/>
    <row r="936" spans="1:8" ht="16.5" customHeight="1" x14ac:dyDescent="0.3">
      <c r="A936" s="16" t="s">
        <v>259</v>
      </c>
      <c r="B936" s="18"/>
      <c r="C936" s="18"/>
      <c r="D936" s="18"/>
      <c r="E936" s="18"/>
      <c r="F936" s="18"/>
      <c r="G936" s="18"/>
      <c r="H936" s="18"/>
    </row>
    <row r="937" spans="1:8" ht="16.5" customHeight="1" x14ac:dyDescent="0.3">
      <c r="A937" s="17" t="s">
        <v>249</v>
      </c>
      <c r="B937" s="19" t="s">
        <v>14</v>
      </c>
      <c r="C937" s="19" t="s">
        <v>239</v>
      </c>
      <c r="D937" s="19" t="s">
        <v>94</v>
      </c>
      <c r="E937" s="19" t="s">
        <v>240</v>
      </c>
      <c r="F937" s="3" t="s">
        <v>241</v>
      </c>
      <c r="G937" s="19" t="s">
        <v>243</v>
      </c>
      <c r="H937" s="19"/>
    </row>
    <row r="938" spans="1:8" x14ac:dyDescent="0.3">
      <c r="A938" s="17"/>
      <c r="B938" s="19"/>
      <c r="C938" s="19"/>
      <c r="D938" s="19"/>
      <c r="E938" s="19"/>
      <c r="F938" s="3" t="s">
        <v>242</v>
      </c>
      <c r="G938" s="19"/>
      <c r="H938" s="19"/>
    </row>
    <row r="939" spans="1:8" ht="17.25" thickBot="1" x14ac:dyDescent="0.35">
      <c r="A939" s="6">
        <v>1</v>
      </c>
      <c r="B939" s="3">
        <v>1</v>
      </c>
      <c r="C939" s="11" t="s">
        <v>117</v>
      </c>
      <c r="D939" s="2">
        <v>424</v>
      </c>
      <c r="E939" s="2">
        <v>33.446401999999999</v>
      </c>
      <c r="F939" s="2">
        <v>0.42661399999999999</v>
      </c>
      <c r="G939" s="2">
        <v>32.609888599999998</v>
      </c>
      <c r="H939" s="2">
        <v>34.282916100000001</v>
      </c>
    </row>
    <row r="940" spans="1:8" ht="17.25" thickBot="1" x14ac:dyDescent="0.35">
      <c r="A940" s="6"/>
      <c r="B940" s="3">
        <v>2</v>
      </c>
      <c r="C940" s="11" t="s">
        <v>117</v>
      </c>
      <c r="D940" s="2">
        <v>246</v>
      </c>
      <c r="E940" s="2">
        <v>33.952362999999998</v>
      </c>
      <c r="F940" s="2">
        <v>0.51419400000000004</v>
      </c>
      <c r="G940" s="2">
        <v>32.944120400000003</v>
      </c>
      <c r="H940" s="2">
        <v>34.9606055</v>
      </c>
    </row>
    <row r="941" spans="1:8" ht="17.25" thickBot="1" x14ac:dyDescent="0.35">
      <c r="A941" s="6"/>
      <c r="B941" s="3">
        <v>3</v>
      </c>
      <c r="C941" s="11" t="s">
        <v>117</v>
      </c>
      <c r="D941" s="2">
        <v>177</v>
      </c>
      <c r="E941" s="2">
        <v>36.356470999999999</v>
      </c>
      <c r="F941" s="2">
        <v>0.71934100000000001</v>
      </c>
      <c r="G941" s="2">
        <v>34.945971800000002</v>
      </c>
      <c r="H941" s="2">
        <v>37.766970800000003</v>
      </c>
    </row>
    <row r="942" spans="1:8" ht="17.25" thickBot="1" x14ac:dyDescent="0.35">
      <c r="A942" s="6"/>
      <c r="B942" s="3">
        <v>8</v>
      </c>
      <c r="C942" s="11" t="s">
        <v>117</v>
      </c>
      <c r="D942" s="2">
        <v>2893</v>
      </c>
      <c r="E942" s="2">
        <v>34.45431</v>
      </c>
      <c r="F942" s="2">
        <v>0.196489</v>
      </c>
      <c r="G942" s="2">
        <v>34.069029800000003</v>
      </c>
      <c r="H942" s="2">
        <v>34.8395911</v>
      </c>
    </row>
    <row r="943" spans="1:8" ht="17.25" thickBot="1" x14ac:dyDescent="0.35">
      <c r="A943" s="6">
        <v>2</v>
      </c>
      <c r="B943" s="3">
        <v>1</v>
      </c>
      <c r="C943" s="11" t="s">
        <v>117</v>
      </c>
      <c r="D943" s="2">
        <v>443</v>
      </c>
      <c r="E943" s="2">
        <v>32.060499</v>
      </c>
      <c r="F943" s="2">
        <v>0.40712399999999999</v>
      </c>
      <c r="G943" s="2">
        <v>31.262200400000001</v>
      </c>
      <c r="H943" s="2">
        <v>32.858797500000001</v>
      </c>
    </row>
    <row r="944" spans="1:8" ht="17.25" thickBot="1" x14ac:dyDescent="0.35">
      <c r="A944" s="6"/>
      <c r="B944" s="3">
        <v>2</v>
      </c>
      <c r="C944" s="11" t="s">
        <v>117</v>
      </c>
      <c r="D944" s="2">
        <v>258</v>
      </c>
      <c r="E944" s="2">
        <v>33.287922999999999</v>
      </c>
      <c r="F944" s="2">
        <v>0.532115</v>
      </c>
      <c r="G944" s="2">
        <v>32.244540600000001</v>
      </c>
      <c r="H944" s="2">
        <v>34.331306400000003</v>
      </c>
    </row>
    <row r="945" spans="1:8" ht="17.25" thickBot="1" x14ac:dyDescent="0.35">
      <c r="A945" s="6"/>
      <c r="B945" s="3">
        <v>3</v>
      </c>
      <c r="C945" s="11" t="s">
        <v>117</v>
      </c>
      <c r="D945" s="2">
        <v>116</v>
      </c>
      <c r="E945" s="2">
        <v>36.964393000000001</v>
      </c>
      <c r="F945" s="2">
        <v>0.75634199999999996</v>
      </c>
      <c r="G945" s="2">
        <v>35.481341499999999</v>
      </c>
      <c r="H945" s="2">
        <v>38.447445100000003</v>
      </c>
    </row>
    <row r="946" spans="1:8" ht="17.25" thickBot="1" x14ac:dyDescent="0.35">
      <c r="A946" s="6"/>
      <c r="B946" s="3">
        <v>8</v>
      </c>
      <c r="C946" s="11" t="s">
        <v>117</v>
      </c>
      <c r="D946" s="2">
        <v>3915</v>
      </c>
      <c r="E946" s="2">
        <v>32.721615999999997</v>
      </c>
      <c r="F946" s="2">
        <v>0.163328</v>
      </c>
      <c r="G946" s="2">
        <v>32.401358000000002</v>
      </c>
      <c r="H946" s="2">
        <v>33.041873600000002</v>
      </c>
    </row>
    <row r="947" spans="1:8" ht="17.25" thickBot="1" x14ac:dyDescent="0.35">
      <c r="A947" s="6">
        <v>3</v>
      </c>
      <c r="B947" s="3">
        <v>1</v>
      </c>
      <c r="C947" s="11" t="s">
        <v>117</v>
      </c>
      <c r="D947" s="2">
        <v>538</v>
      </c>
      <c r="E947" s="2">
        <v>33.452751999999997</v>
      </c>
      <c r="F947" s="2">
        <v>0.362512</v>
      </c>
      <c r="G947" s="2">
        <v>32.741930099999998</v>
      </c>
      <c r="H947" s="2">
        <v>34.163574799999999</v>
      </c>
    </row>
    <row r="948" spans="1:8" ht="17.25" thickBot="1" x14ac:dyDescent="0.35">
      <c r="A948" s="6"/>
      <c r="B948" s="3">
        <v>2</v>
      </c>
      <c r="C948" s="11" t="s">
        <v>117</v>
      </c>
      <c r="D948" s="2">
        <v>351</v>
      </c>
      <c r="E948" s="2">
        <v>35.139899</v>
      </c>
      <c r="F948" s="2">
        <v>0.42050999999999999</v>
      </c>
      <c r="G948" s="2">
        <v>34.315354499999998</v>
      </c>
      <c r="H948" s="2">
        <v>35.9644434</v>
      </c>
    </row>
    <row r="949" spans="1:8" ht="17.25" thickBot="1" x14ac:dyDescent="0.35">
      <c r="A949" s="6"/>
      <c r="B949" s="3">
        <v>3</v>
      </c>
      <c r="C949" s="11" t="s">
        <v>117</v>
      </c>
      <c r="D949" s="2">
        <v>201</v>
      </c>
      <c r="E949" s="2">
        <v>36.503270000000001</v>
      </c>
      <c r="F949" s="2">
        <v>0.66182300000000005</v>
      </c>
      <c r="G949" s="2">
        <v>35.205553100000003</v>
      </c>
      <c r="H949" s="2">
        <v>37.800987399999997</v>
      </c>
    </row>
    <row r="950" spans="1:8" ht="17.25" thickBot="1" x14ac:dyDescent="0.35">
      <c r="A950" s="6"/>
      <c r="B950" s="3">
        <v>8</v>
      </c>
      <c r="C950" s="11" t="s">
        <v>117</v>
      </c>
      <c r="D950" s="2">
        <v>3167</v>
      </c>
      <c r="E950" s="2">
        <v>33.562815999999998</v>
      </c>
      <c r="F950" s="2">
        <v>0.17474799999999999</v>
      </c>
      <c r="G950" s="2">
        <v>33.2201667</v>
      </c>
      <c r="H950" s="2">
        <v>33.905465200000002</v>
      </c>
    </row>
    <row r="951" spans="1:8" ht="17.25" thickBot="1" x14ac:dyDescent="0.35">
      <c r="A951" s="6">
        <v>4</v>
      </c>
      <c r="B951" s="3">
        <v>1</v>
      </c>
      <c r="C951" s="11" t="s">
        <v>117</v>
      </c>
      <c r="D951" s="2">
        <v>582</v>
      </c>
      <c r="E951" s="2">
        <v>34.020265000000002</v>
      </c>
      <c r="F951" s="2">
        <v>0.36984299999999998</v>
      </c>
      <c r="G951" s="2">
        <v>33.295068000000001</v>
      </c>
      <c r="H951" s="2">
        <v>34.745461400000003</v>
      </c>
    </row>
    <row r="952" spans="1:8" ht="17.25" thickBot="1" x14ac:dyDescent="0.35">
      <c r="A952" s="6"/>
      <c r="B952" s="3">
        <v>2</v>
      </c>
      <c r="C952" s="11" t="s">
        <v>117</v>
      </c>
      <c r="D952" s="2">
        <v>417</v>
      </c>
      <c r="E952" s="2">
        <v>34.910437000000002</v>
      </c>
      <c r="F952" s="2">
        <v>0.42411300000000002</v>
      </c>
      <c r="G952" s="2">
        <v>34.078828299999998</v>
      </c>
      <c r="H952" s="2">
        <v>35.742046700000003</v>
      </c>
    </row>
    <row r="953" spans="1:8" ht="17.25" thickBot="1" x14ac:dyDescent="0.35">
      <c r="A953" s="6"/>
      <c r="B953" s="3">
        <v>3</v>
      </c>
      <c r="C953" s="11" t="s">
        <v>117</v>
      </c>
      <c r="D953" s="2">
        <v>261</v>
      </c>
      <c r="E953" s="2">
        <v>36.596133000000002</v>
      </c>
      <c r="F953" s="2">
        <v>0.57503099999999996</v>
      </c>
      <c r="G953" s="2">
        <v>35.468598800000002</v>
      </c>
      <c r="H953" s="2">
        <v>37.723666700000003</v>
      </c>
    </row>
    <row r="954" spans="1:8" ht="17.25" thickBot="1" x14ac:dyDescent="0.35">
      <c r="A954" s="6"/>
      <c r="B954" s="3">
        <v>8</v>
      </c>
      <c r="C954" s="11" t="s">
        <v>117</v>
      </c>
      <c r="D954" s="2">
        <v>3296</v>
      </c>
      <c r="E954" s="2">
        <v>33.322654</v>
      </c>
      <c r="F954" s="2">
        <v>0.182417</v>
      </c>
      <c r="G954" s="2">
        <v>32.964966400000002</v>
      </c>
      <c r="H954" s="2">
        <v>33.680340999999999</v>
      </c>
    </row>
    <row r="955" spans="1:8" ht="17.25" thickBot="1" x14ac:dyDescent="0.35">
      <c r="A955" s="6">
        <v>5</v>
      </c>
      <c r="B955" s="3">
        <v>1</v>
      </c>
      <c r="C955" s="11" t="s">
        <v>117</v>
      </c>
      <c r="D955" s="2">
        <v>641</v>
      </c>
      <c r="E955" s="2">
        <v>35.138100999999999</v>
      </c>
      <c r="F955" s="2">
        <v>0.44905400000000001</v>
      </c>
      <c r="G955" s="2">
        <v>34.257586000000003</v>
      </c>
      <c r="H955" s="2">
        <v>36.018616100000003</v>
      </c>
    </row>
    <row r="956" spans="1:8" ht="17.25" thickBot="1" x14ac:dyDescent="0.35">
      <c r="A956" s="6"/>
      <c r="B956" s="3">
        <v>2</v>
      </c>
      <c r="C956" s="11" t="s">
        <v>117</v>
      </c>
      <c r="D956" s="2">
        <v>383</v>
      </c>
      <c r="E956" s="2">
        <v>35.341233000000003</v>
      </c>
      <c r="F956" s="2">
        <v>0.48890400000000001</v>
      </c>
      <c r="G956" s="2">
        <v>34.382579800000002</v>
      </c>
      <c r="H956" s="2">
        <v>36.299886000000001</v>
      </c>
    </row>
    <row r="957" spans="1:8" ht="17.25" thickBot="1" x14ac:dyDescent="0.35">
      <c r="A957" s="6"/>
      <c r="B957" s="3">
        <v>3</v>
      </c>
      <c r="C957" s="11" t="s">
        <v>117</v>
      </c>
      <c r="D957" s="2">
        <v>253</v>
      </c>
      <c r="E957" s="2">
        <v>37.229709999999997</v>
      </c>
      <c r="F957" s="2">
        <v>0.56364000000000003</v>
      </c>
      <c r="G957" s="2">
        <v>36.124512299999999</v>
      </c>
      <c r="H957" s="2">
        <v>38.334907000000001</v>
      </c>
    </row>
    <row r="958" spans="1:8" ht="17.25" thickBot="1" x14ac:dyDescent="0.35">
      <c r="A958" s="6"/>
      <c r="B958" s="3">
        <v>8</v>
      </c>
      <c r="C958" s="11" t="s">
        <v>117</v>
      </c>
      <c r="D958" s="2">
        <v>3224</v>
      </c>
      <c r="E958" s="2">
        <v>33.659058999999999</v>
      </c>
      <c r="F958" s="2">
        <v>0.19225700000000001</v>
      </c>
      <c r="G958" s="2">
        <v>33.282077000000001</v>
      </c>
      <c r="H958" s="2">
        <v>34.036040800000002</v>
      </c>
    </row>
    <row r="959" spans="1:8" ht="17.25" thickBot="1" x14ac:dyDescent="0.35">
      <c r="A959" s="6">
        <v>6</v>
      </c>
      <c r="B959" s="3">
        <v>1</v>
      </c>
      <c r="C959" s="11" t="s">
        <v>117</v>
      </c>
      <c r="D959" s="2">
        <v>173</v>
      </c>
      <c r="E959" s="2">
        <v>35.618299999999998</v>
      </c>
      <c r="F959" s="2">
        <v>0.95227899999999999</v>
      </c>
      <c r="G959" s="2">
        <v>33.751049500000001</v>
      </c>
      <c r="H959" s="2">
        <v>37.485549499999998</v>
      </c>
    </row>
    <row r="960" spans="1:8" ht="17.25" thickBot="1" x14ac:dyDescent="0.35">
      <c r="A960" s="6"/>
      <c r="B960" s="3">
        <v>2</v>
      </c>
      <c r="C960" s="11" t="s">
        <v>117</v>
      </c>
      <c r="D960" s="2">
        <v>144</v>
      </c>
      <c r="E960" s="2">
        <v>34.809739</v>
      </c>
      <c r="F960" s="2">
        <v>0.81192500000000001</v>
      </c>
      <c r="G960" s="2">
        <v>33.217698200000001</v>
      </c>
      <c r="H960" s="2">
        <v>36.401780000000002</v>
      </c>
    </row>
    <row r="961" spans="1:8" ht="17.25" thickBot="1" x14ac:dyDescent="0.35">
      <c r="A961" s="6"/>
      <c r="B961" s="3">
        <v>3</v>
      </c>
      <c r="C961" s="11" t="s">
        <v>117</v>
      </c>
      <c r="D961" s="2">
        <v>93</v>
      </c>
      <c r="E961" s="2">
        <v>35.028829000000002</v>
      </c>
      <c r="F961" s="2">
        <v>1.0270680000000001</v>
      </c>
      <c r="G961" s="2">
        <v>33.014931599999997</v>
      </c>
      <c r="H961" s="2">
        <v>37.042725799999999</v>
      </c>
    </row>
    <row r="962" spans="1:8" x14ac:dyDescent="0.3">
      <c r="A962" s="6"/>
      <c r="B962" s="3">
        <v>8</v>
      </c>
      <c r="C962" s="14" t="s">
        <v>117</v>
      </c>
      <c r="D962" s="2">
        <v>1026</v>
      </c>
      <c r="E962" s="2">
        <v>32.587229000000001</v>
      </c>
      <c r="F962" s="2">
        <v>0.34323900000000002</v>
      </c>
      <c r="G962" s="2">
        <v>31.914198599999999</v>
      </c>
      <c r="H962" s="2">
        <v>33.260258800000003</v>
      </c>
    </row>
    <row r="966" spans="1:8" x14ac:dyDescent="0.3">
      <c r="A966" s="1" t="s">
        <v>237</v>
      </c>
    </row>
    <row r="968" spans="1:8" x14ac:dyDescent="0.3">
      <c r="A968" s="1" t="s">
        <v>21</v>
      </c>
    </row>
    <row r="969" spans="1:8" ht="17.25" thickBot="1" x14ac:dyDescent="0.35"/>
    <row r="970" spans="1:8" ht="16.5" customHeight="1" x14ac:dyDescent="0.3">
      <c r="A970" s="16" t="s">
        <v>135</v>
      </c>
      <c r="B970" s="18"/>
    </row>
    <row r="971" spans="1:8" ht="26.25" thickBot="1" x14ac:dyDescent="0.35">
      <c r="A971" s="12" t="s">
        <v>136</v>
      </c>
      <c r="B971" s="2">
        <v>183</v>
      </c>
    </row>
    <row r="972" spans="1:8" ht="26.25" thickBot="1" x14ac:dyDescent="0.35">
      <c r="A972" s="12" t="s">
        <v>137</v>
      </c>
      <c r="B972" s="2">
        <v>2982</v>
      </c>
    </row>
    <row r="973" spans="1:8" ht="39" thickBot="1" x14ac:dyDescent="0.35">
      <c r="A973" s="12" t="s">
        <v>138</v>
      </c>
      <c r="B973" s="2">
        <v>68635</v>
      </c>
    </row>
    <row r="974" spans="1:8" ht="25.5" x14ac:dyDescent="0.3">
      <c r="A974" s="13" t="s">
        <v>139</v>
      </c>
      <c r="B974" s="2">
        <v>30251935.699999999</v>
      </c>
    </row>
    <row r="975" spans="1:8" ht="17.25" thickBot="1" x14ac:dyDescent="0.35"/>
    <row r="976" spans="1:8" ht="33" customHeight="1" x14ac:dyDescent="0.3">
      <c r="A976" s="16" t="s">
        <v>140</v>
      </c>
      <c r="B976" s="18"/>
    </row>
    <row r="977" spans="1:8" ht="33.75" thickBot="1" x14ac:dyDescent="0.35">
      <c r="A977" s="12" t="s">
        <v>141</v>
      </c>
      <c r="B977" s="2" t="s">
        <v>142</v>
      </c>
    </row>
    <row r="978" spans="1:8" ht="25.5" x14ac:dyDescent="0.3">
      <c r="A978" s="13" t="s">
        <v>143</v>
      </c>
      <c r="B978" s="2" t="s">
        <v>144</v>
      </c>
    </row>
    <row r="979" spans="1:8" ht="17.25" thickBot="1" x14ac:dyDescent="0.35"/>
    <row r="980" spans="1:8" ht="16.5" customHeight="1" x14ac:dyDescent="0.3">
      <c r="A980" s="16" t="s">
        <v>238</v>
      </c>
      <c r="B980" s="18"/>
      <c r="C980" s="18"/>
      <c r="D980" s="18"/>
      <c r="E980" s="18"/>
      <c r="F980" s="18"/>
    </row>
    <row r="981" spans="1:8" ht="16.5" customHeight="1" x14ac:dyDescent="0.3">
      <c r="A981" s="17" t="s">
        <v>239</v>
      </c>
      <c r="B981" s="19" t="s">
        <v>94</v>
      </c>
      <c r="C981" s="19" t="s">
        <v>240</v>
      </c>
      <c r="D981" s="3" t="s">
        <v>241</v>
      </c>
      <c r="E981" s="19" t="s">
        <v>243</v>
      </c>
      <c r="F981" s="19"/>
    </row>
    <row r="982" spans="1:8" x14ac:dyDescent="0.3">
      <c r="A982" s="17"/>
      <c r="B982" s="19"/>
      <c r="C982" s="19"/>
      <c r="D982" s="3" t="s">
        <v>242</v>
      </c>
      <c r="E982" s="19"/>
      <c r="F982" s="19"/>
    </row>
    <row r="983" spans="1:8" x14ac:dyDescent="0.3">
      <c r="A983" s="13" t="s">
        <v>117</v>
      </c>
      <c r="B983" s="2">
        <v>68635</v>
      </c>
      <c r="C983" s="2">
        <v>35.601097000000003</v>
      </c>
      <c r="D983" s="2">
        <v>3.8943999999999999E-2</v>
      </c>
      <c r="E983" s="2">
        <v>35.524735800000002</v>
      </c>
      <c r="F983" s="2">
        <v>35.677458399999999</v>
      </c>
    </row>
    <row r="987" spans="1:8" x14ac:dyDescent="0.3">
      <c r="A987" s="1" t="s">
        <v>237</v>
      </c>
    </row>
    <row r="989" spans="1:8" x14ac:dyDescent="0.3">
      <c r="A989" s="1" t="s">
        <v>21</v>
      </c>
    </row>
    <row r="990" spans="1:8" ht="17.25" thickBot="1" x14ac:dyDescent="0.35"/>
    <row r="991" spans="1:8" ht="16.5" customHeight="1" x14ac:dyDescent="0.3">
      <c r="A991" s="16" t="s">
        <v>259</v>
      </c>
      <c r="B991" s="18"/>
      <c r="C991" s="18"/>
      <c r="D991" s="18"/>
      <c r="E991" s="18"/>
      <c r="F991" s="18"/>
      <c r="G991" s="18"/>
      <c r="H991" s="18"/>
    </row>
    <row r="992" spans="1:8" ht="16.5" customHeight="1" x14ac:dyDescent="0.3">
      <c r="A992" s="17" t="s">
        <v>249</v>
      </c>
      <c r="B992" s="19" t="s">
        <v>14</v>
      </c>
      <c r="C992" s="19" t="s">
        <v>239</v>
      </c>
      <c r="D992" s="19" t="s">
        <v>94</v>
      </c>
      <c r="E992" s="19" t="s">
        <v>240</v>
      </c>
      <c r="F992" s="3" t="s">
        <v>241</v>
      </c>
      <c r="G992" s="19" t="s">
        <v>243</v>
      </c>
      <c r="H992" s="19"/>
    </row>
    <row r="993" spans="1:15" x14ac:dyDescent="0.3">
      <c r="A993" s="17"/>
      <c r="B993" s="19"/>
      <c r="C993" s="19"/>
      <c r="D993" s="19"/>
      <c r="E993" s="19"/>
      <c r="F993" s="3" t="s">
        <v>242</v>
      </c>
      <c r="G993" s="19"/>
      <c r="H993" s="19"/>
    </row>
    <row r="994" spans="1:15" ht="17.25" thickBot="1" x14ac:dyDescent="0.35">
      <c r="A994" s="6">
        <v>1</v>
      </c>
      <c r="B994" s="3">
        <v>1</v>
      </c>
      <c r="C994" s="11" t="s">
        <v>117</v>
      </c>
      <c r="D994" s="2">
        <v>4479</v>
      </c>
      <c r="E994" s="2">
        <v>35.382308000000002</v>
      </c>
      <c r="F994" s="2">
        <v>0.129658</v>
      </c>
      <c r="G994" s="2">
        <v>35.128073299999997</v>
      </c>
      <c r="H994" s="2">
        <v>35.636541800000003</v>
      </c>
      <c r="J994" t="str">
        <f t="shared" ref="J994:J1011" si="39">TEXT(E994,"0.00")&amp;" ("&amp;TEXT(G994,"0.00")&amp;" to "&amp;TEXT(H994,"0.00")&amp;")"</f>
        <v>35.38 (35.13 to 35.64)</v>
      </c>
      <c r="K994" t="str">
        <f>J997</f>
        <v>35.10 (34.84 to 35.36)</v>
      </c>
      <c r="L994" t="str">
        <f>J1000</f>
        <v>35.04 (34.77 to 35.31)</v>
      </c>
      <c r="M994" t="str">
        <f>J1003</f>
        <v>35.51 (35.23 to 35.78)</v>
      </c>
      <c r="N994" t="str">
        <f>J1006</f>
        <v>35.68 (35.39 to 35.96)</v>
      </c>
      <c r="O994" t="str">
        <f>J1009</f>
        <v>35.16 (34.65 to 35.67)</v>
      </c>
    </row>
    <row r="995" spans="1:15" ht="17.25" thickBot="1" x14ac:dyDescent="0.35">
      <c r="A995" s="6"/>
      <c r="B995" s="3">
        <v>2</v>
      </c>
      <c r="C995" s="11" t="s">
        <v>117</v>
      </c>
      <c r="D995" s="2">
        <v>4351</v>
      </c>
      <c r="E995" s="2">
        <v>35.102634999999999</v>
      </c>
      <c r="F995" s="2">
        <v>0.122546</v>
      </c>
      <c r="G995" s="2">
        <v>34.862345699999999</v>
      </c>
      <c r="H995" s="2">
        <v>35.342925000000001</v>
      </c>
      <c r="J995" t="str">
        <f t="shared" si="39"/>
        <v>35.10 (34.86 to 35.34)</v>
      </c>
      <c r="K995" t="str">
        <f t="shared" ref="K995:K996" si="40">J998</f>
        <v>35.34 (35.05 to 35.64)</v>
      </c>
      <c r="L995" t="str">
        <f t="shared" ref="L995:L996" si="41">J1001</f>
        <v>34.90 (34.63 to 35.17)</v>
      </c>
      <c r="M995" t="str">
        <f t="shared" ref="M995:M996" si="42">J1004</f>
        <v>35.44 (35.17 to 35.71)</v>
      </c>
      <c r="N995" t="str">
        <f t="shared" ref="N995:N996" si="43">J1007</f>
        <v>35.53 (35.25 to 35.81)</v>
      </c>
      <c r="O995" t="str">
        <f t="shared" ref="O995:O996" si="44">J1010</f>
        <v>35.15 (34.63 to 35.67)</v>
      </c>
    </row>
    <row r="996" spans="1:15" ht="17.25" thickBot="1" x14ac:dyDescent="0.35">
      <c r="A996" s="6"/>
      <c r="B996" s="3">
        <v>3</v>
      </c>
      <c r="C996" s="11" t="s">
        <v>117</v>
      </c>
      <c r="D996" s="2">
        <v>3085</v>
      </c>
      <c r="E996" s="2">
        <v>36.501998999999998</v>
      </c>
      <c r="F996" s="2">
        <v>0.139991</v>
      </c>
      <c r="G996" s="2">
        <v>36.227502399999999</v>
      </c>
      <c r="H996" s="2">
        <v>36.7764959</v>
      </c>
      <c r="J996" t="str">
        <f t="shared" si="39"/>
        <v>36.50 (36.23 to 36.78)</v>
      </c>
      <c r="K996" t="str">
        <f t="shared" si="40"/>
        <v>36.39 (36.07 to 36.72)</v>
      </c>
      <c r="L996" t="str">
        <f t="shared" si="41"/>
        <v>36.60 (36.26 to 36.95)</v>
      </c>
      <c r="M996" t="str">
        <f t="shared" si="42"/>
        <v>36.49 (36.18 to 36.79)</v>
      </c>
      <c r="N996" t="str">
        <f t="shared" si="43"/>
        <v>36.47 (36.15 to 36.78)</v>
      </c>
      <c r="O996" t="str">
        <f t="shared" si="44"/>
        <v>35.73 (35.13 to 36.33)</v>
      </c>
    </row>
    <row r="997" spans="1:15" ht="17.25" thickBot="1" x14ac:dyDescent="0.35">
      <c r="A997" s="6">
        <v>2</v>
      </c>
      <c r="B997" s="3">
        <v>1</v>
      </c>
      <c r="C997" s="11" t="s">
        <v>117</v>
      </c>
      <c r="D997" s="2">
        <v>5052</v>
      </c>
      <c r="E997" s="2">
        <v>35.099710000000002</v>
      </c>
      <c r="F997" s="2">
        <v>0.134743</v>
      </c>
      <c r="G997" s="2">
        <v>34.835504100000001</v>
      </c>
      <c r="H997" s="2">
        <v>35.363916000000003</v>
      </c>
      <c r="J997" t="str">
        <f t="shared" si="39"/>
        <v>35.10 (34.84 to 35.36)</v>
      </c>
    </row>
    <row r="998" spans="1:15" ht="17.25" thickBot="1" x14ac:dyDescent="0.35">
      <c r="A998" s="6"/>
      <c r="B998" s="3">
        <v>2</v>
      </c>
      <c r="C998" s="11" t="s">
        <v>117</v>
      </c>
      <c r="D998" s="2">
        <v>4786</v>
      </c>
      <c r="E998" s="2">
        <v>35.343651000000001</v>
      </c>
      <c r="F998" s="2">
        <v>0.148621</v>
      </c>
      <c r="G998" s="2">
        <v>35.052233700000002</v>
      </c>
      <c r="H998" s="2">
        <v>35.635068699999998</v>
      </c>
      <c r="J998" t="str">
        <f t="shared" si="39"/>
        <v>35.34 (35.05 to 35.64)</v>
      </c>
    </row>
    <row r="999" spans="1:15" ht="17.25" thickBot="1" x14ac:dyDescent="0.35">
      <c r="A999" s="6"/>
      <c r="B999" s="3">
        <v>3</v>
      </c>
      <c r="C999" s="11" t="s">
        <v>117</v>
      </c>
      <c r="D999" s="2">
        <v>3278</v>
      </c>
      <c r="E999" s="2">
        <v>36.393492999999999</v>
      </c>
      <c r="F999" s="2">
        <v>0.16453699999999999</v>
      </c>
      <c r="G999" s="2">
        <v>36.070867499999999</v>
      </c>
      <c r="H999" s="2">
        <v>36.7161185</v>
      </c>
      <c r="J999" t="str">
        <f t="shared" si="39"/>
        <v>36.39 (36.07 to 36.72)</v>
      </c>
    </row>
    <row r="1000" spans="1:15" ht="17.25" thickBot="1" x14ac:dyDescent="0.35">
      <c r="A1000" s="6">
        <v>3</v>
      </c>
      <c r="B1000" s="3">
        <v>1</v>
      </c>
      <c r="C1000" s="11" t="s">
        <v>117</v>
      </c>
      <c r="D1000" s="2">
        <v>4399</v>
      </c>
      <c r="E1000" s="2">
        <v>35.042571000000002</v>
      </c>
      <c r="F1000" s="2">
        <v>0.13729</v>
      </c>
      <c r="G1000" s="2">
        <v>34.773370100000001</v>
      </c>
      <c r="H1000" s="2">
        <v>35.311771100000001</v>
      </c>
      <c r="J1000" t="str">
        <f t="shared" si="39"/>
        <v>35.04 (34.77 to 35.31)</v>
      </c>
    </row>
    <row r="1001" spans="1:15" ht="17.25" thickBot="1" x14ac:dyDescent="0.35">
      <c r="A1001" s="6"/>
      <c r="B1001" s="3">
        <v>2</v>
      </c>
      <c r="C1001" s="11" t="s">
        <v>117</v>
      </c>
      <c r="D1001" s="2">
        <v>4275</v>
      </c>
      <c r="E1001" s="2">
        <v>34.903087999999997</v>
      </c>
      <c r="F1001" s="2">
        <v>0.13855700000000001</v>
      </c>
      <c r="G1001" s="2">
        <v>34.6314043</v>
      </c>
      <c r="H1001" s="2">
        <v>35.174772599999997</v>
      </c>
      <c r="J1001" t="str">
        <f t="shared" si="39"/>
        <v>34.90 (34.63 to 35.17)</v>
      </c>
    </row>
    <row r="1002" spans="1:15" ht="17.25" thickBot="1" x14ac:dyDescent="0.35">
      <c r="A1002" s="6"/>
      <c r="B1002" s="3">
        <v>3</v>
      </c>
      <c r="C1002" s="11" t="s">
        <v>117</v>
      </c>
      <c r="D1002" s="2">
        <v>2801</v>
      </c>
      <c r="E1002" s="2">
        <v>36.602935000000002</v>
      </c>
      <c r="F1002" s="2">
        <v>0.174624</v>
      </c>
      <c r="G1002" s="2">
        <v>36.260528800000003</v>
      </c>
      <c r="H1002" s="2">
        <v>36.945340399999999</v>
      </c>
      <c r="J1002" t="str">
        <f t="shared" si="39"/>
        <v>36.60 (36.26 to 36.95)</v>
      </c>
    </row>
    <row r="1003" spans="1:15" ht="17.25" thickBot="1" x14ac:dyDescent="0.35">
      <c r="A1003" s="6">
        <v>4</v>
      </c>
      <c r="B1003" s="3">
        <v>1</v>
      </c>
      <c r="C1003" s="11" t="s">
        <v>117</v>
      </c>
      <c r="D1003" s="2">
        <v>5475</v>
      </c>
      <c r="E1003" s="2">
        <v>35.505057999999998</v>
      </c>
      <c r="F1003" s="2">
        <v>0.13814299999999999</v>
      </c>
      <c r="G1003" s="2">
        <v>35.234184399999997</v>
      </c>
      <c r="H1003" s="2">
        <v>35.775930899999999</v>
      </c>
      <c r="J1003" t="str">
        <f t="shared" si="39"/>
        <v>35.51 (35.23 to 35.78)</v>
      </c>
    </row>
    <row r="1004" spans="1:15" ht="17.25" thickBot="1" x14ac:dyDescent="0.35">
      <c r="A1004" s="6"/>
      <c r="B1004" s="3">
        <v>2</v>
      </c>
      <c r="C1004" s="11" t="s">
        <v>117</v>
      </c>
      <c r="D1004" s="2">
        <v>5105</v>
      </c>
      <c r="E1004" s="2">
        <v>35.440792000000002</v>
      </c>
      <c r="F1004" s="2">
        <v>0.13698099999999999</v>
      </c>
      <c r="G1004" s="2">
        <v>35.172197799999999</v>
      </c>
      <c r="H1004" s="2">
        <v>35.709386199999997</v>
      </c>
      <c r="J1004" t="str">
        <f t="shared" si="39"/>
        <v>35.44 (35.17 to 35.71)</v>
      </c>
    </row>
    <row r="1005" spans="1:15" ht="17.25" thickBot="1" x14ac:dyDescent="0.35">
      <c r="A1005" s="6"/>
      <c r="B1005" s="3">
        <v>3</v>
      </c>
      <c r="C1005" s="11" t="s">
        <v>117</v>
      </c>
      <c r="D1005" s="2">
        <v>3578</v>
      </c>
      <c r="E1005" s="2">
        <v>36.486181000000002</v>
      </c>
      <c r="F1005" s="2">
        <v>0.15396599999999999</v>
      </c>
      <c r="G1005" s="2">
        <v>36.184282199999998</v>
      </c>
      <c r="H1005" s="2">
        <v>36.788079000000003</v>
      </c>
      <c r="J1005" t="str">
        <f t="shared" si="39"/>
        <v>36.49 (36.18 to 36.79)</v>
      </c>
    </row>
    <row r="1006" spans="1:15" ht="17.25" thickBot="1" x14ac:dyDescent="0.35">
      <c r="A1006" s="6">
        <v>5</v>
      </c>
      <c r="B1006" s="3">
        <v>1</v>
      </c>
      <c r="C1006" s="11" t="s">
        <v>117</v>
      </c>
      <c r="D1006" s="2">
        <v>5622</v>
      </c>
      <c r="E1006" s="2">
        <v>35.675834000000002</v>
      </c>
      <c r="F1006" s="2">
        <v>0.14546300000000001</v>
      </c>
      <c r="G1006" s="2">
        <v>35.390607899999999</v>
      </c>
      <c r="H1006" s="2">
        <v>35.9610597</v>
      </c>
      <c r="J1006" t="str">
        <f t="shared" si="39"/>
        <v>35.68 (35.39 to 35.96)</v>
      </c>
    </row>
    <row r="1007" spans="1:15" ht="17.25" thickBot="1" x14ac:dyDescent="0.35">
      <c r="A1007" s="6"/>
      <c r="B1007" s="3">
        <v>2</v>
      </c>
      <c r="C1007" s="11" t="s">
        <v>117</v>
      </c>
      <c r="D1007" s="2">
        <v>4873</v>
      </c>
      <c r="E1007" s="2">
        <v>35.531680999999999</v>
      </c>
      <c r="F1007" s="2">
        <v>0.14358199999999999</v>
      </c>
      <c r="G1007" s="2">
        <v>35.2501441</v>
      </c>
      <c r="H1007" s="2">
        <v>35.813218800000001</v>
      </c>
      <c r="J1007" t="str">
        <f t="shared" si="39"/>
        <v>35.53 (35.25 to 35.81)</v>
      </c>
    </row>
    <row r="1008" spans="1:15" ht="17.25" thickBot="1" x14ac:dyDescent="0.35">
      <c r="A1008" s="6"/>
      <c r="B1008" s="3">
        <v>3</v>
      </c>
      <c r="C1008" s="11" t="s">
        <v>117</v>
      </c>
      <c r="D1008" s="2">
        <v>3060</v>
      </c>
      <c r="E1008" s="2">
        <v>36.466697000000003</v>
      </c>
      <c r="F1008" s="2">
        <v>0.160387</v>
      </c>
      <c r="G1008" s="2">
        <v>36.152208399999999</v>
      </c>
      <c r="H1008" s="2">
        <v>36.781185600000001</v>
      </c>
      <c r="J1008" t="str">
        <f t="shared" si="39"/>
        <v>36.47 (36.15 to 36.78)</v>
      </c>
    </row>
    <row r="1009" spans="1:10" ht="17.25" thickBot="1" x14ac:dyDescent="0.35">
      <c r="A1009" s="6">
        <v>6</v>
      </c>
      <c r="B1009" s="3">
        <v>1</v>
      </c>
      <c r="C1009" s="11" t="s">
        <v>117</v>
      </c>
      <c r="D1009" s="2">
        <v>1881</v>
      </c>
      <c r="E1009" s="2">
        <v>35.158698000000001</v>
      </c>
      <c r="F1009" s="2">
        <v>0.25848399999999999</v>
      </c>
      <c r="G1009" s="2">
        <v>34.6518601</v>
      </c>
      <c r="H1009" s="2">
        <v>35.665536299999999</v>
      </c>
      <c r="J1009" t="str">
        <f t="shared" si="39"/>
        <v>35.16 (34.65 to 35.67)</v>
      </c>
    </row>
    <row r="1010" spans="1:10" ht="17.25" thickBot="1" x14ac:dyDescent="0.35">
      <c r="A1010" s="6"/>
      <c r="B1010" s="3">
        <v>2</v>
      </c>
      <c r="C1010" s="11" t="s">
        <v>117</v>
      </c>
      <c r="D1010" s="2">
        <v>1609</v>
      </c>
      <c r="E1010" s="2">
        <v>35.146338</v>
      </c>
      <c r="F1010" s="2">
        <v>0.26534200000000002</v>
      </c>
      <c r="G1010" s="2">
        <v>34.626051099999998</v>
      </c>
      <c r="H1010" s="2">
        <v>35.666623999999999</v>
      </c>
      <c r="J1010" t="str">
        <f t="shared" si="39"/>
        <v>35.15 (34.63 to 35.67)</v>
      </c>
    </row>
    <row r="1011" spans="1:10" x14ac:dyDescent="0.3">
      <c r="A1011" s="6"/>
      <c r="B1011" s="3">
        <v>3</v>
      </c>
      <c r="C1011" s="14" t="s">
        <v>117</v>
      </c>
      <c r="D1011" s="2">
        <v>926</v>
      </c>
      <c r="E1011" s="2">
        <v>35.730226000000002</v>
      </c>
      <c r="F1011" s="2">
        <v>0.305705</v>
      </c>
      <c r="G1011" s="2">
        <v>35.130797399999999</v>
      </c>
      <c r="H1011" s="2">
        <v>36.329655500000001</v>
      </c>
      <c r="J1011" t="str">
        <f t="shared" si="39"/>
        <v>35.73 (35.13 to 36.33)</v>
      </c>
    </row>
    <row r="1015" spans="1:10" x14ac:dyDescent="0.3">
      <c r="A1015" s="1" t="s">
        <v>237</v>
      </c>
    </row>
    <row r="1017" spans="1:10" x14ac:dyDescent="0.3">
      <c r="A1017" s="1" t="s">
        <v>1</v>
      </c>
    </row>
    <row r="1018" spans="1:10" ht="17.25" thickBot="1" x14ac:dyDescent="0.35"/>
    <row r="1019" spans="1:10" ht="16.5" customHeight="1" x14ac:dyDescent="0.3">
      <c r="A1019" s="16" t="s">
        <v>135</v>
      </c>
      <c r="B1019" s="18"/>
    </row>
    <row r="1020" spans="1:10" ht="26.25" thickBot="1" x14ac:dyDescent="0.35">
      <c r="A1020" s="12" t="s">
        <v>136</v>
      </c>
      <c r="B1020" s="2">
        <v>183</v>
      </c>
    </row>
    <row r="1021" spans="1:10" ht="26.25" thickBot="1" x14ac:dyDescent="0.35">
      <c r="A1021" s="12" t="s">
        <v>137</v>
      </c>
      <c r="B1021" s="2">
        <v>2949</v>
      </c>
    </row>
    <row r="1022" spans="1:10" ht="39" thickBot="1" x14ac:dyDescent="0.35">
      <c r="A1022" s="12" t="s">
        <v>138</v>
      </c>
      <c r="B1022" s="2">
        <v>23222</v>
      </c>
    </row>
    <row r="1023" spans="1:10" ht="25.5" x14ac:dyDescent="0.3">
      <c r="A1023" s="13" t="s">
        <v>139</v>
      </c>
      <c r="B1023" s="2">
        <v>9036880.5199999996</v>
      </c>
    </row>
    <row r="1024" spans="1:10" ht="17.25" thickBot="1" x14ac:dyDescent="0.35"/>
    <row r="1025" spans="1:8" ht="33" customHeight="1" x14ac:dyDescent="0.3">
      <c r="A1025" s="16" t="s">
        <v>140</v>
      </c>
      <c r="B1025" s="18"/>
    </row>
    <row r="1026" spans="1:8" ht="33.75" thickBot="1" x14ac:dyDescent="0.35">
      <c r="A1026" s="12" t="s">
        <v>141</v>
      </c>
      <c r="B1026" s="2" t="s">
        <v>142</v>
      </c>
    </row>
    <row r="1027" spans="1:8" ht="25.5" x14ac:dyDescent="0.3">
      <c r="A1027" s="13" t="s">
        <v>143</v>
      </c>
      <c r="B1027" s="2" t="s">
        <v>144</v>
      </c>
    </row>
    <row r="1028" spans="1:8" ht="17.25" thickBot="1" x14ac:dyDescent="0.35"/>
    <row r="1029" spans="1:8" ht="16.5" customHeight="1" x14ac:dyDescent="0.3">
      <c r="A1029" s="16" t="s">
        <v>238</v>
      </c>
      <c r="B1029" s="18"/>
      <c r="C1029" s="18"/>
      <c r="D1029" s="18"/>
      <c r="E1029" s="18"/>
      <c r="F1029" s="18"/>
    </row>
    <row r="1030" spans="1:8" ht="16.5" customHeight="1" x14ac:dyDescent="0.3">
      <c r="A1030" s="17" t="s">
        <v>239</v>
      </c>
      <c r="B1030" s="19" t="s">
        <v>94</v>
      </c>
      <c r="C1030" s="19" t="s">
        <v>240</v>
      </c>
      <c r="D1030" s="3" t="s">
        <v>241</v>
      </c>
      <c r="E1030" s="19" t="s">
        <v>243</v>
      </c>
      <c r="F1030" s="19"/>
    </row>
    <row r="1031" spans="1:8" x14ac:dyDescent="0.3">
      <c r="A1031" s="17"/>
      <c r="B1031" s="19"/>
      <c r="C1031" s="19"/>
      <c r="D1031" s="3" t="s">
        <v>242</v>
      </c>
      <c r="E1031" s="19"/>
      <c r="F1031" s="19"/>
    </row>
    <row r="1032" spans="1:8" x14ac:dyDescent="0.3">
      <c r="A1032" s="13" t="s">
        <v>117</v>
      </c>
      <c r="B1032" s="2">
        <v>23222</v>
      </c>
      <c r="C1032" s="2">
        <v>33.805624000000002</v>
      </c>
      <c r="D1032" s="2">
        <v>7.0877999999999997E-2</v>
      </c>
      <c r="E1032" s="2">
        <v>33.666644300000002</v>
      </c>
      <c r="F1032" s="2">
        <v>33.944603299999997</v>
      </c>
    </row>
    <row r="1036" spans="1:8" x14ac:dyDescent="0.3">
      <c r="A1036" s="1" t="s">
        <v>237</v>
      </c>
    </row>
    <row r="1038" spans="1:8" x14ac:dyDescent="0.3">
      <c r="A1038" s="1" t="s">
        <v>1</v>
      </c>
    </row>
    <row r="1039" spans="1:8" ht="17.25" thickBot="1" x14ac:dyDescent="0.35"/>
    <row r="1040" spans="1:8" ht="16.5" customHeight="1" x14ac:dyDescent="0.3">
      <c r="A1040" s="16" t="s">
        <v>260</v>
      </c>
      <c r="B1040" s="18"/>
      <c r="C1040" s="18"/>
      <c r="D1040" s="18"/>
      <c r="E1040" s="18"/>
      <c r="F1040" s="18"/>
      <c r="G1040" s="18"/>
      <c r="H1040" s="18"/>
    </row>
    <row r="1041" spans="1:8" ht="16.5" customHeight="1" x14ac:dyDescent="0.3">
      <c r="A1041" s="17" t="s">
        <v>249</v>
      </c>
      <c r="B1041" s="19" t="s">
        <v>15</v>
      </c>
      <c r="C1041" s="19" t="s">
        <v>239</v>
      </c>
      <c r="D1041" s="19" t="s">
        <v>94</v>
      </c>
      <c r="E1041" s="19" t="s">
        <v>240</v>
      </c>
      <c r="F1041" s="3" t="s">
        <v>241</v>
      </c>
      <c r="G1041" s="19" t="s">
        <v>243</v>
      </c>
      <c r="H1041" s="19"/>
    </row>
    <row r="1042" spans="1:8" x14ac:dyDescent="0.3">
      <c r="A1042" s="17"/>
      <c r="B1042" s="19"/>
      <c r="C1042" s="19"/>
      <c r="D1042" s="19"/>
      <c r="E1042" s="19"/>
      <c r="F1042" s="3" t="s">
        <v>242</v>
      </c>
      <c r="G1042" s="19"/>
      <c r="H1042" s="19"/>
    </row>
    <row r="1043" spans="1:8" ht="17.25" thickBot="1" x14ac:dyDescent="0.35">
      <c r="A1043" s="6">
        <v>1</v>
      </c>
      <c r="B1043" s="3">
        <v>0</v>
      </c>
      <c r="C1043" s="11" t="s">
        <v>117</v>
      </c>
      <c r="D1043" s="2">
        <v>2157</v>
      </c>
      <c r="E1043" s="2">
        <v>36.026325</v>
      </c>
      <c r="F1043" s="2">
        <v>0.17846600000000001</v>
      </c>
      <c r="G1043" s="2">
        <v>35.6763859</v>
      </c>
      <c r="H1043" s="2">
        <v>36.376265099999998</v>
      </c>
    </row>
    <row r="1044" spans="1:8" ht="17.25" thickBot="1" x14ac:dyDescent="0.35">
      <c r="A1044" s="6"/>
      <c r="B1044" s="3">
        <v>1</v>
      </c>
      <c r="C1044" s="11" t="s">
        <v>117</v>
      </c>
      <c r="D1044" s="2">
        <v>556</v>
      </c>
      <c r="E1044" s="2">
        <v>36.581355000000002</v>
      </c>
      <c r="F1044" s="2">
        <v>0.38409500000000002</v>
      </c>
      <c r="G1044" s="2">
        <v>35.828212600000001</v>
      </c>
      <c r="H1044" s="2">
        <v>37.334498000000004</v>
      </c>
    </row>
    <row r="1045" spans="1:8" ht="17.25" thickBot="1" x14ac:dyDescent="0.35">
      <c r="A1045" s="6"/>
      <c r="B1045" s="3">
        <v>8</v>
      </c>
      <c r="C1045" s="11" t="s">
        <v>117</v>
      </c>
      <c r="D1045" s="2">
        <v>1027</v>
      </c>
      <c r="E1045" s="2">
        <v>29.856147</v>
      </c>
      <c r="F1045" s="2">
        <v>0.24406</v>
      </c>
      <c r="G1045" s="2">
        <v>29.3775899</v>
      </c>
      <c r="H1045" s="2">
        <v>30.334704800000001</v>
      </c>
    </row>
    <row r="1046" spans="1:8" ht="17.25" thickBot="1" x14ac:dyDescent="0.35">
      <c r="A1046" s="6">
        <v>2</v>
      </c>
      <c r="B1046" s="3">
        <v>0</v>
      </c>
      <c r="C1046" s="11" t="s">
        <v>117</v>
      </c>
      <c r="D1046" s="2">
        <v>2295</v>
      </c>
      <c r="E1046" s="2">
        <v>36.009106000000003</v>
      </c>
      <c r="F1046" s="2">
        <v>0.20414099999999999</v>
      </c>
      <c r="G1046" s="2">
        <v>35.608822600000003</v>
      </c>
      <c r="H1046" s="2">
        <v>36.4093898</v>
      </c>
    </row>
    <row r="1047" spans="1:8" ht="17.25" thickBot="1" x14ac:dyDescent="0.35">
      <c r="A1047" s="6"/>
      <c r="B1047" s="3">
        <v>1</v>
      </c>
      <c r="C1047" s="11" t="s">
        <v>117</v>
      </c>
      <c r="D1047" s="2">
        <v>237</v>
      </c>
      <c r="E1047" s="2">
        <v>37.271079</v>
      </c>
      <c r="F1047" s="2">
        <v>0.546126</v>
      </c>
      <c r="G1047" s="2">
        <v>36.200221999999997</v>
      </c>
      <c r="H1047" s="2">
        <v>38.341935100000001</v>
      </c>
    </row>
    <row r="1048" spans="1:8" ht="17.25" thickBot="1" x14ac:dyDescent="0.35">
      <c r="A1048" s="6"/>
      <c r="B1048" s="3">
        <v>8</v>
      </c>
      <c r="C1048" s="11" t="s">
        <v>117</v>
      </c>
      <c r="D1048" s="2">
        <v>2200</v>
      </c>
      <c r="E1048" s="2">
        <v>29.785627000000002</v>
      </c>
      <c r="F1048" s="2">
        <v>0.179038</v>
      </c>
      <c r="G1048" s="2">
        <v>29.434564600000002</v>
      </c>
      <c r="H1048" s="2">
        <v>30.136689199999999</v>
      </c>
    </row>
    <row r="1049" spans="1:8" ht="17.25" thickBot="1" x14ac:dyDescent="0.35">
      <c r="A1049" s="6">
        <v>3</v>
      </c>
      <c r="B1049" s="3">
        <v>0</v>
      </c>
      <c r="C1049" s="11" t="s">
        <v>117</v>
      </c>
      <c r="D1049" s="2">
        <v>2055</v>
      </c>
      <c r="E1049" s="2">
        <v>36.042898000000001</v>
      </c>
      <c r="F1049" s="2">
        <v>0.205957</v>
      </c>
      <c r="G1049" s="2">
        <v>35.639052200000002</v>
      </c>
      <c r="H1049" s="2">
        <v>36.446742800000003</v>
      </c>
    </row>
    <row r="1050" spans="1:8" ht="17.25" thickBot="1" x14ac:dyDescent="0.35">
      <c r="A1050" s="6"/>
      <c r="B1050" s="3">
        <v>1</v>
      </c>
      <c r="C1050" s="11" t="s">
        <v>117</v>
      </c>
      <c r="D1050" s="2">
        <v>277</v>
      </c>
      <c r="E1050" s="2">
        <v>37.446033999999997</v>
      </c>
      <c r="F1050" s="2">
        <v>0.53831600000000002</v>
      </c>
      <c r="G1050" s="2">
        <v>36.390491400000002</v>
      </c>
      <c r="H1050" s="2">
        <v>38.501576100000001</v>
      </c>
    </row>
    <row r="1051" spans="1:8" ht="17.25" thickBot="1" x14ac:dyDescent="0.35">
      <c r="A1051" s="6"/>
      <c r="B1051" s="3">
        <v>8</v>
      </c>
      <c r="C1051" s="11" t="s">
        <v>117</v>
      </c>
      <c r="D1051" s="2">
        <v>1925</v>
      </c>
      <c r="E1051" s="2">
        <v>31.310023999999999</v>
      </c>
      <c r="F1051" s="2">
        <v>0.21023700000000001</v>
      </c>
      <c r="G1051" s="2">
        <v>30.8977869</v>
      </c>
      <c r="H1051" s="2">
        <v>31.722260500000001</v>
      </c>
    </row>
    <row r="1052" spans="1:8" ht="17.25" thickBot="1" x14ac:dyDescent="0.35">
      <c r="A1052" s="6">
        <v>4</v>
      </c>
      <c r="B1052" s="3">
        <v>0</v>
      </c>
      <c r="C1052" s="11" t="s">
        <v>117</v>
      </c>
      <c r="D1052" s="2">
        <v>2406</v>
      </c>
      <c r="E1052" s="2">
        <v>36.281128000000002</v>
      </c>
      <c r="F1052" s="2">
        <v>0.184113</v>
      </c>
      <c r="G1052" s="2">
        <v>35.920114599999998</v>
      </c>
      <c r="H1052" s="2">
        <v>36.6421408</v>
      </c>
    </row>
    <row r="1053" spans="1:8" ht="17.25" thickBot="1" x14ac:dyDescent="0.35">
      <c r="A1053" s="6"/>
      <c r="B1053" s="3">
        <v>1</v>
      </c>
      <c r="C1053" s="11" t="s">
        <v>117</v>
      </c>
      <c r="D1053" s="2">
        <v>305</v>
      </c>
      <c r="E1053" s="2">
        <v>37.656761000000003</v>
      </c>
      <c r="F1053" s="2">
        <v>0.55667900000000003</v>
      </c>
      <c r="G1053" s="2">
        <v>36.565212299999999</v>
      </c>
      <c r="H1053" s="2">
        <v>38.7483103</v>
      </c>
    </row>
    <row r="1054" spans="1:8" ht="17.25" thickBot="1" x14ac:dyDescent="0.35">
      <c r="A1054" s="6"/>
      <c r="B1054" s="3">
        <v>8</v>
      </c>
      <c r="C1054" s="11" t="s">
        <v>117</v>
      </c>
      <c r="D1054" s="2">
        <v>1845</v>
      </c>
      <c r="E1054" s="2">
        <v>30.388843999999999</v>
      </c>
      <c r="F1054" s="2">
        <v>0.19187000000000001</v>
      </c>
      <c r="G1054" s="2">
        <v>30.0126214</v>
      </c>
      <c r="H1054" s="2">
        <v>30.765066999999998</v>
      </c>
    </row>
    <row r="1055" spans="1:8" ht="17.25" thickBot="1" x14ac:dyDescent="0.35">
      <c r="A1055" s="6">
        <v>5</v>
      </c>
      <c r="B1055" s="3">
        <v>0</v>
      </c>
      <c r="C1055" s="11" t="s">
        <v>117</v>
      </c>
      <c r="D1055" s="2">
        <v>2533</v>
      </c>
      <c r="E1055" s="2">
        <v>36.042318000000002</v>
      </c>
      <c r="F1055" s="2">
        <v>0.195489</v>
      </c>
      <c r="G1055" s="2">
        <v>35.6589989</v>
      </c>
      <c r="H1055" s="2">
        <v>36.4256362</v>
      </c>
    </row>
    <row r="1056" spans="1:8" ht="17.25" thickBot="1" x14ac:dyDescent="0.35">
      <c r="A1056" s="6"/>
      <c r="B1056" s="3">
        <v>1</v>
      </c>
      <c r="C1056" s="11" t="s">
        <v>117</v>
      </c>
      <c r="D1056" s="2">
        <v>316</v>
      </c>
      <c r="E1056" s="2">
        <v>37.767997000000001</v>
      </c>
      <c r="F1056" s="2">
        <v>0.63890400000000003</v>
      </c>
      <c r="G1056" s="2">
        <v>36.515220399999997</v>
      </c>
      <c r="H1056" s="2">
        <v>39.020774400000001</v>
      </c>
    </row>
    <row r="1057" spans="1:8" ht="17.25" thickBot="1" x14ac:dyDescent="0.35">
      <c r="A1057" s="6"/>
      <c r="B1057" s="3">
        <v>8</v>
      </c>
      <c r="C1057" s="11" t="s">
        <v>117</v>
      </c>
      <c r="D1057" s="2">
        <v>1652</v>
      </c>
      <c r="E1057" s="2">
        <v>31.348421999999999</v>
      </c>
      <c r="F1057" s="2">
        <v>0.26613999999999999</v>
      </c>
      <c r="G1057" s="2">
        <v>30.826568200000001</v>
      </c>
      <c r="H1057" s="2">
        <v>31.870275100000001</v>
      </c>
    </row>
    <row r="1058" spans="1:8" ht="17.25" thickBot="1" x14ac:dyDescent="0.35">
      <c r="A1058" s="6">
        <v>6</v>
      </c>
      <c r="B1058" s="3">
        <v>0</v>
      </c>
      <c r="C1058" s="11" t="s">
        <v>117</v>
      </c>
      <c r="D1058" s="2">
        <v>804</v>
      </c>
      <c r="E1058" s="2">
        <v>34.848801999999999</v>
      </c>
      <c r="F1058" s="2">
        <v>0.25519799999999998</v>
      </c>
      <c r="G1058" s="2">
        <v>34.348403500000003</v>
      </c>
      <c r="H1058" s="2">
        <v>35.349199499999997</v>
      </c>
    </row>
    <row r="1059" spans="1:8" ht="17.25" thickBot="1" x14ac:dyDescent="0.35">
      <c r="A1059" s="6"/>
      <c r="B1059" s="3">
        <v>1</v>
      </c>
      <c r="C1059" s="11" t="s">
        <v>117</v>
      </c>
      <c r="D1059" s="2">
        <v>92</v>
      </c>
      <c r="E1059" s="2">
        <v>38.463014999999999</v>
      </c>
      <c r="F1059" s="2">
        <v>1.210542</v>
      </c>
      <c r="G1059" s="2">
        <v>36.089356899999999</v>
      </c>
      <c r="H1059" s="2">
        <v>40.8366726</v>
      </c>
    </row>
    <row r="1060" spans="1:8" x14ac:dyDescent="0.3">
      <c r="A1060" s="6"/>
      <c r="B1060" s="3">
        <v>8</v>
      </c>
      <c r="C1060" s="14" t="s">
        <v>117</v>
      </c>
      <c r="D1060" s="2">
        <v>540</v>
      </c>
      <c r="E1060" s="2">
        <v>30.791246999999998</v>
      </c>
      <c r="F1060" s="2">
        <v>0.50808200000000003</v>
      </c>
      <c r="G1060" s="2">
        <v>29.794987899999999</v>
      </c>
      <c r="H1060" s="2">
        <v>31.787505700000001</v>
      </c>
    </row>
    <row r="1064" spans="1:8" x14ac:dyDescent="0.3">
      <c r="A1064" s="1" t="s">
        <v>237</v>
      </c>
    </row>
    <row r="1066" spans="1:8" x14ac:dyDescent="0.3">
      <c r="A1066" s="1" t="s">
        <v>21</v>
      </c>
    </row>
    <row r="1067" spans="1:8" ht="17.25" thickBot="1" x14ac:dyDescent="0.35"/>
    <row r="1068" spans="1:8" ht="16.5" customHeight="1" x14ac:dyDescent="0.3">
      <c r="A1068" s="16" t="s">
        <v>135</v>
      </c>
      <c r="B1068" s="18"/>
    </row>
    <row r="1069" spans="1:8" ht="26.25" thickBot="1" x14ac:dyDescent="0.35">
      <c r="A1069" s="12" t="s">
        <v>136</v>
      </c>
      <c r="B1069" s="2">
        <v>183</v>
      </c>
    </row>
    <row r="1070" spans="1:8" ht="26.25" thickBot="1" x14ac:dyDescent="0.35">
      <c r="A1070" s="12" t="s">
        <v>137</v>
      </c>
      <c r="B1070" s="2">
        <v>2982</v>
      </c>
    </row>
    <row r="1071" spans="1:8" ht="39" thickBot="1" x14ac:dyDescent="0.35">
      <c r="A1071" s="12" t="s">
        <v>138</v>
      </c>
      <c r="B1071" s="2">
        <v>68635</v>
      </c>
    </row>
    <row r="1072" spans="1:8" ht="25.5" x14ac:dyDescent="0.3">
      <c r="A1072" s="13" t="s">
        <v>139</v>
      </c>
      <c r="B1072" s="2">
        <v>30251935.699999999</v>
      </c>
    </row>
    <row r="1073" spans="1:6" ht="17.25" thickBot="1" x14ac:dyDescent="0.35"/>
    <row r="1074" spans="1:6" ht="33" customHeight="1" x14ac:dyDescent="0.3">
      <c r="A1074" s="16" t="s">
        <v>140</v>
      </c>
      <c r="B1074" s="18"/>
    </row>
    <row r="1075" spans="1:6" ht="33.75" thickBot="1" x14ac:dyDescent="0.35">
      <c r="A1075" s="12" t="s">
        <v>141</v>
      </c>
      <c r="B1075" s="2" t="s">
        <v>142</v>
      </c>
    </row>
    <row r="1076" spans="1:6" ht="25.5" x14ac:dyDescent="0.3">
      <c r="A1076" s="13" t="s">
        <v>143</v>
      </c>
      <c r="B1076" s="2" t="s">
        <v>144</v>
      </c>
    </row>
    <row r="1077" spans="1:6" ht="17.25" thickBot="1" x14ac:dyDescent="0.35"/>
    <row r="1078" spans="1:6" ht="16.5" customHeight="1" x14ac:dyDescent="0.3">
      <c r="A1078" s="16" t="s">
        <v>238</v>
      </c>
      <c r="B1078" s="18"/>
      <c r="C1078" s="18"/>
      <c r="D1078" s="18"/>
      <c r="E1078" s="18"/>
      <c r="F1078" s="18"/>
    </row>
    <row r="1079" spans="1:6" ht="16.5" customHeight="1" x14ac:dyDescent="0.3">
      <c r="A1079" s="17" t="s">
        <v>239</v>
      </c>
      <c r="B1079" s="19" t="s">
        <v>94</v>
      </c>
      <c r="C1079" s="19" t="s">
        <v>240</v>
      </c>
      <c r="D1079" s="3" t="s">
        <v>241</v>
      </c>
      <c r="E1079" s="19" t="s">
        <v>243</v>
      </c>
      <c r="F1079" s="19"/>
    </row>
    <row r="1080" spans="1:6" x14ac:dyDescent="0.3">
      <c r="A1080" s="17"/>
      <c r="B1080" s="19"/>
      <c r="C1080" s="19"/>
      <c r="D1080" s="3" t="s">
        <v>242</v>
      </c>
      <c r="E1080" s="19"/>
      <c r="F1080" s="19"/>
    </row>
    <row r="1081" spans="1:6" x14ac:dyDescent="0.3">
      <c r="A1081" s="13" t="s">
        <v>117</v>
      </c>
      <c r="B1081" s="2">
        <v>68635</v>
      </c>
      <c r="C1081" s="2">
        <v>35.601097000000003</v>
      </c>
      <c r="D1081" s="2">
        <v>3.8943999999999999E-2</v>
      </c>
      <c r="E1081" s="2">
        <v>35.524735800000002</v>
      </c>
      <c r="F1081" s="2">
        <v>35.677458399999999</v>
      </c>
    </row>
    <row r="1085" spans="1:6" x14ac:dyDescent="0.3">
      <c r="A1085" s="1" t="s">
        <v>237</v>
      </c>
    </row>
    <row r="1087" spans="1:6" x14ac:dyDescent="0.3">
      <c r="A1087" s="1" t="s">
        <v>21</v>
      </c>
    </row>
    <row r="1088" spans="1:6" ht="17.25" thickBot="1" x14ac:dyDescent="0.35"/>
    <row r="1089" spans="1:15" ht="16.5" customHeight="1" x14ac:dyDescent="0.3">
      <c r="A1089" s="16" t="s">
        <v>260</v>
      </c>
      <c r="B1089" s="18"/>
      <c r="C1089" s="18"/>
      <c r="D1089" s="18"/>
      <c r="E1089" s="18"/>
      <c r="F1089" s="18"/>
      <c r="G1089" s="18"/>
      <c r="H1089" s="18"/>
    </row>
    <row r="1090" spans="1:15" ht="16.5" customHeight="1" x14ac:dyDescent="0.3">
      <c r="A1090" s="17" t="s">
        <v>249</v>
      </c>
      <c r="B1090" s="19" t="s">
        <v>15</v>
      </c>
      <c r="C1090" s="19" t="s">
        <v>239</v>
      </c>
      <c r="D1090" s="19" t="s">
        <v>94</v>
      </c>
      <c r="E1090" s="19" t="s">
        <v>240</v>
      </c>
      <c r="F1090" s="3" t="s">
        <v>241</v>
      </c>
      <c r="G1090" s="19" t="s">
        <v>243</v>
      </c>
      <c r="H1090" s="19"/>
    </row>
    <row r="1091" spans="1:15" x14ac:dyDescent="0.3">
      <c r="A1091" s="17"/>
      <c r="B1091" s="19"/>
      <c r="C1091" s="19"/>
      <c r="D1091" s="19"/>
      <c r="E1091" s="19"/>
      <c r="F1091" s="3" t="s">
        <v>242</v>
      </c>
      <c r="G1091" s="19"/>
      <c r="H1091" s="19"/>
    </row>
    <row r="1092" spans="1:15" ht="17.25" thickBot="1" x14ac:dyDescent="0.35">
      <c r="A1092" s="6">
        <v>1</v>
      </c>
      <c r="B1092" s="3">
        <v>0</v>
      </c>
      <c r="C1092" s="11" t="s">
        <v>117</v>
      </c>
      <c r="D1092" s="2">
        <v>6591</v>
      </c>
      <c r="E1092" s="2">
        <v>34.298544999999997</v>
      </c>
      <c r="F1092" s="2">
        <v>0.109725</v>
      </c>
      <c r="G1092" s="2">
        <v>34.083393800000003</v>
      </c>
      <c r="H1092" s="2">
        <v>34.513695800000001</v>
      </c>
      <c r="J1092" t="str">
        <f t="shared" ref="J1092:J1103" si="45">TEXT(E1092,"0.00")&amp;" ("&amp;TEXT(G1092,"0.00")&amp;" to "&amp;TEXT(H1092,"0.00")&amp;")"</f>
        <v>34.30 (34.08 to 34.51)</v>
      </c>
      <c r="K1092" t="str">
        <f>J1094</f>
        <v>34.97 (34.78 to 35.16)</v>
      </c>
      <c r="L1092" t="str">
        <f>J1096</f>
        <v>34.72 (34.53 to 34.91)</v>
      </c>
      <c r="M1092" t="str">
        <f>J1098</f>
        <v>35.15 (34.96 to 35.34)</v>
      </c>
      <c r="N1092" t="str">
        <f>J1100</f>
        <v>35.29 (35.09 to 35.50)</v>
      </c>
      <c r="O1092" t="str">
        <f>J1102</f>
        <v>34.83 (34.47 to 35.19)</v>
      </c>
    </row>
    <row r="1093" spans="1:15" ht="17.25" thickBot="1" x14ac:dyDescent="0.35">
      <c r="A1093" s="6"/>
      <c r="B1093" s="3">
        <v>1</v>
      </c>
      <c r="C1093" s="11" t="s">
        <v>117</v>
      </c>
      <c r="D1093" s="2">
        <v>5324</v>
      </c>
      <c r="E1093" s="2">
        <v>36.894140999999998</v>
      </c>
      <c r="F1093" s="2">
        <v>0.11563</v>
      </c>
      <c r="G1093" s="2">
        <v>36.667412599999999</v>
      </c>
      <c r="H1093" s="2">
        <v>37.1208703</v>
      </c>
      <c r="J1093" t="str">
        <f t="shared" si="45"/>
        <v>36.89 (36.67 to 37.12)</v>
      </c>
      <c r="K1093" t="str">
        <f>J1095</f>
        <v>36.95 (36.60 to 37.29)</v>
      </c>
      <c r="L1093" t="str">
        <f>J1097</f>
        <v>37.45 (37.10 to 37.80)</v>
      </c>
      <c r="M1093" t="str">
        <f>J1099</f>
        <v>37.72 (37.37 to 38.08)</v>
      </c>
      <c r="N1093" t="str">
        <f>J1101</f>
        <v>37.85 (37.48 to 38.22)</v>
      </c>
      <c r="O1093" t="str">
        <f>J1103</f>
        <v>37.59 (36.88 to 38.29)</v>
      </c>
    </row>
    <row r="1094" spans="1:15" ht="17.25" thickBot="1" x14ac:dyDescent="0.35">
      <c r="A1094" s="6">
        <v>2</v>
      </c>
      <c r="B1094" s="3">
        <v>0</v>
      </c>
      <c r="C1094" s="11" t="s">
        <v>117</v>
      </c>
      <c r="D1094" s="2">
        <v>10072</v>
      </c>
      <c r="E1094" s="2">
        <v>34.972420999999997</v>
      </c>
      <c r="F1094" s="2">
        <v>9.7395999999999996E-2</v>
      </c>
      <c r="G1094" s="2">
        <v>34.781446799999998</v>
      </c>
      <c r="H1094" s="2">
        <v>35.163395600000001</v>
      </c>
      <c r="J1094" t="str">
        <f t="shared" si="45"/>
        <v>34.97 (34.78 to 35.16)</v>
      </c>
    </row>
    <row r="1095" spans="1:15" ht="17.25" thickBot="1" x14ac:dyDescent="0.35">
      <c r="A1095" s="6"/>
      <c r="B1095" s="3">
        <v>1</v>
      </c>
      <c r="C1095" s="11" t="s">
        <v>117</v>
      </c>
      <c r="D1095" s="2">
        <v>3044</v>
      </c>
      <c r="E1095" s="2">
        <v>36.947595</v>
      </c>
      <c r="F1095" s="2">
        <v>0.176565</v>
      </c>
      <c r="G1095" s="2">
        <v>36.601384299999999</v>
      </c>
      <c r="H1095" s="2">
        <v>37.2938051</v>
      </c>
      <c r="J1095" t="str">
        <f t="shared" si="45"/>
        <v>36.95 (36.60 to 37.29)</v>
      </c>
    </row>
    <row r="1096" spans="1:15" ht="17.25" thickBot="1" x14ac:dyDescent="0.35">
      <c r="A1096" s="6">
        <v>3</v>
      </c>
      <c r="B1096" s="3">
        <v>0</v>
      </c>
      <c r="C1096" s="11" t="s">
        <v>117</v>
      </c>
      <c r="D1096" s="2">
        <v>9105</v>
      </c>
      <c r="E1096" s="2">
        <v>34.722391999999999</v>
      </c>
      <c r="F1096" s="2">
        <v>9.7838999999999995E-2</v>
      </c>
      <c r="G1096" s="2">
        <v>34.530549100000002</v>
      </c>
      <c r="H1096" s="2">
        <v>34.914235699999999</v>
      </c>
      <c r="J1096" t="str">
        <f t="shared" si="45"/>
        <v>34.72 (34.53 to 34.91)</v>
      </c>
    </row>
    <row r="1097" spans="1:15" ht="17.25" thickBot="1" x14ac:dyDescent="0.35">
      <c r="A1097" s="6"/>
      <c r="B1097" s="3">
        <v>1</v>
      </c>
      <c r="C1097" s="11" t="s">
        <v>117</v>
      </c>
      <c r="D1097" s="2">
        <v>2370</v>
      </c>
      <c r="E1097" s="2">
        <v>37.447977999999999</v>
      </c>
      <c r="F1097" s="2">
        <v>0.17979800000000001</v>
      </c>
      <c r="G1097" s="2">
        <v>37.095429299999999</v>
      </c>
      <c r="H1097" s="2">
        <v>37.800527600000002</v>
      </c>
      <c r="J1097" t="str">
        <f t="shared" si="45"/>
        <v>37.45 (37.10 to 37.80)</v>
      </c>
    </row>
    <row r="1098" spans="1:15" ht="17.25" thickBot="1" x14ac:dyDescent="0.35">
      <c r="A1098" s="6">
        <v>4</v>
      </c>
      <c r="B1098" s="3">
        <v>0</v>
      </c>
      <c r="C1098" s="11" t="s">
        <v>117</v>
      </c>
      <c r="D1098" s="2">
        <v>11360</v>
      </c>
      <c r="E1098" s="2">
        <v>35.149638000000003</v>
      </c>
      <c r="F1098" s="2">
        <v>9.4742000000000007E-2</v>
      </c>
      <c r="G1098" s="2">
        <v>34.963867399999998</v>
      </c>
      <c r="H1098" s="2">
        <v>35.335408700000002</v>
      </c>
      <c r="J1098" t="str">
        <f t="shared" si="45"/>
        <v>35.15 (34.96 to 35.34)</v>
      </c>
    </row>
    <row r="1099" spans="1:15" ht="17.25" thickBot="1" x14ac:dyDescent="0.35">
      <c r="A1099" s="6"/>
      <c r="B1099" s="3">
        <v>1</v>
      </c>
      <c r="C1099" s="11" t="s">
        <v>117</v>
      </c>
      <c r="D1099" s="2">
        <v>2798</v>
      </c>
      <c r="E1099" s="2">
        <v>37.721910999999999</v>
      </c>
      <c r="F1099" s="2">
        <v>0.18057999999999999</v>
      </c>
      <c r="G1099" s="2">
        <v>37.3678284</v>
      </c>
      <c r="H1099" s="2">
        <v>38.0759945</v>
      </c>
      <c r="J1099" t="str">
        <f t="shared" si="45"/>
        <v>37.72 (37.37 to 38.08)</v>
      </c>
    </row>
    <row r="1100" spans="1:15" ht="17.25" thickBot="1" x14ac:dyDescent="0.35">
      <c r="A1100" s="6">
        <v>5</v>
      </c>
      <c r="B1100" s="3">
        <v>0</v>
      </c>
      <c r="C1100" s="11" t="s">
        <v>117</v>
      </c>
      <c r="D1100" s="2">
        <v>11154</v>
      </c>
      <c r="E1100" s="2">
        <v>35.292310999999998</v>
      </c>
      <c r="F1100" s="2">
        <v>0.104086</v>
      </c>
      <c r="G1100" s="2">
        <v>35.088217399999998</v>
      </c>
      <c r="H1100" s="2">
        <v>35.496404300000002</v>
      </c>
      <c r="J1100" t="str">
        <f t="shared" si="45"/>
        <v>35.29 (35.09 to 35.50)</v>
      </c>
    </row>
    <row r="1101" spans="1:15" ht="17.25" thickBot="1" x14ac:dyDescent="0.35">
      <c r="A1101" s="6"/>
      <c r="B1101" s="3">
        <v>1</v>
      </c>
      <c r="C1101" s="11" t="s">
        <v>117</v>
      </c>
      <c r="D1101" s="2">
        <v>2401</v>
      </c>
      <c r="E1101" s="2">
        <v>37.847453999999999</v>
      </c>
      <c r="F1101" s="2">
        <v>0.18817200000000001</v>
      </c>
      <c r="G1101" s="2">
        <v>37.478484199999997</v>
      </c>
      <c r="H1101" s="2">
        <v>38.216423599999999</v>
      </c>
      <c r="J1101" t="str">
        <f t="shared" si="45"/>
        <v>37.85 (37.48 to 38.22)</v>
      </c>
    </row>
    <row r="1102" spans="1:15" ht="17.25" thickBot="1" x14ac:dyDescent="0.35">
      <c r="A1102" s="6">
        <v>6</v>
      </c>
      <c r="B1102" s="3">
        <v>0</v>
      </c>
      <c r="C1102" s="11" t="s">
        <v>117</v>
      </c>
      <c r="D1102" s="2">
        <v>3782</v>
      </c>
      <c r="E1102" s="2">
        <v>34.832664000000001</v>
      </c>
      <c r="F1102" s="2">
        <v>0.182895</v>
      </c>
      <c r="G1102" s="2">
        <v>34.474041800000002</v>
      </c>
      <c r="H1102" s="2">
        <v>35.191286599999998</v>
      </c>
      <c r="J1102" t="str">
        <f t="shared" si="45"/>
        <v>34.83 (34.47 to 35.19)</v>
      </c>
    </row>
    <row r="1103" spans="1:15" x14ac:dyDescent="0.3">
      <c r="A1103" s="6"/>
      <c r="B1103" s="3">
        <v>1</v>
      </c>
      <c r="C1103" s="14" t="s">
        <v>117</v>
      </c>
      <c r="D1103" s="2">
        <v>634</v>
      </c>
      <c r="E1103" s="2">
        <v>37.589267</v>
      </c>
      <c r="F1103" s="2">
        <v>0.35974499999999998</v>
      </c>
      <c r="G1103" s="2">
        <v>36.883874800000001</v>
      </c>
      <c r="H1103" s="2">
        <v>38.294660200000003</v>
      </c>
      <c r="J1103" t="str">
        <f t="shared" si="45"/>
        <v>37.59 (36.88 to 38.29)</v>
      </c>
    </row>
    <row r="1107" spans="1:2" x14ac:dyDescent="0.3">
      <c r="A1107" s="1" t="s">
        <v>237</v>
      </c>
    </row>
    <row r="1109" spans="1:2" x14ac:dyDescent="0.3">
      <c r="A1109" s="1" t="s">
        <v>1</v>
      </c>
    </row>
    <row r="1110" spans="1:2" ht="17.25" thickBot="1" x14ac:dyDescent="0.35"/>
    <row r="1111" spans="1:2" ht="16.5" customHeight="1" x14ac:dyDescent="0.3">
      <c r="A1111" s="16" t="s">
        <v>135</v>
      </c>
      <c r="B1111" s="18"/>
    </row>
    <row r="1112" spans="1:2" ht="26.25" thickBot="1" x14ac:dyDescent="0.35">
      <c r="A1112" s="12" t="s">
        <v>136</v>
      </c>
      <c r="B1112" s="2">
        <v>183</v>
      </c>
    </row>
    <row r="1113" spans="1:2" ht="26.25" thickBot="1" x14ac:dyDescent="0.35">
      <c r="A1113" s="12" t="s">
        <v>137</v>
      </c>
      <c r="B1113" s="2">
        <v>2949</v>
      </c>
    </row>
    <row r="1114" spans="1:2" ht="39" thickBot="1" x14ac:dyDescent="0.35">
      <c r="A1114" s="12" t="s">
        <v>138</v>
      </c>
      <c r="B1114" s="2">
        <v>23222</v>
      </c>
    </row>
    <row r="1115" spans="1:2" ht="25.5" x14ac:dyDescent="0.3">
      <c r="A1115" s="13" t="s">
        <v>139</v>
      </c>
      <c r="B1115" s="2">
        <v>9036880.5199999996</v>
      </c>
    </row>
    <row r="1116" spans="1:2" ht="17.25" thickBot="1" x14ac:dyDescent="0.35"/>
    <row r="1117" spans="1:2" ht="33" customHeight="1" x14ac:dyDescent="0.3">
      <c r="A1117" s="16" t="s">
        <v>140</v>
      </c>
      <c r="B1117" s="18"/>
    </row>
    <row r="1118" spans="1:2" ht="33.75" thickBot="1" x14ac:dyDescent="0.35">
      <c r="A1118" s="12" t="s">
        <v>141</v>
      </c>
      <c r="B1118" s="2" t="s">
        <v>142</v>
      </c>
    </row>
    <row r="1119" spans="1:2" ht="25.5" x14ac:dyDescent="0.3">
      <c r="A1119" s="13" t="s">
        <v>143</v>
      </c>
      <c r="B1119" s="2" t="s">
        <v>144</v>
      </c>
    </row>
    <row r="1120" spans="1:2" ht="17.25" thickBot="1" x14ac:dyDescent="0.35"/>
    <row r="1121" spans="1:8" ht="16.5" customHeight="1" x14ac:dyDescent="0.3">
      <c r="A1121" s="16" t="s">
        <v>238</v>
      </c>
      <c r="B1121" s="18"/>
      <c r="C1121" s="18"/>
      <c r="D1121" s="18"/>
      <c r="E1121" s="18"/>
      <c r="F1121" s="18"/>
    </row>
    <row r="1122" spans="1:8" ht="16.5" customHeight="1" x14ac:dyDescent="0.3">
      <c r="A1122" s="17" t="s">
        <v>239</v>
      </c>
      <c r="B1122" s="19" t="s">
        <v>94</v>
      </c>
      <c r="C1122" s="19" t="s">
        <v>240</v>
      </c>
      <c r="D1122" s="3" t="s">
        <v>241</v>
      </c>
      <c r="E1122" s="19" t="s">
        <v>243</v>
      </c>
      <c r="F1122" s="19"/>
    </row>
    <row r="1123" spans="1:8" x14ac:dyDescent="0.3">
      <c r="A1123" s="17"/>
      <c r="B1123" s="19"/>
      <c r="C1123" s="19"/>
      <c r="D1123" s="3" t="s">
        <v>242</v>
      </c>
      <c r="E1123" s="19"/>
      <c r="F1123" s="19"/>
    </row>
    <row r="1124" spans="1:8" x14ac:dyDescent="0.3">
      <c r="A1124" s="13" t="s">
        <v>117</v>
      </c>
      <c r="B1124" s="2">
        <v>23222</v>
      </c>
      <c r="C1124" s="2">
        <v>33.805624000000002</v>
      </c>
      <c r="D1124" s="2">
        <v>7.0877999999999997E-2</v>
      </c>
      <c r="E1124" s="2">
        <v>33.666644300000002</v>
      </c>
      <c r="F1124" s="2">
        <v>33.944603299999997</v>
      </c>
    </row>
    <row r="1128" spans="1:8" x14ac:dyDescent="0.3">
      <c r="A1128" s="1" t="s">
        <v>237</v>
      </c>
    </row>
    <row r="1130" spans="1:8" x14ac:dyDescent="0.3">
      <c r="A1130" s="1" t="s">
        <v>1</v>
      </c>
    </row>
    <row r="1131" spans="1:8" ht="17.25" thickBot="1" x14ac:dyDescent="0.35"/>
    <row r="1132" spans="1:8" ht="16.5" customHeight="1" x14ac:dyDescent="0.3">
      <c r="A1132" s="16" t="s">
        <v>261</v>
      </c>
      <c r="B1132" s="18"/>
      <c r="C1132" s="18"/>
      <c r="D1132" s="18"/>
      <c r="E1132" s="18"/>
      <c r="F1132" s="18"/>
      <c r="G1132" s="18"/>
      <c r="H1132" s="18"/>
    </row>
    <row r="1133" spans="1:8" ht="16.5" customHeight="1" x14ac:dyDescent="0.3">
      <c r="A1133" s="17" t="s">
        <v>249</v>
      </c>
      <c r="B1133" s="19" t="s">
        <v>16</v>
      </c>
      <c r="C1133" s="19" t="s">
        <v>239</v>
      </c>
      <c r="D1133" s="19" t="s">
        <v>94</v>
      </c>
      <c r="E1133" s="19" t="s">
        <v>240</v>
      </c>
      <c r="F1133" s="3" t="s">
        <v>241</v>
      </c>
      <c r="G1133" s="19" t="s">
        <v>243</v>
      </c>
      <c r="H1133" s="19"/>
    </row>
    <row r="1134" spans="1:8" x14ac:dyDescent="0.3">
      <c r="A1134" s="17"/>
      <c r="B1134" s="19"/>
      <c r="C1134" s="19"/>
      <c r="D1134" s="19"/>
      <c r="E1134" s="19"/>
      <c r="F1134" s="3" t="s">
        <v>242</v>
      </c>
      <c r="G1134" s="19"/>
      <c r="H1134" s="19"/>
    </row>
    <row r="1135" spans="1:8" ht="17.25" thickBot="1" x14ac:dyDescent="0.35">
      <c r="A1135" s="6">
        <v>1</v>
      </c>
      <c r="B1135" s="3">
        <v>0</v>
      </c>
      <c r="C1135" s="11" t="s">
        <v>117</v>
      </c>
      <c r="D1135" s="2">
        <v>2942</v>
      </c>
      <c r="E1135" s="2">
        <v>33.299363</v>
      </c>
      <c r="F1135" s="2">
        <v>0.194215</v>
      </c>
      <c r="G1135" s="2">
        <v>32.918540700000001</v>
      </c>
      <c r="H1135" s="2">
        <v>33.680184599999997</v>
      </c>
    </row>
    <row r="1136" spans="1:8" ht="17.25" thickBot="1" x14ac:dyDescent="0.35">
      <c r="A1136" s="6"/>
      <c r="B1136" s="3">
        <v>1</v>
      </c>
      <c r="C1136" s="11" t="s">
        <v>117</v>
      </c>
      <c r="D1136" s="2">
        <v>798</v>
      </c>
      <c r="E1136" s="2">
        <v>39.669747000000001</v>
      </c>
      <c r="F1136" s="2">
        <v>0.27299000000000001</v>
      </c>
      <c r="G1136" s="2">
        <v>39.134461799999997</v>
      </c>
      <c r="H1136" s="2">
        <v>40.2050318</v>
      </c>
    </row>
    <row r="1137" spans="1:8" ht="17.25" thickBot="1" x14ac:dyDescent="0.35">
      <c r="A1137" s="6">
        <v>2</v>
      </c>
      <c r="B1137" s="3">
        <v>0</v>
      </c>
      <c r="C1137" s="11" t="s">
        <v>117</v>
      </c>
      <c r="D1137" s="2">
        <v>3761</v>
      </c>
      <c r="E1137" s="2">
        <v>31.836395</v>
      </c>
      <c r="F1137" s="2">
        <v>0.14715400000000001</v>
      </c>
      <c r="G1137" s="2">
        <v>31.5478521</v>
      </c>
      <c r="H1137" s="2">
        <v>32.124936900000002</v>
      </c>
    </row>
    <row r="1138" spans="1:8" ht="17.25" thickBot="1" x14ac:dyDescent="0.35">
      <c r="A1138" s="6"/>
      <c r="B1138" s="3">
        <v>1</v>
      </c>
      <c r="C1138" s="11" t="s">
        <v>117</v>
      </c>
      <c r="D1138" s="2">
        <v>883</v>
      </c>
      <c r="E1138" s="2">
        <v>38.807046999999997</v>
      </c>
      <c r="F1138" s="2">
        <v>0.35160000000000002</v>
      </c>
      <c r="G1138" s="2">
        <v>38.117621399999997</v>
      </c>
      <c r="H1138" s="2">
        <v>39.496473299999998</v>
      </c>
    </row>
    <row r="1139" spans="1:8" ht="17.25" thickBot="1" x14ac:dyDescent="0.35">
      <c r="A1139" s="6"/>
      <c r="B1139" s="3">
        <v>8</v>
      </c>
      <c r="C1139" s="11" t="s">
        <v>117</v>
      </c>
      <c r="D1139" s="2">
        <v>88</v>
      </c>
      <c r="E1139" s="2">
        <v>34.134393000000003</v>
      </c>
      <c r="F1139" s="2">
        <v>0.67429700000000004</v>
      </c>
      <c r="G1139" s="2">
        <v>32.812215999999999</v>
      </c>
      <c r="H1139" s="2">
        <v>35.456570499999998</v>
      </c>
    </row>
    <row r="1140" spans="1:8" ht="17.25" thickBot="1" x14ac:dyDescent="0.35">
      <c r="A1140" s="6">
        <v>3</v>
      </c>
      <c r="B1140" s="3">
        <v>0</v>
      </c>
      <c r="C1140" s="11" t="s">
        <v>117</v>
      </c>
      <c r="D1140" s="2">
        <v>2989</v>
      </c>
      <c r="E1140" s="2">
        <v>32.493000000000002</v>
      </c>
      <c r="F1140" s="2">
        <v>0.16735</v>
      </c>
      <c r="G1140" s="2">
        <v>32.164856700000001</v>
      </c>
      <c r="H1140" s="2">
        <v>32.821144099999998</v>
      </c>
    </row>
    <row r="1141" spans="1:8" ht="17.25" thickBot="1" x14ac:dyDescent="0.35">
      <c r="A1141" s="6"/>
      <c r="B1141" s="3">
        <v>1</v>
      </c>
      <c r="C1141" s="11" t="s">
        <v>117</v>
      </c>
      <c r="D1141" s="2">
        <v>749</v>
      </c>
      <c r="E1141" s="2">
        <v>38.687691999999998</v>
      </c>
      <c r="F1141" s="2">
        <v>0.276586</v>
      </c>
      <c r="G1141" s="2">
        <v>38.145355299999999</v>
      </c>
      <c r="H1141" s="2">
        <v>39.230028699999998</v>
      </c>
    </row>
    <row r="1142" spans="1:8" ht="17.25" thickBot="1" x14ac:dyDescent="0.35">
      <c r="A1142" s="6"/>
      <c r="B1142" s="3">
        <v>8</v>
      </c>
      <c r="C1142" s="11" t="s">
        <v>117</v>
      </c>
      <c r="D1142" s="2">
        <v>519</v>
      </c>
      <c r="E1142" s="2">
        <v>36.532763000000003</v>
      </c>
      <c r="F1142" s="2">
        <v>0.437913</v>
      </c>
      <c r="G1142" s="2">
        <v>35.674094099999998</v>
      </c>
      <c r="H1142" s="2">
        <v>37.391432700000003</v>
      </c>
    </row>
    <row r="1143" spans="1:8" ht="17.25" thickBot="1" x14ac:dyDescent="0.35">
      <c r="A1143" s="6">
        <v>4</v>
      </c>
      <c r="B1143" s="3">
        <v>0</v>
      </c>
      <c r="C1143" s="11" t="s">
        <v>117</v>
      </c>
      <c r="D1143" s="2">
        <v>3587</v>
      </c>
      <c r="E1143" s="2">
        <v>32.878024000000003</v>
      </c>
      <c r="F1143" s="2">
        <v>0.16683899999999999</v>
      </c>
      <c r="G1143" s="2">
        <v>32.550882100000003</v>
      </c>
      <c r="H1143" s="2">
        <v>33.205165999999998</v>
      </c>
    </row>
    <row r="1144" spans="1:8" ht="17.25" thickBot="1" x14ac:dyDescent="0.35">
      <c r="A1144" s="6"/>
      <c r="B1144" s="3">
        <v>1</v>
      </c>
      <c r="C1144" s="11" t="s">
        <v>117</v>
      </c>
      <c r="D1144" s="2">
        <v>968</v>
      </c>
      <c r="E1144" s="2">
        <v>38.743192999999998</v>
      </c>
      <c r="F1144" s="2">
        <v>0.298207</v>
      </c>
      <c r="G1144" s="2">
        <v>38.158461199999998</v>
      </c>
      <c r="H1144" s="2">
        <v>39.327924699999997</v>
      </c>
    </row>
    <row r="1145" spans="1:8" ht="17.25" thickBot="1" x14ac:dyDescent="0.35">
      <c r="A1145" s="6"/>
      <c r="B1145" s="3">
        <v>8</v>
      </c>
      <c r="C1145" s="11" t="s">
        <v>117</v>
      </c>
      <c r="D1145" s="2">
        <v>1</v>
      </c>
      <c r="E1145" s="2">
        <v>53.103399000000003</v>
      </c>
      <c r="F1145" s="2">
        <v>0</v>
      </c>
      <c r="G1145" s="2">
        <v>53.103398800000001</v>
      </c>
      <c r="H1145" s="2">
        <v>53.103398800000001</v>
      </c>
    </row>
    <row r="1146" spans="1:8" ht="17.25" thickBot="1" x14ac:dyDescent="0.35">
      <c r="A1146" s="6">
        <v>5</v>
      </c>
      <c r="B1146" s="3">
        <v>0</v>
      </c>
      <c r="C1146" s="11" t="s">
        <v>117</v>
      </c>
      <c r="D1146" s="2">
        <v>3322</v>
      </c>
      <c r="E1146" s="2">
        <v>33.245431000000004</v>
      </c>
      <c r="F1146" s="2">
        <v>0.196108</v>
      </c>
      <c r="G1146" s="2">
        <v>32.860897199999997</v>
      </c>
      <c r="H1146" s="2">
        <v>33.6299639</v>
      </c>
    </row>
    <row r="1147" spans="1:8" ht="17.25" thickBot="1" x14ac:dyDescent="0.35">
      <c r="A1147" s="6"/>
      <c r="B1147" s="3">
        <v>1</v>
      </c>
      <c r="C1147" s="11" t="s">
        <v>117</v>
      </c>
      <c r="D1147" s="2">
        <v>1179</v>
      </c>
      <c r="E1147" s="2">
        <v>38.438386999999999</v>
      </c>
      <c r="F1147" s="2">
        <v>0.27351599999999998</v>
      </c>
      <c r="G1147" s="2">
        <v>37.902071599999999</v>
      </c>
      <c r="H1147" s="2">
        <v>38.974703099999999</v>
      </c>
    </row>
    <row r="1148" spans="1:8" ht="17.25" thickBot="1" x14ac:dyDescent="0.35">
      <c r="A1148" s="6">
        <v>6</v>
      </c>
      <c r="B1148" s="3">
        <v>0</v>
      </c>
      <c r="C1148" s="11" t="s">
        <v>117</v>
      </c>
      <c r="D1148" s="2">
        <v>1084</v>
      </c>
      <c r="E1148" s="2">
        <v>32.593820000000001</v>
      </c>
      <c r="F1148" s="2">
        <v>0.33715099999999998</v>
      </c>
      <c r="G1148" s="2">
        <v>31.932727100000001</v>
      </c>
      <c r="H1148" s="2">
        <v>33.254913600000002</v>
      </c>
    </row>
    <row r="1149" spans="1:8" x14ac:dyDescent="0.3">
      <c r="A1149" s="6"/>
      <c r="B1149" s="3">
        <v>1</v>
      </c>
      <c r="C1149" s="14" t="s">
        <v>117</v>
      </c>
      <c r="D1149" s="2">
        <v>352</v>
      </c>
      <c r="E1149" s="2">
        <v>36.925801999999997</v>
      </c>
      <c r="F1149" s="2">
        <v>0.45741900000000002</v>
      </c>
      <c r="G1149" s="2">
        <v>36.028884699999999</v>
      </c>
      <c r="H1149" s="2">
        <v>37.822719800000002</v>
      </c>
    </row>
    <row r="1153" spans="1:6" x14ac:dyDescent="0.3">
      <c r="A1153" s="1" t="s">
        <v>237</v>
      </c>
    </row>
    <row r="1155" spans="1:6" x14ac:dyDescent="0.3">
      <c r="A1155" s="1" t="s">
        <v>21</v>
      </c>
    </row>
    <row r="1156" spans="1:6" ht="17.25" thickBot="1" x14ac:dyDescent="0.35"/>
    <row r="1157" spans="1:6" ht="16.5" customHeight="1" x14ac:dyDescent="0.3">
      <c r="A1157" s="16" t="s">
        <v>135</v>
      </c>
      <c r="B1157" s="18"/>
    </row>
    <row r="1158" spans="1:6" ht="26.25" thickBot="1" x14ac:dyDescent="0.35">
      <c r="A1158" s="12" t="s">
        <v>136</v>
      </c>
      <c r="B1158" s="2">
        <v>183</v>
      </c>
    </row>
    <row r="1159" spans="1:6" ht="26.25" thickBot="1" x14ac:dyDescent="0.35">
      <c r="A1159" s="12" t="s">
        <v>137</v>
      </c>
      <c r="B1159" s="2">
        <v>2982</v>
      </c>
    </row>
    <row r="1160" spans="1:6" ht="39" thickBot="1" x14ac:dyDescent="0.35">
      <c r="A1160" s="12" t="s">
        <v>138</v>
      </c>
      <c r="B1160" s="2">
        <v>68635</v>
      </c>
    </row>
    <row r="1161" spans="1:6" ht="25.5" x14ac:dyDescent="0.3">
      <c r="A1161" s="13" t="s">
        <v>139</v>
      </c>
      <c r="B1161" s="2">
        <v>30251935.699999999</v>
      </c>
    </row>
    <row r="1162" spans="1:6" ht="17.25" thickBot="1" x14ac:dyDescent="0.35"/>
    <row r="1163" spans="1:6" ht="33" customHeight="1" x14ac:dyDescent="0.3">
      <c r="A1163" s="16" t="s">
        <v>140</v>
      </c>
      <c r="B1163" s="18"/>
    </row>
    <row r="1164" spans="1:6" ht="33.75" thickBot="1" x14ac:dyDescent="0.35">
      <c r="A1164" s="12" t="s">
        <v>141</v>
      </c>
      <c r="B1164" s="2" t="s">
        <v>142</v>
      </c>
    </row>
    <row r="1165" spans="1:6" ht="25.5" x14ac:dyDescent="0.3">
      <c r="A1165" s="13" t="s">
        <v>143</v>
      </c>
      <c r="B1165" s="2" t="s">
        <v>144</v>
      </c>
    </row>
    <row r="1166" spans="1:6" ht="17.25" thickBot="1" x14ac:dyDescent="0.35"/>
    <row r="1167" spans="1:6" ht="16.5" customHeight="1" x14ac:dyDescent="0.3">
      <c r="A1167" s="16" t="s">
        <v>238</v>
      </c>
      <c r="B1167" s="18"/>
      <c r="C1167" s="18"/>
      <c r="D1167" s="18"/>
      <c r="E1167" s="18"/>
      <c r="F1167" s="18"/>
    </row>
    <row r="1168" spans="1:6" ht="16.5" customHeight="1" x14ac:dyDescent="0.3">
      <c r="A1168" s="17" t="s">
        <v>239</v>
      </c>
      <c r="B1168" s="19" t="s">
        <v>94</v>
      </c>
      <c r="C1168" s="19" t="s">
        <v>240</v>
      </c>
      <c r="D1168" s="3" t="s">
        <v>241</v>
      </c>
      <c r="E1168" s="19" t="s">
        <v>243</v>
      </c>
      <c r="F1168" s="19"/>
    </row>
    <row r="1169" spans="1:15" x14ac:dyDescent="0.3">
      <c r="A1169" s="17"/>
      <c r="B1169" s="19"/>
      <c r="C1169" s="19"/>
      <c r="D1169" s="3" t="s">
        <v>242</v>
      </c>
      <c r="E1169" s="19"/>
      <c r="F1169" s="19"/>
    </row>
    <row r="1170" spans="1:15" x14ac:dyDescent="0.3">
      <c r="A1170" s="13" t="s">
        <v>117</v>
      </c>
      <c r="B1170" s="2">
        <v>68635</v>
      </c>
      <c r="C1170" s="2">
        <v>35.601097000000003</v>
      </c>
      <c r="D1170" s="2">
        <v>3.8943999999999999E-2</v>
      </c>
      <c r="E1170" s="2">
        <v>35.524735800000002</v>
      </c>
      <c r="F1170" s="2">
        <v>35.677458399999999</v>
      </c>
    </row>
    <row r="1174" spans="1:15" x14ac:dyDescent="0.3">
      <c r="A1174" s="1" t="s">
        <v>237</v>
      </c>
    </row>
    <row r="1176" spans="1:15" x14ac:dyDescent="0.3">
      <c r="A1176" s="1" t="s">
        <v>21</v>
      </c>
    </row>
    <row r="1177" spans="1:15" ht="17.25" thickBot="1" x14ac:dyDescent="0.35"/>
    <row r="1178" spans="1:15" ht="16.5" customHeight="1" x14ac:dyDescent="0.3">
      <c r="A1178" s="16" t="s">
        <v>261</v>
      </c>
      <c r="B1178" s="18"/>
      <c r="C1178" s="18"/>
      <c r="D1178" s="18"/>
      <c r="E1178" s="18"/>
      <c r="F1178" s="18"/>
      <c r="G1178" s="18"/>
      <c r="H1178" s="18"/>
    </row>
    <row r="1179" spans="1:15" ht="16.5" customHeight="1" x14ac:dyDescent="0.3">
      <c r="A1179" s="17" t="s">
        <v>249</v>
      </c>
      <c r="B1179" s="19" t="s">
        <v>16</v>
      </c>
      <c r="C1179" s="19" t="s">
        <v>239</v>
      </c>
      <c r="D1179" s="19" t="s">
        <v>94</v>
      </c>
      <c r="E1179" s="19" t="s">
        <v>240</v>
      </c>
      <c r="F1179" s="3" t="s">
        <v>241</v>
      </c>
      <c r="G1179" s="19" t="s">
        <v>243</v>
      </c>
      <c r="H1179" s="19"/>
    </row>
    <row r="1180" spans="1:15" x14ac:dyDescent="0.3">
      <c r="A1180" s="17"/>
      <c r="B1180" s="19"/>
      <c r="C1180" s="19"/>
      <c r="D1180" s="19"/>
      <c r="E1180" s="19"/>
      <c r="F1180" s="3" t="s">
        <v>242</v>
      </c>
      <c r="G1180" s="19"/>
      <c r="H1180" s="19"/>
    </row>
    <row r="1181" spans="1:15" ht="17.25" thickBot="1" x14ac:dyDescent="0.35">
      <c r="A1181" s="6">
        <v>1</v>
      </c>
      <c r="B1181" s="3">
        <v>0</v>
      </c>
      <c r="C1181" s="11" t="s">
        <v>117</v>
      </c>
      <c r="D1181" s="2">
        <v>9740</v>
      </c>
      <c r="E1181" s="2">
        <v>34.908704</v>
      </c>
      <c r="F1181" s="2">
        <v>8.8696999999999998E-2</v>
      </c>
      <c r="G1181" s="2">
        <v>34.734785899999999</v>
      </c>
      <c r="H1181" s="2">
        <v>35.082622200000003</v>
      </c>
      <c r="J1181" t="str">
        <f t="shared" ref="J1181:J1192" si="46">TEXT(E1181,"0.00")&amp;" ("&amp;TEXT(G1181,"0.00")&amp;" to "&amp;TEXT(H1181,"0.00")&amp;")"</f>
        <v>34.91 (34.73 to 35.08)</v>
      </c>
      <c r="K1181" t="str">
        <f>J1183</f>
        <v>34.94 (34.75 to 35.14)</v>
      </c>
      <c r="L1181" t="str">
        <f>J1185</f>
        <v>34.72 (34.54 to 34.89)</v>
      </c>
      <c r="M1181" t="str">
        <f>J1187</f>
        <v>34.98 (34.81 to 35.16)</v>
      </c>
      <c r="N1181" t="str">
        <f>J1189</f>
        <v>34.97 (34.78 to 35.16)</v>
      </c>
      <c r="O1181" t="str">
        <f>J1191</f>
        <v>34.34 (33.97 to 34.71)</v>
      </c>
    </row>
    <row r="1182" spans="1:15" ht="17.25" thickBot="1" x14ac:dyDescent="0.35">
      <c r="A1182" s="6"/>
      <c r="B1182" s="3">
        <v>1</v>
      </c>
      <c r="C1182" s="11" t="s">
        <v>117</v>
      </c>
      <c r="D1182" s="2">
        <v>2175</v>
      </c>
      <c r="E1182" s="2">
        <v>39.496259000000002</v>
      </c>
      <c r="F1182" s="2">
        <v>0.197216</v>
      </c>
      <c r="G1182" s="2">
        <v>39.109555800000003</v>
      </c>
      <c r="H1182" s="2">
        <v>39.882961299999998</v>
      </c>
      <c r="J1182" t="str">
        <f t="shared" si="46"/>
        <v>39.50 (39.11 to 39.88)</v>
      </c>
      <c r="K1182" t="str">
        <f>J1184</f>
        <v>38.91 (38.56 to 39.26)</v>
      </c>
      <c r="L1182" t="str">
        <f>J1186</f>
        <v>39.18 (38.81 to 39.54)</v>
      </c>
      <c r="M1182" t="str">
        <f>J1188</f>
        <v>39.24 (38.91 to 39.57)</v>
      </c>
      <c r="N1182" t="str">
        <f>J1190</f>
        <v>39.38 (39.04 to 39.73)</v>
      </c>
      <c r="O1182" t="str">
        <f>J1192</f>
        <v>38.54 (38.04 to 39.05)</v>
      </c>
    </row>
    <row r="1183" spans="1:15" ht="17.25" thickBot="1" x14ac:dyDescent="0.35">
      <c r="A1183" s="6">
        <v>2</v>
      </c>
      <c r="B1183" s="3">
        <v>0</v>
      </c>
      <c r="C1183" s="11" t="s">
        <v>117</v>
      </c>
      <c r="D1183" s="2">
        <v>10393</v>
      </c>
      <c r="E1183" s="2">
        <v>34.941156999999997</v>
      </c>
      <c r="F1183" s="2">
        <v>9.9099000000000007E-2</v>
      </c>
      <c r="G1183" s="2">
        <v>34.746843300000002</v>
      </c>
      <c r="H1183" s="2">
        <v>35.135471199999998</v>
      </c>
      <c r="J1183" t="str">
        <f t="shared" si="46"/>
        <v>34.94 (34.75 to 35.14)</v>
      </c>
    </row>
    <row r="1184" spans="1:15" ht="17.25" thickBot="1" x14ac:dyDescent="0.35">
      <c r="A1184" s="6"/>
      <c r="B1184" s="3">
        <v>1</v>
      </c>
      <c r="C1184" s="11" t="s">
        <v>117</v>
      </c>
      <c r="D1184" s="2">
        <v>2723</v>
      </c>
      <c r="E1184" s="2">
        <v>38.910705</v>
      </c>
      <c r="F1184" s="2">
        <v>0.17796500000000001</v>
      </c>
      <c r="G1184" s="2">
        <v>38.5617479</v>
      </c>
      <c r="H1184" s="2">
        <v>39.259661100000002</v>
      </c>
      <c r="J1184" t="str">
        <f t="shared" si="46"/>
        <v>38.91 (38.56 to 39.26)</v>
      </c>
    </row>
    <row r="1185" spans="1:10" ht="17.25" thickBot="1" x14ac:dyDescent="0.35">
      <c r="A1185" s="6">
        <v>3</v>
      </c>
      <c r="B1185" s="3">
        <v>0</v>
      </c>
      <c r="C1185" s="11" t="s">
        <v>117</v>
      </c>
      <c r="D1185" s="2">
        <v>9166</v>
      </c>
      <c r="E1185" s="2">
        <v>34.715420000000002</v>
      </c>
      <c r="F1185" s="2">
        <v>8.9932999999999999E-2</v>
      </c>
      <c r="G1185" s="2">
        <v>34.539077599999999</v>
      </c>
      <c r="H1185" s="2">
        <v>34.891762300000003</v>
      </c>
      <c r="J1185" t="str">
        <f t="shared" si="46"/>
        <v>34.72 (34.54 to 34.89)</v>
      </c>
    </row>
    <row r="1186" spans="1:10" ht="17.25" thickBot="1" x14ac:dyDescent="0.35">
      <c r="A1186" s="6"/>
      <c r="B1186" s="3">
        <v>1</v>
      </c>
      <c r="C1186" s="11" t="s">
        <v>117</v>
      </c>
      <c r="D1186" s="2">
        <v>2309</v>
      </c>
      <c r="E1186" s="2">
        <v>39.176389</v>
      </c>
      <c r="F1186" s="2">
        <v>0.184782</v>
      </c>
      <c r="G1186" s="2">
        <v>38.814065300000003</v>
      </c>
      <c r="H1186" s="2">
        <v>39.538712599999997</v>
      </c>
      <c r="J1186" t="str">
        <f t="shared" si="46"/>
        <v>39.18 (38.81 to 39.54)</v>
      </c>
    </row>
    <row r="1187" spans="1:10" ht="17.25" thickBot="1" x14ac:dyDescent="0.35">
      <c r="A1187" s="6">
        <v>4</v>
      </c>
      <c r="B1187" s="3">
        <v>0</v>
      </c>
      <c r="C1187" s="11" t="s">
        <v>117</v>
      </c>
      <c r="D1187" s="2">
        <v>11001</v>
      </c>
      <c r="E1187" s="2">
        <v>34.983581999999998</v>
      </c>
      <c r="F1187" s="2">
        <v>8.9268E-2</v>
      </c>
      <c r="G1187" s="2">
        <v>34.808543399999998</v>
      </c>
      <c r="H1187" s="2">
        <v>35.158620200000001</v>
      </c>
      <c r="J1187" t="str">
        <f t="shared" si="46"/>
        <v>34.98 (34.81 to 35.16)</v>
      </c>
    </row>
    <row r="1188" spans="1:10" ht="17.25" thickBot="1" x14ac:dyDescent="0.35">
      <c r="A1188" s="6"/>
      <c r="B1188" s="3">
        <v>1</v>
      </c>
      <c r="C1188" s="11" t="s">
        <v>117</v>
      </c>
      <c r="D1188" s="2">
        <v>3157</v>
      </c>
      <c r="E1188" s="2">
        <v>39.240426999999997</v>
      </c>
      <c r="F1188" s="2">
        <v>0.16598199999999999</v>
      </c>
      <c r="G1188" s="2">
        <v>38.914968600000002</v>
      </c>
      <c r="H1188" s="2">
        <v>39.565885999999999</v>
      </c>
      <c r="J1188" t="str">
        <f t="shared" si="46"/>
        <v>39.24 (38.91 to 39.57)</v>
      </c>
    </row>
    <row r="1189" spans="1:10" ht="17.25" thickBot="1" x14ac:dyDescent="0.35">
      <c r="A1189" s="6">
        <v>5</v>
      </c>
      <c r="B1189" s="3">
        <v>0</v>
      </c>
      <c r="C1189" s="11" t="s">
        <v>117</v>
      </c>
      <c r="D1189" s="2">
        <v>10383</v>
      </c>
      <c r="E1189" s="2">
        <v>34.972366999999998</v>
      </c>
      <c r="F1189" s="2">
        <v>9.8112000000000005E-2</v>
      </c>
      <c r="G1189" s="2">
        <v>34.779987400000003</v>
      </c>
      <c r="H1189" s="2">
        <v>35.164746200000003</v>
      </c>
      <c r="J1189" t="str">
        <f t="shared" si="46"/>
        <v>34.97 (34.78 to 35.16)</v>
      </c>
    </row>
    <row r="1190" spans="1:10" ht="17.25" thickBot="1" x14ac:dyDescent="0.35">
      <c r="A1190" s="6"/>
      <c r="B1190" s="3">
        <v>1</v>
      </c>
      <c r="C1190" s="11" t="s">
        <v>117</v>
      </c>
      <c r="D1190" s="2">
        <v>3172</v>
      </c>
      <c r="E1190" s="2">
        <v>39.381804000000002</v>
      </c>
      <c r="F1190" s="2">
        <v>0.17561499999999999</v>
      </c>
      <c r="G1190" s="2">
        <v>39.037455199999997</v>
      </c>
      <c r="H1190" s="2">
        <v>39.726152200000001</v>
      </c>
      <c r="J1190" t="str">
        <f t="shared" si="46"/>
        <v>39.38 (39.04 to 39.73)</v>
      </c>
    </row>
    <row r="1191" spans="1:10" ht="17.25" thickBot="1" x14ac:dyDescent="0.35">
      <c r="A1191" s="6">
        <v>6</v>
      </c>
      <c r="B1191" s="3">
        <v>0</v>
      </c>
      <c r="C1191" s="11" t="s">
        <v>117</v>
      </c>
      <c r="D1191" s="2">
        <v>3227</v>
      </c>
      <c r="E1191" s="2">
        <v>34.341002000000003</v>
      </c>
      <c r="F1191" s="2">
        <v>0.188606</v>
      </c>
      <c r="G1191" s="2">
        <v>33.971180699999998</v>
      </c>
      <c r="H1191" s="2">
        <v>34.7108238</v>
      </c>
      <c r="J1191" t="str">
        <f t="shared" si="46"/>
        <v>34.34 (33.97 to 34.71)</v>
      </c>
    </row>
    <row r="1192" spans="1:10" x14ac:dyDescent="0.3">
      <c r="A1192" s="6"/>
      <c r="B1192" s="3">
        <v>1</v>
      </c>
      <c r="C1192" s="14" t="s">
        <v>117</v>
      </c>
      <c r="D1192" s="2">
        <v>1189</v>
      </c>
      <c r="E1192" s="2">
        <v>38.542732000000001</v>
      </c>
      <c r="F1192" s="2">
        <v>0.25733499999999998</v>
      </c>
      <c r="G1192" s="2">
        <v>38.038146099999999</v>
      </c>
      <c r="H1192" s="2">
        <v>39.047317200000002</v>
      </c>
      <c r="J1192" t="str">
        <f t="shared" si="46"/>
        <v>38.54 (38.04 to 39.05)</v>
      </c>
    </row>
    <row r="1196" spans="1:10" x14ac:dyDescent="0.3">
      <c r="A1196" s="1" t="s">
        <v>237</v>
      </c>
    </row>
    <row r="1198" spans="1:10" x14ac:dyDescent="0.3">
      <c r="A1198" s="1" t="s">
        <v>1</v>
      </c>
    </row>
    <row r="1199" spans="1:10" ht="17.25" thickBot="1" x14ac:dyDescent="0.35"/>
    <row r="1200" spans="1:10" ht="16.5" customHeight="1" x14ac:dyDescent="0.3">
      <c r="A1200" s="16" t="s">
        <v>135</v>
      </c>
      <c r="B1200" s="18"/>
    </row>
    <row r="1201" spans="1:6" ht="26.25" thickBot="1" x14ac:dyDescent="0.35">
      <c r="A1201" s="12" t="s">
        <v>136</v>
      </c>
      <c r="B1201" s="2">
        <v>183</v>
      </c>
    </row>
    <row r="1202" spans="1:6" ht="26.25" thickBot="1" x14ac:dyDescent="0.35">
      <c r="A1202" s="12" t="s">
        <v>137</v>
      </c>
      <c r="B1202" s="2">
        <v>2949</v>
      </c>
    </row>
    <row r="1203" spans="1:6" ht="39" thickBot="1" x14ac:dyDescent="0.35">
      <c r="A1203" s="12" t="s">
        <v>138</v>
      </c>
      <c r="B1203" s="2">
        <v>23222</v>
      </c>
    </row>
    <row r="1204" spans="1:6" ht="25.5" x14ac:dyDescent="0.3">
      <c r="A1204" s="13" t="s">
        <v>139</v>
      </c>
      <c r="B1204" s="2">
        <v>9036880.5199999996</v>
      </c>
    </row>
    <row r="1205" spans="1:6" ht="17.25" thickBot="1" x14ac:dyDescent="0.35"/>
    <row r="1206" spans="1:6" ht="33" customHeight="1" x14ac:dyDescent="0.3">
      <c r="A1206" s="16" t="s">
        <v>140</v>
      </c>
      <c r="B1206" s="18"/>
    </row>
    <row r="1207" spans="1:6" ht="33.75" thickBot="1" x14ac:dyDescent="0.35">
      <c r="A1207" s="12" t="s">
        <v>141</v>
      </c>
      <c r="B1207" s="2" t="s">
        <v>142</v>
      </c>
    </row>
    <row r="1208" spans="1:6" ht="25.5" x14ac:dyDescent="0.3">
      <c r="A1208" s="13" t="s">
        <v>143</v>
      </c>
      <c r="B1208" s="2" t="s">
        <v>144</v>
      </c>
    </row>
    <row r="1209" spans="1:6" ht="17.25" thickBot="1" x14ac:dyDescent="0.35"/>
    <row r="1210" spans="1:6" ht="16.5" customHeight="1" x14ac:dyDescent="0.3">
      <c r="A1210" s="16" t="s">
        <v>238</v>
      </c>
      <c r="B1210" s="18"/>
      <c r="C1210" s="18"/>
      <c r="D1210" s="18"/>
      <c r="E1210" s="18"/>
      <c r="F1210" s="18"/>
    </row>
    <row r="1211" spans="1:6" ht="16.5" customHeight="1" x14ac:dyDescent="0.3">
      <c r="A1211" s="17" t="s">
        <v>239</v>
      </c>
      <c r="B1211" s="19" t="s">
        <v>94</v>
      </c>
      <c r="C1211" s="19" t="s">
        <v>240</v>
      </c>
      <c r="D1211" s="3" t="s">
        <v>241</v>
      </c>
      <c r="E1211" s="19" t="s">
        <v>243</v>
      </c>
      <c r="F1211" s="19"/>
    </row>
    <row r="1212" spans="1:6" x14ac:dyDescent="0.3">
      <c r="A1212" s="17"/>
      <c r="B1212" s="19"/>
      <c r="C1212" s="19"/>
      <c r="D1212" s="3" t="s">
        <v>242</v>
      </c>
      <c r="E1212" s="19"/>
      <c r="F1212" s="19"/>
    </row>
    <row r="1213" spans="1:6" x14ac:dyDescent="0.3">
      <c r="A1213" s="13" t="s">
        <v>117</v>
      </c>
      <c r="B1213" s="2">
        <v>23222</v>
      </c>
      <c r="C1213" s="2">
        <v>33.805624000000002</v>
      </c>
      <c r="D1213" s="2">
        <v>7.0877999999999997E-2</v>
      </c>
      <c r="E1213" s="2">
        <v>33.666644300000002</v>
      </c>
      <c r="F1213" s="2">
        <v>33.944603299999997</v>
      </c>
    </row>
    <row r="1217" spans="1:8" x14ac:dyDescent="0.3">
      <c r="A1217" s="1" t="s">
        <v>237</v>
      </c>
    </row>
    <row r="1219" spans="1:8" x14ac:dyDescent="0.3">
      <c r="A1219" s="1" t="s">
        <v>1</v>
      </c>
    </row>
    <row r="1220" spans="1:8" ht="17.25" thickBot="1" x14ac:dyDescent="0.35"/>
    <row r="1221" spans="1:8" ht="16.5" customHeight="1" x14ac:dyDescent="0.3">
      <c r="A1221" s="16" t="s">
        <v>262</v>
      </c>
      <c r="B1221" s="18"/>
      <c r="C1221" s="18"/>
      <c r="D1221" s="18"/>
      <c r="E1221" s="18"/>
      <c r="F1221" s="18"/>
      <c r="G1221" s="18"/>
      <c r="H1221" s="18"/>
    </row>
    <row r="1222" spans="1:8" ht="16.5" customHeight="1" x14ac:dyDescent="0.3">
      <c r="A1222" s="17" t="s">
        <v>249</v>
      </c>
      <c r="B1222" s="19" t="s">
        <v>17</v>
      </c>
      <c r="C1222" s="19" t="s">
        <v>239</v>
      </c>
      <c r="D1222" s="19" t="s">
        <v>94</v>
      </c>
      <c r="E1222" s="19" t="s">
        <v>240</v>
      </c>
      <c r="F1222" s="3" t="s">
        <v>241</v>
      </c>
      <c r="G1222" s="19" t="s">
        <v>243</v>
      </c>
      <c r="H1222" s="19"/>
    </row>
    <row r="1223" spans="1:8" x14ac:dyDescent="0.3">
      <c r="A1223" s="17"/>
      <c r="B1223" s="19"/>
      <c r="C1223" s="19"/>
      <c r="D1223" s="19"/>
      <c r="E1223" s="19"/>
      <c r="F1223" s="3" t="s">
        <v>242</v>
      </c>
      <c r="G1223" s="19"/>
      <c r="H1223" s="19"/>
    </row>
    <row r="1224" spans="1:8" ht="17.25" thickBot="1" x14ac:dyDescent="0.35">
      <c r="A1224" s="6">
        <v>1</v>
      </c>
      <c r="B1224" s="3">
        <v>0</v>
      </c>
      <c r="C1224" s="11" t="s">
        <v>117</v>
      </c>
      <c r="D1224" s="2">
        <v>3487</v>
      </c>
      <c r="E1224" s="2">
        <v>34.081693000000001</v>
      </c>
      <c r="F1224" s="2">
        <v>0.18909999999999999</v>
      </c>
      <c r="G1224" s="2">
        <v>33.710902099999998</v>
      </c>
      <c r="H1224" s="2">
        <v>34.452484499999997</v>
      </c>
    </row>
    <row r="1225" spans="1:8" ht="17.25" thickBot="1" x14ac:dyDescent="0.35">
      <c r="A1225" s="6"/>
      <c r="B1225" s="3">
        <v>1</v>
      </c>
      <c r="C1225" s="11" t="s">
        <v>117</v>
      </c>
      <c r="D1225" s="2">
        <v>253</v>
      </c>
      <c r="E1225" s="2">
        <v>39.208202</v>
      </c>
      <c r="F1225" s="2">
        <v>0.618309</v>
      </c>
      <c r="G1225" s="2">
        <v>37.9958083</v>
      </c>
      <c r="H1225" s="2">
        <v>40.420596199999999</v>
      </c>
    </row>
    <row r="1226" spans="1:8" ht="17.25" thickBot="1" x14ac:dyDescent="0.35">
      <c r="A1226" s="6">
        <v>2</v>
      </c>
      <c r="B1226" s="3">
        <v>0</v>
      </c>
      <c r="C1226" s="11" t="s">
        <v>117</v>
      </c>
      <c r="D1226" s="2">
        <v>4258</v>
      </c>
      <c r="E1226" s="2">
        <v>32.462542999999997</v>
      </c>
      <c r="F1226" s="2">
        <v>0.14596300000000001</v>
      </c>
      <c r="G1226" s="2">
        <v>32.176335899999998</v>
      </c>
      <c r="H1226" s="2">
        <v>32.7487499</v>
      </c>
    </row>
    <row r="1227" spans="1:8" ht="17.25" thickBot="1" x14ac:dyDescent="0.35">
      <c r="A1227" s="6"/>
      <c r="B1227" s="3">
        <v>1</v>
      </c>
      <c r="C1227" s="11" t="s">
        <v>117</v>
      </c>
      <c r="D1227" s="2">
        <v>385</v>
      </c>
      <c r="E1227" s="2">
        <v>38.184626000000002</v>
      </c>
      <c r="F1227" s="2">
        <v>0.39885100000000001</v>
      </c>
      <c r="G1227" s="2">
        <v>37.402550400000003</v>
      </c>
      <c r="H1227" s="2">
        <v>38.966702400000003</v>
      </c>
    </row>
    <row r="1228" spans="1:8" ht="17.25" thickBot="1" x14ac:dyDescent="0.35">
      <c r="A1228" s="6"/>
      <c r="B1228" s="3">
        <v>8</v>
      </c>
      <c r="C1228" s="11" t="s">
        <v>117</v>
      </c>
      <c r="D1228" s="2">
        <v>89</v>
      </c>
      <c r="E1228" s="2">
        <v>34.209161000000002</v>
      </c>
      <c r="F1228" s="2">
        <v>0.67508999999999997</v>
      </c>
      <c r="G1228" s="2">
        <v>32.885430599999999</v>
      </c>
      <c r="H1228" s="2">
        <v>35.532891900000003</v>
      </c>
    </row>
    <row r="1229" spans="1:8" ht="17.25" thickBot="1" x14ac:dyDescent="0.35">
      <c r="A1229" s="6">
        <v>3</v>
      </c>
      <c r="B1229" s="3">
        <v>0</v>
      </c>
      <c r="C1229" s="11" t="s">
        <v>117</v>
      </c>
      <c r="D1229" s="2">
        <v>3297</v>
      </c>
      <c r="E1229" s="2">
        <v>33.030726999999999</v>
      </c>
      <c r="F1229" s="2">
        <v>0.16690199999999999</v>
      </c>
      <c r="G1229" s="2">
        <v>32.703462999999999</v>
      </c>
      <c r="H1229" s="2">
        <v>33.357991900000002</v>
      </c>
    </row>
    <row r="1230" spans="1:8" ht="17.25" thickBot="1" x14ac:dyDescent="0.35">
      <c r="A1230" s="6"/>
      <c r="B1230" s="3">
        <v>1</v>
      </c>
      <c r="C1230" s="11" t="s">
        <v>117</v>
      </c>
      <c r="D1230" s="2">
        <v>441</v>
      </c>
      <c r="E1230" s="2">
        <v>37.586271000000004</v>
      </c>
      <c r="F1230" s="2">
        <v>0.39439200000000002</v>
      </c>
      <c r="G1230" s="2">
        <v>36.812939100000001</v>
      </c>
      <c r="H1230" s="2">
        <v>38.359602799999998</v>
      </c>
    </row>
    <row r="1231" spans="1:8" ht="17.25" thickBot="1" x14ac:dyDescent="0.35">
      <c r="A1231" s="6"/>
      <c r="B1231" s="3">
        <v>8</v>
      </c>
      <c r="C1231" s="11" t="s">
        <v>117</v>
      </c>
      <c r="D1231" s="2">
        <v>519</v>
      </c>
      <c r="E1231" s="2">
        <v>36.532763000000003</v>
      </c>
      <c r="F1231" s="2">
        <v>0.437913</v>
      </c>
      <c r="G1231" s="2">
        <v>35.674094099999998</v>
      </c>
      <c r="H1231" s="2">
        <v>37.391432700000003</v>
      </c>
    </row>
    <row r="1232" spans="1:8" ht="17.25" thickBot="1" x14ac:dyDescent="0.35">
      <c r="A1232" s="6">
        <v>4</v>
      </c>
      <c r="B1232" s="3">
        <v>0</v>
      </c>
      <c r="C1232" s="11" t="s">
        <v>117</v>
      </c>
      <c r="D1232" s="2">
        <v>3874</v>
      </c>
      <c r="E1232" s="2">
        <v>33.125098000000001</v>
      </c>
      <c r="F1232" s="2">
        <v>0.160693</v>
      </c>
      <c r="G1232" s="2">
        <v>32.8100083</v>
      </c>
      <c r="H1232" s="2">
        <v>33.440188499999998</v>
      </c>
    </row>
    <row r="1233" spans="1:8" ht="17.25" thickBot="1" x14ac:dyDescent="0.35">
      <c r="A1233" s="6"/>
      <c r="B1233" s="3">
        <v>1</v>
      </c>
      <c r="C1233" s="11" t="s">
        <v>117</v>
      </c>
      <c r="D1233" s="2">
        <v>681</v>
      </c>
      <c r="E1233" s="2">
        <v>39.021026999999997</v>
      </c>
      <c r="F1233" s="2">
        <v>0.41577700000000001</v>
      </c>
      <c r="G1233" s="2">
        <v>38.205761899999999</v>
      </c>
      <c r="H1233" s="2">
        <v>39.836291199999998</v>
      </c>
    </row>
    <row r="1234" spans="1:8" ht="17.25" thickBot="1" x14ac:dyDescent="0.35">
      <c r="A1234" s="6"/>
      <c r="B1234" s="3">
        <v>8</v>
      </c>
      <c r="C1234" s="11" t="s">
        <v>117</v>
      </c>
      <c r="D1234" s="2">
        <v>1</v>
      </c>
      <c r="E1234" s="2">
        <v>53.103399000000003</v>
      </c>
      <c r="F1234" s="2">
        <v>0</v>
      </c>
      <c r="G1234" s="2">
        <v>53.103398800000001</v>
      </c>
      <c r="H1234" s="2">
        <v>53.103398800000001</v>
      </c>
    </row>
    <row r="1235" spans="1:8" ht="17.25" thickBot="1" x14ac:dyDescent="0.35">
      <c r="A1235" s="6">
        <v>5</v>
      </c>
      <c r="B1235" s="3">
        <v>0</v>
      </c>
      <c r="C1235" s="11" t="s">
        <v>117</v>
      </c>
      <c r="D1235" s="2">
        <v>3652</v>
      </c>
      <c r="E1235" s="2">
        <v>33.712333000000001</v>
      </c>
      <c r="F1235" s="2">
        <v>0.191107</v>
      </c>
      <c r="G1235" s="2">
        <v>33.337607200000001</v>
      </c>
      <c r="H1235" s="2">
        <v>34.087058900000002</v>
      </c>
    </row>
    <row r="1236" spans="1:8" ht="17.25" thickBot="1" x14ac:dyDescent="0.35">
      <c r="A1236" s="6"/>
      <c r="B1236" s="3">
        <v>1</v>
      </c>
      <c r="C1236" s="11" t="s">
        <v>117</v>
      </c>
      <c r="D1236" s="2">
        <v>849</v>
      </c>
      <c r="E1236" s="2">
        <v>37.608691999999998</v>
      </c>
      <c r="F1236" s="2">
        <v>0.31695699999999999</v>
      </c>
      <c r="G1236" s="2">
        <v>36.987195300000003</v>
      </c>
      <c r="H1236" s="2">
        <v>38.230188699999999</v>
      </c>
    </row>
    <row r="1237" spans="1:8" ht="17.25" thickBot="1" x14ac:dyDescent="0.35">
      <c r="A1237" s="6">
        <v>6</v>
      </c>
      <c r="B1237" s="3">
        <v>0</v>
      </c>
      <c r="C1237" s="11" t="s">
        <v>117</v>
      </c>
      <c r="D1237" s="2">
        <v>1089</v>
      </c>
      <c r="E1237" s="2">
        <v>32.777954000000001</v>
      </c>
      <c r="F1237" s="2">
        <v>0.32899800000000001</v>
      </c>
      <c r="G1237" s="2">
        <v>32.132846999999998</v>
      </c>
      <c r="H1237" s="2">
        <v>33.42306</v>
      </c>
    </row>
    <row r="1238" spans="1:8" x14ac:dyDescent="0.3">
      <c r="A1238" s="6"/>
      <c r="B1238" s="3">
        <v>1</v>
      </c>
      <c r="C1238" s="14" t="s">
        <v>117</v>
      </c>
      <c r="D1238" s="2">
        <v>347</v>
      </c>
      <c r="E1238" s="2">
        <v>36.069023999999999</v>
      </c>
      <c r="F1238" s="2">
        <v>0.48182900000000001</v>
      </c>
      <c r="G1238" s="2">
        <v>35.124242600000002</v>
      </c>
      <c r="H1238" s="2">
        <v>37.013805699999999</v>
      </c>
    </row>
    <row r="1242" spans="1:8" x14ac:dyDescent="0.3">
      <c r="A1242" s="1" t="s">
        <v>237</v>
      </c>
    </row>
    <row r="1244" spans="1:8" x14ac:dyDescent="0.3">
      <c r="A1244" s="1" t="s">
        <v>21</v>
      </c>
    </row>
    <row r="1245" spans="1:8" ht="17.25" thickBot="1" x14ac:dyDescent="0.35"/>
    <row r="1246" spans="1:8" ht="16.5" customHeight="1" x14ac:dyDescent="0.3">
      <c r="A1246" s="16" t="s">
        <v>135</v>
      </c>
      <c r="B1246" s="18"/>
    </row>
    <row r="1247" spans="1:8" ht="26.25" thickBot="1" x14ac:dyDescent="0.35">
      <c r="A1247" s="12" t="s">
        <v>136</v>
      </c>
      <c r="B1247" s="2">
        <v>183</v>
      </c>
    </row>
    <row r="1248" spans="1:8" ht="26.25" thickBot="1" x14ac:dyDescent="0.35">
      <c r="A1248" s="12" t="s">
        <v>137</v>
      </c>
      <c r="B1248" s="2">
        <v>2982</v>
      </c>
    </row>
    <row r="1249" spans="1:6" ht="39" thickBot="1" x14ac:dyDescent="0.35">
      <c r="A1249" s="12" t="s">
        <v>138</v>
      </c>
      <c r="B1249" s="2">
        <v>68635</v>
      </c>
    </row>
    <row r="1250" spans="1:6" ht="25.5" x14ac:dyDescent="0.3">
      <c r="A1250" s="13" t="s">
        <v>139</v>
      </c>
      <c r="B1250" s="2">
        <v>30251935.699999999</v>
      </c>
    </row>
    <row r="1251" spans="1:6" ht="17.25" thickBot="1" x14ac:dyDescent="0.35"/>
    <row r="1252" spans="1:6" ht="33" customHeight="1" x14ac:dyDescent="0.3">
      <c r="A1252" s="16" t="s">
        <v>140</v>
      </c>
      <c r="B1252" s="18"/>
    </row>
    <row r="1253" spans="1:6" ht="33.75" thickBot="1" x14ac:dyDescent="0.35">
      <c r="A1253" s="12" t="s">
        <v>141</v>
      </c>
      <c r="B1253" s="2" t="s">
        <v>142</v>
      </c>
    </row>
    <row r="1254" spans="1:6" ht="25.5" x14ac:dyDescent="0.3">
      <c r="A1254" s="13" t="s">
        <v>143</v>
      </c>
      <c r="B1254" s="2" t="s">
        <v>144</v>
      </c>
    </row>
    <row r="1255" spans="1:6" ht="17.25" thickBot="1" x14ac:dyDescent="0.35"/>
    <row r="1256" spans="1:6" ht="16.5" customHeight="1" x14ac:dyDescent="0.3">
      <c r="A1256" s="16" t="s">
        <v>238</v>
      </c>
      <c r="B1256" s="18"/>
      <c r="C1256" s="18"/>
      <c r="D1256" s="18"/>
      <c r="E1256" s="18"/>
      <c r="F1256" s="18"/>
    </row>
    <row r="1257" spans="1:6" ht="16.5" customHeight="1" x14ac:dyDescent="0.3">
      <c r="A1257" s="17" t="s">
        <v>239</v>
      </c>
      <c r="B1257" s="19" t="s">
        <v>94</v>
      </c>
      <c r="C1257" s="19" t="s">
        <v>240</v>
      </c>
      <c r="D1257" s="3" t="s">
        <v>241</v>
      </c>
      <c r="E1257" s="19" t="s">
        <v>243</v>
      </c>
      <c r="F1257" s="19"/>
    </row>
    <row r="1258" spans="1:6" x14ac:dyDescent="0.3">
      <c r="A1258" s="17"/>
      <c r="B1258" s="19"/>
      <c r="C1258" s="19"/>
      <c r="D1258" s="3" t="s">
        <v>242</v>
      </c>
      <c r="E1258" s="19"/>
      <c r="F1258" s="19"/>
    </row>
    <row r="1259" spans="1:6" x14ac:dyDescent="0.3">
      <c r="A1259" s="13" t="s">
        <v>117</v>
      </c>
      <c r="B1259" s="2">
        <v>68635</v>
      </c>
      <c r="C1259" s="2">
        <v>35.601097000000003</v>
      </c>
      <c r="D1259" s="2">
        <v>3.8943999999999999E-2</v>
      </c>
      <c r="E1259" s="2">
        <v>35.524735800000002</v>
      </c>
      <c r="F1259" s="2">
        <v>35.677458399999999</v>
      </c>
    </row>
    <row r="1263" spans="1:6" x14ac:dyDescent="0.3">
      <c r="A1263" s="1" t="s">
        <v>237</v>
      </c>
    </row>
    <row r="1265" spans="1:15" x14ac:dyDescent="0.3">
      <c r="A1265" s="1" t="s">
        <v>21</v>
      </c>
    </row>
    <row r="1266" spans="1:15" ht="17.25" thickBot="1" x14ac:dyDescent="0.35"/>
    <row r="1267" spans="1:15" ht="16.5" customHeight="1" x14ac:dyDescent="0.3">
      <c r="A1267" s="16" t="s">
        <v>262</v>
      </c>
      <c r="B1267" s="18"/>
      <c r="C1267" s="18"/>
      <c r="D1267" s="18"/>
      <c r="E1267" s="18"/>
      <c r="F1267" s="18"/>
      <c r="G1267" s="18"/>
      <c r="H1267" s="18"/>
    </row>
    <row r="1268" spans="1:15" ht="16.5" customHeight="1" x14ac:dyDescent="0.3">
      <c r="A1268" s="17" t="s">
        <v>249</v>
      </c>
      <c r="B1268" s="19" t="s">
        <v>17</v>
      </c>
      <c r="C1268" s="19" t="s">
        <v>239</v>
      </c>
      <c r="D1268" s="19" t="s">
        <v>94</v>
      </c>
      <c r="E1268" s="19" t="s">
        <v>240</v>
      </c>
      <c r="F1268" s="3" t="s">
        <v>241</v>
      </c>
      <c r="G1268" s="19" t="s">
        <v>243</v>
      </c>
      <c r="H1268" s="19"/>
    </row>
    <row r="1269" spans="1:15" x14ac:dyDescent="0.3">
      <c r="A1269" s="17"/>
      <c r="B1269" s="19"/>
      <c r="C1269" s="19"/>
      <c r="D1269" s="19"/>
      <c r="E1269" s="19"/>
      <c r="F1269" s="3" t="s">
        <v>242</v>
      </c>
      <c r="G1269" s="19"/>
      <c r="H1269" s="19"/>
    </row>
    <row r="1270" spans="1:15" ht="17.25" thickBot="1" x14ac:dyDescent="0.35">
      <c r="A1270" s="6">
        <v>1</v>
      </c>
      <c r="B1270" s="3">
        <v>0</v>
      </c>
      <c r="C1270" s="11" t="s">
        <v>117</v>
      </c>
      <c r="D1270" s="2">
        <v>11084</v>
      </c>
      <c r="E1270" s="2">
        <v>35.324272000000001</v>
      </c>
      <c r="F1270" s="2">
        <v>8.6707999999999993E-2</v>
      </c>
      <c r="G1270" s="2">
        <v>35.154253099999998</v>
      </c>
      <c r="H1270" s="2">
        <v>35.494290100000001</v>
      </c>
      <c r="J1270" t="str">
        <f t="shared" ref="J1270:J1281" si="47">TEXT(E1270,"0.00")&amp;" ("&amp;TEXT(G1270,"0.00")&amp;" to "&amp;TEXT(H1270,"0.00")&amp;")"</f>
        <v>35.32 (35.15 to 35.49)</v>
      </c>
      <c r="K1270" t="str">
        <f>J1272</f>
        <v>35.22 (35.04 to 35.41)</v>
      </c>
      <c r="L1270" t="str">
        <f>J1274</f>
        <v>35.01 (34.84 to 35.19)</v>
      </c>
      <c r="M1270" t="str">
        <f>J1276</f>
        <v>35.23 (35.06 to 35.41)</v>
      </c>
      <c r="N1270" t="str">
        <f>J1278</f>
        <v>35.27 (35.08 to 35.46)</v>
      </c>
      <c r="O1270" t="str">
        <f>J1280</f>
        <v>34.75 (34.37 to 35.13)</v>
      </c>
    </row>
    <row r="1271" spans="1:15" ht="17.25" thickBot="1" x14ac:dyDescent="0.35">
      <c r="A1271" s="6"/>
      <c r="B1271" s="3">
        <v>1</v>
      </c>
      <c r="C1271" s="11" t="s">
        <v>117</v>
      </c>
      <c r="D1271" s="2">
        <v>831</v>
      </c>
      <c r="E1271" s="2">
        <v>39.402906000000002</v>
      </c>
      <c r="F1271" s="2">
        <v>0.27689599999999998</v>
      </c>
      <c r="G1271" s="2">
        <v>38.859965600000002</v>
      </c>
      <c r="H1271" s="2">
        <v>39.945845800000001</v>
      </c>
      <c r="J1271" t="str">
        <f t="shared" si="47"/>
        <v>39.40 (38.86 to 39.95)</v>
      </c>
      <c r="K1271" t="str">
        <f>J1273</f>
        <v>39.39 (38.94 to 39.84)</v>
      </c>
      <c r="L1271" t="str">
        <f>J1275</f>
        <v>38.51 (38.04 to 38.97)</v>
      </c>
      <c r="M1271" t="str">
        <f>J1277</f>
        <v>38.79 (38.44 to 39.14)</v>
      </c>
      <c r="N1271" t="str">
        <f>J1279</f>
        <v>38.41 (38.06 to 38.76)</v>
      </c>
      <c r="O1271" t="str">
        <f>J1281</f>
        <v>37.09 (36.55 to 37.62)</v>
      </c>
    </row>
    <row r="1272" spans="1:15" ht="17.25" thickBot="1" x14ac:dyDescent="0.35">
      <c r="A1272" s="6">
        <v>2</v>
      </c>
      <c r="B1272" s="3">
        <v>0</v>
      </c>
      <c r="C1272" s="11" t="s">
        <v>117</v>
      </c>
      <c r="D1272" s="2">
        <v>11761</v>
      </c>
      <c r="E1272" s="2">
        <v>35.224594000000003</v>
      </c>
      <c r="F1272" s="2">
        <v>9.3162999999999996E-2</v>
      </c>
      <c r="G1272" s="2">
        <v>35.041918299999999</v>
      </c>
      <c r="H1272" s="2">
        <v>35.407270199999999</v>
      </c>
      <c r="J1272" t="str">
        <f t="shared" si="47"/>
        <v>35.22 (35.04 to 35.41)</v>
      </c>
    </row>
    <row r="1273" spans="1:15" ht="17.25" thickBot="1" x14ac:dyDescent="0.35">
      <c r="A1273" s="6"/>
      <c r="B1273" s="3">
        <v>1</v>
      </c>
      <c r="C1273" s="11" t="s">
        <v>117</v>
      </c>
      <c r="D1273" s="2">
        <v>1355</v>
      </c>
      <c r="E1273" s="2">
        <v>39.392170999999998</v>
      </c>
      <c r="F1273" s="2">
        <v>0.22999600000000001</v>
      </c>
      <c r="G1273" s="2">
        <v>38.941192700000002</v>
      </c>
      <c r="H1273" s="2">
        <v>39.8431499</v>
      </c>
      <c r="J1273" t="str">
        <f t="shared" si="47"/>
        <v>39.39 (38.94 to 39.84)</v>
      </c>
    </row>
    <row r="1274" spans="1:15" ht="17.25" thickBot="1" x14ac:dyDescent="0.35">
      <c r="A1274" s="6">
        <v>3</v>
      </c>
      <c r="B1274" s="3">
        <v>0</v>
      </c>
      <c r="C1274" s="11" t="s">
        <v>117</v>
      </c>
      <c r="D1274" s="2">
        <v>9888</v>
      </c>
      <c r="E1274" s="2">
        <v>35.013123999999998</v>
      </c>
      <c r="F1274" s="2">
        <v>8.9151999999999995E-2</v>
      </c>
      <c r="G1274" s="2">
        <v>34.838312500000001</v>
      </c>
      <c r="H1274" s="2">
        <v>35.187934499999997</v>
      </c>
      <c r="J1274" t="str">
        <f t="shared" si="47"/>
        <v>35.01 (34.84 to 35.19)</v>
      </c>
    </row>
    <row r="1275" spans="1:15" ht="17.25" thickBot="1" x14ac:dyDescent="0.35">
      <c r="A1275" s="6"/>
      <c r="B1275" s="3">
        <v>1</v>
      </c>
      <c r="C1275" s="11" t="s">
        <v>117</v>
      </c>
      <c r="D1275" s="2">
        <v>1587</v>
      </c>
      <c r="E1275" s="2">
        <v>38.508468000000001</v>
      </c>
      <c r="F1275" s="2">
        <v>0.2366</v>
      </c>
      <c r="G1275" s="2">
        <v>38.044539700000001</v>
      </c>
      <c r="H1275" s="2">
        <v>38.972396000000003</v>
      </c>
      <c r="J1275" t="str">
        <f t="shared" si="47"/>
        <v>38.51 (38.04 to 38.97)</v>
      </c>
    </row>
    <row r="1276" spans="1:15" ht="17.25" thickBot="1" x14ac:dyDescent="0.35">
      <c r="A1276" s="6">
        <v>4</v>
      </c>
      <c r="B1276" s="3">
        <v>0</v>
      </c>
      <c r="C1276" s="11" t="s">
        <v>117</v>
      </c>
      <c r="D1276" s="2">
        <v>11727</v>
      </c>
      <c r="E1276" s="2">
        <v>35.230476000000003</v>
      </c>
      <c r="F1276" s="2">
        <v>8.9291999999999996E-2</v>
      </c>
      <c r="G1276" s="2">
        <v>35.0553916</v>
      </c>
      <c r="H1276" s="2">
        <v>35.405560800000003</v>
      </c>
      <c r="J1276" t="str">
        <f t="shared" si="47"/>
        <v>35.23 (35.06 to 35.41)</v>
      </c>
    </row>
    <row r="1277" spans="1:15" ht="17.25" thickBot="1" x14ac:dyDescent="0.35">
      <c r="A1277" s="6"/>
      <c r="B1277" s="3">
        <v>1</v>
      </c>
      <c r="C1277" s="11" t="s">
        <v>117</v>
      </c>
      <c r="D1277" s="2">
        <v>2431</v>
      </c>
      <c r="E1277" s="2">
        <v>38.790672000000001</v>
      </c>
      <c r="F1277" s="2">
        <v>0.18035799999999999</v>
      </c>
      <c r="G1277" s="2">
        <v>38.4370245</v>
      </c>
      <c r="H1277" s="2">
        <v>39.144320399999998</v>
      </c>
      <c r="J1277" t="str">
        <f t="shared" si="47"/>
        <v>38.79 (38.44 to 39.14)</v>
      </c>
    </row>
    <row r="1278" spans="1:15" ht="17.25" thickBot="1" x14ac:dyDescent="0.35">
      <c r="A1278" s="6">
        <v>5</v>
      </c>
      <c r="B1278" s="3">
        <v>0</v>
      </c>
      <c r="C1278" s="11" t="s">
        <v>117</v>
      </c>
      <c r="D1278" s="2">
        <v>10784</v>
      </c>
      <c r="E1278" s="2">
        <v>35.266514000000001</v>
      </c>
      <c r="F1278" s="2">
        <v>9.6296000000000007E-2</v>
      </c>
      <c r="G1278" s="2">
        <v>35.077695900000002</v>
      </c>
      <c r="H1278" s="2">
        <v>35.455333000000003</v>
      </c>
      <c r="J1278" t="str">
        <f t="shared" si="47"/>
        <v>35.27 (35.08 to 35.46)</v>
      </c>
    </row>
    <row r="1279" spans="1:15" ht="17.25" thickBot="1" x14ac:dyDescent="0.35">
      <c r="A1279" s="6"/>
      <c r="B1279" s="3">
        <v>1</v>
      </c>
      <c r="C1279" s="11" t="s">
        <v>117</v>
      </c>
      <c r="D1279" s="2">
        <v>2771</v>
      </c>
      <c r="E1279" s="2">
        <v>38.409151999999999</v>
      </c>
      <c r="F1279" s="2">
        <v>0.17642099999999999</v>
      </c>
      <c r="G1279" s="2">
        <v>38.063222799999998</v>
      </c>
      <c r="H1279" s="2">
        <v>38.755081099999998</v>
      </c>
      <c r="J1279" t="str">
        <f t="shared" si="47"/>
        <v>38.41 (38.06 to 38.76)</v>
      </c>
    </row>
    <row r="1280" spans="1:15" ht="17.25" thickBot="1" x14ac:dyDescent="0.35">
      <c r="A1280" s="6">
        <v>6</v>
      </c>
      <c r="B1280" s="3">
        <v>0</v>
      </c>
      <c r="C1280" s="11" t="s">
        <v>117</v>
      </c>
      <c r="D1280" s="2">
        <v>3223</v>
      </c>
      <c r="E1280" s="2">
        <v>34.751662000000003</v>
      </c>
      <c r="F1280" s="2">
        <v>0.19340199999999999</v>
      </c>
      <c r="G1280" s="2">
        <v>34.3724366</v>
      </c>
      <c r="H1280" s="2">
        <v>35.130886500000003</v>
      </c>
      <c r="J1280" t="str">
        <f t="shared" si="47"/>
        <v>34.75 (34.37 to 35.13)</v>
      </c>
    </row>
    <row r="1281" spans="1:10" x14ac:dyDescent="0.3">
      <c r="A1281" s="6"/>
      <c r="B1281" s="3">
        <v>1</v>
      </c>
      <c r="C1281" s="14" t="s">
        <v>117</v>
      </c>
      <c r="D1281" s="2">
        <v>1193</v>
      </c>
      <c r="E1281" s="2">
        <v>37.088233000000002</v>
      </c>
      <c r="F1281" s="2">
        <v>0.27313300000000001</v>
      </c>
      <c r="G1281" s="2">
        <v>36.552670900000003</v>
      </c>
      <c r="H1281" s="2">
        <v>37.623794400000001</v>
      </c>
      <c r="J1281" t="str">
        <f t="shared" si="47"/>
        <v>37.09 (36.55 to 37.62)</v>
      </c>
    </row>
    <row r="1285" spans="1:10" x14ac:dyDescent="0.3">
      <c r="A1285" s="1" t="s">
        <v>237</v>
      </c>
    </row>
    <row r="1287" spans="1:10" x14ac:dyDescent="0.3">
      <c r="A1287" s="1" t="s">
        <v>1</v>
      </c>
    </row>
    <row r="1288" spans="1:10" ht="17.25" thickBot="1" x14ac:dyDescent="0.35"/>
    <row r="1289" spans="1:10" ht="16.5" customHeight="1" x14ac:dyDescent="0.3">
      <c r="A1289" s="16" t="s">
        <v>135</v>
      </c>
      <c r="B1289" s="18"/>
    </row>
    <row r="1290" spans="1:10" ht="26.25" thickBot="1" x14ac:dyDescent="0.35">
      <c r="A1290" s="12" t="s">
        <v>136</v>
      </c>
      <c r="B1290" s="2">
        <v>183</v>
      </c>
    </row>
    <row r="1291" spans="1:10" ht="26.25" thickBot="1" x14ac:dyDescent="0.35">
      <c r="A1291" s="12" t="s">
        <v>137</v>
      </c>
      <c r="B1291" s="2">
        <v>2949</v>
      </c>
    </row>
    <row r="1292" spans="1:10" ht="39" thickBot="1" x14ac:dyDescent="0.35">
      <c r="A1292" s="12" t="s">
        <v>138</v>
      </c>
      <c r="B1292" s="2">
        <v>23222</v>
      </c>
    </row>
    <row r="1293" spans="1:10" ht="25.5" x14ac:dyDescent="0.3">
      <c r="A1293" s="13" t="s">
        <v>139</v>
      </c>
      <c r="B1293" s="2">
        <v>9036880.5199999996</v>
      </c>
    </row>
    <row r="1294" spans="1:10" ht="17.25" thickBot="1" x14ac:dyDescent="0.35"/>
    <row r="1295" spans="1:10" ht="33" customHeight="1" x14ac:dyDescent="0.3">
      <c r="A1295" s="16" t="s">
        <v>140</v>
      </c>
      <c r="B1295" s="18"/>
    </row>
    <row r="1296" spans="1:10" ht="33.75" thickBot="1" x14ac:dyDescent="0.35">
      <c r="A1296" s="12" t="s">
        <v>141</v>
      </c>
      <c r="B1296" s="2" t="s">
        <v>142</v>
      </c>
    </row>
    <row r="1297" spans="1:8" ht="25.5" x14ac:dyDescent="0.3">
      <c r="A1297" s="13" t="s">
        <v>143</v>
      </c>
      <c r="B1297" s="2" t="s">
        <v>144</v>
      </c>
    </row>
    <row r="1298" spans="1:8" ht="17.25" thickBot="1" x14ac:dyDescent="0.35"/>
    <row r="1299" spans="1:8" ht="16.5" customHeight="1" x14ac:dyDescent="0.3">
      <c r="A1299" s="16" t="s">
        <v>238</v>
      </c>
      <c r="B1299" s="18"/>
      <c r="C1299" s="18"/>
      <c r="D1299" s="18"/>
      <c r="E1299" s="18"/>
      <c r="F1299" s="18"/>
    </row>
    <row r="1300" spans="1:8" ht="16.5" customHeight="1" x14ac:dyDescent="0.3">
      <c r="A1300" s="17" t="s">
        <v>239</v>
      </c>
      <c r="B1300" s="19" t="s">
        <v>94</v>
      </c>
      <c r="C1300" s="19" t="s">
        <v>240</v>
      </c>
      <c r="D1300" s="3" t="s">
        <v>241</v>
      </c>
      <c r="E1300" s="19" t="s">
        <v>243</v>
      </c>
      <c r="F1300" s="19"/>
    </row>
    <row r="1301" spans="1:8" x14ac:dyDescent="0.3">
      <c r="A1301" s="17"/>
      <c r="B1301" s="19"/>
      <c r="C1301" s="19"/>
      <c r="D1301" s="3" t="s">
        <v>242</v>
      </c>
      <c r="E1301" s="19"/>
      <c r="F1301" s="19"/>
    </row>
    <row r="1302" spans="1:8" x14ac:dyDescent="0.3">
      <c r="A1302" s="13" t="s">
        <v>117</v>
      </c>
      <c r="B1302" s="2">
        <v>23222</v>
      </c>
      <c r="C1302" s="2">
        <v>33.805624000000002</v>
      </c>
      <c r="D1302" s="2">
        <v>7.0877999999999997E-2</v>
      </c>
      <c r="E1302" s="2">
        <v>33.666644300000002</v>
      </c>
      <c r="F1302" s="2">
        <v>33.944603299999997</v>
      </c>
    </row>
    <row r="1306" spans="1:8" x14ac:dyDescent="0.3">
      <c r="A1306" s="1" t="s">
        <v>237</v>
      </c>
    </row>
    <row r="1308" spans="1:8" x14ac:dyDescent="0.3">
      <c r="A1308" s="1" t="s">
        <v>1</v>
      </c>
    </row>
    <row r="1309" spans="1:8" ht="17.25" thickBot="1" x14ac:dyDescent="0.35"/>
    <row r="1310" spans="1:8" ht="16.5" customHeight="1" x14ac:dyDescent="0.3">
      <c r="A1310" s="16" t="s">
        <v>263</v>
      </c>
      <c r="B1310" s="18"/>
      <c r="C1310" s="18"/>
      <c r="D1310" s="18"/>
      <c r="E1310" s="18"/>
      <c r="F1310" s="18"/>
      <c r="G1310" s="18"/>
      <c r="H1310" s="18"/>
    </row>
    <row r="1311" spans="1:8" ht="16.5" customHeight="1" x14ac:dyDescent="0.3">
      <c r="A1311" s="17" t="s">
        <v>249</v>
      </c>
      <c r="B1311" s="19" t="s">
        <v>18</v>
      </c>
      <c r="C1311" s="19" t="s">
        <v>239</v>
      </c>
      <c r="D1311" s="19" t="s">
        <v>94</v>
      </c>
      <c r="E1311" s="19" t="s">
        <v>240</v>
      </c>
      <c r="F1311" s="3" t="s">
        <v>241</v>
      </c>
      <c r="G1311" s="19" t="s">
        <v>243</v>
      </c>
      <c r="H1311" s="19"/>
    </row>
    <row r="1312" spans="1:8" x14ac:dyDescent="0.3">
      <c r="A1312" s="17"/>
      <c r="B1312" s="19"/>
      <c r="C1312" s="19"/>
      <c r="D1312" s="19"/>
      <c r="E1312" s="19"/>
      <c r="F1312" s="3" t="s">
        <v>242</v>
      </c>
      <c r="G1312" s="19"/>
      <c r="H1312" s="19"/>
    </row>
    <row r="1313" spans="1:8" ht="17.25" thickBot="1" x14ac:dyDescent="0.35">
      <c r="A1313" s="6">
        <v>1</v>
      </c>
      <c r="B1313" s="3">
        <v>0</v>
      </c>
      <c r="C1313" s="11" t="s">
        <v>117</v>
      </c>
      <c r="D1313" s="2">
        <v>3649</v>
      </c>
      <c r="E1313" s="2">
        <v>34.348258999999999</v>
      </c>
      <c r="F1313" s="2">
        <v>0.18559999999999999</v>
      </c>
      <c r="G1313" s="2">
        <v>33.984330399999997</v>
      </c>
      <c r="H1313" s="2">
        <v>34.712188599999998</v>
      </c>
    </row>
    <row r="1314" spans="1:8" ht="17.25" thickBot="1" x14ac:dyDescent="0.35">
      <c r="A1314" s="6"/>
      <c r="B1314" s="3">
        <v>1</v>
      </c>
      <c r="C1314" s="11" t="s">
        <v>117</v>
      </c>
      <c r="D1314" s="2">
        <v>91</v>
      </c>
      <c r="E1314" s="2">
        <v>37.666956999999996</v>
      </c>
      <c r="F1314" s="2">
        <v>0.70707699999999996</v>
      </c>
      <c r="G1314" s="2">
        <v>36.280504399999998</v>
      </c>
      <c r="H1314" s="2">
        <v>39.0534094</v>
      </c>
    </row>
    <row r="1315" spans="1:8" ht="17.25" thickBot="1" x14ac:dyDescent="0.35">
      <c r="A1315" s="6">
        <v>2</v>
      </c>
      <c r="B1315" s="3">
        <v>0</v>
      </c>
      <c r="C1315" s="11" t="s">
        <v>117</v>
      </c>
      <c r="D1315" s="2">
        <v>4570</v>
      </c>
      <c r="E1315" s="2">
        <v>32.740540000000003</v>
      </c>
      <c r="F1315" s="2">
        <v>0.14244799999999999</v>
      </c>
      <c r="G1315" s="2">
        <v>32.461225599999999</v>
      </c>
      <c r="H1315" s="2">
        <v>33.019855399999997</v>
      </c>
    </row>
    <row r="1316" spans="1:8" ht="17.25" thickBot="1" x14ac:dyDescent="0.35">
      <c r="A1316" s="6"/>
      <c r="B1316" s="3">
        <v>1</v>
      </c>
      <c r="C1316" s="11" t="s">
        <v>117</v>
      </c>
      <c r="D1316" s="2">
        <v>73</v>
      </c>
      <c r="E1316" s="2">
        <v>38.981696999999997</v>
      </c>
      <c r="F1316" s="2">
        <v>0.83512900000000001</v>
      </c>
      <c r="G1316" s="2">
        <v>37.344156400000003</v>
      </c>
      <c r="H1316" s="2">
        <v>40.619236700000002</v>
      </c>
    </row>
    <row r="1317" spans="1:8" ht="17.25" thickBot="1" x14ac:dyDescent="0.35">
      <c r="A1317" s="6"/>
      <c r="B1317" s="3">
        <v>8</v>
      </c>
      <c r="C1317" s="11" t="s">
        <v>117</v>
      </c>
      <c r="D1317" s="2">
        <v>89</v>
      </c>
      <c r="E1317" s="2">
        <v>34.209161000000002</v>
      </c>
      <c r="F1317" s="2">
        <v>0.67508999999999997</v>
      </c>
      <c r="G1317" s="2">
        <v>32.885430599999999</v>
      </c>
      <c r="H1317" s="2">
        <v>35.532891900000003</v>
      </c>
    </row>
    <row r="1318" spans="1:8" ht="17.25" thickBot="1" x14ac:dyDescent="0.35">
      <c r="A1318" s="6">
        <v>3</v>
      </c>
      <c r="B1318" s="3">
        <v>0</v>
      </c>
      <c r="C1318" s="11" t="s">
        <v>117</v>
      </c>
      <c r="D1318" s="2">
        <v>3595</v>
      </c>
      <c r="E1318" s="2">
        <v>33.313307999999999</v>
      </c>
      <c r="F1318" s="2">
        <v>0.16173199999999999</v>
      </c>
      <c r="G1318" s="2">
        <v>32.996180500000001</v>
      </c>
      <c r="H1318" s="2">
        <v>33.630434800000003</v>
      </c>
    </row>
    <row r="1319" spans="1:8" ht="17.25" thickBot="1" x14ac:dyDescent="0.35">
      <c r="A1319" s="6"/>
      <c r="B1319" s="3">
        <v>1</v>
      </c>
      <c r="C1319" s="11" t="s">
        <v>117</v>
      </c>
      <c r="D1319" s="2">
        <v>73</v>
      </c>
      <c r="E1319" s="2">
        <v>38.158411999999998</v>
      </c>
      <c r="F1319" s="2">
        <v>0.75339199999999995</v>
      </c>
      <c r="G1319" s="2">
        <v>36.681145600000001</v>
      </c>
      <c r="H1319" s="2">
        <v>39.635679199999998</v>
      </c>
    </row>
    <row r="1320" spans="1:8" ht="17.25" thickBot="1" x14ac:dyDescent="0.35">
      <c r="A1320" s="6"/>
      <c r="B1320" s="3">
        <v>8</v>
      </c>
      <c r="C1320" s="11" t="s">
        <v>117</v>
      </c>
      <c r="D1320" s="2">
        <v>589</v>
      </c>
      <c r="E1320" s="2">
        <v>36.517049</v>
      </c>
      <c r="F1320" s="2">
        <v>0.40016699999999999</v>
      </c>
      <c r="G1320" s="2">
        <v>35.732392099999998</v>
      </c>
      <c r="H1320" s="2">
        <v>37.301705599999998</v>
      </c>
    </row>
    <row r="1321" spans="1:8" ht="17.25" thickBot="1" x14ac:dyDescent="0.35">
      <c r="A1321" s="6">
        <v>4</v>
      </c>
      <c r="B1321" s="3">
        <v>0</v>
      </c>
      <c r="C1321" s="11" t="s">
        <v>117</v>
      </c>
      <c r="D1321" s="2">
        <v>3853</v>
      </c>
      <c r="E1321" s="2">
        <v>33.242069000000001</v>
      </c>
      <c r="F1321" s="2">
        <v>0.16459199999999999</v>
      </c>
      <c r="G1321" s="2">
        <v>32.919333299999998</v>
      </c>
      <c r="H1321" s="2">
        <v>33.564804700000003</v>
      </c>
    </row>
    <row r="1322" spans="1:8" ht="17.25" thickBot="1" x14ac:dyDescent="0.35">
      <c r="A1322" s="6"/>
      <c r="B1322" s="3">
        <v>1</v>
      </c>
      <c r="C1322" s="11" t="s">
        <v>117</v>
      </c>
      <c r="D1322" s="2">
        <v>88</v>
      </c>
      <c r="E1322" s="2">
        <v>38.491453999999997</v>
      </c>
      <c r="F1322" s="2">
        <v>0.86543199999999998</v>
      </c>
      <c r="G1322" s="2">
        <v>36.794496100000003</v>
      </c>
      <c r="H1322" s="2">
        <v>40.188411799999997</v>
      </c>
    </row>
    <row r="1323" spans="1:8" ht="17.25" thickBot="1" x14ac:dyDescent="0.35">
      <c r="A1323" s="6"/>
      <c r="B1323" s="3">
        <v>8</v>
      </c>
      <c r="C1323" s="11" t="s">
        <v>117</v>
      </c>
      <c r="D1323" s="2">
        <v>615</v>
      </c>
      <c r="E1323" s="2">
        <v>36.713391999999999</v>
      </c>
      <c r="F1323" s="2">
        <v>0.34071800000000002</v>
      </c>
      <c r="G1323" s="2">
        <v>36.045304100000003</v>
      </c>
      <c r="H1323" s="2">
        <v>37.381480000000003</v>
      </c>
    </row>
    <row r="1324" spans="1:8" ht="17.25" thickBot="1" x14ac:dyDescent="0.35">
      <c r="A1324" s="6">
        <v>5</v>
      </c>
      <c r="B1324" s="3">
        <v>0</v>
      </c>
      <c r="C1324" s="11" t="s">
        <v>117</v>
      </c>
      <c r="D1324" s="2">
        <v>3543</v>
      </c>
      <c r="E1324" s="2">
        <v>33.792681000000002</v>
      </c>
      <c r="F1324" s="2">
        <v>0.19889399999999999</v>
      </c>
      <c r="G1324" s="2">
        <v>33.402684800000003</v>
      </c>
      <c r="H1324" s="2">
        <v>34.182676899999997</v>
      </c>
    </row>
    <row r="1325" spans="1:8" ht="17.25" thickBot="1" x14ac:dyDescent="0.35">
      <c r="A1325" s="6"/>
      <c r="B1325" s="3">
        <v>1</v>
      </c>
      <c r="C1325" s="11" t="s">
        <v>117</v>
      </c>
      <c r="D1325" s="2">
        <v>88</v>
      </c>
      <c r="E1325" s="2">
        <v>37.496434000000001</v>
      </c>
      <c r="F1325" s="2">
        <v>0.90474399999999999</v>
      </c>
      <c r="G1325" s="2">
        <v>35.722392499999998</v>
      </c>
      <c r="H1325" s="2">
        <v>39.2704752</v>
      </c>
    </row>
    <row r="1326" spans="1:8" ht="17.25" thickBot="1" x14ac:dyDescent="0.35">
      <c r="A1326" s="6"/>
      <c r="B1326" s="3">
        <v>8</v>
      </c>
      <c r="C1326" s="11" t="s">
        <v>117</v>
      </c>
      <c r="D1326" s="2">
        <v>870</v>
      </c>
      <c r="E1326" s="2">
        <v>36.139158000000002</v>
      </c>
      <c r="F1326" s="2">
        <v>0.34915099999999999</v>
      </c>
      <c r="G1326" s="2">
        <v>35.454534199999998</v>
      </c>
      <c r="H1326" s="2">
        <v>36.823781599999997</v>
      </c>
    </row>
    <row r="1327" spans="1:8" ht="17.25" thickBot="1" x14ac:dyDescent="0.35">
      <c r="A1327" s="6">
        <v>6</v>
      </c>
      <c r="B1327" s="3">
        <v>0</v>
      </c>
      <c r="C1327" s="11" t="s">
        <v>117</v>
      </c>
      <c r="D1327" s="2">
        <v>1045</v>
      </c>
      <c r="E1327" s="2">
        <v>32.583815000000001</v>
      </c>
      <c r="F1327" s="2">
        <v>0.33170100000000002</v>
      </c>
      <c r="G1327" s="2">
        <v>31.933408199999999</v>
      </c>
      <c r="H1327" s="2">
        <v>33.234221599999998</v>
      </c>
    </row>
    <row r="1328" spans="1:8" ht="17.25" thickBot="1" x14ac:dyDescent="0.35">
      <c r="A1328" s="6"/>
      <c r="B1328" s="3">
        <v>1</v>
      </c>
      <c r="C1328" s="11" t="s">
        <v>117</v>
      </c>
      <c r="D1328" s="2">
        <v>27</v>
      </c>
      <c r="E1328" s="2">
        <v>35.388272000000001</v>
      </c>
      <c r="F1328" s="2">
        <v>1.6159809999999999</v>
      </c>
      <c r="G1328" s="2">
        <v>32.2196213</v>
      </c>
      <c r="H1328" s="2">
        <v>38.556922200000002</v>
      </c>
    </row>
    <row r="1329" spans="1:8" x14ac:dyDescent="0.3">
      <c r="A1329" s="6"/>
      <c r="B1329" s="3">
        <v>8</v>
      </c>
      <c r="C1329" s="14" t="s">
        <v>117</v>
      </c>
      <c r="D1329" s="2">
        <v>364</v>
      </c>
      <c r="E1329" s="2">
        <v>35.641064999999998</v>
      </c>
      <c r="F1329" s="2">
        <v>0.520065</v>
      </c>
      <c r="G1329" s="2">
        <v>34.621309199999999</v>
      </c>
      <c r="H1329" s="2">
        <v>36.660820299999997</v>
      </c>
    </row>
    <row r="1333" spans="1:8" x14ac:dyDescent="0.3">
      <c r="A1333" s="1" t="s">
        <v>237</v>
      </c>
    </row>
    <row r="1335" spans="1:8" x14ac:dyDescent="0.3">
      <c r="A1335" s="1" t="s">
        <v>21</v>
      </c>
    </row>
    <row r="1336" spans="1:8" ht="17.25" thickBot="1" x14ac:dyDescent="0.35"/>
    <row r="1337" spans="1:8" ht="16.5" customHeight="1" x14ac:dyDescent="0.3">
      <c r="A1337" s="16" t="s">
        <v>135</v>
      </c>
      <c r="B1337" s="18"/>
    </row>
    <row r="1338" spans="1:8" ht="26.25" thickBot="1" x14ac:dyDescent="0.35">
      <c r="A1338" s="12" t="s">
        <v>136</v>
      </c>
      <c r="B1338" s="2">
        <v>183</v>
      </c>
    </row>
    <row r="1339" spans="1:8" ht="26.25" thickBot="1" x14ac:dyDescent="0.35">
      <c r="A1339" s="12" t="s">
        <v>137</v>
      </c>
      <c r="B1339" s="2">
        <v>2982</v>
      </c>
    </row>
    <row r="1340" spans="1:8" ht="39" thickBot="1" x14ac:dyDescent="0.35">
      <c r="A1340" s="12" t="s">
        <v>138</v>
      </c>
      <c r="B1340" s="2">
        <v>68635</v>
      </c>
    </row>
    <row r="1341" spans="1:8" ht="25.5" x14ac:dyDescent="0.3">
      <c r="A1341" s="13" t="s">
        <v>139</v>
      </c>
      <c r="B1341" s="2">
        <v>30251935.699999999</v>
      </c>
    </row>
    <row r="1342" spans="1:8" ht="17.25" thickBot="1" x14ac:dyDescent="0.35"/>
    <row r="1343" spans="1:8" ht="33" customHeight="1" x14ac:dyDescent="0.3">
      <c r="A1343" s="16" t="s">
        <v>140</v>
      </c>
      <c r="B1343" s="18"/>
    </row>
    <row r="1344" spans="1:8" ht="33.75" thickBot="1" x14ac:dyDescent="0.35">
      <c r="A1344" s="12" t="s">
        <v>141</v>
      </c>
      <c r="B1344" s="2" t="s">
        <v>142</v>
      </c>
    </row>
    <row r="1345" spans="1:8" ht="25.5" x14ac:dyDescent="0.3">
      <c r="A1345" s="13" t="s">
        <v>143</v>
      </c>
      <c r="B1345" s="2" t="s">
        <v>144</v>
      </c>
    </row>
    <row r="1346" spans="1:8" ht="17.25" thickBot="1" x14ac:dyDescent="0.35"/>
    <row r="1347" spans="1:8" ht="16.5" customHeight="1" x14ac:dyDescent="0.3">
      <c r="A1347" s="16" t="s">
        <v>238</v>
      </c>
      <c r="B1347" s="18"/>
      <c r="C1347" s="18"/>
      <c r="D1347" s="18"/>
      <c r="E1347" s="18"/>
      <c r="F1347" s="18"/>
    </row>
    <row r="1348" spans="1:8" ht="16.5" customHeight="1" x14ac:dyDescent="0.3">
      <c r="A1348" s="17" t="s">
        <v>239</v>
      </c>
      <c r="B1348" s="19" t="s">
        <v>94</v>
      </c>
      <c r="C1348" s="19" t="s">
        <v>240</v>
      </c>
      <c r="D1348" s="3" t="s">
        <v>241</v>
      </c>
      <c r="E1348" s="19" t="s">
        <v>243</v>
      </c>
      <c r="F1348" s="19"/>
    </row>
    <row r="1349" spans="1:8" x14ac:dyDescent="0.3">
      <c r="A1349" s="17"/>
      <c r="B1349" s="19"/>
      <c r="C1349" s="19"/>
      <c r="D1349" s="3" t="s">
        <v>242</v>
      </c>
      <c r="E1349" s="19"/>
      <c r="F1349" s="19"/>
    </row>
    <row r="1350" spans="1:8" x14ac:dyDescent="0.3">
      <c r="A1350" s="13" t="s">
        <v>117</v>
      </c>
      <c r="B1350" s="2">
        <v>68635</v>
      </c>
      <c r="C1350" s="2">
        <v>35.601097000000003</v>
      </c>
      <c r="D1350" s="2">
        <v>3.8943999999999999E-2</v>
      </c>
      <c r="E1350" s="2">
        <v>35.524735800000002</v>
      </c>
      <c r="F1350" s="2">
        <v>35.677458399999999</v>
      </c>
    </row>
    <row r="1354" spans="1:8" x14ac:dyDescent="0.3">
      <c r="A1354" s="1" t="s">
        <v>237</v>
      </c>
    </row>
    <row r="1356" spans="1:8" x14ac:dyDescent="0.3">
      <c r="A1356" s="1" t="s">
        <v>21</v>
      </c>
    </row>
    <row r="1357" spans="1:8" ht="17.25" thickBot="1" x14ac:dyDescent="0.35"/>
    <row r="1358" spans="1:8" ht="16.5" customHeight="1" x14ac:dyDescent="0.3">
      <c r="A1358" s="16" t="s">
        <v>263</v>
      </c>
      <c r="B1358" s="18"/>
      <c r="C1358" s="18"/>
      <c r="D1358" s="18"/>
      <c r="E1358" s="18"/>
      <c r="F1358" s="18"/>
      <c r="G1358" s="18"/>
      <c r="H1358" s="18"/>
    </row>
    <row r="1359" spans="1:8" ht="16.5" customHeight="1" x14ac:dyDescent="0.3">
      <c r="A1359" s="17" t="s">
        <v>249</v>
      </c>
      <c r="B1359" s="19" t="s">
        <v>18</v>
      </c>
      <c r="C1359" s="19" t="s">
        <v>239</v>
      </c>
      <c r="D1359" s="19" t="s">
        <v>94</v>
      </c>
      <c r="E1359" s="19" t="s">
        <v>240</v>
      </c>
      <c r="F1359" s="3" t="s">
        <v>241</v>
      </c>
      <c r="G1359" s="19" t="s">
        <v>243</v>
      </c>
      <c r="H1359" s="19"/>
    </row>
    <row r="1360" spans="1:8" x14ac:dyDescent="0.3">
      <c r="A1360" s="17"/>
      <c r="B1360" s="19"/>
      <c r="C1360" s="19"/>
      <c r="D1360" s="19"/>
      <c r="E1360" s="19"/>
      <c r="F1360" s="3" t="s">
        <v>242</v>
      </c>
      <c r="G1360" s="19"/>
      <c r="H1360" s="19"/>
    </row>
    <row r="1361" spans="1:15" ht="17.25" thickBot="1" x14ac:dyDescent="0.35">
      <c r="A1361" s="6">
        <v>1</v>
      </c>
      <c r="B1361" s="3">
        <v>0</v>
      </c>
      <c r="C1361" s="11" t="s">
        <v>117</v>
      </c>
      <c r="D1361" s="2">
        <v>11691</v>
      </c>
      <c r="E1361" s="2">
        <v>35.545138000000001</v>
      </c>
      <c r="F1361" s="2">
        <v>8.5387000000000005E-2</v>
      </c>
      <c r="G1361" s="2">
        <v>35.377709199999998</v>
      </c>
      <c r="H1361" s="2">
        <v>35.712566799999998</v>
      </c>
      <c r="J1361" t="str">
        <f t="shared" ref="J1361:J1372" si="48">TEXT(E1361,"0.00")&amp;" ("&amp;TEXT(G1361,"0.00")&amp;" to "&amp;TEXT(H1361,"0.00")&amp;")"</f>
        <v>35.55 (35.38 to 35.71)</v>
      </c>
      <c r="K1361" t="str">
        <f>J1363</f>
        <v>35.52 (35.34 to 35.70)</v>
      </c>
      <c r="L1361" t="str">
        <f>J1365</f>
        <v>35.33 (35.17 to 35.50)</v>
      </c>
      <c r="M1361" t="str">
        <f>J1367</f>
        <v>35.71 (35.54 to 35.88)</v>
      </c>
      <c r="N1361" t="str">
        <f>J1369</f>
        <v>35.77 (35.59 to 35.96)</v>
      </c>
      <c r="O1361" t="str">
        <f>J1371</f>
        <v>35.26 (34.92 to 35.60)</v>
      </c>
    </row>
    <row r="1362" spans="1:15" ht="17.25" thickBot="1" x14ac:dyDescent="0.35">
      <c r="A1362" s="6"/>
      <c r="B1362" s="3">
        <v>1</v>
      </c>
      <c r="C1362" s="11" t="s">
        <v>117</v>
      </c>
      <c r="D1362" s="2">
        <v>224</v>
      </c>
      <c r="E1362" s="2">
        <v>38.064715</v>
      </c>
      <c r="F1362" s="2">
        <v>0.448436</v>
      </c>
      <c r="G1362" s="2">
        <v>37.185416400000001</v>
      </c>
      <c r="H1362" s="2">
        <v>38.9440138</v>
      </c>
      <c r="J1362" t="str">
        <f t="shared" si="48"/>
        <v>38.06 (37.19 to 38.94)</v>
      </c>
      <c r="K1362" t="str">
        <f>J1364</f>
        <v>37.91 (36.95 to 38.86)</v>
      </c>
      <c r="L1362" t="str">
        <f>J1366</f>
        <v>39.07 (38.00 to 40.13)</v>
      </c>
      <c r="M1362" t="str">
        <f>J1368</f>
        <v>37.55 (36.58 to 38.53)</v>
      </c>
      <c r="N1362" t="str">
        <f>J1370</f>
        <v>37.93 (36.91 to 38.94)</v>
      </c>
      <c r="O1362" t="str">
        <f>J1372</f>
        <v>37.27 (35.78 to 38.76)</v>
      </c>
    </row>
    <row r="1363" spans="1:15" ht="17.25" thickBot="1" x14ac:dyDescent="0.35">
      <c r="A1363" s="6">
        <v>2</v>
      </c>
      <c r="B1363" s="3">
        <v>0</v>
      </c>
      <c r="C1363" s="11" t="s">
        <v>117</v>
      </c>
      <c r="D1363" s="2">
        <v>12900</v>
      </c>
      <c r="E1363" s="2">
        <v>35.521500000000003</v>
      </c>
      <c r="F1363" s="2">
        <v>9.2085E-2</v>
      </c>
      <c r="G1363" s="2">
        <v>35.340939300000002</v>
      </c>
      <c r="H1363" s="2">
        <v>35.702060500000002</v>
      </c>
      <c r="J1363" t="str">
        <f t="shared" si="48"/>
        <v>35.52 (35.34 to 35.70)</v>
      </c>
    </row>
    <row r="1364" spans="1:15" ht="17.25" thickBot="1" x14ac:dyDescent="0.35">
      <c r="A1364" s="6"/>
      <c r="B1364" s="3">
        <v>1</v>
      </c>
      <c r="C1364" s="11" t="s">
        <v>117</v>
      </c>
      <c r="D1364" s="2">
        <v>216</v>
      </c>
      <c r="E1364" s="2">
        <v>37.907457000000001</v>
      </c>
      <c r="F1364" s="2">
        <v>0.48790299999999998</v>
      </c>
      <c r="G1364" s="2">
        <v>36.950771899999999</v>
      </c>
      <c r="H1364" s="2">
        <v>38.864142200000003</v>
      </c>
      <c r="J1364" t="str">
        <f t="shared" si="48"/>
        <v>37.91 (36.95 to 38.86)</v>
      </c>
    </row>
    <row r="1365" spans="1:15" ht="17.25" thickBot="1" x14ac:dyDescent="0.35">
      <c r="A1365" s="6">
        <v>3</v>
      </c>
      <c r="B1365" s="3">
        <v>0</v>
      </c>
      <c r="C1365" s="11" t="s">
        <v>117</v>
      </c>
      <c r="D1365" s="2">
        <v>11238</v>
      </c>
      <c r="E1365" s="2">
        <v>35.334356999999997</v>
      </c>
      <c r="F1365" s="2">
        <v>8.4413000000000002E-2</v>
      </c>
      <c r="G1365" s="2">
        <v>35.1688391</v>
      </c>
      <c r="H1365" s="2">
        <v>35.499874300000002</v>
      </c>
      <c r="J1365" t="str">
        <f t="shared" si="48"/>
        <v>35.33 (35.17 to 35.50)</v>
      </c>
    </row>
    <row r="1366" spans="1:15" ht="17.25" thickBot="1" x14ac:dyDescent="0.35">
      <c r="A1366" s="6"/>
      <c r="B1366" s="3">
        <v>1</v>
      </c>
      <c r="C1366" s="11" t="s">
        <v>117</v>
      </c>
      <c r="D1366" s="2">
        <v>237</v>
      </c>
      <c r="E1366" s="2">
        <v>39.065877999999998</v>
      </c>
      <c r="F1366" s="2">
        <v>0.54466099999999995</v>
      </c>
      <c r="G1366" s="2">
        <v>37.9978999</v>
      </c>
      <c r="H1366" s="2">
        <v>40.1338553</v>
      </c>
      <c r="J1366" t="str">
        <f t="shared" si="48"/>
        <v>39.07 (38.00 to 40.13)</v>
      </c>
    </row>
    <row r="1367" spans="1:15" ht="17.25" thickBot="1" x14ac:dyDescent="0.35">
      <c r="A1367" s="6">
        <v>4</v>
      </c>
      <c r="B1367" s="3">
        <v>0</v>
      </c>
      <c r="C1367" s="11" t="s">
        <v>117</v>
      </c>
      <c r="D1367" s="2">
        <v>13882</v>
      </c>
      <c r="E1367" s="2">
        <v>35.713298000000002</v>
      </c>
      <c r="F1367" s="2">
        <v>8.6813000000000001E-2</v>
      </c>
      <c r="G1367" s="2">
        <v>35.543073999999997</v>
      </c>
      <c r="H1367" s="2">
        <v>35.883521199999997</v>
      </c>
      <c r="J1367" t="str">
        <f t="shared" si="48"/>
        <v>35.71 (35.54 to 35.88)</v>
      </c>
    </row>
    <row r="1368" spans="1:15" ht="17.25" thickBot="1" x14ac:dyDescent="0.35">
      <c r="A1368" s="6"/>
      <c r="B1368" s="3">
        <v>1</v>
      </c>
      <c r="C1368" s="11" t="s">
        <v>117</v>
      </c>
      <c r="D1368" s="2">
        <v>276</v>
      </c>
      <c r="E1368" s="2">
        <v>37.552964000000003</v>
      </c>
      <c r="F1368" s="2">
        <v>0.49624099999999999</v>
      </c>
      <c r="G1368" s="2">
        <v>36.5799284</v>
      </c>
      <c r="H1368" s="2">
        <v>38.525999900000002</v>
      </c>
      <c r="J1368" t="str">
        <f t="shared" si="48"/>
        <v>37.55 (36.58 to 38.53)</v>
      </c>
    </row>
    <row r="1369" spans="1:15" ht="17.25" thickBot="1" x14ac:dyDescent="0.35">
      <c r="A1369" s="6">
        <v>5</v>
      </c>
      <c r="B1369" s="3">
        <v>0</v>
      </c>
      <c r="C1369" s="11" t="s">
        <v>117</v>
      </c>
      <c r="D1369" s="2">
        <v>13294</v>
      </c>
      <c r="E1369" s="2">
        <v>35.773833000000003</v>
      </c>
      <c r="F1369" s="2">
        <v>9.2455999999999997E-2</v>
      </c>
      <c r="G1369" s="2">
        <v>35.592544199999999</v>
      </c>
      <c r="H1369" s="2">
        <v>35.955121400000003</v>
      </c>
      <c r="J1369" t="str">
        <f t="shared" si="48"/>
        <v>35.77 (35.59 to 35.96)</v>
      </c>
    </row>
    <row r="1370" spans="1:15" ht="17.25" thickBot="1" x14ac:dyDescent="0.35">
      <c r="A1370" s="6"/>
      <c r="B1370" s="3">
        <v>1</v>
      </c>
      <c r="C1370" s="11" t="s">
        <v>117</v>
      </c>
      <c r="D1370" s="2">
        <v>261</v>
      </c>
      <c r="E1370" s="2">
        <v>37.928756999999997</v>
      </c>
      <c r="F1370" s="2">
        <v>0.51786100000000002</v>
      </c>
      <c r="G1370" s="2">
        <v>36.913329900000001</v>
      </c>
      <c r="H1370" s="2">
        <v>38.944184300000003</v>
      </c>
      <c r="J1370" t="str">
        <f t="shared" si="48"/>
        <v>37.93 (36.91 to 38.94)</v>
      </c>
    </row>
    <row r="1371" spans="1:15" ht="17.25" thickBot="1" x14ac:dyDescent="0.35">
      <c r="A1371" s="6">
        <v>6</v>
      </c>
      <c r="B1371" s="3">
        <v>0</v>
      </c>
      <c r="C1371" s="11" t="s">
        <v>117</v>
      </c>
      <c r="D1371" s="2">
        <v>4339</v>
      </c>
      <c r="E1371" s="2">
        <v>35.257519000000002</v>
      </c>
      <c r="F1371" s="2">
        <v>0.17361699999999999</v>
      </c>
      <c r="G1371" s="2">
        <v>34.917088900000003</v>
      </c>
      <c r="H1371" s="2">
        <v>35.597949100000001</v>
      </c>
      <c r="J1371" t="str">
        <f t="shared" si="48"/>
        <v>35.26 (34.92 to 35.60)</v>
      </c>
    </row>
    <row r="1372" spans="1:15" x14ac:dyDescent="0.3">
      <c r="A1372" s="6"/>
      <c r="B1372" s="3">
        <v>1</v>
      </c>
      <c r="C1372" s="14" t="s">
        <v>117</v>
      </c>
      <c r="D1372" s="2">
        <v>77</v>
      </c>
      <c r="E1372" s="2">
        <v>37.270190999999997</v>
      </c>
      <c r="F1372" s="2">
        <v>0.75796600000000003</v>
      </c>
      <c r="G1372" s="2">
        <v>35.783962099999997</v>
      </c>
      <c r="H1372" s="2">
        <v>38.756419200000003</v>
      </c>
      <c r="J1372" t="str">
        <f t="shared" si="48"/>
        <v>37.27 (35.78 to 38.76)</v>
      </c>
    </row>
    <row r="1376" spans="1:15" x14ac:dyDescent="0.3">
      <c r="A1376" s="1" t="s">
        <v>237</v>
      </c>
    </row>
    <row r="1378" spans="1:6" x14ac:dyDescent="0.3">
      <c r="A1378" s="1" t="s">
        <v>1</v>
      </c>
    </row>
    <row r="1379" spans="1:6" ht="17.25" thickBot="1" x14ac:dyDescent="0.35"/>
    <row r="1380" spans="1:6" ht="16.5" customHeight="1" x14ac:dyDescent="0.3">
      <c r="A1380" s="16" t="s">
        <v>135</v>
      </c>
      <c r="B1380" s="18"/>
    </row>
    <row r="1381" spans="1:6" ht="26.25" thickBot="1" x14ac:dyDescent="0.35">
      <c r="A1381" s="12" t="s">
        <v>136</v>
      </c>
      <c r="B1381" s="2">
        <v>183</v>
      </c>
    </row>
    <row r="1382" spans="1:6" ht="26.25" thickBot="1" x14ac:dyDescent="0.35">
      <c r="A1382" s="12" t="s">
        <v>137</v>
      </c>
      <c r="B1382" s="2">
        <v>2949</v>
      </c>
    </row>
    <row r="1383" spans="1:6" ht="39" thickBot="1" x14ac:dyDescent="0.35">
      <c r="A1383" s="12" t="s">
        <v>138</v>
      </c>
      <c r="B1383" s="2">
        <v>23222</v>
      </c>
    </row>
    <row r="1384" spans="1:6" ht="25.5" x14ac:dyDescent="0.3">
      <c r="A1384" s="13" t="s">
        <v>139</v>
      </c>
      <c r="B1384" s="2">
        <v>9036880.5199999996</v>
      </c>
    </row>
    <row r="1385" spans="1:6" ht="17.25" thickBot="1" x14ac:dyDescent="0.35"/>
    <row r="1386" spans="1:6" ht="33" customHeight="1" x14ac:dyDescent="0.3">
      <c r="A1386" s="16" t="s">
        <v>140</v>
      </c>
      <c r="B1386" s="18"/>
    </row>
    <row r="1387" spans="1:6" ht="33.75" thickBot="1" x14ac:dyDescent="0.35">
      <c r="A1387" s="12" t="s">
        <v>141</v>
      </c>
      <c r="B1387" s="2" t="s">
        <v>142</v>
      </c>
    </row>
    <row r="1388" spans="1:6" ht="25.5" x14ac:dyDescent="0.3">
      <c r="A1388" s="13" t="s">
        <v>143</v>
      </c>
      <c r="B1388" s="2" t="s">
        <v>144</v>
      </c>
    </row>
    <row r="1389" spans="1:6" ht="17.25" thickBot="1" x14ac:dyDescent="0.35"/>
    <row r="1390" spans="1:6" ht="16.5" customHeight="1" x14ac:dyDescent="0.3">
      <c r="A1390" s="16" t="s">
        <v>238</v>
      </c>
      <c r="B1390" s="18"/>
      <c r="C1390" s="18"/>
      <c r="D1390" s="18"/>
      <c r="E1390" s="18"/>
      <c r="F1390" s="18"/>
    </row>
    <row r="1391" spans="1:6" ht="16.5" customHeight="1" x14ac:dyDescent="0.3">
      <c r="A1391" s="17" t="s">
        <v>239</v>
      </c>
      <c r="B1391" s="19" t="s">
        <v>94</v>
      </c>
      <c r="C1391" s="19" t="s">
        <v>240</v>
      </c>
      <c r="D1391" s="3" t="s">
        <v>241</v>
      </c>
      <c r="E1391" s="19" t="s">
        <v>243</v>
      </c>
      <c r="F1391" s="19"/>
    </row>
    <row r="1392" spans="1:6" x14ac:dyDescent="0.3">
      <c r="A1392" s="17"/>
      <c r="B1392" s="19"/>
      <c r="C1392" s="19"/>
      <c r="D1392" s="3" t="s">
        <v>242</v>
      </c>
      <c r="E1392" s="19"/>
      <c r="F1392" s="19"/>
    </row>
    <row r="1393" spans="1:8" x14ac:dyDescent="0.3">
      <c r="A1393" s="13" t="s">
        <v>117</v>
      </c>
      <c r="B1393" s="2">
        <v>23222</v>
      </c>
      <c r="C1393" s="2">
        <v>33.805624000000002</v>
      </c>
      <c r="D1393" s="2">
        <v>7.0877999999999997E-2</v>
      </c>
      <c r="E1393" s="2">
        <v>33.666644300000002</v>
      </c>
      <c r="F1393" s="2">
        <v>33.944603299999997</v>
      </c>
    </row>
    <row r="1397" spans="1:8" x14ac:dyDescent="0.3">
      <c r="A1397" s="1" t="s">
        <v>237</v>
      </c>
    </row>
    <row r="1399" spans="1:8" x14ac:dyDescent="0.3">
      <c r="A1399" s="1" t="s">
        <v>1</v>
      </c>
    </row>
    <row r="1400" spans="1:8" ht="17.25" thickBot="1" x14ac:dyDescent="0.35"/>
    <row r="1401" spans="1:8" ht="16.5" customHeight="1" x14ac:dyDescent="0.3">
      <c r="A1401" s="16" t="s">
        <v>264</v>
      </c>
      <c r="B1401" s="18"/>
      <c r="C1401" s="18"/>
      <c r="D1401" s="18"/>
      <c r="E1401" s="18"/>
      <c r="F1401" s="18"/>
      <c r="G1401" s="18"/>
      <c r="H1401" s="18"/>
    </row>
    <row r="1402" spans="1:8" ht="16.5" customHeight="1" x14ac:dyDescent="0.3">
      <c r="A1402" s="17" t="s">
        <v>249</v>
      </c>
      <c r="B1402" s="19" t="s">
        <v>19</v>
      </c>
      <c r="C1402" s="19" t="s">
        <v>239</v>
      </c>
      <c r="D1402" s="19" t="s">
        <v>94</v>
      </c>
      <c r="E1402" s="19" t="s">
        <v>240</v>
      </c>
      <c r="F1402" s="3" t="s">
        <v>241</v>
      </c>
      <c r="G1402" s="19" t="s">
        <v>243</v>
      </c>
      <c r="H1402" s="19"/>
    </row>
    <row r="1403" spans="1:8" x14ac:dyDescent="0.3">
      <c r="A1403" s="17"/>
      <c r="B1403" s="19"/>
      <c r="C1403" s="19"/>
      <c r="D1403" s="19"/>
      <c r="E1403" s="19"/>
      <c r="F1403" s="3" t="s">
        <v>242</v>
      </c>
      <c r="G1403" s="19"/>
      <c r="H1403" s="19"/>
    </row>
    <row r="1404" spans="1:8" ht="17.25" thickBot="1" x14ac:dyDescent="0.35">
      <c r="A1404" s="6">
        <v>1</v>
      </c>
      <c r="B1404" s="3">
        <v>0</v>
      </c>
      <c r="C1404" s="11" t="s">
        <v>117</v>
      </c>
      <c r="D1404" s="2">
        <v>3711</v>
      </c>
      <c r="E1404" s="2">
        <v>34.378562000000002</v>
      </c>
      <c r="F1404" s="2">
        <v>0.184003</v>
      </c>
      <c r="G1404" s="2">
        <v>34.017764499999998</v>
      </c>
      <c r="H1404" s="2">
        <v>34.739359899999997</v>
      </c>
    </row>
    <row r="1405" spans="1:8" ht="17.25" thickBot="1" x14ac:dyDescent="0.35">
      <c r="A1405" s="6"/>
      <c r="B1405" s="3">
        <v>1</v>
      </c>
      <c r="C1405" s="11" t="s">
        <v>117</v>
      </c>
      <c r="D1405" s="2">
        <v>29</v>
      </c>
      <c r="E1405" s="2">
        <v>38.733581999999998</v>
      </c>
      <c r="F1405" s="2">
        <v>1.671508</v>
      </c>
      <c r="G1405" s="2">
        <v>35.456051199999997</v>
      </c>
      <c r="H1405" s="2">
        <v>42.011112400000002</v>
      </c>
    </row>
    <row r="1406" spans="1:8" ht="17.25" thickBot="1" x14ac:dyDescent="0.35">
      <c r="A1406" s="6">
        <v>2</v>
      </c>
      <c r="B1406" s="3">
        <v>0</v>
      </c>
      <c r="C1406" s="11" t="s">
        <v>117</v>
      </c>
      <c r="D1406" s="2">
        <v>4616</v>
      </c>
      <c r="E1406" s="2">
        <v>32.785772999999999</v>
      </c>
      <c r="F1406" s="2">
        <v>0.14174400000000001</v>
      </c>
      <c r="G1406" s="2">
        <v>32.507839500000003</v>
      </c>
      <c r="H1406" s="2">
        <v>33.063707399999998</v>
      </c>
    </row>
    <row r="1407" spans="1:8" ht="17.25" thickBot="1" x14ac:dyDescent="0.35">
      <c r="A1407" s="6"/>
      <c r="B1407" s="3">
        <v>1</v>
      </c>
      <c r="C1407" s="11" t="s">
        <v>117</v>
      </c>
      <c r="D1407" s="2">
        <v>27</v>
      </c>
      <c r="E1407" s="2">
        <v>38.593505</v>
      </c>
      <c r="F1407" s="2">
        <v>2.038224</v>
      </c>
      <c r="G1407" s="2">
        <v>34.596910999999999</v>
      </c>
      <c r="H1407" s="2">
        <v>42.590099600000002</v>
      </c>
    </row>
    <row r="1408" spans="1:8" ht="17.25" thickBot="1" x14ac:dyDescent="0.35">
      <c r="A1408" s="6"/>
      <c r="B1408" s="3">
        <v>8</v>
      </c>
      <c r="C1408" s="11" t="s">
        <v>117</v>
      </c>
      <c r="D1408" s="2">
        <v>89</v>
      </c>
      <c r="E1408" s="2">
        <v>34.209161000000002</v>
      </c>
      <c r="F1408" s="2">
        <v>0.67508999999999997</v>
      </c>
      <c r="G1408" s="2">
        <v>32.885430599999999</v>
      </c>
      <c r="H1408" s="2">
        <v>35.532891900000003</v>
      </c>
    </row>
    <row r="1409" spans="1:8" ht="17.25" thickBot="1" x14ac:dyDescent="0.35">
      <c r="A1409" s="6">
        <v>3</v>
      </c>
      <c r="B1409" s="3">
        <v>0</v>
      </c>
      <c r="C1409" s="11" t="s">
        <v>117</v>
      </c>
      <c r="D1409" s="2">
        <v>3638</v>
      </c>
      <c r="E1409" s="2">
        <v>33.338287999999999</v>
      </c>
      <c r="F1409" s="2">
        <v>0.16081999999999999</v>
      </c>
      <c r="G1409" s="2">
        <v>33.022948999999997</v>
      </c>
      <c r="H1409" s="2">
        <v>33.653627</v>
      </c>
    </row>
    <row r="1410" spans="1:8" ht="17.25" thickBot="1" x14ac:dyDescent="0.35">
      <c r="A1410" s="6"/>
      <c r="B1410" s="3">
        <v>1</v>
      </c>
      <c r="C1410" s="11" t="s">
        <v>117</v>
      </c>
      <c r="D1410" s="2">
        <v>27</v>
      </c>
      <c r="E1410" s="2">
        <v>40.307898999999999</v>
      </c>
      <c r="F1410" s="2">
        <v>1.8407249999999999</v>
      </c>
      <c r="G1410" s="2">
        <v>36.698563800000002</v>
      </c>
      <c r="H1410" s="2">
        <v>43.917233500000002</v>
      </c>
    </row>
    <row r="1411" spans="1:8" ht="17.25" thickBot="1" x14ac:dyDescent="0.35">
      <c r="A1411" s="6"/>
      <c r="B1411" s="3">
        <v>8</v>
      </c>
      <c r="C1411" s="11" t="s">
        <v>117</v>
      </c>
      <c r="D1411" s="2">
        <v>592</v>
      </c>
      <c r="E1411" s="2">
        <v>36.506630000000001</v>
      </c>
      <c r="F1411" s="2">
        <v>0.39363599999999999</v>
      </c>
      <c r="G1411" s="2">
        <v>35.734779099999997</v>
      </c>
      <c r="H1411" s="2">
        <v>37.2784811</v>
      </c>
    </row>
    <row r="1412" spans="1:8" ht="17.25" thickBot="1" x14ac:dyDescent="0.35">
      <c r="A1412" s="6">
        <v>4</v>
      </c>
      <c r="B1412" s="3">
        <v>0</v>
      </c>
      <c r="C1412" s="11" t="s">
        <v>117</v>
      </c>
      <c r="D1412" s="2">
        <v>3905</v>
      </c>
      <c r="E1412" s="2">
        <v>33.291795999999998</v>
      </c>
      <c r="F1412" s="2">
        <v>0.165959</v>
      </c>
      <c r="G1412" s="2">
        <v>32.966379699999997</v>
      </c>
      <c r="H1412" s="2">
        <v>33.617212500000001</v>
      </c>
    </row>
    <row r="1413" spans="1:8" ht="17.25" thickBot="1" x14ac:dyDescent="0.35">
      <c r="A1413" s="6"/>
      <c r="B1413" s="3">
        <v>1</v>
      </c>
      <c r="C1413" s="11" t="s">
        <v>117</v>
      </c>
      <c r="D1413" s="2">
        <v>33</v>
      </c>
      <c r="E1413" s="2">
        <v>40.465516999999998</v>
      </c>
      <c r="F1413" s="2">
        <v>1.2490030000000001</v>
      </c>
      <c r="G1413" s="2">
        <v>38.016444800000002</v>
      </c>
      <c r="H1413" s="2">
        <v>42.914588500000001</v>
      </c>
    </row>
    <row r="1414" spans="1:8" ht="17.25" thickBot="1" x14ac:dyDescent="0.35">
      <c r="A1414" s="6"/>
      <c r="B1414" s="3">
        <v>8</v>
      </c>
      <c r="C1414" s="11" t="s">
        <v>117</v>
      </c>
      <c r="D1414" s="2">
        <v>618</v>
      </c>
      <c r="E1414" s="2">
        <v>36.706729000000003</v>
      </c>
      <c r="F1414" s="2">
        <v>0.33993099999999998</v>
      </c>
      <c r="G1414" s="2">
        <v>36.0401855</v>
      </c>
      <c r="H1414" s="2">
        <v>37.3732726</v>
      </c>
    </row>
    <row r="1415" spans="1:8" ht="17.25" thickBot="1" x14ac:dyDescent="0.35">
      <c r="A1415" s="6">
        <v>5</v>
      </c>
      <c r="B1415" s="3">
        <v>0</v>
      </c>
      <c r="C1415" s="11" t="s">
        <v>117</v>
      </c>
      <c r="D1415" s="2">
        <v>3585</v>
      </c>
      <c r="E1415" s="2">
        <v>33.816723000000003</v>
      </c>
      <c r="F1415" s="2">
        <v>0.196987</v>
      </c>
      <c r="G1415" s="2">
        <v>33.430465499999997</v>
      </c>
      <c r="H1415" s="2">
        <v>34.202979800000001</v>
      </c>
    </row>
    <row r="1416" spans="1:8" ht="17.25" thickBot="1" x14ac:dyDescent="0.35">
      <c r="A1416" s="6"/>
      <c r="B1416" s="3">
        <v>1</v>
      </c>
      <c r="C1416" s="11" t="s">
        <v>117</v>
      </c>
      <c r="D1416" s="2">
        <v>38</v>
      </c>
      <c r="E1416" s="2">
        <v>37.300463999999998</v>
      </c>
      <c r="F1416" s="2">
        <v>1.3255779999999999</v>
      </c>
      <c r="G1416" s="2">
        <v>34.701241199999998</v>
      </c>
      <c r="H1416" s="2">
        <v>39.8996876</v>
      </c>
    </row>
    <row r="1417" spans="1:8" ht="17.25" thickBot="1" x14ac:dyDescent="0.35">
      <c r="A1417" s="6"/>
      <c r="B1417" s="3">
        <v>8</v>
      </c>
      <c r="C1417" s="11" t="s">
        <v>117</v>
      </c>
      <c r="D1417" s="2">
        <v>878</v>
      </c>
      <c r="E1417" s="2">
        <v>36.168191999999998</v>
      </c>
      <c r="F1417" s="2">
        <v>0.34547800000000001</v>
      </c>
      <c r="G1417" s="2">
        <v>35.490770599999998</v>
      </c>
      <c r="H1417" s="2">
        <v>36.845612799999998</v>
      </c>
    </row>
    <row r="1418" spans="1:8" ht="17.25" thickBot="1" x14ac:dyDescent="0.35">
      <c r="A1418" s="6">
        <v>6</v>
      </c>
      <c r="B1418" s="3">
        <v>0</v>
      </c>
      <c r="C1418" s="11" t="s">
        <v>117</v>
      </c>
      <c r="D1418" s="2">
        <v>1060</v>
      </c>
      <c r="E1418" s="2">
        <v>32.611601999999998</v>
      </c>
      <c r="F1418" s="2">
        <v>0.33035999999999999</v>
      </c>
      <c r="G1418" s="2">
        <v>31.963825</v>
      </c>
      <c r="H1418" s="2">
        <v>33.259379500000001</v>
      </c>
    </row>
    <row r="1419" spans="1:8" ht="17.25" thickBot="1" x14ac:dyDescent="0.35">
      <c r="A1419" s="6"/>
      <c r="B1419" s="3">
        <v>1</v>
      </c>
      <c r="C1419" s="11" t="s">
        <v>117</v>
      </c>
      <c r="D1419" s="2">
        <v>11</v>
      </c>
      <c r="E1419" s="2">
        <v>35.667762000000003</v>
      </c>
      <c r="F1419" s="2">
        <v>2.1868270000000001</v>
      </c>
      <c r="G1419" s="2">
        <v>31.379782899999999</v>
      </c>
      <c r="H1419" s="2">
        <v>39.955741099999997</v>
      </c>
    </row>
    <row r="1420" spans="1:8" x14ac:dyDescent="0.3">
      <c r="A1420" s="6"/>
      <c r="B1420" s="3">
        <v>8</v>
      </c>
      <c r="C1420" s="14" t="s">
        <v>117</v>
      </c>
      <c r="D1420" s="2">
        <v>365</v>
      </c>
      <c r="E1420" s="2">
        <v>35.621043</v>
      </c>
      <c r="F1420" s="2">
        <v>0.51919400000000004</v>
      </c>
      <c r="G1420" s="2">
        <v>34.602996099999999</v>
      </c>
      <c r="H1420" s="2">
        <v>36.639090099999997</v>
      </c>
    </row>
    <row r="1424" spans="1:8" x14ac:dyDescent="0.3">
      <c r="A1424" s="1" t="s">
        <v>237</v>
      </c>
    </row>
    <row r="1426" spans="1:6" x14ac:dyDescent="0.3">
      <c r="A1426" s="1" t="s">
        <v>21</v>
      </c>
    </row>
    <row r="1427" spans="1:6" ht="17.25" thickBot="1" x14ac:dyDescent="0.35"/>
    <row r="1428" spans="1:6" ht="16.5" customHeight="1" x14ac:dyDescent="0.3">
      <c r="A1428" s="16" t="s">
        <v>135</v>
      </c>
      <c r="B1428" s="18"/>
    </row>
    <row r="1429" spans="1:6" ht="26.25" thickBot="1" x14ac:dyDescent="0.35">
      <c r="A1429" s="12" t="s">
        <v>136</v>
      </c>
      <c r="B1429" s="2">
        <v>183</v>
      </c>
    </row>
    <row r="1430" spans="1:6" ht="26.25" thickBot="1" x14ac:dyDescent="0.35">
      <c r="A1430" s="12" t="s">
        <v>137</v>
      </c>
      <c r="B1430" s="2">
        <v>2982</v>
      </c>
    </row>
    <row r="1431" spans="1:6" ht="39" thickBot="1" x14ac:dyDescent="0.35">
      <c r="A1431" s="12" t="s">
        <v>138</v>
      </c>
      <c r="B1431" s="2">
        <v>68635</v>
      </c>
    </row>
    <row r="1432" spans="1:6" ht="25.5" x14ac:dyDescent="0.3">
      <c r="A1432" s="13" t="s">
        <v>139</v>
      </c>
      <c r="B1432" s="2">
        <v>30251935.699999999</v>
      </c>
    </row>
    <row r="1433" spans="1:6" ht="17.25" thickBot="1" x14ac:dyDescent="0.35"/>
    <row r="1434" spans="1:6" ht="33" customHeight="1" x14ac:dyDescent="0.3">
      <c r="A1434" s="16" t="s">
        <v>140</v>
      </c>
      <c r="B1434" s="18"/>
    </row>
    <row r="1435" spans="1:6" ht="33.75" thickBot="1" x14ac:dyDescent="0.35">
      <c r="A1435" s="12" t="s">
        <v>141</v>
      </c>
      <c r="B1435" s="2" t="s">
        <v>142</v>
      </c>
    </row>
    <row r="1436" spans="1:6" ht="25.5" x14ac:dyDescent="0.3">
      <c r="A1436" s="13" t="s">
        <v>143</v>
      </c>
      <c r="B1436" s="2" t="s">
        <v>144</v>
      </c>
    </row>
    <row r="1437" spans="1:6" ht="17.25" thickBot="1" x14ac:dyDescent="0.35"/>
    <row r="1438" spans="1:6" ht="16.5" customHeight="1" x14ac:dyDescent="0.3">
      <c r="A1438" s="16" t="s">
        <v>238</v>
      </c>
      <c r="B1438" s="18"/>
      <c r="C1438" s="18"/>
      <c r="D1438" s="18"/>
      <c r="E1438" s="18"/>
      <c r="F1438" s="18"/>
    </row>
    <row r="1439" spans="1:6" ht="16.5" customHeight="1" x14ac:dyDescent="0.3">
      <c r="A1439" s="17" t="s">
        <v>239</v>
      </c>
      <c r="B1439" s="19" t="s">
        <v>94</v>
      </c>
      <c r="C1439" s="19" t="s">
        <v>240</v>
      </c>
      <c r="D1439" s="3" t="s">
        <v>241</v>
      </c>
      <c r="E1439" s="19" t="s">
        <v>243</v>
      </c>
      <c r="F1439" s="19"/>
    </row>
    <row r="1440" spans="1:6" x14ac:dyDescent="0.3">
      <c r="A1440" s="17"/>
      <c r="B1440" s="19"/>
      <c r="C1440" s="19"/>
      <c r="D1440" s="3" t="s">
        <v>242</v>
      </c>
      <c r="E1440" s="19"/>
      <c r="F1440" s="19"/>
    </row>
    <row r="1441" spans="1:15" x14ac:dyDescent="0.3">
      <c r="A1441" s="13" t="s">
        <v>117</v>
      </c>
      <c r="B1441" s="2">
        <v>68635</v>
      </c>
      <c r="C1441" s="2">
        <v>35.601097000000003</v>
      </c>
      <c r="D1441" s="2">
        <v>3.8943999999999999E-2</v>
      </c>
      <c r="E1441" s="2">
        <v>35.524735800000002</v>
      </c>
      <c r="F1441" s="2">
        <v>35.677458399999999</v>
      </c>
    </row>
    <row r="1445" spans="1:15" x14ac:dyDescent="0.3">
      <c r="A1445" s="1" t="s">
        <v>237</v>
      </c>
    </row>
    <row r="1447" spans="1:15" x14ac:dyDescent="0.3">
      <c r="A1447" s="1" t="s">
        <v>21</v>
      </c>
    </row>
    <row r="1448" spans="1:15" ht="17.25" thickBot="1" x14ac:dyDescent="0.35"/>
    <row r="1449" spans="1:15" ht="16.5" customHeight="1" x14ac:dyDescent="0.3">
      <c r="A1449" s="16" t="s">
        <v>264</v>
      </c>
      <c r="B1449" s="18"/>
      <c r="C1449" s="18"/>
      <c r="D1449" s="18"/>
      <c r="E1449" s="18"/>
      <c r="F1449" s="18"/>
      <c r="G1449" s="18"/>
      <c r="H1449" s="18"/>
    </row>
    <row r="1450" spans="1:15" ht="16.5" customHeight="1" x14ac:dyDescent="0.3">
      <c r="A1450" s="17" t="s">
        <v>249</v>
      </c>
      <c r="B1450" s="19" t="s">
        <v>19</v>
      </c>
      <c r="C1450" s="19" t="s">
        <v>239</v>
      </c>
      <c r="D1450" s="19" t="s">
        <v>94</v>
      </c>
      <c r="E1450" s="19" t="s">
        <v>240</v>
      </c>
      <c r="F1450" s="3" t="s">
        <v>241</v>
      </c>
      <c r="G1450" s="19" t="s">
        <v>243</v>
      </c>
      <c r="H1450" s="19"/>
    </row>
    <row r="1451" spans="1:15" x14ac:dyDescent="0.3">
      <c r="A1451" s="17"/>
      <c r="B1451" s="19"/>
      <c r="C1451" s="19"/>
      <c r="D1451" s="19"/>
      <c r="E1451" s="19"/>
      <c r="F1451" s="3" t="s">
        <v>242</v>
      </c>
      <c r="G1451" s="19"/>
      <c r="H1451" s="19"/>
    </row>
    <row r="1452" spans="1:15" ht="17.25" thickBot="1" x14ac:dyDescent="0.35">
      <c r="A1452" s="6">
        <v>1</v>
      </c>
      <c r="B1452" s="3">
        <v>0</v>
      </c>
      <c r="C1452" s="11" t="s">
        <v>117</v>
      </c>
      <c r="D1452" s="2">
        <v>11812</v>
      </c>
      <c r="E1452" s="2">
        <v>35.564534000000002</v>
      </c>
      <c r="F1452" s="2">
        <v>8.5434999999999997E-2</v>
      </c>
      <c r="G1452" s="2">
        <v>35.397013399999999</v>
      </c>
      <c r="H1452" s="2">
        <v>35.732055500000001</v>
      </c>
      <c r="J1452" t="str">
        <f t="shared" ref="J1452:J1463" si="49">TEXT(E1452,"0.00")&amp;" ("&amp;TEXT(G1452,"0.00")&amp;" to "&amp;TEXT(H1452,"0.00")&amp;")"</f>
        <v>35.56 (35.40 to 35.73)</v>
      </c>
      <c r="K1452" t="str">
        <f>J1454</f>
        <v>35.52 (35.34 to 35.70)</v>
      </c>
      <c r="L1452" t="str">
        <f>J1456</f>
        <v>35.37 (35.20 to 35.53)</v>
      </c>
      <c r="M1452" t="str">
        <f>J1458</f>
        <v>35.73 (35.55 to 35.90)</v>
      </c>
      <c r="N1452" t="str">
        <f>J1460</f>
        <v>35.78 (35.60 to 35.96)</v>
      </c>
      <c r="O1452" t="str">
        <f>J1462</f>
        <v>35.27 (34.93 to 35.60)</v>
      </c>
    </row>
    <row r="1453" spans="1:15" ht="17.25" thickBot="1" x14ac:dyDescent="0.35">
      <c r="A1453" s="6"/>
      <c r="B1453" s="3">
        <v>1</v>
      </c>
      <c r="C1453" s="11" t="s">
        <v>117</v>
      </c>
      <c r="D1453" s="2">
        <v>103</v>
      </c>
      <c r="E1453" s="2">
        <v>37.582341999999997</v>
      </c>
      <c r="F1453" s="2">
        <v>0.655752</v>
      </c>
      <c r="G1453" s="2">
        <v>36.296535200000001</v>
      </c>
      <c r="H1453" s="2">
        <v>38.8681494</v>
      </c>
      <c r="J1453" t="str">
        <f t="shared" si="49"/>
        <v>37.58 (36.30 to 38.87)</v>
      </c>
      <c r="K1453" t="str">
        <f>J1455</f>
        <v>39.82 (38.64 to 41.00)</v>
      </c>
      <c r="L1453" t="str">
        <f>J1457</f>
        <v>39.01 (37.69 to 40.32)</v>
      </c>
      <c r="M1453" t="str">
        <f>J1459</f>
        <v>37.69 (36.47 to 38.90)</v>
      </c>
      <c r="N1453" t="str">
        <f>J1461</f>
        <v>39.46 (37.73 to 41.18)</v>
      </c>
      <c r="O1453" t="str">
        <f>J1463</f>
        <v>37.90 (34.91 to 40.89)</v>
      </c>
    </row>
    <row r="1454" spans="1:15" ht="17.25" thickBot="1" x14ac:dyDescent="0.35">
      <c r="A1454" s="6">
        <v>2</v>
      </c>
      <c r="B1454" s="3">
        <v>0</v>
      </c>
      <c r="C1454" s="11" t="s">
        <v>117</v>
      </c>
      <c r="D1454" s="2">
        <v>13014</v>
      </c>
      <c r="E1454" s="2">
        <v>35.523404999999997</v>
      </c>
      <c r="F1454" s="2">
        <v>9.1179999999999997E-2</v>
      </c>
      <c r="G1454" s="2">
        <v>35.344618500000003</v>
      </c>
      <c r="H1454" s="2">
        <v>35.702192199999999</v>
      </c>
      <c r="J1454" t="str">
        <f t="shared" si="49"/>
        <v>35.52 (35.34 to 35.70)</v>
      </c>
    </row>
    <row r="1455" spans="1:15" ht="17.25" thickBot="1" x14ac:dyDescent="0.35">
      <c r="A1455" s="6"/>
      <c r="B1455" s="3">
        <v>1</v>
      </c>
      <c r="C1455" s="11" t="s">
        <v>117</v>
      </c>
      <c r="D1455" s="2">
        <v>102</v>
      </c>
      <c r="E1455" s="2">
        <v>39.817976000000002</v>
      </c>
      <c r="F1455" s="2">
        <v>0.60094000000000003</v>
      </c>
      <c r="G1455" s="2">
        <v>38.639645799999997</v>
      </c>
      <c r="H1455" s="2">
        <v>40.996305399999997</v>
      </c>
      <c r="J1455" t="str">
        <f t="shared" si="49"/>
        <v>39.82 (38.64 to 41.00)</v>
      </c>
    </row>
    <row r="1456" spans="1:15" ht="17.25" thickBot="1" x14ac:dyDescent="0.35">
      <c r="A1456" s="6">
        <v>3</v>
      </c>
      <c r="B1456" s="3">
        <v>0</v>
      </c>
      <c r="C1456" s="11" t="s">
        <v>117</v>
      </c>
      <c r="D1456" s="2">
        <v>11385</v>
      </c>
      <c r="E1456" s="2">
        <v>35.369031</v>
      </c>
      <c r="F1456" s="2">
        <v>8.4444000000000005E-2</v>
      </c>
      <c r="G1456" s="2">
        <v>35.203452400000003</v>
      </c>
      <c r="H1456" s="2">
        <v>35.534610399999998</v>
      </c>
      <c r="J1456" t="str">
        <f t="shared" si="49"/>
        <v>35.37 (35.20 to 35.53)</v>
      </c>
    </row>
    <row r="1457" spans="1:10" ht="17.25" thickBot="1" x14ac:dyDescent="0.35">
      <c r="A1457" s="6"/>
      <c r="B1457" s="3">
        <v>1</v>
      </c>
      <c r="C1457" s="11" t="s">
        <v>117</v>
      </c>
      <c r="D1457" s="2">
        <v>90</v>
      </c>
      <c r="E1457" s="2">
        <v>39.008356999999997</v>
      </c>
      <c r="F1457" s="2">
        <v>0.67016900000000001</v>
      </c>
      <c r="G1457" s="2">
        <v>37.6942819</v>
      </c>
      <c r="H1457" s="2">
        <v>40.322431299999998</v>
      </c>
      <c r="J1457" t="str">
        <f t="shared" si="49"/>
        <v>39.01 (37.69 to 40.32)</v>
      </c>
    </row>
    <row r="1458" spans="1:10" ht="17.25" thickBot="1" x14ac:dyDescent="0.35">
      <c r="A1458" s="6">
        <v>4</v>
      </c>
      <c r="B1458" s="3">
        <v>0</v>
      </c>
      <c r="C1458" s="11" t="s">
        <v>117</v>
      </c>
      <c r="D1458" s="2">
        <v>14006</v>
      </c>
      <c r="E1458" s="2">
        <v>35.725144999999998</v>
      </c>
      <c r="F1458" s="2">
        <v>8.6846000000000007E-2</v>
      </c>
      <c r="G1458" s="2">
        <v>35.554856999999998</v>
      </c>
      <c r="H1458" s="2">
        <v>35.895432800000002</v>
      </c>
      <c r="J1458" t="str">
        <f t="shared" si="49"/>
        <v>35.73 (35.55 to 35.90)</v>
      </c>
    </row>
    <row r="1459" spans="1:10" ht="17.25" thickBot="1" x14ac:dyDescent="0.35">
      <c r="A1459" s="6"/>
      <c r="B1459" s="3">
        <v>1</v>
      </c>
      <c r="C1459" s="11" t="s">
        <v>117</v>
      </c>
      <c r="D1459" s="2">
        <v>152</v>
      </c>
      <c r="E1459" s="2">
        <v>37.686278999999999</v>
      </c>
      <c r="F1459" s="2">
        <v>0.62152700000000005</v>
      </c>
      <c r="G1459" s="2">
        <v>36.4675814</v>
      </c>
      <c r="H1459" s="2">
        <v>38.9049762</v>
      </c>
      <c r="J1459" t="str">
        <f t="shared" si="49"/>
        <v>37.69 (36.47 to 38.90)</v>
      </c>
    </row>
    <row r="1460" spans="1:10" ht="17.25" thickBot="1" x14ac:dyDescent="0.35">
      <c r="A1460" s="6">
        <v>5</v>
      </c>
      <c r="B1460" s="3">
        <v>0</v>
      </c>
      <c r="C1460" s="11" t="s">
        <v>117</v>
      </c>
      <c r="D1460" s="2">
        <v>13405</v>
      </c>
      <c r="E1460" s="2">
        <v>35.776200000000003</v>
      </c>
      <c r="F1460" s="2">
        <v>9.2119999999999994E-2</v>
      </c>
      <c r="G1460" s="2">
        <v>35.595569900000001</v>
      </c>
      <c r="H1460" s="2">
        <v>35.956830199999999</v>
      </c>
      <c r="J1460" t="str">
        <f t="shared" si="49"/>
        <v>35.78 (35.60 to 35.96)</v>
      </c>
    </row>
    <row r="1461" spans="1:10" ht="17.25" thickBot="1" x14ac:dyDescent="0.35">
      <c r="A1461" s="6"/>
      <c r="B1461" s="3">
        <v>1</v>
      </c>
      <c r="C1461" s="11" t="s">
        <v>117</v>
      </c>
      <c r="D1461" s="2">
        <v>150</v>
      </c>
      <c r="E1461" s="2">
        <v>39.457768000000002</v>
      </c>
      <c r="F1461" s="2">
        <v>0.87879700000000005</v>
      </c>
      <c r="G1461" s="2">
        <v>37.734611600000001</v>
      </c>
      <c r="H1461" s="2">
        <v>41.180924099999999</v>
      </c>
      <c r="J1461" t="str">
        <f t="shared" si="49"/>
        <v>39.46 (37.73 to 41.18)</v>
      </c>
    </row>
    <row r="1462" spans="1:10" ht="17.25" thickBot="1" x14ac:dyDescent="0.35">
      <c r="A1462" s="6">
        <v>6</v>
      </c>
      <c r="B1462" s="3">
        <v>0</v>
      </c>
      <c r="C1462" s="11" t="s">
        <v>117</v>
      </c>
      <c r="D1462" s="2">
        <v>4376</v>
      </c>
      <c r="E1462" s="2">
        <v>35.265593000000003</v>
      </c>
      <c r="F1462" s="2">
        <v>0.17302600000000001</v>
      </c>
      <c r="G1462" s="2">
        <v>34.926322499999998</v>
      </c>
      <c r="H1462" s="2">
        <v>35.604863999999999</v>
      </c>
      <c r="J1462" t="str">
        <f t="shared" si="49"/>
        <v>35.27 (34.93 to 35.60)</v>
      </c>
    </row>
    <row r="1463" spans="1:10" x14ac:dyDescent="0.3">
      <c r="A1463" s="6"/>
      <c r="B1463" s="3">
        <v>1</v>
      </c>
      <c r="C1463" s="14" t="s">
        <v>117</v>
      </c>
      <c r="D1463" s="2">
        <v>40</v>
      </c>
      <c r="E1463" s="2">
        <v>37.899721</v>
      </c>
      <c r="F1463" s="2">
        <v>1.5240089999999999</v>
      </c>
      <c r="G1463" s="2">
        <v>34.911426400000003</v>
      </c>
      <c r="H1463" s="2">
        <v>40.888015299999999</v>
      </c>
      <c r="J1463" t="str">
        <f t="shared" si="49"/>
        <v>37.90 (34.91 to 40.89)</v>
      </c>
    </row>
    <row r="1467" spans="1:10" x14ac:dyDescent="0.3">
      <c r="A1467" s="1" t="s">
        <v>237</v>
      </c>
    </row>
    <row r="1469" spans="1:10" x14ac:dyDescent="0.3">
      <c r="A1469" s="1" t="s">
        <v>1</v>
      </c>
    </row>
    <row r="1470" spans="1:10" ht="17.25" thickBot="1" x14ac:dyDescent="0.35"/>
    <row r="1471" spans="1:10" ht="16.5" customHeight="1" x14ac:dyDescent="0.3">
      <c r="A1471" s="16" t="s">
        <v>135</v>
      </c>
      <c r="B1471" s="18"/>
    </row>
    <row r="1472" spans="1:10" ht="26.25" thickBot="1" x14ac:dyDescent="0.35">
      <c r="A1472" s="12" t="s">
        <v>136</v>
      </c>
      <c r="B1472" s="2">
        <v>183</v>
      </c>
    </row>
    <row r="1473" spans="1:6" ht="26.25" thickBot="1" x14ac:dyDescent="0.35">
      <c r="A1473" s="12" t="s">
        <v>137</v>
      </c>
      <c r="B1473" s="2">
        <v>2949</v>
      </c>
    </row>
    <row r="1474" spans="1:6" ht="39" thickBot="1" x14ac:dyDescent="0.35">
      <c r="A1474" s="12" t="s">
        <v>138</v>
      </c>
      <c r="B1474" s="2">
        <v>23222</v>
      </c>
    </row>
    <row r="1475" spans="1:6" ht="25.5" x14ac:dyDescent="0.3">
      <c r="A1475" s="13" t="s">
        <v>139</v>
      </c>
      <c r="B1475" s="2">
        <v>9036880.5199999996</v>
      </c>
    </row>
    <row r="1476" spans="1:6" ht="17.25" thickBot="1" x14ac:dyDescent="0.35"/>
    <row r="1477" spans="1:6" ht="33" customHeight="1" x14ac:dyDescent="0.3">
      <c r="A1477" s="16" t="s">
        <v>140</v>
      </c>
      <c r="B1477" s="18"/>
    </row>
    <row r="1478" spans="1:6" ht="33.75" thickBot="1" x14ac:dyDescent="0.35">
      <c r="A1478" s="12" t="s">
        <v>141</v>
      </c>
      <c r="B1478" s="2" t="s">
        <v>142</v>
      </c>
    </row>
    <row r="1479" spans="1:6" ht="25.5" x14ac:dyDescent="0.3">
      <c r="A1479" s="13" t="s">
        <v>143</v>
      </c>
      <c r="B1479" s="2" t="s">
        <v>144</v>
      </c>
    </row>
    <row r="1480" spans="1:6" ht="17.25" thickBot="1" x14ac:dyDescent="0.35"/>
    <row r="1481" spans="1:6" ht="16.5" customHeight="1" x14ac:dyDescent="0.3">
      <c r="A1481" s="16" t="s">
        <v>238</v>
      </c>
      <c r="B1481" s="18"/>
      <c r="C1481" s="18"/>
      <c r="D1481" s="18"/>
      <c r="E1481" s="18"/>
      <c r="F1481" s="18"/>
    </row>
    <row r="1482" spans="1:6" ht="16.5" customHeight="1" x14ac:dyDescent="0.3">
      <c r="A1482" s="17" t="s">
        <v>239</v>
      </c>
      <c r="B1482" s="19" t="s">
        <v>94</v>
      </c>
      <c r="C1482" s="19" t="s">
        <v>240</v>
      </c>
      <c r="D1482" s="3" t="s">
        <v>241</v>
      </c>
      <c r="E1482" s="19" t="s">
        <v>243</v>
      </c>
      <c r="F1482" s="19"/>
    </row>
    <row r="1483" spans="1:6" x14ac:dyDescent="0.3">
      <c r="A1483" s="17"/>
      <c r="B1483" s="19"/>
      <c r="C1483" s="19"/>
      <c r="D1483" s="3" t="s">
        <v>242</v>
      </c>
      <c r="E1483" s="19"/>
      <c r="F1483" s="19"/>
    </row>
    <row r="1484" spans="1:6" x14ac:dyDescent="0.3">
      <c r="A1484" s="13" t="s">
        <v>117</v>
      </c>
      <c r="B1484" s="2">
        <v>23222</v>
      </c>
      <c r="C1484" s="2">
        <v>33.805624000000002</v>
      </c>
      <c r="D1484" s="2">
        <v>7.0877999999999997E-2</v>
      </c>
      <c r="E1484" s="2">
        <v>33.666644300000002</v>
      </c>
      <c r="F1484" s="2">
        <v>33.944603299999997</v>
      </c>
    </row>
    <row r="1488" spans="1:6" x14ac:dyDescent="0.3">
      <c r="A1488" s="1" t="s">
        <v>237</v>
      </c>
    </row>
    <row r="1490" spans="1:8" x14ac:dyDescent="0.3">
      <c r="A1490" s="1" t="s">
        <v>1</v>
      </c>
    </row>
    <row r="1491" spans="1:8" ht="17.25" thickBot="1" x14ac:dyDescent="0.35"/>
    <row r="1492" spans="1:8" ht="16.5" customHeight="1" x14ac:dyDescent="0.3">
      <c r="A1492" s="16" t="s">
        <v>265</v>
      </c>
      <c r="B1492" s="18"/>
      <c r="C1492" s="18"/>
      <c r="D1492" s="18"/>
      <c r="E1492" s="18"/>
      <c r="F1492" s="18"/>
      <c r="G1492" s="18"/>
      <c r="H1492" s="18"/>
    </row>
    <row r="1493" spans="1:8" ht="16.5" customHeight="1" x14ac:dyDescent="0.3">
      <c r="A1493" s="17" t="s">
        <v>249</v>
      </c>
      <c r="B1493" s="19" t="s">
        <v>20</v>
      </c>
      <c r="C1493" s="19" t="s">
        <v>239</v>
      </c>
      <c r="D1493" s="19" t="s">
        <v>94</v>
      </c>
      <c r="E1493" s="19" t="s">
        <v>240</v>
      </c>
      <c r="F1493" s="3" t="s">
        <v>241</v>
      </c>
      <c r="G1493" s="19" t="s">
        <v>243</v>
      </c>
      <c r="H1493" s="19"/>
    </row>
    <row r="1494" spans="1:8" x14ac:dyDescent="0.3">
      <c r="A1494" s="17"/>
      <c r="B1494" s="19"/>
      <c r="C1494" s="19"/>
      <c r="D1494" s="19"/>
      <c r="E1494" s="19"/>
      <c r="F1494" s="3" t="s">
        <v>242</v>
      </c>
      <c r="G1494" s="19"/>
      <c r="H1494" s="19"/>
    </row>
    <row r="1495" spans="1:8" ht="17.25" thickBot="1" x14ac:dyDescent="0.35">
      <c r="A1495" s="6">
        <v>1</v>
      </c>
      <c r="B1495" s="3">
        <v>0</v>
      </c>
      <c r="C1495" s="11" t="s">
        <v>117</v>
      </c>
      <c r="D1495" s="2">
        <v>3687</v>
      </c>
      <c r="E1495" s="2">
        <v>34.353865999999996</v>
      </c>
      <c r="F1495" s="2">
        <v>0.18441399999999999</v>
      </c>
      <c r="G1495" s="2">
        <v>33.992264200000001</v>
      </c>
      <c r="H1495" s="2">
        <v>34.715468600000001</v>
      </c>
    </row>
    <row r="1496" spans="1:8" ht="17.25" thickBot="1" x14ac:dyDescent="0.35">
      <c r="A1496" s="6"/>
      <c r="B1496" s="3">
        <v>1</v>
      </c>
      <c r="C1496" s="11" t="s">
        <v>117</v>
      </c>
      <c r="D1496" s="2">
        <v>53</v>
      </c>
      <c r="E1496" s="2">
        <v>39.305281999999998</v>
      </c>
      <c r="F1496" s="2">
        <v>1.150161</v>
      </c>
      <c r="G1496" s="2">
        <v>37.050021600000001</v>
      </c>
      <c r="H1496" s="2">
        <v>41.560541800000003</v>
      </c>
    </row>
    <row r="1497" spans="1:8" ht="17.25" thickBot="1" x14ac:dyDescent="0.35">
      <c r="A1497" s="6">
        <v>2</v>
      </c>
      <c r="B1497" s="3">
        <v>0</v>
      </c>
      <c r="C1497" s="11" t="s">
        <v>117</v>
      </c>
      <c r="D1497" s="2">
        <v>4561</v>
      </c>
      <c r="E1497" s="2">
        <v>32.742483</v>
      </c>
      <c r="F1497" s="2">
        <v>0.14218600000000001</v>
      </c>
      <c r="G1497" s="2">
        <v>32.463681600000001</v>
      </c>
      <c r="H1497" s="2">
        <v>33.021284799999997</v>
      </c>
    </row>
    <row r="1498" spans="1:8" ht="17.25" thickBot="1" x14ac:dyDescent="0.35">
      <c r="A1498" s="6"/>
      <c r="B1498" s="3">
        <v>1</v>
      </c>
      <c r="C1498" s="11" t="s">
        <v>117</v>
      </c>
      <c r="D1498" s="2">
        <v>82</v>
      </c>
      <c r="E1498" s="2">
        <v>38.527645</v>
      </c>
      <c r="F1498" s="2">
        <v>0.747174</v>
      </c>
      <c r="G1498" s="2">
        <v>37.0625705</v>
      </c>
      <c r="H1498" s="2">
        <v>39.9927195</v>
      </c>
    </row>
    <row r="1499" spans="1:8" ht="17.25" thickBot="1" x14ac:dyDescent="0.35">
      <c r="A1499" s="6"/>
      <c r="B1499" s="3">
        <v>8</v>
      </c>
      <c r="C1499" s="11" t="s">
        <v>117</v>
      </c>
      <c r="D1499" s="2">
        <v>89</v>
      </c>
      <c r="E1499" s="2">
        <v>34.209161000000002</v>
      </c>
      <c r="F1499" s="2">
        <v>0.67508999999999997</v>
      </c>
      <c r="G1499" s="2">
        <v>32.885430599999999</v>
      </c>
      <c r="H1499" s="2">
        <v>35.532891900000003</v>
      </c>
    </row>
    <row r="1500" spans="1:8" ht="17.25" thickBot="1" x14ac:dyDescent="0.35">
      <c r="A1500" s="6">
        <v>3</v>
      </c>
      <c r="B1500" s="3">
        <v>0</v>
      </c>
      <c r="C1500" s="11" t="s">
        <v>117</v>
      </c>
      <c r="D1500" s="2">
        <v>3595</v>
      </c>
      <c r="E1500" s="2">
        <v>33.313302999999998</v>
      </c>
      <c r="F1500" s="2">
        <v>0.16162899999999999</v>
      </c>
      <c r="G1500" s="2">
        <v>32.996378200000002</v>
      </c>
      <c r="H1500" s="2">
        <v>33.630228000000002</v>
      </c>
    </row>
    <row r="1501" spans="1:8" ht="17.25" thickBot="1" x14ac:dyDescent="0.35">
      <c r="A1501" s="6"/>
      <c r="B1501" s="3">
        <v>1</v>
      </c>
      <c r="C1501" s="11" t="s">
        <v>117</v>
      </c>
      <c r="D1501" s="2">
        <v>70</v>
      </c>
      <c r="E1501" s="2">
        <v>38.053083000000001</v>
      </c>
      <c r="F1501" s="2">
        <v>0.69455800000000001</v>
      </c>
      <c r="G1501" s="2">
        <v>36.691178600000001</v>
      </c>
      <c r="H1501" s="2">
        <v>39.4149873</v>
      </c>
    </row>
    <row r="1502" spans="1:8" ht="17.25" thickBot="1" x14ac:dyDescent="0.35">
      <c r="A1502" s="6"/>
      <c r="B1502" s="3">
        <v>8</v>
      </c>
      <c r="C1502" s="11" t="s">
        <v>117</v>
      </c>
      <c r="D1502" s="2">
        <v>592</v>
      </c>
      <c r="E1502" s="2">
        <v>36.506630000000001</v>
      </c>
      <c r="F1502" s="2">
        <v>0.39363599999999999</v>
      </c>
      <c r="G1502" s="2">
        <v>35.734779099999997</v>
      </c>
      <c r="H1502" s="2">
        <v>37.2784811</v>
      </c>
    </row>
    <row r="1503" spans="1:8" ht="17.25" thickBot="1" x14ac:dyDescent="0.35">
      <c r="A1503" s="6">
        <v>4</v>
      </c>
      <c r="B1503" s="3">
        <v>0</v>
      </c>
      <c r="C1503" s="11" t="s">
        <v>117</v>
      </c>
      <c r="D1503" s="2">
        <v>3875</v>
      </c>
      <c r="E1503" s="2">
        <v>33.281109000000001</v>
      </c>
      <c r="F1503" s="2">
        <v>0.168293</v>
      </c>
      <c r="G1503" s="2">
        <v>32.951115600000001</v>
      </c>
      <c r="H1503" s="2">
        <v>33.611101499999997</v>
      </c>
    </row>
    <row r="1504" spans="1:8" ht="17.25" thickBot="1" x14ac:dyDescent="0.35">
      <c r="A1504" s="6"/>
      <c r="B1504" s="3">
        <v>1</v>
      </c>
      <c r="C1504" s="11" t="s">
        <v>117</v>
      </c>
      <c r="D1504" s="2">
        <v>62</v>
      </c>
      <c r="E1504" s="2">
        <v>38.024490999999998</v>
      </c>
      <c r="F1504" s="2">
        <v>0.87719000000000003</v>
      </c>
      <c r="G1504" s="2">
        <v>36.304477300000002</v>
      </c>
      <c r="H1504" s="2">
        <v>39.744504300000003</v>
      </c>
    </row>
    <row r="1505" spans="1:8" ht="17.25" thickBot="1" x14ac:dyDescent="0.35">
      <c r="A1505" s="6"/>
      <c r="B1505" s="3">
        <v>8</v>
      </c>
      <c r="C1505" s="11" t="s">
        <v>117</v>
      </c>
      <c r="D1505" s="2">
        <v>619</v>
      </c>
      <c r="E1505" s="2">
        <v>36.704017999999998</v>
      </c>
      <c r="F1505" s="2">
        <v>0.33987099999999998</v>
      </c>
      <c r="G1505" s="2">
        <v>36.037591399999997</v>
      </c>
      <c r="H1505" s="2">
        <v>37.3704447</v>
      </c>
    </row>
    <row r="1506" spans="1:8" ht="17.25" thickBot="1" x14ac:dyDescent="0.35">
      <c r="A1506" s="6">
        <v>5</v>
      </c>
      <c r="B1506" s="3">
        <v>0</v>
      </c>
      <c r="C1506" s="11" t="s">
        <v>117</v>
      </c>
      <c r="D1506" s="2">
        <v>3544</v>
      </c>
      <c r="E1506" s="2">
        <v>33.781325000000002</v>
      </c>
      <c r="F1506" s="2">
        <v>0.19724900000000001</v>
      </c>
      <c r="G1506" s="2">
        <v>33.394554900000003</v>
      </c>
      <c r="H1506" s="2">
        <v>34.168095600000001</v>
      </c>
    </row>
    <row r="1507" spans="1:8" ht="17.25" thickBot="1" x14ac:dyDescent="0.35">
      <c r="A1507" s="6"/>
      <c r="B1507" s="3">
        <v>1</v>
      </c>
      <c r="C1507" s="11" t="s">
        <v>117</v>
      </c>
      <c r="D1507" s="2">
        <v>79</v>
      </c>
      <c r="E1507" s="2">
        <v>37.564917999999999</v>
      </c>
      <c r="F1507" s="2">
        <v>0.77024099999999995</v>
      </c>
      <c r="G1507" s="2">
        <v>36.054611299999998</v>
      </c>
      <c r="H1507" s="2">
        <v>39.075223999999999</v>
      </c>
    </row>
    <row r="1508" spans="1:8" ht="17.25" thickBot="1" x14ac:dyDescent="0.35">
      <c r="A1508" s="6"/>
      <c r="B1508" s="3">
        <v>8</v>
      </c>
      <c r="C1508" s="11" t="s">
        <v>117</v>
      </c>
      <c r="D1508" s="2">
        <v>878</v>
      </c>
      <c r="E1508" s="2">
        <v>36.168191999999998</v>
      </c>
      <c r="F1508" s="2">
        <v>0.34547800000000001</v>
      </c>
      <c r="G1508" s="2">
        <v>35.490770599999998</v>
      </c>
      <c r="H1508" s="2">
        <v>36.845612799999998</v>
      </c>
    </row>
    <row r="1509" spans="1:8" ht="17.25" thickBot="1" x14ac:dyDescent="0.35">
      <c r="A1509" s="6">
        <v>6</v>
      </c>
      <c r="B1509" s="3">
        <v>0</v>
      </c>
      <c r="C1509" s="11" t="s">
        <v>117</v>
      </c>
      <c r="D1509" s="2">
        <v>1043</v>
      </c>
      <c r="E1509" s="2">
        <v>32.573306000000002</v>
      </c>
      <c r="F1509" s="2">
        <v>0.33036799999999999</v>
      </c>
      <c r="G1509" s="2">
        <v>31.925512999999999</v>
      </c>
      <c r="H1509" s="2">
        <v>33.2210994</v>
      </c>
    </row>
    <row r="1510" spans="1:8" ht="17.25" thickBot="1" x14ac:dyDescent="0.35">
      <c r="A1510" s="6"/>
      <c r="B1510" s="3">
        <v>1</v>
      </c>
      <c r="C1510" s="11" t="s">
        <v>117</v>
      </c>
      <c r="D1510" s="2">
        <v>26</v>
      </c>
      <c r="E1510" s="2">
        <v>36.439439</v>
      </c>
      <c r="F1510" s="2">
        <v>1.3878779999999999</v>
      </c>
      <c r="G1510" s="2">
        <v>33.718057100000003</v>
      </c>
      <c r="H1510" s="2">
        <v>39.160821200000001</v>
      </c>
    </row>
    <row r="1511" spans="1:8" x14ac:dyDescent="0.3">
      <c r="A1511" s="6"/>
      <c r="B1511" s="3">
        <v>8</v>
      </c>
      <c r="C1511" s="14" t="s">
        <v>117</v>
      </c>
      <c r="D1511" s="2">
        <v>367</v>
      </c>
      <c r="E1511" s="2">
        <v>35.620989999999999</v>
      </c>
      <c r="F1511" s="2">
        <v>0.51685800000000004</v>
      </c>
      <c r="G1511" s="2">
        <v>34.607523999999998</v>
      </c>
      <c r="H1511" s="2">
        <v>36.6344554</v>
      </c>
    </row>
    <row r="1515" spans="1:8" x14ac:dyDescent="0.3">
      <c r="A1515" s="1" t="s">
        <v>237</v>
      </c>
    </row>
    <row r="1517" spans="1:8" x14ac:dyDescent="0.3">
      <c r="A1517" s="1" t="s">
        <v>21</v>
      </c>
    </row>
    <row r="1518" spans="1:8" ht="17.25" thickBot="1" x14ac:dyDescent="0.35"/>
    <row r="1519" spans="1:8" ht="16.5" customHeight="1" x14ac:dyDescent="0.3">
      <c r="A1519" s="16" t="s">
        <v>135</v>
      </c>
      <c r="B1519" s="18"/>
    </row>
    <row r="1520" spans="1:8" ht="26.25" thickBot="1" x14ac:dyDescent="0.35">
      <c r="A1520" s="12" t="s">
        <v>136</v>
      </c>
      <c r="B1520" s="2">
        <v>183</v>
      </c>
    </row>
    <row r="1521" spans="1:6" ht="26.25" thickBot="1" x14ac:dyDescent="0.35">
      <c r="A1521" s="12" t="s">
        <v>137</v>
      </c>
      <c r="B1521" s="2">
        <v>2982</v>
      </c>
    </row>
    <row r="1522" spans="1:6" ht="39" thickBot="1" x14ac:dyDescent="0.35">
      <c r="A1522" s="12" t="s">
        <v>138</v>
      </c>
      <c r="B1522" s="2">
        <v>68635</v>
      </c>
    </row>
    <row r="1523" spans="1:6" ht="25.5" x14ac:dyDescent="0.3">
      <c r="A1523" s="13" t="s">
        <v>139</v>
      </c>
      <c r="B1523" s="2">
        <v>30251935.699999999</v>
      </c>
    </row>
    <row r="1524" spans="1:6" ht="17.25" thickBot="1" x14ac:dyDescent="0.35"/>
    <row r="1525" spans="1:6" ht="33" customHeight="1" x14ac:dyDescent="0.3">
      <c r="A1525" s="16" t="s">
        <v>140</v>
      </c>
      <c r="B1525" s="18"/>
    </row>
    <row r="1526" spans="1:6" ht="33.75" thickBot="1" x14ac:dyDescent="0.35">
      <c r="A1526" s="12" t="s">
        <v>141</v>
      </c>
      <c r="B1526" s="2" t="s">
        <v>142</v>
      </c>
    </row>
    <row r="1527" spans="1:6" ht="25.5" x14ac:dyDescent="0.3">
      <c r="A1527" s="13" t="s">
        <v>143</v>
      </c>
      <c r="B1527" s="2" t="s">
        <v>144</v>
      </c>
    </row>
    <row r="1528" spans="1:6" ht="17.25" thickBot="1" x14ac:dyDescent="0.35"/>
    <row r="1529" spans="1:6" ht="16.5" customHeight="1" x14ac:dyDescent="0.3">
      <c r="A1529" s="16" t="s">
        <v>238</v>
      </c>
      <c r="B1529" s="18"/>
      <c r="C1529" s="18"/>
      <c r="D1529" s="18"/>
      <c r="E1529" s="18"/>
      <c r="F1529" s="18"/>
    </row>
    <row r="1530" spans="1:6" ht="16.5" customHeight="1" x14ac:dyDescent="0.3">
      <c r="A1530" s="17" t="s">
        <v>239</v>
      </c>
      <c r="B1530" s="19" t="s">
        <v>94</v>
      </c>
      <c r="C1530" s="19" t="s">
        <v>240</v>
      </c>
      <c r="D1530" s="3" t="s">
        <v>241</v>
      </c>
      <c r="E1530" s="19" t="s">
        <v>243</v>
      </c>
      <c r="F1530" s="19"/>
    </row>
    <row r="1531" spans="1:6" x14ac:dyDescent="0.3">
      <c r="A1531" s="17"/>
      <c r="B1531" s="19"/>
      <c r="C1531" s="19"/>
      <c r="D1531" s="3" t="s">
        <v>242</v>
      </c>
      <c r="E1531" s="19"/>
      <c r="F1531" s="19"/>
    </row>
    <row r="1532" spans="1:6" x14ac:dyDescent="0.3">
      <c r="A1532" s="13" t="s">
        <v>117</v>
      </c>
      <c r="B1532" s="2">
        <v>68635</v>
      </c>
      <c r="C1532" s="2">
        <v>35.601097000000003</v>
      </c>
      <c r="D1532" s="2">
        <v>3.8943999999999999E-2</v>
      </c>
      <c r="E1532" s="2">
        <v>35.524735800000002</v>
      </c>
      <c r="F1532" s="2">
        <v>35.677458399999999</v>
      </c>
    </row>
    <row r="1536" spans="1:6" x14ac:dyDescent="0.3">
      <c r="A1536" s="1" t="s">
        <v>237</v>
      </c>
    </row>
    <row r="1538" spans="1:15" x14ac:dyDescent="0.3">
      <c r="A1538" s="1" t="s">
        <v>21</v>
      </c>
    </row>
    <row r="1539" spans="1:15" ht="17.25" thickBot="1" x14ac:dyDescent="0.35"/>
    <row r="1540" spans="1:15" ht="16.5" customHeight="1" x14ac:dyDescent="0.3">
      <c r="A1540" s="16" t="s">
        <v>265</v>
      </c>
      <c r="B1540" s="18"/>
      <c r="C1540" s="18"/>
      <c r="D1540" s="18"/>
      <c r="E1540" s="18"/>
      <c r="F1540" s="18"/>
      <c r="G1540" s="18"/>
      <c r="H1540" s="18"/>
    </row>
    <row r="1541" spans="1:15" ht="16.5" customHeight="1" x14ac:dyDescent="0.3">
      <c r="A1541" s="17" t="s">
        <v>249</v>
      </c>
      <c r="B1541" s="19" t="s">
        <v>20</v>
      </c>
      <c r="C1541" s="19" t="s">
        <v>239</v>
      </c>
      <c r="D1541" s="19" t="s">
        <v>94</v>
      </c>
      <c r="E1541" s="19" t="s">
        <v>240</v>
      </c>
      <c r="F1541" s="3" t="s">
        <v>241</v>
      </c>
      <c r="G1541" s="19" t="s">
        <v>243</v>
      </c>
      <c r="H1541" s="19"/>
    </row>
    <row r="1542" spans="1:15" x14ac:dyDescent="0.3">
      <c r="A1542" s="17"/>
      <c r="B1542" s="19"/>
      <c r="C1542" s="19"/>
      <c r="D1542" s="19"/>
      <c r="E1542" s="19"/>
      <c r="F1542" s="3" t="s">
        <v>242</v>
      </c>
      <c r="G1542" s="19"/>
      <c r="H1542" s="19"/>
    </row>
    <row r="1543" spans="1:15" ht="17.25" thickBot="1" x14ac:dyDescent="0.35">
      <c r="A1543" s="6">
        <v>1</v>
      </c>
      <c r="B1543" s="3">
        <v>0</v>
      </c>
      <c r="C1543" s="11" t="s">
        <v>117</v>
      </c>
      <c r="D1543" s="2">
        <v>11784</v>
      </c>
      <c r="E1543" s="2">
        <v>35.557080999999997</v>
      </c>
      <c r="F1543" s="2">
        <v>8.5584999999999994E-2</v>
      </c>
      <c r="G1543" s="2">
        <v>35.389264799999999</v>
      </c>
      <c r="H1543" s="2">
        <v>35.724898099999997</v>
      </c>
      <c r="J1543" t="str">
        <f t="shared" ref="J1543:J1554" si="50">TEXT(E1543,"0.00")&amp;" ("&amp;TEXT(G1543,"0.00")&amp;" to "&amp;TEXT(H1543,"0.00")&amp;")"</f>
        <v>35.56 (35.39 to 35.72)</v>
      </c>
      <c r="K1543" t="str">
        <f>J1545</f>
        <v>35.52 (35.34 to 35.70)</v>
      </c>
      <c r="L1543" t="str">
        <f>J1547</f>
        <v>35.37 (35.20 to 35.53)</v>
      </c>
      <c r="M1543" t="str">
        <f>J1549</f>
        <v>35.71 (35.54 to 35.88)</v>
      </c>
      <c r="N1543" t="str">
        <f>J1551</f>
        <v>35.76 (35.58 to 35.94)</v>
      </c>
      <c r="O1543" t="str">
        <f>J1553</f>
        <v>35.27 (34.92 to 35.61)</v>
      </c>
    </row>
    <row r="1544" spans="1:15" ht="17.25" thickBot="1" x14ac:dyDescent="0.35">
      <c r="A1544" s="6"/>
      <c r="B1544" s="3">
        <v>1</v>
      </c>
      <c r="C1544" s="11" t="s">
        <v>117</v>
      </c>
      <c r="D1544" s="2">
        <v>131</v>
      </c>
      <c r="E1544" s="2">
        <v>38.078477999999997</v>
      </c>
      <c r="F1544" s="2">
        <v>0.75844699999999998</v>
      </c>
      <c r="G1544" s="2">
        <v>36.591305499999997</v>
      </c>
      <c r="H1544" s="2">
        <v>39.565649999999998</v>
      </c>
      <c r="J1544" t="str">
        <f t="shared" si="50"/>
        <v>38.08 (36.59 to 39.57)</v>
      </c>
      <c r="K1544" t="str">
        <f>J1546</f>
        <v>37.97 (36.94 to 39.00)</v>
      </c>
      <c r="L1544" t="str">
        <f>J1548</f>
        <v>37.39 (36.20 to 38.58)</v>
      </c>
      <c r="M1544" t="str">
        <f>J1550</f>
        <v>38.17 (37.17 to 39.18)</v>
      </c>
      <c r="N1544" t="str">
        <f>J1552</f>
        <v>38.94 (37.89 to 39.98)</v>
      </c>
      <c r="O1544" t="str">
        <f>J1554</f>
        <v>36.26 (34.95 to 37.56)</v>
      </c>
    </row>
    <row r="1545" spans="1:15" ht="17.25" thickBot="1" x14ac:dyDescent="0.35">
      <c r="A1545" s="6">
        <v>2</v>
      </c>
      <c r="B1545" s="3">
        <v>0</v>
      </c>
      <c r="C1545" s="11" t="s">
        <v>117</v>
      </c>
      <c r="D1545" s="2">
        <v>12865</v>
      </c>
      <c r="E1545" s="2">
        <v>35.518210000000003</v>
      </c>
      <c r="F1545" s="2">
        <v>9.1420000000000001E-2</v>
      </c>
      <c r="G1545" s="2">
        <v>35.338952800000001</v>
      </c>
      <c r="H1545" s="2">
        <v>35.697466499999997</v>
      </c>
      <c r="J1545" t="str">
        <f t="shared" si="50"/>
        <v>35.52 (35.34 to 35.70)</v>
      </c>
    </row>
    <row r="1546" spans="1:15" ht="17.25" thickBot="1" x14ac:dyDescent="0.35">
      <c r="A1546" s="6"/>
      <c r="B1546" s="3">
        <v>1</v>
      </c>
      <c r="C1546" s="11" t="s">
        <v>117</v>
      </c>
      <c r="D1546" s="2">
        <v>251</v>
      </c>
      <c r="E1546" s="2">
        <v>37.970677000000002</v>
      </c>
      <c r="F1546" s="2">
        <v>0.52598299999999998</v>
      </c>
      <c r="G1546" s="2">
        <v>36.939323100000003</v>
      </c>
      <c r="H1546" s="2">
        <v>39.002031899999999</v>
      </c>
      <c r="J1546" t="str">
        <f t="shared" si="50"/>
        <v>37.97 (36.94 to 39.00)</v>
      </c>
    </row>
    <row r="1547" spans="1:15" ht="17.25" thickBot="1" x14ac:dyDescent="0.35">
      <c r="A1547" s="6">
        <v>3</v>
      </c>
      <c r="B1547" s="3">
        <v>0</v>
      </c>
      <c r="C1547" s="11" t="s">
        <v>117</v>
      </c>
      <c r="D1547" s="2">
        <v>11284</v>
      </c>
      <c r="E1547" s="2">
        <v>35.365158999999998</v>
      </c>
      <c r="F1547" s="2">
        <v>8.4392999999999996E-2</v>
      </c>
      <c r="G1547" s="2">
        <v>35.199680000000001</v>
      </c>
      <c r="H1547" s="2">
        <v>35.530637900000002</v>
      </c>
      <c r="J1547" t="str">
        <f t="shared" si="50"/>
        <v>35.37 (35.20 to 35.53)</v>
      </c>
    </row>
    <row r="1548" spans="1:15" ht="17.25" thickBot="1" x14ac:dyDescent="0.35">
      <c r="A1548" s="6"/>
      <c r="B1548" s="3">
        <v>1</v>
      </c>
      <c r="C1548" s="11" t="s">
        <v>117</v>
      </c>
      <c r="D1548" s="2">
        <v>191</v>
      </c>
      <c r="E1548" s="2">
        <v>37.392885</v>
      </c>
      <c r="F1548" s="2">
        <v>0.60596000000000005</v>
      </c>
      <c r="G1548" s="2">
        <v>36.204711099999997</v>
      </c>
      <c r="H1548" s="2">
        <v>38.5810593</v>
      </c>
      <c r="J1548" t="str">
        <f t="shared" si="50"/>
        <v>37.39 (36.20 to 38.58)</v>
      </c>
    </row>
    <row r="1549" spans="1:15" ht="17.25" thickBot="1" x14ac:dyDescent="0.35">
      <c r="A1549" s="6">
        <v>4</v>
      </c>
      <c r="B1549" s="3">
        <v>0</v>
      </c>
      <c r="C1549" s="11" t="s">
        <v>117</v>
      </c>
      <c r="D1549" s="2">
        <v>13897</v>
      </c>
      <c r="E1549" s="2">
        <v>35.708230999999998</v>
      </c>
      <c r="F1549" s="2">
        <v>8.7157999999999999E-2</v>
      </c>
      <c r="G1549" s="2">
        <v>35.537330400000002</v>
      </c>
      <c r="H1549" s="2">
        <v>35.879131800000003</v>
      </c>
      <c r="J1549" t="str">
        <f t="shared" si="50"/>
        <v>35.71 (35.54 to 35.88)</v>
      </c>
    </row>
    <row r="1550" spans="1:15" ht="17.25" thickBot="1" x14ac:dyDescent="0.35">
      <c r="A1550" s="6"/>
      <c r="B1550" s="3">
        <v>1</v>
      </c>
      <c r="C1550" s="11" t="s">
        <v>117</v>
      </c>
      <c r="D1550" s="2">
        <v>261</v>
      </c>
      <c r="E1550" s="2">
        <v>38.174494000000003</v>
      </c>
      <c r="F1550" s="2">
        <v>0.510772</v>
      </c>
      <c r="G1550" s="2">
        <v>37.172965699999999</v>
      </c>
      <c r="H1550" s="2">
        <v>39.176021599999999</v>
      </c>
      <c r="J1550" t="str">
        <f t="shared" si="50"/>
        <v>38.17 (37.17 to 39.18)</v>
      </c>
    </row>
    <row r="1551" spans="1:15" ht="17.25" thickBot="1" x14ac:dyDescent="0.35">
      <c r="A1551" s="6">
        <v>5</v>
      </c>
      <c r="B1551" s="3">
        <v>0</v>
      </c>
      <c r="C1551" s="11" t="s">
        <v>117</v>
      </c>
      <c r="D1551" s="2">
        <v>13287</v>
      </c>
      <c r="E1551" s="2">
        <v>35.760213999999998</v>
      </c>
      <c r="F1551" s="2">
        <v>9.1647000000000006E-2</v>
      </c>
      <c r="G1551" s="2">
        <v>35.5805121</v>
      </c>
      <c r="H1551" s="2">
        <v>35.939915200000002</v>
      </c>
      <c r="J1551" t="str">
        <f t="shared" si="50"/>
        <v>35.76 (35.58 to 35.94)</v>
      </c>
    </row>
    <row r="1552" spans="1:15" ht="17.25" thickBot="1" x14ac:dyDescent="0.35">
      <c r="A1552" s="6"/>
      <c r="B1552" s="3">
        <v>1</v>
      </c>
      <c r="C1552" s="11" t="s">
        <v>117</v>
      </c>
      <c r="D1552" s="2">
        <v>268</v>
      </c>
      <c r="E1552" s="2">
        <v>38.935200999999999</v>
      </c>
      <c r="F1552" s="2">
        <v>0.53423900000000002</v>
      </c>
      <c r="G1552" s="2">
        <v>37.887659300000003</v>
      </c>
      <c r="H1552" s="2">
        <v>39.9827431</v>
      </c>
      <c r="J1552" t="str">
        <f t="shared" si="50"/>
        <v>38.94 (37.89 to 39.98)</v>
      </c>
    </row>
    <row r="1553" spans="1:10" ht="17.25" thickBot="1" x14ac:dyDescent="0.35">
      <c r="A1553" s="6">
        <v>6</v>
      </c>
      <c r="B1553" s="3">
        <v>0</v>
      </c>
      <c r="C1553" s="11" t="s">
        <v>117</v>
      </c>
      <c r="D1553" s="2">
        <v>4317</v>
      </c>
      <c r="E1553" s="2">
        <v>35.267209999999999</v>
      </c>
      <c r="F1553" s="2">
        <v>0.175703</v>
      </c>
      <c r="G1553" s="2">
        <v>34.922689099999999</v>
      </c>
      <c r="H1553" s="2">
        <v>35.611731800000001</v>
      </c>
      <c r="J1553" t="str">
        <f t="shared" si="50"/>
        <v>35.27 (34.92 to 35.61)</v>
      </c>
    </row>
    <row r="1554" spans="1:10" x14ac:dyDescent="0.3">
      <c r="A1554" s="6"/>
      <c r="B1554" s="3">
        <v>1</v>
      </c>
      <c r="C1554" s="14" t="s">
        <v>117</v>
      </c>
      <c r="D1554" s="2">
        <v>99</v>
      </c>
      <c r="E1554" s="2">
        <v>36.256759000000002</v>
      </c>
      <c r="F1554" s="2">
        <v>0.66675799999999996</v>
      </c>
      <c r="G1554" s="2">
        <v>34.949373100000003</v>
      </c>
      <c r="H1554" s="2">
        <v>37.564145400000001</v>
      </c>
      <c r="J1554" t="str">
        <f t="shared" si="50"/>
        <v>36.26 (34.95 to 37.56)</v>
      </c>
    </row>
  </sheetData>
  <mergeCells count="448">
    <mergeCell ref="A26:H26"/>
    <mergeCell ref="A27:A28"/>
    <mergeCell ref="B27:B28"/>
    <mergeCell ref="C27:C28"/>
    <mergeCell ref="D27:D28"/>
    <mergeCell ref="E27:E28"/>
    <mergeCell ref="G27:H28"/>
    <mergeCell ref="A5:B5"/>
    <mergeCell ref="A11:B11"/>
    <mergeCell ref="A15:F15"/>
    <mergeCell ref="A16:A17"/>
    <mergeCell ref="B16:B17"/>
    <mergeCell ref="C16:C17"/>
    <mergeCell ref="E16:F17"/>
    <mergeCell ref="A81:H81"/>
    <mergeCell ref="A82:A83"/>
    <mergeCell ref="B82:B83"/>
    <mergeCell ref="C82:C83"/>
    <mergeCell ref="D82:D83"/>
    <mergeCell ref="E82:E83"/>
    <mergeCell ref="G82:H83"/>
    <mergeCell ref="A60:B60"/>
    <mergeCell ref="A66:B66"/>
    <mergeCell ref="A70:F70"/>
    <mergeCell ref="A71:A72"/>
    <mergeCell ref="B71:B72"/>
    <mergeCell ref="C71:C72"/>
    <mergeCell ref="E71:F72"/>
    <mergeCell ref="A130:H130"/>
    <mergeCell ref="A131:A132"/>
    <mergeCell ref="B131:B132"/>
    <mergeCell ref="C131:C132"/>
    <mergeCell ref="D131:D132"/>
    <mergeCell ref="E131:E132"/>
    <mergeCell ref="G131:H132"/>
    <mergeCell ref="A109:B109"/>
    <mergeCell ref="A115:B115"/>
    <mergeCell ref="A119:F119"/>
    <mergeCell ref="A120:A121"/>
    <mergeCell ref="B120:B121"/>
    <mergeCell ref="C120:C121"/>
    <mergeCell ref="E120:F121"/>
    <mergeCell ref="A173:H173"/>
    <mergeCell ref="A174:A175"/>
    <mergeCell ref="B174:B175"/>
    <mergeCell ref="C174:C175"/>
    <mergeCell ref="D174:D175"/>
    <mergeCell ref="E174:E175"/>
    <mergeCell ref="G174:H175"/>
    <mergeCell ref="A152:B152"/>
    <mergeCell ref="A158:B158"/>
    <mergeCell ref="A162:F162"/>
    <mergeCell ref="A163:A164"/>
    <mergeCell ref="B163:B164"/>
    <mergeCell ref="C163:C164"/>
    <mergeCell ref="E163:F164"/>
    <mergeCell ref="A216:H216"/>
    <mergeCell ref="A217:A218"/>
    <mergeCell ref="B217:B218"/>
    <mergeCell ref="C217:C218"/>
    <mergeCell ref="D217:D218"/>
    <mergeCell ref="E217:E218"/>
    <mergeCell ref="G217:H218"/>
    <mergeCell ref="A195:B195"/>
    <mergeCell ref="A201:B201"/>
    <mergeCell ref="A205:F205"/>
    <mergeCell ref="A206:A207"/>
    <mergeCell ref="B206:B207"/>
    <mergeCell ref="C206:C207"/>
    <mergeCell ref="E206:F207"/>
    <mergeCell ref="A259:H259"/>
    <mergeCell ref="A260:A261"/>
    <mergeCell ref="B260:B261"/>
    <mergeCell ref="C260:C261"/>
    <mergeCell ref="D260:D261"/>
    <mergeCell ref="E260:E261"/>
    <mergeCell ref="G260:H261"/>
    <mergeCell ref="A238:B238"/>
    <mergeCell ref="A244:B244"/>
    <mergeCell ref="A248:F248"/>
    <mergeCell ref="A249:A250"/>
    <mergeCell ref="B249:B250"/>
    <mergeCell ref="C249:C250"/>
    <mergeCell ref="E249:F250"/>
    <mergeCell ref="A302:H302"/>
    <mergeCell ref="A303:A304"/>
    <mergeCell ref="B303:B304"/>
    <mergeCell ref="C303:C304"/>
    <mergeCell ref="D303:D304"/>
    <mergeCell ref="E303:E304"/>
    <mergeCell ref="G303:H304"/>
    <mergeCell ref="A281:B281"/>
    <mergeCell ref="A287:B287"/>
    <mergeCell ref="A291:F291"/>
    <mergeCell ref="A292:A293"/>
    <mergeCell ref="B292:B293"/>
    <mergeCell ref="C292:C293"/>
    <mergeCell ref="E292:F293"/>
    <mergeCell ref="A363:H363"/>
    <mergeCell ref="A364:A365"/>
    <mergeCell ref="B364:B365"/>
    <mergeCell ref="C364:C365"/>
    <mergeCell ref="D364:D365"/>
    <mergeCell ref="E364:E365"/>
    <mergeCell ref="G364:H365"/>
    <mergeCell ref="A342:B342"/>
    <mergeCell ref="A348:B348"/>
    <mergeCell ref="A352:F352"/>
    <mergeCell ref="A353:A354"/>
    <mergeCell ref="B353:B354"/>
    <mergeCell ref="C353:C354"/>
    <mergeCell ref="E353:F354"/>
    <mergeCell ref="A418:H418"/>
    <mergeCell ref="A419:A420"/>
    <mergeCell ref="B419:B420"/>
    <mergeCell ref="C419:C420"/>
    <mergeCell ref="D419:D420"/>
    <mergeCell ref="E419:E420"/>
    <mergeCell ref="G419:H420"/>
    <mergeCell ref="A397:B397"/>
    <mergeCell ref="A403:B403"/>
    <mergeCell ref="A407:F407"/>
    <mergeCell ref="A408:A409"/>
    <mergeCell ref="B408:B409"/>
    <mergeCell ref="C408:C409"/>
    <mergeCell ref="E408:F409"/>
    <mergeCell ref="A473:H473"/>
    <mergeCell ref="A474:A475"/>
    <mergeCell ref="B474:B475"/>
    <mergeCell ref="C474:C475"/>
    <mergeCell ref="D474:D475"/>
    <mergeCell ref="E474:E475"/>
    <mergeCell ref="G474:H475"/>
    <mergeCell ref="A452:B452"/>
    <mergeCell ref="A458:B458"/>
    <mergeCell ref="A462:F462"/>
    <mergeCell ref="A463:A464"/>
    <mergeCell ref="B463:B464"/>
    <mergeCell ref="C463:C464"/>
    <mergeCell ref="E463:F464"/>
    <mergeCell ref="A528:H528"/>
    <mergeCell ref="A529:A530"/>
    <mergeCell ref="B529:B530"/>
    <mergeCell ref="C529:C530"/>
    <mergeCell ref="D529:D530"/>
    <mergeCell ref="E529:E530"/>
    <mergeCell ref="G529:H530"/>
    <mergeCell ref="A507:B507"/>
    <mergeCell ref="A513:B513"/>
    <mergeCell ref="A517:F517"/>
    <mergeCell ref="A518:A519"/>
    <mergeCell ref="B518:B519"/>
    <mergeCell ref="C518:C519"/>
    <mergeCell ref="E518:F519"/>
    <mergeCell ref="A583:H583"/>
    <mergeCell ref="A584:A585"/>
    <mergeCell ref="B584:B585"/>
    <mergeCell ref="C584:C585"/>
    <mergeCell ref="D584:D585"/>
    <mergeCell ref="E584:E585"/>
    <mergeCell ref="G584:H585"/>
    <mergeCell ref="A562:B562"/>
    <mergeCell ref="A568:B568"/>
    <mergeCell ref="A572:F572"/>
    <mergeCell ref="A573:A574"/>
    <mergeCell ref="B573:B574"/>
    <mergeCell ref="C573:C574"/>
    <mergeCell ref="E573:F574"/>
    <mergeCell ref="A638:H638"/>
    <mergeCell ref="A639:A640"/>
    <mergeCell ref="B639:B640"/>
    <mergeCell ref="C639:C640"/>
    <mergeCell ref="D639:D640"/>
    <mergeCell ref="E639:E640"/>
    <mergeCell ref="G639:H640"/>
    <mergeCell ref="A617:B617"/>
    <mergeCell ref="A623:B623"/>
    <mergeCell ref="A627:F627"/>
    <mergeCell ref="A628:A629"/>
    <mergeCell ref="B628:B629"/>
    <mergeCell ref="C628:C629"/>
    <mergeCell ref="E628:F629"/>
    <mergeCell ref="A685:H685"/>
    <mergeCell ref="A686:A687"/>
    <mergeCell ref="B686:B687"/>
    <mergeCell ref="C686:C687"/>
    <mergeCell ref="D686:D687"/>
    <mergeCell ref="E686:E687"/>
    <mergeCell ref="G686:H687"/>
    <mergeCell ref="A664:B664"/>
    <mergeCell ref="A670:B670"/>
    <mergeCell ref="A674:F674"/>
    <mergeCell ref="A675:A676"/>
    <mergeCell ref="B675:B676"/>
    <mergeCell ref="C675:C676"/>
    <mergeCell ref="E675:F676"/>
    <mergeCell ref="A728:H728"/>
    <mergeCell ref="A729:A730"/>
    <mergeCell ref="B729:B730"/>
    <mergeCell ref="C729:C730"/>
    <mergeCell ref="D729:D730"/>
    <mergeCell ref="E729:E730"/>
    <mergeCell ref="G729:H730"/>
    <mergeCell ref="A707:B707"/>
    <mergeCell ref="A713:B713"/>
    <mergeCell ref="A717:F717"/>
    <mergeCell ref="A718:A719"/>
    <mergeCell ref="B718:B719"/>
    <mergeCell ref="C718:C719"/>
    <mergeCell ref="E718:F719"/>
    <mergeCell ref="A783:H783"/>
    <mergeCell ref="A784:A785"/>
    <mergeCell ref="B784:B785"/>
    <mergeCell ref="C784:C785"/>
    <mergeCell ref="D784:D785"/>
    <mergeCell ref="E784:E785"/>
    <mergeCell ref="G784:H785"/>
    <mergeCell ref="A762:B762"/>
    <mergeCell ref="A768:B768"/>
    <mergeCell ref="A772:F772"/>
    <mergeCell ref="A773:A774"/>
    <mergeCell ref="B773:B774"/>
    <mergeCell ref="C773:C774"/>
    <mergeCell ref="E773:F774"/>
    <mergeCell ref="A832:H832"/>
    <mergeCell ref="A833:A834"/>
    <mergeCell ref="B833:B834"/>
    <mergeCell ref="C833:C834"/>
    <mergeCell ref="D833:D834"/>
    <mergeCell ref="E833:E834"/>
    <mergeCell ref="G833:H834"/>
    <mergeCell ref="A811:B811"/>
    <mergeCell ref="A817:B817"/>
    <mergeCell ref="A821:F821"/>
    <mergeCell ref="A822:A823"/>
    <mergeCell ref="B822:B823"/>
    <mergeCell ref="C822:C823"/>
    <mergeCell ref="E822:F823"/>
    <mergeCell ref="A887:H887"/>
    <mergeCell ref="A888:A889"/>
    <mergeCell ref="B888:B889"/>
    <mergeCell ref="C888:C889"/>
    <mergeCell ref="D888:D889"/>
    <mergeCell ref="E888:E889"/>
    <mergeCell ref="G888:H889"/>
    <mergeCell ref="A866:B866"/>
    <mergeCell ref="A872:B872"/>
    <mergeCell ref="A876:F876"/>
    <mergeCell ref="A877:A878"/>
    <mergeCell ref="B877:B878"/>
    <mergeCell ref="C877:C878"/>
    <mergeCell ref="E877:F878"/>
    <mergeCell ref="A936:H936"/>
    <mergeCell ref="A937:A938"/>
    <mergeCell ref="B937:B938"/>
    <mergeCell ref="C937:C938"/>
    <mergeCell ref="D937:D938"/>
    <mergeCell ref="E937:E938"/>
    <mergeCell ref="G937:H938"/>
    <mergeCell ref="A915:B915"/>
    <mergeCell ref="A921:B921"/>
    <mergeCell ref="A925:F925"/>
    <mergeCell ref="A926:A927"/>
    <mergeCell ref="B926:B927"/>
    <mergeCell ref="C926:C927"/>
    <mergeCell ref="E926:F927"/>
    <mergeCell ref="A991:H991"/>
    <mergeCell ref="A992:A993"/>
    <mergeCell ref="B992:B993"/>
    <mergeCell ref="C992:C993"/>
    <mergeCell ref="D992:D993"/>
    <mergeCell ref="E992:E993"/>
    <mergeCell ref="G992:H993"/>
    <mergeCell ref="A970:B970"/>
    <mergeCell ref="A976:B976"/>
    <mergeCell ref="A980:F980"/>
    <mergeCell ref="A981:A982"/>
    <mergeCell ref="B981:B982"/>
    <mergeCell ref="C981:C982"/>
    <mergeCell ref="E981:F982"/>
    <mergeCell ref="A1040:H1040"/>
    <mergeCell ref="A1041:A1042"/>
    <mergeCell ref="B1041:B1042"/>
    <mergeCell ref="C1041:C1042"/>
    <mergeCell ref="D1041:D1042"/>
    <mergeCell ref="E1041:E1042"/>
    <mergeCell ref="G1041:H1042"/>
    <mergeCell ref="A1019:B1019"/>
    <mergeCell ref="A1025:B1025"/>
    <mergeCell ref="A1029:F1029"/>
    <mergeCell ref="A1030:A1031"/>
    <mergeCell ref="B1030:B1031"/>
    <mergeCell ref="C1030:C1031"/>
    <mergeCell ref="E1030:F1031"/>
    <mergeCell ref="A1089:H1089"/>
    <mergeCell ref="A1090:A1091"/>
    <mergeCell ref="B1090:B1091"/>
    <mergeCell ref="C1090:C1091"/>
    <mergeCell ref="D1090:D1091"/>
    <mergeCell ref="E1090:E1091"/>
    <mergeCell ref="G1090:H1091"/>
    <mergeCell ref="A1068:B1068"/>
    <mergeCell ref="A1074:B1074"/>
    <mergeCell ref="A1078:F1078"/>
    <mergeCell ref="A1079:A1080"/>
    <mergeCell ref="B1079:B1080"/>
    <mergeCell ref="C1079:C1080"/>
    <mergeCell ref="E1079:F1080"/>
    <mergeCell ref="A1132:H1132"/>
    <mergeCell ref="A1133:A1134"/>
    <mergeCell ref="B1133:B1134"/>
    <mergeCell ref="C1133:C1134"/>
    <mergeCell ref="D1133:D1134"/>
    <mergeCell ref="E1133:E1134"/>
    <mergeCell ref="G1133:H1134"/>
    <mergeCell ref="A1111:B1111"/>
    <mergeCell ref="A1117:B1117"/>
    <mergeCell ref="A1121:F1121"/>
    <mergeCell ref="A1122:A1123"/>
    <mergeCell ref="B1122:B1123"/>
    <mergeCell ref="C1122:C1123"/>
    <mergeCell ref="E1122:F1123"/>
    <mergeCell ref="A1178:H1178"/>
    <mergeCell ref="A1179:A1180"/>
    <mergeCell ref="B1179:B1180"/>
    <mergeCell ref="C1179:C1180"/>
    <mergeCell ref="D1179:D1180"/>
    <mergeCell ref="E1179:E1180"/>
    <mergeCell ref="G1179:H1180"/>
    <mergeCell ref="A1157:B1157"/>
    <mergeCell ref="A1163:B1163"/>
    <mergeCell ref="A1167:F1167"/>
    <mergeCell ref="A1168:A1169"/>
    <mergeCell ref="B1168:B1169"/>
    <mergeCell ref="C1168:C1169"/>
    <mergeCell ref="E1168:F1169"/>
    <mergeCell ref="A1221:H1221"/>
    <mergeCell ref="A1222:A1223"/>
    <mergeCell ref="B1222:B1223"/>
    <mergeCell ref="C1222:C1223"/>
    <mergeCell ref="D1222:D1223"/>
    <mergeCell ref="E1222:E1223"/>
    <mergeCell ref="G1222:H1223"/>
    <mergeCell ref="A1200:B1200"/>
    <mergeCell ref="A1206:B1206"/>
    <mergeCell ref="A1210:F1210"/>
    <mergeCell ref="A1211:A1212"/>
    <mergeCell ref="B1211:B1212"/>
    <mergeCell ref="C1211:C1212"/>
    <mergeCell ref="E1211:F1212"/>
    <mergeCell ref="A1267:H1267"/>
    <mergeCell ref="A1268:A1269"/>
    <mergeCell ref="B1268:B1269"/>
    <mergeCell ref="C1268:C1269"/>
    <mergeCell ref="D1268:D1269"/>
    <mergeCell ref="E1268:E1269"/>
    <mergeCell ref="G1268:H1269"/>
    <mergeCell ref="A1246:B1246"/>
    <mergeCell ref="A1252:B1252"/>
    <mergeCell ref="A1256:F1256"/>
    <mergeCell ref="A1257:A1258"/>
    <mergeCell ref="B1257:B1258"/>
    <mergeCell ref="C1257:C1258"/>
    <mergeCell ref="E1257:F1258"/>
    <mergeCell ref="A1310:H1310"/>
    <mergeCell ref="A1311:A1312"/>
    <mergeCell ref="B1311:B1312"/>
    <mergeCell ref="C1311:C1312"/>
    <mergeCell ref="D1311:D1312"/>
    <mergeCell ref="E1311:E1312"/>
    <mergeCell ref="G1311:H1312"/>
    <mergeCell ref="A1289:B1289"/>
    <mergeCell ref="A1295:B1295"/>
    <mergeCell ref="A1299:F1299"/>
    <mergeCell ref="A1300:A1301"/>
    <mergeCell ref="B1300:B1301"/>
    <mergeCell ref="C1300:C1301"/>
    <mergeCell ref="E1300:F1301"/>
    <mergeCell ref="A1358:H1358"/>
    <mergeCell ref="A1359:A1360"/>
    <mergeCell ref="B1359:B1360"/>
    <mergeCell ref="C1359:C1360"/>
    <mergeCell ref="D1359:D1360"/>
    <mergeCell ref="E1359:E1360"/>
    <mergeCell ref="G1359:H1360"/>
    <mergeCell ref="A1337:B1337"/>
    <mergeCell ref="A1343:B1343"/>
    <mergeCell ref="A1347:F1347"/>
    <mergeCell ref="A1348:A1349"/>
    <mergeCell ref="B1348:B1349"/>
    <mergeCell ref="C1348:C1349"/>
    <mergeCell ref="E1348:F1349"/>
    <mergeCell ref="A1401:H1401"/>
    <mergeCell ref="A1402:A1403"/>
    <mergeCell ref="B1402:B1403"/>
    <mergeCell ref="C1402:C1403"/>
    <mergeCell ref="D1402:D1403"/>
    <mergeCell ref="E1402:E1403"/>
    <mergeCell ref="G1402:H1403"/>
    <mergeCell ref="A1380:B1380"/>
    <mergeCell ref="A1386:B1386"/>
    <mergeCell ref="A1390:F1390"/>
    <mergeCell ref="A1391:A1392"/>
    <mergeCell ref="B1391:B1392"/>
    <mergeCell ref="C1391:C1392"/>
    <mergeCell ref="E1391:F1392"/>
    <mergeCell ref="A1449:H1449"/>
    <mergeCell ref="A1450:A1451"/>
    <mergeCell ref="B1450:B1451"/>
    <mergeCell ref="C1450:C1451"/>
    <mergeCell ref="D1450:D1451"/>
    <mergeCell ref="E1450:E1451"/>
    <mergeCell ref="G1450:H1451"/>
    <mergeCell ref="A1428:B1428"/>
    <mergeCell ref="A1434:B1434"/>
    <mergeCell ref="A1438:F1438"/>
    <mergeCell ref="A1439:A1440"/>
    <mergeCell ref="B1439:B1440"/>
    <mergeCell ref="C1439:C1440"/>
    <mergeCell ref="E1439:F1440"/>
    <mergeCell ref="A1492:H1492"/>
    <mergeCell ref="A1493:A1494"/>
    <mergeCell ref="B1493:B1494"/>
    <mergeCell ref="C1493:C1494"/>
    <mergeCell ref="D1493:D1494"/>
    <mergeCell ref="E1493:E1494"/>
    <mergeCell ref="G1493:H1494"/>
    <mergeCell ref="A1471:B1471"/>
    <mergeCell ref="A1477:B1477"/>
    <mergeCell ref="A1481:F1481"/>
    <mergeCell ref="A1482:A1483"/>
    <mergeCell ref="B1482:B1483"/>
    <mergeCell ref="C1482:C1483"/>
    <mergeCell ref="E1482:F1483"/>
    <mergeCell ref="A1540:H1540"/>
    <mergeCell ref="A1541:A1542"/>
    <mergeCell ref="B1541:B1542"/>
    <mergeCell ref="C1541:C1542"/>
    <mergeCell ref="D1541:D1542"/>
    <mergeCell ref="E1541:E1542"/>
    <mergeCell ref="G1541:H1542"/>
    <mergeCell ref="A1519:B1519"/>
    <mergeCell ref="A1525:B1525"/>
    <mergeCell ref="A1529:F1529"/>
    <mergeCell ref="A1530:A1531"/>
    <mergeCell ref="B1530:B1531"/>
    <mergeCell ref="C1530:C1531"/>
    <mergeCell ref="E1530:F1531"/>
  </mergeCells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E7509-4B9E-468C-927F-2E1F23BA0B83}">
  <dimension ref="A1:I1085"/>
  <sheetViews>
    <sheetView workbookViewId="0">
      <selection activeCell="I1084" sqref="I1084:I1085"/>
    </sheetView>
  </sheetViews>
  <sheetFormatPr defaultRowHeight="16.5" x14ac:dyDescent="0.3"/>
  <cols>
    <col min="9" max="9" width="17.25" bestFit="1" customWidth="1"/>
  </cols>
  <sheetData>
    <row r="1" spans="1:6" x14ac:dyDescent="0.3">
      <c r="A1" s="1" t="s">
        <v>237</v>
      </c>
    </row>
    <row r="3" spans="1:6" x14ac:dyDescent="0.3">
      <c r="A3" s="1" t="s">
        <v>1</v>
      </c>
    </row>
    <row r="4" spans="1:6" ht="17.25" thickBot="1" x14ac:dyDescent="0.35"/>
    <row r="5" spans="1:6" ht="16.5" customHeight="1" x14ac:dyDescent="0.3">
      <c r="A5" s="16" t="s">
        <v>135</v>
      </c>
      <c r="B5" s="18"/>
    </row>
    <row r="6" spans="1:6" ht="26.25" thickBot="1" x14ac:dyDescent="0.35">
      <c r="A6" s="12" t="s">
        <v>136</v>
      </c>
      <c r="B6" s="2">
        <v>183</v>
      </c>
    </row>
    <row r="7" spans="1:6" ht="26.25" thickBot="1" x14ac:dyDescent="0.35">
      <c r="A7" s="12" t="s">
        <v>137</v>
      </c>
      <c r="B7" s="2">
        <v>2949</v>
      </c>
    </row>
    <row r="8" spans="1:6" ht="39" thickBot="1" x14ac:dyDescent="0.35">
      <c r="A8" s="12" t="s">
        <v>138</v>
      </c>
      <c r="B8" s="2">
        <v>23222</v>
      </c>
    </row>
    <row r="9" spans="1:6" ht="25.5" x14ac:dyDescent="0.3">
      <c r="A9" s="13" t="s">
        <v>139</v>
      </c>
      <c r="B9" s="2">
        <v>9036880.5199999996</v>
      </c>
    </row>
    <row r="10" spans="1:6" ht="17.25" thickBot="1" x14ac:dyDescent="0.35"/>
    <row r="11" spans="1:6" ht="33" customHeight="1" x14ac:dyDescent="0.3">
      <c r="A11" s="16" t="s">
        <v>140</v>
      </c>
      <c r="B11" s="18"/>
    </row>
    <row r="12" spans="1:6" ht="33.75" thickBot="1" x14ac:dyDescent="0.35">
      <c r="A12" s="12" t="s">
        <v>141</v>
      </c>
      <c r="B12" s="2" t="s">
        <v>142</v>
      </c>
    </row>
    <row r="13" spans="1:6" ht="25.5" x14ac:dyDescent="0.3">
      <c r="A13" s="13" t="s">
        <v>143</v>
      </c>
      <c r="B13" s="2" t="s">
        <v>144</v>
      </c>
    </row>
    <row r="14" spans="1:6" ht="17.25" thickBot="1" x14ac:dyDescent="0.35"/>
    <row r="15" spans="1:6" ht="16.5" customHeight="1" x14ac:dyDescent="0.3">
      <c r="A15" s="16" t="s">
        <v>238</v>
      </c>
      <c r="B15" s="18"/>
      <c r="C15" s="18"/>
      <c r="D15" s="18"/>
      <c r="E15" s="18"/>
      <c r="F15" s="18"/>
    </row>
    <row r="16" spans="1:6" x14ac:dyDescent="0.3">
      <c r="A16" s="17" t="s">
        <v>239</v>
      </c>
      <c r="B16" s="19" t="s">
        <v>94</v>
      </c>
      <c r="C16" s="19" t="s">
        <v>240</v>
      </c>
      <c r="D16" s="3" t="s">
        <v>241</v>
      </c>
      <c r="E16" s="19" t="s">
        <v>243</v>
      </c>
      <c r="F16" s="19"/>
    </row>
    <row r="17" spans="1:7" x14ac:dyDescent="0.3">
      <c r="A17" s="17"/>
      <c r="B17" s="19"/>
      <c r="C17" s="19"/>
      <c r="D17" s="3" t="s">
        <v>242</v>
      </c>
      <c r="E17" s="19"/>
      <c r="F17" s="19"/>
    </row>
    <row r="18" spans="1:7" x14ac:dyDescent="0.3">
      <c r="A18" s="13" t="s">
        <v>114</v>
      </c>
      <c r="B18" s="2">
        <v>23222</v>
      </c>
      <c r="C18" s="2">
        <v>8.4582850000000001</v>
      </c>
      <c r="D18" s="2">
        <v>5.8770000000000003E-3</v>
      </c>
      <c r="E18" s="2">
        <v>8.4467599599999996</v>
      </c>
      <c r="F18" s="2">
        <v>8.4698092999999997</v>
      </c>
    </row>
    <row r="22" spans="1:7" x14ac:dyDescent="0.3">
      <c r="A22" s="1" t="s">
        <v>237</v>
      </c>
    </row>
    <row r="24" spans="1:7" x14ac:dyDescent="0.3">
      <c r="A24" s="1" t="s">
        <v>1</v>
      </c>
    </row>
    <row r="25" spans="1:7" ht="17.25" thickBot="1" x14ac:dyDescent="0.35"/>
    <row r="26" spans="1:7" ht="16.5" customHeight="1" x14ac:dyDescent="0.3">
      <c r="A26" s="16" t="s">
        <v>266</v>
      </c>
      <c r="B26" s="18"/>
      <c r="C26" s="18"/>
      <c r="D26" s="18"/>
      <c r="E26" s="18"/>
      <c r="F26" s="18"/>
      <c r="G26" s="18"/>
    </row>
    <row r="27" spans="1:7" x14ac:dyDescent="0.3">
      <c r="A27" s="17" t="s">
        <v>2</v>
      </c>
      <c r="B27" s="19" t="s">
        <v>239</v>
      </c>
      <c r="C27" s="19" t="s">
        <v>94</v>
      </c>
      <c r="D27" s="19" t="s">
        <v>240</v>
      </c>
      <c r="E27" s="3" t="s">
        <v>241</v>
      </c>
      <c r="F27" s="19" t="s">
        <v>243</v>
      </c>
      <c r="G27" s="19"/>
    </row>
    <row r="28" spans="1:7" x14ac:dyDescent="0.3">
      <c r="A28" s="17"/>
      <c r="B28" s="19"/>
      <c r="C28" s="19"/>
      <c r="D28" s="19"/>
      <c r="E28" s="3" t="s">
        <v>242</v>
      </c>
      <c r="F28" s="19"/>
      <c r="G28" s="19"/>
    </row>
    <row r="29" spans="1:7" ht="17.25" thickBot="1" x14ac:dyDescent="0.35">
      <c r="A29" s="6">
        <v>1</v>
      </c>
      <c r="B29" s="11" t="s">
        <v>114</v>
      </c>
      <c r="C29" s="2">
        <v>2110</v>
      </c>
      <c r="D29" s="2">
        <v>8.456861</v>
      </c>
      <c r="E29" s="2">
        <v>1.7767999999999999E-2</v>
      </c>
      <c r="F29" s="2">
        <v>8.4220206199999996</v>
      </c>
      <c r="G29" s="2">
        <v>8.4917006799999992</v>
      </c>
    </row>
    <row r="30" spans="1:7" ht="17.25" thickBot="1" x14ac:dyDescent="0.35">
      <c r="A30" s="6">
        <v>2</v>
      </c>
      <c r="B30" s="11" t="s">
        <v>114</v>
      </c>
      <c r="C30" s="2">
        <v>5964</v>
      </c>
      <c r="D30" s="2">
        <v>8.7094570000000004</v>
      </c>
      <c r="E30" s="2">
        <v>1.0637000000000001E-2</v>
      </c>
      <c r="F30" s="2">
        <v>8.6885998900000008</v>
      </c>
      <c r="G30" s="2">
        <v>8.7303144100000001</v>
      </c>
    </row>
    <row r="31" spans="1:7" ht="17.25" thickBot="1" x14ac:dyDescent="0.35">
      <c r="A31" s="6">
        <v>3</v>
      </c>
      <c r="B31" s="11" t="s">
        <v>114</v>
      </c>
      <c r="C31" s="2">
        <v>6709</v>
      </c>
      <c r="D31" s="2">
        <v>8.7438149999999997</v>
      </c>
      <c r="E31" s="2">
        <v>8.5339999999999999E-3</v>
      </c>
      <c r="F31" s="2">
        <v>8.7270821900000008</v>
      </c>
      <c r="G31" s="2">
        <v>8.7605478199999993</v>
      </c>
    </row>
    <row r="32" spans="1:7" x14ac:dyDescent="0.3">
      <c r="A32" s="6">
        <v>8</v>
      </c>
      <c r="B32" s="14" t="s">
        <v>114</v>
      </c>
      <c r="C32" s="2">
        <v>8439</v>
      </c>
      <c r="D32" s="2">
        <v>8.1417979999999996</v>
      </c>
      <c r="E32" s="2">
        <v>7.2560000000000003E-3</v>
      </c>
      <c r="F32" s="2">
        <v>8.1275701799999993</v>
      </c>
      <c r="G32" s="2">
        <v>8.1560255300000009</v>
      </c>
    </row>
    <row r="36" spans="1:2" x14ac:dyDescent="0.3">
      <c r="A36" s="1" t="s">
        <v>237</v>
      </c>
    </row>
    <row r="38" spans="1:2" x14ac:dyDescent="0.3">
      <c r="A38" s="1" t="s">
        <v>21</v>
      </c>
    </row>
    <row r="39" spans="1:2" ht="17.25" thickBot="1" x14ac:dyDescent="0.35"/>
    <row r="40" spans="1:2" ht="16.5" customHeight="1" x14ac:dyDescent="0.3">
      <c r="A40" s="16" t="s">
        <v>135</v>
      </c>
      <c r="B40" s="18"/>
    </row>
    <row r="41" spans="1:2" ht="26.25" thickBot="1" x14ac:dyDescent="0.35">
      <c r="A41" s="12" t="s">
        <v>136</v>
      </c>
      <c r="B41" s="2">
        <v>183</v>
      </c>
    </row>
    <row r="42" spans="1:2" ht="26.25" thickBot="1" x14ac:dyDescent="0.35">
      <c r="A42" s="12" t="s">
        <v>137</v>
      </c>
      <c r="B42" s="2">
        <v>2982</v>
      </c>
    </row>
    <row r="43" spans="1:2" ht="39" thickBot="1" x14ac:dyDescent="0.35">
      <c r="A43" s="12" t="s">
        <v>138</v>
      </c>
      <c r="B43" s="2">
        <v>68635</v>
      </c>
    </row>
    <row r="44" spans="1:2" ht="25.5" x14ac:dyDescent="0.3">
      <c r="A44" s="13" t="s">
        <v>139</v>
      </c>
      <c r="B44" s="2">
        <v>30251935.699999999</v>
      </c>
    </row>
    <row r="45" spans="1:2" ht="17.25" thickBot="1" x14ac:dyDescent="0.35"/>
    <row r="46" spans="1:2" ht="33" customHeight="1" x14ac:dyDescent="0.3">
      <c r="A46" s="16" t="s">
        <v>140</v>
      </c>
      <c r="B46" s="18"/>
    </row>
    <row r="47" spans="1:2" ht="33.75" thickBot="1" x14ac:dyDescent="0.35">
      <c r="A47" s="12" t="s">
        <v>141</v>
      </c>
      <c r="B47" s="2" t="s">
        <v>142</v>
      </c>
    </row>
    <row r="48" spans="1:2" ht="25.5" x14ac:dyDescent="0.3">
      <c r="A48" s="13" t="s">
        <v>143</v>
      </c>
      <c r="B48" s="2" t="s">
        <v>144</v>
      </c>
    </row>
    <row r="49" spans="1:9" ht="17.25" thickBot="1" x14ac:dyDescent="0.35"/>
    <row r="50" spans="1:9" ht="16.5" customHeight="1" x14ac:dyDescent="0.3">
      <c r="A50" s="16" t="s">
        <v>238</v>
      </c>
      <c r="B50" s="18"/>
      <c r="C50" s="18"/>
      <c r="D50" s="18"/>
      <c r="E50" s="18"/>
      <c r="F50" s="18"/>
    </row>
    <row r="51" spans="1:9" x14ac:dyDescent="0.3">
      <c r="A51" s="17" t="s">
        <v>239</v>
      </c>
      <c r="B51" s="19" t="s">
        <v>94</v>
      </c>
      <c r="C51" s="19" t="s">
        <v>240</v>
      </c>
      <c r="D51" s="3" t="s">
        <v>241</v>
      </c>
      <c r="E51" s="19" t="s">
        <v>243</v>
      </c>
      <c r="F51" s="19"/>
    </row>
    <row r="52" spans="1:9" x14ac:dyDescent="0.3">
      <c r="A52" s="17"/>
      <c r="B52" s="19"/>
      <c r="C52" s="19"/>
      <c r="D52" s="3" t="s">
        <v>242</v>
      </c>
      <c r="E52" s="19"/>
      <c r="F52" s="19"/>
    </row>
    <row r="53" spans="1:9" x14ac:dyDescent="0.3">
      <c r="A53" s="13" t="s">
        <v>114</v>
      </c>
      <c r="B53" s="2">
        <v>68635</v>
      </c>
      <c r="C53" s="2">
        <v>8.5827570000000009</v>
      </c>
      <c r="D53" s="2">
        <v>3.4259999999999998E-3</v>
      </c>
      <c r="E53" s="2">
        <v>8.5760384700000003</v>
      </c>
      <c r="F53" s="2">
        <v>8.58947489</v>
      </c>
    </row>
    <row r="57" spans="1:9" x14ac:dyDescent="0.3">
      <c r="A57" s="1" t="s">
        <v>237</v>
      </c>
    </row>
    <row r="59" spans="1:9" x14ac:dyDescent="0.3">
      <c r="A59" s="1" t="s">
        <v>21</v>
      </c>
    </row>
    <row r="60" spans="1:9" ht="17.25" thickBot="1" x14ac:dyDescent="0.35"/>
    <row r="61" spans="1:9" ht="16.5" customHeight="1" x14ac:dyDescent="0.3">
      <c r="A61" s="16" t="s">
        <v>266</v>
      </c>
      <c r="B61" s="18"/>
      <c r="C61" s="18"/>
      <c r="D61" s="18"/>
      <c r="E61" s="18"/>
      <c r="F61" s="18"/>
      <c r="G61" s="18"/>
    </row>
    <row r="62" spans="1:9" x14ac:dyDescent="0.3">
      <c r="A62" s="17" t="s">
        <v>2</v>
      </c>
      <c r="B62" s="19" t="s">
        <v>239</v>
      </c>
      <c r="C62" s="19" t="s">
        <v>94</v>
      </c>
      <c r="D62" s="19" t="s">
        <v>240</v>
      </c>
      <c r="E62" s="3" t="s">
        <v>241</v>
      </c>
      <c r="F62" s="19" t="s">
        <v>243</v>
      </c>
      <c r="G62" s="19"/>
    </row>
    <row r="63" spans="1:9" x14ac:dyDescent="0.3">
      <c r="A63" s="17"/>
      <c r="B63" s="19"/>
      <c r="C63" s="19"/>
      <c r="D63" s="19"/>
      <c r="E63" s="3" t="s">
        <v>242</v>
      </c>
      <c r="F63" s="19"/>
      <c r="G63" s="19"/>
    </row>
    <row r="64" spans="1:9" ht="17.25" thickBot="1" x14ac:dyDescent="0.35">
      <c r="A64" s="6">
        <v>1</v>
      </c>
      <c r="B64" s="11" t="s">
        <v>114</v>
      </c>
      <c r="C64" s="2">
        <v>21079</v>
      </c>
      <c r="D64" s="2">
        <v>8.3794599999999999</v>
      </c>
      <c r="E64" s="2">
        <v>5.2339999999999999E-3</v>
      </c>
      <c r="F64" s="2">
        <v>8.3691972499999991</v>
      </c>
      <c r="G64" s="2">
        <v>8.3897231600000008</v>
      </c>
      <c r="I64" t="str">
        <f t="shared" ref="I64:I66" si="0">TEXT(D64,"0.00")&amp;" ("&amp;TEXT(F64,"0.00")&amp;" to "&amp;TEXT(G64,"0.00")&amp;")"</f>
        <v>8.38 (8.37 to 8.39)</v>
      </c>
    </row>
    <row r="65" spans="1:9" ht="17.25" thickBot="1" x14ac:dyDescent="0.35">
      <c r="A65" s="6">
        <v>2</v>
      </c>
      <c r="B65" s="11" t="s">
        <v>114</v>
      </c>
      <c r="C65" s="2">
        <v>33470</v>
      </c>
      <c r="D65" s="2">
        <v>8.7144180000000002</v>
      </c>
      <c r="E65" s="2">
        <v>4.5760000000000002E-3</v>
      </c>
      <c r="F65" s="2">
        <v>8.7054447199999991</v>
      </c>
      <c r="G65" s="2">
        <v>8.7233915500000005</v>
      </c>
      <c r="I65" t="str">
        <f t="shared" si="0"/>
        <v>8.71 (8.71 to 8.72)</v>
      </c>
    </row>
    <row r="66" spans="1:9" x14ac:dyDescent="0.3">
      <c r="A66" s="6">
        <v>3</v>
      </c>
      <c r="B66" s="14" t="s">
        <v>114</v>
      </c>
      <c r="C66" s="2">
        <v>14086</v>
      </c>
      <c r="D66" s="2">
        <v>8.709365</v>
      </c>
      <c r="E66" s="2">
        <v>5.9259999999999998E-3</v>
      </c>
      <c r="F66" s="2">
        <v>8.6977459400000008</v>
      </c>
      <c r="G66" s="2">
        <v>8.7209838099999999</v>
      </c>
      <c r="I66" t="str">
        <f t="shared" si="0"/>
        <v>8.71 (8.70 to 8.72)</v>
      </c>
    </row>
    <row r="70" spans="1:9" x14ac:dyDescent="0.3">
      <c r="A70" s="1" t="s">
        <v>237</v>
      </c>
    </row>
    <row r="72" spans="1:9" x14ac:dyDescent="0.3">
      <c r="A72" s="1" t="s">
        <v>1</v>
      </c>
    </row>
    <row r="73" spans="1:9" ht="17.25" thickBot="1" x14ac:dyDescent="0.35"/>
    <row r="74" spans="1:9" ht="16.5" customHeight="1" x14ac:dyDescent="0.3">
      <c r="A74" s="16" t="s">
        <v>135</v>
      </c>
      <c r="B74" s="18"/>
    </row>
    <row r="75" spans="1:9" ht="26.25" thickBot="1" x14ac:dyDescent="0.35">
      <c r="A75" s="12" t="s">
        <v>136</v>
      </c>
      <c r="B75" s="2">
        <v>183</v>
      </c>
    </row>
    <row r="76" spans="1:9" ht="26.25" thickBot="1" x14ac:dyDescent="0.35">
      <c r="A76" s="12" t="s">
        <v>137</v>
      </c>
      <c r="B76" s="2">
        <v>2949</v>
      </c>
    </row>
    <row r="77" spans="1:9" ht="39" thickBot="1" x14ac:dyDescent="0.35">
      <c r="A77" s="12" t="s">
        <v>138</v>
      </c>
      <c r="B77" s="2">
        <v>23222</v>
      </c>
    </row>
    <row r="78" spans="1:9" ht="25.5" x14ac:dyDescent="0.3">
      <c r="A78" s="13" t="s">
        <v>139</v>
      </c>
      <c r="B78" s="2">
        <v>9036880.5199999996</v>
      </c>
    </row>
    <row r="79" spans="1:9" ht="17.25" thickBot="1" x14ac:dyDescent="0.35"/>
    <row r="80" spans="1:9" ht="33" customHeight="1" x14ac:dyDescent="0.3">
      <c r="A80" s="16" t="s">
        <v>140</v>
      </c>
      <c r="B80" s="18"/>
    </row>
    <row r="81" spans="1:7" ht="33.75" thickBot="1" x14ac:dyDescent="0.35">
      <c r="A81" s="12" t="s">
        <v>141</v>
      </c>
      <c r="B81" s="2" t="s">
        <v>142</v>
      </c>
    </row>
    <row r="82" spans="1:7" ht="25.5" x14ac:dyDescent="0.3">
      <c r="A82" s="13" t="s">
        <v>143</v>
      </c>
      <c r="B82" s="2" t="s">
        <v>144</v>
      </c>
    </row>
    <row r="83" spans="1:7" ht="17.25" thickBot="1" x14ac:dyDescent="0.35"/>
    <row r="84" spans="1:7" ht="16.5" customHeight="1" x14ac:dyDescent="0.3">
      <c r="A84" s="16" t="s">
        <v>238</v>
      </c>
      <c r="B84" s="18"/>
      <c r="C84" s="18"/>
      <c r="D84" s="18"/>
      <c r="E84" s="18"/>
      <c r="F84" s="18"/>
    </row>
    <row r="85" spans="1:7" x14ac:dyDescent="0.3">
      <c r="A85" s="17" t="s">
        <v>239</v>
      </c>
      <c r="B85" s="19" t="s">
        <v>94</v>
      </c>
      <c r="C85" s="19" t="s">
        <v>240</v>
      </c>
      <c r="D85" s="3" t="s">
        <v>241</v>
      </c>
      <c r="E85" s="19" t="s">
        <v>243</v>
      </c>
      <c r="F85" s="19"/>
    </row>
    <row r="86" spans="1:7" x14ac:dyDescent="0.3">
      <c r="A86" s="17"/>
      <c r="B86" s="19"/>
      <c r="C86" s="19"/>
      <c r="D86" s="3" t="s">
        <v>242</v>
      </c>
      <c r="E86" s="19"/>
      <c r="F86" s="19"/>
    </row>
    <row r="87" spans="1:7" x14ac:dyDescent="0.3">
      <c r="A87" s="13" t="s">
        <v>114</v>
      </c>
      <c r="B87" s="2">
        <v>23222</v>
      </c>
      <c r="C87" s="2">
        <v>8.4582850000000001</v>
      </c>
      <c r="D87" s="2">
        <v>5.8770000000000003E-3</v>
      </c>
      <c r="E87" s="2">
        <v>8.4467599599999996</v>
      </c>
      <c r="F87" s="2">
        <v>8.4698092999999997</v>
      </c>
    </row>
    <row r="91" spans="1:7" x14ac:dyDescent="0.3">
      <c r="A91" s="1" t="s">
        <v>237</v>
      </c>
    </row>
    <row r="93" spans="1:7" x14ac:dyDescent="0.3">
      <c r="A93" s="1" t="s">
        <v>1</v>
      </c>
    </row>
    <row r="94" spans="1:7" ht="17.25" thickBot="1" x14ac:dyDescent="0.35"/>
    <row r="95" spans="1:7" ht="16.5" customHeight="1" x14ac:dyDescent="0.3">
      <c r="A95" s="16" t="s">
        <v>267</v>
      </c>
      <c r="B95" s="18"/>
      <c r="C95" s="18"/>
      <c r="D95" s="18"/>
      <c r="E95" s="18"/>
      <c r="F95" s="18"/>
      <c r="G95" s="18"/>
    </row>
    <row r="96" spans="1:7" x14ac:dyDescent="0.3">
      <c r="A96" s="17" t="s">
        <v>6</v>
      </c>
      <c r="B96" s="19" t="s">
        <v>239</v>
      </c>
      <c r="C96" s="19" t="s">
        <v>94</v>
      </c>
      <c r="D96" s="19" t="s">
        <v>240</v>
      </c>
      <c r="E96" s="3" t="s">
        <v>241</v>
      </c>
      <c r="F96" s="19" t="s">
        <v>243</v>
      </c>
      <c r="G96" s="19"/>
    </row>
    <row r="97" spans="1:7" x14ac:dyDescent="0.3">
      <c r="A97" s="17"/>
      <c r="B97" s="19"/>
      <c r="C97" s="19"/>
      <c r="D97" s="19"/>
      <c r="E97" s="3" t="s">
        <v>242</v>
      </c>
      <c r="F97" s="19"/>
      <c r="G97" s="19"/>
    </row>
    <row r="98" spans="1:7" ht="17.25" thickBot="1" x14ac:dyDescent="0.35">
      <c r="A98" s="6">
        <v>1</v>
      </c>
      <c r="B98" s="11" t="s">
        <v>114</v>
      </c>
      <c r="C98" s="2">
        <v>8741</v>
      </c>
      <c r="D98" s="2">
        <v>8.4607419999999998</v>
      </c>
      <c r="E98" s="2">
        <v>9.6039999999999997E-3</v>
      </c>
      <c r="F98" s="2">
        <v>8.4419100599999997</v>
      </c>
      <c r="G98" s="2">
        <v>8.4795732699999995</v>
      </c>
    </row>
    <row r="99" spans="1:7" x14ac:dyDescent="0.3">
      <c r="A99" s="6">
        <v>2</v>
      </c>
      <c r="B99" s="14" t="s">
        <v>114</v>
      </c>
      <c r="C99" s="2">
        <v>14481</v>
      </c>
      <c r="D99" s="2">
        <v>8.4564179999999993</v>
      </c>
      <c r="E99" s="2">
        <v>6.4590000000000003E-3</v>
      </c>
      <c r="F99" s="2">
        <v>8.4437527100000001</v>
      </c>
      <c r="G99" s="2">
        <v>8.4690834299999995</v>
      </c>
    </row>
    <row r="103" spans="1:7" x14ac:dyDescent="0.3">
      <c r="A103" s="1" t="s">
        <v>237</v>
      </c>
    </row>
    <row r="105" spans="1:7" x14ac:dyDescent="0.3">
      <c r="A105" s="1" t="s">
        <v>21</v>
      </c>
    </row>
    <row r="106" spans="1:7" ht="17.25" thickBot="1" x14ac:dyDescent="0.35"/>
    <row r="107" spans="1:7" ht="16.5" customHeight="1" x14ac:dyDescent="0.3">
      <c r="A107" s="16" t="s">
        <v>135</v>
      </c>
      <c r="B107" s="18"/>
    </row>
    <row r="108" spans="1:7" ht="26.25" thickBot="1" x14ac:dyDescent="0.35">
      <c r="A108" s="12" t="s">
        <v>136</v>
      </c>
      <c r="B108" s="2">
        <v>183</v>
      </c>
    </row>
    <row r="109" spans="1:7" ht="26.25" thickBot="1" x14ac:dyDescent="0.35">
      <c r="A109" s="12" t="s">
        <v>137</v>
      </c>
      <c r="B109" s="2">
        <v>2982</v>
      </c>
    </row>
    <row r="110" spans="1:7" ht="39" thickBot="1" x14ac:dyDescent="0.35">
      <c r="A110" s="12" t="s">
        <v>138</v>
      </c>
      <c r="B110" s="2">
        <v>68635</v>
      </c>
    </row>
    <row r="111" spans="1:7" ht="25.5" x14ac:dyDescent="0.3">
      <c r="A111" s="13" t="s">
        <v>139</v>
      </c>
      <c r="B111" s="2">
        <v>30251935.699999999</v>
      </c>
    </row>
    <row r="112" spans="1:7" ht="17.25" thickBot="1" x14ac:dyDescent="0.35"/>
    <row r="113" spans="1:7" ht="33" customHeight="1" x14ac:dyDescent="0.3">
      <c r="A113" s="16" t="s">
        <v>140</v>
      </c>
      <c r="B113" s="18"/>
    </row>
    <row r="114" spans="1:7" ht="33.75" thickBot="1" x14ac:dyDescent="0.35">
      <c r="A114" s="12" t="s">
        <v>141</v>
      </c>
      <c r="B114" s="2" t="s">
        <v>142</v>
      </c>
    </row>
    <row r="115" spans="1:7" ht="25.5" x14ac:dyDescent="0.3">
      <c r="A115" s="13" t="s">
        <v>143</v>
      </c>
      <c r="B115" s="2" t="s">
        <v>144</v>
      </c>
    </row>
    <row r="116" spans="1:7" ht="17.25" thickBot="1" x14ac:dyDescent="0.35"/>
    <row r="117" spans="1:7" ht="16.5" customHeight="1" x14ac:dyDescent="0.3">
      <c r="A117" s="16" t="s">
        <v>238</v>
      </c>
      <c r="B117" s="18"/>
      <c r="C117" s="18"/>
      <c r="D117" s="18"/>
      <c r="E117" s="18"/>
      <c r="F117" s="18"/>
    </row>
    <row r="118" spans="1:7" x14ac:dyDescent="0.3">
      <c r="A118" s="17" t="s">
        <v>239</v>
      </c>
      <c r="B118" s="19" t="s">
        <v>94</v>
      </c>
      <c r="C118" s="19" t="s">
        <v>240</v>
      </c>
      <c r="D118" s="3" t="s">
        <v>241</v>
      </c>
      <c r="E118" s="19" t="s">
        <v>243</v>
      </c>
      <c r="F118" s="19"/>
    </row>
    <row r="119" spans="1:7" x14ac:dyDescent="0.3">
      <c r="A119" s="17"/>
      <c r="B119" s="19"/>
      <c r="C119" s="19"/>
      <c r="D119" s="3" t="s">
        <v>242</v>
      </c>
      <c r="E119" s="19"/>
      <c r="F119" s="19"/>
    </row>
    <row r="120" spans="1:7" x14ac:dyDescent="0.3">
      <c r="A120" s="13" t="s">
        <v>114</v>
      </c>
      <c r="B120" s="2">
        <v>68635</v>
      </c>
      <c r="C120" s="2">
        <v>8.5827570000000009</v>
      </c>
      <c r="D120" s="2">
        <v>3.4259999999999998E-3</v>
      </c>
      <c r="E120" s="2">
        <v>8.5760384700000003</v>
      </c>
      <c r="F120" s="2">
        <v>8.58947489</v>
      </c>
    </row>
    <row r="124" spans="1:7" x14ac:dyDescent="0.3">
      <c r="A124" s="1" t="s">
        <v>237</v>
      </c>
    </row>
    <row r="126" spans="1:7" x14ac:dyDescent="0.3">
      <c r="A126" s="1" t="s">
        <v>21</v>
      </c>
    </row>
    <row r="127" spans="1:7" ht="17.25" thickBot="1" x14ac:dyDescent="0.35"/>
    <row r="128" spans="1:7" ht="16.5" customHeight="1" x14ac:dyDescent="0.3">
      <c r="A128" s="16" t="s">
        <v>267</v>
      </c>
      <c r="B128" s="18"/>
      <c r="C128" s="18"/>
      <c r="D128" s="18"/>
      <c r="E128" s="18"/>
      <c r="F128" s="18"/>
      <c r="G128" s="18"/>
    </row>
    <row r="129" spans="1:9" x14ac:dyDescent="0.3">
      <c r="A129" s="17" t="s">
        <v>6</v>
      </c>
      <c r="B129" s="19" t="s">
        <v>239</v>
      </c>
      <c r="C129" s="19" t="s">
        <v>94</v>
      </c>
      <c r="D129" s="19" t="s">
        <v>240</v>
      </c>
      <c r="E129" s="3" t="s">
        <v>241</v>
      </c>
      <c r="F129" s="19" t="s">
        <v>243</v>
      </c>
      <c r="G129" s="19"/>
    </row>
    <row r="130" spans="1:9" x14ac:dyDescent="0.3">
      <c r="A130" s="17"/>
      <c r="B130" s="19"/>
      <c r="C130" s="19"/>
      <c r="D130" s="19"/>
      <c r="E130" s="3" t="s">
        <v>242</v>
      </c>
      <c r="F130" s="19"/>
      <c r="G130" s="19"/>
    </row>
    <row r="131" spans="1:9" ht="17.25" thickBot="1" x14ac:dyDescent="0.35">
      <c r="A131" s="6">
        <v>1</v>
      </c>
      <c r="B131" s="11" t="s">
        <v>114</v>
      </c>
      <c r="C131" s="2">
        <v>33200</v>
      </c>
      <c r="D131" s="2">
        <v>8.7531610000000004</v>
      </c>
      <c r="E131" s="2">
        <v>4.7000000000000002E-3</v>
      </c>
      <c r="F131" s="2">
        <v>8.7439463100000001</v>
      </c>
      <c r="G131" s="2">
        <v>8.7623764699999995</v>
      </c>
      <c r="I131" t="str">
        <f t="shared" ref="I131:I132" si="1">TEXT(D131,"0.00")&amp;" ("&amp;TEXT(F131,"0.00")&amp;" to "&amp;TEXT(G131,"0.00")&amp;")"</f>
        <v>8.75 (8.74 to 8.76)</v>
      </c>
    </row>
    <row r="132" spans="1:9" x14ac:dyDescent="0.3">
      <c r="A132" s="6">
        <v>2</v>
      </c>
      <c r="B132" s="14" t="s">
        <v>114</v>
      </c>
      <c r="C132" s="2">
        <v>35435</v>
      </c>
      <c r="D132" s="2">
        <v>8.3796890000000008</v>
      </c>
      <c r="E132" s="2">
        <v>4.176E-3</v>
      </c>
      <c r="F132" s="2">
        <v>8.3715013700000007</v>
      </c>
      <c r="G132" s="2">
        <v>8.3878775500000007</v>
      </c>
      <c r="I132" t="str">
        <f t="shared" si="1"/>
        <v>8.38 (8.37 to 8.39)</v>
      </c>
    </row>
    <row r="136" spans="1:9" x14ac:dyDescent="0.3">
      <c r="A136" s="1" t="s">
        <v>237</v>
      </c>
    </row>
    <row r="138" spans="1:9" x14ac:dyDescent="0.3">
      <c r="A138" s="1" t="s">
        <v>1</v>
      </c>
    </row>
    <row r="139" spans="1:9" ht="17.25" thickBot="1" x14ac:dyDescent="0.35"/>
    <row r="140" spans="1:9" ht="16.5" customHeight="1" x14ac:dyDescent="0.3">
      <c r="A140" s="16" t="s">
        <v>135</v>
      </c>
      <c r="B140" s="18"/>
    </row>
    <row r="141" spans="1:9" ht="26.25" thickBot="1" x14ac:dyDescent="0.35">
      <c r="A141" s="12" t="s">
        <v>136</v>
      </c>
      <c r="B141" s="2">
        <v>183</v>
      </c>
    </row>
    <row r="142" spans="1:9" ht="26.25" thickBot="1" x14ac:dyDescent="0.35">
      <c r="A142" s="12" t="s">
        <v>137</v>
      </c>
      <c r="B142" s="2">
        <v>2949</v>
      </c>
    </row>
    <row r="143" spans="1:9" ht="39" thickBot="1" x14ac:dyDescent="0.35">
      <c r="A143" s="12" t="s">
        <v>138</v>
      </c>
      <c r="B143" s="2">
        <v>23222</v>
      </c>
    </row>
    <row r="144" spans="1:9" ht="25.5" x14ac:dyDescent="0.3">
      <c r="A144" s="13" t="s">
        <v>139</v>
      </c>
      <c r="B144" s="2">
        <v>9036880.5199999996</v>
      </c>
    </row>
    <row r="145" spans="1:6" ht="17.25" thickBot="1" x14ac:dyDescent="0.35"/>
    <row r="146" spans="1:6" ht="33" customHeight="1" x14ac:dyDescent="0.3">
      <c r="A146" s="16" t="s">
        <v>140</v>
      </c>
      <c r="B146" s="18"/>
    </row>
    <row r="147" spans="1:6" ht="33.75" thickBot="1" x14ac:dyDescent="0.35">
      <c r="A147" s="12" t="s">
        <v>141</v>
      </c>
      <c r="B147" s="2" t="s">
        <v>142</v>
      </c>
    </row>
    <row r="148" spans="1:6" ht="25.5" x14ac:dyDescent="0.3">
      <c r="A148" s="13" t="s">
        <v>143</v>
      </c>
      <c r="B148" s="2" t="s">
        <v>144</v>
      </c>
    </row>
    <row r="149" spans="1:6" ht="17.25" thickBot="1" x14ac:dyDescent="0.35"/>
    <row r="150" spans="1:6" ht="16.5" customHeight="1" x14ac:dyDescent="0.3">
      <c r="A150" s="16" t="s">
        <v>238</v>
      </c>
      <c r="B150" s="18"/>
      <c r="C150" s="18"/>
      <c r="D150" s="18"/>
      <c r="E150" s="18"/>
      <c r="F150" s="18"/>
    </row>
    <row r="151" spans="1:6" x14ac:dyDescent="0.3">
      <c r="A151" s="17" t="s">
        <v>239</v>
      </c>
      <c r="B151" s="19" t="s">
        <v>94</v>
      </c>
      <c r="C151" s="19" t="s">
        <v>240</v>
      </c>
      <c r="D151" s="3" t="s">
        <v>241</v>
      </c>
      <c r="E151" s="19" t="s">
        <v>243</v>
      </c>
      <c r="F151" s="19"/>
    </row>
    <row r="152" spans="1:6" x14ac:dyDescent="0.3">
      <c r="A152" s="17"/>
      <c r="B152" s="19"/>
      <c r="C152" s="19"/>
      <c r="D152" s="3" t="s">
        <v>242</v>
      </c>
      <c r="E152" s="19"/>
      <c r="F152" s="19"/>
    </row>
    <row r="153" spans="1:6" x14ac:dyDescent="0.3">
      <c r="A153" s="13" t="s">
        <v>114</v>
      </c>
      <c r="B153" s="2">
        <v>23222</v>
      </c>
      <c r="C153" s="2">
        <v>8.4582850000000001</v>
      </c>
      <c r="D153" s="2">
        <v>5.8770000000000003E-3</v>
      </c>
      <c r="E153" s="2">
        <v>8.4467599599999996</v>
      </c>
      <c r="F153" s="2">
        <v>8.4698092999999997</v>
      </c>
    </row>
    <row r="157" spans="1:6" x14ac:dyDescent="0.3">
      <c r="A157" s="1" t="s">
        <v>237</v>
      </c>
    </row>
    <row r="159" spans="1:6" x14ac:dyDescent="0.3">
      <c r="A159" s="1" t="s">
        <v>1</v>
      </c>
    </row>
    <row r="160" spans="1:6" ht="17.25" thickBot="1" x14ac:dyDescent="0.35"/>
    <row r="161" spans="1:7" ht="16.5" customHeight="1" x14ac:dyDescent="0.3">
      <c r="A161" s="16" t="s">
        <v>268</v>
      </c>
      <c r="B161" s="18"/>
      <c r="C161" s="18"/>
      <c r="D161" s="18"/>
      <c r="E161" s="18"/>
      <c r="F161" s="18"/>
      <c r="G161" s="18"/>
    </row>
    <row r="162" spans="1:7" x14ac:dyDescent="0.3">
      <c r="A162" s="17" t="s">
        <v>7</v>
      </c>
      <c r="B162" s="19" t="s">
        <v>239</v>
      </c>
      <c r="C162" s="19" t="s">
        <v>94</v>
      </c>
      <c r="D162" s="19" t="s">
        <v>240</v>
      </c>
      <c r="E162" s="3" t="s">
        <v>241</v>
      </c>
      <c r="F162" s="19" t="s">
        <v>243</v>
      </c>
      <c r="G162" s="19"/>
    </row>
    <row r="163" spans="1:7" x14ac:dyDescent="0.3">
      <c r="A163" s="17"/>
      <c r="B163" s="19"/>
      <c r="C163" s="19"/>
      <c r="D163" s="19"/>
      <c r="E163" s="3" t="s">
        <v>242</v>
      </c>
      <c r="F163" s="19"/>
      <c r="G163" s="19"/>
    </row>
    <row r="164" spans="1:7" ht="17.25" thickBot="1" x14ac:dyDescent="0.35">
      <c r="A164" s="6">
        <v>1</v>
      </c>
      <c r="B164" s="11" t="s">
        <v>114</v>
      </c>
      <c r="C164" s="2">
        <v>17769</v>
      </c>
      <c r="D164" s="2">
        <v>8.4407180000000004</v>
      </c>
      <c r="E164" s="2">
        <v>6.594E-3</v>
      </c>
      <c r="F164" s="2">
        <v>8.4277887499999995</v>
      </c>
      <c r="G164" s="2">
        <v>8.4536473700000005</v>
      </c>
    </row>
    <row r="165" spans="1:7" x14ac:dyDescent="0.3">
      <c r="A165" s="6">
        <v>2</v>
      </c>
      <c r="B165" s="14" t="s">
        <v>114</v>
      </c>
      <c r="C165" s="2">
        <v>5453</v>
      </c>
      <c r="D165" s="2">
        <v>8.5293139999999994</v>
      </c>
      <c r="E165" s="2">
        <v>1.3727E-2</v>
      </c>
      <c r="F165" s="2">
        <v>8.5023982599999997</v>
      </c>
      <c r="G165" s="2">
        <v>8.5562301099999996</v>
      </c>
    </row>
    <row r="169" spans="1:7" x14ac:dyDescent="0.3">
      <c r="A169" s="1" t="s">
        <v>237</v>
      </c>
    </row>
    <row r="171" spans="1:7" x14ac:dyDescent="0.3">
      <c r="A171" s="1" t="s">
        <v>21</v>
      </c>
    </row>
    <row r="172" spans="1:7" ht="17.25" thickBot="1" x14ac:dyDescent="0.35"/>
    <row r="173" spans="1:7" ht="16.5" customHeight="1" x14ac:dyDescent="0.3">
      <c r="A173" s="16" t="s">
        <v>135</v>
      </c>
      <c r="B173" s="18"/>
    </row>
    <row r="174" spans="1:7" ht="26.25" thickBot="1" x14ac:dyDescent="0.35">
      <c r="A174" s="12" t="s">
        <v>136</v>
      </c>
      <c r="B174" s="2">
        <v>183</v>
      </c>
    </row>
    <row r="175" spans="1:7" ht="26.25" thickBot="1" x14ac:dyDescent="0.35">
      <c r="A175" s="12" t="s">
        <v>137</v>
      </c>
      <c r="B175" s="2">
        <v>2982</v>
      </c>
    </row>
    <row r="176" spans="1:7" ht="39" thickBot="1" x14ac:dyDescent="0.35">
      <c r="A176" s="12" t="s">
        <v>138</v>
      </c>
      <c r="B176" s="2">
        <v>68635</v>
      </c>
    </row>
    <row r="177" spans="1:6" ht="25.5" x14ac:dyDescent="0.3">
      <c r="A177" s="13" t="s">
        <v>139</v>
      </c>
      <c r="B177" s="2">
        <v>30251935.699999999</v>
      </c>
    </row>
    <row r="178" spans="1:6" ht="17.25" thickBot="1" x14ac:dyDescent="0.35"/>
    <row r="179" spans="1:6" ht="33" customHeight="1" x14ac:dyDescent="0.3">
      <c r="A179" s="16" t="s">
        <v>140</v>
      </c>
      <c r="B179" s="18"/>
    </row>
    <row r="180" spans="1:6" ht="33.75" thickBot="1" x14ac:dyDescent="0.35">
      <c r="A180" s="12" t="s">
        <v>141</v>
      </c>
      <c r="B180" s="2" t="s">
        <v>142</v>
      </c>
    </row>
    <row r="181" spans="1:6" ht="25.5" x14ac:dyDescent="0.3">
      <c r="A181" s="13" t="s">
        <v>143</v>
      </c>
      <c r="B181" s="2" t="s">
        <v>144</v>
      </c>
    </row>
    <row r="182" spans="1:6" ht="17.25" thickBot="1" x14ac:dyDescent="0.35"/>
    <row r="183" spans="1:6" ht="16.5" customHeight="1" x14ac:dyDescent="0.3">
      <c r="A183" s="16" t="s">
        <v>238</v>
      </c>
      <c r="B183" s="18"/>
      <c r="C183" s="18"/>
      <c r="D183" s="18"/>
      <c r="E183" s="18"/>
      <c r="F183" s="18"/>
    </row>
    <row r="184" spans="1:6" x14ac:dyDescent="0.3">
      <c r="A184" s="17" t="s">
        <v>239</v>
      </c>
      <c r="B184" s="19" t="s">
        <v>94</v>
      </c>
      <c r="C184" s="19" t="s">
        <v>240</v>
      </c>
      <c r="D184" s="3" t="s">
        <v>241</v>
      </c>
      <c r="E184" s="19" t="s">
        <v>243</v>
      </c>
      <c r="F184" s="19"/>
    </row>
    <row r="185" spans="1:6" x14ac:dyDescent="0.3">
      <c r="A185" s="17"/>
      <c r="B185" s="19"/>
      <c r="C185" s="19"/>
      <c r="D185" s="3" t="s">
        <v>242</v>
      </c>
      <c r="E185" s="19"/>
      <c r="F185" s="19"/>
    </row>
    <row r="186" spans="1:6" x14ac:dyDescent="0.3">
      <c r="A186" s="13" t="s">
        <v>114</v>
      </c>
      <c r="B186" s="2">
        <v>68635</v>
      </c>
      <c r="C186" s="2">
        <v>8.5827570000000009</v>
      </c>
      <c r="D186" s="2">
        <v>3.4259999999999998E-3</v>
      </c>
      <c r="E186" s="2">
        <v>8.5760384700000003</v>
      </c>
      <c r="F186" s="2">
        <v>8.58947489</v>
      </c>
    </row>
    <row r="190" spans="1:6" x14ac:dyDescent="0.3">
      <c r="A190" s="1" t="s">
        <v>237</v>
      </c>
    </row>
    <row r="192" spans="1:6" x14ac:dyDescent="0.3">
      <c r="A192" s="1" t="s">
        <v>21</v>
      </c>
    </row>
    <row r="193" spans="1:9" ht="17.25" thickBot="1" x14ac:dyDescent="0.35"/>
    <row r="194" spans="1:9" ht="16.5" customHeight="1" x14ac:dyDescent="0.3">
      <c r="A194" s="16" t="s">
        <v>268</v>
      </c>
      <c r="B194" s="18"/>
      <c r="C194" s="18"/>
      <c r="D194" s="18"/>
      <c r="E194" s="18"/>
      <c r="F194" s="18"/>
      <c r="G194" s="18"/>
    </row>
    <row r="195" spans="1:9" x14ac:dyDescent="0.3">
      <c r="A195" s="17" t="s">
        <v>7</v>
      </c>
      <c r="B195" s="19" t="s">
        <v>239</v>
      </c>
      <c r="C195" s="19" t="s">
        <v>94</v>
      </c>
      <c r="D195" s="19" t="s">
        <v>240</v>
      </c>
      <c r="E195" s="3" t="s">
        <v>241</v>
      </c>
      <c r="F195" s="19" t="s">
        <v>243</v>
      </c>
      <c r="G195" s="19"/>
    </row>
    <row r="196" spans="1:9" x14ac:dyDescent="0.3">
      <c r="A196" s="17"/>
      <c r="B196" s="19"/>
      <c r="C196" s="19"/>
      <c r="D196" s="19"/>
      <c r="E196" s="3" t="s">
        <v>242</v>
      </c>
      <c r="F196" s="19"/>
      <c r="G196" s="19"/>
    </row>
    <row r="197" spans="1:9" ht="17.25" thickBot="1" x14ac:dyDescent="0.35">
      <c r="A197" s="6">
        <v>1</v>
      </c>
      <c r="B197" s="11" t="s">
        <v>114</v>
      </c>
      <c r="C197" s="2">
        <v>55176</v>
      </c>
      <c r="D197" s="2">
        <v>8.5678669999999997</v>
      </c>
      <c r="E197" s="2">
        <v>3.7620000000000002E-3</v>
      </c>
      <c r="F197" s="2">
        <v>8.5604900500000003</v>
      </c>
      <c r="G197" s="2">
        <v>8.5752444299999997</v>
      </c>
      <c r="I197" t="str">
        <f t="shared" ref="I197:I198" si="2">TEXT(D197,"0.00")&amp;" ("&amp;TEXT(F197,"0.00")&amp;" to "&amp;TEXT(G197,"0.00")&amp;")"</f>
        <v>8.57 (8.56 to 8.58)</v>
      </c>
    </row>
    <row r="198" spans="1:9" x14ac:dyDescent="0.3">
      <c r="A198" s="6">
        <v>2</v>
      </c>
      <c r="B198" s="14" t="s">
        <v>114</v>
      </c>
      <c r="C198" s="2">
        <v>13459</v>
      </c>
      <c r="D198" s="2">
        <v>8.6605519999999991</v>
      </c>
      <c r="E198" s="2">
        <v>8.4049999999999993E-3</v>
      </c>
      <c r="F198" s="2">
        <v>8.6440707299999993</v>
      </c>
      <c r="G198" s="2">
        <v>8.6770331200000008</v>
      </c>
      <c r="I198" t="str">
        <f t="shared" si="2"/>
        <v>8.66 (8.64 to 8.68)</v>
      </c>
    </row>
    <row r="202" spans="1:9" x14ac:dyDescent="0.3">
      <c r="A202" s="1" t="s">
        <v>237</v>
      </c>
    </row>
    <row r="204" spans="1:9" x14ac:dyDescent="0.3">
      <c r="A204" s="1" t="s">
        <v>1</v>
      </c>
    </row>
    <row r="205" spans="1:9" ht="17.25" thickBot="1" x14ac:dyDescent="0.35"/>
    <row r="206" spans="1:9" ht="16.5" customHeight="1" x14ac:dyDescent="0.3">
      <c r="A206" s="16" t="s">
        <v>135</v>
      </c>
      <c r="B206" s="18"/>
    </row>
    <row r="207" spans="1:9" ht="26.25" thickBot="1" x14ac:dyDescent="0.35">
      <c r="A207" s="12" t="s">
        <v>136</v>
      </c>
      <c r="B207" s="2">
        <v>183</v>
      </c>
    </row>
    <row r="208" spans="1:9" ht="26.25" thickBot="1" x14ac:dyDescent="0.35">
      <c r="A208" s="12" t="s">
        <v>137</v>
      </c>
      <c r="B208" s="2">
        <v>2949</v>
      </c>
    </row>
    <row r="209" spans="1:6" ht="39" thickBot="1" x14ac:dyDescent="0.35">
      <c r="A209" s="12" t="s">
        <v>138</v>
      </c>
      <c r="B209" s="2">
        <v>23222</v>
      </c>
    </row>
    <row r="210" spans="1:6" ht="25.5" x14ac:dyDescent="0.3">
      <c r="A210" s="13" t="s">
        <v>139</v>
      </c>
      <c r="B210" s="2">
        <v>9036880.5199999996</v>
      </c>
    </row>
    <row r="211" spans="1:6" ht="17.25" thickBot="1" x14ac:dyDescent="0.35"/>
    <row r="212" spans="1:6" ht="33" customHeight="1" x14ac:dyDescent="0.3">
      <c r="A212" s="16" t="s">
        <v>140</v>
      </c>
      <c r="B212" s="18"/>
    </row>
    <row r="213" spans="1:6" ht="33.75" thickBot="1" x14ac:dyDescent="0.35">
      <c r="A213" s="12" t="s">
        <v>141</v>
      </c>
      <c r="B213" s="2" t="s">
        <v>142</v>
      </c>
    </row>
    <row r="214" spans="1:6" ht="25.5" x14ac:dyDescent="0.3">
      <c r="A214" s="13" t="s">
        <v>143</v>
      </c>
      <c r="B214" s="2" t="s">
        <v>144</v>
      </c>
    </row>
    <row r="215" spans="1:6" ht="17.25" thickBot="1" x14ac:dyDescent="0.35"/>
    <row r="216" spans="1:6" ht="16.5" customHeight="1" x14ac:dyDescent="0.3">
      <c r="A216" s="16" t="s">
        <v>238</v>
      </c>
      <c r="B216" s="18"/>
      <c r="C216" s="18"/>
      <c r="D216" s="18"/>
      <c r="E216" s="18"/>
      <c r="F216" s="18"/>
    </row>
    <row r="217" spans="1:6" x14ac:dyDescent="0.3">
      <c r="A217" s="17" t="s">
        <v>239</v>
      </c>
      <c r="B217" s="19" t="s">
        <v>94</v>
      </c>
      <c r="C217" s="19" t="s">
        <v>240</v>
      </c>
      <c r="D217" s="3" t="s">
        <v>241</v>
      </c>
      <c r="E217" s="19" t="s">
        <v>243</v>
      </c>
      <c r="F217" s="19"/>
    </row>
    <row r="218" spans="1:6" x14ac:dyDescent="0.3">
      <c r="A218" s="17"/>
      <c r="B218" s="19"/>
      <c r="C218" s="19"/>
      <c r="D218" s="3" t="s">
        <v>242</v>
      </c>
      <c r="E218" s="19"/>
      <c r="F218" s="19"/>
    </row>
    <row r="219" spans="1:6" x14ac:dyDescent="0.3">
      <c r="A219" s="13" t="s">
        <v>114</v>
      </c>
      <c r="B219" s="2">
        <v>23222</v>
      </c>
      <c r="C219" s="2">
        <v>8.4582850000000001</v>
      </c>
      <c r="D219" s="2">
        <v>5.8770000000000003E-3</v>
      </c>
      <c r="E219" s="2">
        <v>8.4467599599999996</v>
      </c>
      <c r="F219" s="2">
        <v>8.4698092999999997</v>
      </c>
    </row>
    <row r="223" spans="1:6" x14ac:dyDescent="0.3">
      <c r="A223" s="1" t="s">
        <v>237</v>
      </c>
    </row>
    <row r="225" spans="1:7" x14ac:dyDescent="0.3">
      <c r="A225" s="1" t="s">
        <v>1</v>
      </c>
    </row>
    <row r="226" spans="1:7" ht="17.25" thickBot="1" x14ac:dyDescent="0.35"/>
    <row r="227" spans="1:7" ht="16.5" customHeight="1" x14ac:dyDescent="0.3">
      <c r="A227" s="16" t="s">
        <v>269</v>
      </c>
      <c r="B227" s="18"/>
      <c r="C227" s="18"/>
      <c r="D227" s="18"/>
      <c r="E227" s="18"/>
      <c r="F227" s="18"/>
      <c r="G227" s="18"/>
    </row>
    <row r="228" spans="1:7" x14ac:dyDescent="0.3">
      <c r="A228" s="17" t="s">
        <v>8</v>
      </c>
      <c r="B228" s="19" t="s">
        <v>239</v>
      </c>
      <c r="C228" s="19" t="s">
        <v>94</v>
      </c>
      <c r="D228" s="19" t="s">
        <v>240</v>
      </c>
      <c r="E228" s="3" t="s">
        <v>241</v>
      </c>
      <c r="F228" s="19" t="s">
        <v>243</v>
      </c>
      <c r="G228" s="19"/>
    </row>
    <row r="229" spans="1:7" x14ac:dyDescent="0.3">
      <c r="A229" s="17"/>
      <c r="B229" s="19"/>
      <c r="C229" s="19"/>
      <c r="D229" s="19"/>
      <c r="E229" s="3" t="s">
        <v>242</v>
      </c>
      <c r="F229" s="19"/>
      <c r="G229" s="19"/>
    </row>
    <row r="230" spans="1:7" ht="17.25" thickBot="1" x14ac:dyDescent="0.35">
      <c r="A230" s="6">
        <v>1</v>
      </c>
      <c r="B230" s="11" t="s">
        <v>114</v>
      </c>
      <c r="C230" s="2">
        <v>4800</v>
      </c>
      <c r="D230" s="2">
        <v>8.6829809999999998</v>
      </c>
      <c r="E230" s="2">
        <v>1.1486E-2</v>
      </c>
      <c r="F230" s="2">
        <v>8.6604583099999992</v>
      </c>
      <c r="G230" s="2">
        <v>8.7055042500000006</v>
      </c>
    </row>
    <row r="231" spans="1:7" ht="17.25" thickBot="1" x14ac:dyDescent="0.35">
      <c r="A231" s="6">
        <v>2</v>
      </c>
      <c r="B231" s="11" t="s">
        <v>114</v>
      </c>
      <c r="C231" s="2">
        <v>4957</v>
      </c>
      <c r="D231" s="2">
        <v>8.3674959999999992</v>
      </c>
      <c r="E231" s="2">
        <v>1.1297E-2</v>
      </c>
      <c r="F231" s="2">
        <v>8.3453436199999995</v>
      </c>
      <c r="G231" s="2">
        <v>8.3896478800000001</v>
      </c>
    </row>
    <row r="232" spans="1:7" ht="17.25" thickBot="1" x14ac:dyDescent="0.35">
      <c r="A232" s="6">
        <v>3</v>
      </c>
      <c r="B232" s="11" t="s">
        <v>114</v>
      </c>
      <c r="C232" s="2">
        <v>5130</v>
      </c>
      <c r="D232" s="2">
        <v>8.3502910000000004</v>
      </c>
      <c r="E232" s="2">
        <v>1.0485E-2</v>
      </c>
      <c r="F232" s="2">
        <v>8.3297317399999997</v>
      </c>
      <c r="G232" s="2">
        <v>8.3708494800000004</v>
      </c>
    </row>
    <row r="233" spans="1:7" ht="17.25" thickBot="1" x14ac:dyDescent="0.35">
      <c r="A233" s="6">
        <v>4</v>
      </c>
      <c r="B233" s="11" t="s">
        <v>114</v>
      </c>
      <c r="C233" s="2">
        <v>3867</v>
      </c>
      <c r="D233" s="2">
        <v>8.4873849999999997</v>
      </c>
      <c r="E233" s="2">
        <v>1.2630000000000001E-2</v>
      </c>
      <c r="F233" s="2">
        <v>8.4626195800000001</v>
      </c>
      <c r="G233" s="2">
        <v>8.5121496899999993</v>
      </c>
    </row>
    <row r="234" spans="1:7" x14ac:dyDescent="0.3">
      <c r="A234" s="6">
        <v>8</v>
      </c>
      <c r="B234" s="14" t="s">
        <v>114</v>
      </c>
      <c r="C234" s="2">
        <v>4468</v>
      </c>
      <c r="D234" s="2">
        <v>8.4837249999999997</v>
      </c>
      <c r="E234" s="2">
        <v>1.2677000000000001E-2</v>
      </c>
      <c r="F234" s="2">
        <v>8.4588686000000006</v>
      </c>
      <c r="G234" s="2">
        <v>8.5085816800000007</v>
      </c>
    </row>
    <row r="238" spans="1:7" x14ac:dyDescent="0.3">
      <c r="A238" s="1" t="s">
        <v>237</v>
      </c>
    </row>
    <row r="240" spans="1:7" x14ac:dyDescent="0.3">
      <c r="A240" s="1" t="s">
        <v>21</v>
      </c>
    </row>
    <row r="241" spans="1:6" ht="17.25" thickBot="1" x14ac:dyDescent="0.35"/>
    <row r="242" spans="1:6" ht="16.5" customHeight="1" x14ac:dyDescent="0.3">
      <c r="A242" s="16" t="s">
        <v>135</v>
      </c>
      <c r="B242" s="18"/>
    </row>
    <row r="243" spans="1:6" ht="26.25" thickBot="1" x14ac:dyDescent="0.35">
      <c r="A243" s="12" t="s">
        <v>136</v>
      </c>
      <c r="B243" s="2">
        <v>183</v>
      </c>
    </row>
    <row r="244" spans="1:6" ht="26.25" thickBot="1" x14ac:dyDescent="0.35">
      <c r="A244" s="12" t="s">
        <v>137</v>
      </c>
      <c r="B244" s="2">
        <v>2982</v>
      </c>
    </row>
    <row r="245" spans="1:6" ht="39" thickBot="1" x14ac:dyDescent="0.35">
      <c r="A245" s="12" t="s">
        <v>138</v>
      </c>
      <c r="B245" s="2">
        <v>68635</v>
      </c>
    </row>
    <row r="246" spans="1:6" ht="25.5" x14ac:dyDescent="0.3">
      <c r="A246" s="13" t="s">
        <v>139</v>
      </c>
      <c r="B246" s="2">
        <v>30251935.699999999</v>
      </c>
    </row>
    <row r="247" spans="1:6" ht="17.25" thickBot="1" x14ac:dyDescent="0.35"/>
    <row r="248" spans="1:6" ht="33" customHeight="1" x14ac:dyDescent="0.3">
      <c r="A248" s="16" t="s">
        <v>140</v>
      </c>
      <c r="B248" s="18"/>
    </row>
    <row r="249" spans="1:6" ht="33.75" thickBot="1" x14ac:dyDescent="0.35">
      <c r="A249" s="12" t="s">
        <v>141</v>
      </c>
      <c r="B249" s="2" t="s">
        <v>142</v>
      </c>
    </row>
    <row r="250" spans="1:6" ht="25.5" x14ac:dyDescent="0.3">
      <c r="A250" s="13" t="s">
        <v>143</v>
      </c>
      <c r="B250" s="2" t="s">
        <v>144</v>
      </c>
    </row>
    <row r="251" spans="1:6" ht="17.25" thickBot="1" x14ac:dyDescent="0.35"/>
    <row r="252" spans="1:6" ht="16.5" customHeight="1" x14ac:dyDescent="0.3">
      <c r="A252" s="16" t="s">
        <v>238</v>
      </c>
      <c r="B252" s="18"/>
      <c r="C252" s="18"/>
      <c r="D252" s="18"/>
      <c r="E252" s="18"/>
      <c r="F252" s="18"/>
    </row>
    <row r="253" spans="1:6" x14ac:dyDescent="0.3">
      <c r="A253" s="17" t="s">
        <v>239</v>
      </c>
      <c r="B253" s="19" t="s">
        <v>94</v>
      </c>
      <c r="C253" s="19" t="s">
        <v>240</v>
      </c>
      <c r="D253" s="3" t="s">
        <v>241</v>
      </c>
      <c r="E253" s="19" t="s">
        <v>243</v>
      </c>
      <c r="F253" s="19"/>
    </row>
    <row r="254" spans="1:6" x14ac:dyDescent="0.3">
      <c r="A254" s="17"/>
      <c r="B254" s="19"/>
      <c r="C254" s="19"/>
      <c r="D254" s="3" t="s">
        <v>242</v>
      </c>
      <c r="E254" s="19"/>
      <c r="F254" s="19"/>
    </row>
    <row r="255" spans="1:6" x14ac:dyDescent="0.3">
      <c r="A255" s="13" t="s">
        <v>114</v>
      </c>
      <c r="B255" s="2">
        <v>68635</v>
      </c>
      <c r="C255" s="2">
        <v>8.5827570000000009</v>
      </c>
      <c r="D255" s="2">
        <v>3.4259999999999998E-3</v>
      </c>
      <c r="E255" s="2">
        <v>8.5760384700000003</v>
      </c>
      <c r="F255" s="2">
        <v>8.58947489</v>
      </c>
    </row>
    <row r="259" spans="1:9" x14ac:dyDescent="0.3">
      <c r="A259" s="1" t="s">
        <v>237</v>
      </c>
    </row>
    <row r="261" spans="1:9" x14ac:dyDescent="0.3">
      <c r="A261" s="1" t="s">
        <v>21</v>
      </c>
    </row>
    <row r="262" spans="1:9" ht="17.25" thickBot="1" x14ac:dyDescent="0.35"/>
    <row r="263" spans="1:9" ht="16.5" customHeight="1" x14ac:dyDescent="0.3">
      <c r="A263" s="16" t="s">
        <v>269</v>
      </c>
      <c r="B263" s="18"/>
      <c r="C263" s="18"/>
      <c r="D263" s="18"/>
      <c r="E263" s="18"/>
      <c r="F263" s="18"/>
      <c r="G263" s="18"/>
    </row>
    <row r="264" spans="1:9" x14ac:dyDescent="0.3">
      <c r="A264" s="17" t="s">
        <v>8</v>
      </c>
      <c r="B264" s="19" t="s">
        <v>239</v>
      </c>
      <c r="C264" s="19" t="s">
        <v>94</v>
      </c>
      <c r="D264" s="19" t="s">
        <v>240</v>
      </c>
      <c r="E264" s="3" t="s">
        <v>241</v>
      </c>
      <c r="F264" s="19" t="s">
        <v>243</v>
      </c>
      <c r="G264" s="19"/>
    </row>
    <row r="265" spans="1:9" x14ac:dyDescent="0.3">
      <c r="A265" s="17"/>
      <c r="B265" s="19"/>
      <c r="C265" s="19"/>
      <c r="D265" s="19"/>
      <c r="E265" s="3" t="s">
        <v>242</v>
      </c>
      <c r="F265" s="19"/>
      <c r="G265" s="19"/>
    </row>
    <row r="266" spans="1:9" ht="17.25" thickBot="1" x14ac:dyDescent="0.35">
      <c r="A266" s="6">
        <v>1</v>
      </c>
      <c r="B266" s="11" t="s">
        <v>114</v>
      </c>
      <c r="C266" s="2">
        <v>9199</v>
      </c>
      <c r="D266" s="2">
        <v>8.7443679999999997</v>
      </c>
      <c r="E266" s="2">
        <v>8.4080000000000005E-3</v>
      </c>
      <c r="F266" s="2">
        <v>8.7278821099999995</v>
      </c>
      <c r="G266" s="2">
        <v>8.7608543799999996</v>
      </c>
      <c r="I266" t="str">
        <f t="shared" ref="I266:I269" si="3">TEXT(D266,"0.00")&amp;" ("&amp;TEXT(F266,"0.00")&amp;" to "&amp;TEXT(G266,"0.00")&amp;")"</f>
        <v>8.74 (8.73 to 8.76)</v>
      </c>
    </row>
    <row r="267" spans="1:9" ht="17.25" thickBot="1" x14ac:dyDescent="0.35">
      <c r="A267" s="6">
        <v>2</v>
      </c>
      <c r="B267" s="11" t="s">
        <v>114</v>
      </c>
      <c r="C267" s="2">
        <v>7937</v>
      </c>
      <c r="D267" s="2">
        <v>8.7467620000000004</v>
      </c>
      <c r="E267" s="2">
        <v>9.1699999999999993E-3</v>
      </c>
      <c r="F267" s="2">
        <v>8.72878124</v>
      </c>
      <c r="G267" s="2">
        <v>8.7647428400000003</v>
      </c>
      <c r="I267" t="str">
        <f t="shared" si="3"/>
        <v>8.75 (8.73 to 8.76)</v>
      </c>
    </row>
    <row r="268" spans="1:9" ht="17.25" thickBot="1" x14ac:dyDescent="0.35">
      <c r="A268" s="6">
        <v>3</v>
      </c>
      <c r="B268" s="11" t="s">
        <v>114</v>
      </c>
      <c r="C268" s="2">
        <v>17758</v>
      </c>
      <c r="D268" s="2">
        <v>8.6586639999999999</v>
      </c>
      <c r="E268" s="2">
        <v>6.2529999999999999E-3</v>
      </c>
      <c r="F268" s="2">
        <v>8.6464031600000002</v>
      </c>
      <c r="G268" s="2">
        <v>8.6709255499999998</v>
      </c>
      <c r="I268" t="str">
        <f t="shared" si="3"/>
        <v>8.66 (8.65 to 8.67)</v>
      </c>
    </row>
    <row r="269" spans="1:9" x14ac:dyDescent="0.3">
      <c r="A269" s="6">
        <v>4</v>
      </c>
      <c r="B269" s="14" t="s">
        <v>114</v>
      </c>
      <c r="C269" s="2">
        <v>33741</v>
      </c>
      <c r="D269" s="2">
        <v>8.4937629999999995</v>
      </c>
      <c r="E269" s="2">
        <v>4.3249999999999999E-3</v>
      </c>
      <c r="F269" s="2">
        <v>8.4852830800000003</v>
      </c>
      <c r="G269" s="2">
        <v>8.5022432600000002</v>
      </c>
      <c r="I269" t="str">
        <f t="shared" si="3"/>
        <v>8.49 (8.49 to 8.50)</v>
      </c>
    </row>
    <row r="273" spans="1:6" x14ac:dyDescent="0.3">
      <c r="A273" s="1" t="s">
        <v>237</v>
      </c>
    </row>
    <row r="275" spans="1:6" x14ac:dyDescent="0.3">
      <c r="A275" s="1" t="s">
        <v>1</v>
      </c>
    </row>
    <row r="276" spans="1:6" ht="17.25" thickBot="1" x14ac:dyDescent="0.35"/>
    <row r="277" spans="1:6" ht="16.5" customHeight="1" x14ac:dyDescent="0.3">
      <c r="A277" s="16" t="s">
        <v>135</v>
      </c>
      <c r="B277" s="18"/>
    </row>
    <row r="278" spans="1:6" ht="26.25" thickBot="1" x14ac:dyDescent="0.35">
      <c r="A278" s="12" t="s">
        <v>136</v>
      </c>
      <c r="B278" s="2">
        <v>183</v>
      </c>
    </row>
    <row r="279" spans="1:6" ht="26.25" thickBot="1" x14ac:dyDescent="0.35">
      <c r="A279" s="12" t="s">
        <v>137</v>
      </c>
      <c r="B279" s="2">
        <v>2949</v>
      </c>
    </row>
    <row r="280" spans="1:6" ht="39" thickBot="1" x14ac:dyDescent="0.35">
      <c r="A280" s="12" t="s">
        <v>138</v>
      </c>
      <c r="B280" s="2">
        <v>23222</v>
      </c>
    </row>
    <row r="281" spans="1:6" ht="25.5" x14ac:dyDescent="0.3">
      <c r="A281" s="13" t="s">
        <v>139</v>
      </c>
      <c r="B281" s="2">
        <v>9036880.5199999996</v>
      </c>
    </row>
    <row r="282" spans="1:6" ht="17.25" thickBot="1" x14ac:dyDescent="0.35"/>
    <row r="283" spans="1:6" ht="33" customHeight="1" x14ac:dyDescent="0.3">
      <c r="A283" s="16" t="s">
        <v>140</v>
      </c>
      <c r="B283" s="18"/>
    </row>
    <row r="284" spans="1:6" ht="33.75" thickBot="1" x14ac:dyDescent="0.35">
      <c r="A284" s="12" t="s">
        <v>141</v>
      </c>
      <c r="B284" s="2" t="s">
        <v>142</v>
      </c>
    </row>
    <row r="285" spans="1:6" ht="25.5" x14ac:dyDescent="0.3">
      <c r="A285" s="13" t="s">
        <v>143</v>
      </c>
      <c r="B285" s="2" t="s">
        <v>144</v>
      </c>
    </row>
    <row r="286" spans="1:6" ht="17.25" thickBot="1" x14ac:dyDescent="0.35"/>
    <row r="287" spans="1:6" ht="16.5" customHeight="1" x14ac:dyDescent="0.3">
      <c r="A287" s="16" t="s">
        <v>238</v>
      </c>
      <c r="B287" s="18"/>
      <c r="C287" s="18"/>
      <c r="D287" s="18"/>
      <c r="E287" s="18"/>
      <c r="F287" s="18"/>
    </row>
    <row r="288" spans="1:6" x14ac:dyDescent="0.3">
      <c r="A288" s="17" t="s">
        <v>239</v>
      </c>
      <c r="B288" s="19" t="s">
        <v>94</v>
      </c>
      <c r="C288" s="19" t="s">
        <v>240</v>
      </c>
      <c r="D288" s="3" t="s">
        <v>241</v>
      </c>
      <c r="E288" s="19" t="s">
        <v>243</v>
      </c>
      <c r="F288" s="19"/>
    </row>
    <row r="289" spans="1:7" x14ac:dyDescent="0.3">
      <c r="A289" s="17"/>
      <c r="B289" s="19"/>
      <c r="C289" s="19"/>
      <c r="D289" s="3" t="s">
        <v>242</v>
      </c>
      <c r="E289" s="19"/>
      <c r="F289" s="19"/>
    </row>
    <row r="290" spans="1:7" x14ac:dyDescent="0.3">
      <c r="A290" s="13" t="s">
        <v>114</v>
      </c>
      <c r="B290" s="2">
        <v>23222</v>
      </c>
      <c r="C290" s="2">
        <v>8.4582850000000001</v>
      </c>
      <c r="D290" s="2">
        <v>5.8770000000000003E-3</v>
      </c>
      <c r="E290" s="2">
        <v>8.4467599599999996</v>
      </c>
      <c r="F290" s="2">
        <v>8.4698092999999997</v>
      </c>
    </row>
    <row r="294" spans="1:7" x14ac:dyDescent="0.3">
      <c r="A294" s="1" t="s">
        <v>237</v>
      </c>
    </row>
    <row r="296" spans="1:7" x14ac:dyDescent="0.3">
      <c r="A296" s="1" t="s">
        <v>1</v>
      </c>
    </row>
    <row r="297" spans="1:7" ht="17.25" thickBot="1" x14ac:dyDescent="0.35"/>
    <row r="298" spans="1:7" ht="16.5" customHeight="1" x14ac:dyDescent="0.3">
      <c r="A298" s="16" t="s">
        <v>270</v>
      </c>
      <c r="B298" s="18"/>
      <c r="C298" s="18"/>
      <c r="D298" s="18"/>
      <c r="E298" s="18"/>
      <c r="F298" s="18"/>
      <c r="G298" s="18"/>
    </row>
    <row r="299" spans="1:7" x14ac:dyDescent="0.3">
      <c r="A299" s="17" t="s">
        <v>9</v>
      </c>
      <c r="B299" s="19" t="s">
        <v>239</v>
      </c>
      <c r="C299" s="19" t="s">
        <v>94</v>
      </c>
      <c r="D299" s="19" t="s">
        <v>240</v>
      </c>
      <c r="E299" s="3" t="s">
        <v>241</v>
      </c>
      <c r="F299" s="19" t="s">
        <v>243</v>
      </c>
      <c r="G299" s="19"/>
    </row>
    <row r="300" spans="1:7" x14ac:dyDescent="0.3">
      <c r="A300" s="17"/>
      <c r="B300" s="19"/>
      <c r="C300" s="19"/>
      <c r="D300" s="19"/>
      <c r="E300" s="3" t="s">
        <v>242</v>
      </c>
      <c r="F300" s="19"/>
      <c r="G300" s="19"/>
    </row>
    <row r="301" spans="1:7" ht="17.25" thickBot="1" x14ac:dyDescent="0.35">
      <c r="A301" s="6">
        <v>1</v>
      </c>
      <c r="B301" s="11" t="s">
        <v>114</v>
      </c>
      <c r="C301" s="2">
        <v>5656</v>
      </c>
      <c r="D301" s="2">
        <v>8.6159149999999993</v>
      </c>
      <c r="E301" s="2">
        <v>1.1979E-2</v>
      </c>
      <c r="F301" s="2">
        <v>8.5924252499999998</v>
      </c>
      <c r="G301" s="2">
        <v>8.6394041500000007</v>
      </c>
    </row>
    <row r="302" spans="1:7" ht="17.25" thickBot="1" x14ac:dyDescent="0.35">
      <c r="A302" s="6">
        <v>2</v>
      </c>
      <c r="B302" s="11" t="s">
        <v>114</v>
      </c>
      <c r="C302" s="2">
        <v>6001</v>
      </c>
      <c r="D302" s="2">
        <v>8.4661570000000008</v>
      </c>
      <c r="E302" s="2">
        <v>1.0968E-2</v>
      </c>
      <c r="F302" s="2">
        <v>8.4446516700000007</v>
      </c>
      <c r="G302" s="2">
        <v>8.4876629599999998</v>
      </c>
    </row>
    <row r="303" spans="1:7" ht="17.25" thickBot="1" x14ac:dyDescent="0.35">
      <c r="A303" s="6">
        <v>3</v>
      </c>
      <c r="B303" s="11" t="s">
        <v>114</v>
      </c>
      <c r="C303" s="2">
        <v>5944</v>
      </c>
      <c r="D303" s="2">
        <v>8.4080410000000008</v>
      </c>
      <c r="E303" s="2">
        <v>1.0387E-2</v>
      </c>
      <c r="F303" s="2">
        <v>8.3876740999999999</v>
      </c>
      <c r="G303" s="2">
        <v>8.4284086800000004</v>
      </c>
    </row>
    <row r="304" spans="1:7" x14ac:dyDescent="0.3">
      <c r="A304" s="6">
        <v>4</v>
      </c>
      <c r="B304" s="14" t="s">
        <v>114</v>
      </c>
      <c r="C304" s="2">
        <v>5621</v>
      </c>
      <c r="D304" s="2">
        <v>8.3791930000000008</v>
      </c>
      <c r="E304" s="2">
        <v>1.1181E-2</v>
      </c>
      <c r="F304" s="2">
        <v>8.3572685199999999</v>
      </c>
      <c r="G304" s="2">
        <v>8.4011175599999994</v>
      </c>
    </row>
    <row r="308" spans="1:2" x14ac:dyDescent="0.3">
      <c r="A308" s="1" t="s">
        <v>237</v>
      </c>
    </row>
    <row r="310" spans="1:2" x14ac:dyDescent="0.3">
      <c r="A310" s="1" t="s">
        <v>21</v>
      </c>
    </row>
    <row r="311" spans="1:2" ht="17.25" thickBot="1" x14ac:dyDescent="0.35"/>
    <row r="312" spans="1:2" ht="16.5" customHeight="1" x14ac:dyDescent="0.3">
      <c r="A312" s="16" t="s">
        <v>135</v>
      </c>
      <c r="B312" s="18"/>
    </row>
    <row r="313" spans="1:2" ht="26.25" thickBot="1" x14ac:dyDescent="0.35">
      <c r="A313" s="12" t="s">
        <v>136</v>
      </c>
      <c r="B313" s="2">
        <v>183</v>
      </c>
    </row>
    <row r="314" spans="1:2" ht="26.25" thickBot="1" x14ac:dyDescent="0.35">
      <c r="A314" s="12" t="s">
        <v>137</v>
      </c>
      <c r="B314" s="2">
        <v>2982</v>
      </c>
    </row>
    <row r="315" spans="1:2" ht="39" thickBot="1" x14ac:dyDescent="0.35">
      <c r="A315" s="12" t="s">
        <v>138</v>
      </c>
      <c r="B315" s="2">
        <v>68635</v>
      </c>
    </row>
    <row r="316" spans="1:2" ht="25.5" x14ac:dyDescent="0.3">
      <c r="A316" s="13" t="s">
        <v>139</v>
      </c>
      <c r="B316" s="2">
        <v>30251935.699999999</v>
      </c>
    </row>
    <row r="317" spans="1:2" ht="17.25" thickBot="1" x14ac:dyDescent="0.35"/>
    <row r="318" spans="1:2" ht="33" customHeight="1" x14ac:dyDescent="0.3">
      <c r="A318" s="16" t="s">
        <v>140</v>
      </c>
      <c r="B318" s="18"/>
    </row>
    <row r="319" spans="1:2" ht="33.75" thickBot="1" x14ac:dyDescent="0.35">
      <c r="A319" s="12" t="s">
        <v>141</v>
      </c>
      <c r="B319" s="2" t="s">
        <v>142</v>
      </c>
    </row>
    <row r="320" spans="1:2" ht="25.5" x14ac:dyDescent="0.3">
      <c r="A320" s="13" t="s">
        <v>143</v>
      </c>
      <c r="B320" s="2" t="s">
        <v>144</v>
      </c>
    </row>
    <row r="321" spans="1:9" ht="17.25" thickBot="1" x14ac:dyDescent="0.35"/>
    <row r="322" spans="1:9" ht="16.5" customHeight="1" x14ac:dyDescent="0.3">
      <c r="A322" s="16" t="s">
        <v>238</v>
      </c>
      <c r="B322" s="18"/>
      <c r="C322" s="18"/>
      <c r="D322" s="18"/>
      <c r="E322" s="18"/>
      <c r="F322" s="18"/>
    </row>
    <row r="323" spans="1:9" x14ac:dyDescent="0.3">
      <c r="A323" s="17" t="s">
        <v>239</v>
      </c>
      <c r="B323" s="19" t="s">
        <v>94</v>
      </c>
      <c r="C323" s="19" t="s">
        <v>240</v>
      </c>
      <c r="D323" s="3" t="s">
        <v>241</v>
      </c>
      <c r="E323" s="19" t="s">
        <v>243</v>
      </c>
      <c r="F323" s="19"/>
    </row>
    <row r="324" spans="1:9" x14ac:dyDescent="0.3">
      <c r="A324" s="17"/>
      <c r="B324" s="19"/>
      <c r="C324" s="19"/>
      <c r="D324" s="3" t="s">
        <v>242</v>
      </c>
      <c r="E324" s="19"/>
      <c r="F324" s="19"/>
    </row>
    <row r="325" spans="1:9" x14ac:dyDescent="0.3">
      <c r="A325" s="13" t="s">
        <v>114</v>
      </c>
      <c r="B325" s="2">
        <v>68635</v>
      </c>
      <c r="C325" s="2">
        <v>8.5827570000000009</v>
      </c>
      <c r="D325" s="2">
        <v>3.4259999999999998E-3</v>
      </c>
      <c r="E325" s="2">
        <v>8.5760384700000003</v>
      </c>
      <c r="F325" s="2">
        <v>8.58947489</v>
      </c>
    </row>
    <row r="329" spans="1:9" x14ac:dyDescent="0.3">
      <c r="A329" s="1" t="s">
        <v>237</v>
      </c>
    </row>
    <row r="331" spans="1:9" x14ac:dyDescent="0.3">
      <c r="A331" s="1" t="s">
        <v>21</v>
      </c>
    </row>
    <row r="332" spans="1:9" ht="17.25" thickBot="1" x14ac:dyDescent="0.35"/>
    <row r="333" spans="1:9" ht="16.5" customHeight="1" x14ac:dyDescent="0.3">
      <c r="A333" s="16" t="s">
        <v>270</v>
      </c>
      <c r="B333" s="18"/>
      <c r="C333" s="18"/>
      <c r="D333" s="18"/>
      <c r="E333" s="18"/>
      <c r="F333" s="18"/>
      <c r="G333" s="18"/>
    </row>
    <row r="334" spans="1:9" x14ac:dyDescent="0.3">
      <c r="A334" s="17" t="s">
        <v>9</v>
      </c>
      <c r="B334" s="19" t="s">
        <v>239</v>
      </c>
      <c r="C334" s="19" t="s">
        <v>94</v>
      </c>
      <c r="D334" s="19" t="s">
        <v>240</v>
      </c>
      <c r="E334" s="3" t="s">
        <v>241</v>
      </c>
      <c r="F334" s="19" t="s">
        <v>243</v>
      </c>
      <c r="G334" s="19"/>
    </row>
    <row r="335" spans="1:9" x14ac:dyDescent="0.3">
      <c r="A335" s="17"/>
      <c r="B335" s="19"/>
      <c r="C335" s="19"/>
      <c r="D335" s="19"/>
      <c r="E335" s="3" t="s">
        <v>242</v>
      </c>
      <c r="F335" s="19"/>
      <c r="G335" s="19"/>
    </row>
    <row r="336" spans="1:9" ht="17.25" thickBot="1" x14ac:dyDescent="0.35">
      <c r="A336" s="6">
        <v>1</v>
      </c>
      <c r="B336" s="11" t="s">
        <v>114</v>
      </c>
      <c r="C336" s="2">
        <v>11265</v>
      </c>
      <c r="D336" s="2">
        <v>8.6671669999999992</v>
      </c>
      <c r="E336" s="2">
        <v>9.0329999999999994E-3</v>
      </c>
      <c r="F336" s="2">
        <v>8.6494549700000007</v>
      </c>
      <c r="G336" s="2">
        <v>8.6848799099999994</v>
      </c>
      <c r="I336" t="str">
        <f t="shared" ref="I336:I339" si="4">TEXT(D336,"0.00")&amp;" ("&amp;TEXT(F336,"0.00")&amp;" to "&amp;TEXT(G336,"0.00")&amp;")"</f>
        <v>8.67 (8.65 to 8.68)</v>
      </c>
    </row>
    <row r="337" spans="1:9" ht="17.25" thickBot="1" x14ac:dyDescent="0.35">
      <c r="A337" s="6">
        <v>2</v>
      </c>
      <c r="B337" s="11" t="s">
        <v>114</v>
      </c>
      <c r="C337" s="2">
        <v>16834</v>
      </c>
      <c r="D337" s="2">
        <v>8.5996699999999997</v>
      </c>
      <c r="E337" s="2">
        <v>6.7359999999999998E-3</v>
      </c>
      <c r="F337" s="2">
        <v>8.5864623200000008</v>
      </c>
      <c r="G337" s="2">
        <v>8.6128773400000007</v>
      </c>
      <c r="I337" t="str">
        <f t="shared" si="4"/>
        <v>8.60 (8.59 to 8.61)</v>
      </c>
    </row>
    <row r="338" spans="1:9" ht="17.25" thickBot="1" x14ac:dyDescent="0.35">
      <c r="A338" s="6">
        <v>3</v>
      </c>
      <c r="B338" s="11" t="s">
        <v>114</v>
      </c>
      <c r="C338" s="2">
        <v>19586</v>
      </c>
      <c r="D338" s="2">
        <v>8.571275</v>
      </c>
      <c r="E338" s="2">
        <v>5.8240000000000002E-3</v>
      </c>
      <c r="F338" s="2">
        <v>8.5598546899999999</v>
      </c>
      <c r="G338" s="2">
        <v>8.5826946999999993</v>
      </c>
      <c r="I338" t="str">
        <f t="shared" si="4"/>
        <v>8.57 (8.56 to 8.58)</v>
      </c>
    </row>
    <row r="339" spans="1:9" x14ac:dyDescent="0.3">
      <c r="A339" s="6">
        <v>4</v>
      </c>
      <c r="B339" s="14" t="s">
        <v>114</v>
      </c>
      <c r="C339" s="2">
        <v>20950</v>
      </c>
      <c r="D339" s="2">
        <v>8.5472889999999992</v>
      </c>
      <c r="E339" s="2">
        <v>5.7559999999999998E-3</v>
      </c>
      <c r="F339" s="2">
        <v>8.5360029199999996</v>
      </c>
      <c r="G339" s="2">
        <v>8.5585741899999999</v>
      </c>
      <c r="I339" t="str">
        <f t="shared" si="4"/>
        <v>8.55 (8.54 to 8.56)</v>
      </c>
    </row>
    <row r="343" spans="1:9" x14ac:dyDescent="0.3">
      <c r="A343" s="1" t="s">
        <v>237</v>
      </c>
    </row>
    <row r="345" spans="1:9" x14ac:dyDescent="0.3">
      <c r="A345" s="1" t="s">
        <v>1</v>
      </c>
    </row>
    <row r="346" spans="1:9" ht="17.25" thickBot="1" x14ac:dyDescent="0.35"/>
    <row r="347" spans="1:9" ht="16.5" customHeight="1" x14ac:dyDescent="0.3">
      <c r="A347" s="16" t="s">
        <v>135</v>
      </c>
      <c r="B347" s="18"/>
    </row>
    <row r="348" spans="1:9" ht="26.25" thickBot="1" x14ac:dyDescent="0.35">
      <c r="A348" s="12" t="s">
        <v>136</v>
      </c>
      <c r="B348" s="2">
        <v>183</v>
      </c>
    </row>
    <row r="349" spans="1:9" ht="26.25" thickBot="1" x14ac:dyDescent="0.35">
      <c r="A349" s="12" t="s">
        <v>137</v>
      </c>
      <c r="B349" s="2">
        <v>2949</v>
      </c>
    </row>
    <row r="350" spans="1:9" ht="39" thickBot="1" x14ac:dyDescent="0.35">
      <c r="A350" s="12" t="s">
        <v>138</v>
      </c>
      <c r="B350" s="2">
        <v>23222</v>
      </c>
    </row>
    <row r="351" spans="1:9" ht="25.5" x14ac:dyDescent="0.3">
      <c r="A351" s="13" t="s">
        <v>139</v>
      </c>
      <c r="B351" s="2">
        <v>9036880.5199999996</v>
      </c>
    </row>
    <row r="352" spans="1:9" ht="17.25" thickBot="1" x14ac:dyDescent="0.35"/>
    <row r="353" spans="1:7" ht="33" customHeight="1" x14ac:dyDescent="0.3">
      <c r="A353" s="16" t="s">
        <v>140</v>
      </c>
      <c r="B353" s="18"/>
    </row>
    <row r="354" spans="1:7" ht="33.75" thickBot="1" x14ac:dyDescent="0.35">
      <c r="A354" s="12" t="s">
        <v>141</v>
      </c>
      <c r="B354" s="2" t="s">
        <v>142</v>
      </c>
    </row>
    <row r="355" spans="1:7" ht="25.5" x14ac:dyDescent="0.3">
      <c r="A355" s="13" t="s">
        <v>143</v>
      </c>
      <c r="B355" s="2" t="s">
        <v>144</v>
      </c>
    </row>
    <row r="356" spans="1:7" ht="17.25" thickBot="1" x14ac:dyDescent="0.35"/>
    <row r="357" spans="1:7" ht="16.5" customHeight="1" x14ac:dyDescent="0.3">
      <c r="A357" s="16" t="s">
        <v>238</v>
      </c>
      <c r="B357" s="18"/>
      <c r="C357" s="18"/>
      <c r="D357" s="18"/>
      <c r="E357" s="18"/>
      <c r="F357" s="18"/>
    </row>
    <row r="358" spans="1:7" x14ac:dyDescent="0.3">
      <c r="A358" s="17" t="s">
        <v>239</v>
      </c>
      <c r="B358" s="19" t="s">
        <v>94</v>
      </c>
      <c r="C358" s="19" t="s">
        <v>240</v>
      </c>
      <c r="D358" s="3" t="s">
        <v>241</v>
      </c>
      <c r="E358" s="19" t="s">
        <v>243</v>
      </c>
      <c r="F358" s="19"/>
    </row>
    <row r="359" spans="1:7" x14ac:dyDescent="0.3">
      <c r="A359" s="17"/>
      <c r="B359" s="19"/>
      <c r="C359" s="19"/>
      <c r="D359" s="3" t="s">
        <v>242</v>
      </c>
      <c r="E359" s="19"/>
      <c r="F359" s="19"/>
    </row>
    <row r="360" spans="1:7" x14ac:dyDescent="0.3">
      <c r="A360" s="13" t="s">
        <v>114</v>
      </c>
      <c r="B360" s="2">
        <v>23222</v>
      </c>
      <c r="C360" s="2">
        <v>8.4582850000000001</v>
      </c>
      <c r="D360" s="2">
        <v>5.8770000000000003E-3</v>
      </c>
      <c r="E360" s="2">
        <v>8.4467599599999996</v>
      </c>
      <c r="F360" s="2">
        <v>8.4698092999999997</v>
      </c>
    </row>
    <row r="364" spans="1:7" x14ac:dyDescent="0.3">
      <c r="A364" s="1" t="s">
        <v>237</v>
      </c>
    </row>
    <row r="366" spans="1:7" x14ac:dyDescent="0.3">
      <c r="A366" s="1" t="s">
        <v>1</v>
      </c>
    </row>
    <row r="367" spans="1:7" ht="17.25" thickBot="1" x14ac:dyDescent="0.35"/>
    <row r="368" spans="1:7" ht="16.5" customHeight="1" x14ac:dyDescent="0.3">
      <c r="A368" s="16" t="s">
        <v>271</v>
      </c>
      <c r="B368" s="18"/>
      <c r="C368" s="18"/>
      <c r="D368" s="18"/>
      <c r="E368" s="18"/>
      <c r="F368" s="18"/>
      <c r="G368" s="18"/>
    </row>
    <row r="369" spans="1:7" x14ac:dyDescent="0.3">
      <c r="A369" s="17" t="s">
        <v>10</v>
      </c>
      <c r="B369" s="19" t="s">
        <v>239</v>
      </c>
      <c r="C369" s="19" t="s">
        <v>94</v>
      </c>
      <c r="D369" s="19" t="s">
        <v>240</v>
      </c>
      <c r="E369" s="3" t="s">
        <v>241</v>
      </c>
      <c r="F369" s="19" t="s">
        <v>243</v>
      </c>
      <c r="G369" s="19"/>
    </row>
    <row r="370" spans="1:7" x14ac:dyDescent="0.3">
      <c r="A370" s="17"/>
      <c r="B370" s="19"/>
      <c r="C370" s="19"/>
      <c r="D370" s="19"/>
      <c r="E370" s="3" t="s">
        <v>242</v>
      </c>
      <c r="F370" s="19"/>
      <c r="G370" s="19"/>
    </row>
    <row r="371" spans="1:7" ht="17.25" thickBot="1" x14ac:dyDescent="0.35">
      <c r="A371" s="6">
        <v>1</v>
      </c>
      <c r="B371" s="11" t="s">
        <v>114</v>
      </c>
      <c r="C371" s="2">
        <v>3061</v>
      </c>
      <c r="D371" s="2">
        <v>8.0534160000000004</v>
      </c>
      <c r="E371" s="2">
        <v>1.0042000000000001E-2</v>
      </c>
      <c r="F371" s="2">
        <v>8.0337251500000004</v>
      </c>
      <c r="G371" s="2">
        <v>8.0731075800000003</v>
      </c>
    </row>
    <row r="372" spans="1:7" ht="17.25" thickBot="1" x14ac:dyDescent="0.35">
      <c r="A372" s="6">
        <v>2</v>
      </c>
      <c r="B372" s="11" t="s">
        <v>114</v>
      </c>
      <c r="C372" s="2">
        <v>9324</v>
      </c>
      <c r="D372" s="2">
        <v>8.2931670000000004</v>
      </c>
      <c r="E372" s="2">
        <v>7.5139999999999998E-3</v>
      </c>
      <c r="F372" s="2">
        <v>8.2784323900000008</v>
      </c>
      <c r="G372" s="2">
        <v>8.30790118</v>
      </c>
    </row>
    <row r="373" spans="1:7" ht="17.25" thickBot="1" x14ac:dyDescent="0.35">
      <c r="A373" s="6">
        <v>3</v>
      </c>
      <c r="B373" s="11" t="s">
        <v>114</v>
      </c>
      <c r="C373" s="2">
        <v>4381</v>
      </c>
      <c r="D373" s="2">
        <v>8.5840510000000005</v>
      </c>
      <c r="E373" s="2">
        <v>1.2092E-2</v>
      </c>
      <c r="F373" s="2">
        <v>8.5603407699999998</v>
      </c>
      <c r="G373" s="2">
        <v>8.6077619199999997</v>
      </c>
    </row>
    <row r="374" spans="1:7" x14ac:dyDescent="0.3">
      <c r="A374" s="6">
        <v>4</v>
      </c>
      <c r="B374" s="14" t="s">
        <v>114</v>
      </c>
      <c r="C374" s="2">
        <v>6456</v>
      </c>
      <c r="D374" s="2">
        <v>8.8132739999999998</v>
      </c>
      <c r="E374" s="2">
        <v>1.0468E-2</v>
      </c>
      <c r="F374" s="2">
        <v>8.7927478800000003</v>
      </c>
      <c r="G374" s="2">
        <v>8.8337993499999996</v>
      </c>
    </row>
    <row r="378" spans="1:7" x14ac:dyDescent="0.3">
      <c r="A378" s="1" t="s">
        <v>237</v>
      </c>
    </row>
    <row r="380" spans="1:7" x14ac:dyDescent="0.3">
      <c r="A380" s="1" t="s">
        <v>21</v>
      </c>
    </row>
    <row r="381" spans="1:7" ht="17.25" thickBot="1" x14ac:dyDescent="0.35"/>
    <row r="382" spans="1:7" ht="16.5" customHeight="1" x14ac:dyDescent="0.3">
      <c r="A382" s="16" t="s">
        <v>135</v>
      </c>
      <c r="B382" s="18"/>
    </row>
    <row r="383" spans="1:7" ht="26.25" thickBot="1" x14ac:dyDescent="0.35">
      <c r="A383" s="12" t="s">
        <v>136</v>
      </c>
      <c r="B383" s="2">
        <v>183</v>
      </c>
    </row>
    <row r="384" spans="1:7" ht="26.25" thickBot="1" x14ac:dyDescent="0.35">
      <c r="A384" s="12" t="s">
        <v>137</v>
      </c>
      <c r="B384" s="2">
        <v>2982</v>
      </c>
    </row>
    <row r="385" spans="1:6" ht="39" thickBot="1" x14ac:dyDescent="0.35">
      <c r="A385" s="12" t="s">
        <v>138</v>
      </c>
      <c r="B385" s="2">
        <v>68635</v>
      </c>
    </row>
    <row r="386" spans="1:6" ht="25.5" x14ac:dyDescent="0.3">
      <c r="A386" s="13" t="s">
        <v>139</v>
      </c>
      <c r="B386" s="2">
        <v>30251935.699999999</v>
      </c>
    </row>
    <row r="387" spans="1:6" ht="17.25" thickBot="1" x14ac:dyDescent="0.35"/>
    <row r="388" spans="1:6" ht="33" customHeight="1" x14ac:dyDescent="0.3">
      <c r="A388" s="16" t="s">
        <v>140</v>
      </c>
      <c r="B388" s="18"/>
    </row>
    <row r="389" spans="1:6" ht="33.75" thickBot="1" x14ac:dyDescent="0.35">
      <c r="A389" s="12" t="s">
        <v>141</v>
      </c>
      <c r="B389" s="2" t="s">
        <v>142</v>
      </c>
    </row>
    <row r="390" spans="1:6" ht="25.5" x14ac:dyDescent="0.3">
      <c r="A390" s="13" t="s">
        <v>143</v>
      </c>
      <c r="B390" s="2" t="s">
        <v>144</v>
      </c>
    </row>
    <row r="391" spans="1:6" ht="17.25" thickBot="1" x14ac:dyDescent="0.35"/>
    <row r="392" spans="1:6" ht="16.5" customHeight="1" x14ac:dyDescent="0.3">
      <c r="A392" s="16" t="s">
        <v>238</v>
      </c>
      <c r="B392" s="18"/>
      <c r="C392" s="18"/>
      <c r="D392" s="18"/>
      <c r="E392" s="18"/>
      <c r="F392" s="18"/>
    </row>
    <row r="393" spans="1:6" x14ac:dyDescent="0.3">
      <c r="A393" s="17" t="s">
        <v>239</v>
      </c>
      <c r="B393" s="19" t="s">
        <v>94</v>
      </c>
      <c r="C393" s="19" t="s">
        <v>240</v>
      </c>
      <c r="D393" s="3" t="s">
        <v>241</v>
      </c>
      <c r="E393" s="19" t="s">
        <v>243</v>
      </c>
      <c r="F393" s="19"/>
    </row>
    <row r="394" spans="1:6" x14ac:dyDescent="0.3">
      <c r="A394" s="17"/>
      <c r="B394" s="19"/>
      <c r="C394" s="19"/>
      <c r="D394" s="3" t="s">
        <v>242</v>
      </c>
      <c r="E394" s="19"/>
      <c r="F394" s="19"/>
    </row>
    <row r="395" spans="1:6" x14ac:dyDescent="0.3">
      <c r="A395" s="13" t="s">
        <v>114</v>
      </c>
      <c r="B395" s="2">
        <v>68635</v>
      </c>
      <c r="C395" s="2">
        <v>8.5827570000000009</v>
      </c>
      <c r="D395" s="2">
        <v>3.4259999999999998E-3</v>
      </c>
      <c r="E395" s="2">
        <v>8.5760384700000003</v>
      </c>
      <c r="F395" s="2">
        <v>8.58947489</v>
      </c>
    </row>
    <row r="399" spans="1:6" x14ac:dyDescent="0.3">
      <c r="A399" s="1" t="s">
        <v>237</v>
      </c>
    </row>
    <row r="401" spans="1:9" x14ac:dyDescent="0.3">
      <c r="A401" s="1" t="s">
        <v>21</v>
      </c>
    </row>
    <row r="402" spans="1:9" ht="17.25" thickBot="1" x14ac:dyDescent="0.35"/>
    <row r="403" spans="1:9" ht="16.5" customHeight="1" x14ac:dyDescent="0.3">
      <c r="A403" s="16" t="s">
        <v>271</v>
      </c>
      <c r="B403" s="18"/>
      <c r="C403" s="18"/>
      <c r="D403" s="18"/>
      <c r="E403" s="18"/>
      <c r="F403" s="18"/>
      <c r="G403" s="18"/>
    </row>
    <row r="404" spans="1:9" x14ac:dyDescent="0.3">
      <c r="A404" s="17" t="s">
        <v>10</v>
      </c>
      <c r="B404" s="19" t="s">
        <v>239</v>
      </c>
      <c r="C404" s="19" t="s">
        <v>94</v>
      </c>
      <c r="D404" s="19" t="s">
        <v>240</v>
      </c>
      <c r="E404" s="3" t="s">
        <v>241</v>
      </c>
      <c r="F404" s="19" t="s">
        <v>243</v>
      </c>
      <c r="G404" s="19"/>
    </row>
    <row r="405" spans="1:9" x14ac:dyDescent="0.3">
      <c r="A405" s="17"/>
      <c r="B405" s="19"/>
      <c r="C405" s="19"/>
      <c r="D405" s="19"/>
      <c r="E405" s="3" t="s">
        <v>242</v>
      </c>
      <c r="F405" s="19"/>
      <c r="G405" s="19"/>
    </row>
    <row r="406" spans="1:9" ht="17.25" thickBot="1" x14ac:dyDescent="0.35">
      <c r="A406" s="6">
        <v>1</v>
      </c>
      <c r="B406" s="11" t="s">
        <v>114</v>
      </c>
      <c r="C406" s="2">
        <v>2777</v>
      </c>
      <c r="D406" s="2">
        <v>8.0783670000000001</v>
      </c>
      <c r="E406" s="2">
        <v>1.0402E-2</v>
      </c>
      <c r="F406" s="2">
        <v>8.0579711500000002</v>
      </c>
      <c r="G406" s="2">
        <v>8.0987620499999995</v>
      </c>
      <c r="I406" t="str">
        <f t="shared" ref="I406:I409" si="5">TEXT(D406,"0.00")&amp;" ("&amp;TEXT(F406,"0.00")&amp;" to "&amp;TEXT(G406,"0.00")&amp;")"</f>
        <v>8.08 (8.06 to 8.10)</v>
      </c>
    </row>
    <row r="407" spans="1:9" ht="17.25" thickBot="1" x14ac:dyDescent="0.35">
      <c r="A407" s="6">
        <v>2</v>
      </c>
      <c r="B407" s="11" t="s">
        <v>114</v>
      </c>
      <c r="C407" s="2">
        <v>26435</v>
      </c>
      <c r="D407" s="2">
        <v>8.3386069999999997</v>
      </c>
      <c r="E407" s="2">
        <v>4.6039999999999996E-3</v>
      </c>
      <c r="F407" s="2">
        <v>8.3295780700000002</v>
      </c>
      <c r="G407" s="2">
        <v>8.3476350000000004</v>
      </c>
      <c r="I407" t="str">
        <f t="shared" si="5"/>
        <v>8.34 (8.33 to 8.35)</v>
      </c>
    </row>
    <row r="408" spans="1:9" ht="17.25" thickBot="1" x14ac:dyDescent="0.35">
      <c r="A408" s="6">
        <v>3</v>
      </c>
      <c r="B408" s="11" t="s">
        <v>114</v>
      </c>
      <c r="C408" s="2">
        <v>16265</v>
      </c>
      <c r="D408" s="2">
        <v>8.6380339999999993</v>
      </c>
      <c r="E408" s="2">
        <v>6.2490000000000002E-3</v>
      </c>
      <c r="F408" s="2">
        <v>8.6257798500000007</v>
      </c>
      <c r="G408" s="2">
        <v>8.6502872699999998</v>
      </c>
      <c r="I408" t="str">
        <f t="shared" si="5"/>
        <v>8.64 (8.63 to 8.65)</v>
      </c>
    </row>
    <row r="409" spans="1:9" x14ac:dyDescent="0.3">
      <c r="A409" s="6">
        <v>4</v>
      </c>
      <c r="B409" s="14" t="s">
        <v>114</v>
      </c>
      <c r="C409" s="2">
        <v>23158</v>
      </c>
      <c r="D409" s="2">
        <v>8.881653</v>
      </c>
      <c r="E409" s="2">
        <v>5.2160000000000002E-3</v>
      </c>
      <c r="F409" s="2">
        <v>8.8714262599999998</v>
      </c>
      <c r="G409" s="2">
        <v>8.8918801999999992</v>
      </c>
      <c r="I409" t="str">
        <f t="shared" si="5"/>
        <v>8.88 (8.87 to 8.89)</v>
      </c>
    </row>
    <row r="413" spans="1:9" x14ac:dyDescent="0.3">
      <c r="A413" s="1" t="s">
        <v>237</v>
      </c>
    </row>
    <row r="415" spans="1:9" x14ac:dyDescent="0.3">
      <c r="A415" s="1" t="s">
        <v>1</v>
      </c>
    </row>
    <row r="416" spans="1:9" ht="17.25" thickBot="1" x14ac:dyDescent="0.35"/>
    <row r="417" spans="1:6" ht="16.5" customHeight="1" x14ac:dyDescent="0.3">
      <c r="A417" s="16" t="s">
        <v>135</v>
      </c>
      <c r="B417" s="18"/>
    </row>
    <row r="418" spans="1:6" ht="26.25" thickBot="1" x14ac:dyDescent="0.35">
      <c r="A418" s="12" t="s">
        <v>136</v>
      </c>
      <c r="B418" s="2">
        <v>183</v>
      </c>
    </row>
    <row r="419" spans="1:6" ht="26.25" thickBot="1" x14ac:dyDescent="0.35">
      <c r="A419" s="12" t="s">
        <v>137</v>
      </c>
      <c r="B419" s="2">
        <v>2949</v>
      </c>
    </row>
    <row r="420" spans="1:6" ht="39" thickBot="1" x14ac:dyDescent="0.35">
      <c r="A420" s="12" t="s">
        <v>138</v>
      </c>
      <c r="B420" s="2">
        <v>23222</v>
      </c>
    </row>
    <row r="421" spans="1:6" ht="25.5" x14ac:dyDescent="0.3">
      <c r="A421" s="13" t="s">
        <v>139</v>
      </c>
      <c r="B421" s="2">
        <v>9036880.5199999996</v>
      </c>
    </row>
    <row r="422" spans="1:6" ht="17.25" thickBot="1" x14ac:dyDescent="0.35"/>
    <row r="423" spans="1:6" ht="33" customHeight="1" x14ac:dyDescent="0.3">
      <c r="A423" s="16" t="s">
        <v>140</v>
      </c>
      <c r="B423" s="18"/>
    </row>
    <row r="424" spans="1:6" ht="33.75" thickBot="1" x14ac:dyDescent="0.35">
      <c r="A424" s="12" t="s">
        <v>141</v>
      </c>
      <c r="B424" s="2" t="s">
        <v>142</v>
      </c>
    </row>
    <row r="425" spans="1:6" ht="25.5" x14ac:dyDescent="0.3">
      <c r="A425" s="13" t="s">
        <v>143</v>
      </c>
      <c r="B425" s="2" t="s">
        <v>144</v>
      </c>
    </row>
    <row r="426" spans="1:6" ht="17.25" thickBot="1" x14ac:dyDescent="0.35"/>
    <row r="427" spans="1:6" ht="16.5" customHeight="1" x14ac:dyDescent="0.3">
      <c r="A427" s="16" t="s">
        <v>238</v>
      </c>
      <c r="B427" s="18"/>
      <c r="C427" s="18"/>
      <c r="D427" s="18"/>
      <c r="E427" s="18"/>
      <c r="F427" s="18"/>
    </row>
    <row r="428" spans="1:6" x14ac:dyDescent="0.3">
      <c r="A428" s="17" t="s">
        <v>239</v>
      </c>
      <c r="B428" s="19" t="s">
        <v>94</v>
      </c>
      <c r="C428" s="19" t="s">
        <v>240</v>
      </c>
      <c r="D428" s="3" t="s">
        <v>241</v>
      </c>
      <c r="E428" s="19" t="s">
        <v>243</v>
      </c>
      <c r="F428" s="19"/>
    </row>
    <row r="429" spans="1:6" x14ac:dyDescent="0.3">
      <c r="A429" s="17"/>
      <c r="B429" s="19"/>
      <c r="C429" s="19"/>
      <c r="D429" s="3" t="s">
        <v>242</v>
      </c>
      <c r="E429" s="19"/>
      <c r="F429" s="19"/>
    </row>
    <row r="430" spans="1:6" x14ac:dyDescent="0.3">
      <c r="A430" s="13" t="s">
        <v>114</v>
      </c>
      <c r="B430" s="2">
        <v>23222</v>
      </c>
      <c r="C430" s="2">
        <v>8.4582850000000001</v>
      </c>
      <c r="D430" s="2">
        <v>5.8770000000000003E-3</v>
      </c>
      <c r="E430" s="2">
        <v>8.4467599599999996</v>
      </c>
      <c r="F430" s="2">
        <v>8.4698092999999997</v>
      </c>
    </row>
    <row r="434" spans="1:7" x14ac:dyDescent="0.3">
      <c r="A434" s="1" t="s">
        <v>237</v>
      </c>
    </row>
    <row r="436" spans="1:7" x14ac:dyDescent="0.3">
      <c r="A436" s="1" t="s">
        <v>1</v>
      </c>
    </row>
    <row r="437" spans="1:7" ht="17.25" thickBot="1" x14ac:dyDescent="0.35"/>
    <row r="438" spans="1:7" ht="16.5" customHeight="1" x14ac:dyDescent="0.3">
      <c r="A438" s="16" t="s">
        <v>272</v>
      </c>
      <c r="B438" s="18"/>
      <c r="C438" s="18"/>
      <c r="D438" s="18"/>
      <c r="E438" s="18"/>
      <c r="F438" s="18"/>
      <c r="G438" s="18"/>
    </row>
    <row r="439" spans="1:7" x14ac:dyDescent="0.3">
      <c r="A439" s="17" t="s">
        <v>11</v>
      </c>
      <c r="B439" s="19" t="s">
        <v>239</v>
      </c>
      <c r="C439" s="19" t="s">
        <v>94</v>
      </c>
      <c r="D439" s="19" t="s">
        <v>240</v>
      </c>
      <c r="E439" s="3" t="s">
        <v>241</v>
      </c>
      <c r="F439" s="19" t="s">
        <v>243</v>
      </c>
      <c r="G439" s="19"/>
    </row>
    <row r="440" spans="1:7" x14ac:dyDescent="0.3">
      <c r="A440" s="17"/>
      <c r="B440" s="19"/>
      <c r="C440" s="19"/>
      <c r="D440" s="19"/>
      <c r="E440" s="3" t="s">
        <v>242</v>
      </c>
      <c r="F440" s="19"/>
      <c r="G440" s="19"/>
    </row>
    <row r="441" spans="1:7" ht="17.25" thickBot="1" x14ac:dyDescent="0.35">
      <c r="A441" s="6">
        <v>1</v>
      </c>
      <c r="B441" s="11" t="s">
        <v>114</v>
      </c>
      <c r="C441" s="2">
        <v>13616</v>
      </c>
      <c r="D441" s="2">
        <v>8.6936780000000002</v>
      </c>
      <c r="E441" s="2">
        <v>7.11E-3</v>
      </c>
      <c r="F441" s="2">
        <v>8.6797367100000002</v>
      </c>
      <c r="G441" s="2">
        <v>8.7076202499999997</v>
      </c>
    </row>
    <row r="442" spans="1:7" ht="17.25" thickBot="1" x14ac:dyDescent="0.35">
      <c r="A442" s="6">
        <v>2</v>
      </c>
      <c r="B442" s="11" t="s">
        <v>114</v>
      </c>
      <c r="C442" s="2">
        <v>9560</v>
      </c>
      <c r="D442" s="2">
        <v>8.1964830000000006</v>
      </c>
      <c r="E442" s="2">
        <v>7.561E-3</v>
      </c>
      <c r="F442" s="2">
        <v>8.18165677</v>
      </c>
      <c r="G442" s="2">
        <v>8.2113085899999998</v>
      </c>
    </row>
    <row r="443" spans="1:7" x14ac:dyDescent="0.3">
      <c r="A443" s="6">
        <v>8</v>
      </c>
      <c r="B443" s="14" t="s">
        <v>114</v>
      </c>
      <c r="C443" s="2">
        <v>46</v>
      </c>
      <c r="D443" s="2">
        <v>8.4642379999999999</v>
      </c>
      <c r="E443" s="2">
        <v>0.11251899999999999</v>
      </c>
      <c r="F443" s="2">
        <v>8.2436074799999997</v>
      </c>
      <c r="G443" s="2">
        <v>8.6848682099999994</v>
      </c>
    </row>
    <row r="447" spans="1:7" x14ac:dyDescent="0.3">
      <c r="A447" s="1" t="s">
        <v>237</v>
      </c>
    </row>
    <row r="449" spans="1:6" x14ac:dyDescent="0.3">
      <c r="A449" s="1" t="s">
        <v>21</v>
      </c>
    </row>
    <row r="450" spans="1:6" ht="17.25" thickBot="1" x14ac:dyDescent="0.35"/>
    <row r="451" spans="1:6" ht="16.5" customHeight="1" x14ac:dyDescent="0.3">
      <c r="A451" s="16" t="s">
        <v>135</v>
      </c>
      <c r="B451" s="18"/>
    </row>
    <row r="452" spans="1:6" ht="26.25" thickBot="1" x14ac:dyDescent="0.35">
      <c r="A452" s="12" t="s">
        <v>136</v>
      </c>
      <c r="B452" s="2">
        <v>183</v>
      </c>
    </row>
    <row r="453" spans="1:6" ht="26.25" thickBot="1" x14ac:dyDescent="0.35">
      <c r="A453" s="12" t="s">
        <v>137</v>
      </c>
      <c r="B453" s="2">
        <v>2982</v>
      </c>
    </row>
    <row r="454" spans="1:6" ht="39" thickBot="1" x14ac:dyDescent="0.35">
      <c r="A454" s="12" t="s">
        <v>138</v>
      </c>
      <c r="B454" s="2">
        <v>68635</v>
      </c>
    </row>
    <row r="455" spans="1:6" ht="25.5" x14ac:dyDescent="0.3">
      <c r="A455" s="13" t="s">
        <v>139</v>
      </c>
      <c r="B455" s="2">
        <v>30251935.699999999</v>
      </c>
    </row>
    <row r="456" spans="1:6" ht="17.25" thickBot="1" x14ac:dyDescent="0.35"/>
    <row r="457" spans="1:6" ht="33" customHeight="1" x14ac:dyDescent="0.3">
      <c r="A457" s="16" t="s">
        <v>140</v>
      </c>
      <c r="B457" s="18"/>
    </row>
    <row r="458" spans="1:6" ht="33.75" thickBot="1" x14ac:dyDescent="0.35">
      <c r="A458" s="12" t="s">
        <v>141</v>
      </c>
      <c r="B458" s="2" t="s">
        <v>142</v>
      </c>
    </row>
    <row r="459" spans="1:6" ht="25.5" x14ac:dyDescent="0.3">
      <c r="A459" s="13" t="s">
        <v>143</v>
      </c>
      <c r="B459" s="2" t="s">
        <v>144</v>
      </c>
    </row>
    <row r="460" spans="1:6" ht="17.25" thickBot="1" x14ac:dyDescent="0.35"/>
    <row r="461" spans="1:6" ht="16.5" customHeight="1" x14ac:dyDescent="0.3">
      <c r="A461" s="16" t="s">
        <v>238</v>
      </c>
      <c r="B461" s="18"/>
      <c r="C461" s="18"/>
      <c r="D461" s="18"/>
      <c r="E461" s="18"/>
      <c r="F461" s="18"/>
    </row>
    <row r="462" spans="1:6" x14ac:dyDescent="0.3">
      <c r="A462" s="17" t="s">
        <v>239</v>
      </c>
      <c r="B462" s="19" t="s">
        <v>94</v>
      </c>
      <c r="C462" s="19" t="s">
        <v>240</v>
      </c>
      <c r="D462" s="3" t="s">
        <v>241</v>
      </c>
      <c r="E462" s="19" t="s">
        <v>243</v>
      </c>
      <c r="F462" s="19"/>
    </row>
    <row r="463" spans="1:6" x14ac:dyDescent="0.3">
      <c r="A463" s="17"/>
      <c r="B463" s="19"/>
      <c r="C463" s="19"/>
      <c r="D463" s="3" t="s">
        <v>242</v>
      </c>
      <c r="E463" s="19"/>
      <c r="F463" s="19"/>
    </row>
    <row r="464" spans="1:6" x14ac:dyDescent="0.3">
      <c r="A464" s="13" t="s">
        <v>114</v>
      </c>
      <c r="B464" s="2">
        <v>68635</v>
      </c>
      <c r="C464" s="2">
        <v>8.5827570000000009</v>
      </c>
      <c r="D464" s="2">
        <v>3.4259999999999998E-3</v>
      </c>
      <c r="E464" s="2">
        <v>8.5760384700000003</v>
      </c>
      <c r="F464" s="2">
        <v>8.58947489</v>
      </c>
    </row>
    <row r="468" spans="1:9" x14ac:dyDescent="0.3">
      <c r="A468" s="1" t="s">
        <v>237</v>
      </c>
    </row>
    <row r="470" spans="1:9" x14ac:dyDescent="0.3">
      <c r="A470" s="1" t="s">
        <v>21</v>
      </c>
    </row>
    <row r="471" spans="1:9" ht="17.25" thickBot="1" x14ac:dyDescent="0.35"/>
    <row r="472" spans="1:9" ht="16.5" customHeight="1" x14ac:dyDescent="0.3">
      <c r="A472" s="16" t="s">
        <v>272</v>
      </c>
      <c r="B472" s="18"/>
      <c r="C472" s="18"/>
      <c r="D472" s="18"/>
      <c r="E472" s="18"/>
      <c r="F472" s="18"/>
      <c r="G472" s="18"/>
    </row>
    <row r="473" spans="1:9" x14ac:dyDescent="0.3">
      <c r="A473" s="17" t="s">
        <v>11</v>
      </c>
      <c r="B473" s="19" t="s">
        <v>239</v>
      </c>
      <c r="C473" s="19" t="s">
        <v>94</v>
      </c>
      <c r="D473" s="19" t="s">
        <v>240</v>
      </c>
      <c r="E473" s="3" t="s">
        <v>241</v>
      </c>
      <c r="F473" s="19" t="s">
        <v>243</v>
      </c>
      <c r="G473" s="19"/>
    </row>
    <row r="474" spans="1:9" x14ac:dyDescent="0.3">
      <c r="A474" s="17"/>
      <c r="B474" s="19"/>
      <c r="C474" s="19"/>
      <c r="D474" s="19"/>
      <c r="E474" s="3" t="s">
        <v>242</v>
      </c>
      <c r="F474" s="19"/>
      <c r="G474" s="19"/>
    </row>
    <row r="475" spans="1:9" ht="17.25" thickBot="1" x14ac:dyDescent="0.35">
      <c r="A475" s="6">
        <v>1</v>
      </c>
      <c r="B475" s="11" t="s">
        <v>114</v>
      </c>
      <c r="C475" s="2">
        <v>56814</v>
      </c>
      <c r="D475" s="2">
        <v>8.6521050000000006</v>
      </c>
      <c r="E475" s="2">
        <v>3.565E-3</v>
      </c>
      <c r="F475" s="2">
        <v>8.6451142700000005</v>
      </c>
      <c r="G475" s="2">
        <v>8.65909628</v>
      </c>
      <c r="I475" t="str">
        <f t="shared" ref="I475:I476" si="6">TEXT(D475,"0.00")&amp;" ("&amp;TEXT(F475,"0.00")&amp;" to "&amp;TEXT(G475,"0.00")&amp;")"</f>
        <v>8.65 (8.65 to 8.66)</v>
      </c>
    </row>
    <row r="476" spans="1:9" x14ac:dyDescent="0.3">
      <c r="A476" s="6">
        <v>2</v>
      </c>
      <c r="B476" s="14" t="s">
        <v>114</v>
      </c>
      <c r="C476" s="2">
        <v>11821</v>
      </c>
      <c r="D476" s="2">
        <v>8.3667960000000008</v>
      </c>
      <c r="E476" s="2">
        <v>7.2430000000000003E-3</v>
      </c>
      <c r="F476" s="2">
        <v>8.3525943500000004</v>
      </c>
      <c r="G476" s="2">
        <v>8.3809971500000007</v>
      </c>
      <c r="I476" t="str">
        <f t="shared" si="6"/>
        <v>8.37 (8.35 to 8.38)</v>
      </c>
    </row>
    <row r="480" spans="1:9" x14ac:dyDescent="0.3">
      <c r="A480" s="1" t="s">
        <v>237</v>
      </c>
    </row>
    <row r="482" spans="1:6" x14ac:dyDescent="0.3">
      <c r="A482" s="1" t="s">
        <v>1</v>
      </c>
    </row>
    <row r="483" spans="1:6" ht="17.25" thickBot="1" x14ac:dyDescent="0.35"/>
    <row r="484" spans="1:6" ht="16.5" customHeight="1" x14ac:dyDescent="0.3">
      <c r="A484" s="16" t="s">
        <v>135</v>
      </c>
      <c r="B484" s="18"/>
    </row>
    <row r="485" spans="1:6" ht="26.25" thickBot="1" x14ac:dyDescent="0.35">
      <c r="A485" s="12" t="s">
        <v>136</v>
      </c>
      <c r="B485" s="2">
        <v>183</v>
      </c>
    </row>
    <row r="486" spans="1:6" ht="26.25" thickBot="1" x14ac:dyDescent="0.35">
      <c r="A486" s="12" t="s">
        <v>137</v>
      </c>
      <c r="B486" s="2">
        <v>2949</v>
      </c>
    </row>
    <row r="487" spans="1:6" ht="39" thickBot="1" x14ac:dyDescent="0.35">
      <c r="A487" s="12" t="s">
        <v>138</v>
      </c>
      <c r="B487" s="2">
        <v>23222</v>
      </c>
    </row>
    <row r="488" spans="1:6" ht="25.5" x14ac:dyDescent="0.3">
      <c r="A488" s="13" t="s">
        <v>139</v>
      </c>
      <c r="B488" s="2">
        <v>9036880.5199999996</v>
      </c>
    </row>
    <row r="489" spans="1:6" ht="17.25" thickBot="1" x14ac:dyDescent="0.35"/>
    <row r="490" spans="1:6" ht="33" customHeight="1" x14ac:dyDescent="0.3">
      <c r="A490" s="16" t="s">
        <v>140</v>
      </c>
      <c r="B490" s="18"/>
    </row>
    <row r="491" spans="1:6" ht="33.75" thickBot="1" x14ac:dyDescent="0.35">
      <c r="A491" s="12" t="s">
        <v>141</v>
      </c>
      <c r="B491" s="2" t="s">
        <v>142</v>
      </c>
    </row>
    <row r="492" spans="1:6" ht="25.5" x14ac:dyDescent="0.3">
      <c r="A492" s="13" t="s">
        <v>143</v>
      </c>
      <c r="B492" s="2" t="s">
        <v>144</v>
      </c>
    </row>
    <row r="493" spans="1:6" ht="17.25" thickBot="1" x14ac:dyDescent="0.35"/>
    <row r="494" spans="1:6" ht="16.5" customHeight="1" x14ac:dyDescent="0.3">
      <c r="A494" s="16" t="s">
        <v>238</v>
      </c>
      <c r="B494" s="18"/>
      <c r="C494" s="18"/>
      <c r="D494" s="18"/>
      <c r="E494" s="18"/>
      <c r="F494" s="18"/>
    </row>
    <row r="495" spans="1:6" x14ac:dyDescent="0.3">
      <c r="A495" s="17" t="s">
        <v>239</v>
      </c>
      <c r="B495" s="19" t="s">
        <v>94</v>
      </c>
      <c r="C495" s="19" t="s">
        <v>240</v>
      </c>
      <c r="D495" s="3" t="s">
        <v>241</v>
      </c>
      <c r="E495" s="19" t="s">
        <v>243</v>
      </c>
      <c r="F495" s="19"/>
    </row>
    <row r="496" spans="1:6" x14ac:dyDescent="0.3">
      <c r="A496" s="17"/>
      <c r="B496" s="19"/>
      <c r="C496" s="19"/>
      <c r="D496" s="3" t="s">
        <v>242</v>
      </c>
      <c r="E496" s="19"/>
      <c r="F496" s="19"/>
    </row>
    <row r="497" spans="1:7" x14ac:dyDescent="0.3">
      <c r="A497" s="13" t="s">
        <v>114</v>
      </c>
      <c r="B497" s="2">
        <v>23222</v>
      </c>
      <c r="C497" s="2">
        <v>8.4582850000000001</v>
      </c>
      <c r="D497" s="2">
        <v>5.8770000000000003E-3</v>
      </c>
      <c r="E497" s="2">
        <v>8.4467599599999996</v>
      </c>
      <c r="F497" s="2">
        <v>8.4698092999999997</v>
      </c>
    </row>
    <row r="501" spans="1:7" x14ac:dyDescent="0.3">
      <c r="A501" s="1" t="s">
        <v>237</v>
      </c>
    </row>
    <row r="503" spans="1:7" x14ac:dyDescent="0.3">
      <c r="A503" s="1" t="s">
        <v>1</v>
      </c>
    </row>
    <row r="504" spans="1:7" ht="17.25" thickBot="1" x14ac:dyDescent="0.35"/>
    <row r="505" spans="1:7" ht="16.5" customHeight="1" x14ac:dyDescent="0.3">
      <c r="A505" s="16" t="s">
        <v>273</v>
      </c>
      <c r="B505" s="18"/>
      <c r="C505" s="18"/>
      <c r="D505" s="18"/>
      <c r="E505" s="18"/>
      <c r="F505" s="18"/>
      <c r="G505" s="18"/>
    </row>
    <row r="506" spans="1:7" x14ac:dyDescent="0.3">
      <c r="A506" s="17" t="s">
        <v>12</v>
      </c>
      <c r="B506" s="19" t="s">
        <v>239</v>
      </c>
      <c r="C506" s="19" t="s">
        <v>94</v>
      </c>
      <c r="D506" s="19" t="s">
        <v>240</v>
      </c>
      <c r="E506" s="3" t="s">
        <v>241</v>
      </c>
      <c r="F506" s="19" t="s">
        <v>243</v>
      </c>
      <c r="G506" s="19"/>
    </row>
    <row r="507" spans="1:7" x14ac:dyDescent="0.3">
      <c r="A507" s="17"/>
      <c r="B507" s="19"/>
      <c r="C507" s="19"/>
      <c r="D507" s="19"/>
      <c r="E507" s="3" t="s">
        <v>242</v>
      </c>
      <c r="F507" s="19"/>
      <c r="G507" s="19"/>
    </row>
    <row r="508" spans="1:7" ht="17.25" thickBot="1" x14ac:dyDescent="0.35">
      <c r="A508" s="6">
        <v>1</v>
      </c>
      <c r="B508" s="11" t="s">
        <v>114</v>
      </c>
      <c r="C508" s="2">
        <v>8851</v>
      </c>
      <c r="D508" s="2">
        <v>8.2859429999999996</v>
      </c>
      <c r="E508" s="2">
        <v>8.0520000000000001E-3</v>
      </c>
      <c r="F508" s="2">
        <v>8.2701538200000009</v>
      </c>
      <c r="G508" s="2">
        <v>8.3017327600000002</v>
      </c>
    </row>
    <row r="509" spans="1:7" ht="17.25" thickBot="1" x14ac:dyDescent="0.35">
      <c r="A509" s="6">
        <v>2</v>
      </c>
      <c r="B509" s="11" t="s">
        <v>114</v>
      </c>
      <c r="C509" s="2">
        <v>7985</v>
      </c>
      <c r="D509" s="2">
        <v>8.4873440000000002</v>
      </c>
      <c r="E509" s="2">
        <v>9.0989999999999994E-3</v>
      </c>
      <c r="F509" s="2">
        <v>8.4695031299999997</v>
      </c>
      <c r="G509" s="2">
        <v>8.5051843300000005</v>
      </c>
    </row>
    <row r="510" spans="1:7" ht="17.25" thickBot="1" x14ac:dyDescent="0.35">
      <c r="A510" s="6">
        <v>3</v>
      </c>
      <c r="B510" s="11" t="s">
        <v>114</v>
      </c>
      <c r="C510" s="2">
        <v>3883</v>
      </c>
      <c r="D510" s="2">
        <v>8.6744909999999997</v>
      </c>
      <c r="E510" s="2">
        <v>1.4500000000000001E-2</v>
      </c>
      <c r="F510" s="2">
        <v>8.6460595999999992</v>
      </c>
      <c r="G510" s="2">
        <v>8.7029220299999999</v>
      </c>
    </row>
    <row r="511" spans="1:7" x14ac:dyDescent="0.3">
      <c r="A511" s="6">
        <v>8</v>
      </c>
      <c r="B511" s="14" t="s">
        <v>114</v>
      </c>
      <c r="C511" s="2">
        <v>2503</v>
      </c>
      <c r="D511" s="2">
        <v>8.6709499999999995</v>
      </c>
      <c r="E511" s="2">
        <v>1.7142000000000001E-2</v>
      </c>
      <c r="F511" s="2">
        <v>8.6373378400000007</v>
      </c>
      <c r="G511" s="2">
        <v>8.7045612999999999</v>
      </c>
    </row>
    <row r="515" spans="1:2" x14ac:dyDescent="0.3">
      <c r="A515" s="1" t="s">
        <v>237</v>
      </c>
    </row>
    <row r="517" spans="1:2" x14ac:dyDescent="0.3">
      <c r="A517" s="1" t="s">
        <v>21</v>
      </c>
    </row>
    <row r="518" spans="1:2" ht="17.25" thickBot="1" x14ac:dyDescent="0.35"/>
    <row r="519" spans="1:2" ht="16.5" customHeight="1" x14ac:dyDescent="0.3">
      <c r="A519" s="16" t="s">
        <v>135</v>
      </c>
      <c r="B519" s="18"/>
    </row>
    <row r="520" spans="1:2" ht="26.25" thickBot="1" x14ac:dyDescent="0.35">
      <c r="A520" s="12" t="s">
        <v>136</v>
      </c>
      <c r="B520" s="2">
        <v>183</v>
      </c>
    </row>
    <row r="521" spans="1:2" ht="26.25" thickBot="1" x14ac:dyDescent="0.35">
      <c r="A521" s="12" t="s">
        <v>137</v>
      </c>
      <c r="B521" s="2">
        <v>2982</v>
      </c>
    </row>
    <row r="522" spans="1:2" ht="39" thickBot="1" x14ac:dyDescent="0.35">
      <c r="A522" s="12" t="s">
        <v>138</v>
      </c>
      <c r="B522" s="2">
        <v>68635</v>
      </c>
    </row>
    <row r="523" spans="1:2" ht="25.5" x14ac:dyDescent="0.3">
      <c r="A523" s="13" t="s">
        <v>139</v>
      </c>
      <c r="B523" s="2">
        <v>30251935.699999999</v>
      </c>
    </row>
    <row r="524" spans="1:2" ht="17.25" thickBot="1" x14ac:dyDescent="0.35"/>
    <row r="525" spans="1:2" ht="33" customHeight="1" x14ac:dyDescent="0.3">
      <c r="A525" s="16" t="s">
        <v>140</v>
      </c>
      <c r="B525" s="18"/>
    </row>
    <row r="526" spans="1:2" ht="33.75" thickBot="1" x14ac:dyDescent="0.35">
      <c r="A526" s="12" t="s">
        <v>141</v>
      </c>
      <c r="B526" s="2" t="s">
        <v>142</v>
      </c>
    </row>
    <row r="527" spans="1:2" ht="25.5" x14ac:dyDescent="0.3">
      <c r="A527" s="13" t="s">
        <v>143</v>
      </c>
      <c r="B527" s="2" t="s">
        <v>144</v>
      </c>
    </row>
    <row r="528" spans="1:2" ht="17.25" thickBot="1" x14ac:dyDescent="0.35"/>
    <row r="529" spans="1:9" ht="16.5" customHeight="1" x14ac:dyDescent="0.3">
      <c r="A529" s="16" t="s">
        <v>238</v>
      </c>
      <c r="B529" s="18"/>
      <c r="C529" s="18"/>
      <c r="D529" s="18"/>
      <c r="E529" s="18"/>
      <c r="F529" s="18"/>
    </row>
    <row r="530" spans="1:9" x14ac:dyDescent="0.3">
      <c r="A530" s="17" t="s">
        <v>239</v>
      </c>
      <c r="B530" s="19" t="s">
        <v>94</v>
      </c>
      <c r="C530" s="19" t="s">
        <v>240</v>
      </c>
      <c r="D530" s="3" t="s">
        <v>241</v>
      </c>
      <c r="E530" s="19" t="s">
        <v>243</v>
      </c>
      <c r="F530" s="19"/>
    </row>
    <row r="531" spans="1:9" x14ac:dyDescent="0.3">
      <c r="A531" s="17"/>
      <c r="B531" s="19"/>
      <c r="C531" s="19"/>
      <c r="D531" s="3" t="s">
        <v>242</v>
      </c>
      <c r="E531" s="19"/>
      <c r="F531" s="19"/>
    </row>
    <row r="532" spans="1:9" x14ac:dyDescent="0.3">
      <c r="A532" s="13" t="s">
        <v>114</v>
      </c>
      <c r="B532" s="2">
        <v>68635</v>
      </c>
      <c r="C532" s="2">
        <v>8.5827570000000009</v>
      </c>
      <c r="D532" s="2">
        <v>3.4259999999999998E-3</v>
      </c>
      <c r="E532" s="2">
        <v>8.5760384700000003</v>
      </c>
      <c r="F532" s="2">
        <v>8.58947489</v>
      </c>
    </row>
    <row r="536" spans="1:9" x14ac:dyDescent="0.3">
      <c r="A536" s="1" t="s">
        <v>237</v>
      </c>
    </row>
    <row r="538" spans="1:9" x14ac:dyDescent="0.3">
      <c r="A538" s="1" t="s">
        <v>21</v>
      </c>
    </row>
    <row r="539" spans="1:9" ht="17.25" thickBot="1" x14ac:dyDescent="0.35"/>
    <row r="540" spans="1:9" ht="16.5" customHeight="1" x14ac:dyDescent="0.3">
      <c r="A540" s="16" t="s">
        <v>273</v>
      </c>
      <c r="B540" s="18"/>
      <c r="C540" s="18"/>
      <c r="D540" s="18"/>
      <c r="E540" s="18"/>
      <c r="F540" s="18"/>
      <c r="G540" s="18"/>
    </row>
    <row r="541" spans="1:9" x14ac:dyDescent="0.3">
      <c r="A541" s="17" t="s">
        <v>12</v>
      </c>
      <c r="B541" s="19" t="s">
        <v>239</v>
      </c>
      <c r="C541" s="19" t="s">
        <v>94</v>
      </c>
      <c r="D541" s="19" t="s">
        <v>240</v>
      </c>
      <c r="E541" s="3" t="s">
        <v>241</v>
      </c>
      <c r="F541" s="19" t="s">
        <v>243</v>
      </c>
      <c r="G541" s="19"/>
    </row>
    <row r="542" spans="1:9" x14ac:dyDescent="0.3">
      <c r="A542" s="17"/>
      <c r="B542" s="19"/>
      <c r="C542" s="19"/>
      <c r="D542" s="19"/>
      <c r="E542" s="3" t="s">
        <v>242</v>
      </c>
      <c r="F542" s="19"/>
      <c r="G542" s="19"/>
    </row>
    <row r="543" spans="1:9" ht="17.25" thickBot="1" x14ac:dyDescent="0.35">
      <c r="A543" s="6">
        <v>1</v>
      </c>
      <c r="B543" s="11" t="s">
        <v>114</v>
      </c>
      <c r="C543" s="2">
        <v>22876</v>
      </c>
      <c r="D543" s="2">
        <v>8.4887770000000007</v>
      </c>
      <c r="E543" s="2">
        <v>5.3379999999999999E-3</v>
      </c>
      <c r="F543" s="2">
        <v>8.4783093399999991</v>
      </c>
      <c r="G543" s="2">
        <v>8.4992444500000008</v>
      </c>
      <c r="I543" t="str">
        <f t="shared" ref="I543:I545" si="7">TEXT(D543,"0.00")&amp;" ("&amp;TEXT(F543,"0.00")&amp;" to "&amp;TEXT(G543,"0.00")&amp;")"</f>
        <v>8.49 (8.48 to 8.50)</v>
      </c>
    </row>
    <row r="544" spans="1:9" ht="17.25" thickBot="1" x14ac:dyDescent="0.35">
      <c r="A544" s="6">
        <v>2</v>
      </c>
      <c r="B544" s="11" t="s">
        <v>114</v>
      </c>
      <c r="C544" s="2">
        <v>33210</v>
      </c>
      <c r="D544" s="2">
        <v>8.6116159999999997</v>
      </c>
      <c r="E544" s="2">
        <v>4.5519999999999996E-3</v>
      </c>
      <c r="F544" s="2">
        <v>8.6026896700000002</v>
      </c>
      <c r="G544" s="2">
        <v>8.6205414699999992</v>
      </c>
      <c r="I544" t="str">
        <f t="shared" si="7"/>
        <v>8.61 (8.60 to 8.62)</v>
      </c>
    </row>
    <row r="545" spans="1:9" x14ac:dyDescent="0.3">
      <c r="A545" s="6">
        <v>3</v>
      </c>
      <c r="B545" s="14" t="s">
        <v>114</v>
      </c>
      <c r="C545" s="2">
        <v>12549</v>
      </c>
      <c r="D545" s="2">
        <v>8.6940449999999991</v>
      </c>
      <c r="E545" s="2">
        <v>7.9170000000000004E-3</v>
      </c>
      <c r="F545" s="2">
        <v>8.6785224900000006</v>
      </c>
      <c r="G545" s="2">
        <v>8.7095681200000001</v>
      </c>
      <c r="I545" t="str">
        <f t="shared" si="7"/>
        <v>8.69 (8.68 to 8.71)</v>
      </c>
    </row>
    <row r="549" spans="1:9" x14ac:dyDescent="0.3">
      <c r="A549" s="1" t="s">
        <v>237</v>
      </c>
    </row>
    <row r="551" spans="1:9" x14ac:dyDescent="0.3">
      <c r="A551" s="1" t="s">
        <v>1</v>
      </c>
    </row>
    <row r="552" spans="1:9" ht="17.25" thickBot="1" x14ac:dyDescent="0.35"/>
    <row r="553" spans="1:9" ht="16.5" customHeight="1" x14ac:dyDescent="0.3">
      <c r="A553" s="16" t="s">
        <v>135</v>
      </c>
      <c r="B553" s="18"/>
    </row>
    <row r="554" spans="1:9" ht="26.25" thickBot="1" x14ac:dyDescent="0.35">
      <c r="A554" s="12" t="s">
        <v>136</v>
      </c>
      <c r="B554" s="2">
        <v>183</v>
      </c>
    </row>
    <row r="555" spans="1:9" ht="26.25" thickBot="1" x14ac:dyDescent="0.35">
      <c r="A555" s="12" t="s">
        <v>137</v>
      </c>
      <c r="B555" s="2">
        <v>2949</v>
      </c>
    </row>
    <row r="556" spans="1:9" ht="39" thickBot="1" x14ac:dyDescent="0.35">
      <c r="A556" s="12" t="s">
        <v>138</v>
      </c>
      <c r="B556" s="2">
        <v>23222</v>
      </c>
    </row>
    <row r="557" spans="1:9" ht="25.5" x14ac:dyDescent="0.3">
      <c r="A557" s="13" t="s">
        <v>139</v>
      </c>
      <c r="B557" s="2">
        <v>9036880.5199999996</v>
      </c>
    </row>
    <row r="558" spans="1:9" ht="17.25" thickBot="1" x14ac:dyDescent="0.35"/>
    <row r="559" spans="1:9" ht="33" customHeight="1" x14ac:dyDescent="0.3">
      <c r="A559" s="16" t="s">
        <v>140</v>
      </c>
      <c r="B559" s="18"/>
    </row>
    <row r="560" spans="1:9" ht="33.75" thickBot="1" x14ac:dyDescent="0.35">
      <c r="A560" s="12" t="s">
        <v>141</v>
      </c>
      <c r="B560" s="2" t="s">
        <v>142</v>
      </c>
    </row>
    <row r="561" spans="1:7" ht="25.5" x14ac:dyDescent="0.3">
      <c r="A561" s="13" t="s">
        <v>143</v>
      </c>
      <c r="B561" s="2" t="s">
        <v>144</v>
      </c>
    </row>
    <row r="562" spans="1:7" ht="17.25" thickBot="1" x14ac:dyDescent="0.35"/>
    <row r="563" spans="1:7" ht="16.5" customHeight="1" x14ac:dyDescent="0.3">
      <c r="A563" s="16" t="s">
        <v>238</v>
      </c>
      <c r="B563" s="18"/>
      <c r="C563" s="18"/>
      <c r="D563" s="18"/>
      <c r="E563" s="18"/>
      <c r="F563" s="18"/>
    </row>
    <row r="564" spans="1:7" x14ac:dyDescent="0.3">
      <c r="A564" s="17" t="s">
        <v>239</v>
      </c>
      <c r="B564" s="19" t="s">
        <v>94</v>
      </c>
      <c r="C564" s="19" t="s">
        <v>240</v>
      </c>
      <c r="D564" s="3" t="s">
        <v>241</v>
      </c>
      <c r="E564" s="19" t="s">
        <v>243</v>
      </c>
      <c r="F564" s="19"/>
    </row>
    <row r="565" spans="1:7" x14ac:dyDescent="0.3">
      <c r="A565" s="17"/>
      <c r="B565" s="19"/>
      <c r="C565" s="19"/>
      <c r="D565" s="3" t="s">
        <v>242</v>
      </c>
      <c r="E565" s="19"/>
      <c r="F565" s="19"/>
    </row>
    <row r="566" spans="1:7" x14ac:dyDescent="0.3">
      <c r="A566" s="13" t="s">
        <v>114</v>
      </c>
      <c r="B566" s="2">
        <v>23222</v>
      </c>
      <c r="C566" s="2">
        <v>8.4582850000000001</v>
      </c>
      <c r="D566" s="2">
        <v>5.8770000000000003E-3</v>
      </c>
      <c r="E566" s="2">
        <v>8.4467599599999996</v>
      </c>
      <c r="F566" s="2">
        <v>8.4698092999999997</v>
      </c>
    </row>
    <row r="570" spans="1:7" x14ac:dyDescent="0.3">
      <c r="A570" s="1" t="s">
        <v>237</v>
      </c>
    </row>
    <row r="572" spans="1:7" x14ac:dyDescent="0.3">
      <c r="A572" s="1" t="s">
        <v>1</v>
      </c>
    </row>
    <row r="573" spans="1:7" ht="17.25" thickBot="1" x14ac:dyDescent="0.35"/>
    <row r="574" spans="1:7" ht="16.5" customHeight="1" x14ac:dyDescent="0.3">
      <c r="A574" s="16" t="s">
        <v>274</v>
      </c>
      <c r="B574" s="18"/>
      <c r="C574" s="18"/>
      <c r="D574" s="18"/>
      <c r="E574" s="18"/>
      <c r="F574" s="18"/>
      <c r="G574" s="18"/>
    </row>
    <row r="575" spans="1:7" x14ac:dyDescent="0.3">
      <c r="A575" s="17" t="s">
        <v>13</v>
      </c>
      <c r="B575" s="19" t="s">
        <v>239</v>
      </c>
      <c r="C575" s="19" t="s">
        <v>94</v>
      </c>
      <c r="D575" s="19" t="s">
        <v>240</v>
      </c>
      <c r="E575" s="3" t="s">
        <v>241</v>
      </c>
      <c r="F575" s="19" t="s">
        <v>243</v>
      </c>
      <c r="G575" s="19"/>
    </row>
    <row r="576" spans="1:7" x14ac:dyDescent="0.3">
      <c r="A576" s="17"/>
      <c r="B576" s="19"/>
      <c r="C576" s="19"/>
      <c r="D576" s="19"/>
      <c r="E576" s="3" t="s">
        <v>242</v>
      </c>
      <c r="F576" s="19"/>
      <c r="G576" s="19"/>
    </row>
    <row r="577" spans="1:7" ht="17.25" thickBot="1" x14ac:dyDescent="0.35">
      <c r="A577" s="6">
        <v>1</v>
      </c>
      <c r="B577" s="11" t="s">
        <v>114</v>
      </c>
      <c r="C577" s="2">
        <v>5000</v>
      </c>
      <c r="D577" s="2">
        <v>8.4710059999999991</v>
      </c>
      <c r="E577" s="2">
        <v>1.2158E-2</v>
      </c>
      <c r="F577" s="2">
        <v>8.4471652600000002</v>
      </c>
      <c r="G577" s="2">
        <v>8.4948457899999994</v>
      </c>
    </row>
    <row r="578" spans="1:7" ht="17.25" thickBot="1" x14ac:dyDescent="0.35">
      <c r="A578" s="6">
        <v>2</v>
      </c>
      <c r="B578" s="11" t="s">
        <v>114</v>
      </c>
      <c r="C578" s="2">
        <v>11282</v>
      </c>
      <c r="D578" s="2">
        <v>8.4573579999999993</v>
      </c>
      <c r="E578" s="2">
        <v>7.6449999999999999E-3</v>
      </c>
      <c r="F578" s="2">
        <v>8.4423667899999995</v>
      </c>
      <c r="G578" s="2">
        <v>8.4723487399999993</v>
      </c>
    </row>
    <row r="579" spans="1:7" ht="17.25" thickBot="1" x14ac:dyDescent="0.35">
      <c r="A579" s="6">
        <v>3</v>
      </c>
      <c r="B579" s="11" t="s">
        <v>114</v>
      </c>
      <c r="C579" s="2">
        <v>4216</v>
      </c>
      <c r="D579" s="2">
        <v>8.5362439999999999</v>
      </c>
      <c r="E579" s="2">
        <v>1.3140000000000001E-2</v>
      </c>
      <c r="F579" s="2">
        <v>8.5104785100000004</v>
      </c>
      <c r="G579" s="2">
        <v>8.5620095299999992</v>
      </c>
    </row>
    <row r="580" spans="1:7" x14ac:dyDescent="0.3">
      <c r="A580" s="6">
        <v>8</v>
      </c>
      <c r="B580" s="14" t="s">
        <v>114</v>
      </c>
      <c r="C580" s="2">
        <v>2724</v>
      </c>
      <c r="D580" s="2">
        <v>8.3232990000000004</v>
      </c>
      <c r="E580" s="2">
        <v>1.4929E-2</v>
      </c>
      <c r="F580" s="2">
        <v>8.29402522</v>
      </c>
      <c r="G580" s="2">
        <v>8.3525720400000001</v>
      </c>
    </row>
    <row r="584" spans="1:7" x14ac:dyDescent="0.3">
      <c r="A584" s="1" t="s">
        <v>237</v>
      </c>
    </row>
    <row r="586" spans="1:7" x14ac:dyDescent="0.3">
      <c r="A586" s="1" t="s">
        <v>21</v>
      </c>
    </row>
    <row r="587" spans="1:7" ht="17.25" thickBot="1" x14ac:dyDescent="0.35"/>
    <row r="588" spans="1:7" ht="16.5" customHeight="1" x14ac:dyDescent="0.3">
      <c r="A588" s="16" t="s">
        <v>135</v>
      </c>
      <c r="B588" s="18"/>
    </row>
    <row r="589" spans="1:7" ht="26.25" thickBot="1" x14ac:dyDescent="0.35">
      <c r="A589" s="12" t="s">
        <v>136</v>
      </c>
      <c r="B589" s="2">
        <v>183</v>
      </c>
    </row>
    <row r="590" spans="1:7" ht="26.25" thickBot="1" x14ac:dyDescent="0.35">
      <c r="A590" s="12" t="s">
        <v>137</v>
      </c>
      <c r="B590" s="2">
        <v>2982</v>
      </c>
    </row>
    <row r="591" spans="1:7" ht="39" thickBot="1" x14ac:dyDescent="0.35">
      <c r="A591" s="12" t="s">
        <v>138</v>
      </c>
      <c r="B591" s="2">
        <v>68635</v>
      </c>
    </row>
    <row r="592" spans="1:7" ht="25.5" x14ac:dyDescent="0.3">
      <c r="A592" s="13" t="s">
        <v>139</v>
      </c>
      <c r="B592" s="2">
        <v>30251935.699999999</v>
      </c>
    </row>
    <row r="593" spans="1:6" ht="17.25" thickBot="1" x14ac:dyDescent="0.35"/>
    <row r="594" spans="1:6" ht="33" customHeight="1" x14ac:dyDescent="0.3">
      <c r="A594" s="16" t="s">
        <v>140</v>
      </c>
      <c r="B594" s="18"/>
    </row>
    <row r="595" spans="1:6" ht="33.75" thickBot="1" x14ac:dyDescent="0.35">
      <c r="A595" s="12" t="s">
        <v>141</v>
      </c>
      <c r="B595" s="2" t="s">
        <v>142</v>
      </c>
    </row>
    <row r="596" spans="1:6" ht="25.5" x14ac:dyDescent="0.3">
      <c r="A596" s="13" t="s">
        <v>143</v>
      </c>
      <c r="B596" s="2" t="s">
        <v>144</v>
      </c>
    </row>
    <row r="597" spans="1:6" ht="17.25" thickBot="1" x14ac:dyDescent="0.35"/>
    <row r="598" spans="1:6" ht="16.5" customHeight="1" x14ac:dyDescent="0.3">
      <c r="A598" s="16" t="s">
        <v>238</v>
      </c>
      <c r="B598" s="18"/>
      <c r="C598" s="18"/>
      <c r="D598" s="18"/>
      <c r="E598" s="18"/>
      <c r="F598" s="18"/>
    </row>
    <row r="599" spans="1:6" x14ac:dyDescent="0.3">
      <c r="A599" s="17" t="s">
        <v>239</v>
      </c>
      <c r="B599" s="19" t="s">
        <v>94</v>
      </c>
      <c r="C599" s="19" t="s">
        <v>240</v>
      </c>
      <c r="D599" s="3" t="s">
        <v>241</v>
      </c>
      <c r="E599" s="19" t="s">
        <v>243</v>
      </c>
      <c r="F599" s="19"/>
    </row>
    <row r="600" spans="1:6" x14ac:dyDescent="0.3">
      <c r="A600" s="17"/>
      <c r="B600" s="19"/>
      <c r="C600" s="19"/>
      <c r="D600" s="3" t="s">
        <v>242</v>
      </c>
      <c r="E600" s="19"/>
      <c r="F600" s="19"/>
    </row>
    <row r="601" spans="1:6" x14ac:dyDescent="0.3">
      <c r="A601" s="13" t="s">
        <v>114</v>
      </c>
      <c r="B601" s="2">
        <v>68635</v>
      </c>
      <c r="C601" s="2">
        <v>8.5827570000000009</v>
      </c>
      <c r="D601" s="2">
        <v>3.4259999999999998E-3</v>
      </c>
      <c r="E601" s="2">
        <v>8.5760384700000003</v>
      </c>
      <c r="F601" s="2">
        <v>8.58947489</v>
      </c>
    </row>
    <row r="605" spans="1:6" x14ac:dyDescent="0.3">
      <c r="A605" s="1" t="s">
        <v>237</v>
      </c>
    </row>
    <row r="607" spans="1:6" x14ac:dyDescent="0.3">
      <c r="A607" s="1" t="s">
        <v>21</v>
      </c>
    </row>
    <row r="608" spans="1:6" ht="17.25" thickBot="1" x14ac:dyDescent="0.35"/>
    <row r="609" spans="1:9" ht="16.5" customHeight="1" x14ac:dyDescent="0.3">
      <c r="A609" s="16" t="s">
        <v>274</v>
      </c>
      <c r="B609" s="18"/>
      <c r="C609" s="18"/>
      <c r="D609" s="18"/>
      <c r="E609" s="18"/>
      <c r="F609" s="18"/>
      <c r="G609" s="18"/>
    </row>
    <row r="610" spans="1:9" x14ac:dyDescent="0.3">
      <c r="A610" s="17" t="s">
        <v>13</v>
      </c>
      <c r="B610" s="19" t="s">
        <v>239</v>
      </c>
      <c r="C610" s="19" t="s">
        <v>94</v>
      </c>
      <c r="D610" s="19" t="s">
        <v>240</v>
      </c>
      <c r="E610" s="3" t="s">
        <v>241</v>
      </c>
      <c r="F610" s="19" t="s">
        <v>243</v>
      </c>
      <c r="G610" s="19"/>
    </row>
    <row r="611" spans="1:9" x14ac:dyDescent="0.3">
      <c r="A611" s="17"/>
      <c r="B611" s="19"/>
      <c r="C611" s="19"/>
      <c r="D611" s="19"/>
      <c r="E611" s="3" t="s">
        <v>242</v>
      </c>
      <c r="F611" s="19"/>
      <c r="G611" s="19"/>
    </row>
    <row r="612" spans="1:9" ht="17.25" thickBot="1" x14ac:dyDescent="0.35">
      <c r="A612" s="6">
        <v>1</v>
      </c>
      <c r="B612" s="11" t="s">
        <v>114</v>
      </c>
      <c r="C612" s="2">
        <v>18257</v>
      </c>
      <c r="D612" s="2">
        <v>8.5871860000000009</v>
      </c>
      <c r="E612" s="2">
        <v>6.2700000000000004E-3</v>
      </c>
      <c r="F612" s="2">
        <v>8.5748922800000003</v>
      </c>
      <c r="G612" s="2">
        <v>8.5994796400000002</v>
      </c>
      <c r="I612" t="str">
        <f t="shared" ref="I612:I614" si="8">TEXT(D612,"0.00")&amp;" ("&amp;TEXT(F612,"0.00")&amp;" to "&amp;TEXT(G612,"0.00")&amp;")"</f>
        <v>8.59 (8.57 to 8.60)</v>
      </c>
    </row>
    <row r="613" spans="1:9" ht="17.25" thickBot="1" x14ac:dyDescent="0.35">
      <c r="A613" s="6">
        <v>2</v>
      </c>
      <c r="B613" s="11" t="s">
        <v>114</v>
      </c>
      <c r="C613" s="2">
        <v>39551</v>
      </c>
      <c r="D613" s="2">
        <v>8.5694739999999996</v>
      </c>
      <c r="E613" s="2">
        <v>4.3379999999999998E-3</v>
      </c>
      <c r="F613" s="2">
        <v>8.5609680099999999</v>
      </c>
      <c r="G613" s="2">
        <v>8.5779795599999993</v>
      </c>
      <c r="I613" t="str">
        <f t="shared" si="8"/>
        <v>8.57 (8.56 to 8.58)</v>
      </c>
    </row>
    <row r="614" spans="1:9" x14ac:dyDescent="0.3">
      <c r="A614" s="6">
        <v>3</v>
      </c>
      <c r="B614" s="14" t="s">
        <v>114</v>
      </c>
      <c r="C614" s="2">
        <v>10827</v>
      </c>
      <c r="D614" s="2">
        <v>8.6294199999999996</v>
      </c>
      <c r="E614" s="2">
        <v>7.9050000000000006E-3</v>
      </c>
      <c r="F614" s="2">
        <v>8.6139204199999995</v>
      </c>
      <c r="G614" s="2">
        <v>8.6449202599999992</v>
      </c>
      <c r="I614" t="str">
        <f t="shared" si="8"/>
        <v>8.63 (8.61 to 8.64)</v>
      </c>
    </row>
    <row r="618" spans="1:9" x14ac:dyDescent="0.3">
      <c r="A618" s="1" t="s">
        <v>237</v>
      </c>
    </row>
    <row r="620" spans="1:9" x14ac:dyDescent="0.3">
      <c r="A620" s="1" t="s">
        <v>1</v>
      </c>
    </row>
    <row r="621" spans="1:9" ht="17.25" thickBot="1" x14ac:dyDescent="0.35"/>
    <row r="622" spans="1:9" ht="16.5" customHeight="1" x14ac:dyDescent="0.3">
      <c r="A622" s="16" t="s">
        <v>135</v>
      </c>
      <c r="B622" s="18"/>
    </row>
    <row r="623" spans="1:9" ht="26.25" thickBot="1" x14ac:dyDescent="0.35">
      <c r="A623" s="12" t="s">
        <v>136</v>
      </c>
      <c r="B623" s="2">
        <v>183</v>
      </c>
    </row>
    <row r="624" spans="1:9" ht="26.25" thickBot="1" x14ac:dyDescent="0.35">
      <c r="A624" s="12" t="s">
        <v>137</v>
      </c>
      <c r="B624" s="2">
        <v>2949</v>
      </c>
    </row>
    <row r="625" spans="1:6" ht="39" thickBot="1" x14ac:dyDescent="0.35">
      <c r="A625" s="12" t="s">
        <v>138</v>
      </c>
      <c r="B625" s="2">
        <v>23222</v>
      </c>
    </row>
    <row r="626" spans="1:6" ht="25.5" x14ac:dyDescent="0.3">
      <c r="A626" s="13" t="s">
        <v>139</v>
      </c>
      <c r="B626" s="2">
        <v>9036880.5199999996</v>
      </c>
    </row>
    <row r="627" spans="1:6" ht="17.25" thickBot="1" x14ac:dyDescent="0.35"/>
    <row r="628" spans="1:6" ht="33" customHeight="1" x14ac:dyDescent="0.3">
      <c r="A628" s="16" t="s">
        <v>140</v>
      </c>
      <c r="B628" s="18"/>
    </row>
    <row r="629" spans="1:6" ht="33.75" thickBot="1" x14ac:dyDescent="0.35">
      <c r="A629" s="12" t="s">
        <v>141</v>
      </c>
      <c r="B629" s="2" t="s">
        <v>142</v>
      </c>
    </row>
    <row r="630" spans="1:6" ht="25.5" x14ac:dyDescent="0.3">
      <c r="A630" s="13" t="s">
        <v>143</v>
      </c>
      <c r="B630" s="2" t="s">
        <v>144</v>
      </c>
    </row>
    <row r="631" spans="1:6" ht="17.25" thickBot="1" x14ac:dyDescent="0.35"/>
    <row r="632" spans="1:6" ht="16.5" customHeight="1" x14ac:dyDescent="0.3">
      <c r="A632" s="16" t="s">
        <v>238</v>
      </c>
      <c r="B632" s="18"/>
      <c r="C632" s="18"/>
      <c r="D632" s="18"/>
      <c r="E632" s="18"/>
      <c r="F632" s="18"/>
    </row>
    <row r="633" spans="1:6" x14ac:dyDescent="0.3">
      <c r="A633" s="17" t="s">
        <v>239</v>
      </c>
      <c r="B633" s="19" t="s">
        <v>94</v>
      </c>
      <c r="C633" s="19" t="s">
        <v>240</v>
      </c>
      <c r="D633" s="3" t="s">
        <v>241</v>
      </c>
      <c r="E633" s="19" t="s">
        <v>243</v>
      </c>
      <c r="F633" s="19"/>
    </row>
    <row r="634" spans="1:6" x14ac:dyDescent="0.3">
      <c r="A634" s="17"/>
      <c r="B634" s="19"/>
      <c r="C634" s="19"/>
      <c r="D634" s="3" t="s">
        <v>242</v>
      </c>
      <c r="E634" s="19"/>
      <c r="F634" s="19"/>
    </row>
    <row r="635" spans="1:6" x14ac:dyDescent="0.3">
      <c r="A635" s="13" t="s">
        <v>114</v>
      </c>
      <c r="B635" s="2">
        <v>23222</v>
      </c>
      <c r="C635" s="2">
        <v>8.4582850000000001</v>
      </c>
      <c r="D635" s="2">
        <v>5.8770000000000003E-3</v>
      </c>
      <c r="E635" s="2">
        <v>8.4467599599999996</v>
      </c>
      <c r="F635" s="2">
        <v>8.4698092999999997</v>
      </c>
    </row>
    <row r="639" spans="1:6" x14ac:dyDescent="0.3">
      <c r="A639" s="1" t="s">
        <v>237</v>
      </c>
    </row>
    <row r="641" spans="1:7" x14ac:dyDescent="0.3">
      <c r="A641" s="1" t="s">
        <v>1</v>
      </c>
    </row>
    <row r="642" spans="1:7" ht="17.25" thickBot="1" x14ac:dyDescent="0.35"/>
    <row r="643" spans="1:7" ht="16.5" customHeight="1" x14ac:dyDescent="0.3">
      <c r="A643" s="16" t="s">
        <v>275</v>
      </c>
      <c r="B643" s="18"/>
      <c r="C643" s="18"/>
      <c r="D643" s="18"/>
      <c r="E643" s="18"/>
      <c r="F643" s="18"/>
      <c r="G643" s="18"/>
    </row>
    <row r="644" spans="1:7" ht="16.5" customHeight="1" x14ac:dyDescent="0.3">
      <c r="A644" s="17" t="s">
        <v>14</v>
      </c>
      <c r="B644" s="19" t="s">
        <v>239</v>
      </c>
      <c r="C644" s="19" t="s">
        <v>94</v>
      </c>
      <c r="D644" s="19" t="s">
        <v>240</v>
      </c>
      <c r="E644" s="3" t="s">
        <v>241</v>
      </c>
      <c r="F644" s="19" t="s">
        <v>243</v>
      </c>
      <c r="G644" s="19"/>
    </row>
    <row r="645" spans="1:7" x14ac:dyDescent="0.3">
      <c r="A645" s="17"/>
      <c r="B645" s="19"/>
      <c r="C645" s="19"/>
      <c r="D645" s="19"/>
      <c r="E645" s="3" t="s">
        <v>242</v>
      </c>
      <c r="F645" s="19"/>
      <c r="G645" s="19"/>
    </row>
    <row r="646" spans="1:7" ht="17.25" thickBot="1" x14ac:dyDescent="0.35">
      <c r="A646" s="6">
        <v>1</v>
      </c>
      <c r="B646" s="11" t="s">
        <v>114</v>
      </c>
      <c r="C646" s="2">
        <v>2801</v>
      </c>
      <c r="D646" s="2">
        <v>8.3933739999999997</v>
      </c>
      <c r="E646" s="2">
        <v>1.4513E-2</v>
      </c>
      <c r="F646" s="2">
        <v>8.3649163600000005</v>
      </c>
      <c r="G646" s="2">
        <v>8.4218308499999992</v>
      </c>
    </row>
    <row r="647" spans="1:7" ht="17.25" thickBot="1" x14ac:dyDescent="0.35">
      <c r="A647" s="6">
        <v>2</v>
      </c>
      <c r="B647" s="11" t="s">
        <v>114</v>
      </c>
      <c r="C647" s="2">
        <v>1799</v>
      </c>
      <c r="D647" s="2">
        <v>8.4910169999999994</v>
      </c>
      <c r="E647" s="2">
        <v>1.7909999999999999E-2</v>
      </c>
      <c r="F647" s="2">
        <v>8.4558989699999998</v>
      </c>
      <c r="G647" s="2">
        <v>8.5261340699999995</v>
      </c>
    </row>
    <row r="648" spans="1:7" ht="17.25" thickBot="1" x14ac:dyDescent="0.35">
      <c r="A648" s="6">
        <v>3</v>
      </c>
      <c r="B648" s="11" t="s">
        <v>114</v>
      </c>
      <c r="C648" s="2">
        <v>1101</v>
      </c>
      <c r="D648" s="2">
        <v>8.8621750000000006</v>
      </c>
      <c r="E648" s="2">
        <v>2.8339E-2</v>
      </c>
      <c r="F648" s="2">
        <v>8.8066077099999998</v>
      </c>
      <c r="G648" s="2">
        <v>8.9177418799999995</v>
      </c>
    </row>
    <row r="649" spans="1:7" x14ac:dyDescent="0.3">
      <c r="A649" s="6">
        <v>8</v>
      </c>
      <c r="B649" s="14" t="s">
        <v>114</v>
      </c>
      <c r="C649" s="2">
        <v>17521</v>
      </c>
      <c r="D649" s="2">
        <v>8.4296100000000003</v>
      </c>
      <c r="E649" s="2">
        <v>6.267E-3</v>
      </c>
      <c r="F649" s="2">
        <v>8.4173212100000008</v>
      </c>
      <c r="G649" s="2">
        <v>8.4418977900000005</v>
      </c>
    </row>
    <row r="653" spans="1:7" x14ac:dyDescent="0.3">
      <c r="A653" s="1" t="s">
        <v>237</v>
      </c>
    </row>
    <row r="655" spans="1:7" x14ac:dyDescent="0.3">
      <c r="A655" s="1" t="s">
        <v>21</v>
      </c>
    </row>
    <row r="656" spans="1:7" ht="17.25" thickBot="1" x14ac:dyDescent="0.35"/>
    <row r="657" spans="1:6" ht="16.5" customHeight="1" x14ac:dyDescent="0.3">
      <c r="A657" s="16" t="s">
        <v>135</v>
      </c>
      <c r="B657" s="18"/>
    </row>
    <row r="658" spans="1:6" ht="26.25" thickBot="1" x14ac:dyDescent="0.35">
      <c r="A658" s="12" t="s">
        <v>136</v>
      </c>
      <c r="B658" s="2">
        <v>183</v>
      </c>
    </row>
    <row r="659" spans="1:6" ht="26.25" thickBot="1" x14ac:dyDescent="0.35">
      <c r="A659" s="12" t="s">
        <v>137</v>
      </c>
      <c r="B659" s="2">
        <v>2982</v>
      </c>
    </row>
    <row r="660" spans="1:6" ht="39" thickBot="1" x14ac:dyDescent="0.35">
      <c r="A660" s="12" t="s">
        <v>138</v>
      </c>
      <c r="B660" s="2">
        <v>68635</v>
      </c>
    </row>
    <row r="661" spans="1:6" ht="25.5" x14ac:dyDescent="0.3">
      <c r="A661" s="13" t="s">
        <v>139</v>
      </c>
      <c r="B661" s="2">
        <v>30251935.699999999</v>
      </c>
    </row>
    <row r="662" spans="1:6" ht="17.25" thickBot="1" x14ac:dyDescent="0.35"/>
    <row r="663" spans="1:6" ht="33" customHeight="1" x14ac:dyDescent="0.3">
      <c r="A663" s="16" t="s">
        <v>140</v>
      </c>
      <c r="B663" s="18"/>
    </row>
    <row r="664" spans="1:6" ht="33.75" thickBot="1" x14ac:dyDescent="0.35">
      <c r="A664" s="12" t="s">
        <v>141</v>
      </c>
      <c r="B664" s="2" t="s">
        <v>142</v>
      </c>
    </row>
    <row r="665" spans="1:6" ht="25.5" x14ac:dyDescent="0.3">
      <c r="A665" s="13" t="s">
        <v>143</v>
      </c>
      <c r="B665" s="2" t="s">
        <v>144</v>
      </c>
    </row>
    <row r="666" spans="1:6" ht="17.25" thickBot="1" x14ac:dyDescent="0.35"/>
    <row r="667" spans="1:6" ht="16.5" customHeight="1" x14ac:dyDescent="0.3">
      <c r="A667" s="16" t="s">
        <v>238</v>
      </c>
      <c r="B667" s="18"/>
      <c r="C667" s="18"/>
      <c r="D667" s="18"/>
      <c r="E667" s="18"/>
      <c r="F667" s="18"/>
    </row>
    <row r="668" spans="1:6" x14ac:dyDescent="0.3">
      <c r="A668" s="17" t="s">
        <v>239</v>
      </c>
      <c r="B668" s="19" t="s">
        <v>94</v>
      </c>
      <c r="C668" s="19" t="s">
        <v>240</v>
      </c>
      <c r="D668" s="3" t="s">
        <v>241</v>
      </c>
      <c r="E668" s="19" t="s">
        <v>243</v>
      </c>
      <c r="F668" s="19"/>
    </row>
    <row r="669" spans="1:6" x14ac:dyDescent="0.3">
      <c r="A669" s="17"/>
      <c r="B669" s="19"/>
      <c r="C669" s="19"/>
      <c r="D669" s="3" t="s">
        <v>242</v>
      </c>
      <c r="E669" s="19"/>
      <c r="F669" s="19"/>
    </row>
    <row r="670" spans="1:6" x14ac:dyDescent="0.3">
      <c r="A670" s="13" t="s">
        <v>114</v>
      </c>
      <c r="B670" s="2">
        <v>68635</v>
      </c>
      <c r="C670" s="2">
        <v>8.5827570000000009</v>
      </c>
      <c r="D670" s="2">
        <v>3.4259999999999998E-3</v>
      </c>
      <c r="E670" s="2">
        <v>8.5760384700000003</v>
      </c>
      <c r="F670" s="2">
        <v>8.58947489</v>
      </c>
    </row>
    <row r="674" spans="1:9" x14ac:dyDescent="0.3">
      <c r="A674" s="1" t="s">
        <v>237</v>
      </c>
    </row>
    <row r="676" spans="1:9" x14ac:dyDescent="0.3">
      <c r="A676" s="1" t="s">
        <v>21</v>
      </c>
    </row>
    <row r="677" spans="1:9" ht="17.25" thickBot="1" x14ac:dyDescent="0.35"/>
    <row r="678" spans="1:9" ht="16.5" customHeight="1" x14ac:dyDescent="0.3">
      <c r="A678" s="16" t="s">
        <v>275</v>
      </c>
      <c r="B678" s="18"/>
      <c r="C678" s="18"/>
      <c r="D678" s="18"/>
      <c r="E678" s="18"/>
      <c r="F678" s="18"/>
      <c r="G678" s="18"/>
    </row>
    <row r="679" spans="1:9" ht="16.5" customHeight="1" x14ac:dyDescent="0.3">
      <c r="A679" s="17" t="s">
        <v>14</v>
      </c>
      <c r="B679" s="19" t="s">
        <v>239</v>
      </c>
      <c r="C679" s="19" t="s">
        <v>94</v>
      </c>
      <c r="D679" s="19" t="s">
        <v>240</v>
      </c>
      <c r="E679" s="3" t="s">
        <v>241</v>
      </c>
      <c r="F679" s="19" t="s">
        <v>243</v>
      </c>
      <c r="G679" s="19"/>
    </row>
    <row r="680" spans="1:9" x14ac:dyDescent="0.3">
      <c r="A680" s="17"/>
      <c r="B680" s="19"/>
      <c r="C680" s="19"/>
      <c r="D680" s="19"/>
      <c r="E680" s="3" t="s">
        <v>242</v>
      </c>
      <c r="F680" s="19"/>
      <c r="G680" s="19"/>
    </row>
    <row r="681" spans="1:9" ht="17.25" thickBot="1" x14ac:dyDescent="0.35">
      <c r="A681" s="6">
        <v>1</v>
      </c>
      <c r="B681" s="11" t="s">
        <v>114</v>
      </c>
      <c r="C681" s="2">
        <v>26908</v>
      </c>
      <c r="D681" s="2">
        <v>8.5056390000000004</v>
      </c>
      <c r="E681" s="2">
        <v>5.0499999999999998E-3</v>
      </c>
      <c r="F681" s="2">
        <v>8.4957366200000006</v>
      </c>
      <c r="G681" s="2">
        <v>8.5155406199999994</v>
      </c>
      <c r="I681" t="str">
        <f t="shared" ref="I681:I683" si="9">TEXT(D681,"0.00")&amp;" ("&amp;TEXT(F681,"0.00")&amp;" to "&amp;TEXT(G681,"0.00")&amp;")"</f>
        <v>8.51 (8.50 to 8.52)</v>
      </c>
    </row>
    <row r="682" spans="1:9" ht="17.25" thickBot="1" x14ac:dyDescent="0.35">
      <c r="A682" s="6">
        <v>2</v>
      </c>
      <c r="B682" s="11" t="s">
        <v>114</v>
      </c>
      <c r="C682" s="2">
        <v>24999</v>
      </c>
      <c r="D682" s="2">
        <v>8.5140750000000001</v>
      </c>
      <c r="E682" s="2">
        <v>5.0670000000000003E-3</v>
      </c>
      <c r="F682" s="2">
        <v>8.5041405700000006</v>
      </c>
      <c r="G682" s="2">
        <v>8.5240103099999995</v>
      </c>
      <c r="I682" t="str">
        <f t="shared" si="9"/>
        <v>8.51 (8.50 to 8.52)</v>
      </c>
    </row>
    <row r="683" spans="1:9" x14ac:dyDescent="0.3">
      <c r="A683" s="6">
        <v>3</v>
      </c>
      <c r="B683" s="14" t="s">
        <v>114</v>
      </c>
      <c r="C683" s="2">
        <v>16728</v>
      </c>
      <c r="D683" s="2">
        <v>8.7930589999999995</v>
      </c>
      <c r="E683" s="2">
        <v>6.8250000000000003E-3</v>
      </c>
      <c r="F683" s="2">
        <v>8.7796761700000001</v>
      </c>
      <c r="G683" s="2">
        <v>8.8064412999999995</v>
      </c>
      <c r="I683" t="str">
        <f t="shared" si="9"/>
        <v>8.79 (8.78 to 8.81)</v>
      </c>
    </row>
    <row r="687" spans="1:9" x14ac:dyDescent="0.3">
      <c r="A687" s="1" t="s">
        <v>237</v>
      </c>
    </row>
    <row r="689" spans="1:6" x14ac:dyDescent="0.3">
      <c r="A689" s="1" t="s">
        <v>1</v>
      </c>
    </row>
    <row r="690" spans="1:6" ht="17.25" thickBot="1" x14ac:dyDescent="0.35"/>
    <row r="691" spans="1:6" ht="16.5" customHeight="1" x14ac:dyDescent="0.3">
      <c r="A691" s="16" t="s">
        <v>135</v>
      </c>
      <c r="B691" s="18"/>
    </row>
    <row r="692" spans="1:6" ht="26.25" thickBot="1" x14ac:dyDescent="0.35">
      <c r="A692" s="12" t="s">
        <v>136</v>
      </c>
      <c r="B692" s="2">
        <v>183</v>
      </c>
    </row>
    <row r="693" spans="1:6" ht="26.25" thickBot="1" x14ac:dyDescent="0.35">
      <c r="A693" s="12" t="s">
        <v>137</v>
      </c>
      <c r="B693" s="2">
        <v>2949</v>
      </c>
    </row>
    <row r="694" spans="1:6" ht="39" thickBot="1" x14ac:dyDescent="0.35">
      <c r="A694" s="12" t="s">
        <v>138</v>
      </c>
      <c r="B694" s="2">
        <v>23222</v>
      </c>
    </row>
    <row r="695" spans="1:6" ht="25.5" x14ac:dyDescent="0.3">
      <c r="A695" s="13" t="s">
        <v>139</v>
      </c>
      <c r="B695" s="2">
        <v>9036880.5199999996</v>
      </c>
    </row>
    <row r="696" spans="1:6" ht="17.25" thickBot="1" x14ac:dyDescent="0.35"/>
    <row r="697" spans="1:6" ht="33" customHeight="1" x14ac:dyDescent="0.3">
      <c r="A697" s="16" t="s">
        <v>140</v>
      </c>
      <c r="B697" s="18"/>
    </row>
    <row r="698" spans="1:6" ht="33.75" thickBot="1" x14ac:dyDescent="0.35">
      <c r="A698" s="12" t="s">
        <v>141</v>
      </c>
      <c r="B698" s="2" t="s">
        <v>142</v>
      </c>
    </row>
    <row r="699" spans="1:6" ht="25.5" x14ac:dyDescent="0.3">
      <c r="A699" s="13" t="s">
        <v>143</v>
      </c>
      <c r="B699" s="2" t="s">
        <v>144</v>
      </c>
    </row>
    <row r="700" spans="1:6" ht="17.25" thickBot="1" x14ac:dyDescent="0.35"/>
    <row r="701" spans="1:6" ht="16.5" customHeight="1" x14ac:dyDescent="0.3">
      <c r="A701" s="16" t="s">
        <v>238</v>
      </c>
      <c r="B701" s="18"/>
      <c r="C701" s="18"/>
      <c r="D701" s="18"/>
      <c r="E701" s="18"/>
      <c r="F701" s="18"/>
    </row>
    <row r="702" spans="1:6" x14ac:dyDescent="0.3">
      <c r="A702" s="17" t="s">
        <v>239</v>
      </c>
      <c r="B702" s="19" t="s">
        <v>94</v>
      </c>
      <c r="C702" s="19" t="s">
        <v>240</v>
      </c>
      <c r="D702" s="3" t="s">
        <v>241</v>
      </c>
      <c r="E702" s="19" t="s">
        <v>243</v>
      </c>
      <c r="F702" s="19"/>
    </row>
    <row r="703" spans="1:6" x14ac:dyDescent="0.3">
      <c r="A703" s="17"/>
      <c r="B703" s="19"/>
      <c r="C703" s="19"/>
      <c r="D703" s="3" t="s">
        <v>242</v>
      </c>
      <c r="E703" s="19"/>
      <c r="F703" s="19"/>
    </row>
    <row r="704" spans="1:6" x14ac:dyDescent="0.3">
      <c r="A704" s="13" t="s">
        <v>114</v>
      </c>
      <c r="B704" s="2">
        <v>23222</v>
      </c>
      <c r="C704" s="2">
        <v>8.4582850000000001</v>
      </c>
      <c r="D704" s="2">
        <v>5.8770000000000003E-3</v>
      </c>
      <c r="E704" s="2">
        <v>8.4467599599999996</v>
      </c>
      <c r="F704" s="2">
        <v>8.4698092999999997</v>
      </c>
    </row>
    <row r="708" spans="1:7" x14ac:dyDescent="0.3">
      <c r="A708" s="1" t="s">
        <v>237</v>
      </c>
    </row>
    <row r="710" spans="1:7" x14ac:dyDescent="0.3">
      <c r="A710" s="1" t="s">
        <v>1</v>
      </c>
    </row>
    <row r="711" spans="1:7" ht="17.25" thickBot="1" x14ac:dyDescent="0.35"/>
    <row r="712" spans="1:7" ht="16.5" customHeight="1" x14ac:dyDescent="0.3">
      <c r="A712" s="16" t="s">
        <v>276</v>
      </c>
      <c r="B712" s="18"/>
      <c r="C712" s="18"/>
      <c r="D712" s="18"/>
      <c r="E712" s="18"/>
      <c r="F712" s="18"/>
      <c r="G712" s="18"/>
    </row>
    <row r="713" spans="1:7" ht="16.5" customHeight="1" x14ac:dyDescent="0.3">
      <c r="A713" s="17" t="s">
        <v>15</v>
      </c>
      <c r="B713" s="19" t="s">
        <v>239</v>
      </c>
      <c r="C713" s="19" t="s">
        <v>94</v>
      </c>
      <c r="D713" s="19" t="s">
        <v>240</v>
      </c>
      <c r="E713" s="3" t="s">
        <v>241</v>
      </c>
      <c r="F713" s="19" t="s">
        <v>243</v>
      </c>
      <c r="G713" s="19"/>
    </row>
    <row r="714" spans="1:7" x14ac:dyDescent="0.3">
      <c r="A714" s="17"/>
      <c r="B714" s="19"/>
      <c r="C714" s="19"/>
      <c r="D714" s="19"/>
      <c r="E714" s="3" t="s">
        <v>242</v>
      </c>
      <c r="F714" s="19"/>
      <c r="G714" s="19"/>
    </row>
    <row r="715" spans="1:7" ht="17.25" thickBot="1" x14ac:dyDescent="0.35">
      <c r="A715" s="6">
        <v>0</v>
      </c>
      <c r="B715" s="11" t="s">
        <v>114</v>
      </c>
      <c r="C715" s="2">
        <v>12250</v>
      </c>
      <c r="D715" s="2">
        <v>8.6236809999999995</v>
      </c>
      <c r="E715" s="2">
        <v>7.3600000000000002E-3</v>
      </c>
      <c r="F715" s="2">
        <v>8.6092503300000001</v>
      </c>
      <c r="G715" s="2">
        <v>8.6381119200000001</v>
      </c>
    </row>
    <row r="716" spans="1:7" ht="17.25" thickBot="1" x14ac:dyDescent="0.35">
      <c r="A716" s="6">
        <v>1</v>
      </c>
      <c r="B716" s="11" t="s">
        <v>114</v>
      </c>
      <c r="C716" s="2">
        <v>1783</v>
      </c>
      <c r="D716" s="2">
        <v>8.869707</v>
      </c>
      <c r="E716" s="2">
        <v>2.1224E-2</v>
      </c>
      <c r="F716" s="2">
        <v>8.8280904899999992</v>
      </c>
      <c r="G716" s="2">
        <v>8.9113229500000006</v>
      </c>
    </row>
    <row r="717" spans="1:7" x14ac:dyDescent="0.3">
      <c r="A717" s="6">
        <v>8</v>
      </c>
      <c r="B717" s="14" t="s">
        <v>114</v>
      </c>
      <c r="C717" s="2">
        <v>9189</v>
      </c>
      <c r="D717" s="2">
        <v>8.1863430000000008</v>
      </c>
      <c r="E717" s="2">
        <v>7.3629999999999998E-3</v>
      </c>
      <c r="F717" s="2">
        <v>8.1719058800000006</v>
      </c>
      <c r="G717" s="2">
        <v>8.2007807100000001</v>
      </c>
    </row>
    <row r="721" spans="1:6" x14ac:dyDescent="0.3">
      <c r="A721" s="1" t="s">
        <v>237</v>
      </c>
    </row>
    <row r="723" spans="1:6" x14ac:dyDescent="0.3">
      <c r="A723" s="1" t="s">
        <v>21</v>
      </c>
    </row>
    <row r="724" spans="1:6" ht="17.25" thickBot="1" x14ac:dyDescent="0.35"/>
    <row r="725" spans="1:6" ht="16.5" customHeight="1" x14ac:dyDescent="0.3">
      <c r="A725" s="16" t="s">
        <v>135</v>
      </c>
      <c r="B725" s="18"/>
    </row>
    <row r="726" spans="1:6" ht="26.25" thickBot="1" x14ac:dyDescent="0.35">
      <c r="A726" s="12" t="s">
        <v>136</v>
      </c>
      <c r="B726" s="2">
        <v>183</v>
      </c>
    </row>
    <row r="727" spans="1:6" ht="26.25" thickBot="1" x14ac:dyDescent="0.35">
      <c r="A727" s="12" t="s">
        <v>137</v>
      </c>
      <c r="B727" s="2">
        <v>2982</v>
      </c>
    </row>
    <row r="728" spans="1:6" ht="39" thickBot="1" x14ac:dyDescent="0.35">
      <c r="A728" s="12" t="s">
        <v>138</v>
      </c>
      <c r="B728" s="2">
        <v>68635</v>
      </c>
    </row>
    <row r="729" spans="1:6" ht="25.5" x14ac:dyDescent="0.3">
      <c r="A729" s="13" t="s">
        <v>139</v>
      </c>
      <c r="B729" s="2">
        <v>30251935.699999999</v>
      </c>
    </row>
    <row r="730" spans="1:6" ht="17.25" thickBot="1" x14ac:dyDescent="0.35"/>
    <row r="731" spans="1:6" ht="33" customHeight="1" x14ac:dyDescent="0.3">
      <c r="A731" s="16" t="s">
        <v>140</v>
      </c>
      <c r="B731" s="18"/>
    </row>
    <row r="732" spans="1:6" ht="33.75" thickBot="1" x14ac:dyDescent="0.35">
      <c r="A732" s="12" t="s">
        <v>141</v>
      </c>
      <c r="B732" s="2" t="s">
        <v>142</v>
      </c>
    </row>
    <row r="733" spans="1:6" ht="25.5" x14ac:dyDescent="0.3">
      <c r="A733" s="13" t="s">
        <v>143</v>
      </c>
      <c r="B733" s="2" t="s">
        <v>144</v>
      </c>
    </row>
    <row r="734" spans="1:6" ht="17.25" thickBot="1" x14ac:dyDescent="0.35"/>
    <row r="735" spans="1:6" ht="16.5" customHeight="1" x14ac:dyDescent="0.3">
      <c r="A735" s="16" t="s">
        <v>238</v>
      </c>
      <c r="B735" s="18"/>
      <c r="C735" s="18"/>
      <c r="D735" s="18"/>
      <c r="E735" s="18"/>
      <c r="F735" s="18"/>
    </row>
    <row r="736" spans="1:6" x14ac:dyDescent="0.3">
      <c r="A736" s="17" t="s">
        <v>239</v>
      </c>
      <c r="B736" s="19" t="s">
        <v>94</v>
      </c>
      <c r="C736" s="19" t="s">
        <v>240</v>
      </c>
      <c r="D736" s="3" t="s">
        <v>241</v>
      </c>
      <c r="E736" s="19" t="s">
        <v>243</v>
      </c>
      <c r="F736" s="19"/>
    </row>
    <row r="737" spans="1:9" x14ac:dyDescent="0.3">
      <c r="A737" s="17"/>
      <c r="B737" s="19"/>
      <c r="C737" s="19"/>
      <c r="D737" s="3" t="s">
        <v>242</v>
      </c>
      <c r="E737" s="19"/>
      <c r="F737" s="19"/>
    </row>
    <row r="738" spans="1:9" x14ac:dyDescent="0.3">
      <c r="A738" s="13" t="s">
        <v>114</v>
      </c>
      <c r="B738" s="2">
        <v>68635</v>
      </c>
      <c r="C738" s="2">
        <v>8.5827570000000009</v>
      </c>
      <c r="D738" s="2">
        <v>3.4259999999999998E-3</v>
      </c>
      <c r="E738" s="2">
        <v>8.5760384700000003</v>
      </c>
      <c r="F738" s="2">
        <v>8.58947489</v>
      </c>
    </row>
    <row r="742" spans="1:9" x14ac:dyDescent="0.3">
      <c r="A742" s="1" t="s">
        <v>237</v>
      </c>
    </row>
    <row r="744" spans="1:9" x14ac:dyDescent="0.3">
      <c r="A744" s="1" t="s">
        <v>21</v>
      </c>
    </row>
    <row r="745" spans="1:9" ht="17.25" thickBot="1" x14ac:dyDescent="0.35"/>
    <row r="746" spans="1:9" ht="16.5" customHeight="1" x14ac:dyDescent="0.3">
      <c r="A746" s="16" t="s">
        <v>276</v>
      </c>
      <c r="B746" s="18"/>
      <c r="C746" s="18"/>
      <c r="D746" s="18"/>
      <c r="E746" s="18"/>
      <c r="F746" s="18"/>
      <c r="G746" s="18"/>
    </row>
    <row r="747" spans="1:9" ht="16.5" customHeight="1" x14ac:dyDescent="0.3">
      <c r="A747" s="17" t="s">
        <v>15</v>
      </c>
      <c r="B747" s="19" t="s">
        <v>239</v>
      </c>
      <c r="C747" s="19" t="s">
        <v>94</v>
      </c>
      <c r="D747" s="19" t="s">
        <v>240</v>
      </c>
      <c r="E747" s="3" t="s">
        <v>241</v>
      </c>
      <c r="F747" s="19" t="s">
        <v>243</v>
      </c>
      <c r="G747" s="19"/>
    </row>
    <row r="748" spans="1:9" x14ac:dyDescent="0.3">
      <c r="A748" s="17"/>
      <c r="B748" s="19"/>
      <c r="C748" s="19"/>
      <c r="D748" s="19"/>
      <c r="E748" s="3" t="s">
        <v>242</v>
      </c>
      <c r="F748" s="19"/>
      <c r="G748" s="19"/>
    </row>
    <row r="749" spans="1:9" ht="17.25" thickBot="1" x14ac:dyDescent="0.35">
      <c r="A749" s="6">
        <v>0</v>
      </c>
      <c r="B749" s="11" t="s">
        <v>114</v>
      </c>
      <c r="C749" s="2">
        <v>52064</v>
      </c>
      <c r="D749" s="2">
        <v>8.5004109999999997</v>
      </c>
      <c r="E749" s="2">
        <v>3.7550000000000001E-3</v>
      </c>
      <c r="F749" s="2">
        <v>8.4930491900000007</v>
      </c>
      <c r="G749" s="2">
        <v>8.50777334</v>
      </c>
      <c r="I749" t="str">
        <f t="shared" ref="I749:I750" si="10">TEXT(D749,"0.00")&amp;" ("&amp;TEXT(F749,"0.00")&amp;" to "&amp;TEXT(G749,"0.00")&amp;")"</f>
        <v>8.50 (8.49 to 8.51)</v>
      </c>
    </row>
    <row r="750" spans="1:9" x14ac:dyDescent="0.3">
      <c r="A750" s="6">
        <v>1</v>
      </c>
      <c r="B750" s="14" t="s">
        <v>114</v>
      </c>
      <c r="C750" s="2">
        <v>16571</v>
      </c>
      <c r="D750" s="2">
        <v>8.8048070000000003</v>
      </c>
      <c r="E750" s="2">
        <v>6.4349999999999997E-3</v>
      </c>
      <c r="F750" s="2">
        <v>8.7921888799999994</v>
      </c>
      <c r="G750" s="2">
        <v>8.81742575</v>
      </c>
      <c r="I750" t="str">
        <f t="shared" si="10"/>
        <v>8.80 (8.79 to 8.82)</v>
      </c>
    </row>
    <row r="754" spans="1:6" x14ac:dyDescent="0.3">
      <c r="A754" s="1" t="s">
        <v>237</v>
      </c>
    </row>
    <row r="756" spans="1:6" x14ac:dyDescent="0.3">
      <c r="A756" s="1" t="s">
        <v>1</v>
      </c>
    </row>
    <row r="757" spans="1:6" ht="17.25" thickBot="1" x14ac:dyDescent="0.35"/>
    <row r="758" spans="1:6" ht="16.5" customHeight="1" x14ac:dyDescent="0.3">
      <c r="A758" s="16" t="s">
        <v>135</v>
      </c>
      <c r="B758" s="18"/>
    </row>
    <row r="759" spans="1:6" ht="26.25" thickBot="1" x14ac:dyDescent="0.35">
      <c r="A759" s="12" t="s">
        <v>136</v>
      </c>
      <c r="B759" s="2">
        <v>183</v>
      </c>
    </row>
    <row r="760" spans="1:6" ht="26.25" thickBot="1" x14ac:dyDescent="0.35">
      <c r="A760" s="12" t="s">
        <v>137</v>
      </c>
      <c r="B760" s="2">
        <v>2949</v>
      </c>
    </row>
    <row r="761" spans="1:6" ht="39" thickBot="1" x14ac:dyDescent="0.35">
      <c r="A761" s="12" t="s">
        <v>138</v>
      </c>
      <c r="B761" s="2">
        <v>23222</v>
      </c>
    </row>
    <row r="762" spans="1:6" ht="25.5" x14ac:dyDescent="0.3">
      <c r="A762" s="13" t="s">
        <v>139</v>
      </c>
      <c r="B762" s="2">
        <v>9036880.5199999996</v>
      </c>
    </row>
    <row r="763" spans="1:6" ht="17.25" thickBot="1" x14ac:dyDescent="0.35"/>
    <row r="764" spans="1:6" ht="33" customHeight="1" x14ac:dyDescent="0.3">
      <c r="A764" s="16" t="s">
        <v>140</v>
      </c>
      <c r="B764" s="18"/>
    </row>
    <row r="765" spans="1:6" ht="33.75" thickBot="1" x14ac:dyDescent="0.35">
      <c r="A765" s="12" t="s">
        <v>141</v>
      </c>
      <c r="B765" s="2" t="s">
        <v>142</v>
      </c>
    </row>
    <row r="766" spans="1:6" ht="25.5" x14ac:dyDescent="0.3">
      <c r="A766" s="13" t="s">
        <v>143</v>
      </c>
      <c r="B766" s="2" t="s">
        <v>144</v>
      </c>
    </row>
    <row r="767" spans="1:6" ht="17.25" thickBot="1" x14ac:dyDescent="0.35"/>
    <row r="768" spans="1:6" ht="16.5" customHeight="1" x14ac:dyDescent="0.3">
      <c r="A768" s="16" t="s">
        <v>238</v>
      </c>
      <c r="B768" s="18"/>
      <c r="C768" s="18"/>
      <c r="D768" s="18"/>
      <c r="E768" s="18"/>
      <c r="F768" s="18"/>
    </row>
    <row r="769" spans="1:7" x14ac:dyDescent="0.3">
      <c r="A769" s="17" t="s">
        <v>239</v>
      </c>
      <c r="B769" s="19" t="s">
        <v>94</v>
      </c>
      <c r="C769" s="19" t="s">
        <v>240</v>
      </c>
      <c r="D769" s="3" t="s">
        <v>241</v>
      </c>
      <c r="E769" s="19" t="s">
        <v>243</v>
      </c>
      <c r="F769" s="19"/>
    </row>
    <row r="770" spans="1:7" x14ac:dyDescent="0.3">
      <c r="A770" s="17"/>
      <c r="B770" s="19"/>
      <c r="C770" s="19"/>
      <c r="D770" s="3" t="s">
        <v>242</v>
      </c>
      <c r="E770" s="19"/>
      <c r="F770" s="19"/>
    </row>
    <row r="771" spans="1:7" x14ac:dyDescent="0.3">
      <c r="A771" s="13" t="s">
        <v>114</v>
      </c>
      <c r="B771" s="2">
        <v>23222</v>
      </c>
      <c r="C771" s="2">
        <v>8.4582850000000001</v>
      </c>
      <c r="D771" s="2">
        <v>5.8770000000000003E-3</v>
      </c>
      <c r="E771" s="2">
        <v>8.4467599599999996</v>
      </c>
      <c r="F771" s="2">
        <v>8.4698092999999997</v>
      </c>
    </row>
    <row r="775" spans="1:7" x14ac:dyDescent="0.3">
      <c r="A775" s="1" t="s">
        <v>237</v>
      </c>
    </row>
    <row r="777" spans="1:7" x14ac:dyDescent="0.3">
      <c r="A777" s="1" t="s">
        <v>1</v>
      </c>
    </row>
    <row r="778" spans="1:7" ht="17.25" thickBot="1" x14ac:dyDescent="0.35"/>
    <row r="779" spans="1:7" ht="16.5" customHeight="1" x14ac:dyDescent="0.3">
      <c r="A779" s="16" t="s">
        <v>277</v>
      </c>
      <c r="B779" s="18"/>
      <c r="C779" s="18"/>
      <c r="D779" s="18"/>
      <c r="E779" s="18"/>
      <c r="F779" s="18"/>
      <c r="G779" s="18"/>
    </row>
    <row r="780" spans="1:7" ht="16.5" customHeight="1" x14ac:dyDescent="0.3">
      <c r="A780" s="17" t="s">
        <v>16</v>
      </c>
      <c r="B780" s="19" t="s">
        <v>239</v>
      </c>
      <c r="C780" s="19" t="s">
        <v>94</v>
      </c>
      <c r="D780" s="19" t="s">
        <v>240</v>
      </c>
      <c r="E780" s="3" t="s">
        <v>241</v>
      </c>
      <c r="F780" s="19" t="s">
        <v>243</v>
      </c>
      <c r="G780" s="19"/>
    </row>
    <row r="781" spans="1:7" x14ac:dyDescent="0.3">
      <c r="A781" s="17"/>
      <c r="B781" s="19"/>
      <c r="C781" s="19"/>
      <c r="D781" s="19"/>
      <c r="E781" s="3" t="s">
        <v>242</v>
      </c>
      <c r="F781" s="19"/>
      <c r="G781" s="19"/>
    </row>
    <row r="782" spans="1:7" ht="17.25" thickBot="1" x14ac:dyDescent="0.35">
      <c r="A782" s="6">
        <v>0</v>
      </c>
      <c r="B782" s="11" t="s">
        <v>114</v>
      </c>
      <c r="C782" s="2">
        <v>17685</v>
      </c>
      <c r="D782" s="2">
        <v>8.3734199999999994</v>
      </c>
      <c r="E782" s="2">
        <v>6.3299999999999997E-3</v>
      </c>
      <c r="F782" s="2">
        <v>8.3610091999999998</v>
      </c>
      <c r="G782" s="2">
        <v>8.3858315399999999</v>
      </c>
    </row>
    <row r="783" spans="1:7" ht="17.25" thickBot="1" x14ac:dyDescent="0.35">
      <c r="A783" s="6">
        <v>1</v>
      </c>
      <c r="B783" s="11" t="s">
        <v>114</v>
      </c>
      <c r="C783" s="2">
        <v>4929</v>
      </c>
      <c r="D783" s="2">
        <v>8.8317010000000007</v>
      </c>
      <c r="E783" s="2">
        <v>1.1013E-2</v>
      </c>
      <c r="F783" s="2">
        <v>8.8101075800000004</v>
      </c>
      <c r="G783" s="2">
        <v>8.8532951000000004</v>
      </c>
    </row>
    <row r="784" spans="1:7" x14ac:dyDescent="0.3">
      <c r="A784" s="6">
        <v>8</v>
      </c>
      <c r="B784" s="14" t="s">
        <v>114</v>
      </c>
      <c r="C784" s="2">
        <v>608</v>
      </c>
      <c r="D784" s="2">
        <v>8.6527910000000006</v>
      </c>
      <c r="E784" s="2">
        <v>3.9109999999999999E-2</v>
      </c>
      <c r="F784" s="2">
        <v>8.5761019100000002</v>
      </c>
      <c r="G784" s="2">
        <v>8.7294792599999997</v>
      </c>
    </row>
    <row r="788" spans="1:2" x14ac:dyDescent="0.3">
      <c r="A788" s="1" t="s">
        <v>237</v>
      </c>
    </row>
    <row r="790" spans="1:2" x14ac:dyDescent="0.3">
      <c r="A790" s="1" t="s">
        <v>21</v>
      </c>
    </row>
    <row r="791" spans="1:2" ht="17.25" thickBot="1" x14ac:dyDescent="0.35"/>
    <row r="792" spans="1:2" ht="16.5" customHeight="1" x14ac:dyDescent="0.3">
      <c r="A792" s="16" t="s">
        <v>135</v>
      </c>
      <c r="B792" s="18"/>
    </row>
    <row r="793" spans="1:2" ht="26.25" thickBot="1" x14ac:dyDescent="0.35">
      <c r="A793" s="12" t="s">
        <v>136</v>
      </c>
      <c r="B793" s="2">
        <v>183</v>
      </c>
    </row>
    <row r="794" spans="1:2" ht="26.25" thickBot="1" x14ac:dyDescent="0.35">
      <c r="A794" s="12" t="s">
        <v>137</v>
      </c>
      <c r="B794" s="2">
        <v>2982</v>
      </c>
    </row>
    <row r="795" spans="1:2" ht="39" thickBot="1" x14ac:dyDescent="0.35">
      <c r="A795" s="12" t="s">
        <v>138</v>
      </c>
      <c r="B795" s="2">
        <v>68635</v>
      </c>
    </row>
    <row r="796" spans="1:2" ht="25.5" x14ac:dyDescent="0.3">
      <c r="A796" s="13" t="s">
        <v>139</v>
      </c>
      <c r="B796" s="2">
        <v>30251935.699999999</v>
      </c>
    </row>
    <row r="797" spans="1:2" ht="17.25" thickBot="1" x14ac:dyDescent="0.35"/>
    <row r="798" spans="1:2" ht="33" customHeight="1" x14ac:dyDescent="0.3">
      <c r="A798" s="16" t="s">
        <v>140</v>
      </c>
      <c r="B798" s="18"/>
    </row>
    <row r="799" spans="1:2" ht="33.75" thickBot="1" x14ac:dyDescent="0.35">
      <c r="A799" s="12" t="s">
        <v>141</v>
      </c>
      <c r="B799" s="2" t="s">
        <v>142</v>
      </c>
    </row>
    <row r="800" spans="1:2" ht="25.5" x14ac:dyDescent="0.3">
      <c r="A800" s="13" t="s">
        <v>143</v>
      </c>
      <c r="B800" s="2" t="s">
        <v>144</v>
      </c>
    </row>
    <row r="801" spans="1:9" ht="17.25" thickBot="1" x14ac:dyDescent="0.35"/>
    <row r="802" spans="1:9" ht="16.5" customHeight="1" x14ac:dyDescent="0.3">
      <c r="A802" s="16" t="s">
        <v>238</v>
      </c>
      <c r="B802" s="18"/>
      <c r="C802" s="18"/>
      <c r="D802" s="18"/>
      <c r="E802" s="18"/>
      <c r="F802" s="18"/>
    </row>
    <row r="803" spans="1:9" x14ac:dyDescent="0.3">
      <c r="A803" s="17" t="s">
        <v>239</v>
      </c>
      <c r="B803" s="19" t="s">
        <v>94</v>
      </c>
      <c r="C803" s="19" t="s">
        <v>240</v>
      </c>
      <c r="D803" s="3" t="s">
        <v>241</v>
      </c>
      <c r="E803" s="19" t="s">
        <v>243</v>
      </c>
      <c r="F803" s="19"/>
    </row>
    <row r="804" spans="1:9" x14ac:dyDescent="0.3">
      <c r="A804" s="17"/>
      <c r="B804" s="19"/>
      <c r="C804" s="19"/>
      <c r="D804" s="3" t="s">
        <v>242</v>
      </c>
      <c r="E804" s="19"/>
      <c r="F804" s="19"/>
    </row>
    <row r="805" spans="1:9" x14ac:dyDescent="0.3">
      <c r="A805" s="13" t="s">
        <v>114</v>
      </c>
      <c r="B805" s="2">
        <v>68635</v>
      </c>
      <c r="C805" s="2">
        <v>8.5827570000000009</v>
      </c>
      <c r="D805" s="2">
        <v>3.4259999999999998E-3</v>
      </c>
      <c r="E805" s="2">
        <v>8.5760384700000003</v>
      </c>
      <c r="F805" s="2">
        <v>8.58947489</v>
      </c>
    </row>
    <row r="809" spans="1:9" x14ac:dyDescent="0.3">
      <c r="A809" s="1" t="s">
        <v>237</v>
      </c>
    </row>
    <row r="811" spans="1:9" x14ac:dyDescent="0.3">
      <c r="A811" s="1" t="s">
        <v>21</v>
      </c>
    </row>
    <row r="812" spans="1:9" ht="17.25" thickBot="1" x14ac:dyDescent="0.35"/>
    <row r="813" spans="1:9" ht="16.5" customHeight="1" x14ac:dyDescent="0.3">
      <c r="A813" s="16" t="s">
        <v>277</v>
      </c>
      <c r="B813" s="18"/>
      <c r="C813" s="18"/>
      <c r="D813" s="18"/>
      <c r="E813" s="18"/>
      <c r="F813" s="18"/>
      <c r="G813" s="18"/>
    </row>
    <row r="814" spans="1:9" ht="16.5" customHeight="1" x14ac:dyDescent="0.3">
      <c r="A814" s="17" t="s">
        <v>16</v>
      </c>
      <c r="B814" s="19" t="s">
        <v>239</v>
      </c>
      <c r="C814" s="19" t="s">
        <v>94</v>
      </c>
      <c r="D814" s="19" t="s">
        <v>240</v>
      </c>
      <c r="E814" s="3" t="s">
        <v>241</v>
      </c>
      <c r="F814" s="19" t="s">
        <v>243</v>
      </c>
      <c r="G814" s="19"/>
    </row>
    <row r="815" spans="1:9" x14ac:dyDescent="0.3">
      <c r="A815" s="17"/>
      <c r="B815" s="19"/>
      <c r="C815" s="19"/>
      <c r="D815" s="19"/>
      <c r="E815" s="3" t="s">
        <v>242</v>
      </c>
      <c r="F815" s="19"/>
      <c r="G815" s="19"/>
    </row>
    <row r="816" spans="1:9" ht="17.25" thickBot="1" x14ac:dyDescent="0.35">
      <c r="A816" s="6">
        <v>0</v>
      </c>
      <c r="B816" s="11" t="s">
        <v>114</v>
      </c>
      <c r="C816" s="2">
        <v>53910</v>
      </c>
      <c r="D816" s="2">
        <v>8.5257459999999998</v>
      </c>
      <c r="E816" s="2">
        <v>3.5920000000000001E-3</v>
      </c>
      <c r="F816" s="2">
        <v>8.5187030999999998</v>
      </c>
      <c r="G816" s="2">
        <v>8.5327886700000004</v>
      </c>
      <c r="I816" t="str">
        <f t="shared" ref="I816:I817" si="11">TEXT(D816,"0.00")&amp;" ("&amp;TEXT(F816,"0.00")&amp;" to "&amp;TEXT(G816,"0.00")&amp;")"</f>
        <v>8.53 (8.52 to 8.53)</v>
      </c>
    </row>
    <row r="817" spans="1:9" x14ac:dyDescent="0.3">
      <c r="A817" s="6">
        <v>1</v>
      </c>
      <c r="B817" s="14" t="s">
        <v>114</v>
      </c>
      <c r="C817" s="2">
        <v>14725</v>
      </c>
      <c r="D817" s="2">
        <v>8.8618640000000006</v>
      </c>
      <c r="E817" s="2">
        <v>6.9129999999999999E-3</v>
      </c>
      <c r="F817" s="2">
        <v>8.8483089899999996</v>
      </c>
      <c r="G817" s="2">
        <v>8.8754196299999997</v>
      </c>
      <c r="I817" t="str">
        <f t="shared" si="11"/>
        <v>8.86 (8.85 to 8.88)</v>
      </c>
    </row>
    <row r="821" spans="1:9" x14ac:dyDescent="0.3">
      <c r="A821" s="1" t="s">
        <v>237</v>
      </c>
    </row>
    <row r="823" spans="1:9" x14ac:dyDescent="0.3">
      <c r="A823" s="1" t="s">
        <v>1</v>
      </c>
    </row>
    <row r="824" spans="1:9" ht="17.25" thickBot="1" x14ac:dyDescent="0.35"/>
    <row r="825" spans="1:9" ht="16.5" customHeight="1" x14ac:dyDescent="0.3">
      <c r="A825" s="16" t="s">
        <v>135</v>
      </c>
      <c r="B825" s="18"/>
    </row>
    <row r="826" spans="1:9" ht="26.25" thickBot="1" x14ac:dyDescent="0.35">
      <c r="A826" s="12" t="s">
        <v>136</v>
      </c>
      <c r="B826" s="2">
        <v>183</v>
      </c>
    </row>
    <row r="827" spans="1:9" ht="26.25" thickBot="1" x14ac:dyDescent="0.35">
      <c r="A827" s="12" t="s">
        <v>137</v>
      </c>
      <c r="B827" s="2">
        <v>2949</v>
      </c>
    </row>
    <row r="828" spans="1:9" ht="39" thickBot="1" x14ac:dyDescent="0.35">
      <c r="A828" s="12" t="s">
        <v>138</v>
      </c>
      <c r="B828" s="2">
        <v>23222</v>
      </c>
    </row>
    <row r="829" spans="1:9" ht="25.5" x14ac:dyDescent="0.3">
      <c r="A829" s="13" t="s">
        <v>139</v>
      </c>
      <c r="B829" s="2">
        <v>9036880.5199999996</v>
      </c>
    </row>
    <row r="830" spans="1:9" ht="17.25" thickBot="1" x14ac:dyDescent="0.35"/>
    <row r="831" spans="1:9" ht="33" customHeight="1" x14ac:dyDescent="0.3">
      <c r="A831" s="16" t="s">
        <v>140</v>
      </c>
      <c r="B831" s="18"/>
    </row>
    <row r="832" spans="1:9" ht="33.75" thickBot="1" x14ac:dyDescent="0.35">
      <c r="A832" s="12" t="s">
        <v>141</v>
      </c>
      <c r="B832" s="2" t="s">
        <v>142</v>
      </c>
    </row>
    <row r="833" spans="1:7" ht="25.5" x14ac:dyDescent="0.3">
      <c r="A833" s="13" t="s">
        <v>143</v>
      </c>
      <c r="B833" s="2" t="s">
        <v>144</v>
      </c>
    </row>
    <row r="834" spans="1:7" ht="17.25" thickBot="1" x14ac:dyDescent="0.35"/>
    <row r="835" spans="1:7" ht="16.5" customHeight="1" x14ac:dyDescent="0.3">
      <c r="A835" s="16" t="s">
        <v>238</v>
      </c>
      <c r="B835" s="18"/>
      <c r="C835" s="18"/>
      <c r="D835" s="18"/>
      <c r="E835" s="18"/>
      <c r="F835" s="18"/>
    </row>
    <row r="836" spans="1:7" x14ac:dyDescent="0.3">
      <c r="A836" s="17" t="s">
        <v>239</v>
      </c>
      <c r="B836" s="19" t="s">
        <v>94</v>
      </c>
      <c r="C836" s="19" t="s">
        <v>240</v>
      </c>
      <c r="D836" s="3" t="s">
        <v>241</v>
      </c>
      <c r="E836" s="19" t="s">
        <v>243</v>
      </c>
      <c r="F836" s="19"/>
    </row>
    <row r="837" spans="1:7" x14ac:dyDescent="0.3">
      <c r="A837" s="17"/>
      <c r="B837" s="19"/>
      <c r="C837" s="19"/>
      <c r="D837" s="3" t="s">
        <v>242</v>
      </c>
      <c r="E837" s="19"/>
      <c r="F837" s="19"/>
    </row>
    <row r="838" spans="1:7" x14ac:dyDescent="0.3">
      <c r="A838" s="13" t="s">
        <v>114</v>
      </c>
      <c r="B838" s="2">
        <v>23222</v>
      </c>
      <c r="C838" s="2">
        <v>8.4582850000000001</v>
      </c>
      <c r="D838" s="2">
        <v>5.8770000000000003E-3</v>
      </c>
      <c r="E838" s="2">
        <v>8.4467599599999996</v>
      </c>
      <c r="F838" s="2">
        <v>8.4698092999999997</v>
      </c>
    </row>
    <row r="842" spans="1:7" x14ac:dyDescent="0.3">
      <c r="A842" s="1" t="s">
        <v>237</v>
      </c>
    </row>
    <row r="844" spans="1:7" x14ac:dyDescent="0.3">
      <c r="A844" s="1" t="s">
        <v>1</v>
      </c>
    </row>
    <row r="845" spans="1:7" ht="17.25" thickBot="1" x14ac:dyDescent="0.35"/>
    <row r="846" spans="1:7" ht="16.5" customHeight="1" x14ac:dyDescent="0.3">
      <c r="A846" s="16" t="s">
        <v>278</v>
      </c>
      <c r="B846" s="18"/>
      <c r="C846" s="18"/>
      <c r="D846" s="18"/>
      <c r="E846" s="18"/>
      <c r="F846" s="18"/>
      <c r="G846" s="18"/>
    </row>
    <row r="847" spans="1:7" ht="16.5" customHeight="1" x14ac:dyDescent="0.3">
      <c r="A847" s="17" t="s">
        <v>17</v>
      </c>
      <c r="B847" s="19" t="s">
        <v>239</v>
      </c>
      <c r="C847" s="19" t="s">
        <v>94</v>
      </c>
      <c r="D847" s="19" t="s">
        <v>240</v>
      </c>
      <c r="E847" s="3" t="s">
        <v>241</v>
      </c>
      <c r="F847" s="19" t="s">
        <v>243</v>
      </c>
      <c r="G847" s="19"/>
    </row>
    <row r="848" spans="1:7" x14ac:dyDescent="0.3">
      <c r="A848" s="17"/>
      <c r="B848" s="19"/>
      <c r="C848" s="19"/>
      <c r="D848" s="19"/>
      <c r="E848" s="3" t="s">
        <v>242</v>
      </c>
      <c r="F848" s="19"/>
      <c r="G848" s="19"/>
    </row>
    <row r="849" spans="1:7" ht="17.25" thickBot="1" x14ac:dyDescent="0.35">
      <c r="A849" s="6">
        <v>0</v>
      </c>
      <c r="B849" s="11" t="s">
        <v>114</v>
      </c>
      <c r="C849" s="2">
        <v>19657</v>
      </c>
      <c r="D849" s="2">
        <v>8.4033549999999995</v>
      </c>
      <c r="E849" s="2">
        <v>6.0889999999999998E-3</v>
      </c>
      <c r="F849" s="2">
        <v>8.3914167600000003</v>
      </c>
      <c r="G849" s="2">
        <v>8.4152941800000001</v>
      </c>
    </row>
    <row r="850" spans="1:7" ht="17.25" thickBot="1" x14ac:dyDescent="0.35">
      <c r="A850" s="6">
        <v>1</v>
      </c>
      <c r="B850" s="11" t="s">
        <v>114</v>
      </c>
      <c r="C850" s="2">
        <v>2956</v>
      </c>
      <c r="D850" s="2">
        <v>8.8415710000000001</v>
      </c>
      <c r="E850" s="2">
        <v>1.5820000000000001E-2</v>
      </c>
      <c r="F850" s="2">
        <v>8.8105509200000007</v>
      </c>
      <c r="G850" s="2">
        <v>8.8725903400000004</v>
      </c>
    </row>
    <row r="851" spans="1:7" x14ac:dyDescent="0.3">
      <c r="A851" s="6">
        <v>8</v>
      </c>
      <c r="B851" s="14" t="s">
        <v>114</v>
      </c>
      <c r="C851" s="2">
        <v>609</v>
      </c>
      <c r="D851" s="2">
        <v>8.6538070000000005</v>
      </c>
      <c r="E851" s="2">
        <v>3.9098000000000001E-2</v>
      </c>
      <c r="F851" s="2">
        <v>8.5771438700000004</v>
      </c>
      <c r="G851" s="2">
        <v>8.7304709799999998</v>
      </c>
    </row>
    <row r="855" spans="1:7" x14ac:dyDescent="0.3">
      <c r="A855" s="1" t="s">
        <v>237</v>
      </c>
    </row>
    <row r="857" spans="1:7" x14ac:dyDescent="0.3">
      <c r="A857" s="1" t="s">
        <v>21</v>
      </c>
    </row>
    <row r="858" spans="1:7" ht="17.25" thickBot="1" x14ac:dyDescent="0.35"/>
    <row r="859" spans="1:7" ht="16.5" customHeight="1" x14ac:dyDescent="0.3">
      <c r="A859" s="16" t="s">
        <v>135</v>
      </c>
      <c r="B859" s="18"/>
    </row>
    <row r="860" spans="1:7" ht="26.25" thickBot="1" x14ac:dyDescent="0.35">
      <c r="A860" s="12" t="s">
        <v>136</v>
      </c>
      <c r="B860" s="2">
        <v>183</v>
      </c>
    </row>
    <row r="861" spans="1:7" ht="26.25" thickBot="1" x14ac:dyDescent="0.35">
      <c r="A861" s="12" t="s">
        <v>137</v>
      </c>
      <c r="B861" s="2">
        <v>2982</v>
      </c>
    </row>
    <row r="862" spans="1:7" ht="39" thickBot="1" x14ac:dyDescent="0.35">
      <c r="A862" s="12" t="s">
        <v>138</v>
      </c>
      <c r="B862" s="2">
        <v>68635</v>
      </c>
    </row>
    <row r="863" spans="1:7" ht="25.5" x14ac:dyDescent="0.3">
      <c r="A863" s="13" t="s">
        <v>139</v>
      </c>
      <c r="B863" s="2">
        <v>30251935.699999999</v>
      </c>
    </row>
    <row r="864" spans="1:7" ht="17.25" thickBot="1" x14ac:dyDescent="0.35"/>
    <row r="865" spans="1:7" ht="33" customHeight="1" x14ac:dyDescent="0.3">
      <c r="A865" s="16" t="s">
        <v>140</v>
      </c>
      <c r="B865" s="18"/>
    </row>
    <row r="866" spans="1:7" ht="33.75" thickBot="1" x14ac:dyDescent="0.35">
      <c r="A866" s="12" t="s">
        <v>141</v>
      </c>
      <c r="B866" s="2" t="s">
        <v>142</v>
      </c>
    </row>
    <row r="867" spans="1:7" ht="25.5" x14ac:dyDescent="0.3">
      <c r="A867" s="13" t="s">
        <v>143</v>
      </c>
      <c r="B867" s="2" t="s">
        <v>144</v>
      </c>
    </row>
    <row r="868" spans="1:7" ht="17.25" thickBot="1" x14ac:dyDescent="0.35"/>
    <row r="869" spans="1:7" ht="16.5" customHeight="1" x14ac:dyDescent="0.3">
      <c r="A869" s="16" t="s">
        <v>238</v>
      </c>
      <c r="B869" s="18"/>
      <c r="C869" s="18"/>
      <c r="D869" s="18"/>
      <c r="E869" s="18"/>
      <c r="F869" s="18"/>
    </row>
    <row r="870" spans="1:7" x14ac:dyDescent="0.3">
      <c r="A870" s="17" t="s">
        <v>239</v>
      </c>
      <c r="B870" s="19" t="s">
        <v>94</v>
      </c>
      <c r="C870" s="19" t="s">
        <v>240</v>
      </c>
      <c r="D870" s="3" t="s">
        <v>241</v>
      </c>
      <c r="E870" s="19" t="s">
        <v>243</v>
      </c>
      <c r="F870" s="19"/>
    </row>
    <row r="871" spans="1:7" x14ac:dyDescent="0.3">
      <c r="A871" s="17"/>
      <c r="B871" s="19"/>
      <c r="C871" s="19"/>
      <c r="D871" s="3" t="s">
        <v>242</v>
      </c>
      <c r="E871" s="19"/>
      <c r="F871" s="19"/>
    </row>
    <row r="872" spans="1:7" x14ac:dyDescent="0.3">
      <c r="A872" s="13" t="s">
        <v>114</v>
      </c>
      <c r="B872" s="2">
        <v>68635</v>
      </c>
      <c r="C872" s="2">
        <v>8.5827570000000009</v>
      </c>
      <c r="D872" s="2">
        <v>3.4259999999999998E-3</v>
      </c>
      <c r="E872" s="2">
        <v>8.5760384700000003</v>
      </c>
      <c r="F872" s="2">
        <v>8.58947489</v>
      </c>
    </row>
    <row r="876" spans="1:7" x14ac:dyDescent="0.3">
      <c r="A876" s="1" t="s">
        <v>237</v>
      </c>
    </row>
    <row r="878" spans="1:7" x14ac:dyDescent="0.3">
      <c r="A878" s="1" t="s">
        <v>21</v>
      </c>
    </row>
    <row r="879" spans="1:7" ht="17.25" thickBot="1" x14ac:dyDescent="0.35"/>
    <row r="880" spans="1:7" ht="16.5" customHeight="1" x14ac:dyDescent="0.3">
      <c r="A880" s="16" t="s">
        <v>278</v>
      </c>
      <c r="B880" s="18"/>
      <c r="C880" s="18"/>
      <c r="D880" s="18"/>
      <c r="E880" s="18"/>
      <c r="F880" s="18"/>
      <c r="G880" s="18"/>
    </row>
    <row r="881" spans="1:9" ht="16.5" customHeight="1" x14ac:dyDescent="0.3">
      <c r="A881" s="17" t="s">
        <v>17</v>
      </c>
      <c r="B881" s="19" t="s">
        <v>239</v>
      </c>
      <c r="C881" s="19" t="s">
        <v>94</v>
      </c>
      <c r="D881" s="19" t="s">
        <v>240</v>
      </c>
      <c r="E881" s="3" t="s">
        <v>241</v>
      </c>
      <c r="F881" s="19" t="s">
        <v>243</v>
      </c>
      <c r="G881" s="19"/>
    </row>
    <row r="882" spans="1:9" x14ac:dyDescent="0.3">
      <c r="A882" s="17"/>
      <c r="B882" s="19"/>
      <c r="C882" s="19"/>
      <c r="D882" s="19"/>
      <c r="E882" s="3" t="s">
        <v>242</v>
      </c>
      <c r="F882" s="19"/>
      <c r="G882" s="19"/>
    </row>
    <row r="883" spans="1:9" ht="17.25" thickBot="1" x14ac:dyDescent="0.35">
      <c r="A883" s="6">
        <v>0</v>
      </c>
      <c r="B883" s="11" t="s">
        <v>114</v>
      </c>
      <c r="C883" s="2">
        <v>58467</v>
      </c>
      <c r="D883" s="2">
        <v>8.5398770000000006</v>
      </c>
      <c r="E883" s="2">
        <v>3.604E-3</v>
      </c>
      <c r="F883" s="2">
        <v>8.5328111199999999</v>
      </c>
      <c r="G883" s="2">
        <v>8.5469434700000004</v>
      </c>
      <c r="I883" t="str">
        <f t="shared" ref="I883:I884" si="12">TEXT(D883,"0.00")&amp;" ("&amp;TEXT(F883,"0.00")&amp;" to "&amp;TEXT(G883,"0.00")&amp;")"</f>
        <v>8.54 (8.53 to 8.55)</v>
      </c>
    </row>
    <row r="884" spans="1:9" x14ac:dyDescent="0.3">
      <c r="A884" s="6">
        <v>1</v>
      </c>
      <c r="B884" s="14" t="s">
        <v>114</v>
      </c>
      <c r="C884" s="2">
        <v>10168</v>
      </c>
      <c r="D884" s="2">
        <v>8.8817160000000008</v>
      </c>
      <c r="E884" s="2">
        <v>8.0569999999999999E-3</v>
      </c>
      <c r="F884" s="2">
        <v>8.8659166999999997</v>
      </c>
      <c r="G884" s="2">
        <v>8.8975148599999994</v>
      </c>
      <c r="I884" t="str">
        <f t="shared" si="12"/>
        <v>8.88 (8.87 to 8.90)</v>
      </c>
    </row>
    <row r="888" spans="1:9" x14ac:dyDescent="0.3">
      <c r="A888" s="1" t="s">
        <v>237</v>
      </c>
    </row>
    <row r="890" spans="1:9" x14ac:dyDescent="0.3">
      <c r="A890" s="1" t="s">
        <v>1</v>
      </c>
    </row>
    <row r="891" spans="1:9" ht="17.25" thickBot="1" x14ac:dyDescent="0.35"/>
    <row r="892" spans="1:9" ht="16.5" customHeight="1" x14ac:dyDescent="0.3">
      <c r="A892" s="16" t="s">
        <v>135</v>
      </c>
      <c r="B892" s="18"/>
    </row>
    <row r="893" spans="1:9" ht="26.25" thickBot="1" x14ac:dyDescent="0.35">
      <c r="A893" s="12" t="s">
        <v>136</v>
      </c>
      <c r="B893" s="2">
        <v>183</v>
      </c>
    </row>
    <row r="894" spans="1:9" ht="26.25" thickBot="1" x14ac:dyDescent="0.35">
      <c r="A894" s="12" t="s">
        <v>137</v>
      </c>
      <c r="B894" s="2">
        <v>2949</v>
      </c>
    </row>
    <row r="895" spans="1:9" ht="39" thickBot="1" x14ac:dyDescent="0.35">
      <c r="A895" s="12" t="s">
        <v>138</v>
      </c>
      <c r="B895" s="2">
        <v>23222</v>
      </c>
    </row>
    <row r="896" spans="1:9" ht="25.5" x14ac:dyDescent="0.3">
      <c r="A896" s="13" t="s">
        <v>139</v>
      </c>
      <c r="B896" s="2">
        <v>9036880.5199999996</v>
      </c>
    </row>
    <row r="897" spans="1:6" ht="17.25" thickBot="1" x14ac:dyDescent="0.35"/>
    <row r="898" spans="1:6" ht="33" customHeight="1" x14ac:dyDescent="0.3">
      <c r="A898" s="16" t="s">
        <v>140</v>
      </c>
      <c r="B898" s="18"/>
    </row>
    <row r="899" spans="1:6" ht="33.75" thickBot="1" x14ac:dyDescent="0.35">
      <c r="A899" s="12" t="s">
        <v>141</v>
      </c>
      <c r="B899" s="2" t="s">
        <v>142</v>
      </c>
    </row>
    <row r="900" spans="1:6" ht="25.5" x14ac:dyDescent="0.3">
      <c r="A900" s="13" t="s">
        <v>143</v>
      </c>
      <c r="B900" s="2" t="s">
        <v>144</v>
      </c>
    </row>
    <row r="901" spans="1:6" ht="17.25" thickBot="1" x14ac:dyDescent="0.35"/>
    <row r="902" spans="1:6" ht="16.5" customHeight="1" x14ac:dyDescent="0.3">
      <c r="A902" s="16" t="s">
        <v>238</v>
      </c>
      <c r="B902" s="18"/>
      <c r="C902" s="18"/>
      <c r="D902" s="18"/>
      <c r="E902" s="18"/>
      <c r="F902" s="18"/>
    </row>
    <row r="903" spans="1:6" x14ac:dyDescent="0.3">
      <c r="A903" s="17" t="s">
        <v>239</v>
      </c>
      <c r="B903" s="19" t="s">
        <v>94</v>
      </c>
      <c r="C903" s="19" t="s">
        <v>240</v>
      </c>
      <c r="D903" s="3" t="s">
        <v>241</v>
      </c>
      <c r="E903" s="19" t="s">
        <v>243</v>
      </c>
      <c r="F903" s="19"/>
    </row>
    <row r="904" spans="1:6" x14ac:dyDescent="0.3">
      <c r="A904" s="17"/>
      <c r="B904" s="19"/>
      <c r="C904" s="19"/>
      <c r="D904" s="3" t="s">
        <v>242</v>
      </c>
      <c r="E904" s="19"/>
      <c r="F904" s="19"/>
    </row>
    <row r="905" spans="1:6" x14ac:dyDescent="0.3">
      <c r="A905" s="13" t="s">
        <v>114</v>
      </c>
      <c r="B905" s="2">
        <v>23222</v>
      </c>
      <c r="C905" s="2">
        <v>8.4582850000000001</v>
      </c>
      <c r="D905" s="2">
        <v>5.8770000000000003E-3</v>
      </c>
      <c r="E905" s="2">
        <v>8.4467599599999996</v>
      </c>
      <c r="F905" s="2">
        <v>8.4698092999999997</v>
      </c>
    </row>
    <row r="909" spans="1:6" x14ac:dyDescent="0.3">
      <c r="A909" s="1" t="s">
        <v>237</v>
      </c>
    </row>
    <row r="911" spans="1:6" x14ac:dyDescent="0.3">
      <c r="A911" s="1" t="s">
        <v>1</v>
      </c>
    </row>
    <row r="912" spans="1:6" ht="17.25" thickBot="1" x14ac:dyDescent="0.35"/>
    <row r="913" spans="1:7" ht="16.5" customHeight="1" x14ac:dyDescent="0.3">
      <c r="A913" s="16" t="s">
        <v>279</v>
      </c>
      <c r="B913" s="18"/>
      <c r="C913" s="18"/>
      <c r="D913" s="18"/>
      <c r="E913" s="18"/>
      <c r="F913" s="18"/>
      <c r="G913" s="18"/>
    </row>
    <row r="914" spans="1:7" x14ac:dyDescent="0.3">
      <c r="A914" s="17" t="s">
        <v>18</v>
      </c>
      <c r="B914" s="19" t="s">
        <v>239</v>
      </c>
      <c r="C914" s="19" t="s">
        <v>94</v>
      </c>
      <c r="D914" s="19" t="s">
        <v>240</v>
      </c>
      <c r="E914" s="3" t="s">
        <v>241</v>
      </c>
      <c r="F914" s="19" t="s">
        <v>243</v>
      </c>
      <c r="G914" s="19"/>
    </row>
    <row r="915" spans="1:7" x14ac:dyDescent="0.3">
      <c r="A915" s="17"/>
      <c r="B915" s="19"/>
      <c r="C915" s="19"/>
      <c r="D915" s="19"/>
      <c r="E915" s="3" t="s">
        <v>242</v>
      </c>
      <c r="F915" s="19"/>
      <c r="G915" s="19"/>
    </row>
    <row r="916" spans="1:7" ht="17.25" thickBot="1" x14ac:dyDescent="0.35">
      <c r="A916" s="6">
        <v>0</v>
      </c>
      <c r="B916" s="11" t="s">
        <v>114</v>
      </c>
      <c r="C916" s="2">
        <v>20255</v>
      </c>
      <c r="D916" s="2">
        <v>8.420356</v>
      </c>
      <c r="E916" s="2">
        <v>6.169E-3</v>
      </c>
      <c r="F916" s="2">
        <v>8.4082596200000008</v>
      </c>
      <c r="G916" s="2">
        <v>8.4324519900000006</v>
      </c>
    </row>
    <row r="917" spans="1:7" ht="17.25" thickBot="1" x14ac:dyDescent="0.35">
      <c r="A917" s="6">
        <v>1</v>
      </c>
      <c r="B917" s="11" t="s">
        <v>114</v>
      </c>
      <c r="C917" s="2">
        <v>440</v>
      </c>
      <c r="D917" s="2">
        <v>8.811833</v>
      </c>
      <c r="E917" s="2">
        <v>3.7200999999999998E-2</v>
      </c>
      <c r="F917" s="2">
        <v>8.7388889699999996</v>
      </c>
      <c r="G917" s="2">
        <v>8.8847774800000003</v>
      </c>
    </row>
    <row r="918" spans="1:7" x14ac:dyDescent="0.3">
      <c r="A918" s="6">
        <v>8</v>
      </c>
      <c r="B918" s="14" t="s">
        <v>114</v>
      </c>
      <c r="C918" s="2">
        <v>2527</v>
      </c>
      <c r="D918" s="2">
        <v>8.6734369999999998</v>
      </c>
      <c r="E918" s="2">
        <v>1.7054E-2</v>
      </c>
      <c r="F918" s="2">
        <v>8.6399962099999996</v>
      </c>
      <c r="G918" s="2">
        <v>8.7068772899999995</v>
      </c>
    </row>
    <row r="922" spans="1:7" x14ac:dyDescent="0.3">
      <c r="A922" s="1" t="s">
        <v>237</v>
      </c>
    </row>
    <row r="924" spans="1:7" x14ac:dyDescent="0.3">
      <c r="A924" s="1" t="s">
        <v>21</v>
      </c>
    </row>
    <row r="925" spans="1:7" ht="17.25" thickBot="1" x14ac:dyDescent="0.35"/>
    <row r="926" spans="1:7" ht="16.5" customHeight="1" x14ac:dyDescent="0.3">
      <c r="A926" s="16" t="s">
        <v>135</v>
      </c>
      <c r="B926" s="18"/>
    </row>
    <row r="927" spans="1:7" ht="26.25" thickBot="1" x14ac:dyDescent="0.35">
      <c r="A927" s="12" t="s">
        <v>136</v>
      </c>
      <c r="B927" s="2">
        <v>183</v>
      </c>
    </row>
    <row r="928" spans="1:7" ht="26.25" thickBot="1" x14ac:dyDescent="0.35">
      <c r="A928" s="12" t="s">
        <v>137</v>
      </c>
      <c r="B928" s="2">
        <v>2982</v>
      </c>
    </row>
    <row r="929" spans="1:6" ht="39" thickBot="1" x14ac:dyDescent="0.35">
      <c r="A929" s="12" t="s">
        <v>138</v>
      </c>
      <c r="B929" s="2">
        <v>68635</v>
      </c>
    </row>
    <row r="930" spans="1:6" ht="25.5" x14ac:dyDescent="0.3">
      <c r="A930" s="13" t="s">
        <v>139</v>
      </c>
      <c r="B930" s="2">
        <v>30251935.699999999</v>
      </c>
    </row>
    <row r="931" spans="1:6" ht="17.25" thickBot="1" x14ac:dyDescent="0.35"/>
    <row r="932" spans="1:6" ht="33" customHeight="1" x14ac:dyDescent="0.3">
      <c r="A932" s="16" t="s">
        <v>140</v>
      </c>
      <c r="B932" s="18"/>
    </row>
    <row r="933" spans="1:6" ht="33.75" thickBot="1" x14ac:dyDescent="0.35">
      <c r="A933" s="12" t="s">
        <v>141</v>
      </c>
      <c r="B933" s="2" t="s">
        <v>142</v>
      </c>
    </row>
    <row r="934" spans="1:6" ht="25.5" x14ac:dyDescent="0.3">
      <c r="A934" s="13" t="s">
        <v>143</v>
      </c>
      <c r="B934" s="2" t="s">
        <v>144</v>
      </c>
    </row>
    <row r="935" spans="1:6" ht="17.25" thickBot="1" x14ac:dyDescent="0.35"/>
    <row r="936" spans="1:6" ht="16.5" customHeight="1" x14ac:dyDescent="0.3">
      <c r="A936" s="16" t="s">
        <v>238</v>
      </c>
      <c r="B936" s="18"/>
      <c r="C936" s="18"/>
      <c r="D936" s="18"/>
      <c r="E936" s="18"/>
      <c r="F936" s="18"/>
    </row>
    <row r="937" spans="1:6" x14ac:dyDescent="0.3">
      <c r="A937" s="17" t="s">
        <v>239</v>
      </c>
      <c r="B937" s="19" t="s">
        <v>94</v>
      </c>
      <c r="C937" s="19" t="s">
        <v>240</v>
      </c>
      <c r="D937" s="3" t="s">
        <v>241</v>
      </c>
      <c r="E937" s="19" t="s">
        <v>243</v>
      </c>
      <c r="F937" s="19"/>
    </row>
    <row r="938" spans="1:6" x14ac:dyDescent="0.3">
      <c r="A938" s="17"/>
      <c r="B938" s="19"/>
      <c r="C938" s="19"/>
      <c r="D938" s="3" t="s">
        <v>242</v>
      </c>
      <c r="E938" s="19"/>
      <c r="F938" s="19"/>
    </row>
    <row r="939" spans="1:6" x14ac:dyDescent="0.3">
      <c r="A939" s="13" t="s">
        <v>114</v>
      </c>
      <c r="B939" s="2">
        <v>68635</v>
      </c>
      <c r="C939" s="2">
        <v>8.5827570000000009</v>
      </c>
      <c r="D939" s="2">
        <v>3.4259999999999998E-3</v>
      </c>
      <c r="E939" s="2">
        <v>8.5760384700000003</v>
      </c>
      <c r="F939" s="2">
        <v>8.58947489</v>
      </c>
    </row>
    <row r="943" spans="1:6" x14ac:dyDescent="0.3">
      <c r="A943" s="1" t="s">
        <v>237</v>
      </c>
    </row>
    <row r="945" spans="1:9" x14ac:dyDescent="0.3">
      <c r="A945" s="1" t="s">
        <v>21</v>
      </c>
    </row>
    <row r="946" spans="1:9" ht="17.25" thickBot="1" x14ac:dyDescent="0.35"/>
    <row r="947" spans="1:9" ht="16.5" customHeight="1" x14ac:dyDescent="0.3">
      <c r="A947" s="16" t="s">
        <v>279</v>
      </c>
      <c r="B947" s="18"/>
      <c r="C947" s="18"/>
      <c r="D947" s="18"/>
      <c r="E947" s="18"/>
      <c r="F947" s="18"/>
      <c r="G947" s="18"/>
    </row>
    <row r="948" spans="1:9" x14ac:dyDescent="0.3">
      <c r="A948" s="17" t="s">
        <v>18</v>
      </c>
      <c r="B948" s="19" t="s">
        <v>239</v>
      </c>
      <c r="C948" s="19" t="s">
        <v>94</v>
      </c>
      <c r="D948" s="19" t="s">
        <v>240</v>
      </c>
      <c r="E948" s="3" t="s">
        <v>241</v>
      </c>
      <c r="F948" s="19" t="s">
        <v>243</v>
      </c>
      <c r="G948" s="19"/>
    </row>
    <row r="949" spans="1:9" x14ac:dyDescent="0.3">
      <c r="A949" s="17"/>
      <c r="B949" s="19"/>
      <c r="C949" s="19"/>
      <c r="D949" s="19"/>
      <c r="E949" s="3" t="s">
        <v>242</v>
      </c>
      <c r="F949" s="19"/>
      <c r="G949" s="19"/>
    </row>
    <row r="950" spans="1:9" ht="17.25" thickBot="1" x14ac:dyDescent="0.35">
      <c r="A950" s="6">
        <v>0</v>
      </c>
      <c r="B950" s="11" t="s">
        <v>114</v>
      </c>
      <c r="C950" s="2">
        <v>67344</v>
      </c>
      <c r="D950" s="2">
        <v>8.5799140000000005</v>
      </c>
      <c r="E950" s="2">
        <v>3.4499999999999999E-3</v>
      </c>
      <c r="F950" s="2">
        <v>8.5731480300000005</v>
      </c>
      <c r="G950" s="2">
        <v>8.5866790700000006</v>
      </c>
      <c r="I950" t="str">
        <f t="shared" ref="I950:I951" si="13">TEXT(D950,"0.00")&amp;" ("&amp;TEXT(F950,"0.00")&amp;" to "&amp;TEXT(G950,"0.00")&amp;")"</f>
        <v>8.58 (8.57 to 8.59)</v>
      </c>
    </row>
    <row r="951" spans="1:9" x14ac:dyDescent="0.3">
      <c r="A951" s="6">
        <v>1</v>
      </c>
      <c r="B951" s="14" t="s">
        <v>114</v>
      </c>
      <c r="C951" s="2">
        <v>1291</v>
      </c>
      <c r="D951" s="2">
        <v>8.7883659999999999</v>
      </c>
      <c r="E951" s="2">
        <v>2.0500000000000001E-2</v>
      </c>
      <c r="F951" s="2">
        <v>8.7481696699999993</v>
      </c>
      <c r="G951" s="2">
        <v>8.8285629399999994</v>
      </c>
      <c r="I951" t="str">
        <f t="shared" si="13"/>
        <v>8.79 (8.75 to 8.83)</v>
      </c>
    </row>
    <row r="955" spans="1:9" x14ac:dyDescent="0.3">
      <c r="A955" s="1" t="s">
        <v>237</v>
      </c>
    </row>
    <row r="957" spans="1:9" x14ac:dyDescent="0.3">
      <c r="A957" s="1" t="s">
        <v>1</v>
      </c>
    </row>
    <row r="958" spans="1:9" ht="17.25" thickBot="1" x14ac:dyDescent="0.35"/>
    <row r="959" spans="1:9" ht="16.5" customHeight="1" x14ac:dyDescent="0.3">
      <c r="A959" s="16" t="s">
        <v>135</v>
      </c>
      <c r="B959" s="18"/>
    </row>
    <row r="960" spans="1:9" ht="26.25" thickBot="1" x14ac:dyDescent="0.35">
      <c r="A960" s="12" t="s">
        <v>136</v>
      </c>
      <c r="B960" s="2">
        <v>183</v>
      </c>
    </row>
    <row r="961" spans="1:6" ht="26.25" thickBot="1" x14ac:dyDescent="0.35">
      <c r="A961" s="12" t="s">
        <v>137</v>
      </c>
      <c r="B961" s="2">
        <v>2949</v>
      </c>
    </row>
    <row r="962" spans="1:6" ht="39" thickBot="1" x14ac:dyDescent="0.35">
      <c r="A962" s="12" t="s">
        <v>138</v>
      </c>
      <c r="B962" s="2">
        <v>23222</v>
      </c>
    </row>
    <row r="963" spans="1:6" ht="25.5" x14ac:dyDescent="0.3">
      <c r="A963" s="13" t="s">
        <v>139</v>
      </c>
      <c r="B963" s="2">
        <v>9036880.5199999996</v>
      </c>
    </row>
    <row r="964" spans="1:6" ht="17.25" thickBot="1" x14ac:dyDescent="0.35"/>
    <row r="965" spans="1:6" ht="33" customHeight="1" x14ac:dyDescent="0.3">
      <c r="A965" s="16" t="s">
        <v>140</v>
      </c>
      <c r="B965" s="18"/>
    </row>
    <row r="966" spans="1:6" ht="33.75" thickBot="1" x14ac:dyDescent="0.35">
      <c r="A966" s="12" t="s">
        <v>141</v>
      </c>
      <c r="B966" s="2" t="s">
        <v>142</v>
      </c>
    </row>
    <row r="967" spans="1:6" ht="25.5" x14ac:dyDescent="0.3">
      <c r="A967" s="13" t="s">
        <v>143</v>
      </c>
      <c r="B967" s="2" t="s">
        <v>144</v>
      </c>
    </row>
    <row r="968" spans="1:6" ht="17.25" thickBot="1" x14ac:dyDescent="0.35"/>
    <row r="969" spans="1:6" ht="16.5" customHeight="1" x14ac:dyDescent="0.3">
      <c r="A969" s="16" t="s">
        <v>238</v>
      </c>
      <c r="B969" s="18"/>
      <c r="C969" s="18"/>
      <c r="D969" s="18"/>
      <c r="E969" s="18"/>
      <c r="F969" s="18"/>
    </row>
    <row r="970" spans="1:6" x14ac:dyDescent="0.3">
      <c r="A970" s="17" t="s">
        <v>239</v>
      </c>
      <c r="B970" s="19" t="s">
        <v>94</v>
      </c>
      <c r="C970" s="19" t="s">
        <v>240</v>
      </c>
      <c r="D970" s="3" t="s">
        <v>241</v>
      </c>
      <c r="E970" s="19" t="s">
        <v>243</v>
      </c>
      <c r="F970" s="19"/>
    </row>
    <row r="971" spans="1:6" x14ac:dyDescent="0.3">
      <c r="A971" s="17"/>
      <c r="B971" s="19"/>
      <c r="C971" s="19"/>
      <c r="D971" s="3" t="s">
        <v>242</v>
      </c>
      <c r="E971" s="19"/>
      <c r="F971" s="19"/>
    </row>
    <row r="972" spans="1:6" x14ac:dyDescent="0.3">
      <c r="A972" s="13" t="s">
        <v>114</v>
      </c>
      <c r="B972" s="2">
        <v>23222</v>
      </c>
      <c r="C972" s="2">
        <v>8.4582850000000001</v>
      </c>
      <c r="D972" s="2">
        <v>5.8770000000000003E-3</v>
      </c>
      <c r="E972" s="2">
        <v>8.4467599599999996</v>
      </c>
      <c r="F972" s="2">
        <v>8.4698092999999997</v>
      </c>
    </row>
    <row r="976" spans="1:6" x14ac:dyDescent="0.3">
      <c r="A976" s="1" t="s">
        <v>237</v>
      </c>
    </row>
    <row r="978" spans="1:7" x14ac:dyDescent="0.3">
      <c r="A978" s="1" t="s">
        <v>1</v>
      </c>
    </row>
    <row r="979" spans="1:7" ht="17.25" thickBot="1" x14ac:dyDescent="0.35"/>
    <row r="980" spans="1:7" ht="16.5" customHeight="1" x14ac:dyDescent="0.3">
      <c r="A980" s="16" t="s">
        <v>280</v>
      </c>
      <c r="B980" s="18"/>
      <c r="C980" s="18"/>
      <c r="D980" s="18"/>
      <c r="E980" s="18"/>
      <c r="F980" s="18"/>
      <c r="G980" s="18"/>
    </row>
    <row r="981" spans="1:7" x14ac:dyDescent="0.3">
      <c r="A981" s="17" t="s">
        <v>19</v>
      </c>
      <c r="B981" s="19" t="s">
        <v>239</v>
      </c>
      <c r="C981" s="19" t="s">
        <v>94</v>
      </c>
      <c r="D981" s="19" t="s">
        <v>240</v>
      </c>
      <c r="E981" s="3" t="s">
        <v>241</v>
      </c>
      <c r="F981" s="19" t="s">
        <v>243</v>
      </c>
      <c r="G981" s="19"/>
    </row>
    <row r="982" spans="1:7" x14ac:dyDescent="0.3">
      <c r="A982" s="17"/>
      <c r="B982" s="19"/>
      <c r="C982" s="19"/>
      <c r="D982" s="19"/>
      <c r="E982" s="3" t="s">
        <v>242</v>
      </c>
      <c r="F982" s="19"/>
      <c r="G982" s="19"/>
    </row>
    <row r="983" spans="1:7" ht="17.25" thickBot="1" x14ac:dyDescent="0.35">
      <c r="A983" s="6">
        <v>0</v>
      </c>
      <c r="B983" s="11" t="s">
        <v>114</v>
      </c>
      <c r="C983" s="2">
        <v>20515</v>
      </c>
      <c r="D983" s="2">
        <v>8.4232329999999997</v>
      </c>
      <c r="E983" s="2">
        <v>6.1159999999999999E-3</v>
      </c>
      <c r="F983" s="2">
        <v>8.4112404699999992</v>
      </c>
      <c r="G983" s="2">
        <v>8.4352248000000003</v>
      </c>
    </row>
    <row r="984" spans="1:7" ht="17.25" thickBot="1" x14ac:dyDescent="0.35">
      <c r="A984" s="6">
        <v>1</v>
      </c>
      <c r="B984" s="11" t="s">
        <v>114</v>
      </c>
      <c r="C984" s="2">
        <v>165</v>
      </c>
      <c r="D984" s="2">
        <v>8.8603109999999994</v>
      </c>
      <c r="E984" s="2">
        <v>6.1504999999999997E-2</v>
      </c>
      <c r="F984" s="2">
        <v>8.7397110199999997</v>
      </c>
      <c r="G984" s="2">
        <v>8.9809100300000004</v>
      </c>
    </row>
    <row r="985" spans="1:7" x14ac:dyDescent="0.3">
      <c r="A985" s="6">
        <v>8</v>
      </c>
      <c r="B985" s="14" t="s">
        <v>114</v>
      </c>
      <c r="C985" s="2">
        <v>2542</v>
      </c>
      <c r="D985" s="2">
        <v>8.6753140000000002</v>
      </c>
      <c r="E985" s="2">
        <v>1.6874E-2</v>
      </c>
      <c r="F985" s="2">
        <v>8.6422269000000007</v>
      </c>
      <c r="G985" s="2">
        <v>8.7084007799999998</v>
      </c>
    </row>
    <row r="989" spans="1:7" x14ac:dyDescent="0.3">
      <c r="A989" s="1" t="s">
        <v>237</v>
      </c>
    </row>
    <row r="991" spans="1:7" x14ac:dyDescent="0.3">
      <c r="A991" s="1" t="s">
        <v>21</v>
      </c>
    </row>
    <row r="992" spans="1:7" ht="17.25" thickBot="1" x14ac:dyDescent="0.35"/>
    <row r="993" spans="1:6" ht="16.5" customHeight="1" x14ac:dyDescent="0.3">
      <c r="A993" s="16" t="s">
        <v>135</v>
      </c>
      <c r="B993" s="18"/>
    </row>
    <row r="994" spans="1:6" ht="26.25" thickBot="1" x14ac:dyDescent="0.35">
      <c r="A994" s="12" t="s">
        <v>136</v>
      </c>
      <c r="B994" s="2">
        <v>183</v>
      </c>
    </row>
    <row r="995" spans="1:6" ht="26.25" thickBot="1" x14ac:dyDescent="0.35">
      <c r="A995" s="12" t="s">
        <v>137</v>
      </c>
      <c r="B995" s="2">
        <v>2982</v>
      </c>
    </row>
    <row r="996" spans="1:6" ht="39" thickBot="1" x14ac:dyDescent="0.35">
      <c r="A996" s="12" t="s">
        <v>138</v>
      </c>
      <c r="B996" s="2">
        <v>68635</v>
      </c>
    </row>
    <row r="997" spans="1:6" ht="25.5" x14ac:dyDescent="0.3">
      <c r="A997" s="13" t="s">
        <v>139</v>
      </c>
      <c r="B997" s="2">
        <v>30251935.699999999</v>
      </c>
    </row>
    <row r="998" spans="1:6" ht="17.25" thickBot="1" x14ac:dyDescent="0.35"/>
    <row r="999" spans="1:6" ht="33" customHeight="1" x14ac:dyDescent="0.3">
      <c r="A999" s="16" t="s">
        <v>140</v>
      </c>
      <c r="B999" s="18"/>
    </row>
    <row r="1000" spans="1:6" ht="33.75" thickBot="1" x14ac:dyDescent="0.35">
      <c r="A1000" s="12" t="s">
        <v>141</v>
      </c>
      <c r="B1000" s="2" t="s">
        <v>142</v>
      </c>
    </row>
    <row r="1001" spans="1:6" ht="25.5" x14ac:dyDescent="0.3">
      <c r="A1001" s="13" t="s">
        <v>143</v>
      </c>
      <c r="B1001" s="2" t="s">
        <v>144</v>
      </c>
    </row>
    <row r="1002" spans="1:6" ht="17.25" thickBot="1" x14ac:dyDescent="0.35"/>
    <row r="1003" spans="1:6" ht="16.5" customHeight="1" x14ac:dyDescent="0.3">
      <c r="A1003" s="16" t="s">
        <v>238</v>
      </c>
      <c r="B1003" s="18"/>
      <c r="C1003" s="18"/>
      <c r="D1003" s="18"/>
      <c r="E1003" s="18"/>
      <c r="F1003" s="18"/>
    </row>
    <row r="1004" spans="1:6" x14ac:dyDescent="0.3">
      <c r="A1004" s="17" t="s">
        <v>239</v>
      </c>
      <c r="B1004" s="19" t="s">
        <v>94</v>
      </c>
      <c r="C1004" s="19" t="s">
        <v>240</v>
      </c>
      <c r="D1004" s="3" t="s">
        <v>241</v>
      </c>
      <c r="E1004" s="19" t="s">
        <v>243</v>
      </c>
      <c r="F1004" s="19"/>
    </row>
    <row r="1005" spans="1:6" x14ac:dyDescent="0.3">
      <c r="A1005" s="17"/>
      <c r="B1005" s="19"/>
      <c r="C1005" s="19"/>
      <c r="D1005" s="3" t="s">
        <v>242</v>
      </c>
      <c r="E1005" s="19"/>
      <c r="F1005" s="19"/>
    </row>
    <row r="1006" spans="1:6" x14ac:dyDescent="0.3">
      <c r="A1006" s="13" t="s">
        <v>114</v>
      </c>
      <c r="B1006" s="2">
        <v>68635</v>
      </c>
      <c r="C1006" s="2">
        <v>8.5827570000000009</v>
      </c>
      <c r="D1006" s="2">
        <v>3.4259999999999998E-3</v>
      </c>
      <c r="E1006" s="2">
        <v>8.5760384700000003</v>
      </c>
      <c r="F1006" s="2">
        <v>8.58947489</v>
      </c>
    </row>
    <row r="1010" spans="1:9" x14ac:dyDescent="0.3">
      <c r="A1010" s="1" t="s">
        <v>237</v>
      </c>
    </row>
    <row r="1012" spans="1:9" x14ac:dyDescent="0.3">
      <c r="A1012" s="1" t="s">
        <v>21</v>
      </c>
    </row>
    <row r="1013" spans="1:9" ht="17.25" thickBot="1" x14ac:dyDescent="0.35"/>
    <row r="1014" spans="1:9" ht="16.5" customHeight="1" x14ac:dyDescent="0.3">
      <c r="A1014" s="16" t="s">
        <v>280</v>
      </c>
      <c r="B1014" s="18"/>
      <c r="C1014" s="18"/>
      <c r="D1014" s="18"/>
      <c r="E1014" s="18"/>
      <c r="F1014" s="18"/>
      <c r="G1014" s="18"/>
    </row>
    <row r="1015" spans="1:9" x14ac:dyDescent="0.3">
      <c r="A1015" s="17" t="s">
        <v>19</v>
      </c>
      <c r="B1015" s="19" t="s">
        <v>239</v>
      </c>
      <c r="C1015" s="19" t="s">
        <v>94</v>
      </c>
      <c r="D1015" s="19" t="s">
        <v>240</v>
      </c>
      <c r="E1015" s="3" t="s">
        <v>241</v>
      </c>
      <c r="F1015" s="19" t="s">
        <v>243</v>
      </c>
      <c r="G1015" s="19"/>
    </row>
    <row r="1016" spans="1:9" x14ac:dyDescent="0.3">
      <c r="A1016" s="17"/>
      <c r="B1016" s="19"/>
      <c r="C1016" s="19"/>
      <c r="D1016" s="19"/>
      <c r="E1016" s="3" t="s">
        <v>242</v>
      </c>
      <c r="F1016" s="19"/>
      <c r="G1016" s="19"/>
    </row>
    <row r="1017" spans="1:9" ht="17.25" thickBot="1" x14ac:dyDescent="0.35">
      <c r="A1017" s="6">
        <v>0</v>
      </c>
      <c r="B1017" s="11" t="s">
        <v>114</v>
      </c>
      <c r="C1017" s="2">
        <v>67998</v>
      </c>
      <c r="D1017" s="2">
        <v>8.5813369999999995</v>
      </c>
      <c r="E1017" s="2">
        <v>3.4429999999999999E-3</v>
      </c>
      <c r="F1017" s="2">
        <v>8.5745853499999996</v>
      </c>
      <c r="G1017" s="2">
        <v>8.5880889699999994</v>
      </c>
      <c r="I1017" t="str">
        <f t="shared" ref="I1017:I1018" si="14">TEXT(D1017,"0.00")&amp;" ("&amp;TEXT(F1017,"0.00")&amp;" to "&amp;TEXT(G1017,"0.00")&amp;")"</f>
        <v>8.58 (8.57 to 8.59)</v>
      </c>
    </row>
    <row r="1018" spans="1:9" x14ac:dyDescent="0.3">
      <c r="A1018" s="6">
        <v>1</v>
      </c>
      <c r="B1018" s="14" t="s">
        <v>114</v>
      </c>
      <c r="C1018" s="2">
        <v>637</v>
      </c>
      <c r="D1018" s="2">
        <v>8.7916919999999994</v>
      </c>
      <c r="E1018" s="2">
        <v>2.8760000000000001E-2</v>
      </c>
      <c r="F1018" s="2">
        <v>8.7352984599999992</v>
      </c>
      <c r="G1018" s="2">
        <v>8.8480855700000003</v>
      </c>
      <c r="I1018" t="str">
        <f t="shared" si="14"/>
        <v>8.79 (8.74 to 8.85)</v>
      </c>
    </row>
    <row r="1022" spans="1:9" x14ac:dyDescent="0.3">
      <c r="A1022" s="1" t="s">
        <v>237</v>
      </c>
    </row>
    <row r="1024" spans="1:9" x14ac:dyDescent="0.3">
      <c r="A1024" s="1" t="s">
        <v>1</v>
      </c>
    </row>
    <row r="1025" spans="1:6" ht="17.25" thickBot="1" x14ac:dyDescent="0.35"/>
    <row r="1026" spans="1:6" ht="16.5" customHeight="1" x14ac:dyDescent="0.3">
      <c r="A1026" s="16" t="s">
        <v>135</v>
      </c>
      <c r="B1026" s="18"/>
    </row>
    <row r="1027" spans="1:6" ht="26.25" thickBot="1" x14ac:dyDescent="0.35">
      <c r="A1027" s="12" t="s">
        <v>136</v>
      </c>
      <c r="B1027" s="2">
        <v>183</v>
      </c>
    </row>
    <row r="1028" spans="1:6" ht="26.25" thickBot="1" x14ac:dyDescent="0.35">
      <c r="A1028" s="12" t="s">
        <v>137</v>
      </c>
      <c r="B1028" s="2">
        <v>2949</v>
      </c>
    </row>
    <row r="1029" spans="1:6" ht="39" thickBot="1" x14ac:dyDescent="0.35">
      <c r="A1029" s="12" t="s">
        <v>138</v>
      </c>
      <c r="B1029" s="2">
        <v>23222</v>
      </c>
    </row>
    <row r="1030" spans="1:6" ht="25.5" x14ac:dyDescent="0.3">
      <c r="A1030" s="13" t="s">
        <v>139</v>
      </c>
      <c r="B1030" s="2">
        <v>9036880.5199999996</v>
      </c>
    </row>
    <row r="1031" spans="1:6" ht="17.25" thickBot="1" x14ac:dyDescent="0.35"/>
    <row r="1032" spans="1:6" ht="33" customHeight="1" x14ac:dyDescent="0.3">
      <c r="A1032" s="16" t="s">
        <v>140</v>
      </c>
      <c r="B1032" s="18"/>
    </row>
    <row r="1033" spans="1:6" ht="33.75" thickBot="1" x14ac:dyDescent="0.35">
      <c r="A1033" s="12" t="s">
        <v>141</v>
      </c>
      <c r="B1033" s="2" t="s">
        <v>142</v>
      </c>
    </row>
    <row r="1034" spans="1:6" ht="25.5" x14ac:dyDescent="0.3">
      <c r="A1034" s="13" t="s">
        <v>143</v>
      </c>
      <c r="B1034" s="2" t="s">
        <v>144</v>
      </c>
    </row>
    <row r="1035" spans="1:6" ht="17.25" thickBot="1" x14ac:dyDescent="0.35"/>
    <row r="1036" spans="1:6" ht="16.5" customHeight="1" x14ac:dyDescent="0.3">
      <c r="A1036" s="16" t="s">
        <v>238</v>
      </c>
      <c r="B1036" s="18"/>
      <c r="C1036" s="18"/>
      <c r="D1036" s="18"/>
      <c r="E1036" s="18"/>
      <c r="F1036" s="18"/>
    </row>
    <row r="1037" spans="1:6" x14ac:dyDescent="0.3">
      <c r="A1037" s="17" t="s">
        <v>239</v>
      </c>
      <c r="B1037" s="19" t="s">
        <v>94</v>
      </c>
      <c r="C1037" s="19" t="s">
        <v>240</v>
      </c>
      <c r="D1037" s="3" t="s">
        <v>241</v>
      </c>
      <c r="E1037" s="19" t="s">
        <v>243</v>
      </c>
      <c r="F1037" s="19"/>
    </row>
    <row r="1038" spans="1:6" x14ac:dyDescent="0.3">
      <c r="A1038" s="17"/>
      <c r="B1038" s="19"/>
      <c r="C1038" s="19"/>
      <c r="D1038" s="3" t="s">
        <v>242</v>
      </c>
      <c r="E1038" s="19"/>
      <c r="F1038" s="19"/>
    </row>
    <row r="1039" spans="1:6" x14ac:dyDescent="0.3">
      <c r="A1039" s="13" t="s">
        <v>114</v>
      </c>
      <c r="B1039" s="2">
        <v>23222</v>
      </c>
      <c r="C1039" s="2">
        <v>8.4582850000000001</v>
      </c>
      <c r="D1039" s="2">
        <v>5.8770000000000003E-3</v>
      </c>
      <c r="E1039" s="2">
        <v>8.4467599599999996</v>
      </c>
      <c r="F1039" s="2">
        <v>8.4698092999999997</v>
      </c>
    </row>
    <row r="1043" spans="1:7" x14ac:dyDescent="0.3">
      <c r="A1043" s="1" t="s">
        <v>237</v>
      </c>
    </row>
    <row r="1045" spans="1:7" x14ac:dyDescent="0.3">
      <c r="A1045" s="1" t="s">
        <v>1</v>
      </c>
    </row>
    <row r="1046" spans="1:7" ht="17.25" thickBot="1" x14ac:dyDescent="0.35"/>
    <row r="1047" spans="1:7" ht="16.5" customHeight="1" x14ac:dyDescent="0.3">
      <c r="A1047" s="16" t="s">
        <v>281</v>
      </c>
      <c r="B1047" s="18"/>
      <c r="C1047" s="18"/>
      <c r="D1047" s="18"/>
      <c r="E1047" s="18"/>
      <c r="F1047" s="18"/>
      <c r="G1047" s="18"/>
    </row>
    <row r="1048" spans="1:7" x14ac:dyDescent="0.3">
      <c r="A1048" s="17" t="s">
        <v>20</v>
      </c>
      <c r="B1048" s="19" t="s">
        <v>239</v>
      </c>
      <c r="C1048" s="19" t="s">
        <v>94</v>
      </c>
      <c r="D1048" s="19" t="s">
        <v>240</v>
      </c>
      <c r="E1048" s="3" t="s">
        <v>241</v>
      </c>
      <c r="F1048" s="19" t="s">
        <v>243</v>
      </c>
      <c r="G1048" s="19"/>
    </row>
    <row r="1049" spans="1:7" x14ac:dyDescent="0.3">
      <c r="A1049" s="17"/>
      <c r="B1049" s="19"/>
      <c r="C1049" s="19"/>
      <c r="D1049" s="19"/>
      <c r="E1049" s="3" t="s">
        <v>242</v>
      </c>
      <c r="F1049" s="19"/>
      <c r="G1049" s="19"/>
    </row>
    <row r="1050" spans="1:7" ht="17.25" thickBot="1" x14ac:dyDescent="0.35">
      <c r="A1050" s="6">
        <v>0</v>
      </c>
      <c r="B1050" s="11" t="s">
        <v>114</v>
      </c>
      <c r="C1050" s="2">
        <v>20305</v>
      </c>
      <c r="D1050" s="2">
        <v>8.4212380000000007</v>
      </c>
      <c r="E1050" s="2">
        <v>6.156E-3</v>
      </c>
      <c r="F1050" s="2">
        <v>8.4091676500000005</v>
      </c>
      <c r="G1050" s="2">
        <v>8.43330761</v>
      </c>
    </row>
    <row r="1051" spans="1:7" ht="17.25" thickBot="1" x14ac:dyDescent="0.35">
      <c r="A1051" s="6">
        <v>1</v>
      </c>
      <c r="B1051" s="11" t="s">
        <v>114</v>
      </c>
      <c r="C1051" s="2">
        <v>372</v>
      </c>
      <c r="D1051" s="2">
        <v>8.7802170000000004</v>
      </c>
      <c r="E1051" s="2">
        <v>3.2428999999999999E-2</v>
      </c>
      <c r="F1051" s="2">
        <v>8.7166291499999993</v>
      </c>
      <c r="G1051" s="2">
        <v>8.8438054000000008</v>
      </c>
    </row>
    <row r="1052" spans="1:7" x14ac:dyDescent="0.3">
      <c r="A1052" s="6">
        <v>8</v>
      </c>
      <c r="B1052" s="14" t="s">
        <v>114</v>
      </c>
      <c r="C1052" s="2">
        <v>2545</v>
      </c>
      <c r="D1052" s="2">
        <v>8.675224</v>
      </c>
      <c r="E1052" s="2">
        <v>1.6863E-2</v>
      </c>
      <c r="F1052" s="2">
        <v>8.6421584199999995</v>
      </c>
      <c r="G1052" s="2">
        <v>8.7082890299999995</v>
      </c>
    </row>
    <row r="1056" spans="1:7" x14ac:dyDescent="0.3">
      <c r="A1056" s="1" t="s">
        <v>237</v>
      </c>
    </row>
    <row r="1058" spans="1:6" x14ac:dyDescent="0.3">
      <c r="A1058" s="1" t="s">
        <v>21</v>
      </c>
    </row>
    <row r="1059" spans="1:6" ht="17.25" thickBot="1" x14ac:dyDescent="0.35"/>
    <row r="1060" spans="1:6" ht="16.5" customHeight="1" x14ac:dyDescent="0.3">
      <c r="A1060" s="16" t="s">
        <v>135</v>
      </c>
      <c r="B1060" s="18"/>
    </row>
    <row r="1061" spans="1:6" ht="26.25" thickBot="1" x14ac:dyDescent="0.35">
      <c r="A1061" s="12" t="s">
        <v>136</v>
      </c>
      <c r="B1061" s="2">
        <v>183</v>
      </c>
    </row>
    <row r="1062" spans="1:6" ht="26.25" thickBot="1" x14ac:dyDescent="0.35">
      <c r="A1062" s="12" t="s">
        <v>137</v>
      </c>
      <c r="B1062" s="2">
        <v>2982</v>
      </c>
    </row>
    <row r="1063" spans="1:6" ht="39" thickBot="1" x14ac:dyDescent="0.35">
      <c r="A1063" s="12" t="s">
        <v>138</v>
      </c>
      <c r="B1063" s="2">
        <v>68635</v>
      </c>
    </row>
    <row r="1064" spans="1:6" ht="25.5" x14ac:dyDescent="0.3">
      <c r="A1064" s="13" t="s">
        <v>139</v>
      </c>
      <c r="B1064" s="2">
        <v>30251935.699999999</v>
      </c>
    </row>
    <row r="1065" spans="1:6" ht="17.25" thickBot="1" x14ac:dyDescent="0.35"/>
    <row r="1066" spans="1:6" ht="33" customHeight="1" x14ac:dyDescent="0.3">
      <c r="A1066" s="16" t="s">
        <v>140</v>
      </c>
      <c r="B1066" s="18"/>
    </row>
    <row r="1067" spans="1:6" ht="33.75" thickBot="1" x14ac:dyDescent="0.35">
      <c r="A1067" s="12" t="s">
        <v>141</v>
      </c>
      <c r="B1067" s="2" t="s">
        <v>142</v>
      </c>
    </row>
    <row r="1068" spans="1:6" ht="25.5" x14ac:dyDescent="0.3">
      <c r="A1068" s="13" t="s">
        <v>143</v>
      </c>
      <c r="B1068" s="2" t="s">
        <v>144</v>
      </c>
    </row>
    <row r="1069" spans="1:6" ht="17.25" thickBot="1" x14ac:dyDescent="0.35"/>
    <row r="1070" spans="1:6" ht="16.5" customHeight="1" x14ac:dyDescent="0.3">
      <c r="A1070" s="16" t="s">
        <v>238</v>
      </c>
      <c r="B1070" s="18"/>
      <c r="C1070" s="18"/>
      <c r="D1070" s="18"/>
      <c r="E1070" s="18"/>
      <c r="F1070" s="18"/>
    </row>
    <row r="1071" spans="1:6" x14ac:dyDescent="0.3">
      <c r="A1071" s="17" t="s">
        <v>239</v>
      </c>
      <c r="B1071" s="19" t="s">
        <v>94</v>
      </c>
      <c r="C1071" s="19" t="s">
        <v>240</v>
      </c>
      <c r="D1071" s="3" t="s">
        <v>241</v>
      </c>
      <c r="E1071" s="19" t="s">
        <v>243</v>
      </c>
      <c r="F1071" s="19"/>
    </row>
    <row r="1072" spans="1:6" x14ac:dyDescent="0.3">
      <c r="A1072" s="17"/>
      <c r="B1072" s="19"/>
      <c r="C1072" s="19"/>
      <c r="D1072" s="3" t="s">
        <v>242</v>
      </c>
      <c r="E1072" s="19"/>
      <c r="F1072" s="19"/>
    </row>
    <row r="1073" spans="1:9" x14ac:dyDescent="0.3">
      <c r="A1073" s="13" t="s">
        <v>114</v>
      </c>
      <c r="B1073" s="2">
        <v>68635</v>
      </c>
      <c r="C1073" s="2">
        <v>8.5827570000000009</v>
      </c>
      <c r="D1073" s="2">
        <v>3.4259999999999998E-3</v>
      </c>
      <c r="E1073" s="2">
        <v>8.5760384700000003</v>
      </c>
      <c r="F1073" s="2">
        <v>8.58947489</v>
      </c>
    </row>
    <row r="1077" spans="1:9" x14ac:dyDescent="0.3">
      <c r="A1077" s="1" t="s">
        <v>237</v>
      </c>
    </row>
    <row r="1079" spans="1:9" x14ac:dyDescent="0.3">
      <c r="A1079" s="1" t="s">
        <v>21</v>
      </c>
    </row>
    <row r="1080" spans="1:9" ht="17.25" thickBot="1" x14ac:dyDescent="0.35"/>
    <row r="1081" spans="1:9" ht="16.5" customHeight="1" x14ac:dyDescent="0.3">
      <c r="A1081" s="16" t="s">
        <v>281</v>
      </c>
      <c r="B1081" s="18"/>
      <c r="C1081" s="18"/>
      <c r="D1081" s="18"/>
      <c r="E1081" s="18"/>
      <c r="F1081" s="18"/>
      <c r="G1081" s="18"/>
    </row>
    <row r="1082" spans="1:9" x14ac:dyDescent="0.3">
      <c r="A1082" s="17" t="s">
        <v>20</v>
      </c>
      <c r="B1082" s="19" t="s">
        <v>239</v>
      </c>
      <c r="C1082" s="19" t="s">
        <v>94</v>
      </c>
      <c r="D1082" s="19" t="s">
        <v>240</v>
      </c>
      <c r="E1082" s="3" t="s">
        <v>241</v>
      </c>
      <c r="F1082" s="19" t="s">
        <v>243</v>
      </c>
      <c r="G1082" s="19"/>
    </row>
    <row r="1083" spans="1:9" x14ac:dyDescent="0.3">
      <c r="A1083" s="17"/>
      <c r="B1083" s="19"/>
      <c r="C1083" s="19"/>
      <c r="D1083" s="19"/>
      <c r="E1083" s="3" t="s">
        <v>242</v>
      </c>
      <c r="F1083" s="19"/>
      <c r="G1083" s="19"/>
    </row>
    <row r="1084" spans="1:9" ht="17.25" thickBot="1" x14ac:dyDescent="0.35">
      <c r="A1084" s="6">
        <v>0</v>
      </c>
      <c r="B1084" s="11" t="s">
        <v>114</v>
      </c>
      <c r="C1084" s="2">
        <v>67434</v>
      </c>
      <c r="D1084" s="2">
        <v>8.5804469999999995</v>
      </c>
      <c r="E1084" s="2">
        <v>3.457E-3</v>
      </c>
      <c r="F1084" s="2">
        <v>8.5736683100000004</v>
      </c>
      <c r="G1084" s="2">
        <v>8.5872250900000004</v>
      </c>
      <c r="I1084" t="str">
        <f t="shared" ref="I1084:I1085" si="15">TEXT(D1084,"0.00")&amp;" ("&amp;TEXT(F1084,"0.00")&amp;" to "&amp;TEXT(G1084,"0.00")&amp;")"</f>
        <v>8.58 (8.57 to 8.59)</v>
      </c>
    </row>
    <row r="1085" spans="1:9" x14ac:dyDescent="0.3">
      <c r="A1085" s="6">
        <v>1</v>
      </c>
      <c r="B1085" s="14" t="s">
        <v>114</v>
      </c>
      <c r="C1085" s="2">
        <v>1201</v>
      </c>
      <c r="D1085" s="2">
        <v>8.7654429999999994</v>
      </c>
      <c r="E1085" s="2">
        <v>2.3296999999999998E-2</v>
      </c>
      <c r="F1085" s="2">
        <v>8.7197618000000006</v>
      </c>
      <c r="G1085" s="2">
        <v>8.8111239399999999</v>
      </c>
      <c r="I1085" t="str">
        <f t="shared" si="15"/>
        <v>8.77 (8.72 to 8.81)</v>
      </c>
    </row>
  </sheetData>
  <mergeCells count="416">
    <mergeCell ref="A1081:G1081"/>
    <mergeCell ref="A1082:A1083"/>
    <mergeCell ref="B1082:B1083"/>
    <mergeCell ref="C1082:C1083"/>
    <mergeCell ref="D1082:D1083"/>
    <mergeCell ref="F1082:G1083"/>
    <mergeCell ref="A1060:B1060"/>
    <mergeCell ref="A1066:B1066"/>
    <mergeCell ref="A1070:F1070"/>
    <mergeCell ref="A1071:A1072"/>
    <mergeCell ref="B1071:B1072"/>
    <mergeCell ref="C1071:C1072"/>
    <mergeCell ref="E1071:F1072"/>
    <mergeCell ref="A1047:G1047"/>
    <mergeCell ref="A1048:A1049"/>
    <mergeCell ref="B1048:B1049"/>
    <mergeCell ref="C1048:C1049"/>
    <mergeCell ref="D1048:D1049"/>
    <mergeCell ref="F1048:G1049"/>
    <mergeCell ref="A1026:B1026"/>
    <mergeCell ref="A1032:B1032"/>
    <mergeCell ref="A1036:F1036"/>
    <mergeCell ref="A1037:A1038"/>
    <mergeCell ref="B1037:B1038"/>
    <mergeCell ref="C1037:C1038"/>
    <mergeCell ref="E1037:F1038"/>
    <mergeCell ref="A1014:G1014"/>
    <mergeCell ref="A1015:A1016"/>
    <mergeCell ref="B1015:B1016"/>
    <mergeCell ref="C1015:C1016"/>
    <mergeCell ref="D1015:D1016"/>
    <mergeCell ref="F1015:G1016"/>
    <mergeCell ref="A993:B993"/>
    <mergeCell ref="A999:B999"/>
    <mergeCell ref="A1003:F1003"/>
    <mergeCell ref="A1004:A1005"/>
    <mergeCell ref="B1004:B1005"/>
    <mergeCell ref="C1004:C1005"/>
    <mergeCell ref="E1004:F1005"/>
    <mergeCell ref="A980:G980"/>
    <mergeCell ref="A981:A982"/>
    <mergeCell ref="B981:B982"/>
    <mergeCell ref="C981:C982"/>
    <mergeCell ref="D981:D982"/>
    <mergeCell ref="F981:G982"/>
    <mergeCell ref="A959:B959"/>
    <mergeCell ref="A965:B965"/>
    <mergeCell ref="A969:F969"/>
    <mergeCell ref="A970:A971"/>
    <mergeCell ref="B970:B971"/>
    <mergeCell ref="C970:C971"/>
    <mergeCell ref="E970:F971"/>
    <mergeCell ref="A947:G947"/>
    <mergeCell ref="A948:A949"/>
    <mergeCell ref="B948:B949"/>
    <mergeCell ref="C948:C949"/>
    <mergeCell ref="D948:D949"/>
    <mergeCell ref="F948:G949"/>
    <mergeCell ref="A926:B926"/>
    <mergeCell ref="A932:B932"/>
    <mergeCell ref="A936:F936"/>
    <mergeCell ref="A937:A938"/>
    <mergeCell ref="B937:B938"/>
    <mergeCell ref="C937:C938"/>
    <mergeCell ref="E937:F938"/>
    <mergeCell ref="A913:G913"/>
    <mergeCell ref="A914:A915"/>
    <mergeCell ref="B914:B915"/>
    <mergeCell ref="C914:C915"/>
    <mergeCell ref="D914:D915"/>
    <mergeCell ref="F914:G915"/>
    <mergeCell ref="A892:B892"/>
    <mergeCell ref="A898:B898"/>
    <mergeCell ref="A902:F902"/>
    <mergeCell ref="A903:A904"/>
    <mergeCell ref="B903:B904"/>
    <mergeCell ref="C903:C904"/>
    <mergeCell ref="E903:F904"/>
    <mergeCell ref="A880:G880"/>
    <mergeCell ref="A881:A882"/>
    <mergeCell ref="B881:B882"/>
    <mergeCell ref="C881:C882"/>
    <mergeCell ref="D881:D882"/>
    <mergeCell ref="F881:G882"/>
    <mergeCell ref="A859:B859"/>
    <mergeCell ref="A865:B865"/>
    <mergeCell ref="A869:F869"/>
    <mergeCell ref="A870:A871"/>
    <mergeCell ref="B870:B871"/>
    <mergeCell ref="C870:C871"/>
    <mergeCell ref="E870:F871"/>
    <mergeCell ref="A846:G846"/>
    <mergeCell ref="A847:A848"/>
    <mergeCell ref="B847:B848"/>
    <mergeCell ref="C847:C848"/>
    <mergeCell ref="D847:D848"/>
    <mergeCell ref="F847:G848"/>
    <mergeCell ref="A825:B825"/>
    <mergeCell ref="A831:B831"/>
    <mergeCell ref="A835:F835"/>
    <mergeCell ref="A836:A837"/>
    <mergeCell ref="B836:B837"/>
    <mergeCell ref="C836:C837"/>
    <mergeCell ref="E836:F837"/>
    <mergeCell ref="A813:G813"/>
    <mergeCell ref="A814:A815"/>
    <mergeCell ref="B814:B815"/>
    <mergeCell ref="C814:C815"/>
    <mergeCell ref="D814:D815"/>
    <mergeCell ref="F814:G815"/>
    <mergeCell ref="A792:B792"/>
    <mergeCell ref="A798:B798"/>
    <mergeCell ref="A802:F802"/>
    <mergeCell ref="A803:A804"/>
    <mergeCell ref="B803:B804"/>
    <mergeCell ref="C803:C804"/>
    <mergeCell ref="E803:F804"/>
    <mergeCell ref="A779:G779"/>
    <mergeCell ref="A780:A781"/>
    <mergeCell ref="B780:B781"/>
    <mergeCell ref="C780:C781"/>
    <mergeCell ref="D780:D781"/>
    <mergeCell ref="F780:G781"/>
    <mergeCell ref="A758:B758"/>
    <mergeCell ref="A764:B764"/>
    <mergeCell ref="A768:F768"/>
    <mergeCell ref="A769:A770"/>
    <mergeCell ref="B769:B770"/>
    <mergeCell ref="C769:C770"/>
    <mergeCell ref="E769:F770"/>
    <mergeCell ref="A746:G746"/>
    <mergeCell ref="A747:A748"/>
    <mergeCell ref="B747:B748"/>
    <mergeCell ref="C747:C748"/>
    <mergeCell ref="D747:D748"/>
    <mergeCell ref="F747:G748"/>
    <mergeCell ref="A725:B725"/>
    <mergeCell ref="A731:B731"/>
    <mergeCell ref="A735:F735"/>
    <mergeCell ref="A736:A737"/>
    <mergeCell ref="B736:B737"/>
    <mergeCell ref="C736:C737"/>
    <mergeCell ref="E736:F737"/>
    <mergeCell ref="A712:G712"/>
    <mergeCell ref="A713:A714"/>
    <mergeCell ref="B713:B714"/>
    <mergeCell ref="C713:C714"/>
    <mergeCell ref="D713:D714"/>
    <mergeCell ref="F713:G714"/>
    <mergeCell ref="A691:B691"/>
    <mergeCell ref="A697:B697"/>
    <mergeCell ref="A701:F701"/>
    <mergeCell ref="A702:A703"/>
    <mergeCell ref="B702:B703"/>
    <mergeCell ref="C702:C703"/>
    <mergeCell ref="E702:F703"/>
    <mergeCell ref="A678:G678"/>
    <mergeCell ref="A679:A680"/>
    <mergeCell ref="B679:B680"/>
    <mergeCell ref="C679:C680"/>
    <mergeCell ref="D679:D680"/>
    <mergeCell ref="F679:G680"/>
    <mergeCell ref="A657:B657"/>
    <mergeCell ref="A663:B663"/>
    <mergeCell ref="A667:F667"/>
    <mergeCell ref="A668:A669"/>
    <mergeCell ref="B668:B669"/>
    <mergeCell ref="C668:C669"/>
    <mergeCell ref="E668:F669"/>
    <mergeCell ref="A643:G643"/>
    <mergeCell ref="A644:A645"/>
    <mergeCell ref="B644:B645"/>
    <mergeCell ref="C644:C645"/>
    <mergeCell ref="D644:D645"/>
    <mergeCell ref="F644:G645"/>
    <mergeCell ref="A622:B622"/>
    <mergeCell ref="A628:B628"/>
    <mergeCell ref="A632:F632"/>
    <mergeCell ref="A633:A634"/>
    <mergeCell ref="B633:B634"/>
    <mergeCell ref="C633:C634"/>
    <mergeCell ref="E633:F634"/>
    <mergeCell ref="A609:G609"/>
    <mergeCell ref="A610:A611"/>
    <mergeCell ref="B610:B611"/>
    <mergeCell ref="C610:C611"/>
    <mergeCell ref="D610:D611"/>
    <mergeCell ref="F610:G611"/>
    <mergeCell ref="A588:B588"/>
    <mergeCell ref="A594:B594"/>
    <mergeCell ref="A598:F598"/>
    <mergeCell ref="A599:A600"/>
    <mergeCell ref="B599:B600"/>
    <mergeCell ref="C599:C600"/>
    <mergeCell ref="E599:F600"/>
    <mergeCell ref="A574:G574"/>
    <mergeCell ref="A575:A576"/>
    <mergeCell ref="B575:B576"/>
    <mergeCell ref="C575:C576"/>
    <mergeCell ref="D575:D576"/>
    <mergeCell ref="F575:G576"/>
    <mergeCell ref="A553:B553"/>
    <mergeCell ref="A559:B559"/>
    <mergeCell ref="A563:F563"/>
    <mergeCell ref="A564:A565"/>
    <mergeCell ref="B564:B565"/>
    <mergeCell ref="C564:C565"/>
    <mergeCell ref="E564:F565"/>
    <mergeCell ref="A540:G540"/>
    <mergeCell ref="A541:A542"/>
    <mergeCell ref="B541:B542"/>
    <mergeCell ref="C541:C542"/>
    <mergeCell ref="D541:D542"/>
    <mergeCell ref="F541:G542"/>
    <mergeCell ref="A519:B519"/>
    <mergeCell ref="A525:B525"/>
    <mergeCell ref="A529:F529"/>
    <mergeCell ref="A530:A531"/>
    <mergeCell ref="B530:B531"/>
    <mergeCell ref="C530:C531"/>
    <mergeCell ref="E530:F531"/>
    <mergeCell ref="A505:G505"/>
    <mergeCell ref="A506:A507"/>
    <mergeCell ref="B506:B507"/>
    <mergeCell ref="C506:C507"/>
    <mergeCell ref="D506:D507"/>
    <mergeCell ref="F506:G507"/>
    <mergeCell ref="A484:B484"/>
    <mergeCell ref="A490:B490"/>
    <mergeCell ref="A494:F494"/>
    <mergeCell ref="A495:A496"/>
    <mergeCell ref="B495:B496"/>
    <mergeCell ref="C495:C496"/>
    <mergeCell ref="E495:F496"/>
    <mergeCell ref="A472:G472"/>
    <mergeCell ref="A473:A474"/>
    <mergeCell ref="B473:B474"/>
    <mergeCell ref="C473:C474"/>
    <mergeCell ref="D473:D474"/>
    <mergeCell ref="F473:G474"/>
    <mergeCell ref="A451:B451"/>
    <mergeCell ref="A457:B457"/>
    <mergeCell ref="A461:F461"/>
    <mergeCell ref="A462:A463"/>
    <mergeCell ref="B462:B463"/>
    <mergeCell ref="C462:C463"/>
    <mergeCell ref="E462:F463"/>
    <mergeCell ref="A438:G438"/>
    <mergeCell ref="A439:A440"/>
    <mergeCell ref="B439:B440"/>
    <mergeCell ref="C439:C440"/>
    <mergeCell ref="D439:D440"/>
    <mergeCell ref="F439:G440"/>
    <mergeCell ref="A417:B417"/>
    <mergeCell ref="A423:B423"/>
    <mergeCell ref="A427:F427"/>
    <mergeCell ref="A428:A429"/>
    <mergeCell ref="B428:B429"/>
    <mergeCell ref="C428:C429"/>
    <mergeCell ref="E428:F429"/>
    <mergeCell ref="A403:G403"/>
    <mergeCell ref="A404:A405"/>
    <mergeCell ref="B404:B405"/>
    <mergeCell ref="C404:C405"/>
    <mergeCell ref="D404:D405"/>
    <mergeCell ref="F404:G405"/>
    <mergeCell ref="A382:B382"/>
    <mergeCell ref="A388:B388"/>
    <mergeCell ref="A392:F392"/>
    <mergeCell ref="A393:A394"/>
    <mergeCell ref="B393:B394"/>
    <mergeCell ref="C393:C394"/>
    <mergeCell ref="E393:F394"/>
    <mergeCell ref="A368:G368"/>
    <mergeCell ref="A369:A370"/>
    <mergeCell ref="B369:B370"/>
    <mergeCell ref="C369:C370"/>
    <mergeCell ref="D369:D370"/>
    <mergeCell ref="F369:G370"/>
    <mergeCell ref="A347:B347"/>
    <mergeCell ref="A353:B353"/>
    <mergeCell ref="A357:F357"/>
    <mergeCell ref="A358:A359"/>
    <mergeCell ref="B358:B359"/>
    <mergeCell ref="C358:C359"/>
    <mergeCell ref="E358:F359"/>
    <mergeCell ref="A333:G333"/>
    <mergeCell ref="A334:A335"/>
    <mergeCell ref="B334:B335"/>
    <mergeCell ref="C334:C335"/>
    <mergeCell ref="D334:D335"/>
    <mergeCell ref="F334:G335"/>
    <mergeCell ref="A312:B312"/>
    <mergeCell ref="A318:B318"/>
    <mergeCell ref="A322:F322"/>
    <mergeCell ref="A323:A324"/>
    <mergeCell ref="B323:B324"/>
    <mergeCell ref="C323:C324"/>
    <mergeCell ref="E323:F324"/>
    <mergeCell ref="A298:G298"/>
    <mergeCell ref="A299:A300"/>
    <mergeCell ref="B299:B300"/>
    <mergeCell ref="C299:C300"/>
    <mergeCell ref="D299:D300"/>
    <mergeCell ref="F299:G300"/>
    <mergeCell ref="A277:B277"/>
    <mergeCell ref="A283:B283"/>
    <mergeCell ref="A287:F287"/>
    <mergeCell ref="A288:A289"/>
    <mergeCell ref="B288:B289"/>
    <mergeCell ref="C288:C289"/>
    <mergeCell ref="E288:F289"/>
    <mergeCell ref="A263:G263"/>
    <mergeCell ref="A264:A265"/>
    <mergeCell ref="B264:B265"/>
    <mergeCell ref="C264:C265"/>
    <mergeCell ref="D264:D265"/>
    <mergeCell ref="F264:G265"/>
    <mergeCell ref="A242:B242"/>
    <mergeCell ref="A248:B248"/>
    <mergeCell ref="A252:F252"/>
    <mergeCell ref="A253:A254"/>
    <mergeCell ref="B253:B254"/>
    <mergeCell ref="C253:C254"/>
    <mergeCell ref="E253:F254"/>
    <mergeCell ref="A227:G227"/>
    <mergeCell ref="A228:A229"/>
    <mergeCell ref="B228:B229"/>
    <mergeCell ref="C228:C229"/>
    <mergeCell ref="D228:D229"/>
    <mergeCell ref="F228:G229"/>
    <mergeCell ref="A206:B206"/>
    <mergeCell ref="A212:B212"/>
    <mergeCell ref="A216:F216"/>
    <mergeCell ref="A217:A218"/>
    <mergeCell ref="B217:B218"/>
    <mergeCell ref="C217:C218"/>
    <mergeCell ref="E217:F218"/>
    <mergeCell ref="A194:G194"/>
    <mergeCell ref="A195:A196"/>
    <mergeCell ref="B195:B196"/>
    <mergeCell ref="C195:C196"/>
    <mergeCell ref="D195:D196"/>
    <mergeCell ref="F195:G196"/>
    <mergeCell ref="A173:B173"/>
    <mergeCell ref="A179:B179"/>
    <mergeCell ref="A183:F183"/>
    <mergeCell ref="A184:A185"/>
    <mergeCell ref="B184:B185"/>
    <mergeCell ref="C184:C185"/>
    <mergeCell ref="E184:F185"/>
    <mergeCell ref="A161:G161"/>
    <mergeCell ref="A162:A163"/>
    <mergeCell ref="B162:B163"/>
    <mergeCell ref="C162:C163"/>
    <mergeCell ref="D162:D163"/>
    <mergeCell ref="F162:G163"/>
    <mergeCell ref="A140:B140"/>
    <mergeCell ref="A146:B146"/>
    <mergeCell ref="A150:F150"/>
    <mergeCell ref="A151:A152"/>
    <mergeCell ref="B151:B152"/>
    <mergeCell ref="C151:C152"/>
    <mergeCell ref="E151:F152"/>
    <mergeCell ref="A128:G128"/>
    <mergeCell ref="A129:A130"/>
    <mergeCell ref="B129:B130"/>
    <mergeCell ref="C129:C130"/>
    <mergeCell ref="D129:D130"/>
    <mergeCell ref="F129:G130"/>
    <mergeCell ref="A107:B107"/>
    <mergeCell ref="A113:B113"/>
    <mergeCell ref="A117:F117"/>
    <mergeCell ref="A118:A119"/>
    <mergeCell ref="B118:B119"/>
    <mergeCell ref="C118:C119"/>
    <mergeCell ref="E118:F119"/>
    <mergeCell ref="A95:G95"/>
    <mergeCell ref="A96:A97"/>
    <mergeCell ref="B96:B97"/>
    <mergeCell ref="C96:C97"/>
    <mergeCell ref="D96:D97"/>
    <mergeCell ref="F96:G97"/>
    <mergeCell ref="A74:B74"/>
    <mergeCell ref="A80:B80"/>
    <mergeCell ref="A84:F84"/>
    <mergeCell ref="A85:A86"/>
    <mergeCell ref="B85:B86"/>
    <mergeCell ref="C85:C86"/>
    <mergeCell ref="E85:F86"/>
    <mergeCell ref="A61:G61"/>
    <mergeCell ref="A62:A63"/>
    <mergeCell ref="B62:B63"/>
    <mergeCell ref="C62:C63"/>
    <mergeCell ref="D62:D63"/>
    <mergeCell ref="F62:G63"/>
    <mergeCell ref="A40:B40"/>
    <mergeCell ref="A46:B46"/>
    <mergeCell ref="A50:F50"/>
    <mergeCell ref="A51:A52"/>
    <mergeCell ref="B51:B52"/>
    <mergeCell ref="C51:C52"/>
    <mergeCell ref="E51:F52"/>
    <mergeCell ref="A26:G26"/>
    <mergeCell ref="A27:A28"/>
    <mergeCell ref="B27:B28"/>
    <mergeCell ref="C27:C28"/>
    <mergeCell ref="D27:D28"/>
    <mergeCell ref="F27:G28"/>
    <mergeCell ref="A5:B5"/>
    <mergeCell ref="A11:B11"/>
    <mergeCell ref="A15:F15"/>
    <mergeCell ref="A16:A17"/>
    <mergeCell ref="B16:B17"/>
    <mergeCell ref="C16:C17"/>
    <mergeCell ref="E16:F17"/>
  </mergeCells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70852-AA49-45A6-A031-C8DB75C81615}">
  <dimension ref="A1:I1085"/>
  <sheetViews>
    <sheetView workbookViewId="0">
      <selection activeCell="I1084" sqref="I1084:I1085"/>
    </sheetView>
  </sheetViews>
  <sheetFormatPr defaultRowHeight="16.5" x14ac:dyDescent="0.3"/>
  <cols>
    <col min="9" max="9" width="17.25" bestFit="1" customWidth="1"/>
  </cols>
  <sheetData>
    <row r="1" spans="1:6" x14ac:dyDescent="0.3">
      <c r="A1" s="1" t="s">
        <v>237</v>
      </c>
    </row>
    <row r="3" spans="1:6" x14ac:dyDescent="0.3">
      <c r="A3" s="1" t="s">
        <v>1</v>
      </c>
    </row>
    <row r="4" spans="1:6" ht="17.25" thickBot="1" x14ac:dyDescent="0.35"/>
    <row r="5" spans="1:6" ht="16.5" customHeight="1" x14ac:dyDescent="0.3">
      <c r="A5" s="16" t="s">
        <v>135</v>
      </c>
      <c r="B5" s="18"/>
    </row>
    <row r="6" spans="1:6" ht="26.25" thickBot="1" x14ac:dyDescent="0.35">
      <c r="A6" s="12" t="s">
        <v>136</v>
      </c>
      <c r="B6" s="2">
        <v>183</v>
      </c>
    </row>
    <row r="7" spans="1:6" ht="26.25" thickBot="1" x14ac:dyDescent="0.35">
      <c r="A7" s="12" t="s">
        <v>137</v>
      </c>
      <c r="B7" s="2">
        <v>2949</v>
      </c>
    </row>
    <row r="8" spans="1:6" ht="39" thickBot="1" x14ac:dyDescent="0.35">
      <c r="A8" s="12" t="s">
        <v>138</v>
      </c>
      <c r="B8" s="2">
        <v>23222</v>
      </c>
    </row>
    <row r="9" spans="1:6" ht="25.5" x14ac:dyDescent="0.3">
      <c r="A9" s="13" t="s">
        <v>139</v>
      </c>
      <c r="B9" s="2">
        <v>9036880.5199999996</v>
      </c>
    </row>
    <row r="10" spans="1:6" ht="17.25" thickBot="1" x14ac:dyDescent="0.35"/>
    <row r="11" spans="1:6" ht="33" customHeight="1" x14ac:dyDescent="0.3">
      <c r="A11" s="16" t="s">
        <v>140</v>
      </c>
      <c r="B11" s="18"/>
    </row>
    <row r="12" spans="1:6" ht="33.75" thickBot="1" x14ac:dyDescent="0.35">
      <c r="A12" s="12" t="s">
        <v>141</v>
      </c>
      <c r="B12" s="2" t="s">
        <v>142</v>
      </c>
    </row>
    <row r="13" spans="1:6" ht="25.5" x14ac:dyDescent="0.3">
      <c r="A13" s="13" t="s">
        <v>143</v>
      </c>
      <c r="B13" s="2" t="s">
        <v>144</v>
      </c>
    </row>
    <row r="14" spans="1:6" ht="17.25" thickBot="1" x14ac:dyDescent="0.35"/>
    <row r="15" spans="1:6" ht="16.5" customHeight="1" x14ac:dyDescent="0.3">
      <c r="A15" s="16" t="s">
        <v>238</v>
      </c>
      <c r="B15" s="18"/>
      <c r="C15" s="18"/>
      <c r="D15" s="18"/>
      <c r="E15" s="18"/>
      <c r="F15" s="18"/>
    </row>
    <row r="16" spans="1:6" ht="16.5" customHeight="1" x14ac:dyDescent="0.3">
      <c r="A16" s="17" t="s">
        <v>239</v>
      </c>
      <c r="B16" s="19" t="s">
        <v>94</v>
      </c>
      <c r="C16" s="19" t="s">
        <v>240</v>
      </c>
      <c r="D16" s="3" t="s">
        <v>241</v>
      </c>
      <c r="E16" s="19" t="s">
        <v>243</v>
      </c>
      <c r="F16" s="19"/>
    </row>
    <row r="17" spans="1:7" x14ac:dyDescent="0.3">
      <c r="A17" s="17"/>
      <c r="B17" s="19"/>
      <c r="C17" s="19"/>
      <c r="D17" s="3" t="s">
        <v>242</v>
      </c>
      <c r="E17" s="19"/>
      <c r="F17" s="19"/>
    </row>
    <row r="18" spans="1:7" x14ac:dyDescent="0.3">
      <c r="A18" s="13" t="s">
        <v>115</v>
      </c>
      <c r="B18" s="2">
        <v>23222</v>
      </c>
      <c r="C18" s="2">
        <v>0.64841899999999997</v>
      </c>
      <c r="D18" s="2">
        <v>7.7200000000000001E-4</v>
      </c>
      <c r="E18" s="2">
        <v>0.64690462000000004</v>
      </c>
      <c r="F18" s="2">
        <v>0.64993400999999995</v>
      </c>
    </row>
    <row r="22" spans="1:7" x14ac:dyDescent="0.3">
      <c r="A22" s="1" t="s">
        <v>237</v>
      </c>
    </row>
    <row r="24" spans="1:7" x14ac:dyDescent="0.3">
      <c r="A24" s="1" t="s">
        <v>1</v>
      </c>
    </row>
    <row r="25" spans="1:7" ht="17.25" thickBot="1" x14ac:dyDescent="0.35"/>
    <row r="26" spans="1:7" ht="16.5" customHeight="1" x14ac:dyDescent="0.3">
      <c r="A26" s="16" t="s">
        <v>266</v>
      </c>
      <c r="B26" s="18"/>
      <c r="C26" s="18"/>
      <c r="D26" s="18"/>
      <c r="E26" s="18"/>
      <c r="F26" s="18"/>
      <c r="G26" s="18"/>
    </row>
    <row r="27" spans="1:7" ht="16.5" customHeight="1" x14ac:dyDescent="0.3">
      <c r="A27" s="17" t="s">
        <v>2</v>
      </c>
      <c r="B27" s="19" t="s">
        <v>239</v>
      </c>
      <c r="C27" s="19" t="s">
        <v>94</v>
      </c>
      <c r="D27" s="19" t="s">
        <v>240</v>
      </c>
      <c r="E27" s="3" t="s">
        <v>241</v>
      </c>
      <c r="F27" s="19" t="s">
        <v>243</v>
      </c>
      <c r="G27" s="19"/>
    </row>
    <row r="28" spans="1:7" x14ac:dyDescent="0.3">
      <c r="A28" s="17"/>
      <c r="B28" s="19"/>
      <c r="C28" s="19"/>
      <c r="D28" s="19"/>
      <c r="E28" s="3" t="s">
        <v>242</v>
      </c>
      <c r="F28" s="19"/>
      <c r="G28" s="19"/>
    </row>
    <row r="29" spans="1:7" ht="17.25" thickBot="1" x14ac:dyDescent="0.35">
      <c r="A29" s="6">
        <v>1</v>
      </c>
      <c r="B29" s="11" t="s">
        <v>115</v>
      </c>
      <c r="C29" s="2">
        <v>2110</v>
      </c>
      <c r="D29" s="2">
        <v>0.64016399999999996</v>
      </c>
      <c r="E29" s="2">
        <v>1.9300000000000001E-3</v>
      </c>
      <c r="F29" s="2">
        <v>0.6363801</v>
      </c>
      <c r="G29" s="2">
        <v>0.64394719</v>
      </c>
    </row>
    <row r="30" spans="1:7" ht="17.25" thickBot="1" x14ac:dyDescent="0.35">
      <c r="A30" s="6">
        <v>2</v>
      </c>
      <c r="B30" s="11" t="s">
        <v>115</v>
      </c>
      <c r="C30" s="2">
        <v>5964</v>
      </c>
      <c r="D30" s="2">
        <v>0.67846799999999996</v>
      </c>
      <c r="E30" s="2">
        <v>1.137E-3</v>
      </c>
      <c r="F30" s="2">
        <v>0.67623800000000001</v>
      </c>
      <c r="G30" s="2">
        <v>0.68069822999999996</v>
      </c>
    </row>
    <row r="31" spans="1:7" ht="17.25" thickBot="1" x14ac:dyDescent="0.35">
      <c r="A31" s="6">
        <v>3</v>
      </c>
      <c r="B31" s="11" t="s">
        <v>115</v>
      </c>
      <c r="C31" s="2">
        <v>6709</v>
      </c>
      <c r="D31" s="2">
        <v>0.71665400000000001</v>
      </c>
      <c r="E31" s="2">
        <v>1.031E-3</v>
      </c>
      <c r="F31" s="2">
        <v>0.71463186999999995</v>
      </c>
      <c r="G31" s="2">
        <v>0.71867694000000004</v>
      </c>
    </row>
    <row r="32" spans="1:7" x14ac:dyDescent="0.3">
      <c r="A32" s="6">
        <v>8</v>
      </c>
      <c r="B32" s="14" t="s">
        <v>115</v>
      </c>
      <c r="C32" s="2">
        <v>8439</v>
      </c>
      <c r="D32" s="2">
        <v>0.59596099999999996</v>
      </c>
      <c r="E32" s="2">
        <v>7.5100000000000004E-4</v>
      </c>
      <c r="F32" s="2">
        <v>0.59448900000000005</v>
      </c>
      <c r="G32" s="2">
        <v>0.59743243999999995</v>
      </c>
    </row>
    <row r="36" spans="1:2" x14ac:dyDescent="0.3">
      <c r="A36" s="1" t="s">
        <v>237</v>
      </c>
    </row>
    <row r="38" spans="1:2" x14ac:dyDescent="0.3">
      <c r="A38" s="1" t="s">
        <v>21</v>
      </c>
    </row>
    <row r="39" spans="1:2" ht="17.25" thickBot="1" x14ac:dyDescent="0.35"/>
    <row r="40" spans="1:2" ht="16.5" customHeight="1" x14ac:dyDescent="0.3">
      <c r="A40" s="16" t="s">
        <v>135</v>
      </c>
      <c r="B40" s="18"/>
    </row>
    <row r="41" spans="1:2" ht="26.25" thickBot="1" x14ac:dyDescent="0.35">
      <c r="A41" s="12" t="s">
        <v>136</v>
      </c>
      <c r="B41" s="2">
        <v>183</v>
      </c>
    </row>
    <row r="42" spans="1:2" ht="26.25" thickBot="1" x14ac:dyDescent="0.35">
      <c r="A42" s="12" t="s">
        <v>137</v>
      </c>
      <c r="B42" s="2">
        <v>2982</v>
      </c>
    </row>
    <row r="43" spans="1:2" ht="39" thickBot="1" x14ac:dyDescent="0.35">
      <c r="A43" s="12" t="s">
        <v>138</v>
      </c>
      <c r="B43" s="2">
        <v>68635</v>
      </c>
    </row>
    <row r="44" spans="1:2" ht="25.5" x14ac:dyDescent="0.3">
      <c r="A44" s="13" t="s">
        <v>139</v>
      </c>
      <c r="B44" s="2">
        <v>30251935.699999999</v>
      </c>
    </row>
    <row r="45" spans="1:2" ht="17.25" thickBot="1" x14ac:dyDescent="0.35"/>
    <row r="46" spans="1:2" ht="33" customHeight="1" x14ac:dyDescent="0.3">
      <c r="A46" s="16" t="s">
        <v>140</v>
      </c>
      <c r="B46" s="18"/>
    </row>
    <row r="47" spans="1:2" ht="33.75" thickBot="1" x14ac:dyDescent="0.35">
      <c r="A47" s="12" t="s">
        <v>141</v>
      </c>
      <c r="B47" s="2" t="s">
        <v>142</v>
      </c>
    </row>
    <row r="48" spans="1:2" ht="25.5" x14ac:dyDescent="0.3">
      <c r="A48" s="13" t="s">
        <v>143</v>
      </c>
      <c r="B48" s="2" t="s">
        <v>144</v>
      </c>
    </row>
    <row r="49" spans="1:9" ht="17.25" thickBot="1" x14ac:dyDescent="0.35"/>
    <row r="50" spans="1:9" ht="16.5" customHeight="1" x14ac:dyDescent="0.3">
      <c r="A50" s="16" t="s">
        <v>238</v>
      </c>
      <c r="B50" s="18"/>
      <c r="C50" s="18"/>
      <c r="D50" s="18"/>
      <c r="E50" s="18"/>
      <c r="F50" s="18"/>
    </row>
    <row r="51" spans="1:9" ht="16.5" customHeight="1" x14ac:dyDescent="0.3">
      <c r="A51" s="17" t="s">
        <v>239</v>
      </c>
      <c r="B51" s="19" t="s">
        <v>94</v>
      </c>
      <c r="C51" s="19" t="s">
        <v>240</v>
      </c>
      <c r="D51" s="3" t="s">
        <v>241</v>
      </c>
      <c r="E51" s="19" t="s">
        <v>243</v>
      </c>
      <c r="F51" s="19"/>
    </row>
    <row r="52" spans="1:9" x14ac:dyDescent="0.3">
      <c r="A52" s="17"/>
      <c r="B52" s="19"/>
      <c r="C52" s="19"/>
      <c r="D52" s="3" t="s">
        <v>242</v>
      </c>
      <c r="E52" s="19"/>
      <c r="F52" s="19"/>
    </row>
    <row r="53" spans="1:9" x14ac:dyDescent="0.3">
      <c r="A53" s="13" t="s">
        <v>115</v>
      </c>
      <c r="B53" s="2">
        <v>68635</v>
      </c>
      <c r="C53" s="2">
        <v>0.66370899999999999</v>
      </c>
      <c r="D53" s="2">
        <v>4.4099999999999999E-4</v>
      </c>
      <c r="E53" s="2">
        <v>0.66284405999999996</v>
      </c>
      <c r="F53" s="2">
        <v>0.66457339000000004</v>
      </c>
    </row>
    <row r="57" spans="1:9" x14ac:dyDescent="0.3">
      <c r="A57" s="1" t="s">
        <v>237</v>
      </c>
    </row>
    <row r="59" spans="1:9" x14ac:dyDescent="0.3">
      <c r="A59" s="1" t="s">
        <v>21</v>
      </c>
    </row>
    <row r="60" spans="1:9" ht="17.25" thickBot="1" x14ac:dyDescent="0.35"/>
    <row r="61" spans="1:9" ht="16.5" customHeight="1" x14ac:dyDescent="0.3">
      <c r="A61" s="16" t="s">
        <v>266</v>
      </c>
      <c r="B61" s="18"/>
      <c r="C61" s="18"/>
      <c r="D61" s="18"/>
      <c r="E61" s="18"/>
      <c r="F61" s="18"/>
      <c r="G61" s="18"/>
    </row>
    <row r="62" spans="1:9" ht="16.5" customHeight="1" x14ac:dyDescent="0.3">
      <c r="A62" s="17" t="s">
        <v>2</v>
      </c>
      <c r="B62" s="19" t="s">
        <v>239</v>
      </c>
      <c r="C62" s="19" t="s">
        <v>94</v>
      </c>
      <c r="D62" s="19" t="s">
        <v>240</v>
      </c>
      <c r="E62" s="3" t="s">
        <v>241</v>
      </c>
      <c r="F62" s="19" t="s">
        <v>243</v>
      </c>
      <c r="G62" s="19"/>
    </row>
    <row r="63" spans="1:9" x14ac:dyDescent="0.3">
      <c r="A63" s="17"/>
      <c r="B63" s="19"/>
      <c r="C63" s="19"/>
      <c r="D63" s="19"/>
      <c r="E63" s="3" t="s">
        <v>242</v>
      </c>
      <c r="F63" s="19"/>
      <c r="G63" s="19"/>
    </row>
    <row r="64" spans="1:9" ht="17.25" thickBot="1" x14ac:dyDescent="0.35">
      <c r="A64" s="6">
        <v>1</v>
      </c>
      <c r="B64" s="11" t="s">
        <v>115</v>
      </c>
      <c r="C64" s="2">
        <v>21079</v>
      </c>
      <c r="D64" s="2">
        <v>0.62940300000000005</v>
      </c>
      <c r="E64" s="2">
        <v>5.7399999999999997E-4</v>
      </c>
      <c r="F64" s="2">
        <v>0.62827732999999997</v>
      </c>
      <c r="G64" s="2">
        <v>0.63052911</v>
      </c>
      <c r="I64" t="str">
        <f t="shared" ref="I64:I66" si="0">TEXT(D64,"0.00")&amp;" ("&amp;TEXT(F64,"0.00")&amp;" to "&amp;TEXT(G64,"0.00")&amp;")"</f>
        <v>0.63 (0.63 to 0.63)</v>
      </c>
    </row>
    <row r="65" spans="1:9" ht="17.25" thickBot="1" x14ac:dyDescent="0.35">
      <c r="A65" s="6">
        <v>2</v>
      </c>
      <c r="B65" s="11" t="s">
        <v>115</v>
      </c>
      <c r="C65" s="2">
        <v>33470</v>
      </c>
      <c r="D65" s="2">
        <v>0.67899200000000004</v>
      </c>
      <c r="E65" s="2">
        <v>5.1599999999999997E-4</v>
      </c>
      <c r="F65" s="2">
        <v>0.67797985999999999</v>
      </c>
      <c r="G65" s="2">
        <v>0.68000490999999996</v>
      </c>
      <c r="I65" t="str">
        <f t="shared" si="0"/>
        <v>0.68 (0.68 to 0.68)</v>
      </c>
    </row>
    <row r="66" spans="1:9" x14ac:dyDescent="0.3">
      <c r="A66" s="6">
        <v>3</v>
      </c>
      <c r="B66" s="14" t="s">
        <v>115</v>
      </c>
      <c r="C66" s="2">
        <v>14086</v>
      </c>
      <c r="D66" s="2">
        <v>0.71219299999999996</v>
      </c>
      <c r="E66" s="2">
        <v>7.0200000000000004E-4</v>
      </c>
      <c r="F66" s="2">
        <v>0.71081556000000001</v>
      </c>
      <c r="G66" s="2">
        <v>0.71357048000000001</v>
      </c>
      <c r="I66" t="str">
        <f t="shared" si="0"/>
        <v>0.71 (0.71 to 0.71)</v>
      </c>
    </row>
    <row r="70" spans="1:9" x14ac:dyDescent="0.3">
      <c r="A70" s="1" t="s">
        <v>237</v>
      </c>
    </row>
    <row r="72" spans="1:9" x14ac:dyDescent="0.3">
      <c r="A72" s="1" t="s">
        <v>1</v>
      </c>
    </row>
    <row r="73" spans="1:9" ht="17.25" thickBot="1" x14ac:dyDescent="0.35"/>
    <row r="74" spans="1:9" ht="16.5" customHeight="1" x14ac:dyDescent="0.3">
      <c r="A74" s="16" t="s">
        <v>135</v>
      </c>
      <c r="B74" s="18"/>
    </row>
    <row r="75" spans="1:9" ht="26.25" thickBot="1" x14ac:dyDescent="0.35">
      <c r="A75" s="12" t="s">
        <v>136</v>
      </c>
      <c r="B75" s="2">
        <v>183</v>
      </c>
    </row>
    <row r="76" spans="1:9" ht="26.25" thickBot="1" x14ac:dyDescent="0.35">
      <c r="A76" s="12" t="s">
        <v>137</v>
      </c>
      <c r="B76" s="2">
        <v>2949</v>
      </c>
    </row>
    <row r="77" spans="1:9" ht="39" thickBot="1" x14ac:dyDescent="0.35">
      <c r="A77" s="12" t="s">
        <v>138</v>
      </c>
      <c r="B77" s="2">
        <v>23222</v>
      </c>
    </row>
    <row r="78" spans="1:9" ht="25.5" x14ac:dyDescent="0.3">
      <c r="A78" s="13" t="s">
        <v>139</v>
      </c>
      <c r="B78" s="2">
        <v>9036880.5199999996</v>
      </c>
    </row>
    <row r="79" spans="1:9" ht="17.25" thickBot="1" x14ac:dyDescent="0.35"/>
    <row r="80" spans="1:9" ht="33" customHeight="1" x14ac:dyDescent="0.3">
      <c r="A80" s="16" t="s">
        <v>140</v>
      </c>
      <c r="B80" s="18"/>
    </row>
    <row r="81" spans="1:7" ht="33.75" thickBot="1" x14ac:dyDescent="0.35">
      <c r="A81" s="12" t="s">
        <v>141</v>
      </c>
      <c r="B81" s="2" t="s">
        <v>142</v>
      </c>
    </row>
    <row r="82" spans="1:7" ht="25.5" x14ac:dyDescent="0.3">
      <c r="A82" s="13" t="s">
        <v>143</v>
      </c>
      <c r="B82" s="2" t="s">
        <v>144</v>
      </c>
    </row>
    <row r="83" spans="1:7" ht="17.25" thickBot="1" x14ac:dyDescent="0.35"/>
    <row r="84" spans="1:7" ht="16.5" customHeight="1" x14ac:dyDescent="0.3">
      <c r="A84" s="16" t="s">
        <v>238</v>
      </c>
      <c r="B84" s="18"/>
      <c r="C84" s="18"/>
      <c r="D84" s="18"/>
      <c r="E84" s="18"/>
      <c r="F84" s="18"/>
    </row>
    <row r="85" spans="1:7" ht="16.5" customHeight="1" x14ac:dyDescent="0.3">
      <c r="A85" s="17" t="s">
        <v>239</v>
      </c>
      <c r="B85" s="19" t="s">
        <v>94</v>
      </c>
      <c r="C85" s="19" t="s">
        <v>240</v>
      </c>
      <c r="D85" s="3" t="s">
        <v>241</v>
      </c>
      <c r="E85" s="19" t="s">
        <v>243</v>
      </c>
      <c r="F85" s="19"/>
    </row>
    <row r="86" spans="1:7" x14ac:dyDescent="0.3">
      <c r="A86" s="17"/>
      <c r="B86" s="19"/>
      <c r="C86" s="19"/>
      <c r="D86" s="3" t="s">
        <v>242</v>
      </c>
      <c r="E86" s="19"/>
      <c r="F86" s="19"/>
    </row>
    <row r="87" spans="1:7" x14ac:dyDescent="0.3">
      <c r="A87" s="13" t="s">
        <v>115</v>
      </c>
      <c r="B87" s="2">
        <v>23222</v>
      </c>
      <c r="C87" s="2">
        <v>0.64841899999999997</v>
      </c>
      <c r="D87" s="2">
        <v>7.7200000000000001E-4</v>
      </c>
      <c r="E87" s="2">
        <v>0.64690462000000004</v>
      </c>
      <c r="F87" s="2">
        <v>0.64993400999999995</v>
      </c>
    </row>
    <row r="91" spans="1:7" x14ac:dyDescent="0.3">
      <c r="A91" s="1" t="s">
        <v>237</v>
      </c>
    </row>
    <row r="93" spans="1:7" x14ac:dyDescent="0.3">
      <c r="A93" s="1" t="s">
        <v>1</v>
      </c>
    </row>
    <row r="94" spans="1:7" ht="17.25" thickBot="1" x14ac:dyDescent="0.35"/>
    <row r="95" spans="1:7" ht="16.5" customHeight="1" x14ac:dyDescent="0.3">
      <c r="A95" s="16" t="s">
        <v>267</v>
      </c>
      <c r="B95" s="18"/>
      <c r="C95" s="18"/>
      <c r="D95" s="18"/>
      <c r="E95" s="18"/>
      <c r="F95" s="18"/>
      <c r="G95" s="18"/>
    </row>
    <row r="96" spans="1:7" ht="16.5" customHeight="1" x14ac:dyDescent="0.3">
      <c r="A96" s="17" t="s">
        <v>6</v>
      </c>
      <c r="B96" s="19" t="s">
        <v>239</v>
      </c>
      <c r="C96" s="19" t="s">
        <v>94</v>
      </c>
      <c r="D96" s="19" t="s">
        <v>240</v>
      </c>
      <c r="E96" s="3" t="s">
        <v>241</v>
      </c>
      <c r="F96" s="19" t="s">
        <v>243</v>
      </c>
      <c r="G96" s="19"/>
    </row>
    <row r="97" spans="1:7" x14ac:dyDescent="0.3">
      <c r="A97" s="17"/>
      <c r="B97" s="19"/>
      <c r="C97" s="19"/>
      <c r="D97" s="19"/>
      <c r="E97" s="3" t="s">
        <v>242</v>
      </c>
      <c r="F97" s="19"/>
      <c r="G97" s="19"/>
    </row>
    <row r="98" spans="1:7" ht="17.25" thickBot="1" x14ac:dyDescent="0.35">
      <c r="A98" s="6">
        <v>1</v>
      </c>
      <c r="B98" s="11" t="s">
        <v>115</v>
      </c>
      <c r="C98" s="2">
        <v>8741</v>
      </c>
      <c r="D98" s="2">
        <v>0.64516099999999998</v>
      </c>
      <c r="E98" s="2">
        <v>1.085E-3</v>
      </c>
      <c r="F98" s="2">
        <v>0.64303418000000001</v>
      </c>
      <c r="G98" s="2">
        <v>0.64728845000000002</v>
      </c>
    </row>
    <row r="99" spans="1:7" x14ac:dyDescent="0.3">
      <c r="A99" s="6">
        <v>2</v>
      </c>
      <c r="B99" s="14" t="s">
        <v>115</v>
      </c>
      <c r="C99" s="2">
        <v>14481</v>
      </c>
      <c r="D99" s="2">
        <v>0.65089399999999997</v>
      </c>
      <c r="E99" s="2">
        <v>9.2100000000000005E-4</v>
      </c>
      <c r="F99" s="2">
        <v>0.64908748999999999</v>
      </c>
      <c r="G99" s="2">
        <v>0.65270119000000004</v>
      </c>
    </row>
    <row r="103" spans="1:7" x14ac:dyDescent="0.3">
      <c r="A103" s="1" t="s">
        <v>237</v>
      </c>
    </row>
    <row r="105" spans="1:7" x14ac:dyDescent="0.3">
      <c r="A105" s="1" t="s">
        <v>21</v>
      </c>
    </row>
    <row r="106" spans="1:7" ht="17.25" thickBot="1" x14ac:dyDescent="0.35"/>
    <row r="107" spans="1:7" ht="16.5" customHeight="1" x14ac:dyDescent="0.3">
      <c r="A107" s="16" t="s">
        <v>135</v>
      </c>
      <c r="B107" s="18"/>
    </row>
    <row r="108" spans="1:7" ht="26.25" thickBot="1" x14ac:dyDescent="0.35">
      <c r="A108" s="12" t="s">
        <v>136</v>
      </c>
      <c r="B108" s="2">
        <v>183</v>
      </c>
    </row>
    <row r="109" spans="1:7" ht="26.25" thickBot="1" x14ac:dyDescent="0.35">
      <c r="A109" s="12" t="s">
        <v>137</v>
      </c>
      <c r="B109" s="2">
        <v>2982</v>
      </c>
    </row>
    <row r="110" spans="1:7" ht="39" thickBot="1" x14ac:dyDescent="0.35">
      <c r="A110" s="12" t="s">
        <v>138</v>
      </c>
      <c r="B110" s="2">
        <v>68635</v>
      </c>
    </row>
    <row r="111" spans="1:7" ht="25.5" x14ac:dyDescent="0.3">
      <c r="A111" s="13" t="s">
        <v>139</v>
      </c>
      <c r="B111" s="2">
        <v>30251935.699999999</v>
      </c>
    </row>
    <row r="112" spans="1:7" ht="17.25" thickBot="1" x14ac:dyDescent="0.35"/>
    <row r="113" spans="1:7" ht="33" customHeight="1" x14ac:dyDescent="0.3">
      <c r="A113" s="16" t="s">
        <v>140</v>
      </c>
      <c r="B113" s="18"/>
    </row>
    <row r="114" spans="1:7" ht="33.75" thickBot="1" x14ac:dyDescent="0.35">
      <c r="A114" s="12" t="s">
        <v>141</v>
      </c>
      <c r="B114" s="2" t="s">
        <v>142</v>
      </c>
    </row>
    <row r="115" spans="1:7" ht="25.5" x14ac:dyDescent="0.3">
      <c r="A115" s="13" t="s">
        <v>143</v>
      </c>
      <c r="B115" s="2" t="s">
        <v>144</v>
      </c>
    </row>
    <row r="116" spans="1:7" ht="17.25" thickBot="1" x14ac:dyDescent="0.35"/>
    <row r="117" spans="1:7" ht="16.5" customHeight="1" x14ac:dyDescent="0.3">
      <c r="A117" s="16" t="s">
        <v>238</v>
      </c>
      <c r="B117" s="18"/>
      <c r="C117" s="18"/>
      <c r="D117" s="18"/>
      <c r="E117" s="18"/>
      <c r="F117" s="18"/>
    </row>
    <row r="118" spans="1:7" ht="16.5" customHeight="1" x14ac:dyDescent="0.3">
      <c r="A118" s="17" t="s">
        <v>239</v>
      </c>
      <c r="B118" s="19" t="s">
        <v>94</v>
      </c>
      <c r="C118" s="19" t="s">
        <v>240</v>
      </c>
      <c r="D118" s="3" t="s">
        <v>241</v>
      </c>
      <c r="E118" s="19" t="s">
        <v>243</v>
      </c>
      <c r="F118" s="19"/>
    </row>
    <row r="119" spans="1:7" x14ac:dyDescent="0.3">
      <c r="A119" s="17"/>
      <c r="B119" s="19"/>
      <c r="C119" s="19"/>
      <c r="D119" s="3" t="s">
        <v>242</v>
      </c>
      <c r="E119" s="19"/>
      <c r="F119" s="19"/>
    </row>
    <row r="120" spans="1:7" x14ac:dyDescent="0.3">
      <c r="A120" s="13" t="s">
        <v>115</v>
      </c>
      <c r="B120" s="2">
        <v>68635</v>
      </c>
      <c r="C120" s="2">
        <v>0.66370899999999999</v>
      </c>
      <c r="D120" s="2">
        <v>4.4099999999999999E-4</v>
      </c>
      <c r="E120" s="2">
        <v>0.66284405999999996</v>
      </c>
      <c r="F120" s="2">
        <v>0.66457339000000004</v>
      </c>
    </row>
    <row r="124" spans="1:7" x14ac:dyDescent="0.3">
      <c r="A124" s="1" t="s">
        <v>237</v>
      </c>
    </row>
    <row r="126" spans="1:7" x14ac:dyDescent="0.3">
      <c r="A126" s="1" t="s">
        <v>21</v>
      </c>
    </row>
    <row r="127" spans="1:7" ht="17.25" thickBot="1" x14ac:dyDescent="0.35"/>
    <row r="128" spans="1:7" ht="16.5" customHeight="1" x14ac:dyDescent="0.3">
      <c r="A128" s="16" t="s">
        <v>267</v>
      </c>
      <c r="B128" s="18"/>
      <c r="C128" s="18"/>
      <c r="D128" s="18"/>
      <c r="E128" s="18"/>
      <c r="F128" s="18"/>
      <c r="G128" s="18"/>
    </row>
    <row r="129" spans="1:9" ht="16.5" customHeight="1" x14ac:dyDescent="0.3">
      <c r="A129" s="17" t="s">
        <v>6</v>
      </c>
      <c r="B129" s="19" t="s">
        <v>239</v>
      </c>
      <c r="C129" s="19" t="s">
        <v>94</v>
      </c>
      <c r="D129" s="19" t="s">
        <v>240</v>
      </c>
      <c r="E129" s="3" t="s">
        <v>241</v>
      </c>
      <c r="F129" s="19" t="s">
        <v>243</v>
      </c>
      <c r="G129" s="19"/>
    </row>
    <row r="130" spans="1:9" x14ac:dyDescent="0.3">
      <c r="A130" s="17"/>
      <c r="B130" s="19"/>
      <c r="C130" s="19"/>
      <c r="D130" s="19"/>
      <c r="E130" s="3" t="s">
        <v>242</v>
      </c>
      <c r="F130" s="19"/>
      <c r="G130" s="19"/>
    </row>
    <row r="131" spans="1:9" ht="17.25" thickBot="1" x14ac:dyDescent="0.35">
      <c r="A131" s="6">
        <v>1</v>
      </c>
      <c r="B131" s="11" t="s">
        <v>115</v>
      </c>
      <c r="C131" s="2">
        <v>33200</v>
      </c>
      <c r="D131" s="2">
        <v>0.68281000000000003</v>
      </c>
      <c r="E131" s="2">
        <v>5.3300000000000005E-4</v>
      </c>
      <c r="F131" s="2">
        <v>0.68176407000000006</v>
      </c>
      <c r="G131" s="2">
        <v>0.68385607000000004</v>
      </c>
      <c r="I131" t="str">
        <f t="shared" ref="I131:I132" si="1">TEXT(D131,"0.00")&amp;" ("&amp;TEXT(F131,"0.00")&amp;" to "&amp;TEXT(G131,"0.00")&amp;")"</f>
        <v>0.68 (0.68 to 0.68)</v>
      </c>
    </row>
    <row r="132" spans="1:9" x14ac:dyDescent="0.3">
      <c r="A132" s="6">
        <v>2</v>
      </c>
      <c r="B132" s="14" t="s">
        <v>115</v>
      </c>
      <c r="C132" s="2">
        <v>35435</v>
      </c>
      <c r="D132" s="2">
        <v>0.64094600000000002</v>
      </c>
      <c r="E132" s="2">
        <v>5.6099999999999998E-4</v>
      </c>
      <c r="F132" s="2">
        <v>0.63984593000000001</v>
      </c>
      <c r="G132" s="2">
        <v>0.64204629999999996</v>
      </c>
      <c r="I132" t="str">
        <f t="shared" si="1"/>
        <v>0.64 (0.64 to 0.64)</v>
      </c>
    </row>
    <row r="136" spans="1:9" x14ac:dyDescent="0.3">
      <c r="A136" s="1" t="s">
        <v>237</v>
      </c>
    </row>
    <row r="138" spans="1:9" x14ac:dyDescent="0.3">
      <c r="A138" s="1" t="s">
        <v>1</v>
      </c>
    </row>
    <row r="139" spans="1:9" ht="17.25" thickBot="1" x14ac:dyDescent="0.35"/>
    <row r="140" spans="1:9" ht="16.5" customHeight="1" x14ac:dyDescent="0.3">
      <c r="A140" s="16" t="s">
        <v>135</v>
      </c>
      <c r="B140" s="18"/>
    </row>
    <row r="141" spans="1:9" ht="26.25" thickBot="1" x14ac:dyDescent="0.35">
      <c r="A141" s="12" t="s">
        <v>136</v>
      </c>
      <c r="B141" s="2">
        <v>183</v>
      </c>
    </row>
    <row r="142" spans="1:9" ht="26.25" thickBot="1" x14ac:dyDescent="0.35">
      <c r="A142" s="12" t="s">
        <v>137</v>
      </c>
      <c r="B142" s="2">
        <v>2949</v>
      </c>
    </row>
    <row r="143" spans="1:9" ht="39" thickBot="1" x14ac:dyDescent="0.35">
      <c r="A143" s="12" t="s">
        <v>138</v>
      </c>
      <c r="B143" s="2">
        <v>23222</v>
      </c>
    </row>
    <row r="144" spans="1:9" ht="25.5" x14ac:dyDescent="0.3">
      <c r="A144" s="13" t="s">
        <v>139</v>
      </c>
      <c r="B144" s="2">
        <v>9036880.5199999996</v>
      </c>
    </row>
    <row r="145" spans="1:6" ht="17.25" thickBot="1" x14ac:dyDescent="0.35"/>
    <row r="146" spans="1:6" ht="33" customHeight="1" x14ac:dyDescent="0.3">
      <c r="A146" s="16" t="s">
        <v>140</v>
      </c>
      <c r="B146" s="18"/>
    </row>
    <row r="147" spans="1:6" ht="33.75" thickBot="1" x14ac:dyDescent="0.35">
      <c r="A147" s="12" t="s">
        <v>141</v>
      </c>
      <c r="B147" s="2" t="s">
        <v>142</v>
      </c>
    </row>
    <row r="148" spans="1:6" ht="25.5" x14ac:dyDescent="0.3">
      <c r="A148" s="13" t="s">
        <v>143</v>
      </c>
      <c r="B148" s="2" t="s">
        <v>144</v>
      </c>
    </row>
    <row r="149" spans="1:6" ht="17.25" thickBot="1" x14ac:dyDescent="0.35"/>
    <row r="150" spans="1:6" ht="16.5" customHeight="1" x14ac:dyDescent="0.3">
      <c r="A150" s="16" t="s">
        <v>238</v>
      </c>
      <c r="B150" s="18"/>
      <c r="C150" s="18"/>
      <c r="D150" s="18"/>
      <c r="E150" s="18"/>
      <c r="F150" s="18"/>
    </row>
    <row r="151" spans="1:6" ht="16.5" customHeight="1" x14ac:dyDescent="0.3">
      <c r="A151" s="17" t="s">
        <v>239</v>
      </c>
      <c r="B151" s="19" t="s">
        <v>94</v>
      </c>
      <c r="C151" s="19" t="s">
        <v>240</v>
      </c>
      <c r="D151" s="3" t="s">
        <v>241</v>
      </c>
      <c r="E151" s="19" t="s">
        <v>243</v>
      </c>
      <c r="F151" s="19"/>
    </row>
    <row r="152" spans="1:6" x14ac:dyDescent="0.3">
      <c r="A152" s="17"/>
      <c r="B152" s="19"/>
      <c r="C152" s="19"/>
      <c r="D152" s="3" t="s">
        <v>242</v>
      </c>
      <c r="E152" s="19"/>
      <c r="F152" s="19"/>
    </row>
    <row r="153" spans="1:6" x14ac:dyDescent="0.3">
      <c r="A153" s="13" t="s">
        <v>115</v>
      </c>
      <c r="B153" s="2">
        <v>23222</v>
      </c>
      <c r="C153" s="2">
        <v>0.64841899999999997</v>
      </c>
      <c r="D153" s="2">
        <v>7.7200000000000001E-4</v>
      </c>
      <c r="E153" s="2">
        <v>0.64690462000000004</v>
      </c>
      <c r="F153" s="2">
        <v>0.64993400999999995</v>
      </c>
    </row>
    <row r="157" spans="1:6" x14ac:dyDescent="0.3">
      <c r="A157" s="1" t="s">
        <v>237</v>
      </c>
    </row>
    <row r="159" spans="1:6" x14ac:dyDescent="0.3">
      <c r="A159" s="1" t="s">
        <v>1</v>
      </c>
    </row>
    <row r="160" spans="1:6" ht="17.25" thickBot="1" x14ac:dyDescent="0.35"/>
    <row r="161" spans="1:7" ht="16.5" customHeight="1" x14ac:dyDescent="0.3">
      <c r="A161" s="16" t="s">
        <v>268</v>
      </c>
      <c r="B161" s="18"/>
      <c r="C161" s="18"/>
      <c r="D161" s="18"/>
      <c r="E161" s="18"/>
      <c r="F161" s="18"/>
      <c r="G161" s="18"/>
    </row>
    <row r="162" spans="1:7" ht="16.5" customHeight="1" x14ac:dyDescent="0.3">
      <c r="A162" s="17" t="s">
        <v>7</v>
      </c>
      <c r="B162" s="19" t="s">
        <v>239</v>
      </c>
      <c r="C162" s="19" t="s">
        <v>94</v>
      </c>
      <c r="D162" s="19" t="s">
        <v>240</v>
      </c>
      <c r="E162" s="3" t="s">
        <v>241</v>
      </c>
      <c r="F162" s="19" t="s">
        <v>243</v>
      </c>
      <c r="G162" s="19"/>
    </row>
    <row r="163" spans="1:7" x14ac:dyDescent="0.3">
      <c r="A163" s="17"/>
      <c r="B163" s="19"/>
      <c r="C163" s="19"/>
      <c r="D163" s="19"/>
      <c r="E163" s="3" t="s">
        <v>242</v>
      </c>
      <c r="F163" s="19"/>
      <c r="G163" s="19"/>
    </row>
    <row r="164" spans="1:7" ht="17.25" thickBot="1" x14ac:dyDescent="0.35">
      <c r="A164" s="6">
        <v>1</v>
      </c>
      <c r="B164" s="11" t="s">
        <v>115</v>
      </c>
      <c r="C164" s="2">
        <v>17769</v>
      </c>
      <c r="D164" s="2">
        <v>0.64452200000000004</v>
      </c>
      <c r="E164" s="2">
        <v>8.7100000000000003E-4</v>
      </c>
      <c r="F164" s="2">
        <v>0.64281359999999999</v>
      </c>
      <c r="G164" s="2">
        <v>0.64622955000000004</v>
      </c>
    </row>
    <row r="165" spans="1:7" x14ac:dyDescent="0.3">
      <c r="A165" s="6">
        <v>2</v>
      </c>
      <c r="B165" s="14" t="s">
        <v>115</v>
      </c>
      <c r="C165" s="2">
        <v>5453</v>
      </c>
      <c r="D165" s="2">
        <v>0.66417999999999999</v>
      </c>
      <c r="E165" s="2">
        <v>1.897E-3</v>
      </c>
      <c r="F165" s="2">
        <v>0.66045947999999999</v>
      </c>
      <c r="G165" s="2">
        <v>0.66789975000000001</v>
      </c>
    </row>
    <row r="169" spans="1:7" x14ac:dyDescent="0.3">
      <c r="A169" s="1" t="s">
        <v>237</v>
      </c>
    </row>
    <row r="171" spans="1:7" x14ac:dyDescent="0.3">
      <c r="A171" s="1" t="s">
        <v>21</v>
      </c>
    </row>
    <row r="172" spans="1:7" ht="17.25" thickBot="1" x14ac:dyDescent="0.35"/>
    <row r="173" spans="1:7" ht="16.5" customHeight="1" x14ac:dyDescent="0.3">
      <c r="A173" s="16" t="s">
        <v>135</v>
      </c>
      <c r="B173" s="18"/>
    </row>
    <row r="174" spans="1:7" ht="26.25" thickBot="1" x14ac:dyDescent="0.35">
      <c r="A174" s="12" t="s">
        <v>136</v>
      </c>
      <c r="B174" s="2">
        <v>183</v>
      </c>
    </row>
    <row r="175" spans="1:7" ht="26.25" thickBot="1" x14ac:dyDescent="0.35">
      <c r="A175" s="12" t="s">
        <v>137</v>
      </c>
      <c r="B175" s="2">
        <v>2982</v>
      </c>
    </row>
    <row r="176" spans="1:7" ht="39" thickBot="1" x14ac:dyDescent="0.35">
      <c r="A176" s="12" t="s">
        <v>138</v>
      </c>
      <c r="B176" s="2">
        <v>68635</v>
      </c>
    </row>
    <row r="177" spans="1:6" ht="25.5" x14ac:dyDescent="0.3">
      <c r="A177" s="13" t="s">
        <v>139</v>
      </c>
      <c r="B177" s="2">
        <v>30251935.699999999</v>
      </c>
    </row>
    <row r="178" spans="1:6" ht="17.25" thickBot="1" x14ac:dyDescent="0.35"/>
    <row r="179" spans="1:6" ht="33" customHeight="1" x14ac:dyDescent="0.3">
      <c r="A179" s="16" t="s">
        <v>140</v>
      </c>
      <c r="B179" s="18"/>
    </row>
    <row r="180" spans="1:6" ht="33.75" thickBot="1" x14ac:dyDescent="0.35">
      <c r="A180" s="12" t="s">
        <v>141</v>
      </c>
      <c r="B180" s="2" t="s">
        <v>142</v>
      </c>
    </row>
    <row r="181" spans="1:6" ht="25.5" x14ac:dyDescent="0.3">
      <c r="A181" s="13" t="s">
        <v>143</v>
      </c>
      <c r="B181" s="2" t="s">
        <v>144</v>
      </c>
    </row>
    <row r="182" spans="1:6" ht="17.25" thickBot="1" x14ac:dyDescent="0.35"/>
    <row r="183" spans="1:6" ht="16.5" customHeight="1" x14ac:dyDescent="0.3">
      <c r="A183" s="16" t="s">
        <v>238</v>
      </c>
      <c r="B183" s="18"/>
      <c r="C183" s="18"/>
      <c r="D183" s="18"/>
      <c r="E183" s="18"/>
      <c r="F183" s="18"/>
    </row>
    <row r="184" spans="1:6" ht="16.5" customHeight="1" x14ac:dyDescent="0.3">
      <c r="A184" s="17" t="s">
        <v>239</v>
      </c>
      <c r="B184" s="19" t="s">
        <v>94</v>
      </c>
      <c r="C184" s="19" t="s">
        <v>240</v>
      </c>
      <c r="D184" s="3" t="s">
        <v>241</v>
      </c>
      <c r="E184" s="19" t="s">
        <v>243</v>
      </c>
      <c r="F184" s="19"/>
    </row>
    <row r="185" spans="1:6" x14ac:dyDescent="0.3">
      <c r="A185" s="17"/>
      <c r="B185" s="19"/>
      <c r="C185" s="19"/>
      <c r="D185" s="3" t="s">
        <v>242</v>
      </c>
      <c r="E185" s="19"/>
      <c r="F185" s="19"/>
    </row>
    <row r="186" spans="1:6" x14ac:dyDescent="0.3">
      <c r="A186" s="13" t="s">
        <v>115</v>
      </c>
      <c r="B186" s="2">
        <v>68635</v>
      </c>
      <c r="C186" s="2">
        <v>0.66370899999999999</v>
      </c>
      <c r="D186" s="2">
        <v>4.4099999999999999E-4</v>
      </c>
      <c r="E186" s="2">
        <v>0.66284405999999996</v>
      </c>
      <c r="F186" s="2">
        <v>0.66457339000000004</v>
      </c>
    </row>
    <row r="190" spans="1:6" x14ac:dyDescent="0.3">
      <c r="A190" s="1" t="s">
        <v>237</v>
      </c>
    </row>
    <row r="192" spans="1:6" x14ac:dyDescent="0.3">
      <c r="A192" s="1" t="s">
        <v>21</v>
      </c>
    </row>
    <row r="193" spans="1:9" ht="17.25" thickBot="1" x14ac:dyDescent="0.35"/>
    <row r="194" spans="1:9" ht="16.5" customHeight="1" x14ac:dyDescent="0.3">
      <c r="A194" s="16" t="s">
        <v>268</v>
      </c>
      <c r="B194" s="18"/>
      <c r="C194" s="18"/>
      <c r="D194" s="18"/>
      <c r="E194" s="18"/>
      <c r="F194" s="18"/>
      <c r="G194" s="18"/>
    </row>
    <row r="195" spans="1:9" ht="16.5" customHeight="1" x14ac:dyDescent="0.3">
      <c r="A195" s="17" t="s">
        <v>7</v>
      </c>
      <c r="B195" s="19" t="s">
        <v>239</v>
      </c>
      <c r="C195" s="19" t="s">
        <v>94</v>
      </c>
      <c r="D195" s="19" t="s">
        <v>240</v>
      </c>
      <c r="E195" s="3" t="s">
        <v>241</v>
      </c>
      <c r="F195" s="19" t="s">
        <v>243</v>
      </c>
      <c r="G195" s="19"/>
    </row>
    <row r="196" spans="1:9" x14ac:dyDescent="0.3">
      <c r="A196" s="17"/>
      <c r="B196" s="19"/>
      <c r="C196" s="19"/>
      <c r="D196" s="19"/>
      <c r="E196" s="3" t="s">
        <v>242</v>
      </c>
      <c r="F196" s="19"/>
      <c r="G196" s="19"/>
    </row>
    <row r="197" spans="1:9" ht="17.25" thickBot="1" x14ac:dyDescent="0.35">
      <c r="A197" s="6">
        <v>1</v>
      </c>
      <c r="B197" s="11" t="s">
        <v>115</v>
      </c>
      <c r="C197" s="2">
        <v>55176</v>
      </c>
      <c r="D197" s="2">
        <v>0.66082200000000002</v>
      </c>
      <c r="E197" s="2">
        <v>4.8299999999999998E-4</v>
      </c>
      <c r="F197" s="2">
        <v>0.65987450999999997</v>
      </c>
      <c r="G197" s="2">
        <v>0.66176855000000001</v>
      </c>
      <c r="I197" t="str">
        <f t="shared" ref="I197:I198" si="2">TEXT(D197,"0.00")&amp;" ("&amp;TEXT(F197,"0.00")&amp;" to "&amp;TEXT(G197,"0.00")&amp;")"</f>
        <v>0.66 (0.66 to 0.66)</v>
      </c>
    </row>
    <row r="198" spans="1:9" x14ac:dyDescent="0.3">
      <c r="A198" s="6">
        <v>2</v>
      </c>
      <c r="B198" s="14" t="s">
        <v>115</v>
      </c>
      <c r="C198" s="2">
        <v>13459</v>
      </c>
      <c r="D198" s="2">
        <v>0.67879400000000001</v>
      </c>
      <c r="E198" s="2">
        <v>1.145E-3</v>
      </c>
      <c r="F198" s="2">
        <v>0.6765487</v>
      </c>
      <c r="G198" s="2">
        <v>0.68103913999999999</v>
      </c>
      <c r="I198" t="str">
        <f t="shared" si="2"/>
        <v>0.68 (0.68 to 0.68)</v>
      </c>
    </row>
    <row r="202" spans="1:9" x14ac:dyDescent="0.3">
      <c r="A202" s="1" t="s">
        <v>237</v>
      </c>
    </row>
    <row r="204" spans="1:9" x14ac:dyDescent="0.3">
      <c r="A204" s="1" t="s">
        <v>1</v>
      </c>
    </row>
    <row r="205" spans="1:9" ht="17.25" thickBot="1" x14ac:dyDescent="0.35"/>
    <row r="206" spans="1:9" ht="16.5" customHeight="1" x14ac:dyDescent="0.3">
      <c r="A206" s="16" t="s">
        <v>135</v>
      </c>
      <c r="B206" s="18"/>
    </row>
    <row r="207" spans="1:9" ht="26.25" thickBot="1" x14ac:dyDescent="0.35">
      <c r="A207" s="12" t="s">
        <v>136</v>
      </c>
      <c r="B207" s="2">
        <v>183</v>
      </c>
    </row>
    <row r="208" spans="1:9" ht="26.25" thickBot="1" x14ac:dyDescent="0.35">
      <c r="A208" s="12" t="s">
        <v>137</v>
      </c>
      <c r="B208" s="2">
        <v>2949</v>
      </c>
    </row>
    <row r="209" spans="1:6" ht="39" thickBot="1" x14ac:dyDescent="0.35">
      <c r="A209" s="12" t="s">
        <v>138</v>
      </c>
      <c r="B209" s="2">
        <v>23222</v>
      </c>
    </row>
    <row r="210" spans="1:6" ht="25.5" x14ac:dyDescent="0.3">
      <c r="A210" s="13" t="s">
        <v>139</v>
      </c>
      <c r="B210" s="2">
        <v>9036880.5199999996</v>
      </c>
    </row>
    <row r="211" spans="1:6" ht="17.25" thickBot="1" x14ac:dyDescent="0.35"/>
    <row r="212" spans="1:6" ht="33" customHeight="1" x14ac:dyDescent="0.3">
      <c r="A212" s="16" t="s">
        <v>140</v>
      </c>
      <c r="B212" s="18"/>
    </row>
    <row r="213" spans="1:6" ht="33.75" thickBot="1" x14ac:dyDescent="0.35">
      <c r="A213" s="12" t="s">
        <v>141</v>
      </c>
      <c r="B213" s="2" t="s">
        <v>142</v>
      </c>
    </row>
    <row r="214" spans="1:6" ht="25.5" x14ac:dyDescent="0.3">
      <c r="A214" s="13" t="s">
        <v>143</v>
      </c>
      <c r="B214" s="2" t="s">
        <v>144</v>
      </c>
    </row>
    <row r="215" spans="1:6" ht="17.25" thickBot="1" x14ac:dyDescent="0.35"/>
    <row r="216" spans="1:6" ht="16.5" customHeight="1" x14ac:dyDescent="0.3">
      <c r="A216" s="16" t="s">
        <v>238</v>
      </c>
      <c r="B216" s="18"/>
      <c r="C216" s="18"/>
      <c r="D216" s="18"/>
      <c r="E216" s="18"/>
      <c r="F216" s="18"/>
    </row>
    <row r="217" spans="1:6" ht="16.5" customHeight="1" x14ac:dyDescent="0.3">
      <c r="A217" s="17" t="s">
        <v>239</v>
      </c>
      <c r="B217" s="19" t="s">
        <v>94</v>
      </c>
      <c r="C217" s="19" t="s">
        <v>240</v>
      </c>
      <c r="D217" s="3" t="s">
        <v>241</v>
      </c>
      <c r="E217" s="19" t="s">
        <v>243</v>
      </c>
      <c r="F217" s="19"/>
    </row>
    <row r="218" spans="1:6" x14ac:dyDescent="0.3">
      <c r="A218" s="17"/>
      <c r="B218" s="19"/>
      <c r="C218" s="19"/>
      <c r="D218" s="3" t="s">
        <v>242</v>
      </c>
      <c r="E218" s="19"/>
      <c r="F218" s="19"/>
    </row>
    <row r="219" spans="1:6" x14ac:dyDescent="0.3">
      <c r="A219" s="13" t="s">
        <v>115</v>
      </c>
      <c r="B219" s="2">
        <v>23222</v>
      </c>
      <c r="C219" s="2">
        <v>0.64841899999999997</v>
      </c>
      <c r="D219" s="2">
        <v>7.7200000000000001E-4</v>
      </c>
      <c r="E219" s="2">
        <v>0.64690462000000004</v>
      </c>
      <c r="F219" s="2">
        <v>0.64993400999999995</v>
      </c>
    </row>
    <row r="223" spans="1:6" x14ac:dyDescent="0.3">
      <c r="A223" s="1" t="s">
        <v>237</v>
      </c>
    </row>
    <row r="225" spans="1:7" x14ac:dyDescent="0.3">
      <c r="A225" s="1" t="s">
        <v>1</v>
      </c>
    </row>
    <row r="226" spans="1:7" ht="17.25" thickBot="1" x14ac:dyDescent="0.35"/>
    <row r="227" spans="1:7" ht="16.5" customHeight="1" x14ac:dyDescent="0.3">
      <c r="A227" s="16" t="s">
        <v>269</v>
      </c>
      <c r="B227" s="18"/>
      <c r="C227" s="18"/>
      <c r="D227" s="18"/>
      <c r="E227" s="18"/>
      <c r="F227" s="18"/>
      <c r="G227" s="18"/>
    </row>
    <row r="228" spans="1:7" ht="16.5" customHeight="1" x14ac:dyDescent="0.3">
      <c r="A228" s="17" t="s">
        <v>8</v>
      </c>
      <c r="B228" s="19" t="s">
        <v>239</v>
      </c>
      <c r="C228" s="19" t="s">
        <v>94</v>
      </c>
      <c r="D228" s="19" t="s">
        <v>240</v>
      </c>
      <c r="E228" s="3" t="s">
        <v>241</v>
      </c>
      <c r="F228" s="19" t="s">
        <v>243</v>
      </c>
      <c r="G228" s="19"/>
    </row>
    <row r="229" spans="1:7" x14ac:dyDescent="0.3">
      <c r="A229" s="17"/>
      <c r="B229" s="19"/>
      <c r="C229" s="19"/>
      <c r="D229" s="19"/>
      <c r="E229" s="3" t="s">
        <v>242</v>
      </c>
      <c r="F229" s="19"/>
      <c r="G229" s="19"/>
    </row>
    <row r="230" spans="1:7" ht="17.25" thickBot="1" x14ac:dyDescent="0.35">
      <c r="A230" s="6">
        <v>1</v>
      </c>
      <c r="B230" s="11" t="s">
        <v>115</v>
      </c>
      <c r="C230" s="2">
        <v>4800</v>
      </c>
      <c r="D230" s="2">
        <v>0.69825700000000002</v>
      </c>
      <c r="E230" s="2">
        <v>1.454E-3</v>
      </c>
      <c r="F230" s="2">
        <v>0.69540597000000004</v>
      </c>
      <c r="G230" s="2">
        <v>0.70110813999999999</v>
      </c>
    </row>
    <row r="231" spans="1:7" ht="17.25" thickBot="1" x14ac:dyDescent="0.35">
      <c r="A231" s="6">
        <v>2</v>
      </c>
      <c r="B231" s="11" t="s">
        <v>115</v>
      </c>
      <c r="C231" s="2">
        <v>4957</v>
      </c>
      <c r="D231" s="2">
        <v>0.63391600000000004</v>
      </c>
      <c r="E231" s="2">
        <v>1.407E-3</v>
      </c>
      <c r="F231" s="2">
        <v>0.63115631000000005</v>
      </c>
      <c r="G231" s="2">
        <v>0.63667488000000005</v>
      </c>
    </row>
    <row r="232" spans="1:7" ht="17.25" thickBot="1" x14ac:dyDescent="0.35">
      <c r="A232" s="6">
        <v>3</v>
      </c>
      <c r="B232" s="11" t="s">
        <v>115</v>
      </c>
      <c r="C232" s="2">
        <v>5130</v>
      </c>
      <c r="D232" s="2">
        <v>0.62574700000000005</v>
      </c>
      <c r="E232" s="2">
        <v>1.258E-3</v>
      </c>
      <c r="F232" s="2">
        <v>0.62328083000000001</v>
      </c>
      <c r="G232" s="2">
        <v>0.62821342000000002</v>
      </c>
    </row>
    <row r="233" spans="1:7" ht="17.25" thickBot="1" x14ac:dyDescent="0.35">
      <c r="A233" s="6">
        <v>4</v>
      </c>
      <c r="B233" s="11" t="s">
        <v>115</v>
      </c>
      <c r="C233" s="2">
        <v>3867</v>
      </c>
      <c r="D233" s="2">
        <v>0.64627400000000002</v>
      </c>
      <c r="E233" s="2">
        <v>1.4779999999999999E-3</v>
      </c>
      <c r="F233" s="2">
        <v>0.64337551999999998</v>
      </c>
      <c r="G233" s="2">
        <v>0.64917186999999998</v>
      </c>
    </row>
    <row r="234" spans="1:7" x14ac:dyDescent="0.3">
      <c r="A234" s="6">
        <v>8</v>
      </c>
      <c r="B234" s="14" t="s">
        <v>115</v>
      </c>
      <c r="C234" s="2">
        <v>4468</v>
      </c>
      <c r="D234" s="2">
        <v>0.65523699999999996</v>
      </c>
      <c r="E234" s="2">
        <v>1.4549999999999999E-3</v>
      </c>
      <c r="F234" s="2">
        <v>0.65238439000000004</v>
      </c>
      <c r="G234" s="2">
        <v>0.65809048999999997</v>
      </c>
    </row>
    <row r="238" spans="1:7" x14ac:dyDescent="0.3">
      <c r="A238" s="1" t="s">
        <v>237</v>
      </c>
    </row>
    <row r="240" spans="1:7" x14ac:dyDescent="0.3">
      <c r="A240" s="1" t="s">
        <v>21</v>
      </c>
    </row>
    <row r="241" spans="1:6" ht="17.25" thickBot="1" x14ac:dyDescent="0.35"/>
    <row r="242" spans="1:6" ht="16.5" customHeight="1" x14ac:dyDescent="0.3">
      <c r="A242" s="16" t="s">
        <v>135</v>
      </c>
      <c r="B242" s="18"/>
    </row>
    <row r="243" spans="1:6" ht="26.25" thickBot="1" x14ac:dyDescent="0.35">
      <c r="A243" s="12" t="s">
        <v>136</v>
      </c>
      <c r="B243" s="2">
        <v>183</v>
      </c>
    </row>
    <row r="244" spans="1:6" ht="26.25" thickBot="1" x14ac:dyDescent="0.35">
      <c r="A244" s="12" t="s">
        <v>137</v>
      </c>
      <c r="B244" s="2">
        <v>2982</v>
      </c>
    </row>
    <row r="245" spans="1:6" ht="39" thickBot="1" x14ac:dyDescent="0.35">
      <c r="A245" s="12" t="s">
        <v>138</v>
      </c>
      <c r="B245" s="2">
        <v>68635</v>
      </c>
    </row>
    <row r="246" spans="1:6" ht="25.5" x14ac:dyDescent="0.3">
      <c r="A246" s="13" t="s">
        <v>139</v>
      </c>
      <c r="B246" s="2">
        <v>30251935.699999999</v>
      </c>
    </row>
    <row r="247" spans="1:6" ht="17.25" thickBot="1" x14ac:dyDescent="0.35"/>
    <row r="248" spans="1:6" ht="33" customHeight="1" x14ac:dyDescent="0.3">
      <c r="A248" s="16" t="s">
        <v>140</v>
      </c>
      <c r="B248" s="18"/>
    </row>
    <row r="249" spans="1:6" ht="33.75" thickBot="1" x14ac:dyDescent="0.35">
      <c r="A249" s="12" t="s">
        <v>141</v>
      </c>
      <c r="B249" s="2" t="s">
        <v>142</v>
      </c>
    </row>
    <row r="250" spans="1:6" ht="25.5" x14ac:dyDescent="0.3">
      <c r="A250" s="13" t="s">
        <v>143</v>
      </c>
      <c r="B250" s="2" t="s">
        <v>144</v>
      </c>
    </row>
    <row r="251" spans="1:6" ht="17.25" thickBot="1" x14ac:dyDescent="0.35"/>
    <row r="252" spans="1:6" ht="16.5" customHeight="1" x14ac:dyDescent="0.3">
      <c r="A252" s="16" t="s">
        <v>238</v>
      </c>
      <c r="B252" s="18"/>
      <c r="C252" s="18"/>
      <c r="D252" s="18"/>
      <c r="E252" s="18"/>
      <c r="F252" s="18"/>
    </row>
    <row r="253" spans="1:6" ht="16.5" customHeight="1" x14ac:dyDescent="0.3">
      <c r="A253" s="17" t="s">
        <v>239</v>
      </c>
      <c r="B253" s="19" t="s">
        <v>94</v>
      </c>
      <c r="C253" s="19" t="s">
        <v>240</v>
      </c>
      <c r="D253" s="3" t="s">
        <v>241</v>
      </c>
      <c r="E253" s="19" t="s">
        <v>243</v>
      </c>
      <c r="F253" s="19"/>
    </row>
    <row r="254" spans="1:6" x14ac:dyDescent="0.3">
      <c r="A254" s="17"/>
      <c r="B254" s="19"/>
      <c r="C254" s="19"/>
      <c r="D254" s="3" t="s">
        <v>242</v>
      </c>
      <c r="E254" s="19"/>
      <c r="F254" s="19"/>
    </row>
    <row r="255" spans="1:6" x14ac:dyDescent="0.3">
      <c r="A255" s="13" t="s">
        <v>115</v>
      </c>
      <c r="B255" s="2">
        <v>68635</v>
      </c>
      <c r="C255" s="2">
        <v>0.66370899999999999</v>
      </c>
      <c r="D255" s="2">
        <v>4.4099999999999999E-4</v>
      </c>
      <c r="E255" s="2">
        <v>0.66284405999999996</v>
      </c>
      <c r="F255" s="2">
        <v>0.66457339000000004</v>
      </c>
    </row>
    <row r="259" spans="1:9" x14ac:dyDescent="0.3">
      <c r="A259" s="1" t="s">
        <v>237</v>
      </c>
    </row>
    <row r="261" spans="1:9" x14ac:dyDescent="0.3">
      <c r="A261" s="1" t="s">
        <v>21</v>
      </c>
    </row>
    <row r="262" spans="1:9" ht="17.25" thickBot="1" x14ac:dyDescent="0.35"/>
    <row r="263" spans="1:9" ht="16.5" customHeight="1" x14ac:dyDescent="0.3">
      <c r="A263" s="16" t="s">
        <v>269</v>
      </c>
      <c r="B263" s="18"/>
      <c r="C263" s="18"/>
      <c r="D263" s="18"/>
      <c r="E263" s="18"/>
      <c r="F263" s="18"/>
      <c r="G263" s="18"/>
    </row>
    <row r="264" spans="1:9" ht="16.5" customHeight="1" x14ac:dyDescent="0.3">
      <c r="A264" s="17" t="s">
        <v>8</v>
      </c>
      <c r="B264" s="19" t="s">
        <v>239</v>
      </c>
      <c r="C264" s="19" t="s">
        <v>94</v>
      </c>
      <c r="D264" s="19" t="s">
        <v>240</v>
      </c>
      <c r="E264" s="3" t="s">
        <v>241</v>
      </c>
      <c r="F264" s="19" t="s">
        <v>243</v>
      </c>
      <c r="G264" s="19"/>
    </row>
    <row r="265" spans="1:9" x14ac:dyDescent="0.3">
      <c r="A265" s="17"/>
      <c r="B265" s="19"/>
      <c r="C265" s="19"/>
      <c r="D265" s="19"/>
      <c r="E265" s="3" t="s">
        <v>242</v>
      </c>
      <c r="F265" s="19"/>
      <c r="G265" s="19"/>
    </row>
    <row r="266" spans="1:9" ht="17.25" thickBot="1" x14ac:dyDescent="0.35">
      <c r="A266" s="6">
        <v>1</v>
      </c>
      <c r="B266" s="11" t="s">
        <v>115</v>
      </c>
      <c r="C266" s="2">
        <v>9199</v>
      </c>
      <c r="D266" s="2">
        <v>0.70778300000000005</v>
      </c>
      <c r="E266" s="2">
        <v>9.77E-4</v>
      </c>
      <c r="F266" s="2">
        <v>0.70586727999999999</v>
      </c>
      <c r="G266" s="2">
        <v>0.70969793000000003</v>
      </c>
      <c r="I266" t="str">
        <f t="shared" ref="I266:I269" si="3">TEXT(D266,"0.00")&amp;" ("&amp;TEXT(F266,"0.00")&amp;" to "&amp;TEXT(G266,"0.00")&amp;")"</f>
        <v>0.71 (0.71 to 0.71)</v>
      </c>
    </row>
    <row r="267" spans="1:9" ht="17.25" thickBot="1" x14ac:dyDescent="0.35">
      <c r="A267" s="6">
        <v>2</v>
      </c>
      <c r="B267" s="11" t="s">
        <v>115</v>
      </c>
      <c r="C267" s="2">
        <v>7937</v>
      </c>
      <c r="D267" s="2">
        <v>0.69678899999999999</v>
      </c>
      <c r="E267" s="2">
        <v>9.9200000000000004E-4</v>
      </c>
      <c r="F267" s="2">
        <v>0.69484471999999997</v>
      </c>
      <c r="G267" s="2">
        <v>0.69873350999999995</v>
      </c>
      <c r="I267" t="str">
        <f t="shared" si="3"/>
        <v>0.70 (0.69 to 0.70)</v>
      </c>
    </row>
    <row r="268" spans="1:9" ht="17.25" thickBot="1" x14ac:dyDescent="0.35">
      <c r="A268" s="6">
        <v>3</v>
      </c>
      <c r="B268" s="11" t="s">
        <v>115</v>
      </c>
      <c r="C268" s="2">
        <v>17758</v>
      </c>
      <c r="D268" s="2">
        <v>0.67185600000000001</v>
      </c>
      <c r="E268" s="2">
        <v>6.8300000000000001E-4</v>
      </c>
      <c r="F268" s="2">
        <v>0.67051598000000001</v>
      </c>
      <c r="G268" s="2">
        <v>0.67319600000000002</v>
      </c>
      <c r="I268" t="str">
        <f t="shared" si="3"/>
        <v>0.67 (0.67 to 0.67)</v>
      </c>
    </row>
    <row r="269" spans="1:9" x14ac:dyDescent="0.3">
      <c r="A269" s="6">
        <v>4</v>
      </c>
      <c r="B269" s="14" t="s">
        <v>115</v>
      </c>
      <c r="C269" s="2">
        <v>33741</v>
      </c>
      <c r="D269" s="2">
        <v>0.64726600000000001</v>
      </c>
      <c r="E269" s="2">
        <v>5.0500000000000002E-4</v>
      </c>
      <c r="F269" s="2">
        <v>0.64627575000000004</v>
      </c>
      <c r="G269" s="2">
        <v>0.64825632</v>
      </c>
      <c r="I269" t="str">
        <f t="shared" si="3"/>
        <v>0.65 (0.65 to 0.65)</v>
      </c>
    </row>
    <row r="273" spans="1:6" x14ac:dyDescent="0.3">
      <c r="A273" s="1" t="s">
        <v>237</v>
      </c>
    </row>
    <row r="275" spans="1:6" x14ac:dyDescent="0.3">
      <c r="A275" s="1" t="s">
        <v>1</v>
      </c>
    </row>
    <row r="276" spans="1:6" ht="17.25" thickBot="1" x14ac:dyDescent="0.35"/>
    <row r="277" spans="1:6" ht="16.5" customHeight="1" x14ac:dyDescent="0.3">
      <c r="A277" s="16" t="s">
        <v>135</v>
      </c>
      <c r="B277" s="18"/>
    </row>
    <row r="278" spans="1:6" ht="26.25" thickBot="1" x14ac:dyDescent="0.35">
      <c r="A278" s="12" t="s">
        <v>136</v>
      </c>
      <c r="B278" s="2">
        <v>183</v>
      </c>
    </row>
    <row r="279" spans="1:6" ht="26.25" thickBot="1" x14ac:dyDescent="0.35">
      <c r="A279" s="12" t="s">
        <v>137</v>
      </c>
      <c r="B279" s="2">
        <v>2949</v>
      </c>
    </row>
    <row r="280" spans="1:6" ht="39" thickBot="1" x14ac:dyDescent="0.35">
      <c r="A280" s="12" t="s">
        <v>138</v>
      </c>
      <c r="B280" s="2">
        <v>23222</v>
      </c>
    </row>
    <row r="281" spans="1:6" ht="25.5" x14ac:dyDescent="0.3">
      <c r="A281" s="13" t="s">
        <v>139</v>
      </c>
      <c r="B281" s="2">
        <v>9036880.5199999996</v>
      </c>
    </row>
    <row r="282" spans="1:6" ht="17.25" thickBot="1" x14ac:dyDescent="0.35"/>
    <row r="283" spans="1:6" ht="33" customHeight="1" x14ac:dyDescent="0.3">
      <c r="A283" s="16" t="s">
        <v>140</v>
      </c>
      <c r="B283" s="18"/>
    </row>
    <row r="284" spans="1:6" ht="33.75" thickBot="1" x14ac:dyDescent="0.35">
      <c r="A284" s="12" t="s">
        <v>141</v>
      </c>
      <c r="B284" s="2" t="s">
        <v>142</v>
      </c>
    </row>
    <row r="285" spans="1:6" ht="25.5" x14ac:dyDescent="0.3">
      <c r="A285" s="13" t="s">
        <v>143</v>
      </c>
      <c r="B285" s="2" t="s">
        <v>144</v>
      </c>
    </row>
    <row r="286" spans="1:6" ht="17.25" thickBot="1" x14ac:dyDescent="0.35"/>
    <row r="287" spans="1:6" ht="16.5" customHeight="1" x14ac:dyDescent="0.3">
      <c r="A287" s="16" t="s">
        <v>238</v>
      </c>
      <c r="B287" s="18"/>
      <c r="C287" s="18"/>
      <c r="D287" s="18"/>
      <c r="E287" s="18"/>
      <c r="F287" s="18"/>
    </row>
    <row r="288" spans="1:6" ht="16.5" customHeight="1" x14ac:dyDescent="0.3">
      <c r="A288" s="17" t="s">
        <v>239</v>
      </c>
      <c r="B288" s="19" t="s">
        <v>94</v>
      </c>
      <c r="C288" s="19" t="s">
        <v>240</v>
      </c>
      <c r="D288" s="3" t="s">
        <v>241</v>
      </c>
      <c r="E288" s="19" t="s">
        <v>243</v>
      </c>
      <c r="F288" s="19"/>
    </row>
    <row r="289" spans="1:7" x14ac:dyDescent="0.3">
      <c r="A289" s="17"/>
      <c r="B289" s="19"/>
      <c r="C289" s="19"/>
      <c r="D289" s="3" t="s">
        <v>242</v>
      </c>
      <c r="E289" s="19"/>
      <c r="F289" s="19"/>
    </row>
    <row r="290" spans="1:7" x14ac:dyDescent="0.3">
      <c r="A290" s="13" t="s">
        <v>115</v>
      </c>
      <c r="B290" s="2">
        <v>23222</v>
      </c>
      <c r="C290" s="2">
        <v>0.64841899999999997</v>
      </c>
      <c r="D290" s="2">
        <v>7.7200000000000001E-4</v>
      </c>
      <c r="E290" s="2">
        <v>0.64690462000000004</v>
      </c>
      <c r="F290" s="2">
        <v>0.64993400999999995</v>
      </c>
    </row>
    <row r="294" spans="1:7" x14ac:dyDescent="0.3">
      <c r="A294" s="1" t="s">
        <v>237</v>
      </c>
    </row>
    <row r="296" spans="1:7" x14ac:dyDescent="0.3">
      <c r="A296" s="1" t="s">
        <v>1</v>
      </c>
    </row>
    <row r="297" spans="1:7" ht="17.25" thickBot="1" x14ac:dyDescent="0.35"/>
    <row r="298" spans="1:7" ht="16.5" customHeight="1" x14ac:dyDescent="0.3">
      <c r="A298" s="16" t="s">
        <v>270</v>
      </c>
      <c r="B298" s="18"/>
      <c r="C298" s="18"/>
      <c r="D298" s="18"/>
      <c r="E298" s="18"/>
      <c r="F298" s="18"/>
      <c r="G298" s="18"/>
    </row>
    <row r="299" spans="1:7" ht="16.5" customHeight="1" x14ac:dyDescent="0.3">
      <c r="A299" s="17" t="s">
        <v>9</v>
      </c>
      <c r="B299" s="19" t="s">
        <v>239</v>
      </c>
      <c r="C299" s="19" t="s">
        <v>94</v>
      </c>
      <c r="D299" s="19" t="s">
        <v>240</v>
      </c>
      <c r="E299" s="3" t="s">
        <v>241</v>
      </c>
      <c r="F299" s="19" t="s">
        <v>243</v>
      </c>
      <c r="G299" s="19"/>
    </row>
    <row r="300" spans="1:7" x14ac:dyDescent="0.3">
      <c r="A300" s="17"/>
      <c r="B300" s="19"/>
      <c r="C300" s="19"/>
      <c r="D300" s="19"/>
      <c r="E300" s="3" t="s">
        <v>242</v>
      </c>
      <c r="F300" s="19"/>
      <c r="G300" s="19"/>
    </row>
    <row r="301" spans="1:7" ht="17.25" thickBot="1" x14ac:dyDescent="0.35">
      <c r="A301" s="6">
        <v>1</v>
      </c>
      <c r="B301" s="11" t="s">
        <v>115</v>
      </c>
      <c r="C301" s="2">
        <v>5656</v>
      </c>
      <c r="D301" s="2">
        <v>0.68349400000000005</v>
      </c>
      <c r="E301" s="2">
        <v>1.635E-3</v>
      </c>
      <c r="F301" s="2">
        <v>0.68028809000000001</v>
      </c>
      <c r="G301" s="2">
        <v>0.68670052999999998</v>
      </c>
    </row>
    <row r="302" spans="1:7" ht="17.25" thickBot="1" x14ac:dyDescent="0.35">
      <c r="A302" s="6">
        <v>2</v>
      </c>
      <c r="B302" s="11" t="s">
        <v>115</v>
      </c>
      <c r="C302" s="2">
        <v>6001</v>
      </c>
      <c r="D302" s="2">
        <v>0.64877200000000002</v>
      </c>
      <c r="E302" s="2">
        <v>1.325E-3</v>
      </c>
      <c r="F302" s="2">
        <v>0.64617325000000003</v>
      </c>
      <c r="G302" s="2">
        <v>0.65136978999999995</v>
      </c>
    </row>
    <row r="303" spans="1:7" ht="17.25" thickBot="1" x14ac:dyDescent="0.35">
      <c r="A303" s="6">
        <v>3</v>
      </c>
      <c r="B303" s="11" t="s">
        <v>115</v>
      </c>
      <c r="C303" s="2">
        <v>5944</v>
      </c>
      <c r="D303" s="2">
        <v>0.63727100000000003</v>
      </c>
      <c r="E303" s="2">
        <v>1.245E-3</v>
      </c>
      <c r="F303" s="2">
        <v>0.63482970000000005</v>
      </c>
      <c r="G303" s="2">
        <v>0.63971162999999998</v>
      </c>
    </row>
    <row r="304" spans="1:7" x14ac:dyDescent="0.3">
      <c r="A304" s="6">
        <v>4</v>
      </c>
      <c r="B304" s="14" t="s">
        <v>115</v>
      </c>
      <c r="C304" s="2">
        <v>5621</v>
      </c>
      <c r="D304" s="2">
        <v>0.63224499999999995</v>
      </c>
      <c r="E304" s="2">
        <v>1.3079999999999999E-3</v>
      </c>
      <c r="F304" s="2">
        <v>0.62968102000000004</v>
      </c>
      <c r="G304" s="2">
        <v>0.63480935000000005</v>
      </c>
    </row>
    <row r="308" spans="1:2" x14ac:dyDescent="0.3">
      <c r="A308" s="1" t="s">
        <v>237</v>
      </c>
    </row>
    <row r="310" spans="1:2" x14ac:dyDescent="0.3">
      <c r="A310" s="1" t="s">
        <v>21</v>
      </c>
    </row>
    <row r="311" spans="1:2" ht="17.25" thickBot="1" x14ac:dyDescent="0.35"/>
    <row r="312" spans="1:2" ht="16.5" customHeight="1" x14ac:dyDescent="0.3">
      <c r="A312" s="16" t="s">
        <v>135</v>
      </c>
      <c r="B312" s="18"/>
    </row>
    <row r="313" spans="1:2" ht="26.25" thickBot="1" x14ac:dyDescent="0.35">
      <c r="A313" s="12" t="s">
        <v>136</v>
      </c>
      <c r="B313" s="2">
        <v>183</v>
      </c>
    </row>
    <row r="314" spans="1:2" ht="26.25" thickBot="1" x14ac:dyDescent="0.35">
      <c r="A314" s="12" t="s">
        <v>137</v>
      </c>
      <c r="B314" s="2">
        <v>2982</v>
      </c>
    </row>
    <row r="315" spans="1:2" ht="39" thickBot="1" x14ac:dyDescent="0.35">
      <c r="A315" s="12" t="s">
        <v>138</v>
      </c>
      <c r="B315" s="2">
        <v>68635</v>
      </c>
    </row>
    <row r="316" spans="1:2" ht="25.5" x14ac:dyDescent="0.3">
      <c r="A316" s="13" t="s">
        <v>139</v>
      </c>
      <c r="B316" s="2">
        <v>30251935.699999999</v>
      </c>
    </row>
    <row r="317" spans="1:2" ht="17.25" thickBot="1" x14ac:dyDescent="0.35"/>
    <row r="318" spans="1:2" ht="33" customHeight="1" x14ac:dyDescent="0.3">
      <c r="A318" s="16" t="s">
        <v>140</v>
      </c>
      <c r="B318" s="18"/>
    </row>
    <row r="319" spans="1:2" ht="33.75" thickBot="1" x14ac:dyDescent="0.35">
      <c r="A319" s="12" t="s">
        <v>141</v>
      </c>
      <c r="B319" s="2" t="s">
        <v>142</v>
      </c>
    </row>
    <row r="320" spans="1:2" ht="25.5" x14ac:dyDescent="0.3">
      <c r="A320" s="13" t="s">
        <v>143</v>
      </c>
      <c r="B320" s="2" t="s">
        <v>144</v>
      </c>
    </row>
    <row r="321" spans="1:9" ht="17.25" thickBot="1" x14ac:dyDescent="0.35"/>
    <row r="322" spans="1:9" ht="16.5" customHeight="1" x14ac:dyDescent="0.3">
      <c r="A322" s="16" t="s">
        <v>238</v>
      </c>
      <c r="B322" s="18"/>
      <c r="C322" s="18"/>
      <c r="D322" s="18"/>
      <c r="E322" s="18"/>
      <c r="F322" s="18"/>
    </row>
    <row r="323" spans="1:9" ht="16.5" customHeight="1" x14ac:dyDescent="0.3">
      <c r="A323" s="17" t="s">
        <v>239</v>
      </c>
      <c r="B323" s="19" t="s">
        <v>94</v>
      </c>
      <c r="C323" s="19" t="s">
        <v>240</v>
      </c>
      <c r="D323" s="3" t="s">
        <v>241</v>
      </c>
      <c r="E323" s="19" t="s">
        <v>243</v>
      </c>
      <c r="F323" s="19"/>
    </row>
    <row r="324" spans="1:9" x14ac:dyDescent="0.3">
      <c r="A324" s="17"/>
      <c r="B324" s="19"/>
      <c r="C324" s="19"/>
      <c r="D324" s="3" t="s">
        <v>242</v>
      </c>
      <c r="E324" s="19"/>
      <c r="F324" s="19"/>
    </row>
    <row r="325" spans="1:9" x14ac:dyDescent="0.3">
      <c r="A325" s="13" t="s">
        <v>115</v>
      </c>
      <c r="B325" s="2">
        <v>68635</v>
      </c>
      <c r="C325" s="2">
        <v>0.66370899999999999</v>
      </c>
      <c r="D325" s="2">
        <v>4.4099999999999999E-4</v>
      </c>
      <c r="E325" s="2">
        <v>0.66284405999999996</v>
      </c>
      <c r="F325" s="2">
        <v>0.66457339000000004</v>
      </c>
    </row>
    <row r="329" spans="1:9" x14ac:dyDescent="0.3">
      <c r="A329" s="1" t="s">
        <v>237</v>
      </c>
    </row>
    <row r="331" spans="1:9" x14ac:dyDescent="0.3">
      <c r="A331" s="1" t="s">
        <v>21</v>
      </c>
    </row>
    <row r="332" spans="1:9" ht="17.25" thickBot="1" x14ac:dyDescent="0.35"/>
    <row r="333" spans="1:9" ht="16.5" customHeight="1" x14ac:dyDescent="0.3">
      <c r="A333" s="16" t="s">
        <v>270</v>
      </c>
      <c r="B333" s="18"/>
      <c r="C333" s="18"/>
      <c r="D333" s="18"/>
      <c r="E333" s="18"/>
      <c r="F333" s="18"/>
      <c r="G333" s="18"/>
    </row>
    <row r="334" spans="1:9" ht="16.5" customHeight="1" x14ac:dyDescent="0.3">
      <c r="A334" s="17" t="s">
        <v>9</v>
      </c>
      <c r="B334" s="19" t="s">
        <v>239</v>
      </c>
      <c r="C334" s="19" t="s">
        <v>94</v>
      </c>
      <c r="D334" s="19" t="s">
        <v>240</v>
      </c>
      <c r="E334" s="3" t="s">
        <v>241</v>
      </c>
      <c r="F334" s="19" t="s">
        <v>243</v>
      </c>
      <c r="G334" s="19"/>
    </row>
    <row r="335" spans="1:9" x14ac:dyDescent="0.3">
      <c r="A335" s="17"/>
      <c r="B335" s="19"/>
      <c r="C335" s="19"/>
      <c r="D335" s="19"/>
      <c r="E335" s="3" t="s">
        <v>242</v>
      </c>
      <c r="F335" s="19"/>
      <c r="G335" s="19"/>
    </row>
    <row r="336" spans="1:9" ht="17.25" thickBot="1" x14ac:dyDescent="0.35">
      <c r="A336" s="6">
        <v>1</v>
      </c>
      <c r="B336" s="11" t="s">
        <v>115</v>
      </c>
      <c r="C336" s="2">
        <v>11265</v>
      </c>
      <c r="D336" s="2">
        <v>0.68712300000000004</v>
      </c>
      <c r="E336" s="2">
        <v>1.1609999999999999E-3</v>
      </c>
      <c r="F336" s="2">
        <v>0.68484582000000005</v>
      </c>
      <c r="G336" s="2">
        <v>0.68940069000000004</v>
      </c>
      <c r="I336" t="str">
        <f t="shared" ref="I336:I339" si="4">TEXT(D336,"0.00")&amp;" ("&amp;TEXT(F336,"0.00")&amp;" to "&amp;TEXT(G336,"0.00")&amp;")"</f>
        <v>0.69 (0.68 to 0.69)</v>
      </c>
    </row>
    <row r="337" spans="1:9" ht="17.25" thickBot="1" x14ac:dyDescent="0.35">
      <c r="A337" s="6">
        <v>2</v>
      </c>
      <c r="B337" s="11" t="s">
        <v>115</v>
      </c>
      <c r="C337" s="2">
        <v>16834</v>
      </c>
      <c r="D337" s="2">
        <v>0.66722899999999996</v>
      </c>
      <c r="E337" s="2">
        <v>8.0400000000000003E-4</v>
      </c>
      <c r="F337" s="2">
        <v>0.66565145000000003</v>
      </c>
      <c r="G337" s="2">
        <v>0.66880620999999996</v>
      </c>
      <c r="I337" t="str">
        <f t="shared" si="4"/>
        <v>0.67 (0.67 to 0.67)</v>
      </c>
    </row>
    <row r="338" spans="1:9" ht="17.25" thickBot="1" x14ac:dyDescent="0.35">
      <c r="A338" s="6">
        <v>3</v>
      </c>
      <c r="B338" s="11" t="s">
        <v>115</v>
      </c>
      <c r="C338" s="2">
        <v>19586</v>
      </c>
      <c r="D338" s="2">
        <v>0.65973700000000002</v>
      </c>
      <c r="E338" s="2">
        <v>6.6E-4</v>
      </c>
      <c r="F338" s="2">
        <v>0.65844289</v>
      </c>
      <c r="G338" s="2">
        <v>0.66103137000000001</v>
      </c>
      <c r="I338" t="str">
        <f t="shared" si="4"/>
        <v>0.66 (0.66 to 0.66)</v>
      </c>
    </row>
    <row r="339" spans="1:9" x14ac:dyDescent="0.3">
      <c r="A339" s="6">
        <v>4</v>
      </c>
      <c r="B339" s="14" t="s">
        <v>115</v>
      </c>
      <c r="C339" s="2">
        <v>20950</v>
      </c>
      <c r="D339" s="2">
        <v>0.65546700000000002</v>
      </c>
      <c r="E339" s="2">
        <v>6.3500000000000004E-4</v>
      </c>
      <c r="F339" s="2">
        <v>0.65422243000000002</v>
      </c>
      <c r="G339" s="2">
        <v>0.65671195999999998</v>
      </c>
      <c r="I339" t="str">
        <f t="shared" si="4"/>
        <v>0.66 (0.65 to 0.66)</v>
      </c>
    </row>
    <row r="343" spans="1:9" x14ac:dyDescent="0.3">
      <c r="A343" s="1" t="s">
        <v>237</v>
      </c>
    </row>
    <row r="345" spans="1:9" x14ac:dyDescent="0.3">
      <c r="A345" s="1" t="s">
        <v>1</v>
      </c>
    </row>
    <row r="346" spans="1:9" ht="17.25" thickBot="1" x14ac:dyDescent="0.35"/>
    <row r="347" spans="1:9" ht="16.5" customHeight="1" x14ac:dyDescent="0.3">
      <c r="A347" s="16" t="s">
        <v>135</v>
      </c>
      <c r="B347" s="18"/>
    </row>
    <row r="348" spans="1:9" ht="26.25" thickBot="1" x14ac:dyDescent="0.35">
      <c r="A348" s="12" t="s">
        <v>136</v>
      </c>
      <c r="B348" s="2">
        <v>183</v>
      </c>
    </row>
    <row r="349" spans="1:9" ht="26.25" thickBot="1" x14ac:dyDescent="0.35">
      <c r="A349" s="12" t="s">
        <v>137</v>
      </c>
      <c r="B349" s="2">
        <v>2949</v>
      </c>
    </row>
    <row r="350" spans="1:9" ht="39" thickBot="1" x14ac:dyDescent="0.35">
      <c r="A350" s="12" t="s">
        <v>138</v>
      </c>
      <c r="B350" s="2">
        <v>23222</v>
      </c>
    </row>
    <row r="351" spans="1:9" ht="25.5" x14ac:dyDescent="0.3">
      <c r="A351" s="13" t="s">
        <v>139</v>
      </c>
      <c r="B351" s="2">
        <v>9036880.5199999996</v>
      </c>
    </row>
    <row r="352" spans="1:9" ht="17.25" thickBot="1" x14ac:dyDescent="0.35"/>
    <row r="353" spans="1:7" ht="33" customHeight="1" x14ac:dyDescent="0.3">
      <c r="A353" s="16" t="s">
        <v>140</v>
      </c>
      <c r="B353" s="18"/>
    </row>
    <row r="354" spans="1:7" ht="33.75" thickBot="1" x14ac:dyDescent="0.35">
      <c r="A354" s="12" t="s">
        <v>141</v>
      </c>
      <c r="B354" s="2" t="s">
        <v>142</v>
      </c>
    </row>
    <row r="355" spans="1:7" ht="25.5" x14ac:dyDescent="0.3">
      <c r="A355" s="13" t="s">
        <v>143</v>
      </c>
      <c r="B355" s="2" t="s">
        <v>144</v>
      </c>
    </row>
    <row r="356" spans="1:7" ht="17.25" thickBot="1" x14ac:dyDescent="0.35"/>
    <row r="357" spans="1:7" ht="16.5" customHeight="1" x14ac:dyDescent="0.3">
      <c r="A357" s="16" t="s">
        <v>238</v>
      </c>
      <c r="B357" s="18"/>
      <c r="C357" s="18"/>
      <c r="D357" s="18"/>
      <c r="E357" s="18"/>
      <c r="F357" s="18"/>
    </row>
    <row r="358" spans="1:7" ht="16.5" customHeight="1" x14ac:dyDescent="0.3">
      <c r="A358" s="17" t="s">
        <v>239</v>
      </c>
      <c r="B358" s="19" t="s">
        <v>94</v>
      </c>
      <c r="C358" s="19" t="s">
        <v>240</v>
      </c>
      <c r="D358" s="3" t="s">
        <v>241</v>
      </c>
      <c r="E358" s="19" t="s">
        <v>243</v>
      </c>
      <c r="F358" s="19"/>
    </row>
    <row r="359" spans="1:7" x14ac:dyDescent="0.3">
      <c r="A359" s="17"/>
      <c r="B359" s="19"/>
      <c r="C359" s="19"/>
      <c r="D359" s="3" t="s">
        <v>242</v>
      </c>
      <c r="E359" s="19"/>
      <c r="F359" s="19"/>
    </row>
    <row r="360" spans="1:7" x14ac:dyDescent="0.3">
      <c r="A360" s="13" t="s">
        <v>115</v>
      </c>
      <c r="B360" s="2">
        <v>23222</v>
      </c>
      <c r="C360" s="2">
        <v>0.64841899999999997</v>
      </c>
      <c r="D360" s="2">
        <v>7.7200000000000001E-4</v>
      </c>
      <c r="E360" s="2">
        <v>0.64690462000000004</v>
      </c>
      <c r="F360" s="2">
        <v>0.64993400999999995</v>
      </c>
    </row>
    <row r="364" spans="1:7" x14ac:dyDescent="0.3">
      <c r="A364" s="1" t="s">
        <v>237</v>
      </c>
    </row>
    <row r="366" spans="1:7" x14ac:dyDescent="0.3">
      <c r="A366" s="1" t="s">
        <v>1</v>
      </c>
    </row>
    <row r="367" spans="1:7" ht="17.25" thickBot="1" x14ac:dyDescent="0.35"/>
    <row r="368" spans="1:7" ht="16.5" customHeight="1" x14ac:dyDescent="0.3">
      <c r="A368" s="16" t="s">
        <v>271</v>
      </c>
      <c r="B368" s="18"/>
      <c r="C368" s="18"/>
      <c r="D368" s="18"/>
      <c r="E368" s="18"/>
      <c r="F368" s="18"/>
      <c r="G368" s="18"/>
    </row>
    <row r="369" spans="1:7" ht="16.5" customHeight="1" x14ac:dyDescent="0.3">
      <c r="A369" s="17" t="s">
        <v>10</v>
      </c>
      <c r="B369" s="19" t="s">
        <v>239</v>
      </c>
      <c r="C369" s="19" t="s">
        <v>94</v>
      </c>
      <c r="D369" s="19" t="s">
        <v>240</v>
      </c>
      <c r="E369" s="3" t="s">
        <v>241</v>
      </c>
      <c r="F369" s="19" t="s">
        <v>243</v>
      </c>
      <c r="G369" s="19"/>
    </row>
    <row r="370" spans="1:7" x14ac:dyDescent="0.3">
      <c r="A370" s="17"/>
      <c r="B370" s="19"/>
      <c r="C370" s="19"/>
      <c r="D370" s="19"/>
      <c r="E370" s="3" t="s">
        <v>242</v>
      </c>
      <c r="F370" s="19"/>
      <c r="G370" s="19"/>
    </row>
    <row r="371" spans="1:7" ht="17.25" thickBot="1" x14ac:dyDescent="0.35">
      <c r="A371" s="6">
        <v>1</v>
      </c>
      <c r="B371" s="11" t="s">
        <v>115</v>
      </c>
      <c r="C371" s="2">
        <v>3061</v>
      </c>
      <c r="D371" s="2">
        <v>0.59661299999999995</v>
      </c>
      <c r="E371" s="2">
        <v>1.1299999999999999E-3</v>
      </c>
      <c r="F371" s="2">
        <v>0.59439832999999997</v>
      </c>
      <c r="G371" s="2">
        <v>0.59882816000000005</v>
      </c>
    </row>
    <row r="372" spans="1:7" ht="17.25" thickBot="1" x14ac:dyDescent="0.35">
      <c r="A372" s="6">
        <v>2</v>
      </c>
      <c r="B372" s="11" t="s">
        <v>115</v>
      </c>
      <c r="C372" s="2">
        <v>9324</v>
      </c>
      <c r="D372" s="2">
        <v>0.62826899999999997</v>
      </c>
      <c r="E372" s="2">
        <v>9.9700000000000006E-4</v>
      </c>
      <c r="F372" s="2">
        <v>0.62631376999999999</v>
      </c>
      <c r="G372" s="2">
        <v>0.63022504999999995</v>
      </c>
    </row>
    <row r="373" spans="1:7" ht="17.25" thickBot="1" x14ac:dyDescent="0.35">
      <c r="A373" s="6">
        <v>3</v>
      </c>
      <c r="B373" s="11" t="s">
        <v>115</v>
      </c>
      <c r="C373" s="2">
        <v>4381</v>
      </c>
      <c r="D373" s="2">
        <v>0.66785000000000005</v>
      </c>
      <c r="E373" s="2">
        <v>1.482E-3</v>
      </c>
      <c r="F373" s="2">
        <v>0.66494443000000003</v>
      </c>
      <c r="G373" s="2">
        <v>0.67075554000000004</v>
      </c>
    </row>
    <row r="374" spans="1:7" x14ac:dyDescent="0.3">
      <c r="A374" s="6">
        <v>4</v>
      </c>
      <c r="B374" s="14" t="s">
        <v>115</v>
      </c>
      <c r="C374" s="2">
        <v>6456</v>
      </c>
      <c r="D374" s="2">
        <v>0.69018900000000005</v>
      </c>
      <c r="E374" s="2">
        <v>1.201E-3</v>
      </c>
      <c r="F374" s="2">
        <v>0.68783397999999996</v>
      </c>
      <c r="G374" s="2">
        <v>0.69254468999999996</v>
      </c>
    </row>
    <row r="378" spans="1:7" x14ac:dyDescent="0.3">
      <c r="A378" s="1" t="s">
        <v>237</v>
      </c>
    </row>
    <row r="380" spans="1:7" x14ac:dyDescent="0.3">
      <c r="A380" s="1" t="s">
        <v>21</v>
      </c>
    </row>
    <row r="381" spans="1:7" ht="17.25" thickBot="1" x14ac:dyDescent="0.35"/>
    <row r="382" spans="1:7" ht="16.5" customHeight="1" x14ac:dyDescent="0.3">
      <c r="A382" s="16" t="s">
        <v>135</v>
      </c>
      <c r="B382" s="18"/>
    </row>
    <row r="383" spans="1:7" ht="26.25" thickBot="1" x14ac:dyDescent="0.35">
      <c r="A383" s="12" t="s">
        <v>136</v>
      </c>
      <c r="B383" s="2">
        <v>183</v>
      </c>
    </row>
    <row r="384" spans="1:7" ht="26.25" thickBot="1" x14ac:dyDescent="0.35">
      <c r="A384" s="12" t="s">
        <v>137</v>
      </c>
      <c r="B384" s="2">
        <v>2982</v>
      </c>
    </row>
    <row r="385" spans="1:6" ht="39" thickBot="1" x14ac:dyDescent="0.35">
      <c r="A385" s="12" t="s">
        <v>138</v>
      </c>
      <c r="B385" s="2">
        <v>68635</v>
      </c>
    </row>
    <row r="386" spans="1:6" ht="25.5" x14ac:dyDescent="0.3">
      <c r="A386" s="13" t="s">
        <v>139</v>
      </c>
      <c r="B386" s="2">
        <v>30251935.699999999</v>
      </c>
    </row>
    <row r="387" spans="1:6" ht="17.25" thickBot="1" x14ac:dyDescent="0.35"/>
    <row r="388" spans="1:6" ht="33" customHeight="1" x14ac:dyDescent="0.3">
      <c r="A388" s="16" t="s">
        <v>140</v>
      </c>
      <c r="B388" s="18"/>
    </row>
    <row r="389" spans="1:6" ht="33.75" thickBot="1" x14ac:dyDescent="0.35">
      <c r="A389" s="12" t="s">
        <v>141</v>
      </c>
      <c r="B389" s="2" t="s">
        <v>142</v>
      </c>
    </row>
    <row r="390" spans="1:6" ht="25.5" x14ac:dyDescent="0.3">
      <c r="A390" s="13" t="s">
        <v>143</v>
      </c>
      <c r="B390" s="2" t="s">
        <v>144</v>
      </c>
    </row>
    <row r="391" spans="1:6" ht="17.25" thickBot="1" x14ac:dyDescent="0.35"/>
    <row r="392" spans="1:6" ht="16.5" customHeight="1" x14ac:dyDescent="0.3">
      <c r="A392" s="16" t="s">
        <v>238</v>
      </c>
      <c r="B392" s="18"/>
      <c r="C392" s="18"/>
      <c r="D392" s="18"/>
      <c r="E392" s="18"/>
      <c r="F392" s="18"/>
    </row>
    <row r="393" spans="1:6" ht="16.5" customHeight="1" x14ac:dyDescent="0.3">
      <c r="A393" s="17" t="s">
        <v>239</v>
      </c>
      <c r="B393" s="19" t="s">
        <v>94</v>
      </c>
      <c r="C393" s="19" t="s">
        <v>240</v>
      </c>
      <c r="D393" s="3" t="s">
        <v>241</v>
      </c>
      <c r="E393" s="19" t="s">
        <v>243</v>
      </c>
      <c r="F393" s="19"/>
    </row>
    <row r="394" spans="1:6" x14ac:dyDescent="0.3">
      <c r="A394" s="17"/>
      <c r="B394" s="19"/>
      <c r="C394" s="19"/>
      <c r="D394" s="3" t="s">
        <v>242</v>
      </c>
      <c r="E394" s="19"/>
      <c r="F394" s="19"/>
    </row>
    <row r="395" spans="1:6" x14ac:dyDescent="0.3">
      <c r="A395" s="13" t="s">
        <v>115</v>
      </c>
      <c r="B395" s="2">
        <v>68635</v>
      </c>
      <c r="C395" s="2">
        <v>0.66370899999999999</v>
      </c>
      <c r="D395" s="2">
        <v>4.4099999999999999E-4</v>
      </c>
      <c r="E395" s="2">
        <v>0.66284405999999996</v>
      </c>
      <c r="F395" s="2">
        <v>0.66457339000000004</v>
      </c>
    </row>
    <row r="399" spans="1:6" x14ac:dyDescent="0.3">
      <c r="A399" s="1" t="s">
        <v>237</v>
      </c>
    </row>
    <row r="401" spans="1:9" x14ac:dyDescent="0.3">
      <c r="A401" s="1" t="s">
        <v>21</v>
      </c>
    </row>
    <row r="402" spans="1:9" ht="17.25" thickBot="1" x14ac:dyDescent="0.35"/>
    <row r="403" spans="1:9" ht="16.5" customHeight="1" x14ac:dyDescent="0.3">
      <c r="A403" s="16" t="s">
        <v>271</v>
      </c>
      <c r="B403" s="18"/>
      <c r="C403" s="18"/>
      <c r="D403" s="18"/>
      <c r="E403" s="18"/>
      <c r="F403" s="18"/>
      <c r="G403" s="18"/>
    </row>
    <row r="404" spans="1:9" ht="16.5" customHeight="1" x14ac:dyDescent="0.3">
      <c r="A404" s="17" t="s">
        <v>10</v>
      </c>
      <c r="B404" s="19" t="s">
        <v>239</v>
      </c>
      <c r="C404" s="19" t="s">
        <v>94</v>
      </c>
      <c r="D404" s="19" t="s">
        <v>240</v>
      </c>
      <c r="E404" s="3" t="s">
        <v>241</v>
      </c>
      <c r="F404" s="19" t="s">
        <v>243</v>
      </c>
      <c r="G404" s="19"/>
    </row>
    <row r="405" spans="1:9" x14ac:dyDescent="0.3">
      <c r="A405" s="17"/>
      <c r="B405" s="19"/>
      <c r="C405" s="19"/>
      <c r="D405" s="19"/>
      <c r="E405" s="3" t="s">
        <v>242</v>
      </c>
      <c r="F405" s="19"/>
      <c r="G405" s="19"/>
    </row>
    <row r="406" spans="1:9" ht="17.25" thickBot="1" x14ac:dyDescent="0.35">
      <c r="A406" s="6">
        <v>1</v>
      </c>
      <c r="B406" s="11" t="s">
        <v>115</v>
      </c>
      <c r="C406" s="2">
        <v>2777</v>
      </c>
      <c r="D406" s="2">
        <v>0.60936599999999996</v>
      </c>
      <c r="E406" s="2">
        <v>1.2329999999999999E-3</v>
      </c>
      <c r="F406" s="2">
        <v>0.60694879999999996</v>
      </c>
      <c r="G406" s="2">
        <v>0.61178255000000004</v>
      </c>
      <c r="I406" t="str">
        <f t="shared" ref="I406:I409" si="5">TEXT(D406,"0.00")&amp;" ("&amp;TEXT(F406,"0.00")&amp;" to "&amp;TEXT(G406,"0.00")&amp;")"</f>
        <v>0.61 (0.61 to 0.61)</v>
      </c>
    </row>
    <row r="407" spans="1:9" ht="17.25" thickBot="1" x14ac:dyDescent="0.35">
      <c r="A407" s="6">
        <v>2</v>
      </c>
      <c r="B407" s="11" t="s">
        <v>115</v>
      </c>
      <c r="C407" s="2">
        <v>26435</v>
      </c>
      <c r="D407" s="2">
        <v>0.63842600000000005</v>
      </c>
      <c r="E407" s="2">
        <v>5.8600000000000004E-4</v>
      </c>
      <c r="F407" s="2">
        <v>0.63727714000000002</v>
      </c>
      <c r="G407" s="2">
        <v>0.63957560999999996</v>
      </c>
      <c r="I407" t="str">
        <f t="shared" si="5"/>
        <v>0.64 (0.64 to 0.64)</v>
      </c>
    </row>
    <row r="408" spans="1:9" ht="17.25" thickBot="1" x14ac:dyDescent="0.35">
      <c r="A408" s="6">
        <v>3</v>
      </c>
      <c r="B408" s="11" t="s">
        <v>115</v>
      </c>
      <c r="C408" s="2">
        <v>16265</v>
      </c>
      <c r="D408" s="2">
        <v>0.67199799999999998</v>
      </c>
      <c r="E408" s="2">
        <v>7.2900000000000005E-4</v>
      </c>
      <c r="F408" s="2">
        <v>0.67056923999999996</v>
      </c>
      <c r="G408" s="2">
        <v>0.67342683999999997</v>
      </c>
      <c r="I408" t="str">
        <f t="shared" si="5"/>
        <v>0.67 (0.67 to 0.67)</v>
      </c>
    </row>
    <row r="409" spans="1:9" x14ac:dyDescent="0.3">
      <c r="A409" s="6">
        <v>4</v>
      </c>
      <c r="B409" s="14" t="s">
        <v>115</v>
      </c>
      <c r="C409" s="2">
        <v>23158</v>
      </c>
      <c r="D409" s="2">
        <v>0.69318599999999997</v>
      </c>
      <c r="E409" s="2">
        <v>5.8100000000000003E-4</v>
      </c>
      <c r="F409" s="2">
        <v>0.69204617000000002</v>
      </c>
      <c r="G409" s="2">
        <v>0.69432596999999996</v>
      </c>
      <c r="I409" t="str">
        <f t="shared" si="5"/>
        <v>0.69 (0.69 to 0.69)</v>
      </c>
    </row>
    <row r="413" spans="1:9" x14ac:dyDescent="0.3">
      <c r="A413" s="1" t="s">
        <v>237</v>
      </c>
    </row>
    <row r="415" spans="1:9" x14ac:dyDescent="0.3">
      <c r="A415" s="1" t="s">
        <v>1</v>
      </c>
    </row>
    <row r="416" spans="1:9" ht="17.25" thickBot="1" x14ac:dyDescent="0.35"/>
    <row r="417" spans="1:6" ht="16.5" customHeight="1" x14ac:dyDescent="0.3">
      <c r="A417" s="16" t="s">
        <v>135</v>
      </c>
      <c r="B417" s="18"/>
    </row>
    <row r="418" spans="1:6" ht="26.25" thickBot="1" x14ac:dyDescent="0.35">
      <c r="A418" s="12" t="s">
        <v>136</v>
      </c>
      <c r="B418" s="2">
        <v>183</v>
      </c>
    </row>
    <row r="419" spans="1:6" ht="26.25" thickBot="1" x14ac:dyDescent="0.35">
      <c r="A419" s="12" t="s">
        <v>137</v>
      </c>
      <c r="B419" s="2">
        <v>2949</v>
      </c>
    </row>
    <row r="420" spans="1:6" ht="39" thickBot="1" x14ac:dyDescent="0.35">
      <c r="A420" s="12" t="s">
        <v>138</v>
      </c>
      <c r="B420" s="2">
        <v>23222</v>
      </c>
    </row>
    <row r="421" spans="1:6" ht="25.5" x14ac:dyDescent="0.3">
      <c r="A421" s="13" t="s">
        <v>139</v>
      </c>
      <c r="B421" s="2">
        <v>9036880.5199999996</v>
      </c>
    </row>
    <row r="422" spans="1:6" ht="17.25" thickBot="1" x14ac:dyDescent="0.35"/>
    <row r="423" spans="1:6" ht="33" customHeight="1" x14ac:dyDescent="0.3">
      <c r="A423" s="16" t="s">
        <v>140</v>
      </c>
      <c r="B423" s="18"/>
    </row>
    <row r="424" spans="1:6" ht="33.75" thickBot="1" x14ac:dyDescent="0.35">
      <c r="A424" s="12" t="s">
        <v>141</v>
      </c>
      <c r="B424" s="2" t="s">
        <v>142</v>
      </c>
    </row>
    <row r="425" spans="1:6" ht="25.5" x14ac:dyDescent="0.3">
      <c r="A425" s="13" t="s">
        <v>143</v>
      </c>
      <c r="B425" s="2" t="s">
        <v>144</v>
      </c>
    </row>
    <row r="426" spans="1:6" ht="17.25" thickBot="1" x14ac:dyDescent="0.35"/>
    <row r="427" spans="1:6" ht="16.5" customHeight="1" x14ac:dyDescent="0.3">
      <c r="A427" s="16" t="s">
        <v>238</v>
      </c>
      <c r="B427" s="18"/>
      <c r="C427" s="18"/>
      <c r="D427" s="18"/>
      <c r="E427" s="18"/>
      <c r="F427" s="18"/>
    </row>
    <row r="428" spans="1:6" ht="16.5" customHeight="1" x14ac:dyDescent="0.3">
      <c r="A428" s="17" t="s">
        <v>239</v>
      </c>
      <c r="B428" s="19" t="s">
        <v>94</v>
      </c>
      <c r="C428" s="19" t="s">
        <v>240</v>
      </c>
      <c r="D428" s="3" t="s">
        <v>241</v>
      </c>
      <c r="E428" s="19" t="s">
        <v>243</v>
      </c>
      <c r="F428" s="19"/>
    </row>
    <row r="429" spans="1:6" x14ac:dyDescent="0.3">
      <c r="A429" s="17"/>
      <c r="B429" s="19"/>
      <c r="C429" s="19"/>
      <c r="D429" s="3" t="s">
        <v>242</v>
      </c>
      <c r="E429" s="19"/>
      <c r="F429" s="19"/>
    </row>
    <row r="430" spans="1:6" x14ac:dyDescent="0.3">
      <c r="A430" s="13" t="s">
        <v>115</v>
      </c>
      <c r="B430" s="2">
        <v>23222</v>
      </c>
      <c r="C430" s="2">
        <v>0.64841899999999997</v>
      </c>
      <c r="D430" s="2">
        <v>7.7200000000000001E-4</v>
      </c>
      <c r="E430" s="2">
        <v>0.64690462000000004</v>
      </c>
      <c r="F430" s="2">
        <v>0.64993400999999995</v>
      </c>
    </row>
    <row r="434" spans="1:7" x14ac:dyDescent="0.3">
      <c r="A434" s="1" t="s">
        <v>237</v>
      </c>
    </row>
    <row r="436" spans="1:7" x14ac:dyDescent="0.3">
      <c r="A436" s="1" t="s">
        <v>1</v>
      </c>
    </row>
    <row r="437" spans="1:7" ht="17.25" thickBot="1" x14ac:dyDescent="0.35"/>
    <row r="438" spans="1:7" ht="16.5" customHeight="1" x14ac:dyDescent="0.3">
      <c r="A438" s="16" t="s">
        <v>272</v>
      </c>
      <c r="B438" s="18"/>
      <c r="C438" s="18"/>
      <c r="D438" s="18"/>
      <c r="E438" s="18"/>
      <c r="F438" s="18"/>
      <c r="G438" s="18"/>
    </row>
    <row r="439" spans="1:7" ht="16.5" customHeight="1" x14ac:dyDescent="0.3">
      <c r="A439" s="17" t="s">
        <v>11</v>
      </c>
      <c r="B439" s="19" t="s">
        <v>239</v>
      </c>
      <c r="C439" s="19" t="s">
        <v>94</v>
      </c>
      <c r="D439" s="19" t="s">
        <v>240</v>
      </c>
      <c r="E439" s="3" t="s">
        <v>241</v>
      </c>
      <c r="F439" s="19" t="s">
        <v>243</v>
      </c>
      <c r="G439" s="19"/>
    </row>
    <row r="440" spans="1:7" x14ac:dyDescent="0.3">
      <c r="A440" s="17"/>
      <c r="B440" s="19"/>
      <c r="C440" s="19"/>
      <c r="D440" s="19"/>
      <c r="E440" s="3" t="s">
        <v>242</v>
      </c>
      <c r="F440" s="19"/>
      <c r="G440" s="19"/>
    </row>
    <row r="441" spans="1:7" ht="17.25" thickBot="1" x14ac:dyDescent="0.35">
      <c r="A441" s="6">
        <v>1</v>
      </c>
      <c r="B441" s="11" t="s">
        <v>115</v>
      </c>
      <c r="C441" s="2">
        <v>13616</v>
      </c>
      <c r="D441" s="2">
        <v>0.68929200000000002</v>
      </c>
      <c r="E441" s="2">
        <v>8.7200000000000005E-4</v>
      </c>
      <c r="F441" s="2">
        <v>0.68758121999999999</v>
      </c>
      <c r="G441" s="2">
        <v>0.69100201000000006</v>
      </c>
    </row>
    <row r="442" spans="1:7" ht="17.25" thickBot="1" x14ac:dyDescent="0.35">
      <c r="A442" s="6">
        <v>2</v>
      </c>
      <c r="B442" s="11" t="s">
        <v>115</v>
      </c>
      <c r="C442" s="2">
        <v>9560</v>
      </c>
      <c r="D442" s="2">
        <v>0.60299199999999997</v>
      </c>
      <c r="E442" s="2">
        <v>8.0099999999999995E-4</v>
      </c>
      <c r="F442" s="2">
        <v>0.60142046999999998</v>
      </c>
      <c r="G442" s="2">
        <v>0.60456275000000004</v>
      </c>
    </row>
    <row r="443" spans="1:7" x14ac:dyDescent="0.3">
      <c r="A443" s="6">
        <v>8</v>
      </c>
      <c r="B443" s="14" t="s">
        <v>115</v>
      </c>
      <c r="C443" s="2">
        <v>46</v>
      </c>
      <c r="D443" s="2">
        <v>0.64337999999999995</v>
      </c>
      <c r="E443" s="2">
        <v>1.1623E-2</v>
      </c>
      <c r="F443" s="2">
        <v>0.62058970000000002</v>
      </c>
      <c r="G443" s="2">
        <v>0.66617046999999996</v>
      </c>
    </row>
    <row r="447" spans="1:7" x14ac:dyDescent="0.3">
      <c r="A447" s="1" t="s">
        <v>237</v>
      </c>
    </row>
    <row r="449" spans="1:6" x14ac:dyDescent="0.3">
      <c r="A449" s="1" t="s">
        <v>21</v>
      </c>
    </row>
    <row r="450" spans="1:6" ht="17.25" thickBot="1" x14ac:dyDescent="0.35"/>
    <row r="451" spans="1:6" ht="16.5" customHeight="1" x14ac:dyDescent="0.3">
      <c r="A451" s="16" t="s">
        <v>135</v>
      </c>
      <c r="B451" s="18"/>
    </row>
    <row r="452" spans="1:6" ht="26.25" thickBot="1" x14ac:dyDescent="0.35">
      <c r="A452" s="12" t="s">
        <v>136</v>
      </c>
      <c r="B452" s="2">
        <v>183</v>
      </c>
    </row>
    <row r="453" spans="1:6" ht="26.25" thickBot="1" x14ac:dyDescent="0.35">
      <c r="A453" s="12" t="s">
        <v>137</v>
      </c>
      <c r="B453" s="2">
        <v>2982</v>
      </c>
    </row>
    <row r="454" spans="1:6" ht="39" thickBot="1" x14ac:dyDescent="0.35">
      <c r="A454" s="12" t="s">
        <v>138</v>
      </c>
      <c r="B454" s="2">
        <v>68635</v>
      </c>
    </row>
    <row r="455" spans="1:6" ht="25.5" x14ac:dyDescent="0.3">
      <c r="A455" s="13" t="s">
        <v>139</v>
      </c>
      <c r="B455" s="2">
        <v>30251935.699999999</v>
      </c>
    </row>
    <row r="456" spans="1:6" ht="17.25" thickBot="1" x14ac:dyDescent="0.35"/>
    <row r="457" spans="1:6" ht="33" customHeight="1" x14ac:dyDescent="0.3">
      <c r="A457" s="16" t="s">
        <v>140</v>
      </c>
      <c r="B457" s="18"/>
    </row>
    <row r="458" spans="1:6" ht="33.75" thickBot="1" x14ac:dyDescent="0.35">
      <c r="A458" s="12" t="s">
        <v>141</v>
      </c>
      <c r="B458" s="2" t="s">
        <v>142</v>
      </c>
    </row>
    <row r="459" spans="1:6" ht="25.5" x14ac:dyDescent="0.3">
      <c r="A459" s="13" t="s">
        <v>143</v>
      </c>
      <c r="B459" s="2" t="s">
        <v>144</v>
      </c>
    </row>
    <row r="460" spans="1:6" ht="17.25" thickBot="1" x14ac:dyDescent="0.35"/>
    <row r="461" spans="1:6" ht="16.5" customHeight="1" x14ac:dyDescent="0.3">
      <c r="A461" s="16" t="s">
        <v>238</v>
      </c>
      <c r="B461" s="18"/>
      <c r="C461" s="18"/>
      <c r="D461" s="18"/>
      <c r="E461" s="18"/>
      <c r="F461" s="18"/>
    </row>
    <row r="462" spans="1:6" ht="16.5" customHeight="1" x14ac:dyDescent="0.3">
      <c r="A462" s="17" t="s">
        <v>239</v>
      </c>
      <c r="B462" s="19" t="s">
        <v>94</v>
      </c>
      <c r="C462" s="19" t="s">
        <v>240</v>
      </c>
      <c r="D462" s="3" t="s">
        <v>241</v>
      </c>
      <c r="E462" s="19" t="s">
        <v>243</v>
      </c>
      <c r="F462" s="19"/>
    </row>
    <row r="463" spans="1:6" x14ac:dyDescent="0.3">
      <c r="A463" s="17"/>
      <c r="B463" s="19"/>
      <c r="C463" s="19"/>
      <c r="D463" s="3" t="s">
        <v>242</v>
      </c>
      <c r="E463" s="19"/>
      <c r="F463" s="19"/>
    </row>
    <row r="464" spans="1:6" x14ac:dyDescent="0.3">
      <c r="A464" s="13" t="s">
        <v>115</v>
      </c>
      <c r="B464" s="2">
        <v>68635</v>
      </c>
      <c r="C464" s="2">
        <v>0.66370899999999999</v>
      </c>
      <c r="D464" s="2">
        <v>4.4099999999999999E-4</v>
      </c>
      <c r="E464" s="2">
        <v>0.66284405999999996</v>
      </c>
      <c r="F464" s="2">
        <v>0.66457339000000004</v>
      </c>
    </row>
    <row r="468" spans="1:9" x14ac:dyDescent="0.3">
      <c r="A468" s="1" t="s">
        <v>237</v>
      </c>
    </row>
    <row r="470" spans="1:9" x14ac:dyDescent="0.3">
      <c r="A470" s="1" t="s">
        <v>21</v>
      </c>
    </row>
    <row r="471" spans="1:9" ht="17.25" thickBot="1" x14ac:dyDescent="0.35"/>
    <row r="472" spans="1:9" ht="16.5" customHeight="1" x14ac:dyDescent="0.3">
      <c r="A472" s="16" t="s">
        <v>272</v>
      </c>
      <c r="B472" s="18"/>
      <c r="C472" s="18"/>
      <c r="D472" s="18"/>
      <c r="E472" s="18"/>
      <c r="F472" s="18"/>
      <c r="G472" s="18"/>
    </row>
    <row r="473" spans="1:9" ht="16.5" customHeight="1" x14ac:dyDescent="0.3">
      <c r="A473" s="17" t="s">
        <v>11</v>
      </c>
      <c r="B473" s="19" t="s">
        <v>239</v>
      </c>
      <c r="C473" s="19" t="s">
        <v>94</v>
      </c>
      <c r="D473" s="19" t="s">
        <v>240</v>
      </c>
      <c r="E473" s="3" t="s">
        <v>241</v>
      </c>
      <c r="F473" s="19" t="s">
        <v>243</v>
      </c>
      <c r="G473" s="19"/>
    </row>
    <row r="474" spans="1:9" x14ac:dyDescent="0.3">
      <c r="A474" s="17"/>
      <c r="B474" s="19"/>
      <c r="C474" s="19"/>
      <c r="D474" s="19"/>
      <c r="E474" s="3" t="s">
        <v>242</v>
      </c>
      <c r="F474" s="19"/>
      <c r="G474" s="19"/>
    </row>
    <row r="475" spans="1:9" ht="17.25" thickBot="1" x14ac:dyDescent="0.35">
      <c r="A475" s="6">
        <v>1</v>
      </c>
      <c r="B475" s="11" t="s">
        <v>115</v>
      </c>
      <c r="C475" s="2">
        <v>56814</v>
      </c>
      <c r="D475" s="2">
        <v>0.67569699999999999</v>
      </c>
      <c r="E475" s="2">
        <v>4.4799999999999999E-4</v>
      </c>
      <c r="F475" s="2">
        <v>0.67481829999999998</v>
      </c>
      <c r="G475" s="2">
        <v>0.67657630999999996</v>
      </c>
      <c r="I475" t="str">
        <f t="shared" ref="I475:I476" si="6">TEXT(D475,"0.00")&amp;" ("&amp;TEXT(F475,"0.00")&amp;" to "&amp;TEXT(G475,"0.00")&amp;")"</f>
        <v>0.68 (0.67 to 0.68)</v>
      </c>
    </row>
    <row r="476" spans="1:9" x14ac:dyDescent="0.3">
      <c r="A476" s="6">
        <v>2</v>
      </c>
      <c r="B476" s="14" t="s">
        <v>115</v>
      </c>
      <c r="C476" s="2">
        <v>11821</v>
      </c>
      <c r="D476" s="2">
        <v>0.62637500000000002</v>
      </c>
      <c r="E476" s="2">
        <v>7.76E-4</v>
      </c>
      <c r="F476" s="2">
        <v>0.62485250999999997</v>
      </c>
      <c r="G476" s="2">
        <v>0.62789684000000001</v>
      </c>
      <c r="I476" t="str">
        <f t="shared" si="6"/>
        <v>0.63 (0.62 to 0.63)</v>
      </c>
    </row>
    <row r="480" spans="1:9" x14ac:dyDescent="0.3">
      <c r="A480" s="1" t="s">
        <v>237</v>
      </c>
    </row>
    <row r="482" spans="1:6" x14ac:dyDescent="0.3">
      <c r="A482" s="1" t="s">
        <v>1</v>
      </c>
    </row>
    <row r="483" spans="1:6" ht="17.25" thickBot="1" x14ac:dyDescent="0.35"/>
    <row r="484" spans="1:6" ht="16.5" customHeight="1" x14ac:dyDescent="0.3">
      <c r="A484" s="16" t="s">
        <v>135</v>
      </c>
      <c r="B484" s="18"/>
    </row>
    <row r="485" spans="1:6" ht="26.25" thickBot="1" x14ac:dyDescent="0.35">
      <c r="A485" s="12" t="s">
        <v>136</v>
      </c>
      <c r="B485" s="2">
        <v>183</v>
      </c>
    </row>
    <row r="486" spans="1:6" ht="26.25" thickBot="1" x14ac:dyDescent="0.35">
      <c r="A486" s="12" t="s">
        <v>137</v>
      </c>
      <c r="B486" s="2">
        <v>2949</v>
      </c>
    </row>
    <row r="487" spans="1:6" ht="39" thickBot="1" x14ac:dyDescent="0.35">
      <c r="A487" s="12" t="s">
        <v>138</v>
      </c>
      <c r="B487" s="2">
        <v>23222</v>
      </c>
    </row>
    <row r="488" spans="1:6" ht="25.5" x14ac:dyDescent="0.3">
      <c r="A488" s="13" t="s">
        <v>139</v>
      </c>
      <c r="B488" s="2">
        <v>9036880.5199999996</v>
      </c>
    </row>
    <row r="489" spans="1:6" ht="17.25" thickBot="1" x14ac:dyDescent="0.35"/>
    <row r="490" spans="1:6" ht="33" customHeight="1" x14ac:dyDescent="0.3">
      <c r="A490" s="16" t="s">
        <v>140</v>
      </c>
      <c r="B490" s="18"/>
    </row>
    <row r="491" spans="1:6" ht="33.75" thickBot="1" x14ac:dyDescent="0.35">
      <c r="A491" s="12" t="s">
        <v>141</v>
      </c>
      <c r="B491" s="2" t="s">
        <v>142</v>
      </c>
    </row>
    <row r="492" spans="1:6" ht="25.5" x14ac:dyDescent="0.3">
      <c r="A492" s="13" t="s">
        <v>143</v>
      </c>
      <c r="B492" s="2" t="s">
        <v>144</v>
      </c>
    </row>
    <row r="493" spans="1:6" ht="17.25" thickBot="1" x14ac:dyDescent="0.35"/>
    <row r="494" spans="1:6" ht="16.5" customHeight="1" x14ac:dyDescent="0.3">
      <c r="A494" s="16" t="s">
        <v>238</v>
      </c>
      <c r="B494" s="18"/>
      <c r="C494" s="18"/>
      <c r="D494" s="18"/>
      <c r="E494" s="18"/>
      <c r="F494" s="18"/>
    </row>
    <row r="495" spans="1:6" ht="16.5" customHeight="1" x14ac:dyDescent="0.3">
      <c r="A495" s="17" t="s">
        <v>239</v>
      </c>
      <c r="B495" s="19" t="s">
        <v>94</v>
      </c>
      <c r="C495" s="19" t="s">
        <v>240</v>
      </c>
      <c r="D495" s="3" t="s">
        <v>241</v>
      </c>
      <c r="E495" s="19" t="s">
        <v>243</v>
      </c>
      <c r="F495" s="19"/>
    </row>
    <row r="496" spans="1:6" x14ac:dyDescent="0.3">
      <c r="A496" s="17"/>
      <c r="B496" s="19"/>
      <c r="C496" s="19"/>
      <c r="D496" s="3" t="s">
        <v>242</v>
      </c>
      <c r="E496" s="19"/>
      <c r="F496" s="19"/>
    </row>
    <row r="497" spans="1:7" x14ac:dyDescent="0.3">
      <c r="A497" s="13" t="s">
        <v>115</v>
      </c>
      <c r="B497" s="2">
        <v>23222</v>
      </c>
      <c r="C497" s="2">
        <v>0.64841899999999997</v>
      </c>
      <c r="D497" s="2">
        <v>7.7200000000000001E-4</v>
      </c>
      <c r="E497" s="2">
        <v>0.64690462000000004</v>
      </c>
      <c r="F497" s="2">
        <v>0.64993400999999995</v>
      </c>
    </row>
    <row r="501" spans="1:7" x14ac:dyDescent="0.3">
      <c r="A501" s="1" t="s">
        <v>237</v>
      </c>
    </row>
    <row r="503" spans="1:7" x14ac:dyDescent="0.3">
      <c r="A503" s="1" t="s">
        <v>1</v>
      </c>
    </row>
    <row r="504" spans="1:7" ht="17.25" thickBot="1" x14ac:dyDescent="0.35"/>
    <row r="505" spans="1:7" ht="16.5" customHeight="1" x14ac:dyDescent="0.3">
      <c r="A505" s="16" t="s">
        <v>273</v>
      </c>
      <c r="B505" s="18"/>
      <c r="C505" s="18"/>
      <c r="D505" s="18"/>
      <c r="E505" s="18"/>
      <c r="F505" s="18"/>
      <c r="G505" s="18"/>
    </row>
    <row r="506" spans="1:7" ht="16.5" customHeight="1" x14ac:dyDescent="0.3">
      <c r="A506" s="17" t="s">
        <v>12</v>
      </c>
      <c r="B506" s="19" t="s">
        <v>239</v>
      </c>
      <c r="C506" s="19" t="s">
        <v>94</v>
      </c>
      <c r="D506" s="19" t="s">
        <v>240</v>
      </c>
      <c r="E506" s="3" t="s">
        <v>241</v>
      </c>
      <c r="F506" s="19" t="s">
        <v>243</v>
      </c>
      <c r="G506" s="19"/>
    </row>
    <row r="507" spans="1:7" x14ac:dyDescent="0.3">
      <c r="A507" s="17"/>
      <c r="B507" s="19"/>
      <c r="C507" s="19"/>
      <c r="D507" s="19"/>
      <c r="E507" s="3" t="s">
        <v>242</v>
      </c>
      <c r="F507" s="19"/>
      <c r="G507" s="19"/>
    </row>
    <row r="508" spans="1:7" ht="17.25" thickBot="1" x14ac:dyDescent="0.35">
      <c r="A508" s="6">
        <v>1</v>
      </c>
      <c r="B508" s="11" t="s">
        <v>115</v>
      </c>
      <c r="C508" s="2">
        <v>8851</v>
      </c>
      <c r="D508" s="2">
        <v>0.62071799999999999</v>
      </c>
      <c r="E508" s="2">
        <v>9.3499999999999996E-4</v>
      </c>
      <c r="F508" s="2">
        <v>0.61888498000000003</v>
      </c>
      <c r="G508" s="2">
        <v>0.62255132999999996</v>
      </c>
    </row>
    <row r="509" spans="1:7" ht="17.25" thickBot="1" x14ac:dyDescent="0.35">
      <c r="A509" s="6">
        <v>2</v>
      </c>
      <c r="B509" s="11" t="s">
        <v>115</v>
      </c>
      <c r="C509" s="2">
        <v>7985</v>
      </c>
      <c r="D509" s="2">
        <v>0.65298599999999996</v>
      </c>
      <c r="E509" s="2">
        <v>1.139E-3</v>
      </c>
      <c r="F509" s="2">
        <v>0.65075247999999997</v>
      </c>
      <c r="G509" s="2">
        <v>0.65522007999999998</v>
      </c>
    </row>
    <row r="510" spans="1:7" ht="17.25" thickBot="1" x14ac:dyDescent="0.35">
      <c r="A510" s="6">
        <v>3</v>
      </c>
      <c r="B510" s="11" t="s">
        <v>115</v>
      </c>
      <c r="C510" s="2">
        <v>3883</v>
      </c>
      <c r="D510" s="2">
        <v>0.68776300000000001</v>
      </c>
      <c r="E510" s="2">
        <v>1.755E-3</v>
      </c>
      <c r="F510" s="2">
        <v>0.68432115999999998</v>
      </c>
      <c r="G510" s="2">
        <v>0.69120466000000003</v>
      </c>
    </row>
    <row r="511" spans="1:7" x14ac:dyDescent="0.3">
      <c r="A511" s="6">
        <v>8</v>
      </c>
      <c r="B511" s="14" t="s">
        <v>115</v>
      </c>
      <c r="C511" s="2">
        <v>2503</v>
      </c>
      <c r="D511" s="2">
        <v>0.67792600000000003</v>
      </c>
      <c r="E511" s="2">
        <v>1.9729999999999999E-3</v>
      </c>
      <c r="F511" s="2">
        <v>0.67405691999999995</v>
      </c>
      <c r="G511" s="2">
        <v>0.68179529999999999</v>
      </c>
    </row>
    <row r="515" spans="1:2" x14ac:dyDescent="0.3">
      <c r="A515" s="1" t="s">
        <v>237</v>
      </c>
    </row>
    <row r="517" spans="1:2" x14ac:dyDescent="0.3">
      <c r="A517" s="1" t="s">
        <v>21</v>
      </c>
    </row>
    <row r="518" spans="1:2" ht="17.25" thickBot="1" x14ac:dyDescent="0.35"/>
    <row r="519" spans="1:2" ht="16.5" customHeight="1" x14ac:dyDescent="0.3">
      <c r="A519" s="16" t="s">
        <v>135</v>
      </c>
      <c r="B519" s="18"/>
    </row>
    <row r="520" spans="1:2" ht="26.25" thickBot="1" x14ac:dyDescent="0.35">
      <c r="A520" s="12" t="s">
        <v>136</v>
      </c>
      <c r="B520" s="2">
        <v>183</v>
      </c>
    </row>
    <row r="521" spans="1:2" ht="26.25" thickBot="1" x14ac:dyDescent="0.35">
      <c r="A521" s="12" t="s">
        <v>137</v>
      </c>
      <c r="B521" s="2">
        <v>2982</v>
      </c>
    </row>
    <row r="522" spans="1:2" ht="39" thickBot="1" x14ac:dyDescent="0.35">
      <c r="A522" s="12" t="s">
        <v>138</v>
      </c>
      <c r="B522" s="2">
        <v>68635</v>
      </c>
    </row>
    <row r="523" spans="1:2" ht="25.5" x14ac:dyDescent="0.3">
      <c r="A523" s="13" t="s">
        <v>139</v>
      </c>
      <c r="B523" s="2">
        <v>30251935.699999999</v>
      </c>
    </row>
    <row r="524" spans="1:2" ht="17.25" thickBot="1" x14ac:dyDescent="0.35"/>
    <row r="525" spans="1:2" ht="33" customHeight="1" x14ac:dyDescent="0.3">
      <c r="A525" s="16" t="s">
        <v>140</v>
      </c>
      <c r="B525" s="18"/>
    </row>
    <row r="526" spans="1:2" ht="33.75" thickBot="1" x14ac:dyDescent="0.35">
      <c r="A526" s="12" t="s">
        <v>141</v>
      </c>
      <c r="B526" s="2" t="s">
        <v>142</v>
      </c>
    </row>
    <row r="527" spans="1:2" ht="25.5" x14ac:dyDescent="0.3">
      <c r="A527" s="13" t="s">
        <v>143</v>
      </c>
      <c r="B527" s="2" t="s">
        <v>144</v>
      </c>
    </row>
    <row r="528" spans="1:2" ht="17.25" thickBot="1" x14ac:dyDescent="0.35"/>
    <row r="529" spans="1:9" ht="16.5" customHeight="1" x14ac:dyDescent="0.3">
      <c r="A529" s="16" t="s">
        <v>238</v>
      </c>
      <c r="B529" s="18"/>
      <c r="C529" s="18"/>
      <c r="D529" s="18"/>
      <c r="E529" s="18"/>
      <c r="F529" s="18"/>
    </row>
    <row r="530" spans="1:9" ht="16.5" customHeight="1" x14ac:dyDescent="0.3">
      <c r="A530" s="17" t="s">
        <v>239</v>
      </c>
      <c r="B530" s="19" t="s">
        <v>94</v>
      </c>
      <c r="C530" s="19" t="s">
        <v>240</v>
      </c>
      <c r="D530" s="3" t="s">
        <v>241</v>
      </c>
      <c r="E530" s="19" t="s">
        <v>243</v>
      </c>
      <c r="F530" s="19"/>
    </row>
    <row r="531" spans="1:9" x14ac:dyDescent="0.3">
      <c r="A531" s="17"/>
      <c r="B531" s="19"/>
      <c r="C531" s="19"/>
      <c r="D531" s="3" t="s">
        <v>242</v>
      </c>
      <c r="E531" s="19"/>
      <c r="F531" s="19"/>
    </row>
    <row r="532" spans="1:9" x14ac:dyDescent="0.3">
      <c r="A532" s="13" t="s">
        <v>115</v>
      </c>
      <c r="B532" s="2">
        <v>68635</v>
      </c>
      <c r="C532" s="2">
        <v>0.66370899999999999</v>
      </c>
      <c r="D532" s="2">
        <v>4.4099999999999999E-4</v>
      </c>
      <c r="E532" s="2">
        <v>0.66284405999999996</v>
      </c>
      <c r="F532" s="2">
        <v>0.66457339000000004</v>
      </c>
    </row>
    <row r="536" spans="1:9" x14ac:dyDescent="0.3">
      <c r="A536" s="1" t="s">
        <v>237</v>
      </c>
    </row>
    <row r="538" spans="1:9" x14ac:dyDescent="0.3">
      <c r="A538" s="1" t="s">
        <v>21</v>
      </c>
    </row>
    <row r="539" spans="1:9" ht="17.25" thickBot="1" x14ac:dyDescent="0.35"/>
    <row r="540" spans="1:9" ht="16.5" customHeight="1" x14ac:dyDescent="0.3">
      <c r="A540" s="16" t="s">
        <v>273</v>
      </c>
      <c r="B540" s="18"/>
      <c r="C540" s="18"/>
      <c r="D540" s="18"/>
      <c r="E540" s="18"/>
      <c r="F540" s="18"/>
      <c r="G540" s="18"/>
    </row>
    <row r="541" spans="1:9" ht="16.5" customHeight="1" x14ac:dyDescent="0.3">
      <c r="A541" s="17" t="s">
        <v>12</v>
      </c>
      <c r="B541" s="19" t="s">
        <v>239</v>
      </c>
      <c r="C541" s="19" t="s">
        <v>94</v>
      </c>
      <c r="D541" s="19" t="s">
        <v>240</v>
      </c>
      <c r="E541" s="3" t="s">
        <v>241</v>
      </c>
      <c r="F541" s="19" t="s">
        <v>243</v>
      </c>
      <c r="G541" s="19"/>
    </row>
    <row r="542" spans="1:9" x14ac:dyDescent="0.3">
      <c r="A542" s="17"/>
      <c r="B542" s="19"/>
      <c r="C542" s="19"/>
      <c r="D542" s="19"/>
      <c r="E542" s="3" t="s">
        <v>242</v>
      </c>
      <c r="F542" s="19"/>
      <c r="G542" s="19"/>
    </row>
    <row r="543" spans="1:9" ht="17.25" thickBot="1" x14ac:dyDescent="0.35">
      <c r="A543" s="6">
        <v>1</v>
      </c>
      <c r="B543" s="11" t="s">
        <v>115</v>
      </c>
      <c r="C543" s="2">
        <v>22876</v>
      </c>
      <c r="D543" s="2">
        <v>0.649501</v>
      </c>
      <c r="E543" s="2">
        <v>6.2E-4</v>
      </c>
      <c r="F543" s="2">
        <v>0.64828463999999997</v>
      </c>
      <c r="G543" s="2">
        <v>0.65071776000000003</v>
      </c>
      <c r="I543" t="str">
        <f t="shared" ref="I543:I545" si="7">TEXT(D543,"0.00")&amp;" ("&amp;TEXT(F543,"0.00")&amp;" to "&amp;TEXT(G543,"0.00")&amp;")"</f>
        <v>0.65 (0.65 to 0.65)</v>
      </c>
    </row>
    <row r="544" spans="1:9" ht="17.25" thickBot="1" x14ac:dyDescent="0.35">
      <c r="A544" s="6">
        <v>2</v>
      </c>
      <c r="B544" s="11" t="s">
        <v>115</v>
      </c>
      <c r="C544" s="2">
        <v>33210</v>
      </c>
      <c r="D544" s="2">
        <v>0.66711600000000004</v>
      </c>
      <c r="E544" s="2">
        <v>5.4500000000000002E-4</v>
      </c>
      <c r="F544" s="2">
        <v>0.66604788999999998</v>
      </c>
      <c r="G544" s="2">
        <v>0.66818500999999997</v>
      </c>
      <c r="I544" t="str">
        <f t="shared" si="7"/>
        <v>0.67 (0.67 to 0.67)</v>
      </c>
    </row>
    <row r="545" spans="1:9" x14ac:dyDescent="0.3">
      <c r="A545" s="6">
        <v>3</v>
      </c>
      <c r="B545" s="14" t="s">
        <v>115</v>
      </c>
      <c r="C545" s="2">
        <v>12549</v>
      </c>
      <c r="D545" s="2">
        <v>0.68340999999999996</v>
      </c>
      <c r="E545" s="2">
        <v>9.0899999999999998E-4</v>
      </c>
      <c r="F545" s="2">
        <v>0.68162732999999998</v>
      </c>
      <c r="G545" s="2">
        <v>0.68519353000000005</v>
      </c>
      <c r="I545" t="str">
        <f t="shared" si="7"/>
        <v>0.68 (0.68 to 0.69)</v>
      </c>
    </row>
    <row r="549" spans="1:9" x14ac:dyDescent="0.3">
      <c r="A549" s="1" t="s">
        <v>237</v>
      </c>
    </row>
    <row r="551" spans="1:9" x14ac:dyDescent="0.3">
      <c r="A551" s="1" t="s">
        <v>1</v>
      </c>
    </row>
    <row r="552" spans="1:9" ht="17.25" thickBot="1" x14ac:dyDescent="0.35"/>
    <row r="553" spans="1:9" ht="16.5" customHeight="1" x14ac:dyDescent="0.3">
      <c r="A553" s="16" t="s">
        <v>135</v>
      </c>
      <c r="B553" s="18"/>
    </row>
    <row r="554" spans="1:9" ht="26.25" thickBot="1" x14ac:dyDescent="0.35">
      <c r="A554" s="12" t="s">
        <v>136</v>
      </c>
      <c r="B554" s="2">
        <v>183</v>
      </c>
    </row>
    <row r="555" spans="1:9" ht="26.25" thickBot="1" x14ac:dyDescent="0.35">
      <c r="A555" s="12" t="s">
        <v>137</v>
      </c>
      <c r="B555" s="2">
        <v>2949</v>
      </c>
    </row>
    <row r="556" spans="1:9" ht="39" thickBot="1" x14ac:dyDescent="0.35">
      <c r="A556" s="12" t="s">
        <v>138</v>
      </c>
      <c r="B556" s="2">
        <v>23222</v>
      </c>
    </row>
    <row r="557" spans="1:9" ht="25.5" x14ac:dyDescent="0.3">
      <c r="A557" s="13" t="s">
        <v>139</v>
      </c>
      <c r="B557" s="2">
        <v>9036880.5199999996</v>
      </c>
    </row>
    <row r="558" spans="1:9" ht="17.25" thickBot="1" x14ac:dyDescent="0.35"/>
    <row r="559" spans="1:9" ht="33" customHeight="1" x14ac:dyDescent="0.3">
      <c r="A559" s="16" t="s">
        <v>140</v>
      </c>
      <c r="B559" s="18"/>
    </row>
    <row r="560" spans="1:9" ht="33.75" thickBot="1" x14ac:dyDescent="0.35">
      <c r="A560" s="12" t="s">
        <v>141</v>
      </c>
      <c r="B560" s="2" t="s">
        <v>142</v>
      </c>
    </row>
    <row r="561" spans="1:7" ht="25.5" x14ac:dyDescent="0.3">
      <c r="A561" s="13" t="s">
        <v>143</v>
      </c>
      <c r="B561" s="2" t="s">
        <v>144</v>
      </c>
    </row>
    <row r="562" spans="1:7" ht="17.25" thickBot="1" x14ac:dyDescent="0.35"/>
    <row r="563" spans="1:7" ht="16.5" customHeight="1" x14ac:dyDescent="0.3">
      <c r="A563" s="16" t="s">
        <v>238</v>
      </c>
      <c r="B563" s="18"/>
      <c r="C563" s="18"/>
      <c r="D563" s="18"/>
      <c r="E563" s="18"/>
      <c r="F563" s="18"/>
    </row>
    <row r="564" spans="1:7" ht="16.5" customHeight="1" x14ac:dyDescent="0.3">
      <c r="A564" s="17" t="s">
        <v>239</v>
      </c>
      <c r="B564" s="19" t="s">
        <v>94</v>
      </c>
      <c r="C564" s="19" t="s">
        <v>240</v>
      </c>
      <c r="D564" s="3" t="s">
        <v>241</v>
      </c>
      <c r="E564" s="19" t="s">
        <v>243</v>
      </c>
      <c r="F564" s="19"/>
    </row>
    <row r="565" spans="1:7" x14ac:dyDescent="0.3">
      <c r="A565" s="17"/>
      <c r="B565" s="19"/>
      <c r="C565" s="19"/>
      <c r="D565" s="3" t="s">
        <v>242</v>
      </c>
      <c r="E565" s="19"/>
      <c r="F565" s="19"/>
    </row>
    <row r="566" spans="1:7" x14ac:dyDescent="0.3">
      <c r="A566" s="13" t="s">
        <v>115</v>
      </c>
      <c r="B566" s="2">
        <v>23222</v>
      </c>
      <c r="C566" s="2">
        <v>0.64841899999999997</v>
      </c>
      <c r="D566" s="2">
        <v>7.7200000000000001E-4</v>
      </c>
      <c r="E566" s="2">
        <v>0.64690462000000004</v>
      </c>
      <c r="F566" s="2">
        <v>0.64993400999999995</v>
      </c>
    </row>
    <row r="570" spans="1:7" x14ac:dyDescent="0.3">
      <c r="A570" s="1" t="s">
        <v>237</v>
      </c>
    </row>
    <row r="572" spans="1:7" x14ac:dyDescent="0.3">
      <c r="A572" s="1" t="s">
        <v>1</v>
      </c>
    </row>
    <row r="573" spans="1:7" ht="17.25" thickBot="1" x14ac:dyDescent="0.35"/>
    <row r="574" spans="1:7" ht="16.5" customHeight="1" x14ac:dyDescent="0.3">
      <c r="A574" s="16" t="s">
        <v>274</v>
      </c>
      <c r="B574" s="18"/>
      <c r="C574" s="18"/>
      <c r="D574" s="18"/>
      <c r="E574" s="18"/>
      <c r="F574" s="18"/>
      <c r="G574" s="18"/>
    </row>
    <row r="575" spans="1:7" ht="16.5" customHeight="1" x14ac:dyDescent="0.3">
      <c r="A575" s="17" t="s">
        <v>13</v>
      </c>
      <c r="B575" s="19" t="s">
        <v>239</v>
      </c>
      <c r="C575" s="19" t="s">
        <v>94</v>
      </c>
      <c r="D575" s="19" t="s">
        <v>240</v>
      </c>
      <c r="E575" s="3" t="s">
        <v>241</v>
      </c>
      <c r="F575" s="19" t="s">
        <v>243</v>
      </c>
      <c r="G575" s="19"/>
    </row>
    <row r="576" spans="1:7" x14ac:dyDescent="0.3">
      <c r="A576" s="17"/>
      <c r="B576" s="19"/>
      <c r="C576" s="19"/>
      <c r="D576" s="19"/>
      <c r="E576" s="3" t="s">
        <v>242</v>
      </c>
      <c r="F576" s="19"/>
      <c r="G576" s="19"/>
    </row>
    <row r="577" spans="1:7" ht="17.25" thickBot="1" x14ac:dyDescent="0.35">
      <c r="A577" s="6">
        <v>1</v>
      </c>
      <c r="B577" s="11" t="s">
        <v>115</v>
      </c>
      <c r="C577" s="2">
        <v>5000</v>
      </c>
      <c r="D577" s="2">
        <v>0.647285</v>
      </c>
      <c r="E577" s="2">
        <v>1.4519999999999999E-3</v>
      </c>
      <c r="F577" s="2">
        <v>0.64443870000000003</v>
      </c>
      <c r="G577" s="2">
        <v>0.65013171999999997</v>
      </c>
    </row>
    <row r="578" spans="1:7" ht="17.25" thickBot="1" x14ac:dyDescent="0.35">
      <c r="A578" s="6">
        <v>2</v>
      </c>
      <c r="B578" s="11" t="s">
        <v>115</v>
      </c>
      <c r="C578" s="2">
        <v>11282</v>
      </c>
      <c r="D578" s="2">
        <v>0.64622500000000005</v>
      </c>
      <c r="E578" s="2">
        <v>9.7499999999999996E-4</v>
      </c>
      <c r="F578" s="2">
        <v>0.64431207999999995</v>
      </c>
      <c r="G578" s="2">
        <v>0.64813732999999996</v>
      </c>
    </row>
    <row r="579" spans="1:7" ht="17.25" thickBot="1" x14ac:dyDescent="0.35">
      <c r="A579" s="6">
        <v>3</v>
      </c>
      <c r="B579" s="11" t="s">
        <v>115</v>
      </c>
      <c r="C579" s="2">
        <v>4216</v>
      </c>
      <c r="D579" s="2">
        <v>0.665099</v>
      </c>
      <c r="E579" s="2">
        <v>1.702E-3</v>
      </c>
      <c r="F579" s="2">
        <v>0.66176155999999997</v>
      </c>
      <c r="G579" s="2">
        <v>0.66843582999999995</v>
      </c>
    </row>
    <row r="580" spans="1:7" x14ac:dyDescent="0.3">
      <c r="A580" s="6">
        <v>8</v>
      </c>
      <c r="B580" s="14" t="s">
        <v>115</v>
      </c>
      <c r="C580" s="2">
        <v>2724</v>
      </c>
      <c r="D580" s="2">
        <v>0.63635200000000003</v>
      </c>
      <c r="E580" s="2">
        <v>1.609E-3</v>
      </c>
      <c r="F580" s="2">
        <v>0.63319787999999999</v>
      </c>
      <c r="G580" s="2">
        <v>0.63950596999999998</v>
      </c>
    </row>
    <row r="584" spans="1:7" x14ac:dyDescent="0.3">
      <c r="A584" s="1" t="s">
        <v>237</v>
      </c>
    </row>
    <row r="586" spans="1:7" x14ac:dyDescent="0.3">
      <c r="A586" s="1" t="s">
        <v>21</v>
      </c>
    </row>
    <row r="587" spans="1:7" ht="17.25" thickBot="1" x14ac:dyDescent="0.35"/>
    <row r="588" spans="1:7" ht="16.5" customHeight="1" x14ac:dyDescent="0.3">
      <c r="A588" s="16" t="s">
        <v>135</v>
      </c>
      <c r="B588" s="18"/>
    </row>
    <row r="589" spans="1:7" ht="26.25" thickBot="1" x14ac:dyDescent="0.35">
      <c r="A589" s="12" t="s">
        <v>136</v>
      </c>
      <c r="B589" s="2">
        <v>183</v>
      </c>
    </row>
    <row r="590" spans="1:7" ht="26.25" thickBot="1" x14ac:dyDescent="0.35">
      <c r="A590" s="12" t="s">
        <v>137</v>
      </c>
      <c r="B590" s="2">
        <v>2982</v>
      </c>
    </row>
    <row r="591" spans="1:7" ht="39" thickBot="1" x14ac:dyDescent="0.35">
      <c r="A591" s="12" t="s">
        <v>138</v>
      </c>
      <c r="B591" s="2">
        <v>68635</v>
      </c>
    </row>
    <row r="592" spans="1:7" ht="25.5" x14ac:dyDescent="0.3">
      <c r="A592" s="13" t="s">
        <v>139</v>
      </c>
      <c r="B592" s="2">
        <v>30251935.699999999</v>
      </c>
    </row>
    <row r="593" spans="1:6" ht="17.25" thickBot="1" x14ac:dyDescent="0.35"/>
    <row r="594" spans="1:6" ht="33" customHeight="1" x14ac:dyDescent="0.3">
      <c r="A594" s="16" t="s">
        <v>140</v>
      </c>
      <c r="B594" s="18"/>
    </row>
    <row r="595" spans="1:6" ht="33.75" thickBot="1" x14ac:dyDescent="0.35">
      <c r="A595" s="12" t="s">
        <v>141</v>
      </c>
      <c r="B595" s="2" t="s">
        <v>142</v>
      </c>
    </row>
    <row r="596" spans="1:6" ht="25.5" x14ac:dyDescent="0.3">
      <c r="A596" s="13" t="s">
        <v>143</v>
      </c>
      <c r="B596" s="2" t="s">
        <v>144</v>
      </c>
    </row>
    <row r="597" spans="1:6" ht="17.25" thickBot="1" x14ac:dyDescent="0.35"/>
    <row r="598" spans="1:6" ht="16.5" customHeight="1" x14ac:dyDescent="0.3">
      <c r="A598" s="16" t="s">
        <v>238</v>
      </c>
      <c r="B598" s="18"/>
      <c r="C598" s="18"/>
      <c r="D598" s="18"/>
      <c r="E598" s="18"/>
      <c r="F598" s="18"/>
    </row>
    <row r="599" spans="1:6" ht="16.5" customHeight="1" x14ac:dyDescent="0.3">
      <c r="A599" s="17" t="s">
        <v>239</v>
      </c>
      <c r="B599" s="19" t="s">
        <v>94</v>
      </c>
      <c r="C599" s="19" t="s">
        <v>240</v>
      </c>
      <c r="D599" s="3" t="s">
        <v>241</v>
      </c>
      <c r="E599" s="19" t="s">
        <v>243</v>
      </c>
      <c r="F599" s="19"/>
    </row>
    <row r="600" spans="1:6" x14ac:dyDescent="0.3">
      <c r="A600" s="17"/>
      <c r="B600" s="19"/>
      <c r="C600" s="19"/>
      <c r="D600" s="3" t="s">
        <v>242</v>
      </c>
      <c r="E600" s="19"/>
      <c r="F600" s="19"/>
    </row>
    <row r="601" spans="1:6" x14ac:dyDescent="0.3">
      <c r="A601" s="13" t="s">
        <v>115</v>
      </c>
      <c r="B601" s="2">
        <v>68635</v>
      </c>
      <c r="C601" s="2">
        <v>0.66370899999999999</v>
      </c>
      <c r="D601" s="2">
        <v>4.4099999999999999E-4</v>
      </c>
      <c r="E601" s="2">
        <v>0.66284405999999996</v>
      </c>
      <c r="F601" s="2">
        <v>0.66457339000000004</v>
      </c>
    </row>
    <row r="605" spans="1:6" x14ac:dyDescent="0.3">
      <c r="A605" s="1" t="s">
        <v>237</v>
      </c>
    </row>
    <row r="607" spans="1:6" x14ac:dyDescent="0.3">
      <c r="A607" s="1" t="s">
        <v>21</v>
      </c>
    </row>
    <row r="608" spans="1:6" ht="17.25" thickBot="1" x14ac:dyDescent="0.35"/>
    <row r="609" spans="1:9" ht="16.5" customHeight="1" x14ac:dyDescent="0.3">
      <c r="A609" s="16" t="s">
        <v>274</v>
      </c>
      <c r="B609" s="18"/>
      <c r="C609" s="18"/>
      <c r="D609" s="18"/>
      <c r="E609" s="18"/>
      <c r="F609" s="18"/>
      <c r="G609" s="18"/>
    </row>
    <row r="610" spans="1:9" ht="16.5" customHeight="1" x14ac:dyDescent="0.3">
      <c r="A610" s="17" t="s">
        <v>13</v>
      </c>
      <c r="B610" s="19" t="s">
        <v>239</v>
      </c>
      <c r="C610" s="19" t="s">
        <v>94</v>
      </c>
      <c r="D610" s="19" t="s">
        <v>240</v>
      </c>
      <c r="E610" s="3" t="s">
        <v>241</v>
      </c>
      <c r="F610" s="19" t="s">
        <v>243</v>
      </c>
      <c r="G610" s="19"/>
    </row>
    <row r="611" spans="1:9" x14ac:dyDescent="0.3">
      <c r="A611" s="17"/>
      <c r="B611" s="19"/>
      <c r="C611" s="19"/>
      <c r="D611" s="19"/>
      <c r="E611" s="3" t="s">
        <v>242</v>
      </c>
      <c r="F611" s="19"/>
      <c r="G611" s="19"/>
    </row>
    <row r="612" spans="1:9" ht="17.25" thickBot="1" x14ac:dyDescent="0.35">
      <c r="A612" s="6">
        <v>1</v>
      </c>
      <c r="B612" s="11" t="s">
        <v>115</v>
      </c>
      <c r="C612" s="2">
        <v>18257</v>
      </c>
      <c r="D612" s="2">
        <v>0.66106799999999999</v>
      </c>
      <c r="E612" s="2">
        <v>6.9800000000000005E-4</v>
      </c>
      <c r="F612" s="2">
        <v>0.65969957999999995</v>
      </c>
      <c r="G612" s="2">
        <v>0.66243739999999995</v>
      </c>
      <c r="I612" t="str">
        <f t="shared" ref="I612:I614" si="8">TEXT(D612,"0.00")&amp;" ("&amp;TEXT(F612,"0.00")&amp;" to "&amp;TEXT(G612,"0.00")&amp;")"</f>
        <v>0.66 (0.66 to 0.66)</v>
      </c>
    </row>
    <row r="613" spans="1:9" ht="17.25" thickBot="1" x14ac:dyDescent="0.35">
      <c r="A613" s="6">
        <v>2</v>
      </c>
      <c r="B613" s="11" t="s">
        <v>115</v>
      </c>
      <c r="C613" s="2">
        <v>39551</v>
      </c>
      <c r="D613" s="2">
        <v>0.66189399999999998</v>
      </c>
      <c r="E613" s="2">
        <v>5.1999999999999995E-4</v>
      </c>
      <c r="F613" s="2">
        <v>0.66087487</v>
      </c>
      <c r="G613" s="2">
        <v>0.66291306999999999</v>
      </c>
      <c r="I613" t="str">
        <f t="shared" si="8"/>
        <v>0.66 (0.66 to 0.66)</v>
      </c>
    </row>
    <row r="614" spans="1:9" x14ac:dyDescent="0.3">
      <c r="A614" s="6">
        <v>3</v>
      </c>
      <c r="B614" s="14" t="s">
        <v>115</v>
      </c>
      <c r="C614" s="2">
        <v>10827</v>
      </c>
      <c r="D614" s="2">
        <v>0.67655799999999999</v>
      </c>
      <c r="E614" s="2">
        <v>9.4300000000000004E-4</v>
      </c>
      <c r="F614" s="2">
        <v>0.67470916000000003</v>
      </c>
      <c r="G614" s="2">
        <v>0.67840697000000005</v>
      </c>
      <c r="I614" t="str">
        <f t="shared" si="8"/>
        <v>0.68 (0.67 to 0.68)</v>
      </c>
    </row>
    <row r="618" spans="1:9" x14ac:dyDescent="0.3">
      <c r="A618" s="1" t="s">
        <v>237</v>
      </c>
    </row>
    <row r="620" spans="1:9" x14ac:dyDescent="0.3">
      <c r="A620" s="1" t="s">
        <v>1</v>
      </c>
    </row>
    <row r="621" spans="1:9" ht="17.25" thickBot="1" x14ac:dyDescent="0.35"/>
    <row r="622" spans="1:9" ht="16.5" customHeight="1" x14ac:dyDescent="0.3">
      <c r="A622" s="16" t="s">
        <v>135</v>
      </c>
      <c r="B622" s="18"/>
    </row>
    <row r="623" spans="1:9" ht="26.25" thickBot="1" x14ac:dyDescent="0.35">
      <c r="A623" s="12" t="s">
        <v>136</v>
      </c>
      <c r="B623" s="2">
        <v>183</v>
      </c>
    </row>
    <row r="624" spans="1:9" ht="26.25" thickBot="1" x14ac:dyDescent="0.35">
      <c r="A624" s="12" t="s">
        <v>137</v>
      </c>
      <c r="B624" s="2">
        <v>2949</v>
      </c>
    </row>
    <row r="625" spans="1:6" ht="39" thickBot="1" x14ac:dyDescent="0.35">
      <c r="A625" s="12" t="s">
        <v>138</v>
      </c>
      <c r="B625" s="2">
        <v>23222</v>
      </c>
    </row>
    <row r="626" spans="1:6" ht="25.5" x14ac:dyDescent="0.3">
      <c r="A626" s="13" t="s">
        <v>139</v>
      </c>
      <c r="B626" s="2">
        <v>9036880.5199999996</v>
      </c>
    </row>
    <row r="627" spans="1:6" ht="17.25" thickBot="1" x14ac:dyDescent="0.35"/>
    <row r="628" spans="1:6" ht="33" customHeight="1" x14ac:dyDescent="0.3">
      <c r="A628" s="16" t="s">
        <v>140</v>
      </c>
      <c r="B628" s="18"/>
    </row>
    <row r="629" spans="1:6" ht="33.75" thickBot="1" x14ac:dyDescent="0.35">
      <c r="A629" s="12" t="s">
        <v>141</v>
      </c>
      <c r="B629" s="2" t="s">
        <v>142</v>
      </c>
    </row>
    <row r="630" spans="1:6" ht="25.5" x14ac:dyDescent="0.3">
      <c r="A630" s="13" t="s">
        <v>143</v>
      </c>
      <c r="B630" s="2" t="s">
        <v>144</v>
      </c>
    </row>
    <row r="631" spans="1:6" ht="17.25" thickBot="1" x14ac:dyDescent="0.35"/>
    <row r="632" spans="1:6" ht="16.5" customHeight="1" x14ac:dyDescent="0.3">
      <c r="A632" s="16" t="s">
        <v>238</v>
      </c>
      <c r="B632" s="18"/>
      <c r="C632" s="18"/>
      <c r="D632" s="18"/>
      <c r="E632" s="18"/>
      <c r="F632" s="18"/>
    </row>
    <row r="633" spans="1:6" ht="16.5" customHeight="1" x14ac:dyDescent="0.3">
      <c r="A633" s="17" t="s">
        <v>239</v>
      </c>
      <c r="B633" s="19" t="s">
        <v>94</v>
      </c>
      <c r="C633" s="19" t="s">
        <v>240</v>
      </c>
      <c r="D633" s="3" t="s">
        <v>241</v>
      </c>
      <c r="E633" s="19" t="s">
        <v>243</v>
      </c>
      <c r="F633" s="19"/>
    </row>
    <row r="634" spans="1:6" x14ac:dyDescent="0.3">
      <c r="A634" s="17"/>
      <c r="B634" s="19"/>
      <c r="C634" s="19"/>
      <c r="D634" s="3" t="s">
        <v>242</v>
      </c>
      <c r="E634" s="19"/>
      <c r="F634" s="19"/>
    </row>
    <row r="635" spans="1:6" x14ac:dyDescent="0.3">
      <c r="A635" s="13" t="s">
        <v>115</v>
      </c>
      <c r="B635" s="2">
        <v>23222</v>
      </c>
      <c r="C635" s="2">
        <v>0.64841899999999997</v>
      </c>
      <c r="D635" s="2">
        <v>7.7200000000000001E-4</v>
      </c>
      <c r="E635" s="2">
        <v>0.64690462000000004</v>
      </c>
      <c r="F635" s="2">
        <v>0.64993400999999995</v>
      </c>
    </row>
    <row r="639" spans="1:6" x14ac:dyDescent="0.3">
      <c r="A639" s="1" t="s">
        <v>237</v>
      </c>
    </row>
    <row r="641" spans="1:7" x14ac:dyDescent="0.3">
      <c r="A641" s="1" t="s">
        <v>1</v>
      </c>
    </row>
    <row r="642" spans="1:7" ht="17.25" thickBot="1" x14ac:dyDescent="0.35"/>
    <row r="643" spans="1:7" ht="16.5" customHeight="1" x14ac:dyDescent="0.3">
      <c r="A643" s="16" t="s">
        <v>275</v>
      </c>
      <c r="B643" s="18"/>
      <c r="C643" s="18"/>
      <c r="D643" s="18"/>
      <c r="E643" s="18"/>
      <c r="F643" s="18"/>
      <c r="G643" s="18"/>
    </row>
    <row r="644" spans="1:7" ht="16.5" customHeight="1" x14ac:dyDescent="0.3">
      <c r="A644" s="17" t="s">
        <v>14</v>
      </c>
      <c r="B644" s="19" t="s">
        <v>239</v>
      </c>
      <c r="C644" s="19" t="s">
        <v>94</v>
      </c>
      <c r="D644" s="19" t="s">
        <v>240</v>
      </c>
      <c r="E644" s="3" t="s">
        <v>241</v>
      </c>
      <c r="F644" s="19" t="s">
        <v>243</v>
      </c>
      <c r="G644" s="19"/>
    </row>
    <row r="645" spans="1:7" x14ac:dyDescent="0.3">
      <c r="A645" s="17"/>
      <c r="B645" s="19"/>
      <c r="C645" s="19"/>
      <c r="D645" s="19"/>
      <c r="E645" s="3" t="s">
        <v>242</v>
      </c>
      <c r="F645" s="19"/>
      <c r="G645" s="19"/>
    </row>
    <row r="646" spans="1:7" ht="17.25" thickBot="1" x14ac:dyDescent="0.35">
      <c r="A646" s="6">
        <v>1</v>
      </c>
      <c r="B646" s="11" t="s">
        <v>115</v>
      </c>
      <c r="C646" s="2">
        <v>2801</v>
      </c>
      <c r="D646" s="2">
        <v>0.63685099999999994</v>
      </c>
      <c r="E646" s="2">
        <v>1.872E-3</v>
      </c>
      <c r="F646" s="2">
        <v>0.63318010999999996</v>
      </c>
      <c r="G646" s="2">
        <v>0.64052100000000001</v>
      </c>
    </row>
    <row r="647" spans="1:7" ht="17.25" thickBot="1" x14ac:dyDescent="0.35">
      <c r="A647" s="6">
        <v>2</v>
      </c>
      <c r="B647" s="11" t="s">
        <v>115</v>
      </c>
      <c r="C647" s="2">
        <v>1799</v>
      </c>
      <c r="D647" s="2">
        <v>0.64527599999999996</v>
      </c>
      <c r="E647" s="2">
        <v>2.016E-3</v>
      </c>
      <c r="F647" s="2">
        <v>0.64132239000000002</v>
      </c>
      <c r="G647" s="2">
        <v>0.64922986999999999</v>
      </c>
    </row>
    <row r="648" spans="1:7" ht="17.25" thickBot="1" x14ac:dyDescent="0.35">
      <c r="A648" s="6">
        <v>3</v>
      </c>
      <c r="B648" s="11" t="s">
        <v>115</v>
      </c>
      <c r="C648" s="2">
        <v>1101</v>
      </c>
      <c r="D648" s="2">
        <v>0.68984699999999999</v>
      </c>
      <c r="E648" s="2">
        <v>2.908E-3</v>
      </c>
      <c r="F648" s="2">
        <v>0.68414434000000002</v>
      </c>
      <c r="G648" s="2">
        <v>0.69554890000000003</v>
      </c>
    </row>
    <row r="649" spans="1:7" x14ac:dyDescent="0.3">
      <c r="A649" s="6">
        <v>8</v>
      </c>
      <c r="B649" s="14" t="s">
        <v>115</v>
      </c>
      <c r="C649" s="2">
        <v>17521</v>
      </c>
      <c r="D649" s="2">
        <v>0.64743700000000004</v>
      </c>
      <c r="E649" s="2">
        <v>8.4599999999999996E-4</v>
      </c>
      <c r="F649" s="2">
        <v>0.64577885999999995</v>
      </c>
      <c r="G649" s="2">
        <v>0.64909477000000004</v>
      </c>
    </row>
    <row r="653" spans="1:7" x14ac:dyDescent="0.3">
      <c r="A653" s="1" t="s">
        <v>237</v>
      </c>
    </row>
    <row r="655" spans="1:7" x14ac:dyDescent="0.3">
      <c r="A655" s="1" t="s">
        <v>21</v>
      </c>
    </row>
    <row r="656" spans="1:7" ht="17.25" thickBot="1" x14ac:dyDescent="0.35"/>
    <row r="657" spans="1:6" ht="16.5" customHeight="1" x14ac:dyDescent="0.3">
      <c r="A657" s="16" t="s">
        <v>135</v>
      </c>
      <c r="B657" s="18"/>
    </row>
    <row r="658" spans="1:6" ht="26.25" thickBot="1" x14ac:dyDescent="0.35">
      <c r="A658" s="12" t="s">
        <v>136</v>
      </c>
      <c r="B658" s="2">
        <v>183</v>
      </c>
    </row>
    <row r="659" spans="1:6" ht="26.25" thickBot="1" x14ac:dyDescent="0.35">
      <c r="A659" s="12" t="s">
        <v>137</v>
      </c>
      <c r="B659" s="2">
        <v>2982</v>
      </c>
    </row>
    <row r="660" spans="1:6" ht="39" thickBot="1" x14ac:dyDescent="0.35">
      <c r="A660" s="12" t="s">
        <v>138</v>
      </c>
      <c r="B660" s="2">
        <v>68635</v>
      </c>
    </row>
    <row r="661" spans="1:6" ht="25.5" x14ac:dyDescent="0.3">
      <c r="A661" s="13" t="s">
        <v>139</v>
      </c>
      <c r="B661" s="2">
        <v>30251935.699999999</v>
      </c>
    </row>
    <row r="662" spans="1:6" ht="17.25" thickBot="1" x14ac:dyDescent="0.35"/>
    <row r="663" spans="1:6" ht="33" customHeight="1" x14ac:dyDescent="0.3">
      <c r="A663" s="16" t="s">
        <v>140</v>
      </c>
      <c r="B663" s="18"/>
    </row>
    <row r="664" spans="1:6" ht="33.75" thickBot="1" x14ac:dyDescent="0.35">
      <c r="A664" s="12" t="s">
        <v>141</v>
      </c>
      <c r="B664" s="2" t="s">
        <v>142</v>
      </c>
    </row>
    <row r="665" spans="1:6" ht="25.5" x14ac:dyDescent="0.3">
      <c r="A665" s="13" t="s">
        <v>143</v>
      </c>
      <c r="B665" s="2" t="s">
        <v>144</v>
      </c>
    </row>
    <row r="666" spans="1:6" ht="17.25" thickBot="1" x14ac:dyDescent="0.35"/>
    <row r="667" spans="1:6" ht="16.5" customHeight="1" x14ac:dyDescent="0.3">
      <c r="A667" s="16" t="s">
        <v>238</v>
      </c>
      <c r="B667" s="18"/>
      <c r="C667" s="18"/>
      <c r="D667" s="18"/>
      <c r="E667" s="18"/>
      <c r="F667" s="18"/>
    </row>
    <row r="668" spans="1:6" ht="16.5" customHeight="1" x14ac:dyDescent="0.3">
      <c r="A668" s="17" t="s">
        <v>239</v>
      </c>
      <c r="B668" s="19" t="s">
        <v>94</v>
      </c>
      <c r="C668" s="19" t="s">
        <v>240</v>
      </c>
      <c r="D668" s="3" t="s">
        <v>241</v>
      </c>
      <c r="E668" s="19" t="s">
        <v>243</v>
      </c>
      <c r="F668" s="19"/>
    </row>
    <row r="669" spans="1:6" x14ac:dyDescent="0.3">
      <c r="A669" s="17"/>
      <c r="B669" s="19"/>
      <c r="C669" s="19"/>
      <c r="D669" s="3" t="s">
        <v>242</v>
      </c>
      <c r="E669" s="19"/>
      <c r="F669" s="19"/>
    </row>
    <row r="670" spans="1:6" x14ac:dyDescent="0.3">
      <c r="A670" s="13" t="s">
        <v>115</v>
      </c>
      <c r="B670" s="2">
        <v>68635</v>
      </c>
      <c r="C670" s="2">
        <v>0.66370899999999999</v>
      </c>
      <c r="D670" s="2">
        <v>4.4099999999999999E-4</v>
      </c>
      <c r="E670" s="2">
        <v>0.66284405999999996</v>
      </c>
      <c r="F670" s="2">
        <v>0.66457339000000004</v>
      </c>
    </row>
    <row r="674" spans="1:9" x14ac:dyDescent="0.3">
      <c r="A674" s="1" t="s">
        <v>237</v>
      </c>
    </row>
    <row r="676" spans="1:9" x14ac:dyDescent="0.3">
      <c r="A676" s="1" t="s">
        <v>21</v>
      </c>
    </row>
    <row r="677" spans="1:9" ht="17.25" thickBot="1" x14ac:dyDescent="0.35"/>
    <row r="678" spans="1:9" ht="16.5" customHeight="1" x14ac:dyDescent="0.3">
      <c r="A678" s="16" t="s">
        <v>275</v>
      </c>
      <c r="B678" s="18"/>
      <c r="C678" s="18"/>
      <c r="D678" s="18"/>
      <c r="E678" s="18"/>
      <c r="F678" s="18"/>
      <c r="G678" s="18"/>
    </row>
    <row r="679" spans="1:9" ht="16.5" customHeight="1" x14ac:dyDescent="0.3">
      <c r="A679" s="17" t="s">
        <v>14</v>
      </c>
      <c r="B679" s="19" t="s">
        <v>239</v>
      </c>
      <c r="C679" s="19" t="s">
        <v>94</v>
      </c>
      <c r="D679" s="19" t="s">
        <v>240</v>
      </c>
      <c r="E679" s="3" t="s">
        <v>241</v>
      </c>
      <c r="F679" s="19" t="s">
        <v>243</v>
      </c>
      <c r="G679" s="19"/>
    </row>
    <row r="680" spans="1:9" x14ac:dyDescent="0.3">
      <c r="A680" s="17"/>
      <c r="B680" s="19"/>
      <c r="C680" s="19"/>
      <c r="D680" s="19"/>
      <c r="E680" s="3" t="s">
        <v>242</v>
      </c>
      <c r="F680" s="19"/>
      <c r="G680" s="19"/>
    </row>
    <row r="681" spans="1:9" ht="17.25" thickBot="1" x14ac:dyDescent="0.35">
      <c r="A681" s="6">
        <v>1</v>
      </c>
      <c r="B681" s="11" t="s">
        <v>115</v>
      </c>
      <c r="C681" s="2">
        <v>26908</v>
      </c>
      <c r="D681" s="2">
        <v>0.65931600000000001</v>
      </c>
      <c r="E681" s="2">
        <v>6.3199999999999997E-4</v>
      </c>
      <c r="F681" s="2">
        <v>0.65807649000000001</v>
      </c>
      <c r="G681" s="2">
        <v>0.66055620999999998</v>
      </c>
      <c r="I681" t="str">
        <f t="shared" ref="I681:I683" si="9">TEXT(D681,"0.00")&amp;" ("&amp;TEXT(F681,"0.00")&amp;" to "&amp;TEXT(G681,"0.00")&amp;")"</f>
        <v>0.66 (0.66 to 0.66)</v>
      </c>
    </row>
    <row r="682" spans="1:9" ht="17.25" thickBot="1" x14ac:dyDescent="0.35">
      <c r="A682" s="6">
        <v>2</v>
      </c>
      <c r="B682" s="11" t="s">
        <v>115</v>
      </c>
      <c r="C682" s="2">
        <v>24999</v>
      </c>
      <c r="D682" s="2">
        <v>0.65258300000000002</v>
      </c>
      <c r="E682" s="2">
        <v>5.8299999999999997E-4</v>
      </c>
      <c r="F682" s="2">
        <v>0.65143934999999997</v>
      </c>
      <c r="G682" s="2">
        <v>0.65372710999999994</v>
      </c>
      <c r="I682" t="str">
        <f t="shared" si="9"/>
        <v>0.65 (0.65 to 0.65)</v>
      </c>
    </row>
    <row r="683" spans="1:9" x14ac:dyDescent="0.3">
      <c r="A683" s="6">
        <v>3</v>
      </c>
      <c r="B683" s="14" t="s">
        <v>115</v>
      </c>
      <c r="C683" s="2">
        <v>16728</v>
      </c>
      <c r="D683" s="2">
        <v>0.68658300000000005</v>
      </c>
      <c r="E683" s="2">
        <v>7.5199999999999996E-4</v>
      </c>
      <c r="F683" s="2">
        <v>0.68510970999999998</v>
      </c>
      <c r="G683" s="2">
        <v>0.68805724000000001</v>
      </c>
      <c r="I683" t="str">
        <f t="shared" si="9"/>
        <v>0.69 (0.69 to 0.69)</v>
      </c>
    </row>
    <row r="687" spans="1:9" x14ac:dyDescent="0.3">
      <c r="A687" s="1" t="s">
        <v>237</v>
      </c>
    </row>
    <row r="689" spans="1:6" x14ac:dyDescent="0.3">
      <c r="A689" s="1" t="s">
        <v>1</v>
      </c>
    </row>
    <row r="690" spans="1:6" ht="17.25" thickBot="1" x14ac:dyDescent="0.35"/>
    <row r="691" spans="1:6" ht="16.5" customHeight="1" x14ac:dyDescent="0.3">
      <c r="A691" s="16" t="s">
        <v>135</v>
      </c>
      <c r="B691" s="18"/>
    </row>
    <row r="692" spans="1:6" ht="26.25" thickBot="1" x14ac:dyDescent="0.35">
      <c r="A692" s="12" t="s">
        <v>136</v>
      </c>
      <c r="B692" s="2">
        <v>183</v>
      </c>
    </row>
    <row r="693" spans="1:6" ht="26.25" thickBot="1" x14ac:dyDescent="0.35">
      <c r="A693" s="12" t="s">
        <v>137</v>
      </c>
      <c r="B693" s="2">
        <v>2949</v>
      </c>
    </row>
    <row r="694" spans="1:6" ht="39" thickBot="1" x14ac:dyDescent="0.35">
      <c r="A694" s="12" t="s">
        <v>138</v>
      </c>
      <c r="B694" s="2">
        <v>23222</v>
      </c>
    </row>
    <row r="695" spans="1:6" ht="25.5" x14ac:dyDescent="0.3">
      <c r="A695" s="13" t="s">
        <v>139</v>
      </c>
      <c r="B695" s="2">
        <v>9036880.5199999996</v>
      </c>
    </row>
    <row r="696" spans="1:6" ht="17.25" thickBot="1" x14ac:dyDescent="0.35"/>
    <row r="697" spans="1:6" ht="33" customHeight="1" x14ac:dyDescent="0.3">
      <c r="A697" s="16" t="s">
        <v>140</v>
      </c>
      <c r="B697" s="18"/>
    </row>
    <row r="698" spans="1:6" ht="33.75" thickBot="1" x14ac:dyDescent="0.35">
      <c r="A698" s="12" t="s">
        <v>141</v>
      </c>
      <c r="B698" s="2" t="s">
        <v>142</v>
      </c>
    </row>
    <row r="699" spans="1:6" ht="25.5" x14ac:dyDescent="0.3">
      <c r="A699" s="13" t="s">
        <v>143</v>
      </c>
      <c r="B699" s="2" t="s">
        <v>144</v>
      </c>
    </row>
    <row r="700" spans="1:6" ht="17.25" thickBot="1" x14ac:dyDescent="0.35"/>
    <row r="701" spans="1:6" ht="16.5" customHeight="1" x14ac:dyDescent="0.3">
      <c r="A701" s="16" t="s">
        <v>238</v>
      </c>
      <c r="B701" s="18"/>
      <c r="C701" s="18"/>
      <c r="D701" s="18"/>
      <c r="E701" s="18"/>
      <c r="F701" s="18"/>
    </row>
    <row r="702" spans="1:6" ht="16.5" customHeight="1" x14ac:dyDescent="0.3">
      <c r="A702" s="17" t="s">
        <v>239</v>
      </c>
      <c r="B702" s="19" t="s">
        <v>94</v>
      </c>
      <c r="C702" s="19" t="s">
        <v>240</v>
      </c>
      <c r="D702" s="3" t="s">
        <v>241</v>
      </c>
      <c r="E702" s="19" t="s">
        <v>243</v>
      </c>
      <c r="F702" s="19"/>
    </row>
    <row r="703" spans="1:6" x14ac:dyDescent="0.3">
      <c r="A703" s="17"/>
      <c r="B703" s="19"/>
      <c r="C703" s="19"/>
      <c r="D703" s="3" t="s">
        <v>242</v>
      </c>
      <c r="E703" s="19"/>
      <c r="F703" s="19"/>
    </row>
    <row r="704" spans="1:6" x14ac:dyDescent="0.3">
      <c r="A704" s="13" t="s">
        <v>115</v>
      </c>
      <c r="B704" s="2">
        <v>23222</v>
      </c>
      <c r="C704" s="2">
        <v>0.64841899999999997</v>
      </c>
      <c r="D704" s="2">
        <v>7.7200000000000001E-4</v>
      </c>
      <c r="E704" s="2">
        <v>0.64690462000000004</v>
      </c>
      <c r="F704" s="2">
        <v>0.64993400999999995</v>
      </c>
    </row>
    <row r="708" spans="1:7" x14ac:dyDescent="0.3">
      <c r="A708" s="1" t="s">
        <v>237</v>
      </c>
    </row>
    <row r="710" spans="1:7" x14ac:dyDescent="0.3">
      <c r="A710" s="1" t="s">
        <v>1</v>
      </c>
    </row>
    <row r="711" spans="1:7" ht="17.25" thickBot="1" x14ac:dyDescent="0.35"/>
    <row r="712" spans="1:7" ht="16.5" customHeight="1" x14ac:dyDescent="0.3">
      <c r="A712" s="16" t="s">
        <v>276</v>
      </c>
      <c r="B712" s="18"/>
      <c r="C712" s="18"/>
      <c r="D712" s="18"/>
      <c r="E712" s="18"/>
      <c r="F712" s="18"/>
      <c r="G712" s="18"/>
    </row>
    <row r="713" spans="1:7" ht="16.5" customHeight="1" x14ac:dyDescent="0.3">
      <c r="A713" s="17" t="s">
        <v>15</v>
      </c>
      <c r="B713" s="19" t="s">
        <v>239</v>
      </c>
      <c r="C713" s="19" t="s">
        <v>94</v>
      </c>
      <c r="D713" s="19" t="s">
        <v>240</v>
      </c>
      <c r="E713" s="3" t="s">
        <v>241</v>
      </c>
      <c r="F713" s="19" t="s">
        <v>243</v>
      </c>
      <c r="G713" s="19"/>
    </row>
    <row r="714" spans="1:7" x14ac:dyDescent="0.3">
      <c r="A714" s="17"/>
      <c r="B714" s="19"/>
      <c r="C714" s="19"/>
      <c r="D714" s="19"/>
      <c r="E714" s="3" t="s">
        <v>242</v>
      </c>
      <c r="F714" s="19"/>
      <c r="G714" s="19"/>
    </row>
    <row r="715" spans="1:7" ht="17.25" thickBot="1" x14ac:dyDescent="0.35">
      <c r="A715" s="6">
        <v>0</v>
      </c>
      <c r="B715" s="11" t="s">
        <v>115</v>
      </c>
      <c r="C715" s="2">
        <v>12250</v>
      </c>
      <c r="D715" s="2">
        <v>0.68008500000000005</v>
      </c>
      <c r="E715" s="2">
        <v>9.41E-4</v>
      </c>
      <c r="F715" s="2">
        <v>0.67824105999999995</v>
      </c>
      <c r="G715" s="2">
        <v>0.68192989999999998</v>
      </c>
    </row>
    <row r="716" spans="1:7" ht="17.25" thickBot="1" x14ac:dyDescent="0.35">
      <c r="A716" s="6">
        <v>1</v>
      </c>
      <c r="B716" s="11" t="s">
        <v>115</v>
      </c>
      <c r="C716" s="2">
        <v>1783</v>
      </c>
      <c r="D716" s="2">
        <v>0.69516100000000003</v>
      </c>
      <c r="E716" s="2">
        <v>2.251E-3</v>
      </c>
      <c r="F716" s="2">
        <v>0.69074820000000003</v>
      </c>
      <c r="G716" s="2">
        <v>0.69957469999999999</v>
      </c>
    </row>
    <row r="717" spans="1:7" x14ac:dyDescent="0.3">
      <c r="A717" s="6">
        <v>8</v>
      </c>
      <c r="B717" s="14" t="s">
        <v>115</v>
      </c>
      <c r="C717" s="2">
        <v>9189</v>
      </c>
      <c r="D717" s="2">
        <v>0.603356</v>
      </c>
      <c r="E717" s="2">
        <v>8.1099999999999998E-4</v>
      </c>
      <c r="F717" s="2">
        <v>0.60176607999999998</v>
      </c>
      <c r="G717" s="2">
        <v>0.60494492</v>
      </c>
    </row>
    <row r="721" spans="1:6" x14ac:dyDescent="0.3">
      <c r="A721" s="1" t="s">
        <v>237</v>
      </c>
    </row>
    <row r="723" spans="1:6" x14ac:dyDescent="0.3">
      <c r="A723" s="1" t="s">
        <v>21</v>
      </c>
    </row>
    <row r="724" spans="1:6" ht="17.25" thickBot="1" x14ac:dyDescent="0.35"/>
    <row r="725" spans="1:6" ht="16.5" customHeight="1" x14ac:dyDescent="0.3">
      <c r="A725" s="16" t="s">
        <v>135</v>
      </c>
      <c r="B725" s="18"/>
    </row>
    <row r="726" spans="1:6" ht="26.25" thickBot="1" x14ac:dyDescent="0.35">
      <c r="A726" s="12" t="s">
        <v>136</v>
      </c>
      <c r="B726" s="2">
        <v>183</v>
      </c>
    </row>
    <row r="727" spans="1:6" ht="26.25" thickBot="1" x14ac:dyDescent="0.35">
      <c r="A727" s="12" t="s">
        <v>137</v>
      </c>
      <c r="B727" s="2">
        <v>2982</v>
      </c>
    </row>
    <row r="728" spans="1:6" ht="39" thickBot="1" x14ac:dyDescent="0.35">
      <c r="A728" s="12" t="s">
        <v>138</v>
      </c>
      <c r="B728" s="2">
        <v>68635</v>
      </c>
    </row>
    <row r="729" spans="1:6" ht="25.5" x14ac:dyDescent="0.3">
      <c r="A729" s="13" t="s">
        <v>139</v>
      </c>
      <c r="B729" s="2">
        <v>30251935.699999999</v>
      </c>
    </row>
    <row r="730" spans="1:6" ht="17.25" thickBot="1" x14ac:dyDescent="0.35"/>
    <row r="731" spans="1:6" ht="33" customHeight="1" x14ac:dyDescent="0.3">
      <c r="A731" s="16" t="s">
        <v>140</v>
      </c>
      <c r="B731" s="18"/>
    </row>
    <row r="732" spans="1:6" ht="33.75" thickBot="1" x14ac:dyDescent="0.35">
      <c r="A732" s="12" t="s">
        <v>141</v>
      </c>
      <c r="B732" s="2" t="s">
        <v>142</v>
      </c>
    </row>
    <row r="733" spans="1:6" ht="25.5" x14ac:dyDescent="0.3">
      <c r="A733" s="13" t="s">
        <v>143</v>
      </c>
      <c r="B733" s="2" t="s">
        <v>144</v>
      </c>
    </row>
    <row r="734" spans="1:6" ht="17.25" thickBot="1" x14ac:dyDescent="0.35"/>
    <row r="735" spans="1:6" ht="16.5" customHeight="1" x14ac:dyDescent="0.3">
      <c r="A735" s="16" t="s">
        <v>238</v>
      </c>
      <c r="B735" s="18"/>
      <c r="C735" s="18"/>
      <c r="D735" s="18"/>
      <c r="E735" s="18"/>
      <c r="F735" s="18"/>
    </row>
    <row r="736" spans="1:6" ht="16.5" customHeight="1" x14ac:dyDescent="0.3">
      <c r="A736" s="17" t="s">
        <v>239</v>
      </c>
      <c r="B736" s="19" t="s">
        <v>94</v>
      </c>
      <c r="C736" s="19" t="s">
        <v>240</v>
      </c>
      <c r="D736" s="3" t="s">
        <v>241</v>
      </c>
      <c r="E736" s="19" t="s">
        <v>243</v>
      </c>
      <c r="F736" s="19"/>
    </row>
    <row r="737" spans="1:9" x14ac:dyDescent="0.3">
      <c r="A737" s="17"/>
      <c r="B737" s="19"/>
      <c r="C737" s="19"/>
      <c r="D737" s="3" t="s">
        <v>242</v>
      </c>
      <c r="E737" s="19"/>
      <c r="F737" s="19"/>
    </row>
    <row r="738" spans="1:9" x14ac:dyDescent="0.3">
      <c r="A738" s="13" t="s">
        <v>115</v>
      </c>
      <c r="B738" s="2">
        <v>68635</v>
      </c>
      <c r="C738" s="2">
        <v>0.66370899999999999</v>
      </c>
      <c r="D738" s="2">
        <v>4.4099999999999999E-4</v>
      </c>
      <c r="E738" s="2">
        <v>0.66284405999999996</v>
      </c>
      <c r="F738" s="2">
        <v>0.66457339000000004</v>
      </c>
    </row>
    <row r="742" spans="1:9" x14ac:dyDescent="0.3">
      <c r="A742" s="1" t="s">
        <v>237</v>
      </c>
    </row>
    <row r="744" spans="1:9" x14ac:dyDescent="0.3">
      <c r="A744" s="1" t="s">
        <v>21</v>
      </c>
    </row>
    <row r="745" spans="1:9" ht="17.25" thickBot="1" x14ac:dyDescent="0.35"/>
    <row r="746" spans="1:9" ht="16.5" customHeight="1" x14ac:dyDescent="0.3">
      <c r="A746" s="16" t="s">
        <v>276</v>
      </c>
      <c r="B746" s="18"/>
      <c r="C746" s="18"/>
      <c r="D746" s="18"/>
      <c r="E746" s="18"/>
      <c r="F746" s="18"/>
      <c r="G746" s="18"/>
    </row>
    <row r="747" spans="1:9" ht="16.5" customHeight="1" x14ac:dyDescent="0.3">
      <c r="A747" s="17" t="s">
        <v>15</v>
      </c>
      <c r="B747" s="19" t="s">
        <v>239</v>
      </c>
      <c r="C747" s="19" t="s">
        <v>94</v>
      </c>
      <c r="D747" s="19" t="s">
        <v>240</v>
      </c>
      <c r="E747" s="3" t="s">
        <v>241</v>
      </c>
      <c r="F747" s="19" t="s">
        <v>243</v>
      </c>
      <c r="G747" s="19"/>
    </row>
    <row r="748" spans="1:9" x14ac:dyDescent="0.3">
      <c r="A748" s="17"/>
      <c r="B748" s="19"/>
      <c r="C748" s="19"/>
      <c r="D748" s="19"/>
      <c r="E748" s="3" t="s">
        <v>242</v>
      </c>
      <c r="F748" s="19"/>
      <c r="G748" s="19"/>
    </row>
    <row r="749" spans="1:9" ht="17.25" thickBot="1" x14ac:dyDescent="0.35">
      <c r="A749" s="6">
        <v>0</v>
      </c>
      <c r="B749" s="11" t="s">
        <v>115</v>
      </c>
      <c r="C749" s="2">
        <v>52064</v>
      </c>
      <c r="D749" s="2">
        <v>0.65599799999999997</v>
      </c>
      <c r="E749" s="2">
        <v>4.84E-4</v>
      </c>
      <c r="F749" s="2">
        <v>0.65504958000000002</v>
      </c>
      <c r="G749" s="2">
        <v>0.65694721</v>
      </c>
      <c r="I749" t="str">
        <f t="shared" ref="I749:I750" si="10">TEXT(D749,"0.00")&amp;" ("&amp;TEXT(F749,"0.00")&amp;" to "&amp;TEXT(G749,"0.00")&amp;")"</f>
        <v>0.66 (0.66 to 0.66)</v>
      </c>
    </row>
    <row r="750" spans="1:9" x14ac:dyDescent="0.3">
      <c r="A750" s="6">
        <v>1</v>
      </c>
      <c r="B750" s="14" t="s">
        <v>115</v>
      </c>
      <c r="C750" s="2">
        <v>16571</v>
      </c>
      <c r="D750" s="2">
        <v>0.6845</v>
      </c>
      <c r="E750" s="2">
        <v>7.2199999999999999E-4</v>
      </c>
      <c r="F750" s="2">
        <v>0.68308535000000004</v>
      </c>
      <c r="G750" s="2">
        <v>0.68591508999999995</v>
      </c>
      <c r="I750" t="str">
        <f t="shared" si="10"/>
        <v>0.68 (0.68 to 0.69)</v>
      </c>
    </row>
    <row r="754" spans="1:6" x14ac:dyDescent="0.3">
      <c r="A754" s="1" t="s">
        <v>237</v>
      </c>
    </row>
    <row r="756" spans="1:6" x14ac:dyDescent="0.3">
      <c r="A756" s="1" t="s">
        <v>1</v>
      </c>
    </row>
    <row r="757" spans="1:6" ht="17.25" thickBot="1" x14ac:dyDescent="0.35"/>
    <row r="758" spans="1:6" ht="16.5" customHeight="1" x14ac:dyDescent="0.3">
      <c r="A758" s="16" t="s">
        <v>135</v>
      </c>
      <c r="B758" s="18"/>
    </row>
    <row r="759" spans="1:6" ht="26.25" thickBot="1" x14ac:dyDescent="0.35">
      <c r="A759" s="12" t="s">
        <v>136</v>
      </c>
      <c r="B759" s="2">
        <v>183</v>
      </c>
    </row>
    <row r="760" spans="1:6" ht="26.25" thickBot="1" x14ac:dyDescent="0.35">
      <c r="A760" s="12" t="s">
        <v>137</v>
      </c>
      <c r="B760" s="2">
        <v>2949</v>
      </c>
    </row>
    <row r="761" spans="1:6" ht="39" thickBot="1" x14ac:dyDescent="0.35">
      <c r="A761" s="12" t="s">
        <v>138</v>
      </c>
      <c r="B761" s="2">
        <v>23222</v>
      </c>
    </row>
    <row r="762" spans="1:6" ht="25.5" x14ac:dyDescent="0.3">
      <c r="A762" s="13" t="s">
        <v>139</v>
      </c>
      <c r="B762" s="2">
        <v>9036880.5199999996</v>
      </c>
    </row>
    <row r="763" spans="1:6" ht="17.25" thickBot="1" x14ac:dyDescent="0.35"/>
    <row r="764" spans="1:6" ht="33" customHeight="1" x14ac:dyDescent="0.3">
      <c r="A764" s="16" t="s">
        <v>140</v>
      </c>
      <c r="B764" s="18"/>
    </row>
    <row r="765" spans="1:6" ht="33.75" thickBot="1" x14ac:dyDescent="0.35">
      <c r="A765" s="12" t="s">
        <v>141</v>
      </c>
      <c r="B765" s="2" t="s">
        <v>142</v>
      </c>
    </row>
    <row r="766" spans="1:6" ht="25.5" x14ac:dyDescent="0.3">
      <c r="A766" s="13" t="s">
        <v>143</v>
      </c>
      <c r="B766" s="2" t="s">
        <v>144</v>
      </c>
    </row>
    <row r="767" spans="1:6" ht="17.25" thickBot="1" x14ac:dyDescent="0.35"/>
    <row r="768" spans="1:6" ht="16.5" customHeight="1" x14ac:dyDescent="0.3">
      <c r="A768" s="16" t="s">
        <v>238</v>
      </c>
      <c r="B768" s="18"/>
      <c r="C768" s="18"/>
      <c r="D768" s="18"/>
      <c r="E768" s="18"/>
      <c r="F768" s="18"/>
    </row>
    <row r="769" spans="1:7" ht="16.5" customHeight="1" x14ac:dyDescent="0.3">
      <c r="A769" s="17" t="s">
        <v>239</v>
      </c>
      <c r="B769" s="19" t="s">
        <v>94</v>
      </c>
      <c r="C769" s="19" t="s">
        <v>240</v>
      </c>
      <c r="D769" s="3" t="s">
        <v>241</v>
      </c>
      <c r="E769" s="19" t="s">
        <v>243</v>
      </c>
      <c r="F769" s="19"/>
    </row>
    <row r="770" spans="1:7" x14ac:dyDescent="0.3">
      <c r="A770" s="17"/>
      <c r="B770" s="19"/>
      <c r="C770" s="19"/>
      <c r="D770" s="3" t="s">
        <v>242</v>
      </c>
      <c r="E770" s="19"/>
      <c r="F770" s="19"/>
    </row>
    <row r="771" spans="1:7" x14ac:dyDescent="0.3">
      <c r="A771" s="13" t="s">
        <v>115</v>
      </c>
      <c r="B771" s="2">
        <v>23222</v>
      </c>
      <c r="C771" s="2">
        <v>0.64841899999999997</v>
      </c>
      <c r="D771" s="2">
        <v>7.7200000000000001E-4</v>
      </c>
      <c r="E771" s="2">
        <v>0.64690462000000004</v>
      </c>
      <c r="F771" s="2">
        <v>0.64993400999999995</v>
      </c>
    </row>
    <row r="775" spans="1:7" x14ac:dyDescent="0.3">
      <c r="A775" s="1" t="s">
        <v>237</v>
      </c>
    </row>
    <row r="777" spans="1:7" x14ac:dyDescent="0.3">
      <c r="A777" s="1" t="s">
        <v>1</v>
      </c>
    </row>
    <row r="778" spans="1:7" ht="17.25" thickBot="1" x14ac:dyDescent="0.35"/>
    <row r="779" spans="1:7" ht="16.5" customHeight="1" x14ac:dyDescent="0.3">
      <c r="A779" s="16" t="s">
        <v>277</v>
      </c>
      <c r="B779" s="18"/>
      <c r="C779" s="18"/>
      <c r="D779" s="18"/>
      <c r="E779" s="18"/>
      <c r="F779" s="18"/>
      <c r="G779" s="18"/>
    </row>
    <row r="780" spans="1:7" ht="16.5" customHeight="1" x14ac:dyDescent="0.3">
      <c r="A780" s="17" t="s">
        <v>16</v>
      </c>
      <c r="B780" s="19" t="s">
        <v>239</v>
      </c>
      <c r="C780" s="19" t="s">
        <v>94</v>
      </c>
      <c r="D780" s="19" t="s">
        <v>240</v>
      </c>
      <c r="E780" s="3" t="s">
        <v>241</v>
      </c>
      <c r="F780" s="19" t="s">
        <v>243</v>
      </c>
      <c r="G780" s="19"/>
    </row>
    <row r="781" spans="1:7" x14ac:dyDescent="0.3">
      <c r="A781" s="17"/>
      <c r="B781" s="19"/>
      <c r="C781" s="19"/>
      <c r="D781" s="19"/>
      <c r="E781" s="3" t="s">
        <v>242</v>
      </c>
      <c r="F781" s="19"/>
      <c r="G781" s="19"/>
    </row>
    <row r="782" spans="1:7" ht="17.25" thickBot="1" x14ac:dyDescent="0.35">
      <c r="A782" s="6">
        <v>0</v>
      </c>
      <c r="B782" s="11" t="s">
        <v>115</v>
      </c>
      <c r="C782" s="2">
        <v>17685</v>
      </c>
      <c r="D782" s="2">
        <v>0.63351500000000005</v>
      </c>
      <c r="E782" s="2">
        <v>7.7700000000000002E-4</v>
      </c>
      <c r="F782" s="2">
        <v>0.63199128000000004</v>
      </c>
      <c r="G782" s="2">
        <v>0.63503825999999997</v>
      </c>
    </row>
    <row r="783" spans="1:7" ht="17.25" thickBot="1" x14ac:dyDescent="0.35">
      <c r="A783" s="6">
        <v>1</v>
      </c>
      <c r="B783" s="11" t="s">
        <v>115</v>
      </c>
      <c r="C783" s="2">
        <v>4929</v>
      </c>
      <c r="D783" s="2">
        <v>0.71700200000000003</v>
      </c>
      <c r="E783" s="2">
        <v>1.212E-3</v>
      </c>
      <c r="F783" s="2">
        <v>0.71462482999999999</v>
      </c>
      <c r="G783" s="2">
        <v>0.71937872000000003</v>
      </c>
    </row>
    <row r="784" spans="1:7" x14ac:dyDescent="0.3">
      <c r="A784" s="6">
        <v>8</v>
      </c>
      <c r="B784" s="14" t="s">
        <v>115</v>
      </c>
      <c r="C784" s="2">
        <v>608</v>
      </c>
      <c r="D784" s="2">
        <v>0.66769699999999998</v>
      </c>
      <c r="E784" s="2">
        <v>3.666E-3</v>
      </c>
      <c r="F784" s="2">
        <v>0.66050953999999995</v>
      </c>
      <c r="G784" s="2">
        <v>0.67488523</v>
      </c>
    </row>
    <row r="788" spans="1:2" x14ac:dyDescent="0.3">
      <c r="A788" s="1" t="s">
        <v>237</v>
      </c>
    </row>
    <row r="790" spans="1:2" x14ac:dyDescent="0.3">
      <c r="A790" s="1" t="s">
        <v>21</v>
      </c>
    </row>
    <row r="791" spans="1:2" ht="17.25" thickBot="1" x14ac:dyDescent="0.35"/>
    <row r="792" spans="1:2" ht="16.5" customHeight="1" x14ac:dyDescent="0.3">
      <c r="A792" s="16" t="s">
        <v>135</v>
      </c>
      <c r="B792" s="18"/>
    </row>
    <row r="793" spans="1:2" ht="26.25" thickBot="1" x14ac:dyDescent="0.35">
      <c r="A793" s="12" t="s">
        <v>136</v>
      </c>
      <c r="B793" s="2">
        <v>183</v>
      </c>
    </row>
    <row r="794" spans="1:2" ht="26.25" thickBot="1" x14ac:dyDescent="0.35">
      <c r="A794" s="12" t="s">
        <v>137</v>
      </c>
      <c r="B794" s="2">
        <v>2982</v>
      </c>
    </row>
    <row r="795" spans="1:2" ht="39" thickBot="1" x14ac:dyDescent="0.35">
      <c r="A795" s="12" t="s">
        <v>138</v>
      </c>
      <c r="B795" s="2">
        <v>68635</v>
      </c>
    </row>
    <row r="796" spans="1:2" ht="25.5" x14ac:dyDescent="0.3">
      <c r="A796" s="13" t="s">
        <v>139</v>
      </c>
      <c r="B796" s="2">
        <v>30251935.699999999</v>
      </c>
    </row>
    <row r="797" spans="1:2" ht="17.25" thickBot="1" x14ac:dyDescent="0.35"/>
    <row r="798" spans="1:2" ht="33" customHeight="1" x14ac:dyDescent="0.3">
      <c r="A798" s="16" t="s">
        <v>140</v>
      </c>
      <c r="B798" s="18"/>
    </row>
    <row r="799" spans="1:2" ht="33.75" thickBot="1" x14ac:dyDescent="0.35">
      <c r="A799" s="12" t="s">
        <v>141</v>
      </c>
      <c r="B799" s="2" t="s">
        <v>142</v>
      </c>
    </row>
    <row r="800" spans="1:2" ht="25.5" x14ac:dyDescent="0.3">
      <c r="A800" s="13" t="s">
        <v>143</v>
      </c>
      <c r="B800" s="2" t="s">
        <v>144</v>
      </c>
    </row>
    <row r="801" spans="1:9" ht="17.25" thickBot="1" x14ac:dyDescent="0.35"/>
    <row r="802" spans="1:9" ht="16.5" customHeight="1" x14ac:dyDescent="0.3">
      <c r="A802" s="16" t="s">
        <v>238</v>
      </c>
      <c r="B802" s="18"/>
      <c r="C802" s="18"/>
      <c r="D802" s="18"/>
      <c r="E802" s="18"/>
      <c r="F802" s="18"/>
    </row>
    <row r="803" spans="1:9" ht="16.5" customHeight="1" x14ac:dyDescent="0.3">
      <c r="A803" s="17" t="s">
        <v>239</v>
      </c>
      <c r="B803" s="19" t="s">
        <v>94</v>
      </c>
      <c r="C803" s="19" t="s">
        <v>240</v>
      </c>
      <c r="D803" s="3" t="s">
        <v>241</v>
      </c>
      <c r="E803" s="19" t="s">
        <v>243</v>
      </c>
      <c r="F803" s="19"/>
    </row>
    <row r="804" spans="1:9" x14ac:dyDescent="0.3">
      <c r="A804" s="17"/>
      <c r="B804" s="19"/>
      <c r="C804" s="19"/>
      <c r="D804" s="3" t="s">
        <v>242</v>
      </c>
      <c r="E804" s="19"/>
      <c r="F804" s="19"/>
    </row>
    <row r="805" spans="1:9" x14ac:dyDescent="0.3">
      <c r="A805" s="13" t="s">
        <v>115</v>
      </c>
      <c r="B805" s="2">
        <v>68635</v>
      </c>
      <c r="C805" s="2">
        <v>0.66370899999999999</v>
      </c>
      <c r="D805" s="2">
        <v>4.4099999999999999E-4</v>
      </c>
      <c r="E805" s="2">
        <v>0.66284405999999996</v>
      </c>
      <c r="F805" s="2">
        <v>0.66457339000000004</v>
      </c>
    </row>
    <row r="809" spans="1:9" x14ac:dyDescent="0.3">
      <c r="A809" s="1" t="s">
        <v>237</v>
      </c>
    </row>
    <row r="811" spans="1:9" x14ac:dyDescent="0.3">
      <c r="A811" s="1" t="s">
        <v>21</v>
      </c>
    </row>
    <row r="812" spans="1:9" ht="17.25" thickBot="1" x14ac:dyDescent="0.35"/>
    <row r="813" spans="1:9" ht="16.5" customHeight="1" x14ac:dyDescent="0.3">
      <c r="A813" s="16" t="s">
        <v>277</v>
      </c>
      <c r="B813" s="18"/>
      <c r="C813" s="18"/>
      <c r="D813" s="18"/>
      <c r="E813" s="18"/>
      <c r="F813" s="18"/>
      <c r="G813" s="18"/>
    </row>
    <row r="814" spans="1:9" ht="16.5" customHeight="1" x14ac:dyDescent="0.3">
      <c r="A814" s="17" t="s">
        <v>16</v>
      </c>
      <c r="B814" s="19" t="s">
        <v>239</v>
      </c>
      <c r="C814" s="19" t="s">
        <v>94</v>
      </c>
      <c r="D814" s="19" t="s">
        <v>240</v>
      </c>
      <c r="E814" s="3" t="s">
        <v>241</v>
      </c>
      <c r="F814" s="19" t="s">
        <v>243</v>
      </c>
      <c r="G814" s="19"/>
    </row>
    <row r="815" spans="1:9" x14ac:dyDescent="0.3">
      <c r="A815" s="17"/>
      <c r="B815" s="19"/>
      <c r="C815" s="19"/>
      <c r="D815" s="19"/>
      <c r="E815" s="3" t="s">
        <v>242</v>
      </c>
      <c r="F815" s="19"/>
      <c r="G815" s="19"/>
    </row>
    <row r="816" spans="1:9" ht="17.25" thickBot="1" x14ac:dyDescent="0.35">
      <c r="A816" s="6">
        <v>0</v>
      </c>
      <c r="B816" s="11" t="s">
        <v>115</v>
      </c>
      <c r="C816" s="2">
        <v>53910</v>
      </c>
      <c r="D816" s="2">
        <v>0.65406699999999995</v>
      </c>
      <c r="E816" s="2">
        <v>4.4000000000000002E-4</v>
      </c>
      <c r="F816" s="2">
        <v>0.65320378999999995</v>
      </c>
      <c r="G816" s="2">
        <v>0.65493027999999998</v>
      </c>
      <c r="I816" t="str">
        <f t="shared" ref="I816:I817" si="11">TEXT(D816,"0.00")&amp;" ("&amp;TEXT(F816,"0.00")&amp;" to "&amp;TEXT(G816,"0.00")&amp;")"</f>
        <v>0.65 (0.65 to 0.65)</v>
      </c>
    </row>
    <row r="817" spans="1:9" x14ac:dyDescent="0.3">
      <c r="A817" s="6">
        <v>1</v>
      </c>
      <c r="B817" s="14" t="s">
        <v>115</v>
      </c>
      <c r="C817" s="2">
        <v>14725</v>
      </c>
      <c r="D817" s="2">
        <v>0.71091199999999999</v>
      </c>
      <c r="E817" s="2">
        <v>7.45E-4</v>
      </c>
      <c r="F817" s="2">
        <v>0.70945106000000002</v>
      </c>
      <c r="G817" s="2">
        <v>0.71237205999999997</v>
      </c>
      <c r="I817" t="str">
        <f t="shared" si="11"/>
        <v>0.71 (0.71 to 0.71)</v>
      </c>
    </row>
    <row r="821" spans="1:9" x14ac:dyDescent="0.3">
      <c r="A821" s="1" t="s">
        <v>237</v>
      </c>
    </row>
    <row r="823" spans="1:9" x14ac:dyDescent="0.3">
      <c r="A823" s="1" t="s">
        <v>1</v>
      </c>
    </row>
    <row r="824" spans="1:9" ht="17.25" thickBot="1" x14ac:dyDescent="0.35"/>
    <row r="825" spans="1:9" ht="16.5" customHeight="1" x14ac:dyDescent="0.3">
      <c r="A825" s="16" t="s">
        <v>135</v>
      </c>
      <c r="B825" s="18"/>
    </row>
    <row r="826" spans="1:9" ht="26.25" thickBot="1" x14ac:dyDescent="0.35">
      <c r="A826" s="12" t="s">
        <v>136</v>
      </c>
      <c r="B826" s="2">
        <v>183</v>
      </c>
    </row>
    <row r="827" spans="1:9" ht="26.25" thickBot="1" x14ac:dyDescent="0.35">
      <c r="A827" s="12" t="s">
        <v>137</v>
      </c>
      <c r="B827" s="2">
        <v>2949</v>
      </c>
    </row>
    <row r="828" spans="1:9" ht="39" thickBot="1" x14ac:dyDescent="0.35">
      <c r="A828" s="12" t="s">
        <v>138</v>
      </c>
      <c r="B828" s="2">
        <v>23222</v>
      </c>
    </row>
    <row r="829" spans="1:9" ht="25.5" x14ac:dyDescent="0.3">
      <c r="A829" s="13" t="s">
        <v>139</v>
      </c>
      <c r="B829" s="2">
        <v>9036880.5199999996</v>
      </c>
    </row>
    <row r="830" spans="1:9" ht="17.25" thickBot="1" x14ac:dyDescent="0.35"/>
    <row r="831" spans="1:9" ht="33" customHeight="1" x14ac:dyDescent="0.3">
      <c r="A831" s="16" t="s">
        <v>140</v>
      </c>
      <c r="B831" s="18"/>
    </row>
    <row r="832" spans="1:9" ht="33.75" thickBot="1" x14ac:dyDescent="0.35">
      <c r="A832" s="12" t="s">
        <v>141</v>
      </c>
      <c r="B832" s="2" t="s">
        <v>142</v>
      </c>
    </row>
    <row r="833" spans="1:7" ht="25.5" x14ac:dyDescent="0.3">
      <c r="A833" s="13" t="s">
        <v>143</v>
      </c>
      <c r="B833" s="2" t="s">
        <v>144</v>
      </c>
    </row>
    <row r="834" spans="1:7" ht="17.25" thickBot="1" x14ac:dyDescent="0.35"/>
    <row r="835" spans="1:7" ht="16.5" customHeight="1" x14ac:dyDescent="0.3">
      <c r="A835" s="16" t="s">
        <v>238</v>
      </c>
      <c r="B835" s="18"/>
      <c r="C835" s="18"/>
      <c r="D835" s="18"/>
      <c r="E835" s="18"/>
      <c r="F835" s="18"/>
    </row>
    <row r="836" spans="1:7" ht="16.5" customHeight="1" x14ac:dyDescent="0.3">
      <c r="A836" s="17" t="s">
        <v>239</v>
      </c>
      <c r="B836" s="19" t="s">
        <v>94</v>
      </c>
      <c r="C836" s="19" t="s">
        <v>240</v>
      </c>
      <c r="D836" s="3" t="s">
        <v>241</v>
      </c>
      <c r="E836" s="19" t="s">
        <v>243</v>
      </c>
      <c r="F836" s="19"/>
    </row>
    <row r="837" spans="1:7" x14ac:dyDescent="0.3">
      <c r="A837" s="17"/>
      <c r="B837" s="19"/>
      <c r="C837" s="19"/>
      <c r="D837" s="3" t="s">
        <v>242</v>
      </c>
      <c r="E837" s="19"/>
      <c r="F837" s="19"/>
    </row>
    <row r="838" spans="1:7" x14ac:dyDescent="0.3">
      <c r="A838" s="13" t="s">
        <v>115</v>
      </c>
      <c r="B838" s="2">
        <v>23222</v>
      </c>
      <c r="C838" s="2">
        <v>0.64841899999999997</v>
      </c>
      <c r="D838" s="2">
        <v>7.7200000000000001E-4</v>
      </c>
      <c r="E838" s="2">
        <v>0.64690462000000004</v>
      </c>
      <c r="F838" s="2">
        <v>0.64993400999999995</v>
      </c>
    </row>
    <row r="842" spans="1:7" x14ac:dyDescent="0.3">
      <c r="A842" s="1" t="s">
        <v>237</v>
      </c>
    </row>
    <row r="844" spans="1:7" x14ac:dyDescent="0.3">
      <c r="A844" s="1" t="s">
        <v>1</v>
      </c>
    </row>
    <row r="845" spans="1:7" ht="17.25" thickBot="1" x14ac:dyDescent="0.35"/>
    <row r="846" spans="1:7" ht="16.5" customHeight="1" x14ac:dyDescent="0.3">
      <c r="A846" s="16" t="s">
        <v>278</v>
      </c>
      <c r="B846" s="18"/>
      <c r="C846" s="18"/>
      <c r="D846" s="18"/>
      <c r="E846" s="18"/>
      <c r="F846" s="18"/>
      <c r="G846" s="18"/>
    </row>
    <row r="847" spans="1:7" ht="16.5" customHeight="1" x14ac:dyDescent="0.3">
      <c r="A847" s="17" t="s">
        <v>17</v>
      </c>
      <c r="B847" s="19" t="s">
        <v>239</v>
      </c>
      <c r="C847" s="19" t="s">
        <v>94</v>
      </c>
      <c r="D847" s="19" t="s">
        <v>240</v>
      </c>
      <c r="E847" s="3" t="s">
        <v>241</v>
      </c>
      <c r="F847" s="19" t="s">
        <v>243</v>
      </c>
      <c r="G847" s="19"/>
    </row>
    <row r="848" spans="1:7" x14ac:dyDescent="0.3">
      <c r="A848" s="17"/>
      <c r="B848" s="19"/>
      <c r="C848" s="19"/>
      <c r="D848" s="19"/>
      <c r="E848" s="3" t="s">
        <v>242</v>
      </c>
      <c r="F848" s="19"/>
      <c r="G848" s="19"/>
    </row>
    <row r="849" spans="1:7" ht="17.25" thickBot="1" x14ac:dyDescent="0.35">
      <c r="A849" s="6">
        <v>0</v>
      </c>
      <c r="B849" s="11" t="s">
        <v>115</v>
      </c>
      <c r="C849" s="2">
        <v>19657</v>
      </c>
      <c r="D849" s="2">
        <v>0.63960099999999998</v>
      </c>
      <c r="E849" s="2">
        <v>7.7999999999999999E-4</v>
      </c>
      <c r="F849" s="2">
        <v>0.63807031000000003</v>
      </c>
      <c r="G849" s="2">
        <v>0.64113089000000001</v>
      </c>
    </row>
    <row r="850" spans="1:7" ht="17.25" thickBot="1" x14ac:dyDescent="0.35">
      <c r="A850" s="6">
        <v>1</v>
      </c>
      <c r="B850" s="11" t="s">
        <v>115</v>
      </c>
      <c r="C850" s="2">
        <v>2956</v>
      </c>
      <c r="D850" s="2">
        <v>0.71369899999999997</v>
      </c>
      <c r="E850" s="2">
        <v>1.611E-3</v>
      </c>
      <c r="F850" s="2">
        <v>0.71054059999999997</v>
      </c>
      <c r="G850" s="2">
        <v>0.71685805999999996</v>
      </c>
    </row>
    <row r="851" spans="1:7" x14ac:dyDescent="0.3">
      <c r="A851" s="6">
        <v>8</v>
      </c>
      <c r="B851" s="14" t="s">
        <v>115</v>
      </c>
      <c r="C851" s="2">
        <v>609</v>
      </c>
      <c r="D851" s="2">
        <v>0.66784100000000002</v>
      </c>
      <c r="E851" s="2">
        <v>3.666E-3</v>
      </c>
      <c r="F851" s="2">
        <v>0.66065213</v>
      </c>
      <c r="G851" s="2">
        <v>0.67503077</v>
      </c>
    </row>
    <row r="855" spans="1:7" x14ac:dyDescent="0.3">
      <c r="A855" s="1" t="s">
        <v>237</v>
      </c>
    </row>
    <row r="857" spans="1:7" x14ac:dyDescent="0.3">
      <c r="A857" s="1" t="s">
        <v>21</v>
      </c>
    </row>
    <row r="858" spans="1:7" ht="17.25" thickBot="1" x14ac:dyDescent="0.35"/>
    <row r="859" spans="1:7" ht="16.5" customHeight="1" x14ac:dyDescent="0.3">
      <c r="A859" s="16" t="s">
        <v>135</v>
      </c>
      <c r="B859" s="18"/>
    </row>
    <row r="860" spans="1:7" ht="26.25" thickBot="1" x14ac:dyDescent="0.35">
      <c r="A860" s="12" t="s">
        <v>136</v>
      </c>
      <c r="B860" s="2">
        <v>183</v>
      </c>
    </row>
    <row r="861" spans="1:7" ht="26.25" thickBot="1" x14ac:dyDescent="0.35">
      <c r="A861" s="12" t="s">
        <v>137</v>
      </c>
      <c r="B861" s="2">
        <v>2982</v>
      </c>
    </row>
    <row r="862" spans="1:7" ht="39" thickBot="1" x14ac:dyDescent="0.35">
      <c r="A862" s="12" t="s">
        <v>138</v>
      </c>
      <c r="B862" s="2">
        <v>68635</v>
      </c>
    </row>
    <row r="863" spans="1:7" ht="25.5" x14ac:dyDescent="0.3">
      <c r="A863" s="13" t="s">
        <v>139</v>
      </c>
      <c r="B863" s="2">
        <v>30251935.699999999</v>
      </c>
    </row>
    <row r="864" spans="1:7" ht="17.25" thickBot="1" x14ac:dyDescent="0.35"/>
    <row r="865" spans="1:7" ht="33" customHeight="1" x14ac:dyDescent="0.3">
      <c r="A865" s="16" t="s">
        <v>140</v>
      </c>
      <c r="B865" s="18"/>
    </row>
    <row r="866" spans="1:7" ht="33.75" thickBot="1" x14ac:dyDescent="0.35">
      <c r="A866" s="12" t="s">
        <v>141</v>
      </c>
      <c r="B866" s="2" t="s">
        <v>142</v>
      </c>
    </row>
    <row r="867" spans="1:7" ht="25.5" x14ac:dyDescent="0.3">
      <c r="A867" s="13" t="s">
        <v>143</v>
      </c>
      <c r="B867" s="2" t="s">
        <v>144</v>
      </c>
    </row>
    <row r="868" spans="1:7" ht="17.25" thickBot="1" x14ac:dyDescent="0.35"/>
    <row r="869" spans="1:7" ht="16.5" customHeight="1" x14ac:dyDescent="0.3">
      <c r="A869" s="16" t="s">
        <v>238</v>
      </c>
      <c r="B869" s="18"/>
      <c r="C869" s="18"/>
      <c r="D869" s="18"/>
      <c r="E869" s="18"/>
      <c r="F869" s="18"/>
    </row>
    <row r="870" spans="1:7" ht="16.5" customHeight="1" x14ac:dyDescent="0.3">
      <c r="A870" s="17" t="s">
        <v>239</v>
      </c>
      <c r="B870" s="19" t="s">
        <v>94</v>
      </c>
      <c r="C870" s="19" t="s">
        <v>240</v>
      </c>
      <c r="D870" s="3" t="s">
        <v>241</v>
      </c>
      <c r="E870" s="19" t="s">
        <v>243</v>
      </c>
      <c r="F870" s="19"/>
    </row>
    <row r="871" spans="1:7" x14ac:dyDescent="0.3">
      <c r="A871" s="17"/>
      <c r="B871" s="19"/>
      <c r="C871" s="19"/>
      <c r="D871" s="3" t="s">
        <v>242</v>
      </c>
      <c r="E871" s="19"/>
      <c r="F871" s="19"/>
    </row>
    <row r="872" spans="1:7" x14ac:dyDescent="0.3">
      <c r="A872" s="13" t="s">
        <v>115</v>
      </c>
      <c r="B872" s="2">
        <v>68635</v>
      </c>
      <c r="C872" s="2">
        <v>0.66370899999999999</v>
      </c>
      <c r="D872" s="2">
        <v>4.4099999999999999E-4</v>
      </c>
      <c r="E872" s="2">
        <v>0.66284405999999996</v>
      </c>
      <c r="F872" s="2">
        <v>0.66457339000000004</v>
      </c>
    </row>
    <row r="876" spans="1:7" x14ac:dyDescent="0.3">
      <c r="A876" s="1" t="s">
        <v>237</v>
      </c>
    </row>
    <row r="878" spans="1:7" x14ac:dyDescent="0.3">
      <c r="A878" s="1" t="s">
        <v>21</v>
      </c>
    </row>
    <row r="879" spans="1:7" ht="17.25" thickBot="1" x14ac:dyDescent="0.35"/>
    <row r="880" spans="1:7" ht="16.5" customHeight="1" x14ac:dyDescent="0.3">
      <c r="A880" s="16" t="s">
        <v>278</v>
      </c>
      <c r="B880" s="18"/>
      <c r="C880" s="18"/>
      <c r="D880" s="18"/>
      <c r="E880" s="18"/>
      <c r="F880" s="18"/>
      <c r="G880" s="18"/>
    </row>
    <row r="881" spans="1:9" ht="16.5" customHeight="1" x14ac:dyDescent="0.3">
      <c r="A881" s="17" t="s">
        <v>17</v>
      </c>
      <c r="B881" s="19" t="s">
        <v>239</v>
      </c>
      <c r="C881" s="19" t="s">
        <v>94</v>
      </c>
      <c r="D881" s="19" t="s">
        <v>240</v>
      </c>
      <c r="E881" s="3" t="s">
        <v>241</v>
      </c>
      <c r="F881" s="19" t="s">
        <v>243</v>
      </c>
      <c r="G881" s="19"/>
    </row>
    <row r="882" spans="1:9" x14ac:dyDescent="0.3">
      <c r="A882" s="17"/>
      <c r="B882" s="19"/>
      <c r="C882" s="19"/>
      <c r="D882" s="19"/>
      <c r="E882" s="3" t="s">
        <v>242</v>
      </c>
      <c r="F882" s="19"/>
      <c r="G882" s="19"/>
    </row>
    <row r="883" spans="1:9" ht="17.25" thickBot="1" x14ac:dyDescent="0.35">
      <c r="A883" s="6">
        <v>0</v>
      </c>
      <c r="B883" s="11" t="s">
        <v>115</v>
      </c>
      <c r="C883" s="2">
        <v>58467</v>
      </c>
      <c r="D883" s="2">
        <v>0.65729700000000002</v>
      </c>
      <c r="E883" s="2">
        <v>4.4799999999999999E-4</v>
      </c>
      <c r="F883" s="2">
        <v>0.65641769999999999</v>
      </c>
      <c r="G883" s="2">
        <v>0.65817621000000004</v>
      </c>
      <c r="I883" t="str">
        <f t="shared" ref="I883:I884" si="12">TEXT(D883,"0.00")&amp;" ("&amp;TEXT(F883,"0.00")&amp;" to "&amp;TEXT(G883,"0.00")&amp;")"</f>
        <v>0.66 (0.66 to 0.66)</v>
      </c>
    </row>
    <row r="884" spans="1:9" x14ac:dyDescent="0.3">
      <c r="A884" s="6">
        <v>1</v>
      </c>
      <c r="B884" s="14" t="s">
        <v>115</v>
      </c>
      <c r="C884" s="2">
        <v>10168</v>
      </c>
      <c r="D884" s="2">
        <v>0.70841200000000004</v>
      </c>
      <c r="E884" s="2">
        <v>8.5300000000000003E-4</v>
      </c>
      <c r="F884" s="2">
        <v>0.70673944</v>
      </c>
      <c r="G884" s="2">
        <v>0.71008497000000004</v>
      </c>
      <c r="I884" t="str">
        <f t="shared" si="12"/>
        <v>0.71 (0.71 to 0.71)</v>
      </c>
    </row>
    <row r="888" spans="1:9" x14ac:dyDescent="0.3">
      <c r="A888" s="1" t="s">
        <v>237</v>
      </c>
    </row>
    <row r="890" spans="1:9" x14ac:dyDescent="0.3">
      <c r="A890" s="1" t="s">
        <v>1</v>
      </c>
    </row>
    <row r="891" spans="1:9" ht="17.25" thickBot="1" x14ac:dyDescent="0.35"/>
    <row r="892" spans="1:9" ht="16.5" customHeight="1" x14ac:dyDescent="0.3">
      <c r="A892" s="16" t="s">
        <v>135</v>
      </c>
      <c r="B892" s="18"/>
    </row>
    <row r="893" spans="1:9" ht="26.25" thickBot="1" x14ac:dyDescent="0.35">
      <c r="A893" s="12" t="s">
        <v>136</v>
      </c>
      <c r="B893" s="2">
        <v>183</v>
      </c>
    </row>
    <row r="894" spans="1:9" ht="26.25" thickBot="1" x14ac:dyDescent="0.35">
      <c r="A894" s="12" t="s">
        <v>137</v>
      </c>
      <c r="B894" s="2">
        <v>2949</v>
      </c>
    </row>
    <row r="895" spans="1:9" ht="39" thickBot="1" x14ac:dyDescent="0.35">
      <c r="A895" s="12" t="s">
        <v>138</v>
      </c>
      <c r="B895" s="2">
        <v>23222</v>
      </c>
    </row>
    <row r="896" spans="1:9" ht="25.5" x14ac:dyDescent="0.3">
      <c r="A896" s="13" t="s">
        <v>139</v>
      </c>
      <c r="B896" s="2">
        <v>9036880.5199999996</v>
      </c>
    </row>
    <row r="897" spans="1:6" ht="17.25" thickBot="1" x14ac:dyDescent="0.35"/>
    <row r="898" spans="1:6" ht="33" customHeight="1" x14ac:dyDescent="0.3">
      <c r="A898" s="16" t="s">
        <v>140</v>
      </c>
      <c r="B898" s="18"/>
    </row>
    <row r="899" spans="1:6" ht="33.75" thickBot="1" x14ac:dyDescent="0.35">
      <c r="A899" s="12" t="s">
        <v>141</v>
      </c>
      <c r="B899" s="2" t="s">
        <v>142</v>
      </c>
    </row>
    <row r="900" spans="1:6" ht="25.5" x14ac:dyDescent="0.3">
      <c r="A900" s="13" t="s">
        <v>143</v>
      </c>
      <c r="B900" s="2" t="s">
        <v>144</v>
      </c>
    </row>
    <row r="901" spans="1:6" ht="17.25" thickBot="1" x14ac:dyDescent="0.35"/>
    <row r="902" spans="1:6" ht="16.5" customHeight="1" x14ac:dyDescent="0.3">
      <c r="A902" s="16" t="s">
        <v>238</v>
      </c>
      <c r="B902" s="18"/>
      <c r="C902" s="18"/>
      <c r="D902" s="18"/>
      <c r="E902" s="18"/>
      <c r="F902" s="18"/>
    </row>
    <row r="903" spans="1:6" ht="16.5" customHeight="1" x14ac:dyDescent="0.3">
      <c r="A903" s="17" t="s">
        <v>239</v>
      </c>
      <c r="B903" s="19" t="s">
        <v>94</v>
      </c>
      <c r="C903" s="19" t="s">
        <v>240</v>
      </c>
      <c r="D903" s="3" t="s">
        <v>241</v>
      </c>
      <c r="E903" s="19" t="s">
        <v>243</v>
      </c>
      <c r="F903" s="19"/>
    </row>
    <row r="904" spans="1:6" x14ac:dyDescent="0.3">
      <c r="A904" s="17"/>
      <c r="B904" s="19"/>
      <c r="C904" s="19"/>
      <c r="D904" s="3" t="s">
        <v>242</v>
      </c>
      <c r="E904" s="19"/>
      <c r="F904" s="19"/>
    </row>
    <row r="905" spans="1:6" x14ac:dyDescent="0.3">
      <c r="A905" s="13" t="s">
        <v>115</v>
      </c>
      <c r="B905" s="2">
        <v>23222</v>
      </c>
      <c r="C905" s="2">
        <v>0.64841899999999997</v>
      </c>
      <c r="D905" s="2">
        <v>7.7200000000000001E-4</v>
      </c>
      <c r="E905" s="2">
        <v>0.64690462000000004</v>
      </c>
      <c r="F905" s="2">
        <v>0.64993400999999995</v>
      </c>
    </row>
    <row r="909" spans="1:6" x14ac:dyDescent="0.3">
      <c r="A909" s="1" t="s">
        <v>237</v>
      </c>
    </row>
    <row r="911" spans="1:6" x14ac:dyDescent="0.3">
      <c r="A911" s="1" t="s">
        <v>1</v>
      </c>
    </row>
    <row r="912" spans="1:6" ht="17.25" thickBot="1" x14ac:dyDescent="0.35"/>
    <row r="913" spans="1:7" ht="16.5" customHeight="1" x14ac:dyDescent="0.3">
      <c r="A913" s="16" t="s">
        <v>279</v>
      </c>
      <c r="B913" s="18"/>
      <c r="C913" s="18"/>
      <c r="D913" s="18"/>
      <c r="E913" s="18"/>
      <c r="F913" s="18"/>
      <c r="G913" s="18"/>
    </row>
    <row r="914" spans="1:7" ht="16.5" customHeight="1" x14ac:dyDescent="0.3">
      <c r="A914" s="17" t="s">
        <v>18</v>
      </c>
      <c r="B914" s="19" t="s">
        <v>239</v>
      </c>
      <c r="C914" s="19" t="s">
        <v>94</v>
      </c>
      <c r="D914" s="19" t="s">
        <v>240</v>
      </c>
      <c r="E914" s="3" t="s">
        <v>241</v>
      </c>
      <c r="F914" s="19" t="s">
        <v>243</v>
      </c>
      <c r="G914" s="19"/>
    </row>
    <row r="915" spans="1:7" x14ac:dyDescent="0.3">
      <c r="A915" s="17"/>
      <c r="B915" s="19"/>
      <c r="C915" s="19"/>
      <c r="D915" s="19"/>
      <c r="E915" s="3" t="s">
        <v>242</v>
      </c>
      <c r="F915" s="19"/>
      <c r="G915" s="19"/>
    </row>
    <row r="916" spans="1:7" ht="17.25" thickBot="1" x14ac:dyDescent="0.35">
      <c r="A916" s="6">
        <v>0</v>
      </c>
      <c r="B916" s="11" t="s">
        <v>115</v>
      </c>
      <c r="C916" s="2">
        <v>20255</v>
      </c>
      <c r="D916" s="2">
        <v>0.642764</v>
      </c>
      <c r="E916" s="2">
        <v>8.0900000000000004E-4</v>
      </c>
      <c r="F916" s="2">
        <v>0.64117718000000001</v>
      </c>
      <c r="G916" s="2">
        <v>0.64435156999999998</v>
      </c>
    </row>
    <row r="917" spans="1:7" ht="17.25" thickBot="1" x14ac:dyDescent="0.35">
      <c r="A917" s="6">
        <v>1</v>
      </c>
      <c r="B917" s="11" t="s">
        <v>115</v>
      </c>
      <c r="C917" s="2">
        <v>440</v>
      </c>
      <c r="D917" s="2">
        <v>0.722383</v>
      </c>
      <c r="E917" s="2">
        <v>3.96E-3</v>
      </c>
      <c r="F917" s="2">
        <v>0.71461777000000004</v>
      </c>
      <c r="G917" s="2">
        <v>0.73014844999999995</v>
      </c>
    </row>
    <row r="918" spans="1:7" x14ac:dyDescent="0.3">
      <c r="A918" s="6">
        <v>8</v>
      </c>
      <c r="B918" s="14" t="s">
        <v>115</v>
      </c>
      <c r="C918" s="2">
        <v>2527</v>
      </c>
      <c r="D918" s="2">
        <v>0.67827800000000005</v>
      </c>
      <c r="E918" s="2">
        <v>1.9689999999999998E-3</v>
      </c>
      <c r="F918" s="2">
        <v>0.67441806000000004</v>
      </c>
      <c r="G918" s="2">
        <v>0.68213831000000003</v>
      </c>
    </row>
    <row r="922" spans="1:7" x14ac:dyDescent="0.3">
      <c r="A922" s="1" t="s">
        <v>237</v>
      </c>
    </row>
    <row r="924" spans="1:7" x14ac:dyDescent="0.3">
      <c r="A924" s="1" t="s">
        <v>21</v>
      </c>
    </row>
    <row r="925" spans="1:7" ht="17.25" thickBot="1" x14ac:dyDescent="0.35"/>
    <row r="926" spans="1:7" ht="16.5" customHeight="1" x14ac:dyDescent="0.3">
      <c r="A926" s="16" t="s">
        <v>135</v>
      </c>
      <c r="B926" s="18"/>
    </row>
    <row r="927" spans="1:7" ht="26.25" thickBot="1" x14ac:dyDescent="0.35">
      <c r="A927" s="12" t="s">
        <v>136</v>
      </c>
      <c r="B927" s="2">
        <v>183</v>
      </c>
    </row>
    <row r="928" spans="1:7" ht="26.25" thickBot="1" x14ac:dyDescent="0.35">
      <c r="A928" s="12" t="s">
        <v>137</v>
      </c>
      <c r="B928" s="2">
        <v>2982</v>
      </c>
    </row>
    <row r="929" spans="1:6" ht="39" thickBot="1" x14ac:dyDescent="0.35">
      <c r="A929" s="12" t="s">
        <v>138</v>
      </c>
      <c r="B929" s="2">
        <v>68635</v>
      </c>
    </row>
    <row r="930" spans="1:6" ht="25.5" x14ac:dyDescent="0.3">
      <c r="A930" s="13" t="s">
        <v>139</v>
      </c>
      <c r="B930" s="2">
        <v>30251935.699999999</v>
      </c>
    </row>
    <row r="931" spans="1:6" ht="17.25" thickBot="1" x14ac:dyDescent="0.35"/>
    <row r="932" spans="1:6" ht="33" customHeight="1" x14ac:dyDescent="0.3">
      <c r="A932" s="16" t="s">
        <v>140</v>
      </c>
      <c r="B932" s="18"/>
    </row>
    <row r="933" spans="1:6" ht="33.75" thickBot="1" x14ac:dyDescent="0.35">
      <c r="A933" s="12" t="s">
        <v>141</v>
      </c>
      <c r="B933" s="2" t="s">
        <v>142</v>
      </c>
    </row>
    <row r="934" spans="1:6" ht="25.5" x14ac:dyDescent="0.3">
      <c r="A934" s="13" t="s">
        <v>143</v>
      </c>
      <c r="B934" s="2" t="s">
        <v>144</v>
      </c>
    </row>
    <row r="935" spans="1:6" ht="17.25" thickBot="1" x14ac:dyDescent="0.35"/>
    <row r="936" spans="1:6" ht="16.5" customHeight="1" x14ac:dyDescent="0.3">
      <c r="A936" s="16" t="s">
        <v>238</v>
      </c>
      <c r="B936" s="18"/>
      <c r="C936" s="18"/>
      <c r="D936" s="18"/>
      <c r="E936" s="18"/>
      <c r="F936" s="18"/>
    </row>
    <row r="937" spans="1:6" ht="16.5" customHeight="1" x14ac:dyDescent="0.3">
      <c r="A937" s="17" t="s">
        <v>239</v>
      </c>
      <c r="B937" s="19" t="s">
        <v>94</v>
      </c>
      <c r="C937" s="19" t="s">
        <v>240</v>
      </c>
      <c r="D937" s="3" t="s">
        <v>241</v>
      </c>
      <c r="E937" s="19" t="s">
        <v>243</v>
      </c>
      <c r="F937" s="19"/>
    </row>
    <row r="938" spans="1:6" x14ac:dyDescent="0.3">
      <c r="A938" s="17"/>
      <c r="B938" s="19"/>
      <c r="C938" s="19"/>
      <c r="D938" s="3" t="s">
        <v>242</v>
      </c>
      <c r="E938" s="19"/>
      <c r="F938" s="19"/>
    </row>
    <row r="939" spans="1:6" x14ac:dyDescent="0.3">
      <c r="A939" s="13" t="s">
        <v>115</v>
      </c>
      <c r="B939" s="2">
        <v>68635</v>
      </c>
      <c r="C939" s="2">
        <v>0.66370899999999999</v>
      </c>
      <c r="D939" s="2">
        <v>4.4099999999999999E-4</v>
      </c>
      <c r="E939" s="2">
        <v>0.66284405999999996</v>
      </c>
      <c r="F939" s="2">
        <v>0.66457339000000004</v>
      </c>
    </row>
    <row r="943" spans="1:6" x14ac:dyDescent="0.3">
      <c r="A943" s="1" t="s">
        <v>237</v>
      </c>
    </row>
    <row r="945" spans="1:9" x14ac:dyDescent="0.3">
      <c r="A945" s="1" t="s">
        <v>21</v>
      </c>
    </row>
    <row r="946" spans="1:9" ht="17.25" thickBot="1" x14ac:dyDescent="0.35"/>
    <row r="947" spans="1:9" ht="16.5" customHeight="1" x14ac:dyDescent="0.3">
      <c r="A947" s="16" t="s">
        <v>279</v>
      </c>
      <c r="B947" s="18"/>
      <c r="C947" s="18"/>
      <c r="D947" s="18"/>
      <c r="E947" s="18"/>
      <c r="F947" s="18"/>
      <c r="G947" s="18"/>
    </row>
    <row r="948" spans="1:9" ht="16.5" customHeight="1" x14ac:dyDescent="0.3">
      <c r="A948" s="17" t="s">
        <v>18</v>
      </c>
      <c r="B948" s="19" t="s">
        <v>239</v>
      </c>
      <c r="C948" s="19" t="s">
        <v>94</v>
      </c>
      <c r="D948" s="19" t="s">
        <v>240</v>
      </c>
      <c r="E948" s="3" t="s">
        <v>241</v>
      </c>
      <c r="F948" s="19" t="s">
        <v>243</v>
      </c>
      <c r="G948" s="19"/>
    </row>
    <row r="949" spans="1:9" x14ac:dyDescent="0.3">
      <c r="A949" s="17"/>
      <c r="B949" s="19"/>
      <c r="C949" s="19"/>
      <c r="D949" s="19"/>
      <c r="E949" s="3" t="s">
        <v>242</v>
      </c>
      <c r="F949" s="19"/>
      <c r="G949" s="19"/>
    </row>
    <row r="950" spans="1:9" ht="17.25" thickBot="1" x14ac:dyDescent="0.35">
      <c r="A950" s="6">
        <v>0</v>
      </c>
      <c r="B950" s="11" t="s">
        <v>115</v>
      </c>
      <c r="C950" s="2">
        <v>67344</v>
      </c>
      <c r="D950" s="2">
        <v>0.66305899999999995</v>
      </c>
      <c r="E950" s="2">
        <v>4.4200000000000001E-4</v>
      </c>
      <c r="F950" s="2">
        <v>0.66219291000000002</v>
      </c>
      <c r="G950" s="2">
        <v>0.66392454999999995</v>
      </c>
      <c r="I950" t="str">
        <f t="shared" ref="I950:I951" si="13">TEXT(D950,"0.00")&amp;" ("&amp;TEXT(F950,"0.00")&amp;" to "&amp;TEXT(G950,"0.00")&amp;")"</f>
        <v>0.66 (0.66 to 0.66)</v>
      </c>
    </row>
    <row r="951" spans="1:9" x14ac:dyDescent="0.3">
      <c r="A951" s="6">
        <v>1</v>
      </c>
      <c r="B951" s="14" t="s">
        <v>115</v>
      </c>
      <c r="C951" s="2">
        <v>1291</v>
      </c>
      <c r="D951" s="2">
        <v>0.71071499999999999</v>
      </c>
      <c r="E951" s="2">
        <v>2.284E-3</v>
      </c>
      <c r="F951" s="2">
        <v>0.70623771999999996</v>
      </c>
      <c r="G951" s="2">
        <v>0.71519295999999999</v>
      </c>
      <c r="I951" t="str">
        <f t="shared" si="13"/>
        <v>0.71 (0.71 to 0.72)</v>
      </c>
    </row>
    <row r="955" spans="1:9" x14ac:dyDescent="0.3">
      <c r="A955" s="1" t="s">
        <v>237</v>
      </c>
    </row>
    <row r="957" spans="1:9" x14ac:dyDescent="0.3">
      <c r="A957" s="1" t="s">
        <v>1</v>
      </c>
    </row>
    <row r="958" spans="1:9" ht="17.25" thickBot="1" x14ac:dyDescent="0.35"/>
    <row r="959" spans="1:9" ht="16.5" customHeight="1" x14ac:dyDescent="0.3">
      <c r="A959" s="16" t="s">
        <v>135</v>
      </c>
      <c r="B959" s="18"/>
    </row>
    <row r="960" spans="1:9" ht="26.25" thickBot="1" x14ac:dyDescent="0.35">
      <c r="A960" s="12" t="s">
        <v>136</v>
      </c>
      <c r="B960" s="2">
        <v>183</v>
      </c>
    </row>
    <row r="961" spans="1:6" ht="26.25" thickBot="1" x14ac:dyDescent="0.35">
      <c r="A961" s="12" t="s">
        <v>137</v>
      </c>
      <c r="B961" s="2">
        <v>2949</v>
      </c>
    </row>
    <row r="962" spans="1:6" ht="39" thickBot="1" x14ac:dyDescent="0.35">
      <c r="A962" s="12" t="s">
        <v>138</v>
      </c>
      <c r="B962" s="2">
        <v>23222</v>
      </c>
    </row>
    <row r="963" spans="1:6" ht="25.5" x14ac:dyDescent="0.3">
      <c r="A963" s="13" t="s">
        <v>139</v>
      </c>
      <c r="B963" s="2">
        <v>9036880.5199999996</v>
      </c>
    </row>
    <row r="964" spans="1:6" ht="17.25" thickBot="1" x14ac:dyDescent="0.35"/>
    <row r="965" spans="1:6" ht="33" customHeight="1" x14ac:dyDescent="0.3">
      <c r="A965" s="16" t="s">
        <v>140</v>
      </c>
      <c r="B965" s="18"/>
    </row>
    <row r="966" spans="1:6" ht="33.75" thickBot="1" x14ac:dyDescent="0.35">
      <c r="A966" s="12" t="s">
        <v>141</v>
      </c>
      <c r="B966" s="2" t="s">
        <v>142</v>
      </c>
    </row>
    <row r="967" spans="1:6" ht="25.5" x14ac:dyDescent="0.3">
      <c r="A967" s="13" t="s">
        <v>143</v>
      </c>
      <c r="B967" s="2" t="s">
        <v>144</v>
      </c>
    </row>
    <row r="968" spans="1:6" ht="17.25" thickBot="1" x14ac:dyDescent="0.35"/>
    <row r="969" spans="1:6" ht="16.5" customHeight="1" x14ac:dyDescent="0.3">
      <c r="A969" s="16" t="s">
        <v>238</v>
      </c>
      <c r="B969" s="18"/>
      <c r="C969" s="18"/>
      <c r="D969" s="18"/>
      <c r="E969" s="18"/>
      <c r="F969" s="18"/>
    </row>
    <row r="970" spans="1:6" ht="16.5" customHeight="1" x14ac:dyDescent="0.3">
      <c r="A970" s="17" t="s">
        <v>239</v>
      </c>
      <c r="B970" s="19" t="s">
        <v>94</v>
      </c>
      <c r="C970" s="19" t="s">
        <v>240</v>
      </c>
      <c r="D970" s="3" t="s">
        <v>241</v>
      </c>
      <c r="E970" s="19" t="s">
        <v>243</v>
      </c>
      <c r="F970" s="19"/>
    </row>
    <row r="971" spans="1:6" x14ac:dyDescent="0.3">
      <c r="A971" s="17"/>
      <c r="B971" s="19"/>
      <c r="C971" s="19"/>
      <c r="D971" s="3" t="s">
        <v>242</v>
      </c>
      <c r="E971" s="19"/>
      <c r="F971" s="19"/>
    </row>
    <row r="972" spans="1:6" x14ac:dyDescent="0.3">
      <c r="A972" s="13" t="s">
        <v>115</v>
      </c>
      <c r="B972" s="2">
        <v>23222</v>
      </c>
      <c r="C972" s="2">
        <v>0.64841899999999997</v>
      </c>
      <c r="D972" s="2">
        <v>7.7200000000000001E-4</v>
      </c>
      <c r="E972" s="2">
        <v>0.64690462000000004</v>
      </c>
      <c r="F972" s="2">
        <v>0.64993400999999995</v>
      </c>
    </row>
    <row r="976" spans="1:6" x14ac:dyDescent="0.3">
      <c r="A976" s="1" t="s">
        <v>237</v>
      </c>
    </row>
    <row r="978" spans="1:7" x14ac:dyDescent="0.3">
      <c r="A978" s="1" t="s">
        <v>1</v>
      </c>
    </row>
    <row r="979" spans="1:7" ht="17.25" thickBot="1" x14ac:dyDescent="0.35"/>
    <row r="980" spans="1:7" ht="16.5" customHeight="1" x14ac:dyDescent="0.3">
      <c r="A980" s="16" t="s">
        <v>280</v>
      </c>
      <c r="B980" s="18"/>
      <c r="C980" s="18"/>
      <c r="D980" s="18"/>
      <c r="E980" s="18"/>
      <c r="F980" s="18"/>
      <c r="G980" s="18"/>
    </row>
    <row r="981" spans="1:7" ht="16.5" customHeight="1" x14ac:dyDescent="0.3">
      <c r="A981" s="17" t="s">
        <v>19</v>
      </c>
      <c r="B981" s="19" t="s">
        <v>239</v>
      </c>
      <c r="C981" s="19" t="s">
        <v>94</v>
      </c>
      <c r="D981" s="19" t="s">
        <v>240</v>
      </c>
      <c r="E981" s="3" t="s">
        <v>241</v>
      </c>
      <c r="F981" s="19" t="s">
        <v>243</v>
      </c>
      <c r="G981" s="19"/>
    </row>
    <row r="982" spans="1:7" x14ac:dyDescent="0.3">
      <c r="A982" s="17"/>
      <c r="B982" s="19"/>
      <c r="C982" s="19"/>
      <c r="D982" s="19"/>
      <c r="E982" s="3" t="s">
        <v>242</v>
      </c>
      <c r="F982" s="19"/>
      <c r="G982" s="19"/>
    </row>
    <row r="983" spans="1:7" ht="17.25" thickBot="1" x14ac:dyDescent="0.35">
      <c r="A983" s="6">
        <v>0</v>
      </c>
      <c r="B983" s="11" t="s">
        <v>115</v>
      </c>
      <c r="C983" s="2">
        <v>20515</v>
      </c>
      <c r="D983" s="2">
        <v>0.64341199999999998</v>
      </c>
      <c r="E983" s="2">
        <v>8.0400000000000003E-4</v>
      </c>
      <c r="F983" s="2">
        <v>0.64183551000000005</v>
      </c>
      <c r="G983" s="2">
        <v>0.64498812000000005</v>
      </c>
    </row>
    <row r="984" spans="1:7" ht="17.25" thickBot="1" x14ac:dyDescent="0.35">
      <c r="A984" s="6">
        <v>1</v>
      </c>
      <c r="B984" s="11" t="s">
        <v>115</v>
      </c>
      <c r="C984" s="2">
        <v>165</v>
      </c>
      <c r="D984" s="2">
        <v>0.72556299999999996</v>
      </c>
      <c r="E984" s="2">
        <v>6.4980000000000003E-3</v>
      </c>
      <c r="F984" s="2">
        <v>0.71282217999999997</v>
      </c>
      <c r="G984" s="2">
        <v>0.73830439000000003</v>
      </c>
    </row>
    <row r="985" spans="1:7" x14ac:dyDescent="0.3">
      <c r="A985" s="6">
        <v>8</v>
      </c>
      <c r="B985" s="14" t="s">
        <v>115</v>
      </c>
      <c r="C985" s="2">
        <v>2542</v>
      </c>
      <c r="D985" s="2">
        <v>0.67860600000000004</v>
      </c>
      <c r="E985" s="2">
        <v>1.9599999999999999E-3</v>
      </c>
      <c r="F985" s="2">
        <v>0.67476287000000001</v>
      </c>
      <c r="G985" s="2">
        <v>0.68244864000000005</v>
      </c>
    </row>
    <row r="989" spans="1:7" x14ac:dyDescent="0.3">
      <c r="A989" s="1" t="s">
        <v>237</v>
      </c>
    </row>
    <row r="991" spans="1:7" x14ac:dyDescent="0.3">
      <c r="A991" s="1" t="s">
        <v>21</v>
      </c>
    </row>
    <row r="992" spans="1:7" ht="17.25" thickBot="1" x14ac:dyDescent="0.35"/>
    <row r="993" spans="1:6" ht="16.5" customHeight="1" x14ac:dyDescent="0.3">
      <c r="A993" s="16" t="s">
        <v>135</v>
      </c>
      <c r="B993" s="18"/>
    </row>
    <row r="994" spans="1:6" ht="26.25" thickBot="1" x14ac:dyDescent="0.35">
      <c r="A994" s="12" t="s">
        <v>136</v>
      </c>
      <c r="B994" s="2">
        <v>183</v>
      </c>
    </row>
    <row r="995" spans="1:6" ht="26.25" thickBot="1" x14ac:dyDescent="0.35">
      <c r="A995" s="12" t="s">
        <v>137</v>
      </c>
      <c r="B995" s="2">
        <v>2982</v>
      </c>
    </row>
    <row r="996" spans="1:6" ht="39" thickBot="1" x14ac:dyDescent="0.35">
      <c r="A996" s="12" t="s">
        <v>138</v>
      </c>
      <c r="B996" s="2">
        <v>68635</v>
      </c>
    </row>
    <row r="997" spans="1:6" ht="25.5" x14ac:dyDescent="0.3">
      <c r="A997" s="13" t="s">
        <v>139</v>
      </c>
      <c r="B997" s="2">
        <v>30251935.699999999</v>
      </c>
    </row>
    <row r="998" spans="1:6" ht="17.25" thickBot="1" x14ac:dyDescent="0.35"/>
    <row r="999" spans="1:6" ht="33" customHeight="1" x14ac:dyDescent="0.3">
      <c r="A999" s="16" t="s">
        <v>140</v>
      </c>
      <c r="B999" s="18"/>
    </row>
    <row r="1000" spans="1:6" ht="33.75" thickBot="1" x14ac:dyDescent="0.35">
      <c r="A1000" s="12" t="s">
        <v>141</v>
      </c>
      <c r="B1000" s="2" t="s">
        <v>142</v>
      </c>
    </row>
    <row r="1001" spans="1:6" ht="25.5" x14ac:dyDescent="0.3">
      <c r="A1001" s="13" t="s">
        <v>143</v>
      </c>
      <c r="B1001" s="2" t="s">
        <v>144</v>
      </c>
    </row>
    <row r="1002" spans="1:6" ht="17.25" thickBot="1" x14ac:dyDescent="0.35"/>
    <row r="1003" spans="1:6" ht="16.5" customHeight="1" x14ac:dyDescent="0.3">
      <c r="A1003" s="16" t="s">
        <v>238</v>
      </c>
      <c r="B1003" s="18"/>
      <c r="C1003" s="18"/>
      <c r="D1003" s="18"/>
      <c r="E1003" s="18"/>
      <c r="F1003" s="18"/>
    </row>
    <row r="1004" spans="1:6" ht="16.5" customHeight="1" x14ac:dyDescent="0.3">
      <c r="A1004" s="17" t="s">
        <v>239</v>
      </c>
      <c r="B1004" s="19" t="s">
        <v>94</v>
      </c>
      <c r="C1004" s="19" t="s">
        <v>240</v>
      </c>
      <c r="D1004" s="3" t="s">
        <v>241</v>
      </c>
      <c r="E1004" s="19" t="s">
        <v>243</v>
      </c>
      <c r="F1004" s="19"/>
    </row>
    <row r="1005" spans="1:6" x14ac:dyDescent="0.3">
      <c r="A1005" s="17"/>
      <c r="B1005" s="19"/>
      <c r="C1005" s="19"/>
      <c r="D1005" s="3" t="s">
        <v>242</v>
      </c>
      <c r="E1005" s="19"/>
      <c r="F1005" s="19"/>
    </row>
    <row r="1006" spans="1:6" x14ac:dyDescent="0.3">
      <c r="A1006" s="13" t="s">
        <v>115</v>
      </c>
      <c r="B1006" s="2">
        <v>68635</v>
      </c>
      <c r="C1006" s="2">
        <v>0.66370899999999999</v>
      </c>
      <c r="D1006" s="2">
        <v>4.4099999999999999E-4</v>
      </c>
      <c r="E1006" s="2">
        <v>0.66284405999999996</v>
      </c>
      <c r="F1006" s="2">
        <v>0.66457339000000004</v>
      </c>
    </row>
    <row r="1010" spans="1:9" x14ac:dyDescent="0.3">
      <c r="A1010" s="1" t="s">
        <v>237</v>
      </c>
    </row>
    <row r="1012" spans="1:9" x14ac:dyDescent="0.3">
      <c r="A1012" s="1" t="s">
        <v>21</v>
      </c>
    </row>
    <row r="1013" spans="1:9" ht="17.25" thickBot="1" x14ac:dyDescent="0.35"/>
    <row r="1014" spans="1:9" ht="16.5" customHeight="1" x14ac:dyDescent="0.3">
      <c r="A1014" s="16" t="s">
        <v>280</v>
      </c>
      <c r="B1014" s="18"/>
      <c r="C1014" s="18"/>
      <c r="D1014" s="18"/>
      <c r="E1014" s="18"/>
      <c r="F1014" s="18"/>
      <c r="G1014" s="18"/>
    </row>
    <row r="1015" spans="1:9" ht="16.5" customHeight="1" x14ac:dyDescent="0.3">
      <c r="A1015" s="17" t="s">
        <v>19</v>
      </c>
      <c r="B1015" s="19" t="s">
        <v>239</v>
      </c>
      <c r="C1015" s="19" t="s">
        <v>94</v>
      </c>
      <c r="D1015" s="19" t="s">
        <v>240</v>
      </c>
      <c r="E1015" s="3" t="s">
        <v>241</v>
      </c>
      <c r="F1015" s="19" t="s">
        <v>243</v>
      </c>
      <c r="G1015" s="19"/>
    </row>
    <row r="1016" spans="1:9" x14ac:dyDescent="0.3">
      <c r="A1016" s="17"/>
      <c r="B1016" s="19"/>
      <c r="C1016" s="19"/>
      <c r="D1016" s="19"/>
      <c r="E1016" s="3" t="s">
        <v>242</v>
      </c>
      <c r="F1016" s="19"/>
      <c r="G1016" s="19"/>
    </row>
    <row r="1017" spans="1:9" ht="17.25" thickBot="1" x14ac:dyDescent="0.35">
      <c r="A1017" s="6">
        <v>0</v>
      </c>
      <c r="B1017" s="11" t="s">
        <v>115</v>
      </c>
      <c r="C1017" s="2">
        <v>67998</v>
      </c>
      <c r="D1017" s="2">
        <v>0.66335699999999997</v>
      </c>
      <c r="E1017" s="2">
        <v>4.4099999999999999E-4</v>
      </c>
      <c r="F1017" s="2">
        <v>0.66249099</v>
      </c>
      <c r="G1017" s="2">
        <v>0.66422230000000004</v>
      </c>
      <c r="I1017" t="str">
        <f t="shared" ref="I1017:I1018" si="14">TEXT(D1017,"0.00")&amp;" ("&amp;TEXT(F1017,"0.00")&amp;" to "&amp;TEXT(G1017,"0.00")&amp;")"</f>
        <v>0.66 (0.66 to 0.66)</v>
      </c>
    </row>
    <row r="1018" spans="1:9" x14ac:dyDescent="0.3">
      <c r="A1018" s="6">
        <v>1</v>
      </c>
      <c r="B1018" s="14" t="s">
        <v>115</v>
      </c>
      <c r="C1018" s="2">
        <v>637</v>
      </c>
      <c r="D1018" s="2">
        <v>0.71553100000000003</v>
      </c>
      <c r="E1018" s="2">
        <v>3.1740000000000002E-3</v>
      </c>
      <c r="F1018" s="2">
        <v>0.70930747999999999</v>
      </c>
      <c r="G1018" s="2">
        <v>0.72175453000000001</v>
      </c>
      <c r="I1018" t="str">
        <f t="shared" si="14"/>
        <v>0.72 (0.71 to 0.72)</v>
      </c>
    </row>
    <row r="1022" spans="1:9" x14ac:dyDescent="0.3">
      <c r="A1022" s="1" t="s">
        <v>237</v>
      </c>
    </row>
    <row r="1024" spans="1:9" x14ac:dyDescent="0.3">
      <c r="A1024" s="1" t="s">
        <v>1</v>
      </c>
    </row>
    <row r="1025" spans="1:6" ht="17.25" thickBot="1" x14ac:dyDescent="0.35"/>
    <row r="1026" spans="1:6" ht="16.5" customHeight="1" x14ac:dyDescent="0.3">
      <c r="A1026" s="16" t="s">
        <v>135</v>
      </c>
      <c r="B1026" s="18"/>
    </row>
    <row r="1027" spans="1:6" ht="26.25" thickBot="1" x14ac:dyDescent="0.35">
      <c r="A1027" s="12" t="s">
        <v>136</v>
      </c>
      <c r="B1027" s="2">
        <v>183</v>
      </c>
    </row>
    <row r="1028" spans="1:6" ht="26.25" thickBot="1" x14ac:dyDescent="0.35">
      <c r="A1028" s="12" t="s">
        <v>137</v>
      </c>
      <c r="B1028" s="2">
        <v>2949</v>
      </c>
    </row>
    <row r="1029" spans="1:6" ht="39" thickBot="1" x14ac:dyDescent="0.35">
      <c r="A1029" s="12" t="s">
        <v>138</v>
      </c>
      <c r="B1029" s="2">
        <v>23222</v>
      </c>
    </row>
    <row r="1030" spans="1:6" ht="25.5" x14ac:dyDescent="0.3">
      <c r="A1030" s="13" t="s">
        <v>139</v>
      </c>
      <c r="B1030" s="2">
        <v>9036880.5199999996</v>
      </c>
    </row>
    <row r="1031" spans="1:6" ht="17.25" thickBot="1" x14ac:dyDescent="0.35"/>
    <row r="1032" spans="1:6" ht="33" customHeight="1" x14ac:dyDescent="0.3">
      <c r="A1032" s="16" t="s">
        <v>140</v>
      </c>
      <c r="B1032" s="18"/>
    </row>
    <row r="1033" spans="1:6" ht="33.75" thickBot="1" x14ac:dyDescent="0.35">
      <c r="A1033" s="12" t="s">
        <v>141</v>
      </c>
      <c r="B1033" s="2" t="s">
        <v>142</v>
      </c>
    </row>
    <row r="1034" spans="1:6" ht="25.5" x14ac:dyDescent="0.3">
      <c r="A1034" s="13" t="s">
        <v>143</v>
      </c>
      <c r="B1034" s="2" t="s">
        <v>144</v>
      </c>
    </row>
    <row r="1035" spans="1:6" ht="17.25" thickBot="1" x14ac:dyDescent="0.35"/>
    <row r="1036" spans="1:6" ht="16.5" customHeight="1" x14ac:dyDescent="0.3">
      <c r="A1036" s="16" t="s">
        <v>238</v>
      </c>
      <c r="B1036" s="18"/>
      <c r="C1036" s="18"/>
      <c r="D1036" s="18"/>
      <c r="E1036" s="18"/>
      <c r="F1036" s="18"/>
    </row>
    <row r="1037" spans="1:6" ht="16.5" customHeight="1" x14ac:dyDescent="0.3">
      <c r="A1037" s="17" t="s">
        <v>239</v>
      </c>
      <c r="B1037" s="19" t="s">
        <v>94</v>
      </c>
      <c r="C1037" s="19" t="s">
        <v>240</v>
      </c>
      <c r="D1037" s="3" t="s">
        <v>241</v>
      </c>
      <c r="E1037" s="19" t="s">
        <v>243</v>
      </c>
      <c r="F1037" s="19"/>
    </row>
    <row r="1038" spans="1:6" x14ac:dyDescent="0.3">
      <c r="A1038" s="17"/>
      <c r="B1038" s="19"/>
      <c r="C1038" s="19"/>
      <c r="D1038" s="3" t="s">
        <v>242</v>
      </c>
      <c r="E1038" s="19"/>
      <c r="F1038" s="19"/>
    </row>
    <row r="1039" spans="1:6" x14ac:dyDescent="0.3">
      <c r="A1039" s="13" t="s">
        <v>115</v>
      </c>
      <c r="B1039" s="2">
        <v>23222</v>
      </c>
      <c r="C1039" s="2">
        <v>0.64841899999999997</v>
      </c>
      <c r="D1039" s="2">
        <v>7.7200000000000001E-4</v>
      </c>
      <c r="E1039" s="2">
        <v>0.64690462000000004</v>
      </c>
      <c r="F1039" s="2">
        <v>0.64993400999999995</v>
      </c>
    </row>
    <row r="1043" spans="1:7" x14ac:dyDescent="0.3">
      <c r="A1043" s="1" t="s">
        <v>237</v>
      </c>
    </row>
    <row r="1045" spans="1:7" x14ac:dyDescent="0.3">
      <c r="A1045" s="1" t="s">
        <v>1</v>
      </c>
    </row>
    <row r="1046" spans="1:7" ht="17.25" thickBot="1" x14ac:dyDescent="0.35"/>
    <row r="1047" spans="1:7" ht="16.5" customHeight="1" x14ac:dyDescent="0.3">
      <c r="A1047" s="16" t="s">
        <v>281</v>
      </c>
      <c r="B1047" s="18"/>
      <c r="C1047" s="18"/>
      <c r="D1047" s="18"/>
      <c r="E1047" s="18"/>
      <c r="F1047" s="18"/>
      <c r="G1047" s="18"/>
    </row>
    <row r="1048" spans="1:7" ht="16.5" customHeight="1" x14ac:dyDescent="0.3">
      <c r="A1048" s="17" t="s">
        <v>20</v>
      </c>
      <c r="B1048" s="19" t="s">
        <v>239</v>
      </c>
      <c r="C1048" s="19" t="s">
        <v>94</v>
      </c>
      <c r="D1048" s="19" t="s">
        <v>240</v>
      </c>
      <c r="E1048" s="3" t="s">
        <v>241</v>
      </c>
      <c r="F1048" s="19" t="s">
        <v>243</v>
      </c>
      <c r="G1048" s="19"/>
    </row>
    <row r="1049" spans="1:7" x14ac:dyDescent="0.3">
      <c r="A1049" s="17"/>
      <c r="B1049" s="19"/>
      <c r="C1049" s="19"/>
      <c r="D1049" s="19"/>
      <c r="E1049" s="3" t="s">
        <v>242</v>
      </c>
      <c r="F1049" s="19"/>
      <c r="G1049" s="19"/>
    </row>
    <row r="1050" spans="1:7" ht="17.25" thickBot="1" x14ac:dyDescent="0.35">
      <c r="A1050" s="6">
        <v>0</v>
      </c>
      <c r="B1050" s="11" t="s">
        <v>115</v>
      </c>
      <c r="C1050" s="2">
        <v>20305</v>
      </c>
      <c r="D1050" s="2">
        <v>0.64298599999999995</v>
      </c>
      <c r="E1050" s="2">
        <v>8.0599999999999997E-4</v>
      </c>
      <c r="F1050" s="2">
        <v>0.64140596999999999</v>
      </c>
      <c r="G1050" s="2">
        <v>0.64456652999999997</v>
      </c>
    </row>
    <row r="1051" spans="1:7" ht="17.25" thickBot="1" x14ac:dyDescent="0.35">
      <c r="A1051" s="6">
        <v>1</v>
      </c>
      <c r="B1051" s="11" t="s">
        <v>115</v>
      </c>
      <c r="C1051" s="2">
        <v>372</v>
      </c>
      <c r="D1051" s="2">
        <v>0.71395500000000001</v>
      </c>
      <c r="E1051" s="2">
        <v>3.7980000000000002E-3</v>
      </c>
      <c r="F1051" s="2">
        <v>0.70650793000000001</v>
      </c>
      <c r="G1051" s="2">
        <v>0.72140207000000001</v>
      </c>
    </row>
    <row r="1052" spans="1:7" x14ac:dyDescent="0.3">
      <c r="A1052" s="6">
        <v>8</v>
      </c>
      <c r="B1052" s="14" t="s">
        <v>115</v>
      </c>
      <c r="C1052" s="2">
        <v>2545</v>
      </c>
      <c r="D1052" s="2">
        <v>0.67862900000000004</v>
      </c>
      <c r="E1052" s="2">
        <v>1.9589999999999998E-3</v>
      </c>
      <c r="F1052" s="2">
        <v>0.67478804999999997</v>
      </c>
      <c r="G1052" s="2">
        <v>0.68246985999999998</v>
      </c>
    </row>
    <row r="1056" spans="1:7" x14ac:dyDescent="0.3">
      <c r="A1056" s="1" t="s">
        <v>237</v>
      </c>
    </row>
    <row r="1058" spans="1:6" x14ac:dyDescent="0.3">
      <c r="A1058" s="1" t="s">
        <v>21</v>
      </c>
    </row>
    <row r="1059" spans="1:6" ht="17.25" thickBot="1" x14ac:dyDescent="0.35"/>
    <row r="1060" spans="1:6" ht="16.5" customHeight="1" x14ac:dyDescent="0.3">
      <c r="A1060" s="16" t="s">
        <v>135</v>
      </c>
      <c r="B1060" s="18"/>
    </row>
    <row r="1061" spans="1:6" ht="26.25" thickBot="1" x14ac:dyDescent="0.35">
      <c r="A1061" s="12" t="s">
        <v>136</v>
      </c>
      <c r="B1061" s="2">
        <v>183</v>
      </c>
    </row>
    <row r="1062" spans="1:6" ht="26.25" thickBot="1" x14ac:dyDescent="0.35">
      <c r="A1062" s="12" t="s">
        <v>137</v>
      </c>
      <c r="B1062" s="2">
        <v>2982</v>
      </c>
    </row>
    <row r="1063" spans="1:6" ht="39" thickBot="1" x14ac:dyDescent="0.35">
      <c r="A1063" s="12" t="s">
        <v>138</v>
      </c>
      <c r="B1063" s="2">
        <v>68635</v>
      </c>
    </row>
    <row r="1064" spans="1:6" ht="25.5" x14ac:dyDescent="0.3">
      <c r="A1064" s="13" t="s">
        <v>139</v>
      </c>
      <c r="B1064" s="2">
        <v>30251935.699999999</v>
      </c>
    </row>
    <row r="1065" spans="1:6" ht="17.25" thickBot="1" x14ac:dyDescent="0.35"/>
    <row r="1066" spans="1:6" ht="33" customHeight="1" x14ac:dyDescent="0.3">
      <c r="A1066" s="16" t="s">
        <v>140</v>
      </c>
      <c r="B1066" s="18"/>
    </row>
    <row r="1067" spans="1:6" ht="33.75" thickBot="1" x14ac:dyDescent="0.35">
      <c r="A1067" s="12" t="s">
        <v>141</v>
      </c>
      <c r="B1067" s="2" t="s">
        <v>142</v>
      </c>
    </row>
    <row r="1068" spans="1:6" ht="25.5" x14ac:dyDescent="0.3">
      <c r="A1068" s="13" t="s">
        <v>143</v>
      </c>
      <c r="B1068" s="2" t="s">
        <v>144</v>
      </c>
    </row>
    <row r="1069" spans="1:6" ht="17.25" thickBot="1" x14ac:dyDescent="0.35"/>
    <row r="1070" spans="1:6" ht="16.5" customHeight="1" x14ac:dyDescent="0.3">
      <c r="A1070" s="16" t="s">
        <v>238</v>
      </c>
      <c r="B1070" s="18"/>
      <c r="C1070" s="18"/>
      <c r="D1070" s="18"/>
      <c r="E1070" s="18"/>
      <c r="F1070" s="18"/>
    </row>
    <row r="1071" spans="1:6" ht="16.5" customHeight="1" x14ac:dyDescent="0.3">
      <c r="A1071" s="17" t="s">
        <v>239</v>
      </c>
      <c r="B1071" s="19" t="s">
        <v>94</v>
      </c>
      <c r="C1071" s="19" t="s">
        <v>240</v>
      </c>
      <c r="D1071" s="3" t="s">
        <v>241</v>
      </c>
      <c r="E1071" s="19" t="s">
        <v>243</v>
      </c>
      <c r="F1071" s="19"/>
    </row>
    <row r="1072" spans="1:6" x14ac:dyDescent="0.3">
      <c r="A1072" s="17"/>
      <c r="B1072" s="19"/>
      <c r="C1072" s="19"/>
      <c r="D1072" s="3" t="s">
        <v>242</v>
      </c>
      <c r="E1072" s="19"/>
      <c r="F1072" s="19"/>
    </row>
    <row r="1073" spans="1:9" x14ac:dyDescent="0.3">
      <c r="A1073" s="13" t="s">
        <v>115</v>
      </c>
      <c r="B1073" s="2">
        <v>68635</v>
      </c>
      <c r="C1073" s="2">
        <v>0.66370899999999999</v>
      </c>
      <c r="D1073" s="2">
        <v>4.4099999999999999E-4</v>
      </c>
      <c r="E1073" s="2">
        <v>0.66284405999999996</v>
      </c>
      <c r="F1073" s="2">
        <v>0.66457339000000004</v>
      </c>
    </row>
    <row r="1077" spans="1:9" x14ac:dyDescent="0.3">
      <c r="A1077" s="1" t="s">
        <v>237</v>
      </c>
    </row>
    <row r="1079" spans="1:9" x14ac:dyDescent="0.3">
      <c r="A1079" s="1" t="s">
        <v>21</v>
      </c>
    </row>
    <row r="1080" spans="1:9" ht="17.25" thickBot="1" x14ac:dyDescent="0.35"/>
    <row r="1081" spans="1:9" ht="16.5" customHeight="1" x14ac:dyDescent="0.3">
      <c r="A1081" s="16" t="s">
        <v>281</v>
      </c>
      <c r="B1081" s="18"/>
      <c r="C1081" s="18"/>
      <c r="D1081" s="18"/>
      <c r="E1081" s="18"/>
      <c r="F1081" s="18"/>
      <c r="G1081" s="18"/>
    </row>
    <row r="1082" spans="1:9" ht="16.5" customHeight="1" x14ac:dyDescent="0.3">
      <c r="A1082" s="17" t="s">
        <v>20</v>
      </c>
      <c r="B1082" s="19" t="s">
        <v>239</v>
      </c>
      <c r="C1082" s="19" t="s">
        <v>94</v>
      </c>
      <c r="D1082" s="19" t="s">
        <v>240</v>
      </c>
      <c r="E1082" s="3" t="s">
        <v>241</v>
      </c>
      <c r="F1082" s="19" t="s">
        <v>243</v>
      </c>
      <c r="G1082" s="19"/>
    </row>
    <row r="1083" spans="1:9" x14ac:dyDescent="0.3">
      <c r="A1083" s="17"/>
      <c r="B1083" s="19"/>
      <c r="C1083" s="19"/>
      <c r="D1083" s="19"/>
      <c r="E1083" s="3" t="s">
        <v>242</v>
      </c>
      <c r="F1083" s="19"/>
      <c r="G1083" s="19"/>
    </row>
    <row r="1084" spans="1:9" ht="17.25" thickBot="1" x14ac:dyDescent="0.35">
      <c r="A1084" s="6">
        <v>0</v>
      </c>
      <c r="B1084" s="11" t="s">
        <v>115</v>
      </c>
      <c r="C1084" s="2">
        <v>67434</v>
      </c>
      <c r="D1084" s="2">
        <v>0.66312700000000002</v>
      </c>
      <c r="E1084" s="2">
        <v>4.4200000000000001E-4</v>
      </c>
      <c r="F1084" s="2">
        <v>0.66226001000000001</v>
      </c>
      <c r="G1084" s="2">
        <v>0.66399364999999999</v>
      </c>
      <c r="I1084" t="str">
        <f t="shared" ref="I1084:I1085" si="15">TEXT(D1084,"0.00")&amp;" ("&amp;TEXT(F1084,"0.00")&amp;" to "&amp;TEXT(G1084,"0.00")&amp;")"</f>
        <v>0.66 (0.66 to 0.66)</v>
      </c>
    </row>
    <row r="1085" spans="1:9" x14ac:dyDescent="0.3">
      <c r="A1085" s="6">
        <v>1</v>
      </c>
      <c r="B1085" s="14" t="s">
        <v>115</v>
      </c>
      <c r="C1085" s="2">
        <v>1201</v>
      </c>
      <c r="D1085" s="2">
        <v>0.70972900000000005</v>
      </c>
      <c r="E1085" s="2">
        <v>2.4859999999999999E-3</v>
      </c>
      <c r="F1085" s="2">
        <v>0.70485392000000002</v>
      </c>
      <c r="G1085" s="2">
        <v>0.71460316000000002</v>
      </c>
      <c r="I1085" t="str">
        <f t="shared" si="15"/>
        <v>0.71 (0.70 to 0.71)</v>
      </c>
    </row>
  </sheetData>
  <mergeCells count="416">
    <mergeCell ref="A1081:G1081"/>
    <mergeCell ref="A1082:A1083"/>
    <mergeCell ref="B1082:B1083"/>
    <mergeCell ref="C1082:C1083"/>
    <mergeCell ref="D1082:D1083"/>
    <mergeCell ref="F1082:G1083"/>
    <mergeCell ref="A1060:B1060"/>
    <mergeCell ref="A1066:B1066"/>
    <mergeCell ref="A1070:F1070"/>
    <mergeCell ref="A1071:A1072"/>
    <mergeCell ref="B1071:B1072"/>
    <mergeCell ref="C1071:C1072"/>
    <mergeCell ref="E1071:F1072"/>
    <mergeCell ref="A1047:G1047"/>
    <mergeCell ref="A1048:A1049"/>
    <mergeCell ref="B1048:B1049"/>
    <mergeCell ref="C1048:C1049"/>
    <mergeCell ref="D1048:D1049"/>
    <mergeCell ref="F1048:G1049"/>
    <mergeCell ref="A1026:B1026"/>
    <mergeCell ref="A1032:B1032"/>
    <mergeCell ref="A1036:F1036"/>
    <mergeCell ref="A1037:A1038"/>
    <mergeCell ref="B1037:B1038"/>
    <mergeCell ref="C1037:C1038"/>
    <mergeCell ref="E1037:F1038"/>
    <mergeCell ref="A1014:G1014"/>
    <mergeCell ref="A1015:A1016"/>
    <mergeCell ref="B1015:B1016"/>
    <mergeCell ref="C1015:C1016"/>
    <mergeCell ref="D1015:D1016"/>
    <mergeCell ref="F1015:G1016"/>
    <mergeCell ref="A993:B993"/>
    <mergeCell ref="A999:B999"/>
    <mergeCell ref="A1003:F1003"/>
    <mergeCell ref="A1004:A1005"/>
    <mergeCell ref="B1004:B1005"/>
    <mergeCell ref="C1004:C1005"/>
    <mergeCell ref="E1004:F1005"/>
    <mergeCell ref="A980:G980"/>
    <mergeCell ref="A981:A982"/>
    <mergeCell ref="B981:B982"/>
    <mergeCell ref="C981:C982"/>
    <mergeCell ref="D981:D982"/>
    <mergeCell ref="F981:G982"/>
    <mergeCell ref="A959:B959"/>
    <mergeCell ref="A965:B965"/>
    <mergeCell ref="A969:F969"/>
    <mergeCell ref="A970:A971"/>
    <mergeCell ref="B970:B971"/>
    <mergeCell ref="C970:C971"/>
    <mergeCell ref="E970:F971"/>
    <mergeCell ref="A947:G947"/>
    <mergeCell ref="A948:A949"/>
    <mergeCell ref="B948:B949"/>
    <mergeCell ref="C948:C949"/>
    <mergeCell ref="D948:D949"/>
    <mergeCell ref="F948:G949"/>
    <mergeCell ref="A926:B926"/>
    <mergeCell ref="A932:B932"/>
    <mergeCell ref="A936:F936"/>
    <mergeCell ref="A937:A938"/>
    <mergeCell ref="B937:B938"/>
    <mergeCell ref="C937:C938"/>
    <mergeCell ref="E937:F938"/>
    <mergeCell ref="A913:G913"/>
    <mergeCell ref="A914:A915"/>
    <mergeCell ref="B914:B915"/>
    <mergeCell ref="C914:C915"/>
    <mergeCell ref="D914:D915"/>
    <mergeCell ref="F914:G915"/>
    <mergeCell ref="A892:B892"/>
    <mergeCell ref="A898:B898"/>
    <mergeCell ref="A902:F902"/>
    <mergeCell ref="A903:A904"/>
    <mergeCell ref="B903:B904"/>
    <mergeCell ref="C903:C904"/>
    <mergeCell ref="E903:F904"/>
    <mergeCell ref="A880:G880"/>
    <mergeCell ref="A881:A882"/>
    <mergeCell ref="B881:B882"/>
    <mergeCell ref="C881:C882"/>
    <mergeCell ref="D881:D882"/>
    <mergeCell ref="F881:G882"/>
    <mergeCell ref="A859:B859"/>
    <mergeCell ref="A865:B865"/>
    <mergeCell ref="A869:F869"/>
    <mergeCell ref="A870:A871"/>
    <mergeCell ref="B870:B871"/>
    <mergeCell ref="C870:C871"/>
    <mergeCell ref="E870:F871"/>
    <mergeCell ref="A846:G846"/>
    <mergeCell ref="A847:A848"/>
    <mergeCell ref="B847:B848"/>
    <mergeCell ref="C847:C848"/>
    <mergeCell ref="D847:D848"/>
    <mergeCell ref="F847:G848"/>
    <mergeCell ref="A825:B825"/>
    <mergeCell ref="A831:B831"/>
    <mergeCell ref="A835:F835"/>
    <mergeCell ref="A836:A837"/>
    <mergeCell ref="B836:B837"/>
    <mergeCell ref="C836:C837"/>
    <mergeCell ref="E836:F837"/>
    <mergeCell ref="A813:G813"/>
    <mergeCell ref="A814:A815"/>
    <mergeCell ref="B814:B815"/>
    <mergeCell ref="C814:C815"/>
    <mergeCell ref="D814:D815"/>
    <mergeCell ref="F814:G815"/>
    <mergeCell ref="A792:B792"/>
    <mergeCell ref="A798:B798"/>
    <mergeCell ref="A802:F802"/>
    <mergeCell ref="A803:A804"/>
    <mergeCell ref="B803:B804"/>
    <mergeCell ref="C803:C804"/>
    <mergeCell ref="E803:F804"/>
    <mergeCell ref="A779:G779"/>
    <mergeCell ref="A780:A781"/>
    <mergeCell ref="B780:B781"/>
    <mergeCell ref="C780:C781"/>
    <mergeCell ref="D780:D781"/>
    <mergeCell ref="F780:G781"/>
    <mergeCell ref="A758:B758"/>
    <mergeCell ref="A764:B764"/>
    <mergeCell ref="A768:F768"/>
    <mergeCell ref="A769:A770"/>
    <mergeCell ref="B769:B770"/>
    <mergeCell ref="C769:C770"/>
    <mergeCell ref="E769:F770"/>
    <mergeCell ref="A746:G746"/>
    <mergeCell ref="A747:A748"/>
    <mergeCell ref="B747:B748"/>
    <mergeCell ref="C747:C748"/>
    <mergeCell ref="D747:D748"/>
    <mergeCell ref="F747:G748"/>
    <mergeCell ref="A725:B725"/>
    <mergeCell ref="A731:B731"/>
    <mergeCell ref="A735:F735"/>
    <mergeCell ref="A736:A737"/>
    <mergeCell ref="B736:B737"/>
    <mergeCell ref="C736:C737"/>
    <mergeCell ref="E736:F737"/>
    <mergeCell ref="A712:G712"/>
    <mergeCell ref="A713:A714"/>
    <mergeCell ref="B713:B714"/>
    <mergeCell ref="C713:C714"/>
    <mergeCell ref="D713:D714"/>
    <mergeCell ref="F713:G714"/>
    <mergeCell ref="A691:B691"/>
    <mergeCell ref="A697:B697"/>
    <mergeCell ref="A701:F701"/>
    <mergeCell ref="A702:A703"/>
    <mergeCell ref="B702:B703"/>
    <mergeCell ref="C702:C703"/>
    <mergeCell ref="E702:F703"/>
    <mergeCell ref="A678:G678"/>
    <mergeCell ref="A679:A680"/>
    <mergeCell ref="B679:B680"/>
    <mergeCell ref="C679:C680"/>
    <mergeCell ref="D679:D680"/>
    <mergeCell ref="F679:G680"/>
    <mergeCell ref="A657:B657"/>
    <mergeCell ref="A663:B663"/>
    <mergeCell ref="A667:F667"/>
    <mergeCell ref="A668:A669"/>
    <mergeCell ref="B668:B669"/>
    <mergeCell ref="C668:C669"/>
    <mergeCell ref="E668:F669"/>
    <mergeCell ref="A643:G643"/>
    <mergeCell ref="A644:A645"/>
    <mergeCell ref="B644:B645"/>
    <mergeCell ref="C644:C645"/>
    <mergeCell ref="D644:D645"/>
    <mergeCell ref="F644:G645"/>
    <mergeCell ref="A622:B622"/>
    <mergeCell ref="A628:B628"/>
    <mergeCell ref="A632:F632"/>
    <mergeCell ref="A633:A634"/>
    <mergeCell ref="B633:B634"/>
    <mergeCell ref="C633:C634"/>
    <mergeCell ref="E633:F634"/>
    <mergeCell ref="A609:G609"/>
    <mergeCell ref="A610:A611"/>
    <mergeCell ref="B610:B611"/>
    <mergeCell ref="C610:C611"/>
    <mergeCell ref="D610:D611"/>
    <mergeCell ref="F610:G611"/>
    <mergeCell ref="A588:B588"/>
    <mergeCell ref="A594:B594"/>
    <mergeCell ref="A598:F598"/>
    <mergeCell ref="A599:A600"/>
    <mergeCell ref="B599:B600"/>
    <mergeCell ref="C599:C600"/>
    <mergeCell ref="E599:F600"/>
    <mergeCell ref="A574:G574"/>
    <mergeCell ref="A575:A576"/>
    <mergeCell ref="B575:B576"/>
    <mergeCell ref="C575:C576"/>
    <mergeCell ref="D575:D576"/>
    <mergeCell ref="F575:G576"/>
    <mergeCell ref="A553:B553"/>
    <mergeCell ref="A559:B559"/>
    <mergeCell ref="A563:F563"/>
    <mergeCell ref="A564:A565"/>
    <mergeCell ref="B564:B565"/>
    <mergeCell ref="C564:C565"/>
    <mergeCell ref="E564:F565"/>
    <mergeCell ref="A540:G540"/>
    <mergeCell ref="A541:A542"/>
    <mergeCell ref="B541:B542"/>
    <mergeCell ref="C541:C542"/>
    <mergeCell ref="D541:D542"/>
    <mergeCell ref="F541:G542"/>
    <mergeCell ref="A519:B519"/>
    <mergeCell ref="A525:B525"/>
    <mergeCell ref="A529:F529"/>
    <mergeCell ref="A530:A531"/>
    <mergeCell ref="B530:B531"/>
    <mergeCell ref="C530:C531"/>
    <mergeCell ref="E530:F531"/>
    <mergeCell ref="A505:G505"/>
    <mergeCell ref="A506:A507"/>
    <mergeCell ref="B506:B507"/>
    <mergeCell ref="C506:C507"/>
    <mergeCell ref="D506:D507"/>
    <mergeCell ref="F506:G507"/>
    <mergeCell ref="A484:B484"/>
    <mergeCell ref="A490:B490"/>
    <mergeCell ref="A494:F494"/>
    <mergeCell ref="A495:A496"/>
    <mergeCell ref="B495:B496"/>
    <mergeCell ref="C495:C496"/>
    <mergeCell ref="E495:F496"/>
    <mergeCell ref="A472:G472"/>
    <mergeCell ref="A473:A474"/>
    <mergeCell ref="B473:B474"/>
    <mergeCell ref="C473:C474"/>
    <mergeCell ref="D473:D474"/>
    <mergeCell ref="F473:G474"/>
    <mergeCell ref="A451:B451"/>
    <mergeCell ref="A457:B457"/>
    <mergeCell ref="A461:F461"/>
    <mergeCell ref="A462:A463"/>
    <mergeCell ref="B462:B463"/>
    <mergeCell ref="C462:C463"/>
    <mergeCell ref="E462:F463"/>
    <mergeCell ref="A438:G438"/>
    <mergeCell ref="A439:A440"/>
    <mergeCell ref="B439:B440"/>
    <mergeCell ref="C439:C440"/>
    <mergeCell ref="D439:D440"/>
    <mergeCell ref="F439:G440"/>
    <mergeCell ref="A417:B417"/>
    <mergeCell ref="A423:B423"/>
    <mergeCell ref="A427:F427"/>
    <mergeCell ref="A428:A429"/>
    <mergeCell ref="B428:B429"/>
    <mergeCell ref="C428:C429"/>
    <mergeCell ref="E428:F429"/>
    <mergeCell ref="A403:G403"/>
    <mergeCell ref="A404:A405"/>
    <mergeCell ref="B404:B405"/>
    <mergeCell ref="C404:C405"/>
    <mergeCell ref="D404:D405"/>
    <mergeCell ref="F404:G405"/>
    <mergeCell ref="A382:B382"/>
    <mergeCell ref="A388:B388"/>
    <mergeCell ref="A392:F392"/>
    <mergeCell ref="A393:A394"/>
    <mergeCell ref="B393:B394"/>
    <mergeCell ref="C393:C394"/>
    <mergeCell ref="E393:F394"/>
    <mergeCell ref="A368:G368"/>
    <mergeCell ref="A369:A370"/>
    <mergeCell ref="B369:B370"/>
    <mergeCell ref="C369:C370"/>
    <mergeCell ref="D369:D370"/>
    <mergeCell ref="F369:G370"/>
    <mergeCell ref="A347:B347"/>
    <mergeCell ref="A353:B353"/>
    <mergeCell ref="A357:F357"/>
    <mergeCell ref="A358:A359"/>
    <mergeCell ref="B358:B359"/>
    <mergeCell ref="C358:C359"/>
    <mergeCell ref="E358:F359"/>
    <mergeCell ref="A333:G333"/>
    <mergeCell ref="A334:A335"/>
    <mergeCell ref="B334:B335"/>
    <mergeCell ref="C334:C335"/>
    <mergeCell ref="D334:D335"/>
    <mergeCell ref="F334:G335"/>
    <mergeCell ref="A312:B312"/>
    <mergeCell ref="A318:B318"/>
    <mergeCell ref="A322:F322"/>
    <mergeCell ref="A323:A324"/>
    <mergeCell ref="B323:B324"/>
    <mergeCell ref="C323:C324"/>
    <mergeCell ref="E323:F324"/>
    <mergeCell ref="A298:G298"/>
    <mergeCell ref="A299:A300"/>
    <mergeCell ref="B299:B300"/>
    <mergeCell ref="C299:C300"/>
    <mergeCell ref="D299:D300"/>
    <mergeCell ref="F299:G300"/>
    <mergeCell ref="A277:B277"/>
    <mergeCell ref="A283:B283"/>
    <mergeCell ref="A287:F287"/>
    <mergeCell ref="A288:A289"/>
    <mergeCell ref="B288:B289"/>
    <mergeCell ref="C288:C289"/>
    <mergeCell ref="E288:F289"/>
    <mergeCell ref="A263:G263"/>
    <mergeCell ref="A264:A265"/>
    <mergeCell ref="B264:B265"/>
    <mergeCell ref="C264:C265"/>
    <mergeCell ref="D264:D265"/>
    <mergeCell ref="F264:G265"/>
    <mergeCell ref="A242:B242"/>
    <mergeCell ref="A248:B248"/>
    <mergeCell ref="A252:F252"/>
    <mergeCell ref="A253:A254"/>
    <mergeCell ref="B253:B254"/>
    <mergeCell ref="C253:C254"/>
    <mergeCell ref="E253:F254"/>
    <mergeCell ref="A227:G227"/>
    <mergeCell ref="A228:A229"/>
    <mergeCell ref="B228:B229"/>
    <mergeCell ref="C228:C229"/>
    <mergeCell ref="D228:D229"/>
    <mergeCell ref="F228:G229"/>
    <mergeCell ref="A206:B206"/>
    <mergeCell ref="A212:B212"/>
    <mergeCell ref="A216:F216"/>
    <mergeCell ref="A217:A218"/>
    <mergeCell ref="B217:B218"/>
    <mergeCell ref="C217:C218"/>
    <mergeCell ref="E217:F218"/>
    <mergeCell ref="A194:G194"/>
    <mergeCell ref="A195:A196"/>
    <mergeCell ref="B195:B196"/>
    <mergeCell ref="C195:C196"/>
    <mergeCell ref="D195:D196"/>
    <mergeCell ref="F195:G196"/>
    <mergeCell ref="A173:B173"/>
    <mergeCell ref="A179:B179"/>
    <mergeCell ref="A183:F183"/>
    <mergeCell ref="A184:A185"/>
    <mergeCell ref="B184:B185"/>
    <mergeCell ref="C184:C185"/>
    <mergeCell ref="E184:F185"/>
    <mergeCell ref="A161:G161"/>
    <mergeCell ref="A162:A163"/>
    <mergeCell ref="B162:B163"/>
    <mergeCell ref="C162:C163"/>
    <mergeCell ref="D162:D163"/>
    <mergeCell ref="F162:G163"/>
    <mergeCell ref="A140:B140"/>
    <mergeCell ref="A146:B146"/>
    <mergeCell ref="A150:F150"/>
    <mergeCell ref="A151:A152"/>
    <mergeCell ref="B151:B152"/>
    <mergeCell ref="C151:C152"/>
    <mergeCell ref="E151:F152"/>
    <mergeCell ref="A128:G128"/>
    <mergeCell ref="A129:A130"/>
    <mergeCell ref="B129:B130"/>
    <mergeCell ref="C129:C130"/>
    <mergeCell ref="D129:D130"/>
    <mergeCell ref="F129:G130"/>
    <mergeCell ref="A107:B107"/>
    <mergeCell ref="A113:B113"/>
    <mergeCell ref="A117:F117"/>
    <mergeCell ref="A118:A119"/>
    <mergeCell ref="B118:B119"/>
    <mergeCell ref="C118:C119"/>
    <mergeCell ref="E118:F119"/>
    <mergeCell ref="A95:G95"/>
    <mergeCell ref="A96:A97"/>
    <mergeCell ref="B96:B97"/>
    <mergeCell ref="C96:C97"/>
    <mergeCell ref="D96:D97"/>
    <mergeCell ref="F96:G97"/>
    <mergeCell ref="A74:B74"/>
    <mergeCell ref="A80:B80"/>
    <mergeCell ref="A84:F84"/>
    <mergeCell ref="A85:A86"/>
    <mergeCell ref="B85:B86"/>
    <mergeCell ref="C85:C86"/>
    <mergeCell ref="E85:F86"/>
    <mergeCell ref="A61:G61"/>
    <mergeCell ref="A62:A63"/>
    <mergeCell ref="B62:B63"/>
    <mergeCell ref="C62:C63"/>
    <mergeCell ref="D62:D63"/>
    <mergeCell ref="F62:G63"/>
    <mergeCell ref="A40:B40"/>
    <mergeCell ref="A46:B46"/>
    <mergeCell ref="A50:F50"/>
    <mergeCell ref="A51:A52"/>
    <mergeCell ref="B51:B52"/>
    <mergeCell ref="C51:C52"/>
    <mergeCell ref="E51:F52"/>
    <mergeCell ref="A26:G26"/>
    <mergeCell ref="A27:A28"/>
    <mergeCell ref="B27:B28"/>
    <mergeCell ref="C27:C28"/>
    <mergeCell ref="D27:D28"/>
    <mergeCell ref="F27:G28"/>
    <mergeCell ref="A5:B5"/>
    <mergeCell ref="A11:B11"/>
    <mergeCell ref="A15:F15"/>
    <mergeCell ref="A16:A17"/>
    <mergeCell ref="B16:B17"/>
    <mergeCell ref="C16:C17"/>
    <mergeCell ref="E16:F17"/>
  </mergeCells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E204-7739-4D8A-BB95-E95EAF3AF4E2}">
  <dimension ref="A1:I1085"/>
  <sheetViews>
    <sheetView topLeftCell="A1070" workbookViewId="0">
      <selection activeCell="I1084" sqref="I1084:I1085"/>
    </sheetView>
  </sheetViews>
  <sheetFormatPr defaultRowHeight="16.5" x14ac:dyDescent="0.3"/>
  <cols>
    <col min="9" max="9" width="17.25" bestFit="1" customWidth="1"/>
  </cols>
  <sheetData>
    <row r="1" spans="1:6" x14ac:dyDescent="0.3">
      <c r="A1" s="1" t="s">
        <v>237</v>
      </c>
    </row>
    <row r="3" spans="1:6" x14ac:dyDescent="0.3">
      <c r="A3" s="1" t="s">
        <v>1</v>
      </c>
    </row>
    <row r="4" spans="1:6" ht="17.25" thickBot="1" x14ac:dyDescent="0.35"/>
    <row r="5" spans="1:6" ht="16.5" customHeight="1" x14ac:dyDescent="0.3">
      <c r="A5" s="16" t="s">
        <v>135</v>
      </c>
      <c r="B5" s="18"/>
    </row>
    <row r="6" spans="1:6" ht="26.25" thickBot="1" x14ac:dyDescent="0.35">
      <c r="A6" s="12" t="s">
        <v>136</v>
      </c>
      <c r="B6" s="2">
        <v>183</v>
      </c>
    </row>
    <row r="7" spans="1:6" ht="26.25" thickBot="1" x14ac:dyDescent="0.35">
      <c r="A7" s="12" t="s">
        <v>137</v>
      </c>
      <c r="B7" s="2">
        <v>2949</v>
      </c>
    </row>
    <row r="8" spans="1:6" ht="39" thickBot="1" x14ac:dyDescent="0.35">
      <c r="A8" s="12" t="s">
        <v>138</v>
      </c>
      <c r="B8" s="2">
        <v>23222</v>
      </c>
    </row>
    <row r="9" spans="1:6" ht="25.5" x14ac:dyDescent="0.3">
      <c r="A9" s="13" t="s">
        <v>139</v>
      </c>
      <c r="B9" s="2">
        <v>9036880.5199999996</v>
      </c>
    </row>
    <row r="10" spans="1:6" ht="17.25" thickBot="1" x14ac:dyDescent="0.35"/>
    <row r="11" spans="1:6" ht="33" customHeight="1" x14ac:dyDescent="0.3">
      <c r="A11" s="16" t="s">
        <v>140</v>
      </c>
      <c r="B11" s="18"/>
    </row>
    <row r="12" spans="1:6" ht="33.75" thickBot="1" x14ac:dyDescent="0.35">
      <c r="A12" s="12" t="s">
        <v>141</v>
      </c>
      <c r="B12" s="2" t="s">
        <v>142</v>
      </c>
    </row>
    <row r="13" spans="1:6" ht="25.5" x14ac:dyDescent="0.3">
      <c r="A13" s="13" t="s">
        <v>143</v>
      </c>
      <c r="B13" s="2" t="s">
        <v>144</v>
      </c>
    </row>
    <row r="14" spans="1:6" ht="17.25" thickBot="1" x14ac:dyDescent="0.35"/>
    <row r="15" spans="1:6" ht="16.5" customHeight="1" x14ac:dyDescent="0.3">
      <c r="A15" s="16" t="s">
        <v>238</v>
      </c>
      <c r="B15" s="18"/>
      <c r="C15" s="18"/>
      <c r="D15" s="18"/>
      <c r="E15" s="18"/>
      <c r="F15" s="18"/>
    </row>
    <row r="16" spans="1:6" ht="16.5" customHeight="1" x14ac:dyDescent="0.3">
      <c r="A16" s="17" t="s">
        <v>239</v>
      </c>
      <c r="B16" s="19" t="s">
        <v>94</v>
      </c>
      <c r="C16" s="19" t="s">
        <v>240</v>
      </c>
      <c r="D16" s="3" t="s">
        <v>241</v>
      </c>
      <c r="E16" s="19" t="s">
        <v>243</v>
      </c>
      <c r="F16" s="19"/>
    </row>
    <row r="17" spans="1:7" x14ac:dyDescent="0.3">
      <c r="A17" s="17"/>
      <c r="B17" s="19"/>
      <c r="C17" s="19"/>
      <c r="D17" s="3" t="s">
        <v>242</v>
      </c>
      <c r="E17" s="19"/>
      <c r="F17" s="19"/>
    </row>
    <row r="18" spans="1:7" x14ac:dyDescent="0.3">
      <c r="A18" s="13" t="s">
        <v>116</v>
      </c>
      <c r="B18" s="2">
        <v>23222</v>
      </c>
      <c r="C18" s="2">
        <v>0.29750300000000002</v>
      </c>
      <c r="D18" s="2">
        <v>2.7789999999999998E-3</v>
      </c>
      <c r="E18" s="2">
        <v>0.29205375</v>
      </c>
      <c r="F18" s="2">
        <v>0.30295137999999999</v>
      </c>
    </row>
    <row r="22" spans="1:7" x14ac:dyDescent="0.3">
      <c r="A22" s="1" t="s">
        <v>237</v>
      </c>
    </row>
    <row r="24" spans="1:7" x14ac:dyDescent="0.3">
      <c r="A24" s="1" t="s">
        <v>1</v>
      </c>
    </row>
    <row r="25" spans="1:7" ht="17.25" thickBot="1" x14ac:dyDescent="0.35"/>
    <row r="26" spans="1:7" ht="16.5" customHeight="1" x14ac:dyDescent="0.3">
      <c r="A26" s="16" t="s">
        <v>266</v>
      </c>
      <c r="B26" s="18"/>
      <c r="C26" s="18"/>
      <c r="D26" s="18"/>
      <c r="E26" s="18"/>
      <c r="F26" s="18"/>
      <c r="G26" s="18"/>
    </row>
    <row r="27" spans="1:7" ht="16.5" customHeight="1" x14ac:dyDescent="0.3">
      <c r="A27" s="17" t="s">
        <v>2</v>
      </c>
      <c r="B27" s="19" t="s">
        <v>239</v>
      </c>
      <c r="C27" s="19" t="s">
        <v>94</v>
      </c>
      <c r="D27" s="19" t="s">
        <v>240</v>
      </c>
      <c r="E27" s="3" t="s">
        <v>241</v>
      </c>
      <c r="F27" s="19" t="s">
        <v>243</v>
      </c>
      <c r="G27" s="19"/>
    </row>
    <row r="28" spans="1:7" x14ac:dyDescent="0.3">
      <c r="A28" s="17"/>
      <c r="B28" s="19"/>
      <c r="C28" s="19"/>
      <c r="D28" s="19"/>
      <c r="E28" s="3" t="s">
        <v>242</v>
      </c>
      <c r="F28" s="19"/>
      <c r="G28" s="19"/>
    </row>
    <row r="29" spans="1:7" ht="17.25" thickBot="1" x14ac:dyDescent="0.35">
      <c r="A29" s="6">
        <v>1</v>
      </c>
      <c r="B29" s="11" t="s">
        <v>116</v>
      </c>
      <c r="C29" s="2">
        <v>2110</v>
      </c>
      <c r="D29" s="2">
        <v>0.305035</v>
      </c>
      <c r="E29" s="2">
        <v>8.7320000000000002E-3</v>
      </c>
      <c r="F29" s="2">
        <v>0.28791257999999997</v>
      </c>
      <c r="G29" s="2">
        <v>0.32215695</v>
      </c>
    </row>
    <row r="30" spans="1:7" ht="17.25" thickBot="1" x14ac:dyDescent="0.35">
      <c r="A30" s="6">
        <v>2</v>
      </c>
      <c r="B30" s="11" t="s">
        <v>116</v>
      </c>
      <c r="C30" s="2">
        <v>5964</v>
      </c>
      <c r="D30" s="2">
        <v>0.39193600000000001</v>
      </c>
      <c r="E30" s="2">
        <v>5.0809999999999996E-3</v>
      </c>
      <c r="F30" s="2">
        <v>0.38197352000000001</v>
      </c>
      <c r="G30" s="2">
        <v>0.40189823000000002</v>
      </c>
    </row>
    <row r="31" spans="1:7" ht="17.25" thickBot="1" x14ac:dyDescent="0.35">
      <c r="A31" s="6">
        <v>3</v>
      </c>
      <c r="B31" s="11" t="s">
        <v>116</v>
      </c>
      <c r="C31" s="2">
        <v>6709</v>
      </c>
      <c r="D31" s="2">
        <v>0.40460200000000002</v>
      </c>
      <c r="E31" s="2">
        <v>4.2700000000000004E-3</v>
      </c>
      <c r="F31" s="2">
        <v>0.39622933999999999</v>
      </c>
      <c r="G31" s="2">
        <v>0.41297539</v>
      </c>
    </row>
    <row r="32" spans="1:7" x14ac:dyDescent="0.3">
      <c r="A32" s="6">
        <v>8</v>
      </c>
      <c r="B32" s="14" t="s">
        <v>116</v>
      </c>
      <c r="C32" s="2">
        <v>8439</v>
      </c>
      <c r="D32" s="2">
        <v>0.17594000000000001</v>
      </c>
      <c r="E32" s="2">
        <v>3.728E-3</v>
      </c>
      <c r="F32" s="2">
        <v>0.16863091999999999</v>
      </c>
      <c r="G32" s="2">
        <v>0.18324955000000001</v>
      </c>
    </row>
    <row r="36" spans="1:2" x14ac:dyDescent="0.3">
      <c r="A36" s="1" t="s">
        <v>237</v>
      </c>
    </row>
    <row r="38" spans="1:2" x14ac:dyDescent="0.3">
      <c r="A38" s="1" t="s">
        <v>21</v>
      </c>
    </row>
    <row r="39" spans="1:2" ht="17.25" thickBot="1" x14ac:dyDescent="0.35"/>
    <row r="40" spans="1:2" ht="16.5" customHeight="1" x14ac:dyDescent="0.3">
      <c r="A40" s="16" t="s">
        <v>135</v>
      </c>
      <c r="B40" s="18"/>
    </row>
    <row r="41" spans="1:2" ht="26.25" thickBot="1" x14ac:dyDescent="0.35">
      <c r="A41" s="12" t="s">
        <v>136</v>
      </c>
      <c r="B41" s="2">
        <v>183</v>
      </c>
    </row>
    <row r="42" spans="1:2" ht="26.25" thickBot="1" x14ac:dyDescent="0.35">
      <c r="A42" s="12" t="s">
        <v>137</v>
      </c>
      <c r="B42" s="2">
        <v>2982</v>
      </c>
    </row>
    <row r="43" spans="1:2" ht="39" thickBot="1" x14ac:dyDescent="0.35">
      <c r="A43" s="12" t="s">
        <v>138</v>
      </c>
      <c r="B43" s="2">
        <v>68635</v>
      </c>
    </row>
    <row r="44" spans="1:2" ht="25.5" x14ac:dyDescent="0.3">
      <c r="A44" s="13" t="s">
        <v>139</v>
      </c>
      <c r="B44" s="2">
        <v>30251935.699999999</v>
      </c>
    </row>
    <row r="45" spans="1:2" ht="17.25" thickBot="1" x14ac:dyDescent="0.35"/>
    <row r="46" spans="1:2" ht="33" customHeight="1" x14ac:dyDescent="0.3">
      <c r="A46" s="16" t="s">
        <v>140</v>
      </c>
      <c r="B46" s="18"/>
    </row>
    <row r="47" spans="1:2" ht="33.75" thickBot="1" x14ac:dyDescent="0.35">
      <c r="A47" s="12" t="s">
        <v>141</v>
      </c>
      <c r="B47" s="2" t="s">
        <v>142</v>
      </c>
    </row>
    <row r="48" spans="1:2" ht="25.5" x14ac:dyDescent="0.3">
      <c r="A48" s="13" t="s">
        <v>143</v>
      </c>
      <c r="B48" s="2" t="s">
        <v>144</v>
      </c>
    </row>
    <row r="49" spans="1:9" ht="17.25" thickBot="1" x14ac:dyDescent="0.35"/>
    <row r="50" spans="1:9" ht="16.5" customHeight="1" x14ac:dyDescent="0.3">
      <c r="A50" s="16" t="s">
        <v>238</v>
      </c>
      <c r="B50" s="18"/>
      <c r="C50" s="18"/>
      <c r="D50" s="18"/>
      <c r="E50" s="18"/>
      <c r="F50" s="18"/>
    </row>
    <row r="51" spans="1:9" ht="16.5" customHeight="1" x14ac:dyDescent="0.3">
      <c r="A51" s="17" t="s">
        <v>239</v>
      </c>
      <c r="B51" s="19" t="s">
        <v>94</v>
      </c>
      <c r="C51" s="19" t="s">
        <v>240</v>
      </c>
      <c r="D51" s="3" t="s">
        <v>241</v>
      </c>
      <c r="E51" s="19" t="s">
        <v>243</v>
      </c>
      <c r="F51" s="19"/>
    </row>
    <row r="52" spans="1:9" x14ac:dyDescent="0.3">
      <c r="A52" s="17"/>
      <c r="B52" s="19"/>
      <c r="C52" s="19"/>
      <c r="D52" s="3" t="s">
        <v>242</v>
      </c>
      <c r="E52" s="19"/>
      <c r="F52" s="19"/>
    </row>
    <row r="53" spans="1:9" x14ac:dyDescent="0.3">
      <c r="A53" s="13" t="s">
        <v>116</v>
      </c>
      <c r="B53" s="2">
        <v>68635</v>
      </c>
      <c r="C53" s="2">
        <v>0.34523599999999999</v>
      </c>
      <c r="D53" s="2">
        <v>1.6490000000000001E-3</v>
      </c>
      <c r="E53" s="2">
        <v>0.34200205</v>
      </c>
      <c r="F53" s="2">
        <v>0.34847033999999999</v>
      </c>
    </row>
    <row r="57" spans="1:9" x14ac:dyDescent="0.3">
      <c r="A57" s="1" t="s">
        <v>237</v>
      </c>
    </row>
    <row r="59" spans="1:9" x14ac:dyDescent="0.3">
      <c r="A59" s="1" t="s">
        <v>21</v>
      </c>
    </row>
    <row r="60" spans="1:9" ht="17.25" thickBot="1" x14ac:dyDescent="0.35"/>
    <row r="61" spans="1:9" ht="16.5" customHeight="1" x14ac:dyDescent="0.3">
      <c r="A61" s="16" t="s">
        <v>266</v>
      </c>
      <c r="B61" s="18"/>
      <c r="C61" s="18"/>
      <c r="D61" s="18"/>
      <c r="E61" s="18"/>
      <c r="F61" s="18"/>
      <c r="G61" s="18"/>
    </row>
    <row r="62" spans="1:9" ht="16.5" customHeight="1" x14ac:dyDescent="0.3">
      <c r="A62" s="17" t="s">
        <v>2</v>
      </c>
      <c r="B62" s="19" t="s">
        <v>239</v>
      </c>
      <c r="C62" s="19" t="s">
        <v>94</v>
      </c>
      <c r="D62" s="19" t="s">
        <v>240</v>
      </c>
      <c r="E62" s="3" t="s">
        <v>241</v>
      </c>
      <c r="F62" s="19" t="s">
        <v>243</v>
      </c>
      <c r="G62" s="19"/>
    </row>
    <row r="63" spans="1:9" x14ac:dyDescent="0.3">
      <c r="A63" s="17"/>
      <c r="B63" s="19"/>
      <c r="C63" s="19"/>
      <c r="D63" s="19"/>
      <c r="E63" s="3" t="s">
        <v>242</v>
      </c>
      <c r="F63" s="19"/>
      <c r="G63" s="19"/>
    </row>
    <row r="64" spans="1:9" ht="17.25" thickBot="1" x14ac:dyDescent="0.35">
      <c r="A64" s="6">
        <v>1</v>
      </c>
      <c r="B64" s="11" t="s">
        <v>116</v>
      </c>
      <c r="C64" s="2">
        <v>21079</v>
      </c>
      <c r="D64" s="2">
        <v>0.271899</v>
      </c>
      <c r="E64" s="2">
        <v>2.6029999999999998E-3</v>
      </c>
      <c r="F64" s="2">
        <v>0.26679431999999997</v>
      </c>
      <c r="G64" s="2">
        <v>0.27700420999999997</v>
      </c>
      <c r="I64" t="str">
        <f t="shared" ref="I64:I66" si="0">TEXT(D64,"0.00")&amp;" ("&amp;TEXT(F64,"0.00")&amp;" to "&amp;TEXT(G64,"0.00")&amp;")"</f>
        <v>0.27 (0.27 to 0.28)</v>
      </c>
    </row>
    <row r="65" spans="1:9" ht="17.25" thickBot="1" x14ac:dyDescent="0.35">
      <c r="A65" s="6">
        <v>2</v>
      </c>
      <c r="B65" s="11" t="s">
        <v>116</v>
      </c>
      <c r="C65" s="2">
        <v>33470</v>
      </c>
      <c r="D65" s="2">
        <v>0.39285999999999999</v>
      </c>
      <c r="E65" s="2">
        <v>2.2130000000000001E-3</v>
      </c>
      <c r="F65" s="2">
        <v>0.38852146999999998</v>
      </c>
      <c r="G65" s="2">
        <v>0.39719833999999998</v>
      </c>
      <c r="I65" t="str">
        <f t="shared" si="0"/>
        <v>0.39 (0.39 to 0.40)</v>
      </c>
    </row>
    <row r="66" spans="1:9" x14ac:dyDescent="0.3">
      <c r="A66" s="6">
        <v>3</v>
      </c>
      <c r="B66" s="14" t="s">
        <v>116</v>
      </c>
      <c r="C66" s="2">
        <v>14086</v>
      </c>
      <c r="D66" s="2">
        <v>0.390407</v>
      </c>
      <c r="E66" s="2">
        <v>2.9919999999999999E-3</v>
      </c>
      <c r="F66" s="2">
        <v>0.38453994000000002</v>
      </c>
      <c r="G66" s="2">
        <v>0.39627375999999997</v>
      </c>
      <c r="I66" t="str">
        <f t="shared" si="0"/>
        <v>0.39 (0.38 to 0.40)</v>
      </c>
    </row>
    <row r="70" spans="1:9" x14ac:dyDescent="0.3">
      <c r="A70" s="1" t="s">
        <v>237</v>
      </c>
    </row>
    <row r="72" spans="1:9" x14ac:dyDescent="0.3">
      <c r="A72" s="1" t="s">
        <v>1</v>
      </c>
    </row>
    <row r="73" spans="1:9" ht="17.25" thickBot="1" x14ac:dyDescent="0.35"/>
    <row r="74" spans="1:9" ht="16.5" customHeight="1" x14ac:dyDescent="0.3">
      <c r="A74" s="16" t="s">
        <v>135</v>
      </c>
      <c r="B74" s="18"/>
    </row>
    <row r="75" spans="1:9" ht="26.25" thickBot="1" x14ac:dyDescent="0.35">
      <c r="A75" s="12" t="s">
        <v>136</v>
      </c>
      <c r="B75" s="2">
        <v>183</v>
      </c>
    </row>
    <row r="76" spans="1:9" ht="26.25" thickBot="1" x14ac:dyDescent="0.35">
      <c r="A76" s="12" t="s">
        <v>137</v>
      </c>
      <c r="B76" s="2">
        <v>2949</v>
      </c>
    </row>
    <row r="77" spans="1:9" ht="39" thickBot="1" x14ac:dyDescent="0.35">
      <c r="A77" s="12" t="s">
        <v>138</v>
      </c>
      <c r="B77" s="2">
        <v>23222</v>
      </c>
    </row>
    <row r="78" spans="1:9" ht="25.5" x14ac:dyDescent="0.3">
      <c r="A78" s="13" t="s">
        <v>139</v>
      </c>
      <c r="B78" s="2">
        <v>9036880.5199999996</v>
      </c>
    </row>
    <row r="79" spans="1:9" ht="17.25" thickBot="1" x14ac:dyDescent="0.35"/>
    <row r="80" spans="1:9" ht="33" customHeight="1" x14ac:dyDescent="0.3">
      <c r="A80" s="16" t="s">
        <v>140</v>
      </c>
      <c r="B80" s="18"/>
    </row>
    <row r="81" spans="1:7" ht="33.75" thickBot="1" x14ac:dyDescent="0.35">
      <c r="A81" s="12" t="s">
        <v>141</v>
      </c>
      <c r="B81" s="2" t="s">
        <v>142</v>
      </c>
    </row>
    <row r="82" spans="1:7" ht="25.5" x14ac:dyDescent="0.3">
      <c r="A82" s="13" t="s">
        <v>143</v>
      </c>
      <c r="B82" s="2" t="s">
        <v>144</v>
      </c>
    </row>
    <row r="83" spans="1:7" ht="17.25" thickBot="1" x14ac:dyDescent="0.35"/>
    <row r="84" spans="1:7" ht="16.5" customHeight="1" x14ac:dyDescent="0.3">
      <c r="A84" s="16" t="s">
        <v>238</v>
      </c>
      <c r="B84" s="18"/>
      <c r="C84" s="18"/>
      <c r="D84" s="18"/>
      <c r="E84" s="18"/>
      <c r="F84" s="18"/>
    </row>
    <row r="85" spans="1:7" ht="16.5" customHeight="1" x14ac:dyDescent="0.3">
      <c r="A85" s="17" t="s">
        <v>239</v>
      </c>
      <c r="B85" s="19" t="s">
        <v>94</v>
      </c>
      <c r="C85" s="19" t="s">
        <v>240</v>
      </c>
      <c r="D85" s="3" t="s">
        <v>241</v>
      </c>
      <c r="E85" s="19" t="s">
        <v>243</v>
      </c>
      <c r="F85" s="19"/>
    </row>
    <row r="86" spans="1:7" x14ac:dyDescent="0.3">
      <c r="A86" s="17"/>
      <c r="B86" s="19"/>
      <c r="C86" s="19"/>
      <c r="D86" s="3" t="s">
        <v>242</v>
      </c>
      <c r="E86" s="19"/>
      <c r="F86" s="19"/>
    </row>
    <row r="87" spans="1:7" x14ac:dyDescent="0.3">
      <c r="A87" s="13" t="s">
        <v>116</v>
      </c>
      <c r="B87" s="2">
        <v>23222</v>
      </c>
      <c r="C87" s="2">
        <v>0.29750300000000002</v>
      </c>
      <c r="D87" s="2">
        <v>2.7789999999999998E-3</v>
      </c>
      <c r="E87" s="2">
        <v>0.29205375</v>
      </c>
      <c r="F87" s="2">
        <v>0.30295137999999999</v>
      </c>
    </row>
    <row r="91" spans="1:7" x14ac:dyDescent="0.3">
      <c r="A91" s="1" t="s">
        <v>237</v>
      </c>
    </row>
    <row r="93" spans="1:7" x14ac:dyDescent="0.3">
      <c r="A93" s="1" t="s">
        <v>1</v>
      </c>
    </row>
    <row r="94" spans="1:7" ht="17.25" thickBot="1" x14ac:dyDescent="0.35"/>
    <row r="95" spans="1:7" ht="16.5" customHeight="1" x14ac:dyDescent="0.3">
      <c r="A95" s="16" t="s">
        <v>267</v>
      </c>
      <c r="B95" s="18"/>
      <c r="C95" s="18"/>
      <c r="D95" s="18"/>
      <c r="E95" s="18"/>
      <c r="F95" s="18"/>
      <c r="G95" s="18"/>
    </row>
    <row r="96" spans="1:7" ht="16.5" customHeight="1" x14ac:dyDescent="0.3">
      <c r="A96" s="17" t="s">
        <v>6</v>
      </c>
      <c r="B96" s="19" t="s">
        <v>239</v>
      </c>
      <c r="C96" s="19" t="s">
        <v>94</v>
      </c>
      <c r="D96" s="19" t="s">
        <v>240</v>
      </c>
      <c r="E96" s="3" t="s">
        <v>241</v>
      </c>
      <c r="F96" s="19" t="s">
        <v>243</v>
      </c>
      <c r="G96" s="19"/>
    </row>
    <row r="97" spans="1:7" x14ac:dyDescent="0.3">
      <c r="A97" s="17"/>
      <c r="B97" s="19"/>
      <c r="C97" s="19"/>
      <c r="D97" s="19"/>
      <c r="E97" s="3" t="s">
        <v>242</v>
      </c>
      <c r="F97" s="19"/>
      <c r="G97" s="19"/>
    </row>
    <row r="98" spans="1:7" ht="17.25" thickBot="1" x14ac:dyDescent="0.35">
      <c r="A98" s="6">
        <v>1</v>
      </c>
      <c r="B98" s="11" t="s">
        <v>116</v>
      </c>
      <c r="C98" s="2">
        <v>8741</v>
      </c>
      <c r="D98" s="2">
        <v>0.31987100000000002</v>
      </c>
      <c r="E98" s="2">
        <v>4.4349999999999997E-3</v>
      </c>
      <c r="F98" s="2">
        <v>0.31117421000000001</v>
      </c>
      <c r="G98" s="2">
        <v>0.32856737000000003</v>
      </c>
    </row>
    <row r="99" spans="1:7" x14ac:dyDescent="0.3">
      <c r="A99" s="6">
        <v>2</v>
      </c>
      <c r="B99" s="14" t="s">
        <v>116</v>
      </c>
      <c r="C99" s="2">
        <v>14481</v>
      </c>
      <c r="D99" s="2">
        <v>0.28050999999999998</v>
      </c>
      <c r="E99" s="2">
        <v>3.1020000000000002E-3</v>
      </c>
      <c r="F99" s="2">
        <v>0.27442707</v>
      </c>
      <c r="G99" s="2">
        <v>0.28659278999999999</v>
      </c>
    </row>
    <row r="103" spans="1:7" x14ac:dyDescent="0.3">
      <c r="A103" s="1" t="s">
        <v>237</v>
      </c>
    </row>
    <row r="105" spans="1:7" x14ac:dyDescent="0.3">
      <c r="A105" s="1" t="s">
        <v>21</v>
      </c>
    </row>
    <row r="106" spans="1:7" ht="17.25" thickBot="1" x14ac:dyDescent="0.35"/>
    <row r="107" spans="1:7" ht="16.5" customHeight="1" x14ac:dyDescent="0.3">
      <c r="A107" s="16" t="s">
        <v>135</v>
      </c>
      <c r="B107" s="18"/>
    </row>
    <row r="108" spans="1:7" ht="26.25" thickBot="1" x14ac:dyDescent="0.35">
      <c r="A108" s="12" t="s">
        <v>136</v>
      </c>
      <c r="B108" s="2">
        <v>183</v>
      </c>
    </row>
    <row r="109" spans="1:7" ht="26.25" thickBot="1" x14ac:dyDescent="0.35">
      <c r="A109" s="12" t="s">
        <v>137</v>
      </c>
      <c r="B109" s="2">
        <v>2982</v>
      </c>
    </row>
    <row r="110" spans="1:7" ht="39" thickBot="1" x14ac:dyDescent="0.35">
      <c r="A110" s="12" t="s">
        <v>138</v>
      </c>
      <c r="B110" s="2">
        <v>68635</v>
      </c>
    </row>
    <row r="111" spans="1:7" ht="25.5" x14ac:dyDescent="0.3">
      <c r="A111" s="13" t="s">
        <v>139</v>
      </c>
      <c r="B111" s="2">
        <v>30251935.699999999</v>
      </c>
    </row>
    <row r="112" spans="1:7" ht="17.25" thickBot="1" x14ac:dyDescent="0.35"/>
    <row r="113" spans="1:7" ht="33" customHeight="1" x14ac:dyDescent="0.3">
      <c r="A113" s="16" t="s">
        <v>140</v>
      </c>
      <c r="B113" s="18"/>
    </row>
    <row r="114" spans="1:7" ht="33.75" thickBot="1" x14ac:dyDescent="0.35">
      <c r="A114" s="12" t="s">
        <v>141</v>
      </c>
      <c r="B114" s="2" t="s">
        <v>142</v>
      </c>
    </row>
    <row r="115" spans="1:7" ht="25.5" x14ac:dyDescent="0.3">
      <c r="A115" s="13" t="s">
        <v>143</v>
      </c>
      <c r="B115" s="2" t="s">
        <v>144</v>
      </c>
    </row>
    <row r="116" spans="1:7" ht="17.25" thickBot="1" x14ac:dyDescent="0.35"/>
    <row r="117" spans="1:7" ht="16.5" customHeight="1" x14ac:dyDescent="0.3">
      <c r="A117" s="16" t="s">
        <v>238</v>
      </c>
      <c r="B117" s="18"/>
      <c r="C117" s="18"/>
      <c r="D117" s="18"/>
      <c r="E117" s="18"/>
      <c r="F117" s="18"/>
    </row>
    <row r="118" spans="1:7" ht="16.5" customHeight="1" x14ac:dyDescent="0.3">
      <c r="A118" s="17" t="s">
        <v>239</v>
      </c>
      <c r="B118" s="19" t="s">
        <v>94</v>
      </c>
      <c r="C118" s="19" t="s">
        <v>240</v>
      </c>
      <c r="D118" s="3" t="s">
        <v>241</v>
      </c>
      <c r="E118" s="19" t="s">
        <v>243</v>
      </c>
      <c r="F118" s="19"/>
    </row>
    <row r="119" spans="1:7" x14ac:dyDescent="0.3">
      <c r="A119" s="17"/>
      <c r="B119" s="19"/>
      <c r="C119" s="19"/>
      <c r="D119" s="3" t="s">
        <v>242</v>
      </c>
      <c r="E119" s="19"/>
      <c r="F119" s="19"/>
    </row>
    <row r="120" spans="1:7" x14ac:dyDescent="0.3">
      <c r="A120" s="13" t="s">
        <v>116</v>
      </c>
      <c r="B120" s="2">
        <v>68635</v>
      </c>
      <c r="C120" s="2">
        <v>0.34523599999999999</v>
      </c>
      <c r="D120" s="2">
        <v>1.6490000000000001E-3</v>
      </c>
      <c r="E120" s="2">
        <v>0.34200205</v>
      </c>
      <c r="F120" s="2">
        <v>0.34847033999999999</v>
      </c>
    </row>
    <row r="124" spans="1:7" x14ac:dyDescent="0.3">
      <c r="A124" s="1" t="s">
        <v>237</v>
      </c>
    </row>
    <row r="126" spans="1:7" x14ac:dyDescent="0.3">
      <c r="A126" s="1" t="s">
        <v>21</v>
      </c>
    </row>
    <row r="127" spans="1:7" ht="17.25" thickBot="1" x14ac:dyDescent="0.35"/>
    <row r="128" spans="1:7" ht="16.5" customHeight="1" x14ac:dyDescent="0.3">
      <c r="A128" s="16" t="s">
        <v>267</v>
      </c>
      <c r="B128" s="18"/>
      <c r="C128" s="18"/>
      <c r="D128" s="18"/>
      <c r="E128" s="18"/>
      <c r="F128" s="18"/>
      <c r="G128" s="18"/>
    </row>
    <row r="129" spans="1:9" ht="16.5" customHeight="1" x14ac:dyDescent="0.3">
      <c r="A129" s="17" t="s">
        <v>6</v>
      </c>
      <c r="B129" s="19" t="s">
        <v>239</v>
      </c>
      <c r="C129" s="19" t="s">
        <v>94</v>
      </c>
      <c r="D129" s="19" t="s">
        <v>240</v>
      </c>
      <c r="E129" s="3" t="s">
        <v>241</v>
      </c>
      <c r="F129" s="19" t="s">
        <v>243</v>
      </c>
      <c r="G129" s="19"/>
    </row>
    <row r="130" spans="1:9" x14ac:dyDescent="0.3">
      <c r="A130" s="17"/>
      <c r="B130" s="19"/>
      <c r="C130" s="19"/>
      <c r="D130" s="19"/>
      <c r="E130" s="3" t="s">
        <v>242</v>
      </c>
      <c r="F130" s="19"/>
      <c r="G130" s="19"/>
    </row>
    <row r="131" spans="1:9" ht="17.25" thickBot="1" x14ac:dyDescent="0.35">
      <c r="A131" s="6">
        <v>1</v>
      </c>
      <c r="B131" s="11" t="s">
        <v>116</v>
      </c>
      <c r="C131" s="2">
        <v>33200</v>
      </c>
      <c r="D131" s="2">
        <v>0.439975</v>
      </c>
      <c r="E131" s="2">
        <v>2.2200000000000002E-3</v>
      </c>
      <c r="F131" s="2">
        <v>0.43562182999999999</v>
      </c>
      <c r="G131" s="2">
        <v>0.44432899999999997</v>
      </c>
      <c r="I131" t="str">
        <f t="shared" ref="I131:I132" si="1">TEXT(D131,"0.00")&amp;" ("&amp;TEXT(F131,"0.00")&amp;" to "&amp;TEXT(G131,"0.00")&amp;")"</f>
        <v>0.44 (0.44 to 0.44)</v>
      </c>
    </row>
    <row r="132" spans="1:9" x14ac:dyDescent="0.3">
      <c r="A132" s="6">
        <v>2</v>
      </c>
      <c r="B132" s="14" t="s">
        <v>116</v>
      </c>
      <c r="C132" s="2">
        <v>35435</v>
      </c>
      <c r="D132" s="2">
        <v>0.23233799999999999</v>
      </c>
      <c r="E132" s="2">
        <v>2.0209999999999998E-3</v>
      </c>
      <c r="F132" s="2">
        <v>0.22837505</v>
      </c>
      <c r="G132" s="2">
        <v>0.23630043000000001</v>
      </c>
      <c r="I132" t="str">
        <f t="shared" si="1"/>
        <v>0.23 (0.23 to 0.24)</v>
      </c>
    </row>
    <row r="136" spans="1:9" x14ac:dyDescent="0.3">
      <c r="A136" s="1" t="s">
        <v>237</v>
      </c>
    </row>
    <row r="138" spans="1:9" x14ac:dyDescent="0.3">
      <c r="A138" s="1" t="s">
        <v>1</v>
      </c>
    </row>
    <row r="139" spans="1:9" ht="17.25" thickBot="1" x14ac:dyDescent="0.35"/>
    <row r="140" spans="1:9" ht="16.5" customHeight="1" x14ac:dyDescent="0.3">
      <c r="A140" s="16" t="s">
        <v>135</v>
      </c>
      <c r="B140" s="18"/>
    </row>
    <row r="141" spans="1:9" ht="26.25" thickBot="1" x14ac:dyDescent="0.35">
      <c r="A141" s="12" t="s">
        <v>136</v>
      </c>
      <c r="B141" s="2">
        <v>183</v>
      </c>
    </row>
    <row r="142" spans="1:9" ht="26.25" thickBot="1" x14ac:dyDescent="0.35">
      <c r="A142" s="12" t="s">
        <v>137</v>
      </c>
      <c r="B142" s="2">
        <v>2949</v>
      </c>
    </row>
    <row r="143" spans="1:9" ht="39" thickBot="1" x14ac:dyDescent="0.35">
      <c r="A143" s="12" t="s">
        <v>138</v>
      </c>
      <c r="B143" s="2">
        <v>23222</v>
      </c>
    </row>
    <row r="144" spans="1:9" ht="25.5" x14ac:dyDescent="0.3">
      <c r="A144" s="13" t="s">
        <v>139</v>
      </c>
      <c r="B144" s="2">
        <v>9036880.5199999996</v>
      </c>
    </row>
    <row r="145" spans="1:6" ht="17.25" thickBot="1" x14ac:dyDescent="0.35"/>
    <row r="146" spans="1:6" ht="33" customHeight="1" x14ac:dyDescent="0.3">
      <c r="A146" s="16" t="s">
        <v>140</v>
      </c>
      <c r="B146" s="18"/>
    </row>
    <row r="147" spans="1:6" ht="33.75" thickBot="1" x14ac:dyDescent="0.35">
      <c r="A147" s="12" t="s">
        <v>141</v>
      </c>
      <c r="B147" s="2" t="s">
        <v>142</v>
      </c>
    </row>
    <row r="148" spans="1:6" ht="25.5" x14ac:dyDescent="0.3">
      <c r="A148" s="13" t="s">
        <v>143</v>
      </c>
      <c r="B148" s="2" t="s">
        <v>144</v>
      </c>
    </row>
    <row r="149" spans="1:6" ht="17.25" thickBot="1" x14ac:dyDescent="0.35"/>
    <row r="150" spans="1:6" ht="16.5" customHeight="1" x14ac:dyDescent="0.3">
      <c r="A150" s="16" t="s">
        <v>238</v>
      </c>
      <c r="B150" s="18"/>
      <c r="C150" s="18"/>
      <c r="D150" s="18"/>
      <c r="E150" s="18"/>
      <c r="F150" s="18"/>
    </row>
    <row r="151" spans="1:6" ht="16.5" customHeight="1" x14ac:dyDescent="0.3">
      <c r="A151" s="17" t="s">
        <v>239</v>
      </c>
      <c r="B151" s="19" t="s">
        <v>94</v>
      </c>
      <c r="C151" s="19" t="s">
        <v>240</v>
      </c>
      <c r="D151" s="3" t="s">
        <v>241</v>
      </c>
      <c r="E151" s="19" t="s">
        <v>243</v>
      </c>
      <c r="F151" s="19"/>
    </row>
    <row r="152" spans="1:6" x14ac:dyDescent="0.3">
      <c r="A152" s="17"/>
      <c r="B152" s="19"/>
      <c r="C152" s="19"/>
      <c r="D152" s="3" t="s">
        <v>242</v>
      </c>
      <c r="E152" s="19"/>
      <c r="F152" s="19"/>
    </row>
    <row r="153" spans="1:6" x14ac:dyDescent="0.3">
      <c r="A153" s="13" t="s">
        <v>116</v>
      </c>
      <c r="B153" s="2">
        <v>23222</v>
      </c>
      <c r="C153" s="2">
        <v>0.29750300000000002</v>
      </c>
      <c r="D153" s="2">
        <v>2.7789999999999998E-3</v>
      </c>
      <c r="E153" s="2">
        <v>0.29205375</v>
      </c>
      <c r="F153" s="2">
        <v>0.30295137999999999</v>
      </c>
    </row>
    <row r="157" spans="1:6" x14ac:dyDescent="0.3">
      <c r="A157" s="1" t="s">
        <v>237</v>
      </c>
    </row>
    <row r="159" spans="1:6" x14ac:dyDescent="0.3">
      <c r="A159" s="1" t="s">
        <v>1</v>
      </c>
    </row>
    <row r="160" spans="1:6" ht="17.25" thickBot="1" x14ac:dyDescent="0.35"/>
    <row r="161" spans="1:7" ht="16.5" customHeight="1" x14ac:dyDescent="0.3">
      <c r="A161" s="16" t="s">
        <v>268</v>
      </c>
      <c r="B161" s="18"/>
      <c r="C161" s="18"/>
      <c r="D161" s="18"/>
      <c r="E161" s="18"/>
      <c r="F161" s="18"/>
      <c r="G161" s="18"/>
    </row>
    <row r="162" spans="1:7" ht="16.5" customHeight="1" x14ac:dyDescent="0.3">
      <c r="A162" s="17" t="s">
        <v>7</v>
      </c>
      <c r="B162" s="19" t="s">
        <v>239</v>
      </c>
      <c r="C162" s="19" t="s">
        <v>94</v>
      </c>
      <c r="D162" s="19" t="s">
        <v>240</v>
      </c>
      <c r="E162" s="3" t="s">
        <v>241</v>
      </c>
      <c r="F162" s="19" t="s">
        <v>243</v>
      </c>
      <c r="G162" s="19"/>
    </row>
    <row r="163" spans="1:7" x14ac:dyDescent="0.3">
      <c r="A163" s="17"/>
      <c r="B163" s="19"/>
      <c r="C163" s="19"/>
      <c r="D163" s="19"/>
      <c r="E163" s="3" t="s">
        <v>242</v>
      </c>
      <c r="F163" s="19"/>
      <c r="G163" s="19"/>
    </row>
    <row r="164" spans="1:7" ht="17.25" thickBot="1" x14ac:dyDescent="0.35">
      <c r="A164" s="6">
        <v>1</v>
      </c>
      <c r="B164" s="11" t="s">
        <v>116</v>
      </c>
      <c r="C164" s="2">
        <v>17769</v>
      </c>
      <c r="D164" s="2">
        <v>0.28992299999999999</v>
      </c>
      <c r="E164" s="2">
        <v>3.1099999999999999E-3</v>
      </c>
      <c r="F164" s="2">
        <v>0.28382542999999999</v>
      </c>
      <c r="G164" s="2">
        <v>0.29602130999999998</v>
      </c>
    </row>
    <row r="165" spans="1:7" x14ac:dyDescent="0.3">
      <c r="A165" s="6">
        <v>2</v>
      </c>
      <c r="B165" s="14" t="s">
        <v>116</v>
      </c>
      <c r="C165" s="2">
        <v>5453</v>
      </c>
      <c r="D165" s="2">
        <v>0.32814900000000002</v>
      </c>
      <c r="E165" s="2">
        <v>6.5230000000000002E-3</v>
      </c>
      <c r="F165" s="2">
        <v>0.31535816999999999</v>
      </c>
      <c r="G165" s="2">
        <v>0.34093921999999999</v>
      </c>
    </row>
    <row r="169" spans="1:7" x14ac:dyDescent="0.3">
      <c r="A169" s="1" t="s">
        <v>237</v>
      </c>
    </row>
    <row r="171" spans="1:7" x14ac:dyDescent="0.3">
      <c r="A171" s="1" t="s">
        <v>21</v>
      </c>
    </row>
    <row r="172" spans="1:7" ht="17.25" thickBot="1" x14ac:dyDescent="0.35"/>
    <row r="173" spans="1:7" ht="16.5" customHeight="1" x14ac:dyDescent="0.3">
      <c r="A173" s="16" t="s">
        <v>135</v>
      </c>
      <c r="B173" s="18"/>
    </row>
    <row r="174" spans="1:7" ht="26.25" thickBot="1" x14ac:dyDescent="0.35">
      <c r="A174" s="12" t="s">
        <v>136</v>
      </c>
      <c r="B174" s="2">
        <v>183</v>
      </c>
    </row>
    <row r="175" spans="1:7" ht="26.25" thickBot="1" x14ac:dyDescent="0.35">
      <c r="A175" s="12" t="s">
        <v>137</v>
      </c>
      <c r="B175" s="2">
        <v>2982</v>
      </c>
    </row>
    <row r="176" spans="1:7" ht="39" thickBot="1" x14ac:dyDescent="0.35">
      <c r="A176" s="12" t="s">
        <v>138</v>
      </c>
      <c r="B176" s="2">
        <v>68635</v>
      </c>
    </row>
    <row r="177" spans="1:6" ht="25.5" x14ac:dyDescent="0.3">
      <c r="A177" s="13" t="s">
        <v>139</v>
      </c>
      <c r="B177" s="2">
        <v>30251935.699999999</v>
      </c>
    </row>
    <row r="178" spans="1:6" ht="17.25" thickBot="1" x14ac:dyDescent="0.35"/>
    <row r="179" spans="1:6" ht="33" customHeight="1" x14ac:dyDescent="0.3">
      <c r="A179" s="16" t="s">
        <v>140</v>
      </c>
      <c r="B179" s="18"/>
    </row>
    <row r="180" spans="1:6" ht="33.75" thickBot="1" x14ac:dyDescent="0.35">
      <c r="A180" s="12" t="s">
        <v>141</v>
      </c>
      <c r="B180" s="2" t="s">
        <v>142</v>
      </c>
    </row>
    <row r="181" spans="1:6" ht="25.5" x14ac:dyDescent="0.3">
      <c r="A181" s="13" t="s">
        <v>143</v>
      </c>
      <c r="B181" s="2" t="s">
        <v>144</v>
      </c>
    </row>
    <row r="182" spans="1:6" ht="17.25" thickBot="1" x14ac:dyDescent="0.35"/>
    <row r="183" spans="1:6" ht="16.5" customHeight="1" x14ac:dyDescent="0.3">
      <c r="A183" s="16" t="s">
        <v>238</v>
      </c>
      <c r="B183" s="18"/>
      <c r="C183" s="18"/>
      <c r="D183" s="18"/>
      <c r="E183" s="18"/>
      <c r="F183" s="18"/>
    </row>
    <row r="184" spans="1:6" ht="16.5" customHeight="1" x14ac:dyDescent="0.3">
      <c r="A184" s="17" t="s">
        <v>239</v>
      </c>
      <c r="B184" s="19" t="s">
        <v>94</v>
      </c>
      <c r="C184" s="19" t="s">
        <v>240</v>
      </c>
      <c r="D184" s="3" t="s">
        <v>241</v>
      </c>
      <c r="E184" s="19" t="s">
        <v>243</v>
      </c>
      <c r="F184" s="19"/>
    </row>
    <row r="185" spans="1:6" x14ac:dyDescent="0.3">
      <c r="A185" s="17"/>
      <c r="B185" s="19"/>
      <c r="C185" s="19"/>
      <c r="D185" s="3" t="s">
        <v>242</v>
      </c>
      <c r="E185" s="19"/>
      <c r="F185" s="19"/>
    </row>
    <row r="186" spans="1:6" x14ac:dyDescent="0.3">
      <c r="A186" s="13" t="s">
        <v>116</v>
      </c>
      <c r="B186" s="2">
        <v>68635</v>
      </c>
      <c r="C186" s="2">
        <v>0.34523599999999999</v>
      </c>
      <c r="D186" s="2">
        <v>1.6490000000000001E-3</v>
      </c>
      <c r="E186" s="2">
        <v>0.34200205</v>
      </c>
      <c r="F186" s="2">
        <v>0.34847033999999999</v>
      </c>
    </row>
    <row r="190" spans="1:6" x14ac:dyDescent="0.3">
      <c r="A190" s="1" t="s">
        <v>237</v>
      </c>
    </row>
    <row r="192" spans="1:6" x14ac:dyDescent="0.3">
      <c r="A192" s="1" t="s">
        <v>21</v>
      </c>
    </row>
    <row r="193" spans="1:9" ht="17.25" thickBot="1" x14ac:dyDescent="0.35"/>
    <row r="194" spans="1:9" ht="16.5" customHeight="1" x14ac:dyDescent="0.3">
      <c r="A194" s="16" t="s">
        <v>268</v>
      </c>
      <c r="B194" s="18"/>
      <c r="C194" s="18"/>
      <c r="D194" s="18"/>
      <c r="E194" s="18"/>
      <c r="F194" s="18"/>
      <c r="G194" s="18"/>
    </row>
    <row r="195" spans="1:9" ht="16.5" customHeight="1" x14ac:dyDescent="0.3">
      <c r="A195" s="17" t="s">
        <v>7</v>
      </c>
      <c r="B195" s="19" t="s">
        <v>239</v>
      </c>
      <c r="C195" s="19" t="s">
        <v>94</v>
      </c>
      <c r="D195" s="19" t="s">
        <v>240</v>
      </c>
      <c r="E195" s="3" t="s">
        <v>241</v>
      </c>
      <c r="F195" s="19" t="s">
        <v>243</v>
      </c>
      <c r="G195" s="19"/>
    </row>
    <row r="196" spans="1:9" x14ac:dyDescent="0.3">
      <c r="A196" s="17"/>
      <c r="B196" s="19"/>
      <c r="C196" s="19"/>
      <c r="D196" s="19"/>
      <c r="E196" s="3" t="s">
        <v>242</v>
      </c>
      <c r="F196" s="19"/>
      <c r="G196" s="19"/>
    </row>
    <row r="197" spans="1:9" ht="17.25" thickBot="1" x14ac:dyDescent="0.35">
      <c r="A197" s="6">
        <v>1</v>
      </c>
      <c r="B197" s="11" t="s">
        <v>116</v>
      </c>
      <c r="C197" s="2">
        <v>55176</v>
      </c>
      <c r="D197" s="2">
        <v>0.33835700000000002</v>
      </c>
      <c r="E197" s="2">
        <v>1.8159999999999999E-3</v>
      </c>
      <c r="F197" s="2">
        <v>0.33479627000000001</v>
      </c>
      <c r="G197" s="2">
        <v>0.34191771999999998</v>
      </c>
      <c r="I197" t="str">
        <f t="shared" ref="I197:I198" si="2">TEXT(D197,"0.00")&amp;" ("&amp;TEXT(F197,"0.00")&amp;" to "&amp;TEXT(G197,"0.00")&amp;")"</f>
        <v>0.34 (0.33 to 0.34)</v>
      </c>
    </row>
    <row r="198" spans="1:9" x14ac:dyDescent="0.3">
      <c r="A198" s="6">
        <v>2</v>
      </c>
      <c r="B198" s="14" t="s">
        <v>116</v>
      </c>
      <c r="C198" s="2">
        <v>13459</v>
      </c>
      <c r="D198" s="2">
        <v>0.38117899999999999</v>
      </c>
      <c r="E198" s="2">
        <v>4.0930000000000003E-3</v>
      </c>
      <c r="F198" s="2">
        <v>0.37315356</v>
      </c>
      <c r="G198" s="2">
        <v>0.38920454999999998</v>
      </c>
      <c r="I198" t="str">
        <f t="shared" si="2"/>
        <v>0.38 (0.37 to 0.39)</v>
      </c>
    </row>
    <row r="202" spans="1:9" x14ac:dyDescent="0.3">
      <c r="A202" s="1" t="s">
        <v>237</v>
      </c>
    </row>
    <row r="204" spans="1:9" x14ac:dyDescent="0.3">
      <c r="A204" s="1" t="s">
        <v>1</v>
      </c>
    </row>
    <row r="205" spans="1:9" ht="17.25" thickBot="1" x14ac:dyDescent="0.35"/>
    <row r="206" spans="1:9" ht="16.5" customHeight="1" x14ac:dyDescent="0.3">
      <c r="A206" s="16" t="s">
        <v>135</v>
      </c>
      <c r="B206" s="18"/>
    </row>
    <row r="207" spans="1:9" ht="26.25" thickBot="1" x14ac:dyDescent="0.35">
      <c r="A207" s="12" t="s">
        <v>136</v>
      </c>
      <c r="B207" s="2">
        <v>183</v>
      </c>
    </row>
    <row r="208" spans="1:9" ht="26.25" thickBot="1" x14ac:dyDescent="0.35">
      <c r="A208" s="12" t="s">
        <v>137</v>
      </c>
      <c r="B208" s="2">
        <v>2949</v>
      </c>
    </row>
    <row r="209" spans="1:6" ht="39" thickBot="1" x14ac:dyDescent="0.35">
      <c r="A209" s="12" t="s">
        <v>138</v>
      </c>
      <c r="B209" s="2">
        <v>23222</v>
      </c>
    </row>
    <row r="210" spans="1:6" ht="25.5" x14ac:dyDescent="0.3">
      <c r="A210" s="13" t="s">
        <v>139</v>
      </c>
      <c r="B210" s="2">
        <v>9036880.5199999996</v>
      </c>
    </row>
    <row r="211" spans="1:6" ht="17.25" thickBot="1" x14ac:dyDescent="0.35"/>
    <row r="212" spans="1:6" ht="33" customHeight="1" x14ac:dyDescent="0.3">
      <c r="A212" s="16" t="s">
        <v>140</v>
      </c>
      <c r="B212" s="18"/>
    </row>
    <row r="213" spans="1:6" ht="33.75" thickBot="1" x14ac:dyDescent="0.35">
      <c r="A213" s="12" t="s">
        <v>141</v>
      </c>
      <c r="B213" s="2" t="s">
        <v>142</v>
      </c>
    </row>
    <row r="214" spans="1:6" ht="25.5" x14ac:dyDescent="0.3">
      <c r="A214" s="13" t="s">
        <v>143</v>
      </c>
      <c r="B214" s="2" t="s">
        <v>144</v>
      </c>
    </row>
    <row r="215" spans="1:6" ht="17.25" thickBot="1" x14ac:dyDescent="0.35"/>
    <row r="216" spans="1:6" ht="16.5" customHeight="1" x14ac:dyDescent="0.3">
      <c r="A216" s="16" t="s">
        <v>238</v>
      </c>
      <c r="B216" s="18"/>
      <c r="C216" s="18"/>
      <c r="D216" s="18"/>
      <c r="E216" s="18"/>
      <c r="F216" s="18"/>
    </row>
    <row r="217" spans="1:6" ht="16.5" customHeight="1" x14ac:dyDescent="0.3">
      <c r="A217" s="17" t="s">
        <v>239</v>
      </c>
      <c r="B217" s="19" t="s">
        <v>94</v>
      </c>
      <c r="C217" s="19" t="s">
        <v>240</v>
      </c>
      <c r="D217" s="3" t="s">
        <v>241</v>
      </c>
      <c r="E217" s="19" t="s">
        <v>243</v>
      </c>
      <c r="F217" s="19"/>
    </row>
    <row r="218" spans="1:6" x14ac:dyDescent="0.3">
      <c r="A218" s="17"/>
      <c r="B218" s="19"/>
      <c r="C218" s="19"/>
      <c r="D218" s="3" t="s">
        <v>242</v>
      </c>
      <c r="E218" s="19"/>
      <c r="F218" s="19"/>
    </row>
    <row r="219" spans="1:6" x14ac:dyDescent="0.3">
      <c r="A219" s="13" t="s">
        <v>116</v>
      </c>
      <c r="B219" s="2">
        <v>23222</v>
      </c>
      <c r="C219" s="2">
        <v>0.29750300000000002</v>
      </c>
      <c r="D219" s="2">
        <v>2.7789999999999998E-3</v>
      </c>
      <c r="E219" s="2">
        <v>0.29205375</v>
      </c>
      <c r="F219" s="2">
        <v>0.30295137999999999</v>
      </c>
    </row>
    <row r="223" spans="1:6" x14ac:dyDescent="0.3">
      <c r="A223" s="1" t="s">
        <v>237</v>
      </c>
    </row>
    <row r="225" spans="1:7" x14ac:dyDescent="0.3">
      <c r="A225" s="1" t="s">
        <v>1</v>
      </c>
    </row>
    <row r="226" spans="1:7" ht="17.25" thickBot="1" x14ac:dyDescent="0.35"/>
    <row r="227" spans="1:7" ht="16.5" customHeight="1" x14ac:dyDescent="0.3">
      <c r="A227" s="16" t="s">
        <v>269</v>
      </c>
      <c r="B227" s="18"/>
      <c r="C227" s="18"/>
      <c r="D227" s="18"/>
      <c r="E227" s="18"/>
      <c r="F227" s="18"/>
      <c r="G227" s="18"/>
    </row>
    <row r="228" spans="1:7" ht="16.5" customHeight="1" x14ac:dyDescent="0.3">
      <c r="A228" s="17" t="s">
        <v>8</v>
      </c>
      <c r="B228" s="19" t="s">
        <v>239</v>
      </c>
      <c r="C228" s="19" t="s">
        <v>94</v>
      </c>
      <c r="D228" s="19" t="s">
        <v>240</v>
      </c>
      <c r="E228" s="3" t="s">
        <v>241</v>
      </c>
      <c r="F228" s="19" t="s">
        <v>243</v>
      </c>
      <c r="G228" s="19"/>
    </row>
    <row r="229" spans="1:7" x14ac:dyDescent="0.3">
      <c r="A229" s="17"/>
      <c r="B229" s="19"/>
      <c r="C229" s="19"/>
      <c r="D229" s="19"/>
      <c r="E229" s="3" t="s">
        <v>242</v>
      </c>
      <c r="F229" s="19"/>
      <c r="G229" s="19"/>
    </row>
    <row r="230" spans="1:7" ht="17.25" thickBot="1" x14ac:dyDescent="0.35">
      <c r="A230" s="6">
        <v>1</v>
      </c>
      <c r="B230" s="11" t="s">
        <v>116</v>
      </c>
      <c r="C230" s="2">
        <v>4800</v>
      </c>
      <c r="D230" s="2">
        <v>0.38518000000000002</v>
      </c>
      <c r="E230" s="2">
        <v>5.4349999999999997E-3</v>
      </c>
      <c r="F230" s="2">
        <v>0.37452261999999997</v>
      </c>
      <c r="G230" s="2">
        <v>0.39583769000000002</v>
      </c>
    </row>
    <row r="231" spans="1:7" ht="17.25" thickBot="1" x14ac:dyDescent="0.35">
      <c r="A231" s="6">
        <v>2</v>
      </c>
      <c r="B231" s="11" t="s">
        <v>116</v>
      </c>
      <c r="C231" s="2">
        <v>4957</v>
      </c>
      <c r="D231" s="2">
        <v>0.26419900000000002</v>
      </c>
      <c r="E231" s="2">
        <v>5.306E-3</v>
      </c>
      <c r="F231" s="2">
        <v>0.25379573999999999</v>
      </c>
      <c r="G231" s="2">
        <v>0.27460294000000002</v>
      </c>
    </row>
    <row r="232" spans="1:7" ht="17.25" thickBot="1" x14ac:dyDescent="0.35">
      <c r="A232" s="6">
        <v>3</v>
      </c>
      <c r="B232" s="11" t="s">
        <v>116</v>
      </c>
      <c r="C232" s="2">
        <v>5130</v>
      </c>
      <c r="D232" s="2">
        <v>0.26172499999999999</v>
      </c>
      <c r="E232" s="2">
        <v>4.9649999999999998E-3</v>
      </c>
      <c r="F232" s="2">
        <v>0.25199009999999999</v>
      </c>
      <c r="G232" s="2">
        <v>0.27146034000000002</v>
      </c>
    </row>
    <row r="233" spans="1:7" ht="17.25" thickBot="1" x14ac:dyDescent="0.35">
      <c r="A233" s="6">
        <v>4</v>
      </c>
      <c r="B233" s="11" t="s">
        <v>116</v>
      </c>
      <c r="C233" s="2">
        <v>3867</v>
      </c>
      <c r="D233" s="2">
        <v>0.315195</v>
      </c>
      <c r="E233" s="2">
        <v>5.8869999999999999E-3</v>
      </c>
      <c r="F233" s="2">
        <v>0.30365302999999999</v>
      </c>
      <c r="G233" s="2">
        <v>0.32673784</v>
      </c>
    </row>
    <row r="234" spans="1:7" x14ac:dyDescent="0.3">
      <c r="A234" s="6">
        <v>8</v>
      </c>
      <c r="B234" s="14" t="s">
        <v>116</v>
      </c>
      <c r="C234" s="2">
        <v>4468</v>
      </c>
      <c r="D234" s="2">
        <v>0.29105300000000001</v>
      </c>
      <c r="E234" s="2">
        <v>6.123E-3</v>
      </c>
      <c r="F234" s="2">
        <v>0.27904739000000001</v>
      </c>
      <c r="G234" s="2">
        <v>0.30305834999999998</v>
      </c>
    </row>
    <row r="238" spans="1:7" x14ac:dyDescent="0.3">
      <c r="A238" s="1" t="s">
        <v>237</v>
      </c>
    </row>
    <row r="240" spans="1:7" x14ac:dyDescent="0.3">
      <c r="A240" s="1" t="s">
        <v>21</v>
      </c>
    </row>
    <row r="241" spans="1:6" ht="17.25" thickBot="1" x14ac:dyDescent="0.35"/>
    <row r="242" spans="1:6" ht="16.5" customHeight="1" x14ac:dyDescent="0.3">
      <c r="A242" s="16" t="s">
        <v>135</v>
      </c>
      <c r="B242" s="18"/>
    </row>
    <row r="243" spans="1:6" ht="26.25" thickBot="1" x14ac:dyDescent="0.35">
      <c r="A243" s="12" t="s">
        <v>136</v>
      </c>
      <c r="B243" s="2">
        <v>183</v>
      </c>
    </row>
    <row r="244" spans="1:6" ht="26.25" thickBot="1" x14ac:dyDescent="0.35">
      <c r="A244" s="12" t="s">
        <v>137</v>
      </c>
      <c r="B244" s="2">
        <v>2982</v>
      </c>
    </row>
    <row r="245" spans="1:6" ht="39" thickBot="1" x14ac:dyDescent="0.35">
      <c r="A245" s="12" t="s">
        <v>138</v>
      </c>
      <c r="B245" s="2">
        <v>68635</v>
      </c>
    </row>
    <row r="246" spans="1:6" ht="25.5" x14ac:dyDescent="0.3">
      <c r="A246" s="13" t="s">
        <v>139</v>
      </c>
      <c r="B246" s="2">
        <v>30251935.699999999</v>
      </c>
    </row>
    <row r="247" spans="1:6" ht="17.25" thickBot="1" x14ac:dyDescent="0.35"/>
    <row r="248" spans="1:6" ht="33" customHeight="1" x14ac:dyDescent="0.3">
      <c r="A248" s="16" t="s">
        <v>140</v>
      </c>
      <c r="B248" s="18"/>
    </row>
    <row r="249" spans="1:6" ht="33.75" thickBot="1" x14ac:dyDescent="0.35">
      <c r="A249" s="12" t="s">
        <v>141</v>
      </c>
      <c r="B249" s="2" t="s">
        <v>142</v>
      </c>
    </row>
    <row r="250" spans="1:6" ht="25.5" x14ac:dyDescent="0.3">
      <c r="A250" s="13" t="s">
        <v>143</v>
      </c>
      <c r="B250" s="2" t="s">
        <v>144</v>
      </c>
    </row>
    <row r="251" spans="1:6" ht="17.25" thickBot="1" x14ac:dyDescent="0.35"/>
    <row r="252" spans="1:6" ht="16.5" customHeight="1" x14ac:dyDescent="0.3">
      <c r="A252" s="16" t="s">
        <v>238</v>
      </c>
      <c r="B252" s="18"/>
      <c r="C252" s="18"/>
      <c r="D252" s="18"/>
      <c r="E252" s="18"/>
      <c r="F252" s="18"/>
    </row>
    <row r="253" spans="1:6" ht="16.5" customHeight="1" x14ac:dyDescent="0.3">
      <c r="A253" s="17" t="s">
        <v>239</v>
      </c>
      <c r="B253" s="19" t="s">
        <v>94</v>
      </c>
      <c r="C253" s="19" t="s">
        <v>240</v>
      </c>
      <c r="D253" s="3" t="s">
        <v>241</v>
      </c>
      <c r="E253" s="19" t="s">
        <v>243</v>
      </c>
      <c r="F253" s="19"/>
    </row>
    <row r="254" spans="1:6" x14ac:dyDescent="0.3">
      <c r="A254" s="17"/>
      <c r="B254" s="19"/>
      <c r="C254" s="19"/>
      <c r="D254" s="3" t="s">
        <v>242</v>
      </c>
      <c r="E254" s="19"/>
      <c r="F254" s="19"/>
    </row>
    <row r="255" spans="1:6" x14ac:dyDescent="0.3">
      <c r="A255" s="13" t="s">
        <v>116</v>
      </c>
      <c r="B255" s="2">
        <v>68635</v>
      </c>
      <c r="C255" s="2">
        <v>0.34523599999999999</v>
      </c>
      <c r="D255" s="2">
        <v>1.6490000000000001E-3</v>
      </c>
      <c r="E255" s="2">
        <v>0.34200205</v>
      </c>
      <c r="F255" s="2">
        <v>0.34847033999999999</v>
      </c>
    </row>
    <row r="259" spans="1:9" x14ac:dyDescent="0.3">
      <c r="A259" s="1" t="s">
        <v>237</v>
      </c>
    </row>
    <row r="261" spans="1:9" x14ac:dyDescent="0.3">
      <c r="A261" s="1" t="s">
        <v>21</v>
      </c>
    </row>
    <row r="262" spans="1:9" ht="17.25" thickBot="1" x14ac:dyDescent="0.35"/>
    <row r="263" spans="1:9" ht="16.5" customHeight="1" x14ac:dyDescent="0.3">
      <c r="A263" s="16" t="s">
        <v>269</v>
      </c>
      <c r="B263" s="18"/>
      <c r="C263" s="18"/>
      <c r="D263" s="18"/>
      <c r="E263" s="18"/>
      <c r="F263" s="18"/>
      <c r="G263" s="18"/>
    </row>
    <row r="264" spans="1:9" ht="16.5" customHeight="1" x14ac:dyDescent="0.3">
      <c r="A264" s="17" t="s">
        <v>8</v>
      </c>
      <c r="B264" s="19" t="s">
        <v>239</v>
      </c>
      <c r="C264" s="19" t="s">
        <v>94</v>
      </c>
      <c r="D264" s="19" t="s">
        <v>240</v>
      </c>
      <c r="E264" s="3" t="s">
        <v>241</v>
      </c>
      <c r="F264" s="19" t="s">
        <v>243</v>
      </c>
      <c r="G264" s="19"/>
    </row>
    <row r="265" spans="1:9" x14ac:dyDescent="0.3">
      <c r="A265" s="17"/>
      <c r="B265" s="19"/>
      <c r="C265" s="19"/>
      <c r="D265" s="19"/>
      <c r="E265" s="3" t="s">
        <v>242</v>
      </c>
      <c r="F265" s="19"/>
      <c r="G265" s="19"/>
    </row>
    <row r="266" spans="1:9" ht="17.25" thickBot="1" x14ac:dyDescent="0.35">
      <c r="A266" s="6">
        <v>1</v>
      </c>
      <c r="B266" s="11" t="s">
        <v>116</v>
      </c>
      <c r="C266" s="2">
        <v>9199</v>
      </c>
      <c r="D266" s="2">
        <v>0.40611000000000003</v>
      </c>
      <c r="E266" s="2">
        <v>4.0769999999999999E-3</v>
      </c>
      <c r="F266" s="2">
        <v>0.39811492999999998</v>
      </c>
      <c r="G266" s="2">
        <v>0.41410426</v>
      </c>
      <c r="I266" t="str">
        <f t="shared" ref="I266:I269" si="3">TEXT(D266,"0.00")&amp;" ("&amp;TEXT(F266,"0.00")&amp;" to "&amp;TEXT(G266,"0.00")&amp;")"</f>
        <v>0.41 (0.40 to 0.41)</v>
      </c>
    </row>
    <row r="267" spans="1:9" ht="17.25" thickBot="1" x14ac:dyDescent="0.35">
      <c r="A267" s="6">
        <v>2</v>
      </c>
      <c r="B267" s="11" t="s">
        <v>116</v>
      </c>
      <c r="C267" s="2">
        <v>7937</v>
      </c>
      <c r="D267" s="2">
        <v>0.40745500000000001</v>
      </c>
      <c r="E267" s="2">
        <v>4.4419999999999998E-3</v>
      </c>
      <c r="F267" s="2">
        <v>0.39874483999999999</v>
      </c>
      <c r="G267" s="2">
        <v>0.41616568999999998</v>
      </c>
      <c r="I267" t="str">
        <f t="shared" si="3"/>
        <v>0.41 (0.40 to 0.42)</v>
      </c>
    </row>
    <row r="268" spans="1:9" ht="17.25" thickBot="1" x14ac:dyDescent="0.35">
      <c r="A268" s="6">
        <v>3</v>
      </c>
      <c r="B268" s="11" t="s">
        <v>116</v>
      </c>
      <c r="C268" s="2">
        <v>17758</v>
      </c>
      <c r="D268" s="2">
        <v>0.36909500000000001</v>
      </c>
      <c r="E268" s="2">
        <v>3.0100000000000001E-3</v>
      </c>
      <c r="F268" s="2">
        <v>0.36319256</v>
      </c>
      <c r="G268" s="2">
        <v>0.37499662</v>
      </c>
      <c r="I268" t="str">
        <f t="shared" si="3"/>
        <v>0.37 (0.36 to 0.37)</v>
      </c>
    </row>
    <row r="269" spans="1:9" x14ac:dyDescent="0.3">
      <c r="A269" s="6">
        <v>4</v>
      </c>
      <c r="B269" s="14" t="s">
        <v>116</v>
      </c>
      <c r="C269" s="2">
        <v>33741</v>
      </c>
      <c r="D269" s="2">
        <v>0.31389499999999998</v>
      </c>
      <c r="E269" s="2">
        <v>2.1559999999999999E-3</v>
      </c>
      <c r="F269" s="2">
        <v>0.30966712000000002</v>
      </c>
      <c r="G269" s="2">
        <v>0.31812235999999999</v>
      </c>
      <c r="I269" t="str">
        <f t="shared" si="3"/>
        <v>0.31 (0.31 to 0.32)</v>
      </c>
    </row>
    <row r="273" spans="1:6" x14ac:dyDescent="0.3">
      <c r="A273" s="1" t="s">
        <v>237</v>
      </c>
    </row>
    <row r="275" spans="1:6" x14ac:dyDescent="0.3">
      <c r="A275" s="1" t="s">
        <v>1</v>
      </c>
    </row>
    <row r="276" spans="1:6" ht="17.25" thickBot="1" x14ac:dyDescent="0.35"/>
    <row r="277" spans="1:6" ht="16.5" customHeight="1" x14ac:dyDescent="0.3">
      <c r="A277" s="16" t="s">
        <v>135</v>
      </c>
      <c r="B277" s="18"/>
    </row>
    <row r="278" spans="1:6" ht="26.25" thickBot="1" x14ac:dyDescent="0.35">
      <c r="A278" s="12" t="s">
        <v>136</v>
      </c>
      <c r="B278" s="2">
        <v>183</v>
      </c>
    </row>
    <row r="279" spans="1:6" ht="26.25" thickBot="1" x14ac:dyDescent="0.35">
      <c r="A279" s="12" t="s">
        <v>137</v>
      </c>
      <c r="B279" s="2">
        <v>2949</v>
      </c>
    </row>
    <row r="280" spans="1:6" ht="39" thickBot="1" x14ac:dyDescent="0.35">
      <c r="A280" s="12" t="s">
        <v>138</v>
      </c>
      <c r="B280" s="2">
        <v>23222</v>
      </c>
    </row>
    <row r="281" spans="1:6" ht="25.5" x14ac:dyDescent="0.3">
      <c r="A281" s="13" t="s">
        <v>139</v>
      </c>
      <c r="B281" s="2">
        <v>9036880.5199999996</v>
      </c>
    </row>
    <row r="282" spans="1:6" ht="17.25" thickBot="1" x14ac:dyDescent="0.35"/>
    <row r="283" spans="1:6" ht="33" customHeight="1" x14ac:dyDescent="0.3">
      <c r="A283" s="16" t="s">
        <v>140</v>
      </c>
      <c r="B283" s="18"/>
    </row>
    <row r="284" spans="1:6" ht="33.75" thickBot="1" x14ac:dyDescent="0.35">
      <c r="A284" s="12" t="s">
        <v>141</v>
      </c>
      <c r="B284" s="2" t="s">
        <v>142</v>
      </c>
    </row>
    <row r="285" spans="1:6" ht="25.5" x14ac:dyDescent="0.3">
      <c r="A285" s="13" t="s">
        <v>143</v>
      </c>
      <c r="B285" s="2" t="s">
        <v>144</v>
      </c>
    </row>
    <row r="286" spans="1:6" ht="17.25" thickBot="1" x14ac:dyDescent="0.35"/>
    <row r="287" spans="1:6" ht="16.5" customHeight="1" x14ac:dyDescent="0.3">
      <c r="A287" s="16" t="s">
        <v>238</v>
      </c>
      <c r="B287" s="18"/>
      <c r="C287" s="18"/>
      <c r="D287" s="18"/>
      <c r="E287" s="18"/>
      <c r="F287" s="18"/>
    </row>
    <row r="288" spans="1:6" ht="16.5" customHeight="1" x14ac:dyDescent="0.3">
      <c r="A288" s="17" t="s">
        <v>239</v>
      </c>
      <c r="B288" s="19" t="s">
        <v>94</v>
      </c>
      <c r="C288" s="19" t="s">
        <v>240</v>
      </c>
      <c r="D288" s="3" t="s">
        <v>241</v>
      </c>
      <c r="E288" s="19" t="s">
        <v>243</v>
      </c>
      <c r="F288" s="19"/>
    </row>
    <row r="289" spans="1:7" x14ac:dyDescent="0.3">
      <c r="A289" s="17"/>
      <c r="B289" s="19"/>
      <c r="C289" s="19"/>
      <c r="D289" s="3" t="s">
        <v>242</v>
      </c>
      <c r="E289" s="19"/>
      <c r="F289" s="19"/>
    </row>
    <row r="290" spans="1:7" x14ac:dyDescent="0.3">
      <c r="A290" s="13" t="s">
        <v>116</v>
      </c>
      <c r="B290" s="2">
        <v>23222</v>
      </c>
      <c r="C290" s="2">
        <v>0.29750300000000002</v>
      </c>
      <c r="D290" s="2">
        <v>2.7789999999999998E-3</v>
      </c>
      <c r="E290" s="2">
        <v>0.29205375</v>
      </c>
      <c r="F290" s="2">
        <v>0.30295137999999999</v>
      </c>
    </row>
    <row r="294" spans="1:7" x14ac:dyDescent="0.3">
      <c r="A294" s="1" t="s">
        <v>237</v>
      </c>
    </row>
    <row r="296" spans="1:7" x14ac:dyDescent="0.3">
      <c r="A296" s="1" t="s">
        <v>1</v>
      </c>
    </row>
    <row r="297" spans="1:7" ht="17.25" thickBot="1" x14ac:dyDescent="0.35"/>
    <row r="298" spans="1:7" ht="16.5" customHeight="1" x14ac:dyDescent="0.3">
      <c r="A298" s="16" t="s">
        <v>270</v>
      </c>
      <c r="B298" s="18"/>
      <c r="C298" s="18"/>
      <c r="D298" s="18"/>
      <c r="E298" s="18"/>
      <c r="F298" s="18"/>
      <c r="G298" s="18"/>
    </row>
    <row r="299" spans="1:7" ht="16.5" customHeight="1" x14ac:dyDescent="0.3">
      <c r="A299" s="17" t="s">
        <v>9</v>
      </c>
      <c r="B299" s="19" t="s">
        <v>239</v>
      </c>
      <c r="C299" s="19" t="s">
        <v>94</v>
      </c>
      <c r="D299" s="19" t="s">
        <v>240</v>
      </c>
      <c r="E299" s="3" t="s">
        <v>241</v>
      </c>
      <c r="F299" s="19" t="s">
        <v>243</v>
      </c>
      <c r="G299" s="19"/>
    </row>
    <row r="300" spans="1:7" x14ac:dyDescent="0.3">
      <c r="A300" s="17"/>
      <c r="B300" s="19"/>
      <c r="C300" s="19"/>
      <c r="D300" s="19"/>
      <c r="E300" s="3" t="s">
        <v>242</v>
      </c>
      <c r="F300" s="19"/>
      <c r="G300" s="19"/>
    </row>
    <row r="301" spans="1:7" ht="17.25" thickBot="1" x14ac:dyDescent="0.35">
      <c r="A301" s="6">
        <v>1</v>
      </c>
      <c r="B301" s="11" t="s">
        <v>116</v>
      </c>
      <c r="C301" s="2">
        <v>5656</v>
      </c>
      <c r="D301" s="2">
        <v>0.36343799999999998</v>
      </c>
      <c r="E301" s="2">
        <v>5.5100000000000001E-3</v>
      </c>
      <c r="F301" s="2">
        <v>0.35263380999999999</v>
      </c>
      <c r="G301" s="2">
        <v>0.37424286000000001</v>
      </c>
    </row>
    <row r="302" spans="1:7" ht="17.25" thickBot="1" x14ac:dyDescent="0.35">
      <c r="A302" s="6">
        <v>2</v>
      </c>
      <c r="B302" s="11" t="s">
        <v>116</v>
      </c>
      <c r="C302" s="2">
        <v>6001</v>
      </c>
      <c r="D302" s="2">
        <v>0.30066300000000001</v>
      </c>
      <c r="E302" s="2">
        <v>5.1240000000000001E-3</v>
      </c>
      <c r="F302" s="2">
        <v>0.29061490000000001</v>
      </c>
      <c r="G302" s="2">
        <v>0.31071105999999998</v>
      </c>
    </row>
    <row r="303" spans="1:7" ht="17.25" thickBot="1" x14ac:dyDescent="0.35">
      <c r="A303" s="6">
        <v>3</v>
      </c>
      <c r="B303" s="11" t="s">
        <v>116</v>
      </c>
      <c r="C303" s="2">
        <v>5944</v>
      </c>
      <c r="D303" s="2">
        <v>0.27832600000000002</v>
      </c>
      <c r="E303" s="2">
        <v>5.0049999999999999E-3</v>
      </c>
      <c r="F303" s="2">
        <v>0.26851318000000002</v>
      </c>
      <c r="G303" s="2">
        <v>0.28813924000000002</v>
      </c>
    </row>
    <row r="304" spans="1:7" x14ac:dyDescent="0.3">
      <c r="A304" s="6">
        <v>4</v>
      </c>
      <c r="B304" s="14" t="s">
        <v>116</v>
      </c>
      <c r="C304" s="2">
        <v>5621</v>
      </c>
      <c r="D304" s="2">
        <v>0.26259500000000002</v>
      </c>
      <c r="E304" s="2">
        <v>5.3470000000000002E-3</v>
      </c>
      <c r="F304" s="2">
        <v>0.25210999000000001</v>
      </c>
      <c r="G304" s="2">
        <v>0.27307921000000002</v>
      </c>
    </row>
    <row r="308" spans="1:2" x14ac:dyDescent="0.3">
      <c r="A308" s="1" t="s">
        <v>237</v>
      </c>
    </row>
    <row r="310" spans="1:2" x14ac:dyDescent="0.3">
      <c r="A310" s="1" t="s">
        <v>21</v>
      </c>
    </row>
    <row r="311" spans="1:2" ht="17.25" thickBot="1" x14ac:dyDescent="0.35"/>
    <row r="312" spans="1:2" ht="16.5" customHeight="1" x14ac:dyDescent="0.3">
      <c r="A312" s="16" t="s">
        <v>135</v>
      </c>
      <c r="B312" s="18"/>
    </row>
    <row r="313" spans="1:2" ht="26.25" thickBot="1" x14ac:dyDescent="0.35">
      <c r="A313" s="12" t="s">
        <v>136</v>
      </c>
      <c r="B313" s="2">
        <v>183</v>
      </c>
    </row>
    <row r="314" spans="1:2" ht="26.25" thickBot="1" x14ac:dyDescent="0.35">
      <c r="A314" s="12" t="s">
        <v>137</v>
      </c>
      <c r="B314" s="2">
        <v>2982</v>
      </c>
    </row>
    <row r="315" spans="1:2" ht="39" thickBot="1" x14ac:dyDescent="0.35">
      <c r="A315" s="12" t="s">
        <v>138</v>
      </c>
      <c r="B315" s="2">
        <v>68635</v>
      </c>
    </row>
    <row r="316" spans="1:2" ht="25.5" x14ac:dyDescent="0.3">
      <c r="A316" s="13" t="s">
        <v>139</v>
      </c>
      <c r="B316" s="2">
        <v>30251935.699999999</v>
      </c>
    </row>
    <row r="317" spans="1:2" ht="17.25" thickBot="1" x14ac:dyDescent="0.35"/>
    <row r="318" spans="1:2" ht="33" customHeight="1" x14ac:dyDescent="0.3">
      <c r="A318" s="16" t="s">
        <v>140</v>
      </c>
      <c r="B318" s="18"/>
    </row>
    <row r="319" spans="1:2" ht="33.75" thickBot="1" x14ac:dyDescent="0.35">
      <c r="A319" s="12" t="s">
        <v>141</v>
      </c>
      <c r="B319" s="2" t="s">
        <v>142</v>
      </c>
    </row>
    <row r="320" spans="1:2" ht="25.5" x14ac:dyDescent="0.3">
      <c r="A320" s="13" t="s">
        <v>143</v>
      </c>
      <c r="B320" s="2" t="s">
        <v>144</v>
      </c>
    </row>
    <row r="321" spans="1:9" ht="17.25" thickBot="1" x14ac:dyDescent="0.35"/>
    <row r="322" spans="1:9" ht="16.5" customHeight="1" x14ac:dyDescent="0.3">
      <c r="A322" s="16" t="s">
        <v>238</v>
      </c>
      <c r="B322" s="18"/>
      <c r="C322" s="18"/>
      <c r="D322" s="18"/>
      <c r="E322" s="18"/>
      <c r="F322" s="18"/>
    </row>
    <row r="323" spans="1:9" ht="16.5" customHeight="1" x14ac:dyDescent="0.3">
      <c r="A323" s="17" t="s">
        <v>239</v>
      </c>
      <c r="B323" s="19" t="s">
        <v>94</v>
      </c>
      <c r="C323" s="19" t="s">
        <v>240</v>
      </c>
      <c r="D323" s="3" t="s">
        <v>241</v>
      </c>
      <c r="E323" s="19" t="s">
        <v>243</v>
      </c>
      <c r="F323" s="19"/>
    </row>
    <row r="324" spans="1:9" x14ac:dyDescent="0.3">
      <c r="A324" s="17"/>
      <c r="B324" s="19"/>
      <c r="C324" s="19"/>
      <c r="D324" s="3" t="s">
        <v>242</v>
      </c>
      <c r="E324" s="19"/>
      <c r="F324" s="19"/>
    </row>
    <row r="325" spans="1:9" x14ac:dyDescent="0.3">
      <c r="A325" s="13" t="s">
        <v>116</v>
      </c>
      <c r="B325" s="2">
        <v>68635</v>
      </c>
      <c r="C325" s="2">
        <v>0.34523599999999999</v>
      </c>
      <c r="D325" s="2">
        <v>1.6490000000000001E-3</v>
      </c>
      <c r="E325" s="2">
        <v>0.34200205</v>
      </c>
      <c r="F325" s="2">
        <v>0.34847033999999999</v>
      </c>
    </row>
    <row r="329" spans="1:9" x14ac:dyDescent="0.3">
      <c r="A329" s="1" t="s">
        <v>237</v>
      </c>
    </row>
    <row r="331" spans="1:9" x14ac:dyDescent="0.3">
      <c r="A331" s="1" t="s">
        <v>21</v>
      </c>
    </row>
    <row r="332" spans="1:9" ht="17.25" thickBot="1" x14ac:dyDescent="0.35"/>
    <row r="333" spans="1:9" ht="16.5" customHeight="1" x14ac:dyDescent="0.3">
      <c r="A333" s="16" t="s">
        <v>270</v>
      </c>
      <c r="B333" s="18"/>
      <c r="C333" s="18"/>
      <c r="D333" s="18"/>
      <c r="E333" s="18"/>
      <c r="F333" s="18"/>
      <c r="G333" s="18"/>
    </row>
    <row r="334" spans="1:9" ht="16.5" customHeight="1" x14ac:dyDescent="0.3">
      <c r="A334" s="17" t="s">
        <v>9</v>
      </c>
      <c r="B334" s="19" t="s">
        <v>239</v>
      </c>
      <c r="C334" s="19" t="s">
        <v>94</v>
      </c>
      <c r="D334" s="19" t="s">
        <v>240</v>
      </c>
      <c r="E334" s="3" t="s">
        <v>241</v>
      </c>
      <c r="F334" s="19" t="s">
        <v>243</v>
      </c>
      <c r="G334" s="19"/>
    </row>
    <row r="335" spans="1:9" x14ac:dyDescent="0.3">
      <c r="A335" s="17"/>
      <c r="B335" s="19"/>
      <c r="C335" s="19"/>
      <c r="D335" s="19"/>
      <c r="E335" s="3" t="s">
        <v>242</v>
      </c>
      <c r="F335" s="19"/>
      <c r="G335" s="19"/>
    </row>
    <row r="336" spans="1:9" ht="17.25" thickBot="1" x14ac:dyDescent="0.35">
      <c r="A336" s="6">
        <v>1</v>
      </c>
      <c r="B336" s="11" t="s">
        <v>116</v>
      </c>
      <c r="C336" s="2">
        <v>11265</v>
      </c>
      <c r="D336" s="2">
        <v>0.38044899999999998</v>
      </c>
      <c r="E336" s="2">
        <v>4.2199999999999998E-3</v>
      </c>
      <c r="F336" s="2">
        <v>0.372174</v>
      </c>
      <c r="G336" s="2">
        <v>0.38872442000000001</v>
      </c>
      <c r="I336" t="str">
        <f t="shared" ref="I336:I339" si="4">TEXT(D336,"0.00")&amp;" ("&amp;TEXT(F336,"0.00")&amp;" to "&amp;TEXT(G336,"0.00")&amp;")"</f>
        <v>0.38 (0.37 to 0.39)</v>
      </c>
    </row>
    <row r="337" spans="1:9" ht="17.25" thickBot="1" x14ac:dyDescent="0.35">
      <c r="A337" s="6">
        <v>2</v>
      </c>
      <c r="B337" s="11" t="s">
        <v>116</v>
      </c>
      <c r="C337" s="2">
        <v>16834</v>
      </c>
      <c r="D337" s="2">
        <v>0.35463699999999998</v>
      </c>
      <c r="E337" s="2">
        <v>3.166E-3</v>
      </c>
      <c r="F337" s="2">
        <v>0.34842983</v>
      </c>
      <c r="G337" s="2">
        <v>0.36084416000000002</v>
      </c>
      <c r="I337" t="str">
        <f t="shared" si="4"/>
        <v>0.35 (0.35 to 0.36)</v>
      </c>
    </row>
    <row r="338" spans="1:9" ht="17.25" thickBot="1" x14ac:dyDescent="0.35">
      <c r="A338" s="6">
        <v>3</v>
      </c>
      <c r="B338" s="11" t="s">
        <v>116</v>
      </c>
      <c r="C338" s="2">
        <v>19586</v>
      </c>
      <c r="D338" s="2">
        <v>0.34153699999999998</v>
      </c>
      <c r="E338" s="2">
        <v>2.8029999999999999E-3</v>
      </c>
      <c r="F338" s="2">
        <v>0.33604166000000002</v>
      </c>
      <c r="G338" s="2">
        <v>0.34703249000000003</v>
      </c>
      <c r="I338" t="str">
        <f t="shared" si="4"/>
        <v>0.34 (0.34 to 0.35)</v>
      </c>
    </row>
    <row r="339" spans="1:9" x14ac:dyDescent="0.3">
      <c r="A339" s="6">
        <v>4</v>
      </c>
      <c r="B339" s="14" t="s">
        <v>116</v>
      </c>
      <c r="C339" s="2">
        <v>20950</v>
      </c>
      <c r="D339" s="2">
        <v>0.32769399999999999</v>
      </c>
      <c r="E339" s="2">
        <v>2.9099999999999998E-3</v>
      </c>
      <c r="F339" s="2">
        <v>0.32198810999999999</v>
      </c>
      <c r="G339" s="2">
        <v>0.3334008</v>
      </c>
      <c r="I339" t="str">
        <f t="shared" si="4"/>
        <v>0.33 (0.32 to 0.33)</v>
      </c>
    </row>
    <row r="343" spans="1:9" x14ac:dyDescent="0.3">
      <c r="A343" s="1" t="s">
        <v>237</v>
      </c>
    </row>
    <row r="345" spans="1:9" x14ac:dyDescent="0.3">
      <c r="A345" s="1" t="s">
        <v>1</v>
      </c>
    </row>
    <row r="346" spans="1:9" ht="17.25" thickBot="1" x14ac:dyDescent="0.35"/>
    <row r="347" spans="1:9" ht="16.5" customHeight="1" x14ac:dyDescent="0.3">
      <c r="A347" s="16" t="s">
        <v>135</v>
      </c>
      <c r="B347" s="18"/>
    </row>
    <row r="348" spans="1:9" ht="26.25" thickBot="1" x14ac:dyDescent="0.35">
      <c r="A348" s="12" t="s">
        <v>136</v>
      </c>
      <c r="B348" s="2">
        <v>183</v>
      </c>
    </row>
    <row r="349" spans="1:9" ht="26.25" thickBot="1" x14ac:dyDescent="0.35">
      <c r="A349" s="12" t="s">
        <v>137</v>
      </c>
      <c r="B349" s="2">
        <v>2949</v>
      </c>
    </row>
    <row r="350" spans="1:9" ht="39" thickBot="1" x14ac:dyDescent="0.35">
      <c r="A350" s="12" t="s">
        <v>138</v>
      </c>
      <c r="B350" s="2">
        <v>23222</v>
      </c>
    </row>
    <row r="351" spans="1:9" ht="25.5" x14ac:dyDescent="0.3">
      <c r="A351" s="13" t="s">
        <v>139</v>
      </c>
      <c r="B351" s="2">
        <v>9036880.5199999996</v>
      </c>
    </row>
    <row r="352" spans="1:9" ht="17.25" thickBot="1" x14ac:dyDescent="0.35"/>
    <row r="353" spans="1:7" ht="33" customHeight="1" x14ac:dyDescent="0.3">
      <c r="A353" s="16" t="s">
        <v>140</v>
      </c>
      <c r="B353" s="18"/>
    </row>
    <row r="354" spans="1:7" ht="33.75" thickBot="1" x14ac:dyDescent="0.35">
      <c r="A354" s="12" t="s">
        <v>141</v>
      </c>
      <c r="B354" s="2" t="s">
        <v>142</v>
      </c>
    </row>
    <row r="355" spans="1:7" ht="25.5" x14ac:dyDescent="0.3">
      <c r="A355" s="13" t="s">
        <v>143</v>
      </c>
      <c r="B355" s="2" t="s">
        <v>144</v>
      </c>
    </row>
    <row r="356" spans="1:7" ht="17.25" thickBot="1" x14ac:dyDescent="0.35"/>
    <row r="357" spans="1:7" ht="16.5" customHeight="1" x14ac:dyDescent="0.3">
      <c r="A357" s="16" t="s">
        <v>238</v>
      </c>
      <c r="B357" s="18"/>
      <c r="C357" s="18"/>
      <c r="D357" s="18"/>
      <c r="E357" s="18"/>
      <c r="F357" s="18"/>
    </row>
    <row r="358" spans="1:7" ht="16.5" customHeight="1" x14ac:dyDescent="0.3">
      <c r="A358" s="17" t="s">
        <v>239</v>
      </c>
      <c r="B358" s="19" t="s">
        <v>94</v>
      </c>
      <c r="C358" s="19" t="s">
        <v>240</v>
      </c>
      <c r="D358" s="3" t="s">
        <v>241</v>
      </c>
      <c r="E358" s="19" t="s">
        <v>243</v>
      </c>
      <c r="F358" s="19"/>
    </row>
    <row r="359" spans="1:7" x14ac:dyDescent="0.3">
      <c r="A359" s="17"/>
      <c r="B359" s="19"/>
      <c r="C359" s="19"/>
      <c r="D359" s="3" t="s">
        <v>242</v>
      </c>
      <c r="E359" s="19"/>
      <c r="F359" s="19"/>
    </row>
    <row r="360" spans="1:7" x14ac:dyDescent="0.3">
      <c r="A360" s="13" t="s">
        <v>116</v>
      </c>
      <c r="B360" s="2">
        <v>23222</v>
      </c>
      <c r="C360" s="2">
        <v>0.29750300000000002</v>
      </c>
      <c r="D360" s="2">
        <v>2.7789999999999998E-3</v>
      </c>
      <c r="E360" s="2">
        <v>0.29205375</v>
      </c>
      <c r="F360" s="2">
        <v>0.30295137999999999</v>
      </c>
    </row>
    <row r="364" spans="1:7" x14ac:dyDescent="0.3">
      <c r="A364" s="1" t="s">
        <v>237</v>
      </c>
    </row>
    <row r="366" spans="1:7" x14ac:dyDescent="0.3">
      <c r="A366" s="1" t="s">
        <v>1</v>
      </c>
    </row>
    <row r="367" spans="1:7" ht="17.25" thickBot="1" x14ac:dyDescent="0.35"/>
    <row r="368" spans="1:7" ht="16.5" customHeight="1" x14ac:dyDescent="0.3">
      <c r="A368" s="16" t="s">
        <v>271</v>
      </c>
      <c r="B368" s="18"/>
      <c r="C368" s="18"/>
      <c r="D368" s="18"/>
      <c r="E368" s="18"/>
      <c r="F368" s="18"/>
      <c r="G368" s="18"/>
    </row>
    <row r="369" spans="1:7" ht="16.5" customHeight="1" x14ac:dyDescent="0.3">
      <c r="A369" s="17" t="s">
        <v>10</v>
      </c>
      <c r="B369" s="19" t="s">
        <v>239</v>
      </c>
      <c r="C369" s="19" t="s">
        <v>94</v>
      </c>
      <c r="D369" s="19" t="s">
        <v>240</v>
      </c>
      <c r="E369" s="3" t="s">
        <v>241</v>
      </c>
      <c r="F369" s="19" t="s">
        <v>243</v>
      </c>
      <c r="G369" s="19"/>
    </row>
    <row r="370" spans="1:7" x14ac:dyDescent="0.3">
      <c r="A370" s="17"/>
      <c r="B370" s="19"/>
      <c r="C370" s="19"/>
      <c r="D370" s="19"/>
      <c r="E370" s="3" t="s">
        <v>242</v>
      </c>
      <c r="F370" s="19"/>
      <c r="G370" s="19"/>
    </row>
    <row r="371" spans="1:7" ht="17.25" thickBot="1" x14ac:dyDescent="0.35">
      <c r="A371" s="6">
        <v>1</v>
      </c>
      <c r="B371" s="11" t="s">
        <v>116</v>
      </c>
      <c r="C371" s="2">
        <v>3061</v>
      </c>
      <c r="D371" s="2">
        <v>0.106687</v>
      </c>
      <c r="E371" s="2">
        <v>5.0390000000000001E-3</v>
      </c>
      <c r="F371" s="2">
        <v>9.6807450000000003E-2</v>
      </c>
      <c r="G371" s="2">
        <v>0.11656697000000001</v>
      </c>
    </row>
    <row r="372" spans="1:7" ht="17.25" thickBot="1" x14ac:dyDescent="0.35">
      <c r="A372" s="6">
        <v>2</v>
      </c>
      <c r="B372" s="11" t="s">
        <v>116</v>
      </c>
      <c r="C372" s="2">
        <v>9324</v>
      </c>
      <c r="D372" s="2">
        <v>0.220637</v>
      </c>
      <c r="E372" s="2">
        <v>3.6449999999999998E-3</v>
      </c>
      <c r="F372" s="2">
        <v>0.21348896000000001</v>
      </c>
      <c r="G372" s="2">
        <v>0.2277846</v>
      </c>
    </row>
    <row r="373" spans="1:7" ht="17.25" thickBot="1" x14ac:dyDescent="0.35">
      <c r="A373" s="6">
        <v>3</v>
      </c>
      <c r="B373" s="11" t="s">
        <v>116</v>
      </c>
      <c r="C373" s="2">
        <v>4381</v>
      </c>
      <c r="D373" s="2">
        <v>0.358346</v>
      </c>
      <c r="E373" s="2">
        <v>5.7279999999999996E-3</v>
      </c>
      <c r="F373" s="2">
        <v>0.34711419999999998</v>
      </c>
      <c r="G373" s="2">
        <v>0.36957844000000001</v>
      </c>
    </row>
    <row r="374" spans="1:7" x14ac:dyDescent="0.3">
      <c r="A374" s="6">
        <v>4</v>
      </c>
      <c r="B374" s="14" t="s">
        <v>116</v>
      </c>
      <c r="C374" s="2">
        <v>6456</v>
      </c>
      <c r="D374" s="2">
        <v>0.46235999999999999</v>
      </c>
      <c r="E374" s="2">
        <v>4.7710000000000001E-3</v>
      </c>
      <c r="F374" s="2">
        <v>0.45300546000000003</v>
      </c>
      <c r="G374" s="2">
        <v>0.47171442000000002</v>
      </c>
    </row>
    <row r="378" spans="1:7" x14ac:dyDescent="0.3">
      <c r="A378" s="1" t="s">
        <v>237</v>
      </c>
    </row>
    <row r="380" spans="1:7" x14ac:dyDescent="0.3">
      <c r="A380" s="1" t="s">
        <v>21</v>
      </c>
    </row>
    <row r="381" spans="1:7" ht="17.25" thickBot="1" x14ac:dyDescent="0.35"/>
    <row r="382" spans="1:7" ht="16.5" customHeight="1" x14ac:dyDescent="0.3">
      <c r="A382" s="16" t="s">
        <v>135</v>
      </c>
      <c r="B382" s="18"/>
    </row>
    <row r="383" spans="1:7" ht="26.25" thickBot="1" x14ac:dyDescent="0.35">
      <c r="A383" s="12" t="s">
        <v>136</v>
      </c>
      <c r="B383" s="2">
        <v>183</v>
      </c>
    </row>
    <row r="384" spans="1:7" ht="26.25" thickBot="1" x14ac:dyDescent="0.35">
      <c r="A384" s="12" t="s">
        <v>137</v>
      </c>
      <c r="B384" s="2">
        <v>2982</v>
      </c>
    </row>
    <row r="385" spans="1:6" ht="39" thickBot="1" x14ac:dyDescent="0.35">
      <c r="A385" s="12" t="s">
        <v>138</v>
      </c>
      <c r="B385" s="2">
        <v>68635</v>
      </c>
    </row>
    <row r="386" spans="1:6" ht="25.5" x14ac:dyDescent="0.3">
      <c r="A386" s="13" t="s">
        <v>139</v>
      </c>
      <c r="B386" s="2">
        <v>30251935.699999999</v>
      </c>
    </row>
    <row r="387" spans="1:6" ht="17.25" thickBot="1" x14ac:dyDescent="0.35"/>
    <row r="388" spans="1:6" ht="33" customHeight="1" x14ac:dyDescent="0.3">
      <c r="A388" s="16" t="s">
        <v>140</v>
      </c>
      <c r="B388" s="18"/>
    </row>
    <row r="389" spans="1:6" ht="33.75" thickBot="1" x14ac:dyDescent="0.35">
      <c r="A389" s="12" t="s">
        <v>141</v>
      </c>
      <c r="B389" s="2" t="s">
        <v>142</v>
      </c>
    </row>
    <row r="390" spans="1:6" ht="25.5" x14ac:dyDescent="0.3">
      <c r="A390" s="13" t="s">
        <v>143</v>
      </c>
      <c r="B390" s="2" t="s">
        <v>144</v>
      </c>
    </row>
    <row r="391" spans="1:6" ht="17.25" thickBot="1" x14ac:dyDescent="0.35"/>
    <row r="392" spans="1:6" ht="16.5" customHeight="1" x14ac:dyDescent="0.3">
      <c r="A392" s="16" t="s">
        <v>238</v>
      </c>
      <c r="B392" s="18"/>
      <c r="C392" s="18"/>
      <c r="D392" s="18"/>
      <c r="E392" s="18"/>
      <c r="F392" s="18"/>
    </row>
    <row r="393" spans="1:6" ht="16.5" customHeight="1" x14ac:dyDescent="0.3">
      <c r="A393" s="17" t="s">
        <v>239</v>
      </c>
      <c r="B393" s="19" t="s">
        <v>94</v>
      </c>
      <c r="C393" s="19" t="s">
        <v>240</v>
      </c>
      <c r="D393" s="3" t="s">
        <v>241</v>
      </c>
      <c r="E393" s="19" t="s">
        <v>243</v>
      </c>
      <c r="F393" s="19"/>
    </row>
    <row r="394" spans="1:6" x14ac:dyDescent="0.3">
      <c r="A394" s="17"/>
      <c r="B394" s="19"/>
      <c r="C394" s="19"/>
      <c r="D394" s="3" t="s">
        <v>242</v>
      </c>
      <c r="E394" s="19"/>
      <c r="F394" s="19"/>
    </row>
    <row r="395" spans="1:6" x14ac:dyDescent="0.3">
      <c r="A395" s="13" t="s">
        <v>116</v>
      </c>
      <c r="B395" s="2">
        <v>68635</v>
      </c>
      <c r="C395" s="2">
        <v>0.34523599999999999</v>
      </c>
      <c r="D395" s="2">
        <v>1.6490000000000001E-3</v>
      </c>
      <c r="E395" s="2">
        <v>0.34200205</v>
      </c>
      <c r="F395" s="2">
        <v>0.34847033999999999</v>
      </c>
    </row>
    <row r="399" spans="1:6" x14ac:dyDescent="0.3">
      <c r="A399" s="1" t="s">
        <v>237</v>
      </c>
    </row>
    <row r="401" spans="1:9" x14ac:dyDescent="0.3">
      <c r="A401" s="1" t="s">
        <v>21</v>
      </c>
    </row>
    <row r="402" spans="1:9" ht="17.25" thickBot="1" x14ac:dyDescent="0.35"/>
    <row r="403" spans="1:9" ht="16.5" customHeight="1" x14ac:dyDescent="0.3">
      <c r="A403" s="16" t="s">
        <v>271</v>
      </c>
      <c r="B403" s="18"/>
      <c r="C403" s="18"/>
      <c r="D403" s="18"/>
      <c r="E403" s="18"/>
      <c r="F403" s="18"/>
      <c r="G403" s="18"/>
    </row>
    <row r="404" spans="1:9" ht="16.5" customHeight="1" x14ac:dyDescent="0.3">
      <c r="A404" s="17" t="s">
        <v>10</v>
      </c>
      <c r="B404" s="19" t="s">
        <v>239</v>
      </c>
      <c r="C404" s="19" t="s">
        <v>94</v>
      </c>
      <c r="D404" s="19" t="s">
        <v>240</v>
      </c>
      <c r="E404" s="3" t="s">
        <v>241</v>
      </c>
      <c r="F404" s="19" t="s">
        <v>243</v>
      </c>
      <c r="G404" s="19"/>
    </row>
    <row r="405" spans="1:9" x14ac:dyDescent="0.3">
      <c r="A405" s="17"/>
      <c r="B405" s="19"/>
      <c r="C405" s="19"/>
      <c r="D405" s="19"/>
      <c r="E405" s="3" t="s">
        <v>242</v>
      </c>
      <c r="F405" s="19"/>
      <c r="G405" s="19"/>
    </row>
    <row r="406" spans="1:9" ht="17.25" thickBot="1" x14ac:dyDescent="0.35">
      <c r="A406" s="6">
        <v>1</v>
      </c>
      <c r="B406" s="11" t="s">
        <v>116</v>
      </c>
      <c r="C406" s="2">
        <v>2777</v>
      </c>
      <c r="D406" s="2">
        <v>9.3159000000000006E-2</v>
      </c>
      <c r="E406" s="2">
        <v>5.2180000000000004E-3</v>
      </c>
      <c r="F406" s="2">
        <v>8.2926269999999996E-2</v>
      </c>
      <c r="G406" s="2">
        <v>0.10339116</v>
      </c>
      <c r="I406" t="str">
        <f t="shared" ref="I406:I409" si="5">TEXT(D406,"0.00")&amp;" ("&amp;TEXT(F406,"0.00")&amp;" to "&amp;TEXT(G406,"0.00")&amp;")"</f>
        <v>0.09 (0.08 to 0.10)</v>
      </c>
    </row>
    <row r="407" spans="1:9" ht="17.25" thickBot="1" x14ac:dyDescent="0.35">
      <c r="A407" s="6">
        <v>2</v>
      </c>
      <c r="B407" s="11" t="s">
        <v>116</v>
      </c>
      <c r="C407" s="2">
        <v>26435</v>
      </c>
      <c r="D407" s="2">
        <v>0.22428799999999999</v>
      </c>
      <c r="E407" s="2">
        <v>2.2599999999999999E-3</v>
      </c>
      <c r="F407" s="2">
        <v>0.21985742</v>
      </c>
      <c r="G407" s="2">
        <v>0.22871938999999999</v>
      </c>
      <c r="I407" t="str">
        <f t="shared" si="5"/>
        <v>0.22 (0.22 to 0.23)</v>
      </c>
    </row>
    <row r="408" spans="1:9" ht="17.25" thickBot="1" x14ac:dyDescent="0.35">
      <c r="A408" s="6">
        <v>3</v>
      </c>
      <c r="B408" s="11" t="s">
        <v>116</v>
      </c>
      <c r="C408" s="2">
        <v>16265</v>
      </c>
      <c r="D408" s="2">
        <v>0.37664999999999998</v>
      </c>
      <c r="E408" s="2">
        <v>3.019E-3</v>
      </c>
      <c r="F408" s="2">
        <v>0.37073063000000001</v>
      </c>
      <c r="G408" s="2">
        <v>0.38256868999999999</v>
      </c>
      <c r="I408" t="str">
        <f t="shared" si="5"/>
        <v>0.38 (0.37 to 0.38)</v>
      </c>
    </row>
    <row r="409" spans="1:9" x14ac:dyDescent="0.3">
      <c r="A409" s="6">
        <v>4</v>
      </c>
      <c r="B409" s="14" t="s">
        <v>116</v>
      </c>
      <c r="C409" s="2">
        <v>23158</v>
      </c>
      <c r="D409" s="2">
        <v>0.49085000000000001</v>
      </c>
      <c r="E409" s="2">
        <v>2.4740000000000001E-3</v>
      </c>
      <c r="F409" s="2">
        <v>0.48599966</v>
      </c>
      <c r="G409" s="2">
        <v>0.49569995</v>
      </c>
      <c r="I409" t="str">
        <f t="shared" si="5"/>
        <v>0.49 (0.49 to 0.50)</v>
      </c>
    </row>
    <row r="413" spans="1:9" x14ac:dyDescent="0.3">
      <c r="A413" s="1" t="s">
        <v>237</v>
      </c>
    </row>
    <row r="415" spans="1:9" x14ac:dyDescent="0.3">
      <c r="A415" s="1" t="s">
        <v>1</v>
      </c>
    </row>
    <row r="416" spans="1:9" ht="17.25" thickBot="1" x14ac:dyDescent="0.35"/>
    <row r="417" spans="1:6" ht="16.5" customHeight="1" x14ac:dyDescent="0.3">
      <c r="A417" s="16" t="s">
        <v>135</v>
      </c>
      <c r="B417" s="18"/>
    </row>
    <row r="418" spans="1:6" ht="26.25" thickBot="1" x14ac:dyDescent="0.35">
      <c r="A418" s="12" t="s">
        <v>136</v>
      </c>
      <c r="B418" s="2">
        <v>183</v>
      </c>
    </row>
    <row r="419" spans="1:6" ht="26.25" thickBot="1" x14ac:dyDescent="0.35">
      <c r="A419" s="12" t="s">
        <v>137</v>
      </c>
      <c r="B419" s="2">
        <v>2949</v>
      </c>
    </row>
    <row r="420" spans="1:6" ht="39" thickBot="1" x14ac:dyDescent="0.35">
      <c r="A420" s="12" t="s">
        <v>138</v>
      </c>
      <c r="B420" s="2">
        <v>23222</v>
      </c>
    </row>
    <row r="421" spans="1:6" ht="25.5" x14ac:dyDescent="0.3">
      <c r="A421" s="13" t="s">
        <v>139</v>
      </c>
      <c r="B421" s="2">
        <v>9036880.5199999996</v>
      </c>
    </row>
    <row r="422" spans="1:6" ht="17.25" thickBot="1" x14ac:dyDescent="0.35"/>
    <row r="423" spans="1:6" ht="33" customHeight="1" x14ac:dyDescent="0.3">
      <c r="A423" s="16" t="s">
        <v>140</v>
      </c>
      <c r="B423" s="18"/>
    </row>
    <row r="424" spans="1:6" ht="33.75" thickBot="1" x14ac:dyDescent="0.35">
      <c r="A424" s="12" t="s">
        <v>141</v>
      </c>
      <c r="B424" s="2" t="s">
        <v>142</v>
      </c>
    </row>
    <row r="425" spans="1:6" ht="25.5" x14ac:dyDescent="0.3">
      <c r="A425" s="13" t="s">
        <v>143</v>
      </c>
      <c r="B425" s="2" t="s">
        <v>144</v>
      </c>
    </row>
    <row r="426" spans="1:6" ht="17.25" thickBot="1" x14ac:dyDescent="0.35"/>
    <row r="427" spans="1:6" ht="16.5" customHeight="1" x14ac:dyDescent="0.3">
      <c r="A427" s="16" t="s">
        <v>238</v>
      </c>
      <c r="B427" s="18"/>
      <c r="C427" s="18"/>
      <c r="D427" s="18"/>
      <c r="E427" s="18"/>
      <c r="F427" s="18"/>
    </row>
    <row r="428" spans="1:6" ht="16.5" customHeight="1" x14ac:dyDescent="0.3">
      <c r="A428" s="17" t="s">
        <v>239</v>
      </c>
      <c r="B428" s="19" t="s">
        <v>94</v>
      </c>
      <c r="C428" s="19" t="s">
        <v>240</v>
      </c>
      <c r="D428" s="3" t="s">
        <v>241</v>
      </c>
      <c r="E428" s="19" t="s">
        <v>243</v>
      </c>
      <c r="F428" s="19"/>
    </row>
    <row r="429" spans="1:6" x14ac:dyDescent="0.3">
      <c r="A429" s="17"/>
      <c r="B429" s="19"/>
      <c r="C429" s="19"/>
      <c r="D429" s="3" t="s">
        <v>242</v>
      </c>
      <c r="E429" s="19"/>
      <c r="F429" s="19"/>
    </row>
    <row r="430" spans="1:6" x14ac:dyDescent="0.3">
      <c r="A430" s="13" t="s">
        <v>116</v>
      </c>
      <c r="B430" s="2">
        <v>23222</v>
      </c>
      <c r="C430" s="2">
        <v>0.29750300000000002</v>
      </c>
      <c r="D430" s="2">
        <v>2.7789999999999998E-3</v>
      </c>
      <c r="E430" s="2">
        <v>0.29205375</v>
      </c>
      <c r="F430" s="2">
        <v>0.30295137999999999</v>
      </c>
    </row>
    <row r="434" spans="1:7" x14ac:dyDescent="0.3">
      <c r="A434" s="1" t="s">
        <v>237</v>
      </c>
    </row>
    <row r="436" spans="1:7" x14ac:dyDescent="0.3">
      <c r="A436" s="1" t="s">
        <v>1</v>
      </c>
    </row>
    <row r="437" spans="1:7" ht="17.25" thickBot="1" x14ac:dyDescent="0.35"/>
    <row r="438" spans="1:7" ht="16.5" customHeight="1" x14ac:dyDescent="0.3">
      <c r="A438" s="16" t="s">
        <v>272</v>
      </c>
      <c r="B438" s="18"/>
      <c r="C438" s="18"/>
      <c r="D438" s="18"/>
      <c r="E438" s="18"/>
      <c r="F438" s="18"/>
      <c r="G438" s="18"/>
    </row>
    <row r="439" spans="1:7" ht="16.5" customHeight="1" x14ac:dyDescent="0.3">
      <c r="A439" s="17" t="s">
        <v>11</v>
      </c>
      <c r="B439" s="19" t="s">
        <v>239</v>
      </c>
      <c r="C439" s="19" t="s">
        <v>94</v>
      </c>
      <c r="D439" s="19" t="s">
        <v>240</v>
      </c>
      <c r="E439" s="3" t="s">
        <v>241</v>
      </c>
      <c r="F439" s="19" t="s">
        <v>243</v>
      </c>
      <c r="G439" s="19"/>
    </row>
    <row r="440" spans="1:7" x14ac:dyDescent="0.3">
      <c r="A440" s="17"/>
      <c r="B440" s="19"/>
      <c r="C440" s="19"/>
      <c r="D440" s="19"/>
      <c r="E440" s="3" t="s">
        <v>242</v>
      </c>
      <c r="F440" s="19"/>
      <c r="G440" s="19"/>
    </row>
    <row r="441" spans="1:7" ht="17.25" thickBot="1" x14ac:dyDescent="0.35">
      <c r="A441" s="6">
        <v>1</v>
      </c>
      <c r="B441" s="11" t="s">
        <v>116</v>
      </c>
      <c r="C441" s="2">
        <v>13616</v>
      </c>
      <c r="D441" s="2">
        <v>0.38608799999999999</v>
      </c>
      <c r="E441" s="2">
        <v>3.4450000000000001E-3</v>
      </c>
      <c r="F441" s="2">
        <v>0.37933277999999998</v>
      </c>
      <c r="G441" s="2">
        <v>0.39284411000000002</v>
      </c>
    </row>
    <row r="442" spans="1:7" ht="17.25" thickBot="1" x14ac:dyDescent="0.35">
      <c r="A442" s="6">
        <v>2</v>
      </c>
      <c r="B442" s="11" t="s">
        <v>116</v>
      </c>
      <c r="C442" s="2">
        <v>9560</v>
      </c>
      <c r="D442" s="2">
        <v>0.198881</v>
      </c>
      <c r="E442" s="2">
        <v>3.7620000000000002E-3</v>
      </c>
      <c r="F442" s="2">
        <v>0.19150391</v>
      </c>
      <c r="G442" s="2">
        <v>0.20625866000000001</v>
      </c>
    </row>
    <row r="443" spans="1:7" x14ac:dyDescent="0.3">
      <c r="A443" s="6">
        <v>8</v>
      </c>
      <c r="B443" s="14" t="s">
        <v>116</v>
      </c>
      <c r="C443" s="2">
        <v>46</v>
      </c>
      <c r="D443" s="2">
        <v>0.31946999999999998</v>
      </c>
      <c r="E443" s="2">
        <v>5.3329000000000001E-2</v>
      </c>
      <c r="F443" s="2">
        <v>0.21490144</v>
      </c>
      <c r="G443" s="2">
        <v>0.42403756999999997</v>
      </c>
    </row>
    <row r="447" spans="1:7" x14ac:dyDescent="0.3">
      <c r="A447" s="1" t="s">
        <v>237</v>
      </c>
    </row>
    <row r="449" spans="1:6" x14ac:dyDescent="0.3">
      <c r="A449" s="1" t="s">
        <v>21</v>
      </c>
    </row>
    <row r="450" spans="1:6" ht="17.25" thickBot="1" x14ac:dyDescent="0.35"/>
    <row r="451" spans="1:6" ht="16.5" customHeight="1" x14ac:dyDescent="0.3">
      <c r="A451" s="16" t="s">
        <v>135</v>
      </c>
      <c r="B451" s="18"/>
    </row>
    <row r="452" spans="1:6" ht="26.25" thickBot="1" x14ac:dyDescent="0.35">
      <c r="A452" s="12" t="s">
        <v>136</v>
      </c>
      <c r="B452" s="2">
        <v>183</v>
      </c>
    </row>
    <row r="453" spans="1:6" ht="26.25" thickBot="1" x14ac:dyDescent="0.35">
      <c r="A453" s="12" t="s">
        <v>137</v>
      </c>
      <c r="B453" s="2">
        <v>2982</v>
      </c>
    </row>
    <row r="454" spans="1:6" ht="39" thickBot="1" x14ac:dyDescent="0.35">
      <c r="A454" s="12" t="s">
        <v>138</v>
      </c>
      <c r="B454" s="2">
        <v>68635</v>
      </c>
    </row>
    <row r="455" spans="1:6" ht="25.5" x14ac:dyDescent="0.3">
      <c r="A455" s="13" t="s">
        <v>139</v>
      </c>
      <c r="B455" s="2">
        <v>30251935.699999999</v>
      </c>
    </row>
    <row r="456" spans="1:6" ht="17.25" thickBot="1" x14ac:dyDescent="0.35"/>
    <row r="457" spans="1:6" ht="33" customHeight="1" x14ac:dyDescent="0.3">
      <c r="A457" s="16" t="s">
        <v>140</v>
      </c>
      <c r="B457" s="18"/>
    </row>
    <row r="458" spans="1:6" ht="33.75" thickBot="1" x14ac:dyDescent="0.35">
      <c r="A458" s="12" t="s">
        <v>141</v>
      </c>
      <c r="B458" s="2" t="s">
        <v>142</v>
      </c>
    </row>
    <row r="459" spans="1:6" ht="25.5" x14ac:dyDescent="0.3">
      <c r="A459" s="13" t="s">
        <v>143</v>
      </c>
      <c r="B459" s="2" t="s">
        <v>144</v>
      </c>
    </row>
    <row r="460" spans="1:6" ht="17.25" thickBot="1" x14ac:dyDescent="0.35"/>
    <row r="461" spans="1:6" ht="16.5" customHeight="1" x14ac:dyDescent="0.3">
      <c r="A461" s="16" t="s">
        <v>238</v>
      </c>
      <c r="B461" s="18"/>
      <c r="C461" s="18"/>
      <c r="D461" s="18"/>
      <c r="E461" s="18"/>
      <c r="F461" s="18"/>
    </row>
    <row r="462" spans="1:6" ht="16.5" customHeight="1" x14ac:dyDescent="0.3">
      <c r="A462" s="17" t="s">
        <v>239</v>
      </c>
      <c r="B462" s="19" t="s">
        <v>94</v>
      </c>
      <c r="C462" s="19" t="s">
        <v>240</v>
      </c>
      <c r="D462" s="3" t="s">
        <v>241</v>
      </c>
      <c r="E462" s="19" t="s">
        <v>243</v>
      </c>
      <c r="F462" s="19"/>
    </row>
    <row r="463" spans="1:6" x14ac:dyDescent="0.3">
      <c r="A463" s="17"/>
      <c r="B463" s="19"/>
      <c r="C463" s="19"/>
      <c r="D463" s="3" t="s">
        <v>242</v>
      </c>
      <c r="E463" s="19"/>
      <c r="F463" s="19"/>
    </row>
    <row r="464" spans="1:6" x14ac:dyDescent="0.3">
      <c r="A464" s="13" t="s">
        <v>116</v>
      </c>
      <c r="B464" s="2">
        <v>68635</v>
      </c>
      <c r="C464" s="2">
        <v>0.34523599999999999</v>
      </c>
      <c r="D464" s="2">
        <v>1.6490000000000001E-3</v>
      </c>
      <c r="E464" s="2">
        <v>0.34200205</v>
      </c>
      <c r="F464" s="2">
        <v>0.34847033999999999</v>
      </c>
    </row>
    <row r="468" spans="1:9" x14ac:dyDescent="0.3">
      <c r="A468" s="1" t="s">
        <v>237</v>
      </c>
    </row>
    <row r="470" spans="1:9" x14ac:dyDescent="0.3">
      <c r="A470" s="1" t="s">
        <v>21</v>
      </c>
    </row>
    <row r="471" spans="1:9" ht="17.25" thickBot="1" x14ac:dyDescent="0.35"/>
    <row r="472" spans="1:9" ht="16.5" customHeight="1" x14ac:dyDescent="0.3">
      <c r="A472" s="16" t="s">
        <v>272</v>
      </c>
      <c r="B472" s="18"/>
      <c r="C472" s="18"/>
      <c r="D472" s="18"/>
      <c r="E472" s="18"/>
      <c r="F472" s="18"/>
      <c r="G472" s="18"/>
    </row>
    <row r="473" spans="1:9" ht="16.5" customHeight="1" x14ac:dyDescent="0.3">
      <c r="A473" s="17" t="s">
        <v>11</v>
      </c>
      <c r="B473" s="19" t="s">
        <v>239</v>
      </c>
      <c r="C473" s="19" t="s">
        <v>94</v>
      </c>
      <c r="D473" s="19" t="s">
        <v>240</v>
      </c>
      <c r="E473" s="3" t="s">
        <v>241</v>
      </c>
      <c r="F473" s="19" t="s">
        <v>243</v>
      </c>
      <c r="G473" s="19"/>
    </row>
    <row r="474" spans="1:9" x14ac:dyDescent="0.3">
      <c r="A474" s="17"/>
      <c r="B474" s="19"/>
      <c r="C474" s="19"/>
      <c r="D474" s="19"/>
      <c r="E474" s="3" t="s">
        <v>242</v>
      </c>
      <c r="F474" s="19"/>
      <c r="G474" s="19"/>
    </row>
    <row r="475" spans="1:9" ht="17.25" thickBot="1" x14ac:dyDescent="0.35">
      <c r="A475" s="6">
        <v>1</v>
      </c>
      <c r="B475" s="11" t="s">
        <v>116</v>
      </c>
      <c r="C475" s="2">
        <v>56814</v>
      </c>
      <c r="D475" s="2">
        <v>0.37124400000000002</v>
      </c>
      <c r="E475" s="2">
        <v>1.719E-3</v>
      </c>
      <c r="F475" s="2">
        <v>0.36787374</v>
      </c>
      <c r="G475" s="2">
        <v>0.37461473000000001</v>
      </c>
      <c r="I475" t="str">
        <f t="shared" ref="I475:I476" si="6">TEXT(D475,"0.00")&amp;" ("&amp;TEXT(F475,"0.00")&amp;" to "&amp;TEXT(G475,"0.00")&amp;")"</f>
        <v>0.37 (0.37 to 0.37)</v>
      </c>
    </row>
    <row r="476" spans="1:9" x14ac:dyDescent="0.3">
      <c r="A476" s="6">
        <v>2</v>
      </c>
      <c r="B476" s="14" t="s">
        <v>116</v>
      </c>
      <c r="C476" s="2">
        <v>11821</v>
      </c>
      <c r="D476" s="2">
        <v>0.26424399999999998</v>
      </c>
      <c r="E476" s="2">
        <v>3.555E-3</v>
      </c>
      <c r="F476" s="2">
        <v>0.25727231</v>
      </c>
      <c r="G476" s="2">
        <v>0.27121498999999999</v>
      </c>
      <c r="I476" t="str">
        <f t="shared" si="6"/>
        <v>0.26 (0.26 to 0.27)</v>
      </c>
    </row>
    <row r="480" spans="1:9" x14ac:dyDescent="0.3">
      <c r="A480" s="1" t="s">
        <v>237</v>
      </c>
    </row>
    <row r="482" spans="1:6" x14ac:dyDescent="0.3">
      <c r="A482" s="1" t="s">
        <v>1</v>
      </c>
    </row>
    <row r="483" spans="1:6" ht="17.25" thickBot="1" x14ac:dyDescent="0.35"/>
    <row r="484" spans="1:6" ht="16.5" customHeight="1" x14ac:dyDescent="0.3">
      <c r="A484" s="16" t="s">
        <v>135</v>
      </c>
      <c r="B484" s="18"/>
    </row>
    <row r="485" spans="1:6" ht="26.25" thickBot="1" x14ac:dyDescent="0.35">
      <c r="A485" s="12" t="s">
        <v>136</v>
      </c>
      <c r="B485" s="2">
        <v>183</v>
      </c>
    </row>
    <row r="486" spans="1:6" ht="26.25" thickBot="1" x14ac:dyDescent="0.35">
      <c r="A486" s="12" t="s">
        <v>137</v>
      </c>
      <c r="B486" s="2">
        <v>2949</v>
      </c>
    </row>
    <row r="487" spans="1:6" ht="39" thickBot="1" x14ac:dyDescent="0.35">
      <c r="A487" s="12" t="s">
        <v>138</v>
      </c>
      <c r="B487" s="2">
        <v>23222</v>
      </c>
    </row>
    <row r="488" spans="1:6" ht="25.5" x14ac:dyDescent="0.3">
      <c r="A488" s="13" t="s">
        <v>139</v>
      </c>
      <c r="B488" s="2">
        <v>9036880.5199999996</v>
      </c>
    </row>
    <row r="489" spans="1:6" ht="17.25" thickBot="1" x14ac:dyDescent="0.35"/>
    <row r="490" spans="1:6" ht="33" customHeight="1" x14ac:dyDescent="0.3">
      <c r="A490" s="16" t="s">
        <v>140</v>
      </c>
      <c r="B490" s="18"/>
    </row>
    <row r="491" spans="1:6" ht="33.75" thickBot="1" x14ac:dyDescent="0.35">
      <c r="A491" s="12" t="s">
        <v>141</v>
      </c>
      <c r="B491" s="2" t="s">
        <v>142</v>
      </c>
    </row>
    <row r="492" spans="1:6" ht="25.5" x14ac:dyDescent="0.3">
      <c r="A492" s="13" t="s">
        <v>143</v>
      </c>
      <c r="B492" s="2" t="s">
        <v>144</v>
      </c>
    </row>
    <row r="493" spans="1:6" ht="17.25" thickBot="1" x14ac:dyDescent="0.35"/>
    <row r="494" spans="1:6" ht="16.5" customHeight="1" x14ac:dyDescent="0.3">
      <c r="A494" s="16" t="s">
        <v>238</v>
      </c>
      <c r="B494" s="18"/>
      <c r="C494" s="18"/>
      <c r="D494" s="18"/>
      <c r="E494" s="18"/>
      <c r="F494" s="18"/>
    </row>
    <row r="495" spans="1:6" ht="16.5" customHeight="1" x14ac:dyDescent="0.3">
      <c r="A495" s="17" t="s">
        <v>239</v>
      </c>
      <c r="B495" s="19" t="s">
        <v>94</v>
      </c>
      <c r="C495" s="19" t="s">
        <v>240</v>
      </c>
      <c r="D495" s="3" t="s">
        <v>241</v>
      </c>
      <c r="E495" s="19" t="s">
        <v>243</v>
      </c>
      <c r="F495" s="19"/>
    </row>
    <row r="496" spans="1:6" x14ac:dyDescent="0.3">
      <c r="A496" s="17"/>
      <c r="B496" s="19"/>
      <c r="C496" s="19"/>
      <c r="D496" s="3" t="s">
        <v>242</v>
      </c>
      <c r="E496" s="19"/>
      <c r="F496" s="19"/>
    </row>
    <row r="497" spans="1:7" x14ac:dyDescent="0.3">
      <c r="A497" s="13" t="s">
        <v>116</v>
      </c>
      <c r="B497" s="2">
        <v>23222</v>
      </c>
      <c r="C497" s="2">
        <v>0.29750300000000002</v>
      </c>
      <c r="D497" s="2">
        <v>2.7789999999999998E-3</v>
      </c>
      <c r="E497" s="2">
        <v>0.29205375</v>
      </c>
      <c r="F497" s="2">
        <v>0.30295137999999999</v>
      </c>
    </row>
    <row r="501" spans="1:7" x14ac:dyDescent="0.3">
      <c r="A501" s="1" t="s">
        <v>237</v>
      </c>
    </row>
    <row r="503" spans="1:7" x14ac:dyDescent="0.3">
      <c r="A503" s="1" t="s">
        <v>1</v>
      </c>
    </row>
    <row r="504" spans="1:7" ht="17.25" thickBot="1" x14ac:dyDescent="0.35"/>
    <row r="505" spans="1:7" ht="16.5" customHeight="1" x14ac:dyDescent="0.3">
      <c r="A505" s="16" t="s">
        <v>273</v>
      </c>
      <c r="B505" s="18"/>
      <c r="C505" s="18"/>
      <c r="D505" s="18"/>
      <c r="E505" s="18"/>
      <c r="F505" s="18"/>
      <c r="G505" s="18"/>
    </row>
    <row r="506" spans="1:7" ht="16.5" customHeight="1" x14ac:dyDescent="0.3">
      <c r="A506" s="17" t="s">
        <v>12</v>
      </c>
      <c r="B506" s="19" t="s">
        <v>239</v>
      </c>
      <c r="C506" s="19" t="s">
        <v>94</v>
      </c>
      <c r="D506" s="19" t="s">
        <v>240</v>
      </c>
      <c r="E506" s="3" t="s">
        <v>241</v>
      </c>
      <c r="F506" s="19" t="s">
        <v>243</v>
      </c>
      <c r="G506" s="19"/>
    </row>
    <row r="507" spans="1:7" x14ac:dyDescent="0.3">
      <c r="A507" s="17"/>
      <c r="B507" s="19"/>
      <c r="C507" s="19"/>
      <c r="D507" s="19"/>
      <c r="E507" s="3" t="s">
        <v>242</v>
      </c>
      <c r="F507" s="19"/>
      <c r="G507" s="19"/>
    </row>
    <row r="508" spans="1:7" ht="17.25" thickBot="1" x14ac:dyDescent="0.35">
      <c r="A508" s="6">
        <v>1</v>
      </c>
      <c r="B508" s="11" t="s">
        <v>116</v>
      </c>
      <c r="C508" s="2">
        <v>8851</v>
      </c>
      <c r="D508" s="2">
        <v>0.230044</v>
      </c>
      <c r="E508" s="2">
        <v>3.9269999999999999E-3</v>
      </c>
      <c r="F508" s="2">
        <v>0.22234404999999999</v>
      </c>
      <c r="G508" s="2">
        <v>0.23774355999999999</v>
      </c>
    </row>
    <row r="509" spans="1:7" ht="17.25" thickBot="1" x14ac:dyDescent="0.35">
      <c r="A509" s="6">
        <v>2</v>
      </c>
      <c r="B509" s="11" t="s">
        <v>116</v>
      </c>
      <c r="C509" s="2">
        <v>7985</v>
      </c>
      <c r="D509" s="2">
        <v>0.31487199999999999</v>
      </c>
      <c r="E509" s="2">
        <v>4.2529999999999998E-3</v>
      </c>
      <c r="F509" s="2">
        <v>0.30653211000000002</v>
      </c>
      <c r="G509" s="2">
        <v>0.32321140999999998</v>
      </c>
    </row>
    <row r="510" spans="1:7" ht="17.25" thickBot="1" x14ac:dyDescent="0.35">
      <c r="A510" s="6">
        <v>3</v>
      </c>
      <c r="B510" s="11" t="s">
        <v>116</v>
      </c>
      <c r="C510" s="2">
        <v>3883</v>
      </c>
      <c r="D510" s="2">
        <v>0.38316299999999998</v>
      </c>
      <c r="E510" s="2">
        <v>6.5970000000000004E-3</v>
      </c>
      <c r="F510" s="2">
        <v>0.37022781999999999</v>
      </c>
      <c r="G510" s="2">
        <v>0.39609787000000002</v>
      </c>
    </row>
    <row r="511" spans="1:7" x14ac:dyDescent="0.3">
      <c r="A511" s="6">
        <v>8</v>
      </c>
      <c r="B511" s="14" t="s">
        <v>116</v>
      </c>
      <c r="C511" s="2">
        <v>2503</v>
      </c>
      <c r="D511" s="2">
        <v>0.36348000000000003</v>
      </c>
      <c r="E511" s="2">
        <v>8.4159999999999999E-3</v>
      </c>
      <c r="F511" s="2">
        <v>0.34697645999999999</v>
      </c>
      <c r="G511" s="2">
        <v>0.37998254999999997</v>
      </c>
    </row>
    <row r="515" spans="1:2" x14ac:dyDescent="0.3">
      <c r="A515" s="1" t="s">
        <v>237</v>
      </c>
    </row>
    <row r="517" spans="1:2" x14ac:dyDescent="0.3">
      <c r="A517" s="1" t="s">
        <v>21</v>
      </c>
    </row>
    <row r="518" spans="1:2" ht="17.25" thickBot="1" x14ac:dyDescent="0.35"/>
    <row r="519" spans="1:2" ht="16.5" customHeight="1" x14ac:dyDescent="0.3">
      <c r="A519" s="16" t="s">
        <v>135</v>
      </c>
      <c r="B519" s="18"/>
    </row>
    <row r="520" spans="1:2" ht="26.25" thickBot="1" x14ac:dyDescent="0.35">
      <c r="A520" s="12" t="s">
        <v>136</v>
      </c>
      <c r="B520" s="2">
        <v>183</v>
      </c>
    </row>
    <row r="521" spans="1:2" ht="26.25" thickBot="1" x14ac:dyDescent="0.35">
      <c r="A521" s="12" t="s">
        <v>137</v>
      </c>
      <c r="B521" s="2">
        <v>2982</v>
      </c>
    </row>
    <row r="522" spans="1:2" ht="39" thickBot="1" x14ac:dyDescent="0.35">
      <c r="A522" s="12" t="s">
        <v>138</v>
      </c>
      <c r="B522" s="2">
        <v>68635</v>
      </c>
    </row>
    <row r="523" spans="1:2" ht="25.5" x14ac:dyDescent="0.3">
      <c r="A523" s="13" t="s">
        <v>139</v>
      </c>
      <c r="B523" s="2">
        <v>30251935.699999999</v>
      </c>
    </row>
    <row r="524" spans="1:2" ht="17.25" thickBot="1" x14ac:dyDescent="0.35"/>
    <row r="525" spans="1:2" ht="33" customHeight="1" x14ac:dyDescent="0.3">
      <c r="A525" s="16" t="s">
        <v>140</v>
      </c>
      <c r="B525" s="18"/>
    </row>
    <row r="526" spans="1:2" ht="33.75" thickBot="1" x14ac:dyDescent="0.35">
      <c r="A526" s="12" t="s">
        <v>141</v>
      </c>
      <c r="B526" s="2" t="s">
        <v>142</v>
      </c>
    </row>
    <row r="527" spans="1:2" ht="25.5" x14ac:dyDescent="0.3">
      <c r="A527" s="13" t="s">
        <v>143</v>
      </c>
      <c r="B527" s="2" t="s">
        <v>144</v>
      </c>
    </row>
    <row r="528" spans="1:2" ht="17.25" thickBot="1" x14ac:dyDescent="0.35"/>
    <row r="529" spans="1:9" ht="16.5" customHeight="1" x14ac:dyDescent="0.3">
      <c r="A529" s="16" t="s">
        <v>238</v>
      </c>
      <c r="B529" s="18"/>
      <c r="C529" s="18"/>
      <c r="D529" s="18"/>
      <c r="E529" s="18"/>
      <c r="F529" s="18"/>
    </row>
    <row r="530" spans="1:9" ht="16.5" customHeight="1" x14ac:dyDescent="0.3">
      <c r="A530" s="17" t="s">
        <v>239</v>
      </c>
      <c r="B530" s="19" t="s">
        <v>94</v>
      </c>
      <c r="C530" s="19" t="s">
        <v>240</v>
      </c>
      <c r="D530" s="3" t="s">
        <v>241</v>
      </c>
      <c r="E530" s="19" t="s">
        <v>243</v>
      </c>
      <c r="F530" s="19"/>
    </row>
    <row r="531" spans="1:9" x14ac:dyDescent="0.3">
      <c r="A531" s="17"/>
      <c r="B531" s="19"/>
      <c r="C531" s="19"/>
      <c r="D531" s="3" t="s">
        <v>242</v>
      </c>
      <c r="E531" s="19"/>
      <c r="F531" s="19"/>
    </row>
    <row r="532" spans="1:9" x14ac:dyDescent="0.3">
      <c r="A532" s="13" t="s">
        <v>116</v>
      </c>
      <c r="B532" s="2">
        <v>68635</v>
      </c>
      <c r="C532" s="2">
        <v>0.34523599999999999</v>
      </c>
      <c r="D532" s="2">
        <v>1.6490000000000001E-3</v>
      </c>
      <c r="E532" s="2">
        <v>0.34200205</v>
      </c>
      <c r="F532" s="2">
        <v>0.34847033999999999</v>
      </c>
    </row>
    <row r="536" spans="1:9" x14ac:dyDescent="0.3">
      <c r="A536" s="1" t="s">
        <v>237</v>
      </c>
    </row>
    <row r="538" spans="1:9" x14ac:dyDescent="0.3">
      <c r="A538" s="1" t="s">
        <v>21</v>
      </c>
    </row>
    <row r="539" spans="1:9" ht="17.25" thickBot="1" x14ac:dyDescent="0.35"/>
    <row r="540" spans="1:9" ht="16.5" customHeight="1" x14ac:dyDescent="0.3">
      <c r="A540" s="16" t="s">
        <v>273</v>
      </c>
      <c r="B540" s="18"/>
      <c r="C540" s="18"/>
      <c r="D540" s="18"/>
      <c r="E540" s="18"/>
      <c r="F540" s="18"/>
      <c r="G540" s="18"/>
    </row>
    <row r="541" spans="1:9" ht="16.5" customHeight="1" x14ac:dyDescent="0.3">
      <c r="A541" s="17" t="s">
        <v>12</v>
      </c>
      <c r="B541" s="19" t="s">
        <v>239</v>
      </c>
      <c r="C541" s="19" t="s">
        <v>94</v>
      </c>
      <c r="D541" s="19" t="s">
        <v>240</v>
      </c>
      <c r="E541" s="3" t="s">
        <v>241</v>
      </c>
      <c r="F541" s="19" t="s">
        <v>243</v>
      </c>
      <c r="G541" s="19"/>
    </row>
    <row r="542" spans="1:9" x14ac:dyDescent="0.3">
      <c r="A542" s="17"/>
      <c r="B542" s="19"/>
      <c r="C542" s="19"/>
      <c r="D542" s="19"/>
      <c r="E542" s="3" t="s">
        <v>242</v>
      </c>
      <c r="F542" s="19"/>
      <c r="G542" s="19"/>
    </row>
    <row r="543" spans="1:9" ht="17.25" thickBot="1" x14ac:dyDescent="0.35">
      <c r="A543" s="6">
        <v>1</v>
      </c>
      <c r="B543" s="11" t="s">
        <v>116</v>
      </c>
      <c r="C543" s="2">
        <v>22876</v>
      </c>
      <c r="D543" s="2">
        <v>0.30809999999999998</v>
      </c>
      <c r="E543" s="2">
        <v>2.6570000000000001E-3</v>
      </c>
      <c r="F543" s="2">
        <v>0.30288954000000001</v>
      </c>
      <c r="G543" s="2">
        <v>0.31331081</v>
      </c>
      <c r="I543" t="str">
        <f t="shared" ref="I543:I545" si="7">TEXT(D543,"0.00")&amp;" ("&amp;TEXT(F543,"0.00")&amp;" to "&amp;TEXT(G543,"0.00")&amp;")"</f>
        <v>0.31 (0.30 to 0.31)</v>
      </c>
    </row>
    <row r="544" spans="1:9" ht="17.25" thickBot="1" x14ac:dyDescent="0.35">
      <c r="A544" s="6">
        <v>2</v>
      </c>
      <c r="B544" s="11" t="s">
        <v>116</v>
      </c>
      <c r="C544" s="2">
        <v>33210</v>
      </c>
      <c r="D544" s="2">
        <v>0.35608899999999999</v>
      </c>
      <c r="E544" s="2">
        <v>2.2190000000000001E-3</v>
      </c>
      <c r="F544" s="2">
        <v>0.35173842</v>
      </c>
      <c r="G544" s="2">
        <v>0.36043969999999997</v>
      </c>
      <c r="I544" t="str">
        <f t="shared" si="7"/>
        <v>0.36 (0.35 to 0.36)</v>
      </c>
    </row>
    <row r="545" spans="1:9" x14ac:dyDescent="0.3">
      <c r="A545" s="6">
        <v>3</v>
      </c>
      <c r="B545" s="14" t="s">
        <v>116</v>
      </c>
      <c r="C545" s="2">
        <v>12549</v>
      </c>
      <c r="D545" s="2">
        <v>0.39087100000000002</v>
      </c>
      <c r="E545" s="2">
        <v>3.6340000000000001E-3</v>
      </c>
      <c r="F545" s="2">
        <v>0.38374546999999998</v>
      </c>
      <c r="G545" s="2">
        <v>0.39799647999999999</v>
      </c>
      <c r="I545" t="str">
        <f t="shared" si="7"/>
        <v>0.39 (0.38 to 0.40)</v>
      </c>
    </row>
    <row r="549" spans="1:9" x14ac:dyDescent="0.3">
      <c r="A549" s="1" t="s">
        <v>237</v>
      </c>
    </row>
    <row r="551" spans="1:9" x14ac:dyDescent="0.3">
      <c r="A551" s="1" t="s">
        <v>1</v>
      </c>
    </row>
    <row r="552" spans="1:9" ht="17.25" thickBot="1" x14ac:dyDescent="0.35"/>
    <row r="553" spans="1:9" ht="16.5" customHeight="1" x14ac:dyDescent="0.3">
      <c r="A553" s="16" t="s">
        <v>135</v>
      </c>
      <c r="B553" s="18"/>
    </row>
    <row r="554" spans="1:9" ht="26.25" thickBot="1" x14ac:dyDescent="0.35">
      <c r="A554" s="12" t="s">
        <v>136</v>
      </c>
      <c r="B554" s="2">
        <v>183</v>
      </c>
    </row>
    <row r="555" spans="1:9" ht="26.25" thickBot="1" x14ac:dyDescent="0.35">
      <c r="A555" s="12" t="s">
        <v>137</v>
      </c>
      <c r="B555" s="2">
        <v>2949</v>
      </c>
    </row>
    <row r="556" spans="1:9" ht="39" thickBot="1" x14ac:dyDescent="0.35">
      <c r="A556" s="12" t="s">
        <v>138</v>
      </c>
      <c r="B556" s="2">
        <v>23222</v>
      </c>
    </row>
    <row r="557" spans="1:9" ht="25.5" x14ac:dyDescent="0.3">
      <c r="A557" s="13" t="s">
        <v>139</v>
      </c>
      <c r="B557" s="2">
        <v>9036880.5199999996</v>
      </c>
    </row>
    <row r="558" spans="1:9" ht="17.25" thickBot="1" x14ac:dyDescent="0.35"/>
    <row r="559" spans="1:9" ht="33" customHeight="1" x14ac:dyDescent="0.3">
      <c r="A559" s="16" t="s">
        <v>140</v>
      </c>
      <c r="B559" s="18"/>
    </row>
    <row r="560" spans="1:9" ht="33.75" thickBot="1" x14ac:dyDescent="0.35">
      <c r="A560" s="12" t="s">
        <v>141</v>
      </c>
      <c r="B560" s="2" t="s">
        <v>142</v>
      </c>
    </row>
    <row r="561" spans="1:7" ht="25.5" x14ac:dyDescent="0.3">
      <c r="A561" s="13" t="s">
        <v>143</v>
      </c>
      <c r="B561" s="2" t="s">
        <v>144</v>
      </c>
    </row>
    <row r="562" spans="1:7" ht="17.25" thickBot="1" x14ac:dyDescent="0.35"/>
    <row r="563" spans="1:7" ht="16.5" customHeight="1" x14ac:dyDescent="0.3">
      <c r="A563" s="16" t="s">
        <v>238</v>
      </c>
      <c r="B563" s="18"/>
      <c r="C563" s="18"/>
      <c r="D563" s="18"/>
      <c r="E563" s="18"/>
      <c r="F563" s="18"/>
    </row>
    <row r="564" spans="1:7" ht="16.5" customHeight="1" x14ac:dyDescent="0.3">
      <c r="A564" s="17" t="s">
        <v>239</v>
      </c>
      <c r="B564" s="19" t="s">
        <v>94</v>
      </c>
      <c r="C564" s="19" t="s">
        <v>240</v>
      </c>
      <c r="D564" s="3" t="s">
        <v>241</v>
      </c>
      <c r="E564" s="19" t="s">
        <v>243</v>
      </c>
      <c r="F564" s="19"/>
    </row>
    <row r="565" spans="1:7" x14ac:dyDescent="0.3">
      <c r="A565" s="17"/>
      <c r="B565" s="19"/>
      <c r="C565" s="19"/>
      <c r="D565" s="3" t="s">
        <v>242</v>
      </c>
      <c r="E565" s="19"/>
      <c r="F565" s="19"/>
    </row>
    <row r="566" spans="1:7" x14ac:dyDescent="0.3">
      <c r="A566" s="13" t="s">
        <v>116</v>
      </c>
      <c r="B566" s="2">
        <v>23222</v>
      </c>
      <c r="C566" s="2">
        <v>0.29750300000000002</v>
      </c>
      <c r="D566" s="2">
        <v>2.7789999999999998E-3</v>
      </c>
      <c r="E566" s="2">
        <v>0.29205375</v>
      </c>
      <c r="F566" s="2">
        <v>0.30295137999999999</v>
      </c>
    </row>
    <row r="570" spans="1:7" x14ac:dyDescent="0.3">
      <c r="A570" s="1" t="s">
        <v>237</v>
      </c>
    </row>
    <row r="572" spans="1:7" x14ac:dyDescent="0.3">
      <c r="A572" s="1" t="s">
        <v>1</v>
      </c>
    </row>
    <row r="573" spans="1:7" ht="17.25" thickBot="1" x14ac:dyDescent="0.35"/>
    <row r="574" spans="1:7" ht="16.5" customHeight="1" x14ac:dyDescent="0.3">
      <c r="A574" s="16" t="s">
        <v>274</v>
      </c>
      <c r="B574" s="18"/>
      <c r="C574" s="18"/>
      <c r="D574" s="18"/>
      <c r="E574" s="18"/>
      <c r="F574" s="18"/>
      <c r="G574" s="18"/>
    </row>
    <row r="575" spans="1:7" ht="16.5" customHeight="1" x14ac:dyDescent="0.3">
      <c r="A575" s="17" t="s">
        <v>13</v>
      </c>
      <c r="B575" s="19" t="s">
        <v>239</v>
      </c>
      <c r="C575" s="19" t="s">
        <v>94</v>
      </c>
      <c r="D575" s="19" t="s">
        <v>240</v>
      </c>
      <c r="E575" s="3" t="s">
        <v>241</v>
      </c>
      <c r="F575" s="19" t="s">
        <v>243</v>
      </c>
      <c r="G575" s="19"/>
    </row>
    <row r="576" spans="1:7" x14ac:dyDescent="0.3">
      <c r="A576" s="17"/>
      <c r="B576" s="19"/>
      <c r="C576" s="19"/>
      <c r="D576" s="19"/>
      <c r="E576" s="3" t="s">
        <v>242</v>
      </c>
      <c r="F576" s="19"/>
      <c r="G576" s="19"/>
    </row>
    <row r="577" spans="1:7" ht="17.25" thickBot="1" x14ac:dyDescent="0.35">
      <c r="A577" s="6">
        <v>1</v>
      </c>
      <c r="B577" s="11" t="s">
        <v>116</v>
      </c>
      <c r="C577" s="2">
        <v>5000</v>
      </c>
      <c r="D577" s="2">
        <v>0.30421100000000001</v>
      </c>
      <c r="E577" s="2">
        <v>5.6049999999999997E-3</v>
      </c>
      <c r="F577" s="2">
        <v>0.29322127999999997</v>
      </c>
      <c r="G577" s="2">
        <v>0.31520144</v>
      </c>
    </row>
    <row r="578" spans="1:7" ht="17.25" thickBot="1" x14ac:dyDescent="0.35">
      <c r="A578" s="6">
        <v>2</v>
      </c>
      <c r="B578" s="11" t="s">
        <v>116</v>
      </c>
      <c r="C578" s="2">
        <v>11282</v>
      </c>
      <c r="D578" s="2">
        <v>0.30018</v>
      </c>
      <c r="E578" s="2">
        <v>3.617E-3</v>
      </c>
      <c r="F578" s="2">
        <v>0.29308872000000002</v>
      </c>
      <c r="G578" s="2">
        <v>0.30727204000000002</v>
      </c>
    </row>
    <row r="579" spans="1:7" ht="17.25" thickBot="1" x14ac:dyDescent="0.35">
      <c r="A579" s="6">
        <v>3</v>
      </c>
      <c r="B579" s="11" t="s">
        <v>116</v>
      </c>
      <c r="C579" s="2">
        <v>4216</v>
      </c>
      <c r="D579" s="2">
        <v>0.331986</v>
      </c>
      <c r="E579" s="2">
        <v>6.019E-3</v>
      </c>
      <c r="F579" s="2">
        <v>0.32018337000000002</v>
      </c>
      <c r="G579" s="2">
        <v>0.34378834000000003</v>
      </c>
    </row>
    <row r="580" spans="1:7" x14ac:dyDescent="0.3">
      <c r="A580" s="6">
        <v>8</v>
      </c>
      <c r="B580" s="14" t="s">
        <v>116</v>
      </c>
      <c r="C580" s="2">
        <v>2724</v>
      </c>
      <c r="D580" s="2">
        <v>0.22164900000000001</v>
      </c>
      <c r="E580" s="2">
        <v>7.3280000000000003E-3</v>
      </c>
      <c r="F580" s="2">
        <v>0.20727952999999999</v>
      </c>
      <c r="G580" s="2">
        <v>0.23601776999999999</v>
      </c>
    </row>
    <row r="584" spans="1:7" x14ac:dyDescent="0.3">
      <c r="A584" s="1" t="s">
        <v>237</v>
      </c>
    </row>
    <row r="586" spans="1:7" x14ac:dyDescent="0.3">
      <c r="A586" s="1" t="s">
        <v>21</v>
      </c>
    </row>
    <row r="587" spans="1:7" ht="17.25" thickBot="1" x14ac:dyDescent="0.35"/>
    <row r="588" spans="1:7" ht="16.5" customHeight="1" x14ac:dyDescent="0.3">
      <c r="A588" s="16" t="s">
        <v>135</v>
      </c>
      <c r="B588" s="18"/>
    </row>
    <row r="589" spans="1:7" ht="26.25" thickBot="1" x14ac:dyDescent="0.35">
      <c r="A589" s="12" t="s">
        <v>136</v>
      </c>
      <c r="B589" s="2">
        <v>183</v>
      </c>
    </row>
    <row r="590" spans="1:7" ht="26.25" thickBot="1" x14ac:dyDescent="0.35">
      <c r="A590" s="12" t="s">
        <v>137</v>
      </c>
      <c r="B590" s="2">
        <v>2982</v>
      </c>
    </row>
    <row r="591" spans="1:7" ht="39" thickBot="1" x14ac:dyDescent="0.35">
      <c r="A591" s="12" t="s">
        <v>138</v>
      </c>
      <c r="B591" s="2">
        <v>68635</v>
      </c>
    </row>
    <row r="592" spans="1:7" ht="25.5" x14ac:dyDescent="0.3">
      <c r="A592" s="13" t="s">
        <v>139</v>
      </c>
      <c r="B592" s="2">
        <v>30251935.699999999</v>
      </c>
    </row>
    <row r="593" spans="1:6" ht="17.25" thickBot="1" x14ac:dyDescent="0.35"/>
    <row r="594" spans="1:6" ht="33" customHeight="1" x14ac:dyDescent="0.3">
      <c r="A594" s="16" t="s">
        <v>140</v>
      </c>
      <c r="B594" s="18"/>
    </row>
    <row r="595" spans="1:6" ht="33.75" thickBot="1" x14ac:dyDescent="0.35">
      <c r="A595" s="12" t="s">
        <v>141</v>
      </c>
      <c r="B595" s="2" t="s">
        <v>142</v>
      </c>
    </row>
    <row r="596" spans="1:6" ht="25.5" x14ac:dyDescent="0.3">
      <c r="A596" s="13" t="s">
        <v>143</v>
      </c>
      <c r="B596" s="2" t="s">
        <v>144</v>
      </c>
    </row>
    <row r="597" spans="1:6" ht="17.25" thickBot="1" x14ac:dyDescent="0.35"/>
    <row r="598" spans="1:6" ht="16.5" customHeight="1" x14ac:dyDescent="0.3">
      <c r="A598" s="16" t="s">
        <v>238</v>
      </c>
      <c r="B598" s="18"/>
      <c r="C598" s="18"/>
      <c r="D598" s="18"/>
      <c r="E598" s="18"/>
      <c r="F598" s="18"/>
    </row>
    <row r="599" spans="1:6" ht="16.5" customHeight="1" x14ac:dyDescent="0.3">
      <c r="A599" s="17" t="s">
        <v>239</v>
      </c>
      <c r="B599" s="19" t="s">
        <v>94</v>
      </c>
      <c r="C599" s="19" t="s">
        <v>240</v>
      </c>
      <c r="D599" s="3" t="s">
        <v>241</v>
      </c>
      <c r="E599" s="19" t="s">
        <v>243</v>
      </c>
      <c r="F599" s="19"/>
    </row>
    <row r="600" spans="1:6" x14ac:dyDescent="0.3">
      <c r="A600" s="17"/>
      <c r="B600" s="19"/>
      <c r="C600" s="19"/>
      <c r="D600" s="3" t="s">
        <v>242</v>
      </c>
      <c r="E600" s="19"/>
      <c r="F600" s="19"/>
    </row>
    <row r="601" spans="1:6" x14ac:dyDescent="0.3">
      <c r="A601" s="13" t="s">
        <v>116</v>
      </c>
      <c r="B601" s="2">
        <v>68635</v>
      </c>
      <c r="C601" s="2">
        <v>0.34523599999999999</v>
      </c>
      <c r="D601" s="2">
        <v>1.6490000000000001E-3</v>
      </c>
      <c r="E601" s="2">
        <v>0.34200205</v>
      </c>
      <c r="F601" s="2">
        <v>0.34847033999999999</v>
      </c>
    </row>
    <row r="605" spans="1:6" x14ac:dyDescent="0.3">
      <c r="A605" s="1" t="s">
        <v>237</v>
      </c>
    </row>
    <row r="607" spans="1:6" x14ac:dyDescent="0.3">
      <c r="A607" s="1" t="s">
        <v>21</v>
      </c>
    </row>
    <row r="608" spans="1:6" ht="17.25" thickBot="1" x14ac:dyDescent="0.35"/>
    <row r="609" spans="1:9" ht="16.5" customHeight="1" x14ac:dyDescent="0.3">
      <c r="A609" s="16" t="s">
        <v>274</v>
      </c>
      <c r="B609" s="18"/>
      <c r="C609" s="18"/>
      <c r="D609" s="18"/>
      <c r="E609" s="18"/>
      <c r="F609" s="18"/>
      <c r="G609" s="18"/>
    </row>
    <row r="610" spans="1:9" ht="16.5" customHeight="1" x14ac:dyDescent="0.3">
      <c r="A610" s="17" t="s">
        <v>13</v>
      </c>
      <c r="B610" s="19" t="s">
        <v>239</v>
      </c>
      <c r="C610" s="19" t="s">
        <v>94</v>
      </c>
      <c r="D610" s="19" t="s">
        <v>240</v>
      </c>
      <c r="E610" s="3" t="s">
        <v>241</v>
      </c>
      <c r="F610" s="19" t="s">
        <v>243</v>
      </c>
      <c r="G610" s="19"/>
    </row>
    <row r="611" spans="1:9" x14ac:dyDescent="0.3">
      <c r="A611" s="17"/>
      <c r="B611" s="19"/>
      <c r="C611" s="19"/>
      <c r="D611" s="19"/>
      <c r="E611" s="3" t="s">
        <v>242</v>
      </c>
      <c r="F611" s="19"/>
      <c r="G611" s="19"/>
    </row>
    <row r="612" spans="1:9" ht="17.25" thickBot="1" x14ac:dyDescent="0.35">
      <c r="A612" s="6">
        <v>1</v>
      </c>
      <c r="B612" s="11" t="s">
        <v>116</v>
      </c>
      <c r="C612" s="2">
        <v>18257</v>
      </c>
      <c r="D612" s="2">
        <v>0.34934599999999999</v>
      </c>
      <c r="E612" s="2">
        <v>3.0070000000000001E-3</v>
      </c>
      <c r="F612" s="2">
        <v>0.34344994000000001</v>
      </c>
      <c r="G612" s="2">
        <v>0.35524148</v>
      </c>
      <c r="I612" t="str">
        <f t="shared" ref="I612:I614" si="8">TEXT(D612,"0.00")&amp;" ("&amp;TEXT(F612,"0.00")&amp;" to "&amp;TEXT(G612,"0.00")&amp;")"</f>
        <v>0.35 (0.34 to 0.36)</v>
      </c>
    </row>
    <row r="613" spans="1:9" ht="17.25" thickBot="1" x14ac:dyDescent="0.35">
      <c r="A613" s="6">
        <v>2</v>
      </c>
      <c r="B613" s="11" t="s">
        <v>116</v>
      </c>
      <c r="C613" s="2">
        <v>39551</v>
      </c>
      <c r="D613" s="2">
        <v>0.33903800000000001</v>
      </c>
      <c r="E613" s="2">
        <v>2.1250000000000002E-3</v>
      </c>
      <c r="F613" s="2">
        <v>0.33487125000000001</v>
      </c>
      <c r="G613" s="2">
        <v>0.34320424999999999</v>
      </c>
      <c r="I613" t="str">
        <f t="shared" si="8"/>
        <v>0.34 (0.33 to 0.34)</v>
      </c>
    </row>
    <row r="614" spans="1:9" x14ac:dyDescent="0.3">
      <c r="A614" s="6">
        <v>3</v>
      </c>
      <c r="B614" s="14" t="s">
        <v>116</v>
      </c>
      <c r="C614" s="2">
        <v>10827</v>
      </c>
      <c r="D614" s="2">
        <v>0.36293700000000001</v>
      </c>
      <c r="E614" s="2">
        <v>3.8219999999999999E-3</v>
      </c>
      <c r="F614" s="2">
        <v>0.35544236000000001</v>
      </c>
      <c r="G614" s="2">
        <v>0.37043187999999999</v>
      </c>
      <c r="I614" t="str">
        <f t="shared" si="8"/>
        <v>0.36 (0.36 to 0.37)</v>
      </c>
    </row>
    <row r="618" spans="1:9" x14ac:dyDescent="0.3">
      <c r="A618" s="1" t="s">
        <v>237</v>
      </c>
    </row>
    <row r="620" spans="1:9" x14ac:dyDescent="0.3">
      <c r="A620" s="1" t="s">
        <v>1</v>
      </c>
    </row>
    <row r="621" spans="1:9" ht="17.25" thickBot="1" x14ac:dyDescent="0.35"/>
    <row r="622" spans="1:9" ht="16.5" customHeight="1" x14ac:dyDescent="0.3">
      <c r="A622" s="16" t="s">
        <v>135</v>
      </c>
      <c r="B622" s="18"/>
    </row>
    <row r="623" spans="1:9" ht="26.25" thickBot="1" x14ac:dyDescent="0.35">
      <c r="A623" s="12" t="s">
        <v>136</v>
      </c>
      <c r="B623" s="2">
        <v>183</v>
      </c>
    </row>
    <row r="624" spans="1:9" ht="26.25" thickBot="1" x14ac:dyDescent="0.35">
      <c r="A624" s="12" t="s">
        <v>137</v>
      </c>
      <c r="B624" s="2">
        <v>2949</v>
      </c>
    </row>
    <row r="625" spans="1:6" ht="39" thickBot="1" x14ac:dyDescent="0.35">
      <c r="A625" s="12" t="s">
        <v>138</v>
      </c>
      <c r="B625" s="2">
        <v>23222</v>
      </c>
    </row>
    <row r="626" spans="1:6" ht="25.5" x14ac:dyDescent="0.3">
      <c r="A626" s="13" t="s">
        <v>139</v>
      </c>
      <c r="B626" s="2">
        <v>9036880.5199999996</v>
      </c>
    </row>
    <row r="627" spans="1:6" ht="17.25" thickBot="1" x14ac:dyDescent="0.35"/>
    <row r="628" spans="1:6" ht="33" customHeight="1" x14ac:dyDescent="0.3">
      <c r="A628" s="16" t="s">
        <v>140</v>
      </c>
      <c r="B628" s="18"/>
    </row>
    <row r="629" spans="1:6" ht="33.75" thickBot="1" x14ac:dyDescent="0.35">
      <c r="A629" s="12" t="s">
        <v>141</v>
      </c>
      <c r="B629" s="2" t="s">
        <v>142</v>
      </c>
    </row>
    <row r="630" spans="1:6" ht="25.5" x14ac:dyDescent="0.3">
      <c r="A630" s="13" t="s">
        <v>143</v>
      </c>
      <c r="B630" s="2" t="s">
        <v>144</v>
      </c>
    </row>
    <row r="631" spans="1:6" ht="17.25" thickBot="1" x14ac:dyDescent="0.35"/>
    <row r="632" spans="1:6" ht="16.5" customHeight="1" x14ac:dyDescent="0.3">
      <c r="A632" s="16" t="s">
        <v>238</v>
      </c>
      <c r="B632" s="18"/>
      <c r="C632" s="18"/>
      <c r="D632" s="18"/>
      <c r="E632" s="18"/>
      <c r="F632" s="18"/>
    </row>
    <row r="633" spans="1:6" ht="16.5" customHeight="1" x14ac:dyDescent="0.3">
      <c r="A633" s="17" t="s">
        <v>239</v>
      </c>
      <c r="B633" s="19" t="s">
        <v>94</v>
      </c>
      <c r="C633" s="19" t="s">
        <v>240</v>
      </c>
      <c r="D633" s="3" t="s">
        <v>241</v>
      </c>
      <c r="E633" s="19" t="s">
        <v>243</v>
      </c>
      <c r="F633" s="19"/>
    </row>
    <row r="634" spans="1:6" x14ac:dyDescent="0.3">
      <c r="A634" s="17"/>
      <c r="B634" s="19"/>
      <c r="C634" s="19"/>
      <c r="D634" s="3" t="s">
        <v>242</v>
      </c>
      <c r="E634" s="19"/>
      <c r="F634" s="19"/>
    </row>
    <row r="635" spans="1:6" x14ac:dyDescent="0.3">
      <c r="A635" s="13" t="s">
        <v>116</v>
      </c>
      <c r="B635" s="2">
        <v>23222</v>
      </c>
      <c r="C635" s="2">
        <v>0.29750300000000002</v>
      </c>
      <c r="D635" s="2">
        <v>2.7789999999999998E-3</v>
      </c>
      <c r="E635" s="2">
        <v>0.29205375</v>
      </c>
      <c r="F635" s="2">
        <v>0.30295137999999999</v>
      </c>
    </row>
    <row r="639" spans="1:6" x14ac:dyDescent="0.3">
      <c r="A639" s="1" t="s">
        <v>237</v>
      </c>
    </row>
    <row r="641" spans="1:7" x14ac:dyDescent="0.3">
      <c r="A641" s="1" t="s">
        <v>1</v>
      </c>
    </row>
    <row r="642" spans="1:7" ht="17.25" thickBot="1" x14ac:dyDescent="0.35"/>
    <row r="643" spans="1:7" ht="16.5" customHeight="1" x14ac:dyDescent="0.3">
      <c r="A643" s="16" t="s">
        <v>275</v>
      </c>
      <c r="B643" s="18"/>
      <c r="C643" s="18"/>
      <c r="D643" s="18"/>
      <c r="E643" s="18"/>
      <c r="F643" s="18"/>
      <c r="G643" s="18"/>
    </row>
    <row r="644" spans="1:7" ht="16.5" customHeight="1" x14ac:dyDescent="0.3">
      <c r="A644" s="17" t="s">
        <v>14</v>
      </c>
      <c r="B644" s="19" t="s">
        <v>239</v>
      </c>
      <c r="C644" s="19" t="s">
        <v>94</v>
      </c>
      <c r="D644" s="19" t="s">
        <v>240</v>
      </c>
      <c r="E644" s="3" t="s">
        <v>241</v>
      </c>
      <c r="F644" s="19" t="s">
        <v>243</v>
      </c>
      <c r="G644" s="19"/>
    </row>
    <row r="645" spans="1:7" x14ac:dyDescent="0.3">
      <c r="A645" s="17"/>
      <c r="B645" s="19"/>
      <c r="C645" s="19"/>
      <c r="D645" s="19"/>
      <c r="E645" s="3" t="s">
        <v>242</v>
      </c>
      <c r="F645" s="19"/>
      <c r="G645" s="19"/>
    </row>
    <row r="646" spans="1:7" ht="17.25" thickBot="1" x14ac:dyDescent="0.35">
      <c r="A646" s="6">
        <v>1</v>
      </c>
      <c r="B646" s="11" t="s">
        <v>116</v>
      </c>
      <c r="C646" s="2">
        <v>2801</v>
      </c>
      <c r="D646" s="2">
        <v>0.27865600000000001</v>
      </c>
      <c r="E646" s="2">
        <v>6.6839999999999998E-3</v>
      </c>
      <c r="F646" s="2">
        <v>0.26554902000000002</v>
      </c>
      <c r="G646" s="2">
        <v>0.29176248999999999</v>
      </c>
    </row>
    <row r="647" spans="1:7" ht="17.25" thickBot="1" x14ac:dyDescent="0.35">
      <c r="A647" s="6">
        <v>2</v>
      </c>
      <c r="B647" s="11" t="s">
        <v>116</v>
      </c>
      <c r="C647" s="2">
        <v>1799</v>
      </c>
      <c r="D647" s="2">
        <v>0.30906299999999998</v>
      </c>
      <c r="E647" s="2">
        <v>8.5179999999999995E-3</v>
      </c>
      <c r="F647" s="2">
        <v>0.29236043</v>
      </c>
      <c r="G647" s="2">
        <v>0.32576526</v>
      </c>
    </row>
    <row r="648" spans="1:7" ht="17.25" thickBot="1" x14ac:dyDescent="0.35">
      <c r="A648" s="6">
        <v>3</v>
      </c>
      <c r="B648" s="11" t="s">
        <v>116</v>
      </c>
      <c r="C648" s="2">
        <v>1101</v>
      </c>
      <c r="D648" s="2">
        <v>0.44401499999999999</v>
      </c>
      <c r="E648" s="2">
        <v>1.3236E-2</v>
      </c>
      <c r="F648" s="2">
        <v>0.41806232999999998</v>
      </c>
      <c r="G648" s="2">
        <v>0.46996784000000003</v>
      </c>
    </row>
    <row r="649" spans="1:7" x14ac:dyDescent="0.3">
      <c r="A649" s="6">
        <v>8</v>
      </c>
      <c r="B649" s="14" t="s">
        <v>116</v>
      </c>
      <c r="C649" s="2">
        <v>17521</v>
      </c>
      <c r="D649" s="2">
        <v>0.28619800000000001</v>
      </c>
      <c r="E649" s="2">
        <v>3.0200000000000001E-3</v>
      </c>
      <c r="F649" s="2">
        <v>0.28027643000000002</v>
      </c>
      <c r="G649" s="2">
        <v>0.29212022999999998</v>
      </c>
    </row>
    <row r="653" spans="1:7" x14ac:dyDescent="0.3">
      <c r="A653" s="1" t="s">
        <v>237</v>
      </c>
    </row>
    <row r="655" spans="1:7" x14ac:dyDescent="0.3">
      <c r="A655" s="1" t="s">
        <v>21</v>
      </c>
    </row>
    <row r="656" spans="1:7" ht="17.25" thickBot="1" x14ac:dyDescent="0.35"/>
    <row r="657" spans="1:6" ht="16.5" customHeight="1" x14ac:dyDescent="0.3">
      <c r="A657" s="16" t="s">
        <v>135</v>
      </c>
      <c r="B657" s="18"/>
    </row>
    <row r="658" spans="1:6" ht="26.25" thickBot="1" x14ac:dyDescent="0.35">
      <c r="A658" s="12" t="s">
        <v>136</v>
      </c>
      <c r="B658" s="2">
        <v>183</v>
      </c>
    </row>
    <row r="659" spans="1:6" ht="26.25" thickBot="1" x14ac:dyDescent="0.35">
      <c r="A659" s="12" t="s">
        <v>137</v>
      </c>
      <c r="B659" s="2">
        <v>2982</v>
      </c>
    </row>
    <row r="660" spans="1:6" ht="39" thickBot="1" x14ac:dyDescent="0.35">
      <c r="A660" s="12" t="s">
        <v>138</v>
      </c>
      <c r="B660" s="2">
        <v>68635</v>
      </c>
    </row>
    <row r="661" spans="1:6" ht="25.5" x14ac:dyDescent="0.3">
      <c r="A661" s="13" t="s">
        <v>139</v>
      </c>
      <c r="B661" s="2">
        <v>30251935.699999999</v>
      </c>
    </row>
    <row r="662" spans="1:6" ht="17.25" thickBot="1" x14ac:dyDescent="0.35"/>
    <row r="663" spans="1:6" ht="33" customHeight="1" x14ac:dyDescent="0.3">
      <c r="A663" s="16" t="s">
        <v>140</v>
      </c>
      <c r="B663" s="18"/>
    </row>
    <row r="664" spans="1:6" ht="33.75" thickBot="1" x14ac:dyDescent="0.35">
      <c r="A664" s="12" t="s">
        <v>141</v>
      </c>
      <c r="B664" s="2" t="s">
        <v>142</v>
      </c>
    </row>
    <row r="665" spans="1:6" ht="25.5" x14ac:dyDescent="0.3">
      <c r="A665" s="13" t="s">
        <v>143</v>
      </c>
      <c r="B665" s="2" t="s">
        <v>144</v>
      </c>
    </row>
    <row r="666" spans="1:6" ht="17.25" thickBot="1" x14ac:dyDescent="0.35"/>
    <row r="667" spans="1:6" ht="16.5" customHeight="1" x14ac:dyDescent="0.3">
      <c r="A667" s="16" t="s">
        <v>238</v>
      </c>
      <c r="B667" s="18"/>
      <c r="C667" s="18"/>
      <c r="D667" s="18"/>
      <c r="E667" s="18"/>
      <c r="F667" s="18"/>
    </row>
    <row r="668" spans="1:6" ht="16.5" customHeight="1" x14ac:dyDescent="0.3">
      <c r="A668" s="17" t="s">
        <v>239</v>
      </c>
      <c r="B668" s="19" t="s">
        <v>94</v>
      </c>
      <c r="C668" s="19" t="s">
        <v>240</v>
      </c>
      <c r="D668" s="3" t="s">
        <v>241</v>
      </c>
      <c r="E668" s="19" t="s">
        <v>243</v>
      </c>
      <c r="F668" s="19"/>
    </row>
    <row r="669" spans="1:6" x14ac:dyDescent="0.3">
      <c r="A669" s="17"/>
      <c r="B669" s="19"/>
      <c r="C669" s="19"/>
      <c r="D669" s="3" t="s">
        <v>242</v>
      </c>
      <c r="E669" s="19"/>
      <c r="F669" s="19"/>
    </row>
    <row r="670" spans="1:6" x14ac:dyDescent="0.3">
      <c r="A670" s="13" t="s">
        <v>116</v>
      </c>
      <c r="B670" s="2">
        <v>68635</v>
      </c>
      <c r="C670" s="2">
        <v>0.34523599999999999</v>
      </c>
      <c r="D670" s="2">
        <v>1.6490000000000001E-3</v>
      </c>
      <c r="E670" s="2">
        <v>0.34200205</v>
      </c>
      <c r="F670" s="2">
        <v>0.34847033999999999</v>
      </c>
    </row>
    <row r="674" spans="1:9" x14ac:dyDescent="0.3">
      <c r="A674" s="1" t="s">
        <v>237</v>
      </c>
    </row>
    <row r="676" spans="1:9" x14ac:dyDescent="0.3">
      <c r="A676" s="1" t="s">
        <v>21</v>
      </c>
    </row>
    <row r="677" spans="1:9" ht="17.25" thickBot="1" x14ac:dyDescent="0.35"/>
    <row r="678" spans="1:9" ht="16.5" customHeight="1" x14ac:dyDescent="0.3">
      <c r="A678" s="16" t="s">
        <v>275</v>
      </c>
      <c r="B678" s="18"/>
      <c r="C678" s="18"/>
      <c r="D678" s="18"/>
      <c r="E678" s="18"/>
      <c r="F678" s="18"/>
      <c r="G678" s="18"/>
    </row>
    <row r="679" spans="1:9" ht="16.5" customHeight="1" x14ac:dyDescent="0.3">
      <c r="A679" s="17" t="s">
        <v>14</v>
      </c>
      <c r="B679" s="19" t="s">
        <v>239</v>
      </c>
      <c r="C679" s="19" t="s">
        <v>94</v>
      </c>
      <c r="D679" s="19" t="s">
        <v>240</v>
      </c>
      <c r="E679" s="3" t="s">
        <v>241</v>
      </c>
      <c r="F679" s="19" t="s">
        <v>243</v>
      </c>
      <c r="G679" s="19"/>
    </row>
    <row r="680" spans="1:9" x14ac:dyDescent="0.3">
      <c r="A680" s="17"/>
      <c r="B680" s="19"/>
      <c r="C680" s="19"/>
      <c r="D680" s="19"/>
      <c r="E680" s="3" t="s">
        <v>242</v>
      </c>
      <c r="F680" s="19"/>
      <c r="G680" s="19"/>
    </row>
    <row r="681" spans="1:9" ht="17.25" thickBot="1" x14ac:dyDescent="0.35">
      <c r="A681" s="6">
        <v>1</v>
      </c>
      <c r="B681" s="11" t="s">
        <v>116</v>
      </c>
      <c r="C681" s="2">
        <v>26908</v>
      </c>
      <c r="D681" s="2">
        <v>0.32055400000000001</v>
      </c>
      <c r="E681" s="2">
        <v>2.444E-3</v>
      </c>
      <c r="F681" s="2">
        <v>0.31576268000000002</v>
      </c>
      <c r="G681" s="2">
        <v>0.32534565999999998</v>
      </c>
      <c r="I681" t="str">
        <f t="shared" ref="I681:I683" si="9">TEXT(D681,"0.00")&amp;" ("&amp;TEXT(F681,"0.00")&amp;" to "&amp;TEXT(G681,"0.00")&amp;")"</f>
        <v>0.32 (0.32 to 0.33)</v>
      </c>
    </row>
    <row r="682" spans="1:9" ht="17.25" thickBot="1" x14ac:dyDescent="0.35">
      <c r="A682" s="6">
        <v>2</v>
      </c>
      <c r="B682" s="11" t="s">
        <v>116</v>
      </c>
      <c r="C682" s="2">
        <v>24999</v>
      </c>
      <c r="D682" s="2">
        <v>0.32277600000000001</v>
      </c>
      <c r="E682" s="2">
        <v>2.5110000000000002E-3</v>
      </c>
      <c r="F682" s="2">
        <v>0.31785356999999997</v>
      </c>
      <c r="G682" s="2">
        <v>0.32769943000000001</v>
      </c>
      <c r="I682" t="str">
        <f t="shared" si="9"/>
        <v>0.32 (0.32 to 0.33)</v>
      </c>
    </row>
    <row r="683" spans="1:9" x14ac:dyDescent="0.3">
      <c r="A683" s="6">
        <v>3</v>
      </c>
      <c r="B683" s="14" t="s">
        <v>116</v>
      </c>
      <c r="C683" s="2">
        <v>16728</v>
      </c>
      <c r="D683" s="2">
        <v>0.41326600000000002</v>
      </c>
      <c r="E683" s="2">
        <v>3.2950000000000002E-3</v>
      </c>
      <c r="F683" s="2">
        <v>0.40680593999999998</v>
      </c>
      <c r="G683" s="2">
        <v>0.41972679000000002</v>
      </c>
      <c r="I683" t="str">
        <f t="shared" si="9"/>
        <v>0.41 (0.41 to 0.42)</v>
      </c>
    </row>
    <row r="687" spans="1:9" x14ac:dyDescent="0.3">
      <c r="A687" s="1" t="s">
        <v>237</v>
      </c>
    </row>
    <row r="689" spans="1:6" x14ac:dyDescent="0.3">
      <c r="A689" s="1" t="s">
        <v>1</v>
      </c>
    </row>
    <row r="690" spans="1:6" ht="17.25" thickBot="1" x14ac:dyDescent="0.35"/>
    <row r="691" spans="1:6" ht="16.5" customHeight="1" x14ac:dyDescent="0.3">
      <c r="A691" s="16" t="s">
        <v>135</v>
      </c>
      <c r="B691" s="18"/>
    </row>
    <row r="692" spans="1:6" ht="26.25" thickBot="1" x14ac:dyDescent="0.35">
      <c r="A692" s="12" t="s">
        <v>136</v>
      </c>
      <c r="B692" s="2">
        <v>183</v>
      </c>
    </row>
    <row r="693" spans="1:6" ht="26.25" thickBot="1" x14ac:dyDescent="0.35">
      <c r="A693" s="12" t="s">
        <v>137</v>
      </c>
      <c r="B693" s="2">
        <v>2949</v>
      </c>
    </row>
    <row r="694" spans="1:6" ht="39" thickBot="1" x14ac:dyDescent="0.35">
      <c r="A694" s="12" t="s">
        <v>138</v>
      </c>
      <c r="B694" s="2">
        <v>23222</v>
      </c>
    </row>
    <row r="695" spans="1:6" ht="25.5" x14ac:dyDescent="0.3">
      <c r="A695" s="13" t="s">
        <v>139</v>
      </c>
      <c r="B695" s="2">
        <v>9036880.5199999996</v>
      </c>
    </row>
    <row r="696" spans="1:6" ht="17.25" thickBot="1" x14ac:dyDescent="0.35"/>
    <row r="697" spans="1:6" ht="33" customHeight="1" x14ac:dyDescent="0.3">
      <c r="A697" s="16" t="s">
        <v>140</v>
      </c>
      <c r="B697" s="18"/>
    </row>
    <row r="698" spans="1:6" ht="33.75" thickBot="1" x14ac:dyDescent="0.35">
      <c r="A698" s="12" t="s">
        <v>141</v>
      </c>
      <c r="B698" s="2" t="s">
        <v>142</v>
      </c>
    </row>
    <row r="699" spans="1:6" ht="25.5" x14ac:dyDescent="0.3">
      <c r="A699" s="13" t="s">
        <v>143</v>
      </c>
      <c r="B699" s="2" t="s">
        <v>144</v>
      </c>
    </row>
    <row r="700" spans="1:6" ht="17.25" thickBot="1" x14ac:dyDescent="0.35"/>
    <row r="701" spans="1:6" ht="16.5" customHeight="1" x14ac:dyDescent="0.3">
      <c r="A701" s="16" t="s">
        <v>238</v>
      </c>
      <c r="B701" s="18"/>
      <c r="C701" s="18"/>
      <c r="D701" s="18"/>
      <c r="E701" s="18"/>
      <c r="F701" s="18"/>
    </row>
    <row r="702" spans="1:6" ht="16.5" customHeight="1" x14ac:dyDescent="0.3">
      <c r="A702" s="17" t="s">
        <v>239</v>
      </c>
      <c r="B702" s="19" t="s">
        <v>94</v>
      </c>
      <c r="C702" s="19" t="s">
        <v>240</v>
      </c>
      <c r="D702" s="3" t="s">
        <v>241</v>
      </c>
      <c r="E702" s="19" t="s">
        <v>243</v>
      </c>
      <c r="F702" s="19"/>
    </row>
    <row r="703" spans="1:6" x14ac:dyDescent="0.3">
      <c r="A703" s="17"/>
      <c r="B703" s="19"/>
      <c r="C703" s="19"/>
      <c r="D703" s="3" t="s">
        <v>242</v>
      </c>
      <c r="E703" s="19"/>
      <c r="F703" s="19"/>
    </row>
    <row r="704" spans="1:6" x14ac:dyDescent="0.3">
      <c r="A704" s="13" t="s">
        <v>116</v>
      </c>
      <c r="B704" s="2">
        <v>23222</v>
      </c>
      <c r="C704" s="2">
        <v>0.29750300000000002</v>
      </c>
      <c r="D704" s="2">
        <v>2.7789999999999998E-3</v>
      </c>
      <c r="E704" s="2">
        <v>0.29205375</v>
      </c>
      <c r="F704" s="2">
        <v>0.30295137999999999</v>
      </c>
    </row>
    <row r="708" spans="1:7" x14ac:dyDescent="0.3">
      <c r="A708" s="1" t="s">
        <v>237</v>
      </c>
    </row>
    <row r="710" spans="1:7" x14ac:dyDescent="0.3">
      <c r="A710" s="1" t="s">
        <v>1</v>
      </c>
    </row>
    <row r="711" spans="1:7" ht="17.25" thickBot="1" x14ac:dyDescent="0.35"/>
    <row r="712" spans="1:7" ht="16.5" customHeight="1" x14ac:dyDescent="0.3">
      <c r="A712" s="16" t="s">
        <v>276</v>
      </c>
      <c r="B712" s="18"/>
      <c r="C712" s="18"/>
      <c r="D712" s="18"/>
      <c r="E712" s="18"/>
      <c r="F712" s="18"/>
      <c r="G712" s="18"/>
    </row>
    <row r="713" spans="1:7" ht="16.5" customHeight="1" x14ac:dyDescent="0.3">
      <c r="A713" s="17" t="s">
        <v>15</v>
      </c>
      <c r="B713" s="19" t="s">
        <v>239</v>
      </c>
      <c r="C713" s="19" t="s">
        <v>94</v>
      </c>
      <c r="D713" s="19" t="s">
        <v>240</v>
      </c>
      <c r="E713" s="3" t="s">
        <v>241</v>
      </c>
      <c r="F713" s="19" t="s">
        <v>243</v>
      </c>
      <c r="G713" s="19"/>
    </row>
    <row r="714" spans="1:7" x14ac:dyDescent="0.3">
      <c r="A714" s="17"/>
      <c r="B714" s="19"/>
      <c r="C714" s="19"/>
      <c r="D714" s="19"/>
      <c r="E714" s="3" t="s">
        <v>242</v>
      </c>
      <c r="F714" s="19"/>
      <c r="G714" s="19"/>
    </row>
    <row r="715" spans="1:7" ht="17.25" thickBot="1" x14ac:dyDescent="0.35">
      <c r="A715" s="6">
        <v>0</v>
      </c>
      <c r="B715" s="11" t="s">
        <v>116</v>
      </c>
      <c r="C715" s="2">
        <v>12250</v>
      </c>
      <c r="D715" s="2">
        <v>0.35478199999999999</v>
      </c>
      <c r="E715" s="2">
        <v>3.545E-3</v>
      </c>
      <c r="F715" s="2">
        <v>0.34782997999999998</v>
      </c>
      <c r="G715" s="2">
        <v>0.36173392999999998</v>
      </c>
    </row>
    <row r="716" spans="1:7" ht="17.25" thickBot="1" x14ac:dyDescent="0.35">
      <c r="A716" s="6">
        <v>1</v>
      </c>
      <c r="B716" s="11" t="s">
        <v>116</v>
      </c>
      <c r="C716" s="2">
        <v>1783</v>
      </c>
      <c r="D716" s="2">
        <v>0.49273099999999997</v>
      </c>
      <c r="E716" s="2">
        <v>9.8639999999999995E-3</v>
      </c>
      <c r="F716" s="2">
        <v>0.47338980000000003</v>
      </c>
      <c r="G716" s="2">
        <v>0.51207228999999999</v>
      </c>
    </row>
    <row r="717" spans="1:7" x14ac:dyDescent="0.3">
      <c r="A717" s="6">
        <v>8</v>
      </c>
      <c r="B717" s="14" t="s">
        <v>116</v>
      </c>
      <c r="C717" s="2">
        <v>9189</v>
      </c>
      <c r="D717" s="2">
        <v>0.19179499999999999</v>
      </c>
      <c r="E717" s="2">
        <v>3.702E-3</v>
      </c>
      <c r="F717" s="2">
        <v>0.18453613999999999</v>
      </c>
      <c r="G717" s="2">
        <v>0.19905352000000001</v>
      </c>
    </row>
    <row r="721" spans="1:6" x14ac:dyDescent="0.3">
      <c r="A721" s="1" t="s">
        <v>237</v>
      </c>
    </row>
    <row r="723" spans="1:6" x14ac:dyDescent="0.3">
      <c r="A723" s="1" t="s">
        <v>21</v>
      </c>
    </row>
    <row r="724" spans="1:6" ht="17.25" thickBot="1" x14ac:dyDescent="0.35"/>
    <row r="725" spans="1:6" ht="16.5" customHeight="1" x14ac:dyDescent="0.3">
      <c r="A725" s="16" t="s">
        <v>135</v>
      </c>
      <c r="B725" s="18"/>
    </row>
    <row r="726" spans="1:6" ht="26.25" thickBot="1" x14ac:dyDescent="0.35">
      <c r="A726" s="12" t="s">
        <v>136</v>
      </c>
      <c r="B726" s="2">
        <v>183</v>
      </c>
    </row>
    <row r="727" spans="1:6" ht="26.25" thickBot="1" x14ac:dyDescent="0.35">
      <c r="A727" s="12" t="s">
        <v>137</v>
      </c>
      <c r="B727" s="2">
        <v>2982</v>
      </c>
    </row>
    <row r="728" spans="1:6" ht="39" thickBot="1" x14ac:dyDescent="0.35">
      <c r="A728" s="12" t="s">
        <v>138</v>
      </c>
      <c r="B728" s="2">
        <v>68635</v>
      </c>
    </row>
    <row r="729" spans="1:6" ht="25.5" x14ac:dyDescent="0.3">
      <c r="A729" s="13" t="s">
        <v>139</v>
      </c>
      <c r="B729" s="2">
        <v>30251935.699999999</v>
      </c>
    </row>
    <row r="730" spans="1:6" ht="17.25" thickBot="1" x14ac:dyDescent="0.35"/>
    <row r="731" spans="1:6" ht="33" customHeight="1" x14ac:dyDescent="0.3">
      <c r="A731" s="16" t="s">
        <v>140</v>
      </c>
      <c r="B731" s="18"/>
    </row>
    <row r="732" spans="1:6" ht="33.75" thickBot="1" x14ac:dyDescent="0.35">
      <c r="A732" s="12" t="s">
        <v>141</v>
      </c>
      <c r="B732" s="2" t="s">
        <v>142</v>
      </c>
    </row>
    <row r="733" spans="1:6" ht="25.5" x14ac:dyDescent="0.3">
      <c r="A733" s="13" t="s">
        <v>143</v>
      </c>
      <c r="B733" s="2" t="s">
        <v>144</v>
      </c>
    </row>
    <row r="734" spans="1:6" ht="17.25" thickBot="1" x14ac:dyDescent="0.35"/>
    <row r="735" spans="1:6" ht="16.5" customHeight="1" x14ac:dyDescent="0.3">
      <c r="A735" s="16" t="s">
        <v>238</v>
      </c>
      <c r="B735" s="18"/>
      <c r="C735" s="18"/>
      <c r="D735" s="18"/>
      <c r="E735" s="18"/>
      <c r="F735" s="18"/>
    </row>
    <row r="736" spans="1:6" ht="16.5" customHeight="1" x14ac:dyDescent="0.3">
      <c r="A736" s="17" t="s">
        <v>239</v>
      </c>
      <c r="B736" s="19" t="s">
        <v>94</v>
      </c>
      <c r="C736" s="19" t="s">
        <v>240</v>
      </c>
      <c r="D736" s="3" t="s">
        <v>241</v>
      </c>
      <c r="E736" s="19" t="s">
        <v>243</v>
      </c>
      <c r="F736" s="19"/>
    </row>
    <row r="737" spans="1:9" x14ac:dyDescent="0.3">
      <c r="A737" s="17"/>
      <c r="B737" s="19"/>
      <c r="C737" s="19"/>
      <c r="D737" s="3" t="s">
        <v>242</v>
      </c>
      <c r="E737" s="19"/>
      <c r="F737" s="19"/>
    </row>
    <row r="738" spans="1:9" x14ac:dyDescent="0.3">
      <c r="A738" s="13" t="s">
        <v>116</v>
      </c>
      <c r="B738" s="2">
        <v>68635</v>
      </c>
      <c r="C738" s="2">
        <v>0.34523599999999999</v>
      </c>
      <c r="D738" s="2">
        <v>1.6490000000000001E-3</v>
      </c>
      <c r="E738" s="2">
        <v>0.34200205</v>
      </c>
      <c r="F738" s="2">
        <v>0.34847033999999999</v>
      </c>
    </row>
    <row r="742" spans="1:9" x14ac:dyDescent="0.3">
      <c r="A742" s="1" t="s">
        <v>237</v>
      </c>
    </row>
    <row r="744" spans="1:9" x14ac:dyDescent="0.3">
      <c r="A744" s="1" t="s">
        <v>21</v>
      </c>
    </row>
    <row r="745" spans="1:9" ht="17.25" thickBot="1" x14ac:dyDescent="0.35"/>
    <row r="746" spans="1:9" ht="16.5" customHeight="1" x14ac:dyDescent="0.3">
      <c r="A746" s="16" t="s">
        <v>276</v>
      </c>
      <c r="B746" s="18"/>
      <c r="C746" s="18"/>
      <c r="D746" s="18"/>
      <c r="E746" s="18"/>
      <c r="F746" s="18"/>
      <c r="G746" s="18"/>
    </row>
    <row r="747" spans="1:9" ht="16.5" customHeight="1" x14ac:dyDescent="0.3">
      <c r="A747" s="17" t="s">
        <v>15</v>
      </c>
      <c r="B747" s="19" t="s">
        <v>239</v>
      </c>
      <c r="C747" s="19" t="s">
        <v>94</v>
      </c>
      <c r="D747" s="19" t="s">
        <v>240</v>
      </c>
      <c r="E747" s="3" t="s">
        <v>241</v>
      </c>
      <c r="F747" s="19" t="s">
        <v>243</v>
      </c>
      <c r="G747" s="19"/>
    </row>
    <row r="748" spans="1:9" x14ac:dyDescent="0.3">
      <c r="A748" s="17"/>
      <c r="B748" s="19"/>
      <c r="C748" s="19"/>
      <c r="D748" s="19"/>
      <c r="E748" s="3" t="s">
        <v>242</v>
      </c>
      <c r="F748" s="19"/>
      <c r="G748" s="19"/>
    </row>
    <row r="749" spans="1:9" ht="17.25" thickBot="1" x14ac:dyDescent="0.35">
      <c r="A749" s="6">
        <v>0</v>
      </c>
      <c r="B749" s="11" t="s">
        <v>116</v>
      </c>
      <c r="C749" s="2">
        <v>52064</v>
      </c>
      <c r="D749" s="2">
        <v>0.29988700000000001</v>
      </c>
      <c r="E749" s="2">
        <v>1.8140000000000001E-3</v>
      </c>
      <c r="F749" s="2">
        <v>0.29633037000000001</v>
      </c>
      <c r="G749" s="2">
        <v>0.30344342000000002</v>
      </c>
      <c r="I749" t="str">
        <f t="shared" ref="I749:I750" si="10">TEXT(D749,"0.00")&amp;" ("&amp;TEXT(F749,"0.00")&amp;" to "&amp;TEXT(G749,"0.00")&amp;")"</f>
        <v>0.30 (0.30 to 0.30)</v>
      </c>
    </row>
    <row r="750" spans="1:9" x14ac:dyDescent="0.3">
      <c r="A750" s="6">
        <v>1</v>
      </c>
      <c r="B750" s="14" t="s">
        <v>116</v>
      </c>
      <c r="C750" s="2">
        <v>16571</v>
      </c>
      <c r="D750" s="2">
        <v>0.467524</v>
      </c>
      <c r="E750" s="2">
        <v>3.0170000000000002E-3</v>
      </c>
      <c r="F750" s="2">
        <v>0.46160800000000002</v>
      </c>
      <c r="G750" s="2">
        <v>0.47344005</v>
      </c>
      <c r="I750" t="str">
        <f t="shared" si="10"/>
        <v>0.47 (0.46 to 0.47)</v>
      </c>
    </row>
    <row r="754" spans="1:6" x14ac:dyDescent="0.3">
      <c r="A754" s="1" t="s">
        <v>237</v>
      </c>
    </row>
    <row r="756" spans="1:6" x14ac:dyDescent="0.3">
      <c r="A756" s="1" t="s">
        <v>1</v>
      </c>
    </row>
    <row r="757" spans="1:6" ht="17.25" thickBot="1" x14ac:dyDescent="0.35"/>
    <row r="758" spans="1:6" ht="16.5" customHeight="1" x14ac:dyDescent="0.3">
      <c r="A758" s="16" t="s">
        <v>135</v>
      </c>
      <c r="B758" s="18"/>
    </row>
    <row r="759" spans="1:6" ht="26.25" thickBot="1" x14ac:dyDescent="0.35">
      <c r="A759" s="12" t="s">
        <v>136</v>
      </c>
      <c r="B759" s="2">
        <v>183</v>
      </c>
    </row>
    <row r="760" spans="1:6" ht="26.25" thickBot="1" x14ac:dyDescent="0.35">
      <c r="A760" s="12" t="s">
        <v>137</v>
      </c>
      <c r="B760" s="2">
        <v>2949</v>
      </c>
    </row>
    <row r="761" spans="1:6" ht="39" thickBot="1" x14ac:dyDescent="0.35">
      <c r="A761" s="12" t="s">
        <v>138</v>
      </c>
      <c r="B761" s="2">
        <v>23222</v>
      </c>
    </row>
    <row r="762" spans="1:6" ht="25.5" x14ac:dyDescent="0.3">
      <c r="A762" s="13" t="s">
        <v>139</v>
      </c>
      <c r="B762" s="2">
        <v>9036880.5199999996</v>
      </c>
    </row>
    <row r="763" spans="1:6" ht="17.25" thickBot="1" x14ac:dyDescent="0.35"/>
    <row r="764" spans="1:6" ht="33" customHeight="1" x14ac:dyDescent="0.3">
      <c r="A764" s="16" t="s">
        <v>140</v>
      </c>
      <c r="B764" s="18"/>
    </row>
    <row r="765" spans="1:6" ht="33.75" thickBot="1" x14ac:dyDescent="0.35">
      <c r="A765" s="12" t="s">
        <v>141</v>
      </c>
      <c r="B765" s="2" t="s">
        <v>142</v>
      </c>
    </row>
    <row r="766" spans="1:6" ht="25.5" x14ac:dyDescent="0.3">
      <c r="A766" s="13" t="s">
        <v>143</v>
      </c>
      <c r="B766" s="2" t="s">
        <v>144</v>
      </c>
    </row>
    <row r="767" spans="1:6" ht="17.25" thickBot="1" x14ac:dyDescent="0.35"/>
    <row r="768" spans="1:6" ht="16.5" customHeight="1" x14ac:dyDescent="0.3">
      <c r="A768" s="16" t="s">
        <v>238</v>
      </c>
      <c r="B768" s="18"/>
      <c r="C768" s="18"/>
      <c r="D768" s="18"/>
      <c r="E768" s="18"/>
      <c r="F768" s="18"/>
    </row>
    <row r="769" spans="1:7" ht="16.5" customHeight="1" x14ac:dyDescent="0.3">
      <c r="A769" s="17" t="s">
        <v>239</v>
      </c>
      <c r="B769" s="19" t="s">
        <v>94</v>
      </c>
      <c r="C769" s="19" t="s">
        <v>240</v>
      </c>
      <c r="D769" s="3" t="s">
        <v>241</v>
      </c>
      <c r="E769" s="19" t="s">
        <v>243</v>
      </c>
      <c r="F769" s="19"/>
    </row>
    <row r="770" spans="1:7" x14ac:dyDescent="0.3">
      <c r="A770" s="17"/>
      <c r="B770" s="19"/>
      <c r="C770" s="19"/>
      <c r="D770" s="3" t="s">
        <v>242</v>
      </c>
      <c r="E770" s="19"/>
      <c r="F770" s="19"/>
    </row>
    <row r="771" spans="1:7" x14ac:dyDescent="0.3">
      <c r="A771" s="13" t="s">
        <v>116</v>
      </c>
      <c r="B771" s="2">
        <v>23222</v>
      </c>
      <c r="C771" s="2">
        <v>0.29750300000000002</v>
      </c>
      <c r="D771" s="2">
        <v>2.7789999999999998E-3</v>
      </c>
      <c r="E771" s="2">
        <v>0.29205375</v>
      </c>
      <c r="F771" s="2">
        <v>0.30295137999999999</v>
      </c>
    </row>
    <row r="775" spans="1:7" x14ac:dyDescent="0.3">
      <c r="A775" s="1" t="s">
        <v>237</v>
      </c>
    </row>
    <row r="777" spans="1:7" x14ac:dyDescent="0.3">
      <c r="A777" s="1" t="s">
        <v>1</v>
      </c>
    </row>
    <row r="778" spans="1:7" ht="17.25" thickBot="1" x14ac:dyDescent="0.35"/>
    <row r="779" spans="1:7" ht="16.5" customHeight="1" x14ac:dyDescent="0.3">
      <c r="A779" s="16" t="s">
        <v>277</v>
      </c>
      <c r="B779" s="18"/>
      <c r="C779" s="18"/>
      <c r="D779" s="18"/>
      <c r="E779" s="18"/>
      <c r="F779" s="18"/>
      <c r="G779" s="18"/>
    </row>
    <row r="780" spans="1:7" ht="16.5" customHeight="1" x14ac:dyDescent="0.3">
      <c r="A780" s="17" t="s">
        <v>16</v>
      </c>
      <c r="B780" s="19" t="s">
        <v>239</v>
      </c>
      <c r="C780" s="19" t="s">
        <v>94</v>
      </c>
      <c r="D780" s="19" t="s">
        <v>240</v>
      </c>
      <c r="E780" s="3" t="s">
        <v>241</v>
      </c>
      <c r="F780" s="19" t="s">
        <v>243</v>
      </c>
      <c r="G780" s="19"/>
    </row>
    <row r="781" spans="1:7" x14ac:dyDescent="0.3">
      <c r="A781" s="17"/>
      <c r="B781" s="19"/>
      <c r="C781" s="19"/>
      <c r="D781" s="19"/>
      <c r="E781" s="3" t="s">
        <v>242</v>
      </c>
      <c r="F781" s="19"/>
      <c r="G781" s="19"/>
    </row>
    <row r="782" spans="1:7" ht="17.25" thickBot="1" x14ac:dyDescent="0.35">
      <c r="A782" s="6">
        <v>0</v>
      </c>
      <c r="B782" s="11" t="s">
        <v>116</v>
      </c>
      <c r="C782" s="2">
        <v>17685</v>
      </c>
      <c r="D782" s="2">
        <v>0.266042</v>
      </c>
      <c r="E782" s="2">
        <v>3.0439999999999998E-3</v>
      </c>
      <c r="F782" s="2">
        <v>0.26007216</v>
      </c>
      <c r="G782" s="2">
        <v>0.27201092999999998</v>
      </c>
    </row>
    <row r="783" spans="1:7" ht="17.25" thickBot="1" x14ac:dyDescent="0.35">
      <c r="A783" s="6">
        <v>1</v>
      </c>
      <c r="B783" s="11" t="s">
        <v>116</v>
      </c>
      <c r="C783" s="2">
        <v>4929</v>
      </c>
      <c r="D783" s="2">
        <v>0.43695499999999998</v>
      </c>
      <c r="E783" s="2">
        <v>5.2909999999999997E-3</v>
      </c>
      <c r="F783" s="2">
        <v>0.42657992</v>
      </c>
      <c r="G783" s="2">
        <v>0.44733022</v>
      </c>
    </row>
    <row r="784" spans="1:7" x14ac:dyDescent="0.3">
      <c r="A784" s="6">
        <v>8</v>
      </c>
      <c r="B784" s="14" t="s">
        <v>116</v>
      </c>
      <c r="C784" s="2">
        <v>608</v>
      </c>
      <c r="D784" s="2">
        <v>0.36455599999999999</v>
      </c>
      <c r="E784" s="2">
        <v>1.7725000000000001E-2</v>
      </c>
      <c r="F784" s="2">
        <v>0.32980029999999999</v>
      </c>
      <c r="G784" s="2">
        <v>0.39931154000000002</v>
      </c>
    </row>
    <row r="788" spans="1:2" x14ac:dyDescent="0.3">
      <c r="A788" s="1" t="s">
        <v>237</v>
      </c>
    </row>
    <row r="790" spans="1:2" x14ac:dyDescent="0.3">
      <c r="A790" s="1" t="s">
        <v>21</v>
      </c>
    </row>
    <row r="791" spans="1:2" ht="17.25" thickBot="1" x14ac:dyDescent="0.35"/>
    <row r="792" spans="1:2" ht="16.5" customHeight="1" x14ac:dyDescent="0.3">
      <c r="A792" s="16" t="s">
        <v>135</v>
      </c>
      <c r="B792" s="18"/>
    </row>
    <row r="793" spans="1:2" ht="26.25" thickBot="1" x14ac:dyDescent="0.35">
      <c r="A793" s="12" t="s">
        <v>136</v>
      </c>
      <c r="B793" s="2">
        <v>183</v>
      </c>
    </row>
    <row r="794" spans="1:2" ht="26.25" thickBot="1" x14ac:dyDescent="0.35">
      <c r="A794" s="12" t="s">
        <v>137</v>
      </c>
      <c r="B794" s="2">
        <v>2982</v>
      </c>
    </row>
    <row r="795" spans="1:2" ht="39" thickBot="1" x14ac:dyDescent="0.35">
      <c r="A795" s="12" t="s">
        <v>138</v>
      </c>
      <c r="B795" s="2">
        <v>68635</v>
      </c>
    </row>
    <row r="796" spans="1:2" ht="25.5" x14ac:dyDescent="0.3">
      <c r="A796" s="13" t="s">
        <v>139</v>
      </c>
      <c r="B796" s="2">
        <v>30251935.699999999</v>
      </c>
    </row>
    <row r="797" spans="1:2" ht="17.25" thickBot="1" x14ac:dyDescent="0.35"/>
    <row r="798" spans="1:2" ht="33" customHeight="1" x14ac:dyDescent="0.3">
      <c r="A798" s="16" t="s">
        <v>140</v>
      </c>
      <c r="B798" s="18"/>
    </row>
    <row r="799" spans="1:2" ht="33.75" thickBot="1" x14ac:dyDescent="0.35">
      <c r="A799" s="12" t="s">
        <v>141</v>
      </c>
      <c r="B799" s="2" t="s">
        <v>142</v>
      </c>
    </row>
    <row r="800" spans="1:2" ht="25.5" x14ac:dyDescent="0.3">
      <c r="A800" s="13" t="s">
        <v>143</v>
      </c>
      <c r="B800" s="2" t="s">
        <v>144</v>
      </c>
    </row>
    <row r="801" spans="1:9" ht="17.25" thickBot="1" x14ac:dyDescent="0.35"/>
    <row r="802" spans="1:9" ht="16.5" customHeight="1" x14ac:dyDescent="0.3">
      <c r="A802" s="16" t="s">
        <v>238</v>
      </c>
      <c r="B802" s="18"/>
      <c r="C802" s="18"/>
      <c r="D802" s="18"/>
      <c r="E802" s="18"/>
      <c r="F802" s="18"/>
    </row>
    <row r="803" spans="1:9" ht="16.5" customHeight="1" x14ac:dyDescent="0.3">
      <c r="A803" s="17" t="s">
        <v>239</v>
      </c>
      <c r="B803" s="19" t="s">
        <v>94</v>
      </c>
      <c r="C803" s="19" t="s">
        <v>240</v>
      </c>
      <c r="D803" s="3" t="s">
        <v>241</v>
      </c>
      <c r="E803" s="19" t="s">
        <v>243</v>
      </c>
      <c r="F803" s="19"/>
    </row>
    <row r="804" spans="1:9" x14ac:dyDescent="0.3">
      <c r="A804" s="17"/>
      <c r="B804" s="19"/>
      <c r="C804" s="19"/>
      <c r="D804" s="3" t="s">
        <v>242</v>
      </c>
      <c r="E804" s="19"/>
      <c r="F804" s="19"/>
    </row>
    <row r="805" spans="1:9" x14ac:dyDescent="0.3">
      <c r="A805" s="13" t="s">
        <v>116</v>
      </c>
      <c r="B805" s="2">
        <v>68635</v>
      </c>
      <c r="C805" s="2">
        <v>0.34523599999999999</v>
      </c>
      <c r="D805" s="2">
        <v>1.6490000000000001E-3</v>
      </c>
      <c r="E805" s="2">
        <v>0.34200205</v>
      </c>
      <c r="F805" s="2">
        <v>0.34847033999999999</v>
      </c>
    </row>
    <row r="809" spans="1:9" x14ac:dyDescent="0.3">
      <c r="A809" s="1" t="s">
        <v>237</v>
      </c>
    </row>
    <row r="811" spans="1:9" x14ac:dyDescent="0.3">
      <c r="A811" s="1" t="s">
        <v>21</v>
      </c>
    </row>
    <row r="812" spans="1:9" ht="17.25" thickBot="1" x14ac:dyDescent="0.35"/>
    <row r="813" spans="1:9" ht="16.5" customHeight="1" x14ac:dyDescent="0.3">
      <c r="A813" s="16" t="s">
        <v>277</v>
      </c>
      <c r="B813" s="18"/>
      <c r="C813" s="18"/>
      <c r="D813" s="18"/>
      <c r="E813" s="18"/>
      <c r="F813" s="18"/>
      <c r="G813" s="18"/>
    </row>
    <row r="814" spans="1:9" ht="16.5" customHeight="1" x14ac:dyDescent="0.3">
      <c r="A814" s="17" t="s">
        <v>16</v>
      </c>
      <c r="B814" s="19" t="s">
        <v>239</v>
      </c>
      <c r="C814" s="19" t="s">
        <v>94</v>
      </c>
      <c r="D814" s="19" t="s">
        <v>240</v>
      </c>
      <c r="E814" s="3" t="s">
        <v>241</v>
      </c>
      <c r="F814" s="19" t="s">
        <v>243</v>
      </c>
      <c r="G814" s="19"/>
    </row>
    <row r="815" spans="1:9" x14ac:dyDescent="0.3">
      <c r="A815" s="17"/>
      <c r="B815" s="19"/>
      <c r="C815" s="19"/>
      <c r="D815" s="19"/>
      <c r="E815" s="3" t="s">
        <v>242</v>
      </c>
      <c r="F815" s="19"/>
      <c r="G815" s="19"/>
    </row>
    <row r="816" spans="1:9" ht="17.25" thickBot="1" x14ac:dyDescent="0.35">
      <c r="A816" s="6">
        <v>0</v>
      </c>
      <c r="B816" s="11" t="s">
        <v>116</v>
      </c>
      <c r="C816" s="2">
        <v>53910</v>
      </c>
      <c r="D816" s="2">
        <v>0.323911</v>
      </c>
      <c r="E816" s="2">
        <v>1.7700000000000001E-3</v>
      </c>
      <c r="F816" s="2">
        <v>0.32044046999999998</v>
      </c>
      <c r="G816" s="2">
        <v>0.32738136000000001</v>
      </c>
      <c r="I816" t="str">
        <f t="shared" ref="I816:I817" si="11">TEXT(D816,"0.00")&amp;" ("&amp;TEXT(F816,"0.00")&amp;" to "&amp;TEXT(G816,"0.00")&amp;")"</f>
        <v>0.32 (0.32 to 0.33)</v>
      </c>
    </row>
    <row r="817" spans="1:9" x14ac:dyDescent="0.3">
      <c r="A817" s="6">
        <v>1</v>
      </c>
      <c r="B817" s="14" t="s">
        <v>116</v>
      </c>
      <c r="C817" s="2">
        <v>14725</v>
      </c>
      <c r="D817" s="2">
        <v>0.44963799999999998</v>
      </c>
      <c r="E817" s="2">
        <v>3.2439999999999999E-3</v>
      </c>
      <c r="F817" s="2">
        <v>0.44327820000000001</v>
      </c>
      <c r="G817" s="2">
        <v>0.45599851000000002</v>
      </c>
      <c r="I817" t="str">
        <f t="shared" si="11"/>
        <v>0.45 (0.44 to 0.46)</v>
      </c>
    </row>
    <row r="821" spans="1:9" x14ac:dyDescent="0.3">
      <c r="A821" s="1" t="s">
        <v>237</v>
      </c>
    </row>
    <row r="823" spans="1:9" x14ac:dyDescent="0.3">
      <c r="A823" s="1" t="s">
        <v>1</v>
      </c>
    </row>
    <row r="824" spans="1:9" ht="17.25" thickBot="1" x14ac:dyDescent="0.35"/>
    <row r="825" spans="1:9" ht="16.5" customHeight="1" x14ac:dyDescent="0.3">
      <c r="A825" s="16" t="s">
        <v>135</v>
      </c>
      <c r="B825" s="18"/>
    </row>
    <row r="826" spans="1:9" ht="26.25" thickBot="1" x14ac:dyDescent="0.35">
      <c r="A826" s="12" t="s">
        <v>136</v>
      </c>
      <c r="B826" s="2">
        <v>183</v>
      </c>
    </row>
    <row r="827" spans="1:9" ht="26.25" thickBot="1" x14ac:dyDescent="0.35">
      <c r="A827" s="12" t="s">
        <v>137</v>
      </c>
      <c r="B827" s="2">
        <v>2949</v>
      </c>
    </row>
    <row r="828" spans="1:9" ht="39" thickBot="1" x14ac:dyDescent="0.35">
      <c r="A828" s="12" t="s">
        <v>138</v>
      </c>
      <c r="B828" s="2">
        <v>23222</v>
      </c>
    </row>
    <row r="829" spans="1:9" ht="25.5" x14ac:dyDescent="0.3">
      <c r="A829" s="13" t="s">
        <v>139</v>
      </c>
      <c r="B829" s="2">
        <v>9036880.5199999996</v>
      </c>
    </row>
    <row r="830" spans="1:9" ht="17.25" thickBot="1" x14ac:dyDescent="0.35"/>
    <row r="831" spans="1:9" ht="33" customHeight="1" x14ac:dyDescent="0.3">
      <c r="A831" s="16" t="s">
        <v>140</v>
      </c>
      <c r="B831" s="18"/>
    </row>
    <row r="832" spans="1:9" ht="33.75" thickBot="1" x14ac:dyDescent="0.35">
      <c r="A832" s="12" t="s">
        <v>141</v>
      </c>
      <c r="B832" s="2" t="s">
        <v>142</v>
      </c>
    </row>
    <row r="833" spans="1:7" ht="25.5" x14ac:dyDescent="0.3">
      <c r="A833" s="13" t="s">
        <v>143</v>
      </c>
      <c r="B833" s="2" t="s">
        <v>144</v>
      </c>
    </row>
    <row r="834" spans="1:7" ht="17.25" thickBot="1" x14ac:dyDescent="0.35"/>
    <row r="835" spans="1:7" ht="16.5" customHeight="1" x14ac:dyDescent="0.3">
      <c r="A835" s="16" t="s">
        <v>238</v>
      </c>
      <c r="B835" s="18"/>
      <c r="C835" s="18"/>
      <c r="D835" s="18"/>
      <c r="E835" s="18"/>
      <c r="F835" s="18"/>
    </row>
    <row r="836" spans="1:7" ht="16.5" customHeight="1" x14ac:dyDescent="0.3">
      <c r="A836" s="17" t="s">
        <v>239</v>
      </c>
      <c r="B836" s="19" t="s">
        <v>94</v>
      </c>
      <c r="C836" s="19" t="s">
        <v>240</v>
      </c>
      <c r="D836" s="3" t="s">
        <v>241</v>
      </c>
      <c r="E836" s="19" t="s">
        <v>243</v>
      </c>
      <c r="F836" s="19"/>
    </row>
    <row r="837" spans="1:7" x14ac:dyDescent="0.3">
      <c r="A837" s="17"/>
      <c r="B837" s="19"/>
      <c r="C837" s="19"/>
      <c r="D837" s="3" t="s">
        <v>242</v>
      </c>
      <c r="E837" s="19"/>
      <c r="F837" s="19"/>
    </row>
    <row r="838" spans="1:7" x14ac:dyDescent="0.3">
      <c r="A838" s="13" t="s">
        <v>116</v>
      </c>
      <c r="B838" s="2">
        <v>23222</v>
      </c>
      <c r="C838" s="2">
        <v>0.29750300000000002</v>
      </c>
      <c r="D838" s="2">
        <v>2.7789999999999998E-3</v>
      </c>
      <c r="E838" s="2">
        <v>0.29205375</v>
      </c>
      <c r="F838" s="2">
        <v>0.30295137999999999</v>
      </c>
    </row>
    <row r="842" spans="1:7" x14ac:dyDescent="0.3">
      <c r="A842" s="1" t="s">
        <v>237</v>
      </c>
    </row>
    <row r="844" spans="1:7" x14ac:dyDescent="0.3">
      <c r="A844" s="1" t="s">
        <v>1</v>
      </c>
    </row>
    <row r="845" spans="1:7" ht="17.25" thickBot="1" x14ac:dyDescent="0.35"/>
    <row r="846" spans="1:7" ht="16.5" customHeight="1" x14ac:dyDescent="0.3">
      <c r="A846" s="16" t="s">
        <v>278</v>
      </c>
      <c r="B846" s="18"/>
      <c r="C846" s="18"/>
      <c r="D846" s="18"/>
      <c r="E846" s="18"/>
      <c r="F846" s="18"/>
      <c r="G846" s="18"/>
    </row>
    <row r="847" spans="1:7" ht="16.5" customHeight="1" x14ac:dyDescent="0.3">
      <c r="A847" s="17" t="s">
        <v>17</v>
      </c>
      <c r="B847" s="19" t="s">
        <v>239</v>
      </c>
      <c r="C847" s="19" t="s">
        <v>94</v>
      </c>
      <c r="D847" s="19" t="s">
        <v>240</v>
      </c>
      <c r="E847" s="3" t="s">
        <v>241</v>
      </c>
      <c r="F847" s="19" t="s">
        <v>243</v>
      </c>
      <c r="G847" s="19"/>
    </row>
    <row r="848" spans="1:7" x14ac:dyDescent="0.3">
      <c r="A848" s="17"/>
      <c r="B848" s="19"/>
      <c r="C848" s="19"/>
      <c r="D848" s="19"/>
      <c r="E848" s="3" t="s">
        <v>242</v>
      </c>
      <c r="F848" s="19"/>
      <c r="G848" s="19"/>
    </row>
    <row r="849" spans="1:7" ht="17.25" thickBot="1" x14ac:dyDescent="0.35">
      <c r="A849" s="6">
        <v>0</v>
      </c>
      <c r="B849" s="11" t="s">
        <v>116</v>
      </c>
      <c r="C849" s="2">
        <v>19657</v>
      </c>
      <c r="D849" s="2">
        <v>0.27961799999999998</v>
      </c>
      <c r="E849" s="2">
        <v>2.9369999999999999E-3</v>
      </c>
      <c r="F849" s="2">
        <v>0.27385992999999997</v>
      </c>
      <c r="G849" s="2">
        <v>0.28537647999999999</v>
      </c>
    </row>
    <row r="850" spans="1:7" ht="17.25" thickBot="1" x14ac:dyDescent="0.35">
      <c r="A850" s="6">
        <v>1</v>
      </c>
      <c r="B850" s="11" t="s">
        <v>116</v>
      </c>
      <c r="C850" s="2">
        <v>2956</v>
      </c>
      <c r="D850" s="2">
        <v>0.42106199999999999</v>
      </c>
      <c r="E850" s="2">
        <v>7.5449999999999996E-3</v>
      </c>
      <c r="F850" s="2">
        <v>0.40626744999999997</v>
      </c>
      <c r="G850" s="2">
        <v>0.43585557000000003</v>
      </c>
    </row>
    <row r="851" spans="1:7" x14ac:dyDescent="0.3">
      <c r="A851" s="6">
        <v>8</v>
      </c>
      <c r="B851" s="14" t="s">
        <v>116</v>
      </c>
      <c r="C851" s="2">
        <v>609</v>
      </c>
      <c r="D851" s="2">
        <v>0.36510999999999999</v>
      </c>
      <c r="E851" s="2">
        <v>1.7721000000000001E-2</v>
      </c>
      <c r="F851" s="2">
        <v>0.33036301000000001</v>
      </c>
      <c r="G851" s="2">
        <v>0.39985717999999998</v>
      </c>
    </row>
    <row r="855" spans="1:7" x14ac:dyDescent="0.3">
      <c r="A855" s="1" t="s">
        <v>237</v>
      </c>
    </row>
    <row r="857" spans="1:7" x14ac:dyDescent="0.3">
      <c r="A857" s="1" t="s">
        <v>21</v>
      </c>
    </row>
    <row r="858" spans="1:7" ht="17.25" thickBot="1" x14ac:dyDescent="0.35"/>
    <row r="859" spans="1:7" ht="16.5" customHeight="1" x14ac:dyDescent="0.3">
      <c r="A859" s="16" t="s">
        <v>135</v>
      </c>
      <c r="B859" s="18"/>
    </row>
    <row r="860" spans="1:7" ht="26.25" thickBot="1" x14ac:dyDescent="0.35">
      <c r="A860" s="12" t="s">
        <v>136</v>
      </c>
      <c r="B860" s="2">
        <v>183</v>
      </c>
    </row>
    <row r="861" spans="1:7" ht="26.25" thickBot="1" x14ac:dyDescent="0.35">
      <c r="A861" s="12" t="s">
        <v>137</v>
      </c>
      <c r="B861" s="2">
        <v>2982</v>
      </c>
    </row>
    <row r="862" spans="1:7" ht="39" thickBot="1" x14ac:dyDescent="0.35">
      <c r="A862" s="12" t="s">
        <v>138</v>
      </c>
      <c r="B862" s="2">
        <v>68635</v>
      </c>
    </row>
    <row r="863" spans="1:7" ht="25.5" x14ac:dyDescent="0.3">
      <c r="A863" s="13" t="s">
        <v>139</v>
      </c>
      <c r="B863" s="2">
        <v>30251935.699999999</v>
      </c>
    </row>
    <row r="864" spans="1:7" ht="17.25" thickBot="1" x14ac:dyDescent="0.35"/>
    <row r="865" spans="1:7" ht="33" customHeight="1" x14ac:dyDescent="0.3">
      <c r="A865" s="16" t="s">
        <v>140</v>
      </c>
      <c r="B865" s="18"/>
    </row>
    <row r="866" spans="1:7" ht="33.75" thickBot="1" x14ac:dyDescent="0.35">
      <c r="A866" s="12" t="s">
        <v>141</v>
      </c>
      <c r="B866" s="2" t="s">
        <v>142</v>
      </c>
    </row>
    <row r="867" spans="1:7" ht="25.5" x14ac:dyDescent="0.3">
      <c r="A867" s="13" t="s">
        <v>143</v>
      </c>
      <c r="B867" s="2" t="s">
        <v>144</v>
      </c>
    </row>
    <row r="868" spans="1:7" ht="17.25" thickBot="1" x14ac:dyDescent="0.35"/>
    <row r="869" spans="1:7" ht="16.5" customHeight="1" x14ac:dyDescent="0.3">
      <c r="A869" s="16" t="s">
        <v>238</v>
      </c>
      <c r="B869" s="18"/>
      <c r="C869" s="18"/>
      <c r="D869" s="18"/>
      <c r="E869" s="18"/>
      <c r="F869" s="18"/>
    </row>
    <row r="870" spans="1:7" ht="16.5" customHeight="1" x14ac:dyDescent="0.3">
      <c r="A870" s="17" t="s">
        <v>239</v>
      </c>
      <c r="B870" s="19" t="s">
        <v>94</v>
      </c>
      <c r="C870" s="19" t="s">
        <v>240</v>
      </c>
      <c r="D870" s="3" t="s">
        <v>241</v>
      </c>
      <c r="E870" s="19" t="s">
        <v>243</v>
      </c>
      <c r="F870" s="19"/>
    </row>
    <row r="871" spans="1:7" x14ac:dyDescent="0.3">
      <c r="A871" s="17"/>
      <c r="B871" s="19"/>
      <c r="C871" s="19"/>
      <c r="D871" s="3" t="s">
        <v>242</v>
      </c>
      <c r="E871" s="19"/>
      <c r="F871" s="19"/>
    </row>
    <row r="872" spans="1:7" x14ac:dyDescent="0.3">
      <c r="A872" s="13" t="s">
        <v>116</v>
      </c>
      <c r="B872" s="2">
        <v>68635</v>
      </c>
      <c r="C872" s="2">
        <v>0.34523599999999999</v>
      </c>
      <c r="D872" s="2">
        <v>1.6490000000000001E-3</v>
      </c>
      <c r="E872" s="2">
        <v>0.34200205</v>
      </c>
      <c r="F872" s="2">
        <v>0.34847033999999999</v>
      </c>
    </row>
    <row r="876" spans="1:7" x14ac:dyDescent="0.3">
      <c r="A876" s="1" t="s">
        <v>237</v>
      </c>
    </row>
    <row r="878" spans="1:7" x14ac:dyDescent="0.3">
      <c r="A878" s="1" t="s">
        <v>21</v>
      </c>
    </row>
    <row r="879" spans="1:7" ht="17.25" thickBot="1" x14ac:dyDescent="0.35"/>
    <row r="880" spans="1:7" ht="16.5" customHeight="1" x14ac:dyDescent="0.3">
      <c r="A880" s="16" t="s">
        <v>278</v>
      </c>
      <c r="B880" s="18"/>
      <c r="C880" s="18"/>
      <c r="D880" s="18"/>
      <c r="E880" s="18"/>
      <c r="F880" s="18"/>
      <c r="G880" s="18"/>
    </row>
    <row r="881" spans="1:9" ht="16.5" customHeight="1" x14ac:dyDescent="0.3">
      <c r="A881" s="17" t="s">
        <v>17</v>
      </c>
      <c r="B881" s="19" t="s">
        <v>239</v>
      </c>
      <c r="C881" s="19" t="s">
        <v>94</v>
      </c>
      <c r="D881" s="19" t="s">
        <v>240</v>
      </c>
      <c r="E881" s="3" t="s">
        <v>241</v>
      </c>
      <c r="F881" s="19" t="s">
        <v>243</v>
      </c>
      <c r="G881" s="19"/>
    </row>
    <row r="882" spans="1:9" x14ac:dyDescent="0.3">
      <c r="A882" s="17"/>
      <c r="B882" s="19"/>
      <c r="C882" s="19"/>
      <c r="D882" s="19"/>
      <c r="E882" s="3" t="s">
        <v>242</v>
      </c>
      <c r="F882" s="19"/>
      <c r="G882" s="19"/>
    </row>
    <row r="883" spans="1:9" ht="17.25" thickBot="1" x14ac:dyDescent="0.35">
      <c r="A883" s="6">
        <v>0</v>
      </c>
      <c r="B883" s="11" t="s">
        <v>116</v>
      </c>
      <c r="C883" s="2">
        <v>58467</v>
      </c>
      <c r="D883" s="2">
        <v>0.33081100000000002</v>
      </c>
      <c r="E883" s="2">
        <v>1.7589999999999999E-3</v>
      </c>
      <c r="F883" s="2">
        <v>0.32736230999999999</v>
      </c>
      <c r="G883" s="2">
        <v>0.33425994999999997</v>
      </c>
      <c r="I883" t="str">
        <f t="shared" ref="I883:I884" si="12">TEXT(D883,"0.00")&amp;" ("&amp;TEXT(F883,"0.00")&amp;" to "&amp;TEXT(G883,"0.00")&amp;")"</f>
        <v>0.33 (0.33 to 0.33)</v>
      </c>
    </row>
    <row r="884" spans="1:9" x14ac:dyDescent="0.3">
      <c r="A884" s="6">
        <v>1</v>
      </c>
      <c r="B884" s="14" t="s">
        <v>116</v>
      </c>
      <c r="C884" s="2">
        <v>10168</v>
      </c>
      <c r="D884" s="2">
        <v>0.44580900000000001</v>
      </c>
      <c r="E884" s="2">
        <v>3.9020000000000001E-3</v>
      </c>
      <c r="F884" s="2">
        <v>0.43815862999999999</v>
      </c>
      <c r="G884" s="2">
        <v>0.45345964999999999</v>
      </c>
      <c r="I884" t="str">
        <f t="shared" si="12"/>
        <v>0.45 (0.44 to 0.45)</v>
      </c>
    </row>
    <row r="888" spans="1:9" x14ac:dyDescent="0.3">
      <c r="A888" s="1" t="s">
        <v>237</v>
      </c>
    </row>
    <row r="890" spans="1:9" x14ac:dyDescent="0.3">
      <c r="A890" s="1" t="s">
        <v>1</v>
      </c>
    </row>
    <row r="891" spans="1:9" ht="17.25" thickBot="1" x14ac:dyDescent="0.35"/>
    <row r="892" spans="1:9" ht="16.5" customHeight="1" x14ac:dyDescent="0.3">
      <c r="A892" s="16" t="s">
        <v>135</v>
      </c>
      <c r="B892" s="18"/>
    </row>
    <row r="893" spans="1:9" ht="26.25" thickBot="1" x14ac:dyDescent="0.35">
      <c r="A893" s="12" t="s">
        <v>136</v>
      </c>
      <c r="B893" s="2">
        <v>183</v>
      </c>
    </row>
    <row r="894" spans="1:9" ht="26.25" thickBot="1" x14ac:dyDescent="0.35">
      <c r="A894" s="12" t="s">
        <v>137</v>
      </c>
      <c r="B894" s="2">
        <v>2949</v>
      </c>
    </row>
    <row r="895" spans="1:9" ht="39" thickBot="1" x14ac:dyDescent="0.35">
      <c r="A895" s="12" t="s">
        <v>138</v>
      </c>
      <c r="B895" s="2">
        <v>23222</v>
      </c>
    </row>
    <row r="896" spans="1:9" ht="25.5" x14ac:dyDescent="0.3">
      <c r="A896" s="13" t="s">
        <v>139</v>
      </c>
      <c r="B896" s="2">
        <v>9036880.5199999996</v>
      </c>
    </row>
    <row r="897" spans="1:6" ht="17.25" thickBot="1" x14ac:dyDescent="0.35"/>
    <row r="898" spans="1:6" ht="33" customHeight="1" x14ac:dyDescent="0.3">
      <c r="A898" s="16" t="s">
        <v>140</v>
      </c>
      <c r="B898" s="18"/>
    </row>
    <row r="899" spans="1:6" ht="33.75" thickBot="1" x14ac:dyDescent="0.35">
      <c r="A899" s="12" t="s">
        <v>141</v>
      </c>
      <c r="B899" s="2" t="s">
        <v>142</v>
      </c>
    </row>
    <row r="900" spans="1:6" ht="25.5" x14ac:dyDescent="0.3">
      <c r="A900" s="13" t="s">
        <v>143</v>
      </c>
      <c r="B900" s="2" t="s">
        <v>144</v>
      </c>
    </row>
    <row r="901" spans="1:6" ht="17.25" thickBot="1" x14ac:dyDescent="0.35"/>
    <row r="902" spans="1:6" ht="16.5" customHeight="1" x14ac:dyDescent="0.3">
      <c r="A902" s="16" t="s">
        <v>238</v>
      </c>
      <c r="B902" s="18"/>
      <c r="C902" s="18"/>
      <c r="D902" s="18"/>
      <c r="E902" s="18"/>
      <c r="F902" s="18"/>
    </row>
    <row r="903" spans="1:6" ht="16.5" customHeight="1" x14ac:dyDescent="0.3">
      <c r="A903" s="17" t="s">
        <v>239</v>
      </c>
      <c r="B903" s="19" t="s">
        <v>94</v>
      </c>
      <c r="C903" s="19" t="s">
        <v>240</v>
      </c>
      <c r="D903" s="3" t="s">
        <v>241</v>
      </c>
      <c r="E903" s="19" t="s">
        <v>243</v>
      </c>
      <c r="F903" s="19"/>
    </row>
    <row r="904" spans="1:6" x14ac:dyDescent="0.3">
      <c r="A904" s="17"/>
      <c r="B904" s="19"/>
      <c r="C904" s="19"/>
      <c r="D904" s="3" t="s">
        <v>242</v>
      </c>
      <c r="E904" s="19"/>
      <c r="F904" s="19"/>
    </row>
    <row r="905" spans="1:6" x14ac:dyDescent="0.3">
      <c r="A905" s="13" t="s">
        <v>116</v>
      </c>
      <c r="B905" s="2">
        <v>23222</v>
      </c>
      <c r="C905" s="2">
        <v>0.29750300000000002</v>
      </c>
      <c r="D905" s="2">
        <v>2.7789999999999998E-3</v>
      </c>
      <c r="E905" s="2">
        <v>0.29205375</v>
      </c>
      <c r="F905" s="2">
        <v>0.30295137999999999</v>
      </c>
    </row>
    <row r="909" spans="1:6" x14ac:dyDescent="0.3">
      <c r="A909" s="1" t="s">
        <v>237</v>
      </c>
    </row>
    <row r="911" spans="1:6" x14ac:dyDescent="0.3">
      <c r="A911" s="1" t="s">
        <v>1</v>
      </c>
    </row>
    <row r="912" spans="1:6" ht="17.25" thickBot="1" x14ac:dyDescent="0.35"/>
    <row r="913" spans="1:7" ht="16.5" customHeight="1" x14ac:dyDescent="0.3">
      <c r="A913" s="16" t="s">
        <v>279</v>
      </c>
      <c r="B913" s="18"/>
      <c r="C913" s="18"/>
      <c r="D913" s="18"/>
      <c r="E913" s="18"/>
      <c r="F913" s="18"/>
      <c r="G913" s="18"/>
    </row>
    <row r="914" spans="1:7" ht="16.5" customHeight="1" x14ac:dyDescent="0.3">
      <c r="A914" s="17" t="s">
        <v>18</v>
      </c>
      <c r="B914" s="19" t="s">
        <v>239</v>
      </c>
      <c r="C914" s="19" t="s">
        <v>94</v>
      </c>
      <c r="D914" s="19" t="s">
        <v>240</v>
      </c>
      <c r="E914" s="3" t="s">
        <v>241</v>
      </c>
      <c r="F914" s="19" t="s">
        <v>243</v>
      </c>
      <c r="G914" s="19"/>
    </row>
    <row r="915" spans="1:7" x14ac:dyDescent="0.3">
      <c r="A915" s="17"/>
      <c r="B915" s="19"/>
      <c r="C915" s="19"/>
      <c r="D915" s="19"/>
      <c r="E915" s="3" t="s">
        <v>242</v>
      </c>
      <c r="F915" s="19"/>
      <c r="G915" s="19"/>
    </row>
    <row r="916" spans="1:7" ht="17.25" thickBot="1" x14ac:dyDescent="0.35">
      <c r="A916" s="6">
        <v>0</v>
      </c>
      <c r="B916" s="11" t="s">
        <v>116</v>
      </c>
      <c r="C916" s="2">
        <v>20255</v>
      </c>
      <c r="D916" s="2">
        <v>0.28524300000000002</v>
      </c>
      <c r="E916" s="2">
        <v>2.898E-3</v>
      </c>
      <c r="F916" s="2">
        <v>0.27956082999999998</v>
      </c>
      <c r="G916" s="2">
        <v>0.29092468999999999</v>
      </c>
    </row>
    <row r="917" spans="1:7" ht="17.25" thickBot="1" x14ac:dyDescent="0.35">
      <c r="A917" s="6">
        <v>1</v>
      </c>
      <c r="B917" s="11" t="s">
        <v>116</v>
      </c>
      <c r="C917" s="2">
        <v>440</v>
      </c>
      <c r="D917" s="2">
        <v>0.43657299999999999</v>
      </c>
      <c r="E917" s="2">
        <v>1.6948000000000001E-2</v>
      </c>
      <c r="F917" s="2">
        <v>0.40334101</v>
      </c>
      <c r="G917" s="2">
        <v>0.46980446999999997</v>
      </c>
    </row>
    <row r="918" spans="1:7" x14ac:dyDescent="0.3">
      <c r="A918" s="6">
        <v>8</v>
      </c>
      <c r="B918" s="14" t="s">
        <v>116</v>
      </c>
      <c r="C918" s="2">
        <v>2527</v>
      </c>
      <c r="D918" s="2">
        <v>0.364458</v>
      </c>
      <c r="E918" s="2">
        <v>8.3680000000000004E-3</v>
      </c>
      <c r="F918" s="2">
        <v>0.3480492</v>
      </c>
      <c r="G918" s="2">
        <v>0.38086695999999998</v>
      </c>
    </row>
    <row r="922" spans="1:7" x14ac:dyDescent="0.3">
      <c r="A922" s="1" t="s">
        <v>237</v>
      </c>
    </row>
    <row r="924" spans="1:7" x14ac:dyDescent="0.3">
      <c r="A924" s="1" t="s">
        <v>21</v>
      </c>
    </row>
    <row r="925" spans="1:7" ht="17.25" thickBot="1" x14ac:dyDescent="0.35"/>
    <row r="926" spans="1:7" ht="16.5" customHeight="1" x14ac:dyDescent="0.3">
      <c r="A926" s="16" t="s">
        <v>135</v>
      </c>
      <c r="B926" s="18"/>
    </row>
    <row r="927" spans="1:7" ht="26.25" thickBot="1" x14ac:dyDescent="0.35">
      <c r="A927" s="12" t="s">
        <v>136</v>
      </c>
      <c r="B927" s="2">
        <v>183</v>
      </c>
    </row>
    <row r="928" spans="1:7" ht="26.25" thickBot="1" x14ac:dyDescent="0.35">
      <c r="A928" s="12" t="s">
        <v>137</v>
      </c>
      <c r="B928" s="2">
        <v>2982</v>
      </c>
    </row>
    <row r="929" spans="1:6" ht="39" thickBot="1" x14ac:dyDescent="0.35">
      <c r="A929" s="12" t="s">
        <v>138</v>
      </c>
      <c r="B929" s="2">
        <v>68635</v>
      </c>
    </row>
    <row r="930" spans="1:6" ht="25.5" x14ac:dyDescent="0.3">
      <c r="A930" s="13" t="s">
        <v>139</v>
      </c>
      <c r="B930" s="2">
        <v>30251935.699999999</v>
      </c>
    </row>
    <row r="931" spans="1:6" ht="17.25" thickBot="1" x14ac:dyDescent="0.35"/>
    <row r="932" spans="1:6" ht="33" customHeight="1" x14ac:dyDescent="0.3">
      <c r="A932" s="16" t="s">
        <v>140</v>
      </c>
      <c r="B932" s="18"/>
    </row>
    <row r="933" spans="1:6" ht="33.75" thickBot="1" x14ac:dyDescent="0.35">
      <c r="A933" s="12" t="s">
        <v>141</v>
      </c>
      <c r="B933" s="2" t="s">
        <v>142</v>
      </c>
    </row>
    <row r="934" spans="1:6" ht="25.5" x14ac:dyDescent="0.3">
      <c r="A934" s="13" t="s">
        <v>143</v>
      </c>
      <c r="B934" s="2" t="s">
        <v>144</v>
      </c>
    </row>
    <row r="935" spans="1:6" ht="17.25" thickBot="1" x14ac:dyDescent="0.35"/>
    <row r="936" spans="1:6" ht="16.5" customHeight="1" x14ac:dyDescent="0.3">
      <c r="A936" s="16" t="s">
        <v>238</v>
      </c>
      <c r="B936" s="18"/>
      <c r="C936" s="18"/>
      <c r="D936" s="18"/>
      <c r="E936" s="18"/>
      <c r="F936" s="18"/>
    </row>
    <row r="937" spans="1:6" ht="16.5" customHeight="1" x14ac:dyDescent="0.3">
      <c r="A937" s="17" t="s">
        <v>239</v>
      </c>
      <c r="B937" s="19" t="s">
        <v>94</v>
      </c>
      <c r="C937" s="19" t="s">
        <v>240</v>
      </c>
      <c r="D937" s="3" t="s">
        <v>241</v>
      </c>
      <c r="E937" s="19" t="s">
        <v>243</v>
      </c>
      <c r="F937" s="19"/>
    </row>
    <row r="938" spans="1:6" x14ac:dyDescent="0.3">
      <c r="A938" s="17"/>
      <c r="B938" s="19"/>
      <c r="C938" s="19"/>
      <c r="D938" s="3" t="s">
        <v>242</v>
      </c>
      <c r="E938" s="19"/>
      <c r="F938" s="19"/>
    </row>
    <row r="939" spans="1:6" x14ac:dyDescent="0.3">
      <c r="A939" s="13" t="s">
        <v>116</v>
      </c>
      <c r="B939" s="2">
        <v>68635</v>
      </c>
      <c r="C939" s="2">
        <v>0.34523599999999999</v>
      </c>
      <c r="D939" s="2">
        <v>1.6490000000000001E-3</v>
      </c>
      <c r="E939" s="2">
        <v>0.34200205</v>
      </c>
      <c r="F939" s="2">
        <v>0.34847033999999999</v>
      </c>
    </row>
    <row r="943" spans="1:6" x14ac:dyDescent="0.3">
      <c r="A943" s="1" t="s">
        <v>237</v>
      </c>
    </row>
    <row r="945" spans="1:9" x14ac:dyDescent="0.3">
      <c r="A945" s="1" t="s">
        <v>21</v>
      </c>
    </row>
    <row r="946" spans="1:9" ht="17.25" thickBot="1" x14ac:dyDescent="0.35"/>
    <row r="947" spans="1:9" ht="16.5" customHeight="1" x14ac:dyDescent="0.3">
      <c r="A947" s="16" t="s">
        <v>279</v>
      </c>
      <c r="B947" s="18"/>
      <c r="C947" s="18"/>
      <c r="D947" s="18"/>
      <c r="E947" s="18"/>
      <c r="F947" s="18"/>
      <c r="G947" s="18"/>
    </row>
    <row r="948" spans="1:9" ht="16.5" customHeight="1" x14ac:dyDescent="0.3">
      <c r="A948" s="17" t="s">
        <v>18</v>
      </c>
      <c r="B948" s="19" t="s">
        <v>239</v>
      </c>
      <c r="C948" s="19" t="s">
        <v>94</v>
      </c>
      <c r="D948" s="19" t="s">
        <v>240</v>
      </c>
      <c r="E948" s="3" t="s">
        <v>241</v>
      </c>
      <c r="F948" s="19" t="s">
        <v>243</v>
      </c>
      <c r="G948" s="19"/>
    </row>
    <row r="949" spans="1:9" x14ac:dyDescent="0.3">
      <c r="A949" s="17"/>
      <c r="B949" s="19"/>
      <c r="C949" s="19"/>
      <c r="D949" s="19"/>
      <c r="E949" s="3" t="s">
        <v>242</v>
      </c>
      <c r="F949" s="19"/>
      <c r="G949" s="19"/>
    </row>
    <row r="950" spans="1:9" ht="17.25" thickBot="1" x14ac:dyDescent="0.35">
      <c r="A950" s="6">
        <v>0</v>
      </c>
      <c r="B950" s="11" t="s">
        <v>116</v>
      </c>
      <c r="C950" s="2">
        <v>67344</v>
      </c>
      <c r="D950" s="2">
        <v>0.344053</v>
      </c>
      <c r="E950" s="2">
        <v>1.6620000000000001E-3</v>
      </c>
      <c r="F950" s="2">
        <v>0.34079408</v>
      </c>
      <c r="G950" s="2">
        <v>0.34731266</v>
      </c>
      <c r="I950" t="str">
        <f t="shared" ref="I950:I951" si="13">TEXT(D950,"0.00")&amp;" ("&amp;TEXT(F950,"0.00")&amp;" to "&amp;TEXT(G950,"0.00")&amp;")"</f>
        <v>0.34 (0.34 to 0.35)</v>
      </c>
    </row>
    <row r="951" spans="1:9" x14ac:dyDescent="0.3">
      <c r="A951" s="6">
        <v>1</v>
      </c>
      <c r="B951" s="14" t="s">
        <v>116</v>
      </c>
      <c r="C951" s="2">
        <v>1291</v>
      </c>
      <c r="D951" s="2">
        <v>0.43077599999999999</v>
      </c>
      <c r="E951" s="2">
        <v>9.672E-3</v>
      </c>
      <c r="F951" s="2">
        <v>0.41181168000000001</v>
      </c>
      <c r="G951" s="2">
        <v>0.44974029999999998</v>
      </c>
      <c r="I951" t="str">
        <f t="shared" si="13"/>
        <v>0.43 (0.41 to 0.45)</v>
      </c>
    </row>
    <row r="955" spans="1:9" x14ac:dyDescent="0.3">
      <c r="A955" s="1" t="s">
        <v>237</v>
      </c>
    </row>
    <row r="957" spans="1:9" x14ac:dyDescent="0.3">
      <c r="A957" s="1" t="s">
        <v>1</v>
      </c>
    </row>
    <row r="958" spans="1:9" ht="17.25" thickBot="1" x14ac:dyDescent="0.35"/>
    <row r="959" spans="1:9" ht="16.5" customHeight="1" x14ac:dyDescent="0.3">
      <c r="A959" s="16" t="s">
        <v>135</v>
      </c>
      <c r="B959" s="18"/>
    </row>
    <row r="960" spans="1:9" ht="26.25" thickBot="1" x14ac:dyDescent="0.35">
      <c r="A960" s="12" t="s">
        <v>136</v>
      </c>
      <c r="B960" s="2">
        <v>183</v>
      </c>
    </row>
    <row r="961" spans="1:6" ht="26.25" thickBot="1" x14ac:dyDescent="0.35">
      <c r="A961" s="12" t="s">
        <v>137</v>
      </c>
      <c r="B961" s="2">
        <v>2949</v>
      </c>
    </row>
    <row r="962" spans="1:6" ht="39" thickBot="1" x14ac:dyDescent="0.35">
      <c r="A962" s="12" t="s">
        <v>138</v>
      </c>
      <c r="B962" s="2">
        <v>23222</v>
      </c>
    </row>
    <row r="963" spans="1:6" ht="25.5" x14ac:dyDescent="0.3">
      <c r="A963" s="13" t="s">
        <v>139</v>
      </c>
      <c r="B963" s="2">
        <v>9036880.5199999996</v>
      </c>
    </row>
    <row r="964" spans="1:6" ht="17.25" thickBot="1" x14ac:dyDescent="0.35"/>
    <row r="965" spans="1:6" ht="33" customHeight="1" x14ac:dyDescent="0.3">
      <c r="A965" s="16" t="s">
        <v>140</v>
      </c>
      <c r="B965" s="18"/>
    </row>
    <row r="966" spans="1:6" ht="33.75" thickBot="1" x14ac:dyDescent="0.35">
      <c r="A966" s="12" t="s">
        <v>141</v>
      </c>
      <c r="B966" s="2" t="s">
        <v>142</v>
      </c>
    </row>
    <row r="967" spans="1:6" ht="25.5" x14ac:dyDescent="0.3">
      <c r="A967" s="13" t="s">
        <v>143</v>
      </c>
      <c r="B967" s="2" t="s">
        <v>144</v>
      </c>
    </row>
    <row r="968" spans="1:6" ht="17.25" thickBot="1" x14ac:dyDescent="0.35"/>
    <row r="969" spans="1:6" ht="16.5" customHeight="1" x14ac:dyDescent="0.3">
      <c r="A969" s="16" t="s">
        <v>238</v>
      </c>
      <c r="B969" s="18"/>
      <c r="C969" s="18"/>
      <c r="D969" s="18"/>
      <c r="E969" s="18"/>
      <c r="F969" s="18"/>
    </row>
    <row r="970" spans="1:6" ht="16.5" customHeight="1" x14ac:dyDescent="0.3">
      <c r="A970" s="17" t="s">
        <v>239</v>
      </c>
      <c r="B970" s="19" t="s">
        <v>94</v>
      </c>
      <c r="C970" s="19" t="s">
        <v>240</v>
      </c>
      <c r="D970" s="3" t="s">
        <v>241</v>
      </c>
      <c r="E970" s="19" t="s">
        <v>243</v>
      </c>
      <c r="F970" s="19"/>
    </row>
    <row r="971" spans="1:6" x14ac:dyDescent="0.3">
      <c r="A971" s="17"/>
      <c r="B971" s="19"/>
      <c r="C971" s="19"/>
      <c r="D971" s="3" t="s">
        <v>242</v>
      </c>
      <c r="E971" s="19"/>
      <c r="F971" s="19"/>
    </row>
    <row r="972" spans="1:6" x14ac:dyDescent="0.3">
      <c r="A972" s="13" t="s">
        <v>116</v>
      </c>
      <c r="B972" s="2">
        <v>23222</v>
      </c>
      <c r="C972" s="2">
        <v>0.29750300000000002</v>
      </c>
      <c r="D972" s="2">
        <v>2.7789999999999998E-3</v>
      </c>
      <c r="E972" s="2">
        <v>0.29205375</v>
      </c>
      <c r="F972" s="2">
        <v>0.30295137999999999</v>
      </c>
    </row>
    <row r="976" spans="1:6" x14ac:dyDescent="0.3">
      <c r="A976" s="1" t="s">
        <v>237</v>
      </c>
    </row>
    <row r="978" spans="1:7" x14ac:dyDescent="0.3">
      <c r="A978" s="1" t="s">
        <v>1</v>
      </c>
    </row>
    <row r="979" spans="1:7" ht="17.25" thickBot="1" x14ac:dyDescent="0.35"/>
    <row r="980" spans="1:7" ht="16.5" customHeight="1" x14ac:dyDescent="0.3">
      <c r="A980" s="16" t="s">
        <v>280</v>
      </c>
      <c r="B980" s="18"/>
      <c r="C980" s="18"/>
      <c r="D980" s="18"/>
      <c r="E980" s="18"/>
      <c r="F980" s="18"/>
      <c r="G980" s="18"/>
    </row>
    <row r="981" spans="1:7" ht="16.5" customHeight="1" x14ac:dyDescent="0.3">
      <c r="A981" s="17" t="s">
        <v>19</v>
      </c>
      <c r="B981" s="19" t="s">
        <v>239</v>
      </c>
      <c r="C981" s="19" t="s">
        <v>94</v>
      </c>
      <c r="D981" s="19" t="s">
        <v>240</v>
      </c>
      <c r="E981" s="3" t="s">
        <v>241</v>
      </c>
      <c r="F981" s="19" t="s">
        <v>243</v>
      </c>
      <c r="G981" s="19"/>
    </row>
    <row r="982" spans="1:7" x14ac:dyDescent="0.3">
      <c r="A982" s="17"/>
      <c r="B982" s="19"/>
      <c r="C982" s="19"/>
      <c r="D982" s="19"/>
      <c r="E982" s="3" t="s">
        <v>242</v>
      </c>
      <c r="F982" s="19"/>
      <c r="G982" s="19"/>
    </row>
    <row r="983" spans="1:7" ht="17.25" thickBot="1" x14ac:dyDescent="0.35">
      <c r="A983" s="6">
        <v>0</v>
      </c>
      <c r="B983" s="11" t="s">
        <v>116</v>
      </c>
      <c r="C983" s="2">
        <v>20515</v>
      </c>
      <c r="D983" s="2">
        <v>0.28635300000000002</v>
      </c>
      <c r="E983" s="2">
        <v>2.8700000000000002E-3</v>
      </c>
      <c r="F983" s="2">
        <v>0.28072659999999999</v>
      </c>
      <c r="G983" s="2">
        <v>0.29198011000000001</v>
      </c>
    </row>
    <row r="984" spans="1:7" ht="17.25" thickBot="1" x14ac:dyDescent="0.35">
      <c r="A984" s="6">
        <v>1</v>
      </c>
      <c r="B984" s="11" t="s">
        <v>116</v>
      </c>
      <c r="C984" s="2">
        <v>165</v>
      </c>
      <c r="D984" s="2">
        <v>0.45617099999999999</v>
      </c>
      <c r="E984" s="2">
        <v>2.9227E-2</v>
      </c>
      <c r="F984" s="2">
        <v>0.39886251</v>
      </c>
      <c r="G984" s="2">
        <v>0.51347872000000006</v>
      </c>
    </row>
    <row r="985" spans="1:7" x14ac:dyDescent="0.3">
      <c r="A985" s="6">
        <v>8</v>
      </c>
      <c r="B985" s="14" t="s">
        <v>116</v>
      </c>
      <c r="C985" s="2">
        <v>2542</v>
      </c>
      <c r="D985" s="2">
        <v>0.36525600000000003</v>
      </c>
      <c r="E985" s="2">
        <v>8.3129999999999992E-3</v>
      </c>
      <c r="F985" s="2">
        <v>0.34895619999999999</v>
      </c>
      <c r="G985" s="2">
        <v>0.38155624999999999</v>
      </c>
    </row>
    <row r="989" spans="1:7" x14ac:dyDescent="0.3">
      <c r="A989" s="1" t="s">
        <v>237</v>
      </c>
    </row>
    <row r="991" spans="1:7" x14ac:dyDescent="0.3">
      <c r="A991" s="1" t="s">
        <v>21</v>
      </c>
    </row>
    <row r="992" spans="1:7" ht="17.25" thickBot="1" x14ac:dyDescent="0.35"/>
    <row r="993" spans="1:6" ht="16.5" customHeight="1" x14ac:dyDescent="0.3">
      <c r="A993" s="16" t="s">
        <v>135</v>
      </c>
      <c r="B993" s="18"/>
    </row>
    <row r="994" spans="1:6" ht="26.25" thickBot="1" x14ac:dyDescent="0.35">
      <c r="A994" s="12" t="s">
        <v>136</v>
      </c>
      <c r="B994" s="2">
        <v>183</v>
      </c>
    </row>
    <row r="995" spans="1:6" ht="26.25" thickBot="1" x14ac:dyDescent="0.35">
      <c r="A995" s="12" t="s">
        <v>137</v>
      </c>
      <c r="B995" s="2">
        <v>2982</v>
      </c>
    </row>
    <row r="996" spans="1:6" ht="39" thickBot="1" x14ac:dyDescent="0.35">
      <c r="A996" s="12" t="s">
        <v>138</v>
      </c>
      <c r="B996" s="2">
        <v>68635</v>
      </c>
    </row>
    <row r="997" spans="1:6" ht="25.5" x14ac:dyDescent="0.3">
      <c r="A997" s="13" t="s">
        <v>139</v>
      </c>
      <c r="B997" s="2">
        <v>30251935.699999999</v>
      </c>
    </row>
    <row r="998" spans="1:6" ht="17.25" thickBot="1" x14ac:dyDescent="0.35"/>
    <row r="999" spans="1:6" ht="33" customHeight="1" x14ac:dyDescent="0.3">
      <c r="A999" s="16" t="s">
        <v>140</v>
      </c>
      <c r="B999" s="18"/>
    </row>
    <row r="1000" spans="1:6" ht="33.75" thickBot="1" x14ac:dyDescent="0.35">
      <c r="A1000" s="12" t="s">
        <v>141</v>
      </c>
      <c r="B1000" s="2" t="s">
        <v>142</v>
      </c>
    </row>
    <row r="1001" spans="1:6" ht="25.5" x14ac:dyDescent="0.3">
      <c r="A1001" s="13" t="s">
        <v>143</v>
      </c>
      <c r="B1001" s="2" t="s">
        <v>144</v>
      </c>
    </row>
    <row r="1002" spans="1:6" ht="17.25" thickBot="1" x14ac:dyDescent="0.35"/>
    <row r="1003" spans="1:6" ht="16.5" customHeight="1" x14ac:dyDescent="0.3">
      <c r="A1003" s="16" t="s">
        <v>238</v>
      </c>
      <c r="B1003" s="18"/>
      <c r="C1003" s="18"/>
      <c r="D1003" s="18"/>
      <c r="E1003" s="18"/>
      <c r="F1003" s="18"/>
    </row>
    <row r="1004" spans="1:6" ht="16.5" customHeight="1" x14ac:dyDescent="0.3">
      <c r="A1004" s="17" t="s">
        <v>239</v>
      </c>
      <c r="B1004" s="19" t="s">
        <v>94</v>
      </c>
      <c r="C1004" s="19" t="s">
        <v>240</v>
      </c>
      <c r="D1004" s="3" t="s">
        <v>241</v>
      </c>
      <c r="E1004" s="19" t="s">
        <v>243</v>
      </c>
      <c r="F1004" s="19"/>
    </row>
    <row r="1005" spans="1:6" x14ac:dyDescent="0.3">
      <c r="A1005" s="17"/>
      <c r="B1005" s="19"/>
      <c r="C1005" s="19"/>
      <c r="D1005" s="3" t="s">
        <v>242</v>
      </c>
      <c r="E1005" s="19"/>
      <c r="F1005" s="19"/>
    </row>
    <row r="1006" spans="1:6" x14ac:dyDescent="0.3">
      <c r="A1006" s="13" t="s">
        <v>116</v>
      </c>
      <c r="B1006" s="2">
        <v>68635</v>
      </c>
      <c r="C1006" s="2">
        <v>0.34523599999999999</v>
      </c>
      <c r="D1006" s="2">
        <v>1.6490000000000001E-3</v>
      </c>
      <c r="E1006" s="2">
        <v>0.34200205</v>
      </c>
      <c r="F1006" s="2">
        <v>0.34847033999999999</v>
      </c>
    </row>
    <row r="1010" spans="1:9" x14ac:dyDescent="0.3">
      <c r="A1010" s="1" t="s">
        <v>237</v>
      </c>
    </row>
    <row r="1012" spans="1:9" x14ac:dyDescent="0.3">
      <c r="A1012" s="1" t="s">
        <v>21</v>
      </c>
    </row>
    <row r="1013" spans="1:9" ht="17.25" thickBot="1" x14ac:dyDescent="0.35"/>
    <row r="1014" spans="1:9" ht="16.5" customHeight="1" x14ac:dyDescent="0.3">
      <c r="A1014" s="16" t="s">
        <v>280</v>
      </c>
      <c r="B1014" s="18"/>
      <c r="C1014" s="18"/>
      <c r="D1014" s="18"/>
      <c r="E1014" s="18"/>
      <c r="F1014" s="18"/>
      <c r="G1014" s="18"/>
    </row>
    <row r="1015" spans="1:9" ht="16.5" customHeight="1" x14ac:dyDescent="0.3">
      <c r="A1015" s="17" t="s">
        <v>19</v>
      </c>
      <c r="B1015" s="19" t="s">
        <v>239</v>
      </c>
      <c r="C1015" s="19" t="s">
        <v>94</v>
      </c>
      <c r="D1015" s="19" t="s">
        <v>240</v>
      </c>
      <c r="E1015" s="3" t="s">
        <v>241</v>
      </c>
      <c r="F1015" s="19" t="s">
        <v>243</v>
      </c>
      <c r="G1015" s="19"/>
    </row>
    <row r="1016" spans="1:9" x14ac:dyDescent="0.3">
      <c r="A1016" s="17"/>
      <c r="B1016" s="19"/>
      <c r="C1016" s="19"/>
      <c r="D1016" s="19"/>
      <c r="E1016" s="3" t="s">
        <v>242</v>
      </c>
      <c r="F1016" s="19"/>
      <c r="G1016" s="19"/>
    </row>
    <row r="1017" spans="1:9" ht="17.25" thickBot="1" x14ac:dyDescent="0.35">
      <c r="A1017" s="6">
        <v>0</v>
      </c>
      <c r="B1017" s="11" t="s">
        <v>116</v>
      </c>
      <c r="C1017" s="2">
        <v>67998</v>
      </c>
      <c r="D1017" s="2">
        <v>0.344613</v>
      </c>
      <c r="E1017" s="2">
        <v>1.6570000000000001E-3</v>
      </c>
      <c r="F1017" s="2">
        <v>0.34136443999999999</v>
      </c>
      <c r="G1017" s="2">
        <v>0.34786242000000001</v>
      </c>
      <c r="I1017" t="str">
        <f t="shared" ref="I1017:I1018" si="14">TEXT(D1017,"0.00")&amp;" ("&amp;TEXT(F1017,"0.00")&amp;" to "&amp;TEXT(G1017,"0.00")&amp;")"</f>
        <v>0.34 (0.34 to 0.35)</v>
      </c>
    </row>
    <row r="1018" spans="1:9" x14ac:dyDescent="0.3">
      <c r="A1018" s="6">
        <v>1</v>
      </c>
      <c r="B1018" s="14" t="s">
        <v>116</v>
      </c>
      <c r="C1018" s="2">
        <v>637</v>
      </c>
      <c r="D1018" s="2">
        <v>0.43690000000000001</v>
      </c>
      <c r="E1018" s="2">
        <v>1.3313999999999999E-2</v>
      </c>
      <c r="F1018" s="2">
        <v>0.41079317999999998</v>
      </c>
      <c r="G1018" s="2">
        <v>0.46300757999999997</v>
      </c>
      <c r="I1018" t="str">
        <f t="shared" si="14"/>
        <v>0.44 (0.41 to 0.46)</v>
      </c>
    </row>
    <row r="1022" spans="1:9" x14ac:dyDescent="0.3">
      <c r="A1022" s="1" t="s">
        <v>237</v>
      </c>
    </row>
    <row r="1024" spans="1:9" x14ac:dyDescent="0.3">
      <c r="A1024" s="1" t="s">
        <v>1</v>
      </c>
    </row>
    <row r="1025" spans="1:6" ht="17.25" thickBot="1" x14ac:dyDescent="0.35"/>
    <row r="1026" spans="1:6" ht="16.5" customHeight="1" x14ac:dyDescent="0.3">
      <c r="A1026" s="16" t="s">
        <v>135</v>
      </c>
      <c r="B1026" s="18"/>
    </row>
    <row r="1027" spans="1:6" ht="26.25" thickBot="1" x14ac:dyDescent="0.35">
      <c r="A1027" s="12" t="s">
        <v>136</v>
      </c>
      <c r="B1027" s="2">
        <v>183</v>
      </c>
    </row>
    <row r="1028" spans="1:6" ht="26.25" thickBot="1" x14ac:dyDescent="0.35">
      <c r="A1028" s="12" t="s">
        <v>137</v>
      </c>
      <c r="B1028" s="2">
        <v>2949</v>
      </c>
    </row>
    <row r="1029" spans="1:6" ht="39" thickBot="1" x14ac:dyDescent="0.35">
      <c r="A1029" s="12" t="s">
        <v>138</v>
      </c>
      <c r="B1029" s="2">
        <v>23222</v>
      </c>
    </row>
    <row r="1030" spans="1:6" ht="25.5" x14ac:dyDescent="0.3">
      <c r="A1030" s="13" t="s">
        <v>139</v>
      </c>
      <c r="B1030" s="2">
        <v>9036880.5199999996</v>
      </c>
    </row>
    <row r="1031" spans="1:6" ht="17.25" thickBot="1" x14ac:dyDescent="0.35"/>
    <row r="1032" spans="1:6" ht="33" customHeight="1" x14ac:dyDescent="0.3">
      <c r="A1032" s="16" t="s">
        <v>140</v>
      </c>
      <c r="B1032" s="18"/>
    </row>
    <row r="1033" spans="1:6" ht="33.75" thickBot="1" x14ac:dyDescent="0.35">
      <c r="A1033" s="12" t="s">
        <v>141</v>
      </c>
      <c r="B1033" s="2" t="s">
        <v>142</v>
      </c>
    </row>
    <row r="1034" spans="1:6" ht="25.5" x14ac:dyDescent="0.3">
      <c r="A1034" s="13" t="s">
        <v>143</v>
      </c>
      <c r="B1034" s="2" t="s">
        <v>144</v>
      </c>
    </row>
    <row r="1035" spans="1:6" ht="17.25" thickBot="1" x14ac:dyDescent="0.35"/>
    <row r="1036" spans="1:6" ht="16.5" customHeight="1" x14ac:dyDescent="0.3">
      <c r="A1036" s="16" t="s">
        <v>238</v>
      </c>
      <c r="B1036" s="18"/>
      <c r="C1036" s="18"/>
      <c r="D1036" s="18"/>
      <c r="E1036" s="18"/>
      <c r="F1036" s="18"/>
    </row>
    <row r="1037" spans="1:6" ht="16.5" customHeight="1" x14ac:dyDescent="0.3">
      <c r="A1037" s="17" t="s">
        <v>239</v>
      </c>
      <c r="B1037" s="19" t="s">
        <v>94</v>
      </c>
      <c r="C1037" s="19" t="s">
        <v>240</v>
      </c>
      <c r="D1037" s="3" t="s">
        <v>241</v>
      </c>
      <c r="E1037" s="19" t="s">
        <v>243</v>
      </c>
      <c r="F1037" s="19"/>
    </row>
    <row r="1038" spans="1:6" x14ac:dyDescent="0.3">
      <c r="A1038" s="17"/>
      <c r="B1038" s="19"/>
      <c r="C1038" s="19"/>
      <c r="D1038" s="3" t="s">
        <v>242</v>
      </c>
      <c r="E1038" s="19"/>
      <c r="F1038" s="19"/>
    </row>
    <row r="1039" spans="1:6" x14ac:dyDescent="0.3">
      <c r="A1039" s="13" t="s">
        <v>116</v>
      </c>
      <c r="B1039" s="2">
        <v>23222</v>
      </c>
      <c r="C1039" s="2">
        <v>0.29750300000000002</v>
      </c>
      <c r="D1039" s="2">
        <v>2.7789999999999998E-3</v>
      </c>
      <c r="E1039" s="2">
        <v>0.29205375</v>
      </c>
      <c r="F1039" s="2">
        <v>0.30295137999999999</v>
      </c>
    </row>
    <row r="1043" spans="1:7" x14ac:dyDescent="0.3">
      <c r="A1043" s="1" t="s">
        <v>237</v>
      </c>
    </row>
    <row r="1045" spans="1:7" x14ac:dyDescent="0.3">
      <c r="A1045" s="1" t="s">
        <v>1</v>
      </c>
    </row>
    <row r="1046" spans="1:7" ht="17.25" thickBot="1" x14ac:dyDescent="0.35"/>
    <row r="1047" spans="1:7" ht="16.5" customHeight="1" x14ac:dyDescent="0.3">
      <c r="A1047" s="16" t="s">
        <v>281</v>
      </c>
      <c r="B1047" s="18"/>
      <c r="C1047" s="18"/>
      <c r="D1047" s="18"/>
      <c r="E1047" s="18"/>
      <c r="F1047" s="18"/>
      <c r="G1047" s="18"/>
    </row>
    <row r="1048" spans="1:7" ht="16.5" customHeight="1" x14ac:dyDescent="0.3">
      <c r="A1048" s="17" t="s">
        <v>20</v>
      </c>
      <c r="B1048" s="19" t="s">
        <v>239</v>
      </c>
      <c r="C1048" s="19" t="s">
        <v>94</v>
      </c>
      <c r="D1048" s="19" t="s">
        <v>240</v>
      </c>
      <c r="E1048" s="3" t="s">
        <v>241</v>
      </c>
      <c r="F1048" s="19" t="s">
        <v>243</v>
      </c>
      <c r="G1048" s="19"/>
    </row>
    <row r="1049" spans="1:7" x14ac:dyDescent="0.3">
      <c r="A1049" s="17"/>
      <c r="B1049" s="19"/>
      <c r="C1049" s="19"/>
      <c r="D1049" s="19"/>
      <c r="E1049" s="3" t="s">
        <v>242</v>
      </c>
      <c r="F1049" s="19"/>
      <c r="G1049" s="19"/>
    </row>
    <row r="1050" spans="1:7" ht="17.25" thickBot="1" x14ac:dyDescent="0.35">
      <c r="A1050" s="6">
        <v>0</v>
      </c>
      <c r="B1050" s="11" t="s">
        <v>116</v>
      </c>
      <c r="C1050" s="2">
        <v>20305</v>
      </c>
      <c r="D1050" s="2">
        <v>0.28552899999999998</v>
      </c>
      <c r="E1050" s="2">
        <v>2.8860000000000001E-3</v>
      </c>
      <c r="F1050" s="2">
        <v>0.27987034</v>
      </c>
      <c r="G1050" s="2">
        <v>0.29118818000000002</v>
      </c>
    </row>
    <row r="1051" spans="1:7" ht="17.25" thickBot="1" x14ac:dyDescent="0.35">
      <c r="A1051" s="6">
        <v>1</v>
      </c>
      <c r="B1051" s="11" t="s">
        <v>116</v>
      </c>
      <c r="C1051" s="2">
        <v>372</v>
      </c>
      <c r="D1051" s="2">
        <v>0.42805700000000002</v>
      </c>
      <c r="E1051" s="2">
        <v>1.5166000000000001E-2</v>
      </c>
      <c r="F1051" s="2">
        <v>0.39831865999999999</v>
      </c>
      <c r="G1051" s="2">
        <v>0.45779447000000001</v>
      </c>
    </row>
    <row r="1052" spans="1:7" x14ac:dyDescent="0.3">
      <c r="A1052" s="6">
        <v>8</v>
      </c>
      <c r="B1052" s="14" t="s">
        <v>116</v>
      </c>
      <c r="C1052" s="2">
        <v>2545</v>
      </c>
      <c r="D1052" s="2">
        <v>0.36529299999999998</v>
      </c>
      <c r="E1052" s="2">
        <v>8.3049999999999999E-3</v>
      </c>
      <c r="F1052" s="2">
        <v>0.34900825000000002</v>
      </c>
      <c r="G1052" s="2">
        <v>0.38157869</v>
      </c>
    </row>
    <row r="1056" spans="1:7" x14ac:dyDescent="0.3">
      <c r="A1056" s="1" t="s">
        <v>237</v>
      </c>
    </row>
    <row r="1058" spans="1:6" x14ac:dyDescent="0.3">
      <c r="A1058" s="1" t="s">
        <v>21</v>
      </c>
    </row>
    <row r="1059" spans="1:6" ht="17.25" thickBot="1" x14ac:dyDescent="0.35"/>
    <row r="1060" spans="1:6" ht="16.5" customHeight="1" x14ac:dyDescent="0.3">
      <c r="A1060" s="16" t="s">
        <v>135</v>
      </c>
      <c r="B1060" s="18"/>
    </row>
    <row r="1061" spans="1:6" ht="26.25" thickBot="1" x14ac:dyDescent="0.35">
      <c r="A1061" s="12" t="s">
        <v>136</v>
      </c>
      <c r="B1061" s="2">
        <v>183</v>
      </c>
    </row>
    <row r="1062" spans="1:6" ht="26.25" thickBot="1" x14ac:dyDescent="0.35">
      <c r="A1062" s="12" t="s">
        <v>137</v>
      </c>
      <c r="B1062" s="2">
        <v>2982</v>
      </c>
    </row>
    <row r="1063" spans="1:6" ht="39" thickBot="1" x14ac:dyDescent="0.35">
      <c r="A1063" s="12" t="s">
        <v>138</v>
      </c>
      <c r="B1063" s="2">
        <v>68635</v>
      </c>
    </row>
    <row r="1064" spans="1:6" ht="25.5" x14ac:dyDescent="0.3">
      <c r="A1064" s="13" t="s">
        <v>139</v>
      </c>
      <c r="B1064" s="2">
        <v>30251935.699999999</v>
      </c>
    </row>
    <row r="1065" spans="1:6" ht="17.25" thickBot="1" x14ac:dyDescent="0.35"/>
    <row r="1066" spans="1:6" ht="33" customHeight="1" x14ac:dyDescent="0.3">
      <c r="A1066" s="16" t="s">
        <v>140</v>
      </c>
      <c r="B1066" s="18"/>
    </row>
    <row r="1067" spans="1:6" ht="33.75" thickBot="1" x14ac:dyDescent="0.35">
      <c r="A1067" s="12" t="s">
        <v>141</v>
      </c>
      <c r="B1067" s="2" t="s">
        <v>142</v>
      </c>
    </row>
    <row r="1068" spans="1:6" ht="25.5" x14ac:dyDescent="0.3">
      <c r="A1068" s="13" t="s">
        <v>143</v>
      </c>
      <c r="B1068" s="2" t="s">
        <v>144</v>
      </c>
    </row>
    <row r="1069" spans="1:6" ht="17.25" thickBot="1" x14ac:dyDescent="0.35"/>
    <row r="1070" spans="1:6" ht="16.5" customHeight="1" x14ac:dyDescent="0.3">
      <c r="A1070" s="16" t="s">
        <v>238</v>
      </c>
      <c r="B1070" s="18"/>
      <c r="C1070" s="18"/>
      <c r="D1070" s="18"/>
      <c r="E1070" s="18"/>
      <c r="F1070" s="18"/>
    </row>
    <row r="1071" spans="1:6" ht="16.5" customHeight="1" x14ac:dyDescent="0.3">
      <c r="A1071" s="17" t="s">
        <v>239</v>
      </c>
      <c r="B1071" s="19" t="s">
        <v>94</v>
      </c>
      <c r="C1071" s="19" t="s">
        <v>240</v>
      </c>
      <c r="D1071" s="3" t="s">
        <v>241</v>
      </c>
      <c r="E1071" s="19" t="s">
        <v>243</v>
      </c>
      <c r="F1071" s="19"/>
    </row>
    <row r="1072" spans="1:6" x14ac:dyDescent="0.3">
      <c r="A1072" s="17"/>
      <c r="B1072" s="19"/>
      <c r="C1072" s="19"/>
      <c r="D1072" s="3" t="s">
        <v>242</v>
      </c>
      <c r="E1072" s="19"/>
      <c r="F1072" s="19"/>
    </row>
    <row r="1073" spans="1:9" x14ac:dyDescent="0.3">
      <c r="A1073" s="13" t="s">
        <v>116</v>
      </c>
      <c r="B1073" s="2">
        <v>68635</v>
      </c>
      <c r="C1073" s="2">
        <v>0.34523599999999999</v>
      </c>
      <c r="D1073" s="2">
        <v>1.6490000000000001E-3</v>
      </c>
      <c r="E1073" s="2">
        <v>0.34200205</v>
      </c>
      <c r="F1073" s="2">
        <v>0.34847033999999999</v>
      </c>
    </row>
    <row r="1077" spans="1:9" x14ac:dyDescent="0.3">
      <c r="A1077" s="1" t="s">
        <v>237</v>
      </c>
    </row>
    <row r="1079" spans="1:9" x14ac:dyDescent="0.3">
      <c r="A1079" s="1" t="s">
        <v>21</v>
      </c>
    </row>
    <row r="1080" spans="1:9" ht="17.25" thickBot="1" x14ac:dyDescent="0.35"/>
    <row r="1081" spans="1:9" ht="16.5" customHeight="1" x14ac:dyDescent="0.3">
      <c r="A1081" s="16" t="s">
        <v>281</v>
      </c>
      <c r="B1081" s="18"/>
      <c r="C1081" s="18"/>
      <c r="D1081" s="18"/>
      <c r="E1081" s="18"/>
      <c r="F1081" s="18"/>
      <c r="G1081" s="18"/>
    </row>
    <row r="1082" spans="1:9" ht="16.5" customHeight="1" x14ac:dyDescent="0.3">
      <c r="A1082" s="17" t="s">
        <v>20</v>
      </c>
      <c r="B1082" s="19" t="s">
        <v>239</v>
      </c>
      <c r="C1082" s="19" t="s">
        <v>94</v>
      </c>
      <c r="D1082" s="19" t="s">
        <v>240</v>
      </c>
      <c r="E1082" s="3" t="s">
        <v>241</v>
      </c>
      <c r="F1082" s="19" t="s">
        <v>243</v>
      </c>
      <c r="G1082" s="19"/>
    </row>
    <row r="1083" spans="1:9" x14ac:dyDescent="0.3">
      <c r="A1083" s="17"/>
      <c r="B1083" s="19"/>
      <c r="C1083" s="19"/>
      <c r="D1083" s="19"/>
      <c r="E1083" s="3" t="s">
        <v>242</v>
      </c>
      <c r="F1083" s="19"/>
      <c r="G1083" s="19"/>
    </row>
    <row r="1084" spans="1:9" ht="17.25" thickBot="1" x14ac:dyDescent="0.35">
      <c r="A1084" s="6">
        <v>0</v>
      </c>
      <c r="B1084" s="11" t="s">
        <v>116</v>
      </c>
      <c r="C1084" s="2">
        <v>67434</v>
      </c>
      <c r="D1084" s="2">
        <v>0.34434399999999998</v>
      </c>
      <c r="E1084" s="2">
        <v>1.66E-3</v>
      </c>
      <c r="F1084" s="2">
        <v>0.34108973999999997</v>
      </c>
      <c r="G1084" s="2">
        <v>0.34759925000000003</v>
      </c>
      <c r="I1084" t="str">
        <f t="shared" ref="I1084:I1085" si="15">TEXT(D1084,"0.00")&amp;" ("&amp;TEXT(F1084,"0.00")&amp;" to "&amp;TEXT(G1084,"0.00")&amp;")"</f>
        <v>0.34 (0.34 to 0.35)</v>
      </c>
    </row>
    <row r="1085" spans="1:9" x14ac:dyDescent="0.3">
      <c r="A1085" s="6">
        <v>1</v>
      </c>
      <c r="B1085" s="14" t="s">
        <v>116</v>
      </c>
      <c r="C1085" s="2">
        <v>1201</v>
      </c>
      <c r="D1085" s="2">
        <v>0.41575699999999999</v>
      </c>
      <c r="E1085" s="2">
        <v>1.1306999999999999E-2</v>
      </c>
      <c r="F1085" s="2">
        <v>0.39358623999999998</v>
      </c>
      <c r="G1085" s="2">
        <v>0.43792780999999997</v>
      </c>
      <c r="I1085" t="str">
        <f t="shared" si="15"/>
        <v>0.42 (0.39 to 0.44)</v>
      </c>
    </row>
  </sheetData>
  <mergeCells count="416">
    <mergeCell ref="A1081:G1081"/>
    <mergeCell ref="A1082:A1083"/>
    <mergeCell ref="B1082:B1083"/>
    <mergeCell ref="C1082:C1083"/>
    <mergeCell ref="D1082:D1083"/>
    <mergeCell ref="F1082:G1083"/>
    <mergeCell ref="A1060:B1060"/>
    <mergeCell ref="A1066:B1066"/>
    <mergeCell ref="A1070:F1070"/>
    <mergeCell ref="A1071:A1072"/>
    <mergeCell ref="B1071:B1072"/>
    <mergeCell ref="C1071:C1072"/>
    <mergeCell ref="E1071:F1072"/>
    <mergeCell ref="A1047:G1047"/>
    <mergeCell ref="A1048:A1049"/>
    <mergeCell ref="B1048:B1049"/>
    <mergeCell ref="C1048:C1049"/>
    <mergeCell ref="D1048:D1049"/>
    <mergeCell ref="F1048:G1049"/>
    <mergeCell ref="A1026:B1026"/>
    <mergeCell ref="A1032:B1032"/>
    <mergeCell ref="A1036:F1036"/>
    <mergeCell ref="A1037:A1038"/>
    <mergeCell ref="B1037:B1038"/>
    <mergeCell ref="C1037:C1038"/>
    <mergeCell ref="E1037:F1038"/>
    <mergeCell ref="A1014:G1014"/>
    <mergeCell ref="A1015:A1016"/>
    <mergeCell ref="B1015:B1016"/>
    <mergeCell ref="C1015:C1016"/>
    <mergeCell ref="D1015:D1016"/>
    <mergeCell ref="F1015:G1016"/>
    <mergeCell ref="A993:B993"/>
    <mergeCell ref="A999:B999"/>
    <mergeCell ref="A1003:F1003"/>
    <mergeCell ref="A1004:A1005"/>
    <mergeCell ref="B1004:B1005"/>
    <mergeCell ref="C1004:C1005"/>
    <mergeCell ref="E1004:F1005"/>
    <mergeCell ref="A980:G980"/>
    <mergeCell ref="A981:A982"/>
    <mergeCell ref="B981:B982"/>
    <mergeCell ref="C981:C982"/>
    <mergeCell ref="D981:D982"/>
    <mergeCell ref="F981:G982"/>
    <mergeCell ref="A959:B959"/>
    <mergeCell ref="A965:B965"/>
    <mergeCell ref="A969:F969"/>
    <mergeCell ref="A970:A971"/>
    <mergeCell ref="B970:B971"/>
    <mergeCell ref="C970:C971"/>
    <mergeCell ref="E970:F971"/>
    <mergeCell ref="A947:G947"/>
    <mergeCell ref="A948:A949"/>
    <mergeCell ref="B948:B949"/>
    <mergeCell ref="C948:C949"/>
    <mergeCell ref="D948:D949"/>
    <mergeCell ref="F948:G949"/>
    <mergeCell ref="A926:B926"/>
    <mergeCell ref="A932:B932"/>
    <mergeCell ref="A936:F936"/>
    <mergeCell ref="A937:A938"/>
    <mergeCell ref="B937:B938"/>
    <mergeCell ref="C937:C938"/>
    <mergeCell ref="E937:F938"/>
    <mergeCell ref="A913:G913"/>
    <mergeCell ref="A914:A915"/>
    <mergeCell ref="B914:B915"/>
    <mergeCell ref="C914:C915"/>
    <mergeCell ref="D914:D915"/>
    <mergeCell ref="F914:G915"/>
    <mergeCell ref="A892:B892"/>
    <mergeCell ref="A898:B898"/>
    <mergeCell ref="A902:F902"/>
    <mergeCell ref="A903:A904"/>
    <mergeCell ref="B903:B904"/>
    <mergeCell ref="C903:C904"/>
    <mergeCell ref="E903:F904"/>
    <mergeCell ref="A880:G880"/>
    <mergeCell ref="A881:A882"/>
    <mergeCell ref="B881:B882"/>
    <mergeCell ref="C881:C882"/>
    <mergeCell ref="D881:D882"/>
    <mergeCell ref="F881:G882"/>
    <mergeCell ref="A859:B859"/>
    <mergeCell ref="A865:B865"/>
    <mergeCell ref="A869:F869"/>
    <mergeCell ref="A870:A871"/>
    <mergeCell ref="B870:B871"/>
    <mergeCell ref="C870:C871"/>
    <mergeCell ref="E870:F871"/>
    <mergeCell ref="A846:G846"/>
    <mergeCell ref="A847:A848"/>
    <mergeCell ref="B847:B848"/>
    <mergeCell ref="C847:C848"/>
    <mergeCell ref="D847:D848"/>
    <mergeCell ref="F847:G848"/>
    <mergeCell ref="A825:B825"/>
    <mergeCell ref="A831:B831"/>
    <mergeCell ref="A835:F835"/>
    <mergeCell ref="A836:A837"/>
    <mergeCell ref="B836:B837"/>
    <mergeCell ref="C836:C837"/>
    <mergeCell ref="E836:F837"/>
    <mergeCell ref="A813:G813"/>
    <mergeCell ref="A814:A815"/>
    <mergeCell ref="B814:B815"/>
    <mergeCell ref="C814:C815"/>
    <mergeCell ref="D814:D815"/>
    <mergeCell ref="F814:G815"/>
    <mergeCell ref="A792:B792"/>
    <mergeCell ref="A798:B798"/>
    <mergeCell ref="A802:F802"/>
    <mergeCell ref="A803:A804"/>
    <mergeCell ref="B803:B804"/>
    <mergeCell ref="C803:C804"/>
    <mergeCell ref="E803:F804"/>
    <mergeCell ref="A779:G779"/>
    <mergeCell ref="A780:A781"/>
    <mergeCell ref="B780:B781"/>
    <mergeCell ref="C780:C781"/>
    <mergeCell ref="D780:D781"/>
    <mergeCell ref="F780:G781"/>
    <mergeCell ref="A758:B758"/>
    <mergeCell ref="A764:B764"/>
    <mergeCell ref="A768:F768"/>
    <mergeCell ref="A769:A770"/>
    <mergeCell ref="B769:B770"/>
    <mergeCell ref="C769:C770"/>
    <mergeCell ref="E769:F770"/>
    <mergeCell ref="A746:G746"/>
    <mergeCell ref="A747:A748"/>
    <mergeCell ref="B747:B748"/>
    <mergeCell ref="C747:C748"/>
    <mergeCell ref="D747:D748"/>
    <mergeCell ref="F747:G748"/>
    <mergeCell ref="A725:B725"/>
    <mergeCell ref="A731:B731"/>
    <mergeCell ref="A735:F735"/>
    <mergeCell ref="A736:A737"/>
    <mergeCell ref="B736:B737"/>
    <mergeCell ref="C736:C737"/>
    <mergeCell ref="E736:F737"/>
    <mergeCell ref="A712:G712"/>
    <mergeCell ref="A713:A714"/>
    <mergeCell ref="B713:B714"/>
    <mergeCell ref="C713:C714"/>
    <mergeCell ref="D713:D714"/>
    <mergeCell ref="F713:G714"/>
    <mergeCell ref="A691:B691"/>
    <mergeCell ref="A697:B697"/>
    <mergeCell ref="A701:F701"/>
    <mergeCell ref="A702:A703"/>
    <mergeCell ref="B702:B703"/>
    <mergeCell ref="C702:C703"/>
    <mergeCell ref="E702:F703"/>
    <mergeCell ref="A678:G678"/>
    <mergeCell ref="A679:A680"/>
    <mergeCell ref="B679:B680"/>
    <mergeCell ref="C679:C680"/>
    <mergeCell ref="D679:D680"/>
    <mergeCell ref="F679:G680"/>
    <mergeCell ref="A657:B657"/>
    <mergeCell ref="A663:B663"/>
    <mergeCell ref="A667:F667"/>
    <mergeCell ref="A668:A669"/>
    <mergeCell ref="B668:B669"/>
    <mergeCell ref="C668:C669"/>
    <mergeCell ref="E668:F669"/>
    <mergeCell ref="A643:G643"/>
    <mergeCell ref="A644:A645"/>
    <mergeCell ref="B644:B645"/>
    <mergeCell ref="C644:C645"/>
    <mergeCell ref="D644:D645"/>
    <mergeCell ref="F644:G645"/>
    <mergeCell ref="A622:B622"/>
    <mergeCell ref="A628:B628"/>
    <mergeCell ref="A632:F632"/>
    <mergeCell ref="A633:A634"/>
    <mergeCell ref="B633:B634"/>
    <mergeCell ref="C633:C634"/>
    <mergeCell ref="E633:F634"/>
    <mergeCell ref="A609:G609"/>
    <mergeCell ref="A610:A611"/>
    <mergeCell ref="B610:B611"/>
    <mergeCell ref="C610:C611"/>
    <mergeCell ref="D610:D611"/>
    <mergeCell ref="F610:G611"/>
    <mergeCell ref="A588:B588"/>
    <mergeCell ref="A594:B594"/>
    <mergeCell ref="A598:F598"/>
    <mergeCell ref="A599:A600"/>
    <mergeCell ref="B599:B600"/>
    <mergeCell ref="C599:C600"/>
    <mergeCell ref="E599:F600"/>
    <mergeCell ref="A574:G574"/>
    <mergeCell ref="A575:A576"/>
    <mergeCell ref="B575:B576"/>
    <mergeCell ref="C575:C576"/>
    <mergeCell ref="D575:D576"/>
    <mergeCell ref="F575:G576"/>
    <mergeCell ref="A553:B553"/>
    <mergeCell ref="A559:B559"/>
    <mergeCell ref="A563:F563"/>
    <mergeCell ref="A564:A565"/>
    <mergeCell ref="B564:B565"/>
    <mergeCell ref="C564:C565"/>
    <mergeCell ref="E564:F565"/>
    <mergeCell ref="A540:G540"/>
    <mergeCell ref="A541:A542"/>
    <mergeCell ref="B541:B542"/>
    <mergeCell ref="C541:C542"/>
    <mergeCell ref="D541:D542"/>
    <mergeCell ref="F541:G542"/>
    <mergeCell ref="A519:B519"/>
    <mergeCell ref="A525:B525"/>
    <mergeCell ref="A529:F529"/>
    <mergeCell ref="A530:A531"/>
    <mergeCell ref="B530:B531"/>
    <mergeCell ref="C530:C531"/>
    <mergeCell ref="E530:F531"/>
    <mergeCell ref="A505:G505"/>
    <mergeCell ref="A506:A507"/>
    <mergeCell ref="B506:B507"/>
    <mergeCell ref="C506:C507"/>
    <mergeCell ref="D506:D507"/>
    <mergeCell ref="F506:G507"/>
    <mergeCell ref="A484:B484"/>
    <mergeCell ref="A490:B490"/>
    <mergeCell ref="A494:F494"/>
    <mergeCell ref="A495:A496"/>
    <mergeCell ref="B495:B496"/>
    <mergeCell ref="C495:C496"/>
    <mergeCell ref="E495:F496"/>
    <mergeCell ref="A472:G472"/>
    <mergeCell ref="A473:A474"/>
    <mergeCell ref="B473:B474"/>
    <mergeCell ref="C473:C474"/>
    <mergeCell ref="D473:D474"/>
    <mergeCell ref="F473:G474"/>
    <mergeCell ref="A451:B451"/>
    <mergeCell ref="A457:B457"/>
    <mergeCell ref="A461:F461"/>
    <mergeCell ref="A462:A463"/>
    <mergeCell ref="B462:B463"/>
    <mergeCell ref="C462:C463"/>
    <mergeCell ref="E462:F463"/>
    <mergeCell ref="A438:G438"/>
    <mergeCell ref="A439:A440"/>
    <mergeCell ref="B439:B440"/>
    <mergeCell ref="C439:C440"/>
    <mergeCell ref="D439:D440"/>
    <mergeCell ref="F439:G440"/>
    <mergeCell ref="A417:B417"/>
    <mergeCell ref="A423:B423"/>
    <mergeCell ref="A427:F427"/>
    <mergeCell ref="A428:A429"/>
    <mergeCell ref="B428:B429"/>
    <mergeCell ref="C428:C429"/>
    <mergeCell ref="E428:F429"/>
    <mergeCell ref="A403:G403"/>
    <mergeCell ref="A404:A405"/>
    <mergeCell ref="B404:B405"/>
    <mergeCell ref="C404:C405"/>
    <mergeCell ref="D404:D405"/>
    <mergeCell ref="F404:G405"/>
    <mergeCell ref="A382:B382"/>
    <mergeCell ref="A388:B388"/>
    <mergeCell ref="A392:F392"/>
    <mergeCell ref="A393:A394"/>
    <mergeCell ref="B393:B394"/>
    <mergeCell ref="C393:C394"/>
    <mergeCell ref="E393:F394"/>
    <mergeCell ref="A368:G368"/>
    <mergeCell ref="A369:A370"/>
    <mergeCell ref="B369:B370"/>
    <mergeCell ref="C369:C370"/>
    <mergeCell ref="D369:D370"/>
    <mergeCell ref="F369:G370"/>
    <mergeCell ref="A347:B347"/>
    <mergeCell ref="A353:B353"/>
    <mergeCell ref="A357:F357"/>
    <mergeCell ref="A358:A359"/>
    <mergeCell ref="B358:B359"/>
    <mergeCell ref="C358:C359"/>
    <mergeCell ref="E358:F359"/>
    <mergeCell ref="A333:G333"/>
    <mergeCell ref="A334:A335"/>
    <mergeCell ref="B334:B335"/>
    <mergeCell ref="C334:C335"/>
    <mergeCell ref="D334:D335"/>
    <mergeCell ref="F334:G335"/>
    <mergeCell ref="A312:B312"/>
    <mergeCell ref="A318:B318"/>
    <mergeCell ref="A322:F322"/>
    <mergeCell ref="A323:A324"/>
    <mergeCell ref="B323:B324"/>
    <mergeCell ref="C323:C324"/>
    <mergeCell ref="E323:F324"/>
    <mergeCell ref="A298:G298"/>
    <mergeCell ref="A299:A300"/>
    <mergeCell ref="B299:B300"/>
    <mergeCell ref="C299:C300"/>
    <mergeCell ref="D299:D300"/>
    <mergeCell ref="F299:G300"/>
    <mergeCell ref="A277:B277"/>
    <mergeCell ref="A283:B283"/>
    <mergeCell ref="A287:F287"/>
    <mergeCell ref="A288:A289"/>
    <mergeCell ref="B288:B289"/>
    <mergeCell ref="C288:C289"/>
    <mergeCell ref="E288:F289"/>
    <mergeCell ref="A263:G263"/>
    <mergeCell ref="A264:A265"/>
    <mergeCell ref="B264:B265"/>
    <mergeCell ref="C264:C265"/>
    <mergeCell ref="D264:D265"/>
    <mergeCell ref="F264:G265"/>
    <mergeCell ref="A242:B242"/>
    <mergeCell ref="A248:B248"/>
    <mergeCell ref="A252:F252"/>
    <mergeCell ref="A253:A254"/>
    <mergeCell ref="B253:B254"/>
    <mergeCell ref="C253:C254"/>
    <mergeCell ref="E253:F254"/>
    <mergeCell ref="A227:G227"/>
    <mergeCell ref="A228:A229"/>
    <mergeCell ref="B228:B229"/>
    <mergeCell ref="C228:C229"/>
    <mergeCell ref="D228:D229"/>
    <mergeCell ref="F228:G229"/>
    <mergeCell ref="A206:B206"/>
    <mergeCell ref="A212:B212"/>
    <mergeCell ref="A216:F216"/>
    <mergeCell ref="A217:A218"/>
    <mergeCell ref="B217:B218"/>
    <mergeCell ref="C217:C218"/>
    <mergeCell ref="E217:F218"/>
    <mergeCell ref="A194:G194"/>
    <mergeCell ref="A195:A196"/>
    <mergeCell ref="B195:B196"/>
    <mergeCell ref="C195:C196"/>
    <mergeCell ref="D195:D196"/>
    <mergeCell ref="F195:G196"/>
    <mergeCell ref="A173:B173"/>
    <mergeCell ref="A179:B179"/>
    <mergeCell ref="A183:F183"/>
    <mergeCell ref="A184:A185"/>
    <mergeCell ref="B184:B185"/>
    <mergeCell ref="C184:C185"/>
    <mergeCell ref="E184:F185"/>
    <mergeCell ref="A161:G161"/>
    <mergeCell ref="A162:A163"/>
    <mergeCell ref="B162:B163"/>
    <mergeCell ref="C162:C163"/>
    <mergeCell ref="D162:D163"/>
    <mergeCell ref="F162:G163"/>
    <mergeCell ref="A140:B140"/>
    <mergeCell ref="A146:B146"/>
    <mergeCell ref="A150:F150"/>
    <mergeCell ref="A151:A152"/>
    <mergeCell ref="B151:B152"/>
    <mergeCell ref="C151:C152"/>
    <mergeCell ref="E151:F152"/>
    <mergeCell ref="A128:G128"/>
    <mergeCell ref="A129:A130"/>
    <mergeCell ref="B129:B130"/>
    <mergeCell ref="C129:C130"/>
    <mergeCell ref="D129:D130"/>
    <mergeCell ref="F129:G130"/>
    <mergeCell ref="A107:B107"/>
    <mergeCell ref="A113:B113"/>
    <mergeCell ref="A117:F117"/>
    <mergeCell ref="A118:A119"/>
    <mergeCell ref="B118:B119"/>
    <mergeCell ref="C118:C119"/>
    <mergeCell ref="E118:F119"/>
    <mergeCell ref="A95:G95"/>
    <mergeCell ref="A96:A97"/>
    <mergeCell ref="B96:B97"/>
    <mergeCell ref="C96:C97"/>
    <mergeCell ref="D96:D97"/>
    <mergeCell ref="F96:G97"/>
    <mergeCell ref="A74:B74"/>
    <mergeCell ref="A80:B80"/>
    <mergeCell ref="A84:F84"/>
    <mergeCell ref="A85:A86"/>
    <mergeCell ref="B85:B86"/>
    <mergeCell ref="C85:C86"/>
    <mergeCell ref="E85:F86"/>
    <mergeCell ref="A61:G61"/>
    <mergeCell ref="A62:A63"/>
    <mergeCell ref="B62:B63"/>
    <mergeCell ref="C62:C63"/>
    <mergeCell ref="D62:D63"/>
    <mergeCell ref="F62:G63"/>
    <mergeCell ref="A40:B40"/>
    <mergeCell ref="A46:B46"/>
    <mergeCell ref="A50:F50"/>
    <mergeCell ref="A51:A52"/>
    <mergeCell ref="B51:B52"/>
    <mergeCell ref="C51:C52"/>
    <mergeCell ref="E51:F52"/>
    <mergeCell ref="A26:G26"/>
    <mergeCell ref="A27:A28"/>
    <mergeCell ref="B27:B28"/>
    <mergeCell ref="C27:C28"/>
    <mergeCell ref="D27:D28"/>
    <mergeCell ref="F27:G28"/>
    <mergeCell ref="A5:B5"/>
    <mergeCell ref="A11:B11"/>
    <mergeCell ref="A15:F15"/>
    <mergeCell ref="A16:A17"/>
    <mergeCell ref="B16:B17"/>
    <mergeCell ref="C16:C17"/>
    <mergeCell ref="E16:F17"/>
  </mergeCells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24CD5-32DE-48FE-A171-CAEDEB3A714D}">
  <dimension ref="A1:I1085"/>
  <sheetViews>
    <sheetView tabSelected="1" topLeftCell="A1070" workbookViewId="0">
      <selection activeCell="I1084" sqref="I1084:I1085"/>
    </sheetView>
  </sheetViews>
  <sheetFormatPr defaultRowHeight="16.5" x14ac:dyDescent="0.3"/>
  <cols>
    <col min="9" max="9" width="17.25" bestFit="1" customWidth="1"/>
  </cols>
  <sheetData>
    <row r="1" spans="1:6" x14ac:dyDescent="0.3">
      <c r="A1" s="1" t="s">
        <v>237</v>
      </c>
    </row>
    <row r="3" spans="1:6" x14ac:dyDescent="0.3">
      <c r="A3" s="1" t="s">
        <v>1</v>
      </c>
    </row>
    <row r="4" spans="1:6" ht="17.25" thickBot="1" x14ac:dyDescent="0.35"/>
    <row r="5" spans="1:6" ht="16.5" customHeight="1" x14ac:dyDescent="0.3">
      <c r="A5" s="16" t="s">
        <v>135</v>
      </c>
      <c r="B5" s="18"/>
    </row>
    <row r="6" spans="1:6" ht="26.25" thickBot="1" x14ac:dyDescent="0.35">
      <c r="A6" s="12" t="s">
        <v>136</v>
      </c>
      <c r="B6" s="2">
        <v>183</v>
      </c>
    </row>
    <row r="7" spans="1:6" ht="26.25" thickBot="1" x14ac:dyDescent="0.35">
      <c r="A7" s="12" t="s">
        <v>137</v>
      </c>
      <c r="B7" s="2">
        <v>2949</v>
      </c>
    </row>
    <row r="8" spans="1:6" ht="39" thickBot="1" x14ac:dyDescent="0.35">
      <c r="A8" s="12" t="s">
        <v>138</v>
      </c>
      <c r="B8" s="2">
        <v>23222</v>
      </c>
    </row>
    <row r="9" spans="1:6" ht="25.5" x14ac:dyDescent="0.3">
      <c r="A9" s="13" t="s">
        <v>139</v>
      </c>
      <c r="B9" s="2">
        <v>9036880.5199999996</v>
      </c>
    </row>
    <row r="10" spans="1:6" ht="17.25" thickBot="1" x14ac:dyDescent="0.35"/>
    <row r="11" spans="1:6" ht="33" customHeight="1" x14ac:dyDescent="0.3">
      <c r="A11" s="16" t="s">
        <v>140</v>
      </c>
      <c r="B11" s="18"/>
    </row>
    <row r="12" spans="1:6" ht="33.75" thickBot="1" x14ac:dyDescent="0.35">
      <c r="A12" s="12" t="s">
        <v>141</v>
      </c>
      <c r="B12" s="2" t="s">
        <v>142</v>
      </c>
    </row>
    <row r="13" spans="1:6" ht="25.5" x14ac:dyDescent="0.3">
      <c r="A13" s="13" t="s">
        <v>143</v>
      </c>
      <c r="B13" s="2" t="s">
        <v>144</v>
      </c>
    </row>
    <row r="14" spans="1:6" ht="17.25" thickBot="1" x14ac:dyDescent="0.35"/>
    <row r="15" spans="1:6" ht="16.5" customHeight="1" x14ac:dyDescent="0.3">
      <c r="A15" s="16" t="s">
        <v>238</v>
      </c>
      <c r="B15" s="18"/>
      <c r="C15" s="18"/>
      <c r="D15" s="18"/>
      <c r="E15" s="18"/>
      <c r="F15" s="18"/>
    </row>
    <row r="16" spans="1:6" ht="16.5" customHeight="1" x14ac:dyDescent="0.3">
      <c r="A16" s="17" t="s">
        <v>239</v>
      </c>
      <c r="B16" s="19" t="s">
        <v>94</v>
      </c>
      <c r="C16" s="19" t="s">
        <v>240</v>
      </c>
      <c r="D16" s="3" t="s">
        <v>241</v>
      </c>
      <c r="E16" s="19" t="s">
        <v>243</v>
      </c>
      <c r="F16" s="19"/>
    </row>
    <row r="17" spans="1:7" x14ac:dyDescent="0.3">
      <c r="A17" s="17"/>
      <c r="B17" s="19"/>
      <c r="C17" s="19"/>
      <c r="D17" s="3" t="s">
        <v>242</v>
      </c>
      <c r="E17" s="19"/>
      <c r="F17" s="19"/>
    </row>
    <row r="18" spans="1:7" x14ac:dyDescent="0.3">
      <c r="A18" s="13" t="s">
        <v>117</v>
      </c>
      <c r="B18" s="2">
        <v>23222</v>
      </c>
      <c r="C18" s="2">
        <v>33.805624000000002</v>
      </c>
      <c r="D18" s="2">
        <v>7.0877999999999997E-2</v>
      </c>
      <c r="E18" s="2">
        <v>33.666644300000002</v>
      </c>
      <c r="F18" s="2">
        <v>33.944603299999997</v>
      </c>
    </row>
    <row r="22" spans="1:7" x14ac:dyDescent="0.3">
      <c r="A22" s="1" t="s">
        <v>237</v>
      </c>
    </row>
    <row r="24" spans="1:7" x14ac:dyDescent="0.3">
      <c r="A24" s="1" t="s">
        <v>1</v>
      </c>
    </row>
    <row r="25" spans="1:7" ht="17.25" thickBot="1" x14ac:dyDescent="0.35"/>
    <row r="26" spans="1:7" ht="16.5" customHeight="1" x14ac:dyDescent="0.3">
      <c r="A26" s="16" t="s">
        <v>266</v>
      </c>
      <c r="B26" s="18"/>
      <c r="C26" s="18"/>
      <c r="D26" s="18"/>
      <c r="E26" s="18"/>
      <c r="F26" s="18"/>
      <c r="G26" s="18"/>
    </row>
    <row r="27" spans="1:7" ht="16.5" customHeight="1" x14ac:dyDescent="0.3">
      <c r="A27" s="17" t="s">
        <v>2</v>
      </c>
      <c r="B27" s="19" t="s">
        <v>239</v>
      </c>
      <c r="C27" s="19" t="s">
        <v>94</v>
      </c>
      <c r="D27" s="19" t="s">
        <v>240</v>
      </c>
      <c r="E27" s="3" t="s">
        <v>241</v>
      </c>
      <c r="F27" s="19" t="s">
        <v>243</v>
      </c>
      <c r="G27" s="19"/>
    </row>
    <row r="28" spans="1:7" x14ac:dyDescent="0.3">
      <c r="A28" s="17"/>
      <c r="B28" s="19"/>
      <c r="C28" s="19"/>
      <c r="D28" s="19"/>
      <c r="E28" s="3" t="s">
        <v>242</v>
      </c>
      <c r="F28" s="19"/>
      <c r="G28" s="19"/>
    </row>
    <row r="29" spans="1:7" ht="17.25" thickBot="1" x14ac:dyDescent="0.35">
      <c r="A29" s="6">
        <v>1</v>
      </c>
      <c r="B29" s="11" t="s">
        <v>117</v>
      </c>
      <c r="C29" s="2">
        <v>2110</v>
      </c>
      <c r="D29" s="2">
        <v>34.692467999999998</v>
      </c>
      <c r="E29" s="2">
        <v>0.210871</v>
      </c>
      <c r="F29" s="2">
        <v>34.278987899999997</v>
      </c>
      <c r="G29" s="2">
        <v>35.1059482</v>
      </c>
    </row>
    <row r="30" spans="1:7" ht="17.25" thickBot="1" x14ac:dyDescent="0.35">
      <c r="A30" s="6">
        <v>2</v>
      </c>
      <c r="B30" s="11" t="s">
        <v>117</v>
      </c>
      <c r="C30" s="2">
        <v>5964</v>
      </c>
      <c r="D30" s="2">
        <v>36.602885999999998</v>
      </c>
      <c r="E30" s="2">
        <v>0.116202</v>
      </c>
      <c r="F30" s="2">
        <v>36.375035400000002</v>
      </c>
      <c r="G30" s="2">
        <v>36.830736399999999</v>
      </c>
    </row>
    <row r="31" spans="1:7" ht="17.25" thickBot="1" x14ac:dyDescent="0.35">
      <c r="A31" s="6">
        <v>3</v>
      </c>
      <c r="B31" s="11" t="s">
        <v>117</v>
      </c>
      <c r="C31" s="2">
        <v>6709</v>
      </c>
      <c r="D31" s="2">
        <v>36.706947999999997</v>
      </c>
      <c r="E31" s="2">
        <v>9.8849999999999993E-2</v>
      </c>
      <c r="F31" s="2">
        <v>36.513120399999998</v>
      </c>
      <c r="G31" s="2">
        <v>36.900775400000001</v>
      </c>
    </row>
    <row r="32" spans="1:7" x14ac:dyDescent="0.3">
      <c r="A32" s="6">
        <v>8</v>
      </c>
      <c r="B32" s="14" t="s">
        <v>117</v>
      </c>
      <c r="C32" s="2">
        <v>8439</v>
      </c>
      <c r="D32" s="2">
        <v>30.120273999999998</v>
      </c>
      <c r="E32" s="2">
        <v>9.9239999999999995E-2</v>
      </c>
      <c r="F32" s="2">
        <v>29.925681600000001</v>
      </c>
      <c r="G32" s="2">
        <v>30.3148655</v>
      </c>
    </row>
    <row r="36" spans="1:2" x14ac:dyDescent="0.3">
      <c r="A36" s="1" t="s">
        <v>237</v>
      </c>
    </row>
    <row r="38" spans="1:2" x14ac:dyDescent="0.3">
      <c r="A38" s="1" t="s">
        <v>21</v>
      </c>
    </row>
    <row r="39" spans="1:2" ht="17.25" thickBot="1" x14ac:dyDescent="0.35"/>
    <row r="40" spans="1:2" ht="16.5" customHeight="1" x14ac:dyDescent="0.3">
      <c r="A40" s="16" t="s">
        <v>135</v>
      </c>
      <c r="B40" s="18"/>
    </row>
    <row r="41" spans="1:2" ht="26.25" thickBot="1" x14ac:dyDescent="0.35">
      <c r="A41" s="12" t="s">
        <v>136</v>
      </c>
      <c r="B41" s="2">
        <v>183</v>
      </c>
    </row>
    <row r="42" spans="1:2" ht="26.25" thickBot="1" x14ac:dyDescent="0.35">
      <c r="A42" s="12" t="s">
        <v>137</v>
      </c>
      <c r="B42" s="2">
        <v>2982</v>
      </c>
    </row>
    <row r="43" spans="1:2" ht="39" thickBot="1" x14ac:dyDescent="0.35">
      <c r="A43" s="12" t="s">
        <v>138</v>
      </c>
      <c r="B43" s="2">
        <v>68635</v>
      </c>
    </row>
    <row r="44" spans="1:2" ht="25.5" x14ac:dyDescent="0.3">
      <c r="A44" s="13" t="s">
        <v>139</v>
      </c>
      <c r="B44" s="2">
        <v>30251935.699999999</v>
      </c>
    </row>
    <row r="45" spans="1:2" ht="17.25" thickBot="1" x14ac:dyDescent="0.35"/>
    <row r="46" spans="1:2" ht="33" customHeight="1" x14ac:dyDescent="0.3">
      <c r="A46" s="16" t="s">
        <v>140</v>
      </c>
      <c r="B46" s="18"/>
    </row>
    <row r="47" spans="1:2" ht="33.75" thickBot="1" x14ac:dyDescent="0.35">
      <c r="A47" s="12" t="s">
        <v>141</v>
      </c>
      <c r="B47" s="2" t="s">
        <v>142</v>
      </c>
    </row>
    <row r="48" spans="1:2" ht="25.5" x14ac:dyDescent="0.3">
      <c r="A48" s="13" t="s">
        <v>143</v>
      </c>
      <c r="B48" s="2" t="s">
        <v>144</v>
      </c>
    </row>
    <row r="49" spans="1:9" ht="17.25" thickBot="1" x14ac:dyDescent="0.35"/>
    <row r="50" spans="1:9" ht="16.5" customHeight="1" x14ac:dyDescent="0.3">
      <c r="A50" s="16" t="s">
        <v>238</v>
      </c>
      <c r="B50" s="18"/>
      <c r="C50" s="18"/>
      <c r="D50" s="18"/>
      <c r="E50" s="18"/>
      <c r="F50" s="18"/>
    </row>
    <row r="51" spans="1:9" ht="16.5" customHeight="1" x14ac:dyDescent="0.3">
      <c r="A51" s="17" t="s">
        <v>239</v>
      </c>
      <c r="B51" s="19" t="s">
        <v>94</v>
      </c>
      <c r="C51" s="19" t="s">
        <v>240</v>
      </c>
      <c r="D51" s="3" t="s">
        <v>241</v>
      </c>
      <c r="E51" s="19" t="s">
        <v>243</v>
      </c>
      <c r="F51" s="19"/>
    </row>
    <row r="52" spans="1:9" x14ac:dyDescent="0.3">
      <c r="A52" s="17"/>
      <c r="B52" s="19"/>
      <c r="C52" s="19"/>
      <c r="D52" s="3" t="s">
        <v>242</v>
      </c>
      <c r="E52" s="19"/>
      <c r="F52" s="19"/>
    </row>
    <row r="53" spans="1:9" x14ac:dyDescent="0.3">
      <c r="A53" s="13" t="s">
        <v>117</v>
      </c>
      <c r="B53" s="2">
        <v>68635</v>
      </c>
      <c r="C53" s="2">
        <v>35.601097000000003</v>
      </c>
      <c r="D53" s="2">
        <v>3.8943999999999999E-2</v>
      </c>
      <c r="E53" s="2">
        <v>35.524735800000002</v>
      </c>
      <c r="F53" s="2">
        <v>35.677458399999999</v>
      </c>
    </row>
    <row r="57" spans="1:9" x14ac:dyDescent="0.3">
      <c r="A57" s="1" t="s">
        <v>237</v>
      </c>
    </row>
    <row r="59" spans="1:9" x14ac:dyDescent="0.3">
      <c r="A59" s="1" t="s">
        <v>21</v>
      </c>
    </row>
    <row r="60" spans="1:9" ht="17.25" thickBot="1" x14ac:dyDescent="0.35"/>
    <row r="61" spans="1:9" ht="16.5" customHeight="1" x14ac:dyDescent="0.3">
      <c r="A61" s="16" t="s">
        <v>266</v>
      </c>
      <c r="B61" s="18"/>
      <c r="C61" s="18"/>
      <c r="D61" s="18"/>
      <c r="E61" s="18"/>
      <c r="F61" s="18"/>
      <c r="G61" s="18"/>
    </row>
    <row r="62" spans="1:9" ht="16.5" customHeight="1" x14ac:dyDescent="0.3">
      <c r="A62" s="17" t="s">
        <v>2</v>
      </c>
      <c r="B62" s="19" t="s">
        <v>239</v>
      </c>
      <c r="C62" s="19" t="s">
        <v>94</v>
      </c>
      <c r="D62" s="19" t="s">
        <v>240</v>
      </c>
      <c r="E62" s="3" t="s">
        <v>241</v>
      </c>
      <c r="F62" s="19" t="s">
        <v>243</v>
      </c>
      <c r="G62" s="19"/>
    </row>
    <row r="63" spans="1:9" x14ac:dyDescent="0.3">
      <c r="A63" s="17"/>
      <c r="B63" s="19"/>
      <c r="C63" s="19"/>
      <c r="D63" s="19"/>
      <c r="E63" s="3" t="s">
        <v>242</v>
      </c>
      <c r="F63" s="19"/>
      <c r="G63" s="19"/>
    </row>
    <row r="64" spans="1:9" ht="17.25" thickBot="1" x14ac:dyDescent="0.35">
      <c r="A64" s="6">
        <v>1</v>
      </c>
      <c r="B64" s="11" t="s">
        <v>117</v>
      </c>
      <c r="C64" s="2">
        <v>21079</v>
      </c>
      <c r="D64" s="2">
        <v>34.226472000000001</v>
      </c>
      <c r="E64" s="2">
        <v>6.8033999999999997E-2</v>
      </c>
      <c r="F64" s="2">
        <v>34.093071299999998</v>
      </c>
      <c r="G64" s="2">
        <v>34.3598736</v>
      </c>
      <c r="I64" t="str">
        <f t="shared" ref="I64:I66" si="0">TEXT(D64,"0.00")&amp;" ("&amp;TEXT(F64,"0.00")&amp;" to "&amp;TEXT(G64,"0.00")&amp;")"</f>
        <v>34.23 (34.09 to 34.36)</v>
      </c>
    </row>
    <row r="65" spans="1:9" ht="17.25" thickBot="1" x14ac:dyDescent="0.35">
      <c r="A65" s="6">
        <v>2</v>
      </c>
      <c r="B65" s="11" t="s">
        <v>117</v>
      </c>
      <c r="C65" s="2">
        <v>33470</v>
      </c>
      <c r="D65" s="2">
        <v>36.479357</v>
      </c>
      <c r="E65" s="2">
        <v>4.7341000000000001E-2</v>
      </c>
      <c r="F65" s="2">
        <v>36.386530499999999</v>
      </c>
      <c r="G65" s="2">
        <v>36.572184</v>
      </c>
      <c r="I65" t="str">
        <f t="shared" si="0"/>
        <v>36.48 (36.39 to 36.57)</v>
      </c>
    </row>
    <row r="66" spans="1:9" x14ac:dyDescent="0.3">
      <c r="A66" s="6">
        <v>3</v>
      </c>
      <c r="B66" s="14" t="s">
        <v>117</v>
      </c>
      <c r="C66" s="2">
        <v>14086</v>
      </c>
      <c r="D66" s="2">
        <v>36.504083999999999</v>
      </c>
      <c r="E66" s="2">
        <v>6.5334000000000003E-2</v>
      </c>
      <c r="F66" s="2">
        <v>36.3759765</v>
      </c>
      <c r="G66" s="2">
        <v>36.632191200000001</v>
      </c>
      <c r="I66" t="str">
        <f t="shared" si="0"/>
        <v>36.50 (36.38 to 36.63)</v>
      </c>
    </row>
    <row r="70" spans="1:9" x14ac:dyDescent="0.3">
      <c r="A70" s="1" t="s">
        <v>237</v>
      </c>
    </row>
    <row r="72" spans="1:9" x14ac:dyDescent="0.3">
      <c r="A72" s="1" t="s">
        <v>1</v>
      </c>
    </row>
    <row r="73" spans="1:9" ht="17.25" thickBot="1" x14ac:dyDescent="0.35"/>
    <row r="74" spans="1:9" ht="16.5" customHeight="1" x14ac:dyDescent="0.3">
      <c r="A74" s="16" t="s">
        <v>135</v>
      </c>
      <c r="B74" s="18"/>
    </row>
    <row r="75" spans="1:9" ht="26.25" thickBot="1" x14ac:dyDescent="0.35">
      <c r="A75" s="12" t="s">
        <v>136</v>
      </c>
      <c r="B75" s="2">
        <v>183</v>
      </c>
    </row>
    <row r="76" spans="1:9" ht="26.25" thickBot="1" x14ac:dyDescent="0.35">
      <c r="A76" s="12" t="s">
        <v>137</v>
      </c>
      <c r="B76" s="2">
        <v>2949</v>
      </c>
    </row>
    <row r="77" spans="1:9" ht="39" thickBot="1" x14ac:dyDescent="0.35">
      <c r="A77" s="12" t="s">
        <v>138</v>
      </c>
      <c r="B77" s="2">
        <v>23222</v>
      </c>
    </row>
    <row r="78" spans="1:9" ht="25.5" x14ac:dyDescent="0.3">
      <c r="A78" s="13" t="s">
        <v>139</v>
      </c>
      <c r="B78" s="2">
        <v>9036880.5199999996</v>
      </c>
    </row>
    <row r="79" spans="1:9" ht="17.25" thickBot="1" x14ac:dyDescent="0.35"/>
    <row r="80" spans="1:9" ht="33" customHeight="1" x14ac:dyDescent="0.3">
      <c r="A80" s="16" t="s">
        <v>140</v>
      </c>
      <c r="B80" s="18"/>
    </row>
    <row r="81" spans="1:7" ht="33.75" thickBot="1" x14ac:dyDescent="0.35">
      <c r="A81" s="12" t="s">
        <v>141</v>
      </c>
      <c r="B81" s="2" t="s">
        <v>142</v>
      </c>
    </row>
    <row r="82" spans="1:7" ht="25.5" x14ac:dyDescent="0.3">
      <c r="A82" s="13" t="s">
        <v>143</v>
      </c>
      <c r="B82" s="2" t="s">
        <v>144</v>
      </c>
    </row>
    <row r="83" spans="1:7" ht="17.25" thickBot="1" x14ac:dyDescent="0.35"/>
    <row r="84" spans="1:7" ht="16.5" customHeight="1" x14ac:dyDescent="0.3">
      <c r="A84" s="16" t="s">
        <v>238</v>
      </c>
      <c r="B84" s="18"/>
      <c r="C84" s="18"/>
      <c r="D84" s="18"/>
      <c r="E84" s="18"/>
      <c r="F84" s="18"/>
    </row>
    <row r="85" spans="1:7" ht="16.5" customHeight="1" x14ac:dyDescent="0.3">
      <c r="A85" s="17" t="s">
        <v>239</v>
      </c>
      <c r="B85" s="19" t="s">
        <v>94</v>
      </c>
      <c r="C85" s="19" t="s">
        <v>240</v>
      </c>
      <c r="D85" s="3" t="s">
        <v>241</v>
      </c>
      <c r="E85" s="19" t="s">
        <v>243</v>
      </c>
      <c r="F85" s="19"/>
    </row>
    <row r="86" spans="1:7" x14ac:dyDescent="0.3">
      <c r="A86" s="17"/>
      <c r="B86" s="19"/>
      <c r="C86" s="19"/>
      <c r="D86" s="3" t="s">
        <v>242</v>
      </c>
      <c r="E86" s="19"/>
      <c r="F86" s="19"/>
    </row>
    <row r="87" spans="1:7" x14ac:dyDescent="0.3">
      <c r="A87" s="13" t="s">
        <v>117</v>
      </c>
      <c r="B87" s="2">
        <v>23222</v>
      </c>
      <c r="C87" s="2">
        <v>33.805624000000002</v>
      </c>
      <c r="D87" s="2">
        <v>7.0877999999999997E-2</v>
      </c>
      <c r="E87" s="2">
        <v>33.666644300000002</v>
      </c>
      <c r="F87" s="2">
        <v>33.944603299999997</v>
      </c>
    </row>
    <row r="91" spans="1:7" x14ac:dyDescent="0.3">
      <c r="A91" s="1" t="s">
        <v>237</v>
      </c>
    </row>
    <row r="93" spans="1:7" x14ac:dyDescent="0.3">
      <c r="A93" s="1" t="s">
        <v>1</v>
      </c>
    </row>
    <row r="94" spans="1:7" ht="17.25" thickBot="1" x14ac:dyDescent="0.35"/>
    <row r="95" spans="1:7" ht="16.5" customHeight="1" x14ac:dyDescent="0.3">
      <c r="A95" s="16" t="s">
        <v>267</v>
      </c>
      <c r="B95" s="18"/>
      <c r="C95" s="18"/>
      <c r="D95" s="18"/>
      <c r="E95" s="18"/>
      <c r="F95" s="18"/>
      <c r="G95" s="18"/>
    </row>
    <row r="96" spans="1:7" ht="16.5" customHeight="1" x14ac:dyDescent="0.3">
      <c r="A96" s="17" t="s">
        <v>6</v>
      </c>
      <c r="B96" s="19" t="s">
        <v>239</v>
      </c>
      <c r="C96" s="19" t="s">
        <v>94</v>
      </c>
      <c r="D96" s="19" t="s">
        <v>240</v>
      </c>
      <c r="E96" s="3" t="s">
        <v>241</v>
      </c>
      <c r="F96" s="19" t="s">
        <v>243</v>
      </c>
      <c r="G96" s="19"/>
    </row>
    <row r="97" spans="1:7" x14ac:dyDescent="0.3">
      <c r="A97" s="17"/>
      <c r="B97" s="19"/>
      <c r="C97" s="19"/>
      <c r="D97" s="19"/>
      <c r="E97" s="3" t="s">
        <v>242</v>
      </c>
      <c r="F97" s="19"/>
      <c r="G97" s="19"/>
    </row>
    <row r="98" spans="1:7" ht="17.25" thickBot="1" x14ac:dyDescent="0.35">
      <c r="A98" s="6">
        <v>1</v>
      </c>
      <c r="B98" s="11" t="s">
        <v>117</v>
      </c>
      <c r="C98" s="2">
        <v>8741</v>
      </c>
      <c r="D98" s="2">
        <v>34.388227000000001</v>
      </c>
      <c r="E98" s="2">
        <v>0.113288</v>
      </c>
      <c r="F98" s="2">
        <v>34.166088899999998</v>
      </c>
      <c r="G98" s="2">
        <v>34.610364699999998</v>
      </c>
    </row>
    <row r="99" spans="1:7" x14ac:dyDescent="0.3">
      <c r="A99" s="6">
        <v>2</v>
      </c>
      <c r="B99" s="14" t="s">
        <v>117</v>
      </c>
      <c r="C99" s="2">
        <v>14481</v>
      </c>
      <c r="D99" s="2">
        <v>33.363033999999999</v>
      </c>
      <c r="E99" s="2">
        <v>8.0461000000000005E-2</v>
      </c>
      <c r="F99" s="2">
        <v>33.205264300000003</v>
      </c>
      <c r="G99" s="2">
        <v>33.520802699999997</v>
      </c>
    </row>
    <row r="103" spans="1:7" x14ac:dyDescent="0.3">
      <c r="A103" s="1" t="s">
        <v>237</v>
      </c>
    </row>
    <row r="105" spans="1:7" x14ac:dyDescent="0.3">
      <c r="A105" s="1" t="s">
        <v>21</v>
      </c>
    </row>
    <row r="106" spans="1:7" ht="17.25" thickBot="1" x14ac:dyDescent="0.35"/>
    <row r="107" spans="1:7" ht="16.5" customHeight="1" x14ac:dyDescent="0.3">
      <c r="A107" s="16" t="s">
        <v>135</v>
      </c>
      <c r="B107" s="18"/>
    </row>
    <row r="108" spans="1:7" ht="26.25" thickBot="1" x14ac:dyDescent="0.35">
      <c r="A108" s="12" t="s">
        <v>136</v>
      </c>
      <c r="B108" s="2">
        <v>183</v>
      </c>
    </row>
    <row r="109" spans="1:7" ht="26.25" thickBot="1" x14ac:dyDescent="0.35">
      <c r="A109" s="12" t="s">
        <v>137</v>
      </c>
      <c r="B109" s="2">
        <v>2982</v>
      </c>
    </row>
    <row r="110" spans="1:7" ht="39" thickBot="1" x14ac:dyDescent="0.35">
      <c r="A110" s="12" t="s">
        <v>138</v>
      </c>
      <c r="B110" s="2">
        <v>68635</v>
      </c>
    </row>
    <row r="111" spans="1:7" ht="25.5" x14ac:dyDescent="0.3">
      <c r="A111" s="13" t="s">
        <v>139</v>
      </c>
      <c r="B111" s="2">
        <v>30251935.699999999</v>
      </c>
    </row>
    <row r="112" spans="1:7" ht="17.25" thickBot="1" x14ac:dyDescent="0.35"/>
    <row r="113" spans="1:7" ht="33" customHeight="1" x14ac:dyDescent="0.3">
      <c r="A113" s="16" t="s">
        <v>140</v>
      </c>
      <c r="B113" s="18"/>
    </row>
    <row r="114" spans="1:7" ht="33.75" thickBot="1" x14ac:dyDescent="0.35">
      <c r="A114" s="12" t="s">
        <v>141</v>
      </c>
      <c r="B114" s="2" t="s">
        <v>142</v>
      </c>
    </row>
    <row r="115" spans="1:7" ht="25.5" x14ac:dyDescent="0.3">
      <c r="A115" s="13" t="s">
        <v>143</v>
      </c>
      <c r="B115" s="2" t="s">
        <v>144</v>
      </c>
    </row>
    <row r="116" spans="1:7" ht="17.25" thickBot="1" x14ac:dyDescent="0.35"/>
    <row r="117" spans="1:7" ht="16.5" customHeight="1" x14ac:dyDescent="0.3">
      <c r="A117" s="16" t="s">
        <v>238</v>
      </c>
      <c r="B117" s="18"/>
      <c r="C117" s="18"/>
      <c r="D117" s="18"/>
      <c r="E117" s="18"/>
      <c r="F117" s="18"/>
    </row>
    <row r="118" spans="1:7" ht="16.5" customHeight="1" x14ac:dyDescent="0.3">
      <c r="A118" s="17" t="s">
        <v>239</v>
      </c>
      <c r="B118" s="19" t="s">
        <v>94</v>
      </c>
      <c r="C118" s="19" t="s">
        <v>240</v>
      </c>
      <c r="D118" s="3" t="s">
        <v>241</v>
      </c>
      <c r="E118" s="19" t="s">
        <v>243</v>
      </c>
      <c r="F118" s="19"/>
    </row>
    <row r="119" spans="1:7" x14ac:dyDescent="0.3">
      <c r="A119" s="17"/>
      <c r="B119" s="19"/>
      <c r="C119" s="19"/>
      <c r="D119" s="3" t="s">
        <v>242</v>
      </c>
      <c r="E119" s="19"/>
      <c r="F119" s="19"/>
    </row>
    <row r="120" spans="1:7" x14ac:dyDescent="0.3">
      <c r="A120" s="13" t="s">
        <v>117</v>
      </c>
      <c r="B120" s="2">
        <v>68635</v>
      </c>
      <c r="C120" s="2">
        <v>35.601097000000003</v>
      </c>
      <c r="D120" s="2">
        <v>3.8943999999999999E-2</v>
      </c>
      <c r="E120" s="2">
        <v>35.524735800000002</v>
      </c>
      <c r="F120" s="2">
        <v>35.677458399999999</v>
      </c>
    </row>
    <row r="124" spans="1:7" x14ac:dyDescent="0.3">
      <c r="A124" s="1" t="s">
        <v>237</v>
      </c>
    </row>
    <row r="126" spans="1:7" x14ac:dyDescent="0.3">
      <c r="A126" s="1" t="s">
        <v>21</v>
      </c>
    </row>
    <row r="127" spans="1:7" ht="17.25" thickBot="1" x14ac:dyDescent="0.35"/>
    <row r="128" spans="1:7" ht="16.5" customHeight="1" x14ac:dyDescent="0.3">
      <c r="A128" s="16" t="s">
        <v>267</v>
      </c>
      <c r="B128" s="18"/>
      <c r="C128" s="18"/>
      <c r="D128" s="18"/>
      <c r="E128" s="18"/>
      <c r="F128" s="18"/>
      <c r="G128" s="18"/>
    </row>
    <row r="129" spans="1:9" ht="16.5" customHeight="1" x14ac:dyDescent="0.3">
      <c r="A129" s="17" t="s">
        <v>6</v>
      </c>
      <c r="B129" s="19" t="s">
        <v>239</v>
      </c>
      <c r="C129" s="19" t="s">
        <v>94</v>
      </c>
      <c r="D129" s="19" t="s">
        <v>240</v>
      </c>
      <c r="E129" s="3" t="s">
        <v>241</v>
      </c>
      <c r="F129" s="19" t="s">
        <v>243</v>
      </c>
      <c r="G129" s="19"/>
    </row>
    <row r="130" spans="1:9" x14ac:dyDescent="0.3">
      <c r="A130" s="17"/>
      <c r="B130" s="19"/>
      <c r="C130" s="19"/>
      <c r="D130" s="19"/>
      <c r="E130" s="3" t="s">
        <v>242</v>
      </c>
      <c r="F130" s="19"/>
      <c r="G130" s="19"/>
    </row>
    <row r="131" spans="1:9" ht="17.25" thickBot="1" x14ac:dyDescent="0.35">
      <c r="A131" s="6">
        <v>1</v>
      </c>
      <c r="B131" s="11" t="s">
        <v>117</v>
      </c>
      <c r="C131" s="2">
        <v>33200</v>
      </c>
      <c r="D131" s="2">
        <v>37.507292999999997</v>
      </c>
      <c r="E131" s="2">
        <v>5.0876999999999999E-2</v>
      </c>
      <c r="F131" s="2">
        <v>37.407531900000002</v>
      </c>
      <c r="G131" s="2">
        <v>37.607054099999999</v>
      </c>
      <c r="I131" t="str">
        <f t="shared" ref="I131:I132" si="1">TEXT(D131,"0.00")&amp;" ("&amp;TEXT(F131,"0.00")&amp;" to "&amp;TEXT(G131,"0.00")&amp;")"</f>
        <v>37.51 (37.41 to 37.61)</v>
      </c>
    </row>
    <row r="132" spans="1:9" x14ac:dyDescent="0.3">
      <c r="A132" s="6">
        <v>2</v>
      </c>
      <c r="B132" s="14" t="s">
        <v>117</v>
      </c>
      <c r="C132" s="2">
        <v>35435</v>
      </c>
      <c r="D132" s="2">
        <v>33.329529000000001</v>
      </c>
      <c r="E132" s="2">
        <v>5.1532000000000001E-2</v>
      </c>
      <c r="F132" s="2">
        <v>33.228483599999997</v>
      </c>
      <c r="G132" s="2">
        <v>33.4305746</v>
      </c>
      <c r="I132" t="str">
        <f t="shared" si="1"/>
        <v>33.33 (33.23 to 33.43)</v>
      </c>
    </row>
    <row r="136" spans="1:9" x14ac:dyDescent="0.3">
      <c r="A136" s="1" t="s">
        <v>237</v>
      </c>
    </row>
    <row r="138" spans="1:9" x14ac:dyDescent="0.3">
      <c r="A138" s="1" t="s">
        <v>1</v>
      </c>
    </row>
    <row r="139" spans="1:9" ht="17.25" thickBot="1" x14ac:dyDescent="0.35"/>
    <row r="140" spans="1:9" ht="16.5" customHeight="1" x14ac:dyDescent="0.3">
      <c r="A140" s="16" t="s">
        <v>135</v>
      </c>
      <c r="B140" s="18"/>
    </row>
    <row r="141" spans="1:9" ht="26.25" thickBot="1" x14ac:dyDescent="0.35">
      <c r="A141" s="12" t="s">
        <v>136</v>
      </c>
      <c r="B141" s="2">
        <v>183</v>
      </c>
    </row>
    <row r="142" spans="1:9" ht="26.25" thickBot="1" x14ac:dyDescent="0.35">
      <c r="A142" s="12" t="s">
        <v>137</v>
      </c>
      <c r="B142" s="2">
        <v>2949</v>
      </c>
    </row>
    <row r="143" spans="1:9" ht="39" thickBot="1" x14ac:dyDescent="0.35">
      <c r="A143" s="12" t="s">
        <v>138</v>
      </c>
      <c r="B143" s="2">
        <v>23222</v>
      </c>
    </row>
    <row r="144" spans="1:9" ht="25.5" x14ac:dyDescent="0.3">
      <c r="A144" s="13" t="s">
        <v>139</v>
      </c>
      <c r="B144" s="2">
        <v>9036880.5199999996</v>
      </c>
    </row>
    <row r="145" spans="1:6" ht="17.25" thickBot="1" x14ac:dyDescent="0.35"/>
    <row r="146" spans="1:6" ht="33" customHeight="1" x14ac:dyDescent="0.3">
      <c r="A146" s="16" t="s">
        <v>140</v>
      </c>
      <c r="B146" s="18"/>
    </row>
    <row r="147" spans="1:6" ht="33.75" thickBot="1" x14ac:dyDescent="0.35">
      <c r="A147" s="12" t="s">
        <v>141</v>
      </c>
      <c r="B147" s="2" t="s">
        <v>142</v>
      </c>
    </row>
    <row r="148" spans="1:6" ht="25.5" x14ac:dyDescent="0.3">
      <c r="A148" s="13" t="s">
        <v>143</v>
      </c>
      <c r="B148" s="2" t="s">
        <v>144</v>
      </c>
    </row>
    <row r="149" spans="1:6" ht="17.25" thickBot="1" x14ac:dyDescent="0.35"/>
    <row r="150" spans="1:6" ht="16.5" customHeight="1" x14ac:dyDescent="0.3">
      <c r="A150" s="16" t="s">
        <v>238</v>
      </c>
      <c r="B150" s="18"/>
      <c r="C150" s="18"/>
      <c r="D150" s="18"/>
      <c r="E150" s="18"/>
      <c r="F150" s="18"/>
    </row>
    <row r="151" spans="1:6" ht="16.5" customHeight="1" x14ac:dyDescent="0.3">
      <c r="A151" s="17" t="s">
        <v>239</v>
      </c>
      <c r="B151" s="19" t="s">
        <v>94</v>
      </c>
      <c r="C151" s="19" t="s">
        <v>240</v>
      </c>
      <c r="D151" s="3" t="s">
        <v>241</v>
      </c>
      <c r="E151" s="19" t="s">
        <v>243</v>
      </c>
      <c r="F151" s="19"/>
    </row>
    <row r="152" spans="1:6" x14ac:dyDescent="0.3">
      <c r="A152" s="17"/>
      <c r="B152" s="19"/>
      <c r="C152" s="19"/>
      <c r="D152" s="3" t="s">
        <v>242</v>
      </c>
      <c r="E152" s="19"/>
      <c r="F152" s="19"/>
    </row>
    <row r="153" spans="1:6" x14ac:dyDescent="0.3">
      <c r="A153" s="13" t="s">
        <v>117</v>
      </c>
      <c r="B153" s="2">
        <v>23222</v>
      </c>
      <c r="C153" s="2">
        <v>33.805624000000002</v>
      </c>
      <c r="D153" s="2">
        <v>7.0877999999999997E-2</v>
      </c>
      <c r="E153" s="2">
        <v>33.666644300000002</v>
      </c>
      <c r="F153" s="2">
        <v>33.944603299999997</v>
      </c>
    </row>
    <row r="157" spans="1:6" x14ac:dyDescent="0.3">
      <c r="A157" s="1" t="s">
        <v>237</v>
      </c>
    </row>
    <row r="159" spans="1:6" x14ac:dyDescent="0.3">
      <c r="A159" s="1" t="s">
        <v>1</v>
      </c>
    </row>
    <row r="160" spans="1:6" ht="17.25" thickBot="1" x14ac:dyDescent="0.35"/>
    <row r="161" spans="1:7" ht="16.5" customHeight="1" x14ac:dyDescent="0.3">
      <c r="A161" s="16" t="s">
        <v>268</v>
      </c>
      <c r="B161" s="18"/>
      <c r="C161" s="18"/>
      <c r="D161" s="18"/>
      <c r="E161" s="18"/>
      <c r="F161" s="18"/>
      <c r="G161" s="18"/>
    </row>
    <row r="162" spans="1:7" ht="16.5" customHeight="1" x14ac:dyDescent="0.3">
      <c r="A162" s="17" t="s">
        <v>7</v>
      </c>
      <c r="B162" s="19" t="s">
        <v>239</v>
      </c>
      <c r="C162" s="19" t="s">
        <v>94</v>
      </c>
      <c r="D162" s="19" t="s">
        <v>240</v>
      </c>
      <c r="E162" s="3" t="s">
        <v>241</v>
      </c>
      <c r="F162" s="19" t="s">
        <v>243</v>
      </c>
      <c r="G162" s="19"/>
    </row>
    <row r="163" spans="1:7" x14ac:dyDescent="0.3">
      <c r="A163" s="17"/>
      <c r="B163" s="19"/>
      <c r="C163" s="19"/>
      <c r="D163" s="19"/>
      <c r="E163" s="3" t="s">
        <v>242</v>
      </c>
      <c r="F163" s="19"/>
      <c r="G163" s="19"/>
    </row>
    <row r="164" spans="1:7" ht="17.25" thickBot="1" x14ac:dyDescent="0.35">
      <c r="A164" s="6">
        <v>1</v>
      </c>
      <c r="B164" s="11" t="s">
        <v>117</v>
      </c>
      <c r="C164" s="2">
        <v>17769</v>
      </c>
      <c r="D164" s="2">
        <v>33.572800000000001</v>
      </c>
      <c r="E164" s="2">
        <v>8.0102999999999994E-2</v>
      </c>
      <c r="F164" s="2">
        <v>33.4157315</v>
      </c>
      <c r="G164" s="2">
        <v>33.7298677</v>
      </c>
    </row>
    <row r="165" spans="1:7" x14ac:dyDescent="0.3">
      <c r="A165" s="6">
        <v>2</v>
      </c>
      <c r="B165" s="14" t="s">
        <v>117</v>
      </c>
      <c r="C165" s="2">
        <v>5453</v>
      </c>
      <c r="D165" s="2">
        <v>34.747036999999999</v>
      </c>
      <c r="E165" s="2">
        <v>0.15848699999999999</v>
      </c>
      <c r="F165" s="2">
        <v>34.436273100000001</v>
      </c>
      <c r="G165" s="2">
        <v>35.057800800000003</v>
      </c>
    </row>
    <row r="169" spans="1:7" x14ac:dyDescent="0.3">
      <c r="A169" s="1" t="s">
        <v>237</v>
      </c>
    </row>
    <row r="171" spans="1:7" x14ac:dyDescent="0.3">
      <c r="A171" s="1" t="s">
        <v>21</v>
      </c>
    </row>
    <row r="172" spans="1:7" ht="17.25" thickBot="1" x14ac:dyDescent="0.35"/>
    <row r="173" spans="1:7" ht="16.5" customHeight="1" x14ac:dyDescent="0.3">
      <c r="A173" s="16" t="s">
        <v>135</v>
      </c>
      <c r="B173" s="18"/>
    </row>
    <row r="174" spans="1:7" ht="26.25" thickBot="1" x14ac:dyDescent="0.35">
      <c r="A174" s="12" t="s">
        <v>136</v>
      </c>
      <c r="B174" s="2">
        <v>183</v>
      </c>
    </row>
    <row r="175" spans="1:7" ht="26.25" thickBot="1" x14ac:dyDescent="0.35">
      <c r="A175" s="12" t="s">
        <v>137</v>
      </c>
      <c r="B175" s="2">
        <v>2982</v>
      </c>
    </row>
    <row r="176" spans="1:7" ht="39" thickBot="1" x14ac:dyDescent="0.35">
      <c r="A176" s="12" t="s">
        <v>138</v>
      </c>
      <c r="B176" s="2">
        <v>68635</v>
      </c>
    </row>
    <row r="177" spans="1:6" ht="25.5" x14ac:dyDescent="0.3">
      <c r="A177" s="13" t="s">
        <v>139</v>
      </c>
      <c r="B177" s="2">
        <v>30251935.699999999</v>
      </c>
    </row>
    <row r="178" spans="1:6" ht="17.25" thickBot="1" x14ac:dyDescent="0.35"/>
    <row r="179" spans="1:6" ht="33" customHeight="1" x14ac:dyDescent="0.3">
      <c r="A179" s="16" t="s">
        <v>140</v>
      </c>
      <c r="B179" s="18"/>
    </row>
    <row r="180" spans="1:6" ht="33.75" thickBot="1" x14ac:dyDescent="0.35">
      <c r="A180" s="12" t="s">
        <v>141</v>
      </c>
      <c r="B180" s="2" t="s">
        <v>142</v>
      </c>
    </row>
    <row r="181" spans="1:6" ht="25.5" x14ac:dyDescent="0.3">
      <c r="A181" s="13" t="s">
        <v>143</v>
      </c>
      <c r="B181" s="2" t="s">
        <v>144</v>
      </c>
    </row>
    <row r="182" spans="1:6" ht="17.25" thickBot="1" x14ac:dyDescent="0.35"/>
    <row r="183" spans="1:6" ht="16.5" customHeight="1" x14ac:dyDescent="0.3">
      <c r="A183" s="16" t="s">
        <v>238</v>
      </c>
      <c r="B183" s="18"/>
      <c r="C183" s="18"/>
      <c r="D183" s="18"/>
      <c r="E183" s="18"/>
      <c r="F183" s="18"/>
    </row>
    <row r="184" spans="1:6" ht="16.5" customHeight="1" x14ac:dyDescent="0.3">
      <c r="A184" s="17" t="s">
        <v>239</v>
      </c>
      <c r="B184" s="19" t="s">
        <v>94</v>
      </c>
      <c r="C184" s="19" t="s">
        <v>240</v>
      </c>
      <c r="D184" s="3" t="s">
        <v>241</v>
      </c>
      <c r="E184" s="19" t="s">
        <v>243</v>
      </c>
      <c r="F184" s="19"/>
    </row>
    <row r="185" spans="1:6" x14ac:dyDescent="0.3">
      <c r="A185" s="17"/>
      <c r="B185" s="19"/>
      <c r="C185" s="19"/>
      <c r="D185" s="3" t="s">
        <v>242</v>
      </c>
      <c r="E185" s="19"/>
      <c r="F185" s="19"/>
    </row>
    <row r="186" spans="1:6" x14ac:dyDescent="0.3">
      <c r="A186" s="13" t="s">
        <v>117</v>
      </c>
      <c r="B186" s="2">
        <v>68635</v>
      </c>
      <c r="C186" s="2">
        <v>35.601097000000003</v>
      </c>
      <c r="D186" s="2">
        <v>3.8943999999999999E-2</v>
      </c>
      <c r="E186" s="2">
        <v>35.524735800000002</v>
      </c>
      <c r="F186" s="2">
        <v>35.677458399999999</v>
      </c>
    </row>
    <row r="190" spans="1:6" x14ac:dyDescent="0.3">
      <c r="A190" s="1" t="s">
        <v>237</v>
      </c>
    </row>
    <row r="192" spans="1:6" x14ac:dyDescent="0.3">
      <c r="A192" s="1" t="s">
        <v>21</v>
      </c>
    </row>
    <row r="193" spans="1:9" ht="17.25" thickBot="1" x14ac:dyDescent="0.35"/>
    <row r="194" spans="1:9" ht="16.5" customHeight="1" x14ac:dyDescent="0.3">
      <c r="A194" s="16" t="s">
        <v>268</v>
      </c>
      <c r="B194" s="18"/>
      <c r="C194" s="18"/>
      <c r="D194" s="18"/>
      <c r="E194" s="18"/>
      <c r="F194" s="18"/>
      <c r="G194" s="18"/>
    </row>
    <row r="195" spans="1:9" ht="16.5" customHeight="1" x14ac:dyDescent="0.3">
      <c r="A195" s="17" t="s">
        <v>7</v>
      </c>
      <c r="B195" s="19" t="s">
        <v>239</v>
      </c>
      <c r="C195" s="19" t="s">
        <v>94</v>
      </c>
      <c r="D195" s="19" t="s">
        <v>240</v>
      </c>
      <c r="E195" s="3" t="s">
        <v>241</v>
      </c>
      <c r="F195" s="19" t="s">
        <v>243</v>
      </c>
      <c r="G195" s="19"/>
    </row>
    <row r="196" spans="1:9" x14ac:dyDescent="0.3">
      <c r="A196" s="17"/>
      <c r="B196" s="19"/>
      <c r="C196" s="19"/>
      <c r="D196" s="19"/>
      <c r="E196" s="3" t="s">
        <v>242</v>
      </c>
      <c r="F196" s="19"/>
      <c r="G196" s="19"/>
    </row>
    <row r="197" spans="1:9" ht="17.25" thickBot="1" x14ac:dyDescent="0.35">
      <c r="A197" s="6">
        <v>1</v>
      </c>
      <c r="B197" s="11" t="s">
        <v>117</v>
      </c>
      <c r="C197" s="2">
        <v>55176</v>
      </c>
      <c r="D197" s="2">
        <v>35.433774999999997</v>
      </c>
      <c r="E197" s="2">
        <v>4.2287999999999999E-2</v>
      </c>
      <c r="F197" s="2">
        <v>35.350856499999999</v>
      </c>
      <c r="G197" s="2">
        <v>35.516693600000004</v>
      </c>
      <c r="I197" t="str">
        <f t="shared" ref="I197:I198" si="2">TEXT(D197,"0.00")&amp;" ("&amp;TEXT(F197,"0.00")&amp;" to "&amp;TEXT(G197,"0.00")&amp;")"</f>
        <v>35.43 (35.35 to 35.52)</v>
      </c>
    </row>
    <row r="198" spans="1:9" x14ac:dyDescent="0.3">
      <c r="A198" s="6">
        <v>2</v>
      </c>
      <c r="B198" s="14" t="s">
        <v>117</v>
      </c>
      <c r="C198" s="2">
        <v>13459</v>
      </c>
      <c r="D198" s="2">
        <v>36.475332000000002</v>
      </c>
      <c r="E198" s="2">
        <v>0.10033499999999999</v>
      </c>
      <c r="F198" s="2">
        <v>36.278593600000001</v>
      </c>
      <c r="G198" s="2">
        <v>36.672069399999998</v>
      </c>
      <c r="I198" t="str">
        <f t="shared" si="2"/>
        <v>36.48 (36.28 to 36.67)</v>
      </c>
    </row>
    <row r="202" spans="1:9" x14ac:dyDescent="0.3">
      <c r="A202" s="1" t="s">
        <v>237</v>
      </c>
    </row>
    <row r="204" spans="1:9" x14ac:dyDescent="0.3">
      <c r="A204" s="1" t="s">
        <v>1</v>
      </c>
    </row>
    <row r="205" spans="1:9" ht="17.25" thickBot="1" x14ac:dyDescent="0.35"/>
    <row r="206" spans="1:9" ht="16.5" customHeight="1" x14ac:dyDescent="0.3">
      <c r="A206" s="16" t="s">
        <v>135</v>
      </c>
      <c r="B206" s="18"/>
    </row>
    <row r="207" spans="1:9" ht="26.25" thickBot="1" x14ac:dyDescent="0.35">
      <c r="A207" s="12" t="s">
        <v>136</v>
      </c>
      <c r="B207" s="2">
        <v>183</v>
      </c>
    </row>
    <row r="208" spans="1:9" ht="26.25" thickBot="1" x14ac:dyDescent="0.35">
      <c r="A208" s="12" t="s">
        <v>137</v>
      </c>
      <c r="B208" s="2">
        <v>2949</v>
      </c>
    </row>
    <row r="209" spans="1:6" ht="39" thickBot="1" x14ac:dyDescent="0.35">
      <c r="A209" s="12" t="s">
        <v>138</v>
      </c>
      <c r="B209" s="2">
        <v>23222</v>
      </c>
    </row>
    <row r="210" spans="1:6" ht="25.5" x14ac:dyDescent="0.3">
      <c r="A210" s="13" t="s">
        <v>139</v>
      </c>
      <c r="B210" s="2">
        <v>9036880.5199999996</v>
      </c>
    </row>
    <row r="211" spans="1:6" ht="17.25" thickBot="1" x14ac:dyDescent="0.35"/>
    <row r="212" spans="1:6" ht="33" customHeight="1" x14ac:dyDescent="0.3">
      <c r="A212" s="16" t="s">
        <v>140</v>
      </c>
      <c r="B212" s="18"/>
    </row>
    <row r="213" spans="1:6" ht="33.75" thickBot="1" x14ac:dyDescent="0.35">
      <c r="A213" s="12" t="s">
        <v>141</v>
      </c>
      <c r="B213" s="2" t="s">
        <v>142</v>
      </c>
    </row>
    <row r="214" spans="1:6" ht="25.5" x14ac:dyDescent="0.3">
      <c r="A214" s="13" t="s">
        <v>143</v>
      </c>
      <c r="B214" s="2" t="s">
        <v>144</v>
      </c>
    </row>
    <row r="215" spans="1:6" ht="17.25" thickBot="1" x14ac:dyDescent="0.35"/>
    <row r="216" spans="1:6" ht="16.5" customHeight="1" x14ac:dyDescent="0.3">
      <c r="A216" s="16" t="s">
        <v>238</v>
      </c>
      <c r="B216" s="18"/>
      <c r="C216" s="18"/>
      <c r="D216" s="18"/>
      <c r="E216" s="18"/>
      <c r="F216" s="18"/>
    </row>
    <row r="217" spans="1:6" ht="16.5" customHeight="1" x14ac:dyDescent="0.3">
      <c r="A217" s="17" t="s">
        <v>239</v>
      </c>
      <c r="B217" s="19" t="s">
        <v>94</v>
      </c>
      <c r="C217" s="19" t="s">
        <v>240</v>
      </c>
      <c r="D217" s="3" t="s">
        <v>241</v>
      </c>
      <c r="E217" s="19" t="s">
        <v>243</v>
      </c>
      <c r="F217" s="19"/>
    </row>
    <row r="218" spans="1:6" x14ac:dyDescent="0.3">
      <c r="A218" s="17"/>
      <c r="B218" s="19"/>
      <c r="C218" s="19"/>
      <c r="D218" s="3" t="s">
        <v>242</v>
      </c>
      <c r="E218" s="19"/>
      <c r="F218" s="19"/>
    </row>
    <row r="219" spans="1:6" x14ac:dyDescent="0.3">
      <c r="A219" s="13" t="s">
        <v>117</v>
      </c>
      <c r="B219" s="2">
        <v>23222</v>
      </c>
      <c r="C219" s="2">
        <v>33.805624000000002</v>
      </c>
      <c r="D219" s="2">
        <v>7.0877999999999997E-2</v>
      </c>
      <c r="E219" s="2">
        <v>33.666644300000002</v>
      </c>
      <c r="F219" s="2">
        <v>33.944603299999997</v>
      </c>
    </row>
    <row r="223" spans="1:6" x14ac:dyDescent="0.3">
      <c r="A223" s="1" t="s">
        <v>237</v>
      </c>
    </row>
    <row r="225" spans="1:7" x14ac:dyDescent="0.3">
      <c r="A225" s="1" t="s">
        <v>1</v>
      </c>
    </row>
    <row r="226" spans="1:7" ht="17.25" thickBot="1" x14ac:dyDescent="0.35"/>
    <row r="227" spans="1:7" ht="16.5" customHeight="1" x14ac:dyDescent="0.3">
      <c r="A227" s="16" t="s">
        <v>269</v>
      </c>
      <c r="B227" s="18"/>
      <c r="C227" s="18"/>
      <c r="D227" s="18"/>
      <c r="E227" s="18"/>
      <c r="F227" s="18"/>
      <c r="G227" s="18"/>
    </row>
    <row r="228" spans="1:7" ht="16.5" customHeight="1" x14ac:dyDescent="0.3">
      <c r="A228" s="17" t="s">
        <v>8</v>
      </c>
      <c r="B228" s="19" t="s">
        <v>239</v>
      </c>
      <c r="C228" s="19" t="s">
        <v>94</v>
      </c>
      <c r="D228" s="19" t="s">
        <v>240</v>
      </c>
      <c r="E228" s="3" t="s">
        <v>241</v>
      </c>
      <c r="F228" s="19" t="s">
        <v>243</v>
      </c>
      <c r="G228" s="19"/>
    </row>
    <row r="229" spans="1:7" x14ac:dyDescent="0.3">
      <c r="A229" s="17"/>
      <c r="B229" s="19"/>
      <c r="C229" s="19"/>
      <c r="D229" s="19"/>
      <c r="E229" s="3" t="s">
        <v>242</v>
      </c>
      <c r="F229" s="19"/>
      <c r="G229" s="19"/>
    </row>
    <row r="230" spans="1:7" ht="17.25" thickBot="1" x14ac:dyDescent="0.35">
      <c r="A230" s="6">
        <v>1</v>
      </c>
      <c r="B230" s="11" t="s">
        <v>117</v>
      </c>
      <c r="C230" s="2">
        <v>4800</v>
      </c>
      <c r="D230" s="2">
        <v>35.947693000000001</v>
      </c>
      <c r="E230" s="2">
        <v>0.13197600000000001</v>
      </c>
      <c r="F230" s="2">
        <v>35.688912199999997</v>
      </c>
      <c r="G230" s="2">
        <v>36.2064734</v>
      </c>
    </row>
    <row r="231" spans="1:7" ht="17.25" thickBot="1" x14ac:dyDescent="0.35">
      <c r="A231" s="6">
        <v>2</v>
      </c>
      <c r="B231" s="11" t="s">
        <v>117</v>
      </c>
      <c r="C231" s="2">
        <v>4957</v>
      </c>
      <c r="D231" s="2">
        <v>32.802413999999999</v>
      </c>
      <c r="E231" s="2">
        <v>0.13733200000000001</v>
      </c>
      <c r="F231" s="2">
        <v>32.533130399999997</v>
      </c>
      <c r="G231" s="2">
        <v>33.071697499999999</v>
      </c>
    </row>
    <row r="232" spans="1:7" ht="17.25" thickBot="1" x14ac:dyDescent="0.35">
      <c r="A232" s="6">
        <v>3</v>
      </c>
      <c r="B232" s="11" t="s">
        <v>117</v>
      </c>
      <c r="C232" s="2">
        <v>5130</v>
      </c>
      <c r="D232" s="2">
        <v>33.526079000000003</v>
      </c>
      <c r="E232" s="2">
        <v>0.13678000000000001</v>
      </c>
      <c r="F232" s="2">
        <v>33.2578776</v>
      </c>
      <c r="G232" s="2">
        <v>33.794280000000001</v>
      </c>
    </row>
    <row r="233" spans="1:7" ht="17.25" thickBot="1" x14ac:dyDescent="0.35">
      <c r="A233" s="6">
        <v>4</v>
      </c>
      <c r="B233" s="11" t="s">
        <v>117</v>
      </c>
      <c r="C233" s="2">
        <v>3867</v>
      </c>
      <c r="D233" s="2">
        <v>34.446387999999999</v>
      </c>
      <c r="E233" s="2">
        <v>0.144957</v>
      </c>
      <c r="F233" s="2">
        <v>34.162152900000002</v>
      </c>
      <c r="G233" s="2">
        <v>34.730623299999998</v>
      </c>
    </row>
    <row r="234" spans="1:7" x14ac:dyDescent="0.3">
      <c r="A234" s="6">
        <v>8</v>
      </c>
      <c r="B234" s="14" t="s">
        <v>117</v>
      </c>
      <c r="C234" s="2">
        <v>4468</v>
      </c>
      <c r="D234" s="2">
        <v>32.864514999999997</v>
      </c>
      <c r="E234" s="2">
        <v>0.16231100000000001</v>
      </c>
      <c r="F234" s="2">
        <v>32.546251900000001</v>
      </c>
      <c r="G234" s="2">
        <v>33.182778999999996</v>
      </c>
    </row>
    <row r="238" spans="1:7" x14ac:dyDescent="0.3">
      <c r="A238" s="1" t="s">
        <v>237</v>
      </c>
    </row>
    <row r="240" spans="1:7" x14ac:dyDescent="0.3">
      <c r="A240" s="1" t="s">
        <v>21</v>
      </c>
    </row>
    <row r="241" spans="1:6" ht="17.25" thickBot="1" x14ac:dyDescent="0.35"/>
    <row r="242" spans="1:6" ht="16.5" customHeight="1" x14ac:dyDescent="0.3">
      <c r="A242" s="16" t="s">
        <v>135</v>
      </c>
      <c r="B242" s="18"/>
    </row>
    <row r="243" spans="1:6" ht="26.25" thickBot="1" x14ac:dyDescent="0.35">
      <c r="A243" s="12" t="s">
        <v>136</v>
      </c>
      <c r="B243" s="2">
        <v>183</v>
      </c>
    </row>
    <row r="244" spans="1:6" ht="26.25" thickBot="1" x14ac:dyDescent="0.35">
      <c r="A244" s="12" t="s">
        <v>137</v>
      </c>
      <c r="B244" s="2">
        <v>2982</v>
      </c>
    </row>
    <row r="245" spans="1:6" ht="39" thickBot="1" x14ac:dyDescent="0.35">
      <c r="A245" s="12" t="s">
        <v>138</v>
      </c>
      <c r="B245" s="2">
        <v>68635</v>
      </c>
    </row>
    <row r="246" spans="1:6" ht="25.5" x14ac:dyDescent="0.3">
      <c r="A246" s="13" t="s">
        <v>139</v>
      </c>
      <c r="B246" s="2">
        <v>30251935.699999999</v>
      </c>
    </row>
    <row r="247" spans="1:6" ht="17.25" thickBot="1" x14ac:dyDescent="0.35"/>
    <row r="248" spans="1:6" ht="33" customHeight="1" x14ac:dyDescent="0.3">
      <c r="A248" s="16" t="s">
        <v>140</v>
      </c>
      <c r="B248" s="18"/>
    </row>
    <row r="249" spans="1:6" ht="33.75" thickBot="1" x14ac:dyDescent="0.35">
      <c r="A249" s="12" t="s">
        <v>141</v>
      </c>
      <c r="B249" s="2" t="s">
        <v>142</v>
      </c>
    </row>
    <row r="250" spans="1:6" ht="25.5" x14ac:dyDescent="0.3">
      <c r="A250" s="13" t="s">
        <v>143</v>
      </c>
      <c r="B250" s="2" t="s">
        <v>144</v>
      </c>
    </row>
    <row r="251" spans="1:6" ht="17.25" thickBot="1" x14ac:dyDescent="0.35"/>
    <row r="252" spans="1:6" ht="16.5" customHeight="1" x14ac:dyDescent="0.3">
      <c r="A252" s="16" t="s">
        <v>238</v>
      </c>
      <c r="B252" s="18"/>
      <c r="C252" s="18"/>
      <c r="D252" s="18"/>
      <c r="E252" s="18"/>
      <c r="F252" s="18"/>
    </row>
    <row r="253" spans="1:6" ht="16.5" customHeight="1" x14ac:dyDescent="0.3">
      <c r="A253" s="17" t="s">
        <v>239</v>
      </c>
      <c r="B253" s="19" t="s">
        <v>94</v>
      </c>
      <c r="C253" s="19" t="s">
        <v>240</v>
      </c>
      <c r="D253" s="3" t="s">
        <v>241</v>
      </c>
      <c r="E253" s="19" t="s">
        <v>243</v>
      </c>
      <c r="F253" s="19"/>
    </row>
    <row r="254" spans="1:6" x14ac:dyDescent="0.3">
      <c r="A254" s="17"/>
      <c r="B254" s="19"/>
      <c r="C254" s="19"/>
      <c r="D254" s="3" t="s">
        <v>242</v>
      </c>
      <c r="E254" s="19"/>
      <c r="F254" s="19"/>
    </row>
    <row r="255" spans="1:6" x14ac:dyDescent="0.3">
      <c r="A255" s="13" t="s">
        <v>117</v>
      </c>
      <c r="B255" s="2">
        <v>68635</v>
      </c>
      <c r="C255" s="2">
        <v>35.601097000000003</v>
      </c>
      <c r="D255" s="2">
        <v>3.8943999999999999E-2</v>
      </c>
      <c r="E255" s="2">
        <v>35.524735800000002</v>
      </c>
      <c r="F255" s="2">
        <v>35.677458399999999</v>
      </c>
    </row>
    <row r="259" spans="1:9" x14ac:dyDescent="0.3">
      <c r="A259" s="1" t="s">
        <v>237</v>
      </c>
    </row>
    <row r="261" spans="1:9" x14ac:dyDescent="0.3">
      <c r="A261" s="1" t="s">
        <v>21</v>
      </c>
    </row>
    <row r="262" spans="1:9" ht="17.25" thickBot="1" x14ac:dyDescent="0.35"/>
    <row r="263" spans="1:9" ht="16.5" customHeight="1" x14ac:dyDescent="0.3">
      <c r="A263" s="16" t="s">
        <v>269</v>
      </c>
      <c r="B263" s="18"/>
      <c r="C263" s="18"/>
      <c r="D263" s="18"/>
      <c r="E263" s="18"/>
      <c r="F263" s="18"/>
      <c r="G263" s="18"/>
    </row>
    <row r="264" spans="1:9" ht="16.5" customHeight="1" x14ac:dyDescent="0.3">
      <c r="A264" s="17" t="s">
        <v>8</v>
      </c>
      <c r="B264" s="19" t="s">
        <v>239</v>
      </c>
      <c r="C264" s="19" t="s">
        <v>94</v>
      </c>
      <c r="D264" s="19" t="s">
        <v>240</v>
      </c>
      <c r="E264" s="3" t="s">
        <v>241</v>
      </c>
      <c r="F264" s="19" t="s">
        <v>243</v>
      </c>
      <c r="G264" s="19"/>
    </row>
    <row r="265" spans="1:9" x14ac:dyDescent="0.3">
      <c r="A265" s="17"/>
      <c r="B265" s="19"/>
      <c r="C265" s="19"/>
      <c r="D265" s="19"/>
      <c r="E265" s="3" t="s">
        <v>242</v>
      </c>
      <c r="F265" s="19"/>
      <c r="G265" s="19"/>
    </row>
    <row r="266" spans="1:9" ht="17.25" thickBot="1" x14ac:dyDescent="0.35">
      <c r="A266" s="6">
        <v>1</v>
      </c>
      <c r="B266" s="11" t="s">
        <v>117</v>
      </c>
      <c r="C266" s="2">
        <v>9199</v>
      </c>
      <c r="D266" s="2">
        <v>37.003045999999998</v>
      </c>
      <c r="E266" s="2">
        <v>8.7554999999999994E-2</v>
      </c>
      <c r="F266" s="2">
        <v>36.831366799999998</v>
      </c>
      <c r="G266" s="2">
        <v>37.1747248</v>
      </c>
      <c r="I266" t="str">
        <f t="shared" ref="I266:I269" si="3">TEXT(D266,"0.00")&amp;" ("&amp;TEXT(F266,"0.00")&amp;" to "&amp;TEXT(G266,"0.00")&amp;")"</f>
        <v>37.00 (36.83 to 37.17)</v>
      </c>
    </row>
    <row r="267" spans="1:9" ht="17.25" thickBot="1" x14ac:dyDescent="0.35">
      <c r="A267" s="6">
        <v>2</v>
      </c>
      <c r="B267" s="11" t="s">
        <v>117</v>
      </c>
      <c r="C267" s="2">
        <v>7937</v>
      </c>
      <c r="D267" s="2">
        <v>36.934215999999999</v>
      </c>
      <c r="E267" s="2">
        <v>9.5097000000000001E-2</v>
      </c>
      <c r="F267" s="2">
        <v>36.747748199999997</v>
      </c>
      <c r="G267" s="2">
        <v>37.120684400000002</v>
      </c>
      <c r="I267" t="str">
        <f t="shared" si="3"/>
        <v>36.93 (36.75 to 37.12)</v>
      </c>
    </row>
    <row r="268" spans="1:9" ht="17.25" thickBot="1" x14ac:dyDescent="0.35">
      <c r="A268" s="6">
        <v>3</v>
      </c>
      <c r="B268" s="11" t="s">
        <v>117</v>
      </c>
      <c r="C268" s="2">
        <v>17758</v>
      </c>
      <c r="D268" s="2">
        <v>36.150181000000003</v>
      </c>
      <c r="E268" s="2">
        <v>6.9249000000000005E-2</v>
      </c>
      <c r="F268" s="2">
        <v>36.0143962</v>
      </c>
      <c r="G268" s="2">
        <v>36.285965300000001</v>
      </c>
      <c r="I268" t="str">
        <f t="shared" si="3"/>
        <v>36.15 (36.01 to 36.29)</v>
      </c>
    </row>
    <row r="269" spans="1:9" x14ac:dyDescent="0.3">
      <c r="A269" s="6">
        <v>4</v>
      </c>
      <c r="B269" s="14" t="s">
        <v>117</v>
      </c>
      <c r="C269" s="2">
        <v>33741</v>
      </c>
      <c r="D269" s="2">
        <v>34.895406000000001</v>
      </c>
      <c r="E269" s="2">
        <v>5.2593000000000001E-2</v>
      </c>
      <c r="F269" s="2">
        <v>34.7922808</v>
      </c>
      <c r="G269" s="2">
        <v>34.9985316</v>
      </c>
      <c r="I269" t="str">
        <f t="shared" si="3"/>
        <v>34.90 (34.79 to 35.00)</v>
      </c>
    </row>
    <row r="273" spans="1:6" x14ac:dyDescent="0.3">
      <c r="A273" s="1" t="s">
        <v>237</v>
      </c>
    </row>
    <row r="275" spans="1:6" x14ac:dyDescent="0.3">
      <c r="A275" s="1" t="s">
        <v>1</v>
      </c>
    </row>
    <row r="276" spans="1:6" ht="17.25" thickBot="1" x14ac:dyDescent="0.35"/>
    <row r="277" spans="1:6" ht="16.5" customHeight="1" x14ac:dyDescent="0.3">
      <c r="A277" s="16" t="s">
        <v>135</v>
      </c>
      <c r="B277" s="18"/>
    </row>
    <row r="278" spans="1:6" ht="26.25" thickBot="1" x14ac:dyDescent="0.35">
      <c r="A278" s="12" t="s">
        <v>136</v>
      </c>
      <c r="B278" s="2">
        <v>183</v>
      </c>
    </row>
    <row r="279" spans="1:6" ht="26.25" thickBot="1" x14ac:dyDescent="0.35">
      <c r="A279" s="12" t="s">
        <v>137</v>
      </c>
      <c r="B279" s="2">
        <v>2949</v>
      </c>
    </row>
    <row r="280" spans="1:6" ht="39" thickBot="1" x14ac:dyDescent="0.35">
      <c r="A280" s="12" t="s">
        <v>138</v>
      </c>
      <c r="B280" s="2">
        <v>23222</v>
      </c>
    </row>
    <row r="281" spans="1:6" ht="25.5" x14ac:dyDescent="0.3">
      <c r="A281" s="13" t="s">
        <v>139</v>
      </c>
      <c r="B281" s="2">
        <v>9036880.5199999996</v>
      </c>
    </row>
    <row r="282" spans="1:6" ht="17.25" thickBot="1" x14ac:dyDescent="0.35"/>
    <row r="283" spans="1:6" ht="33" customHeight="1" x14ac:dyDescent="0.3">
      <c r="A283" s="16" t="s">
        <v>140</v>
      </c>
      <c r="B283" s="18"/>
    </row>
    <row r="284" spans="1:6" ht="33.75" thickBot="1" x14ac:dyDescent="0.35">
      <c r="A284" s="12" t="s">
        <v>141</v>
      </c>
      <c r="B284" s="2" t="s">
        <v>142</v>
      </c>
    </row>
    <row r="285" spans="1:6" ht="25.5" x14ac:dyDescent="0.3">
      <c r="A285" s="13" t="s">
        <v>143</v>
      </c>
      <c r="B285" s="2" t="s">
        <v>144</v>
      </c>
    </row>
    <row r="286" spans="1:6" ht="17.25" thickBot="1" x14ac:dyDescent="0.35"/>
    <row r="287" spans="1:6" ht="16.5" customHeight="1" x14ac:dyDescent="0.3">
      <c r="A287" s="16" t="s">
        <v>238</v>
      </c>
      <c r="B287" s="18"/>
      <c r="C287" s="18"/>
      <c r="D287" s="18"/>
      <c r="E287" s="18"/>
      <c r="F287" s="18"/>
    </row>
    <row r="288" spans="1:6" ht="16.5" customHeight="1" x14ac:dyDescent="0.3">
      <c r="A288" s="17" t="s">
        <v>239</v>
      </c>
      <c r="B288" s="19" t="s">
        <v>94</v>
      </c>
      <c r="C288" s="19" t="s">
        <v>240</v>
      </c>
      <c r="D288" s="3" t="s">
        <v>241</v>
      </c>
      <c r="E288" s="19" t="s">
        <v>243</v>
      </c>
      <c r="F288" s="19"/>
    </row>
    <row r="289" spans="1:7" x14ac:dyDescent="0.3">
      <c r="A289" s="17"/>
      <c r="B289" s="19"/>
      <c r="C289" s="19"/>
      <c r="D289" s="3" t="s">
        <v>242</v>
      </c>
      <c r="E289" s="19"/>
      <c r="F289" s="19"/>
    </row>
    <row r="290" spans="1:7" x14ac:dyDescent="0.3">
      <c r="A290" s="13" t="s">
        <v>117</v>
      </c>
      <c r="B290" s="2">
        <v>23222</v>
      </c>
      <c r="C290" s="2">
        <v>33.805624000000002</v>
      </c>
      <c r="D290" s="2">
        <v>7.0877999999999997E-2</v>
      </c>
      <c r="E290" s="2">
        <v>33.666644300000002</v>
      </c>
      <c r="F290" s="2">
        <v>33.944603299999997</v>
      </c>
    </row>
    <row r="294" spans="1:7" x14ac:dyDescent="0.3">
      <c r="A294" s="1" t="s">
        <v>237</v>
      </c>
    </row>
    <row r="296" spans="1:7" x14ac:dyDescent="0.3">
      <c r="A296" s="1" t="s">
        <v>1</v>
      </c>
    </row>
    <row r="297" spans="1:7" ht="17.25" thickBot="1" x14ac:dyDescent="0.35"/>
    <row r="298" spans="1:7" ht="16.5" customHeight="1" x14ac:dyDescent="0.3">
      <c r="A298" s="16" t="s">
        <v>270</v>
      </c>
      <c r="B298" s="18"/>
      <c r="C298" s="18"/>
      <c r="D298" s="18"/>
      <c r="E298" s="18"/>
      <c r="F298" s="18"/>
      <c r="G298" s="18"/>
    </row>
    <row r="299" spans="1:7" ht="16.5" customHeight="1" x14ac:dyDescent="0.3">
      <c r="A299" s="17" t="s">
        <v>9</v>
      </c>
      <c r="B299" s="19" t="s">
        <v>239</v>
      </c>
      <c r="C299" s="19" t="s">
        <v>94</v>
      </c>
      <c r="D299" s="19" t="s">
        <v>240</v>
      </c>
      <c r="E299" s="3" t="s">
        <v>241</v>
      </c>
      <c r="F299" s="19" t="s">
        <v>243</v>
      </c>
      <c r="G299" s="19"/>
    </row>
    <row r="300" spans="1:7" x14ac:dyDescent="0.3">
      <c r="A300" s="17"/>
      <c r="B300" s="19"/>
      <c r="C300" s="19"/>
      <c r="D300" s="19"/>
      <c r="E300" s="3" t="s">
        <v>242</v>
      </c>
      <c r="F300" s="19"/>
      <c r="G300" s="19"/>
    </row>
    <row r="301" spans="1:7" ht="17.25" thickBot="1" x14ac:dyDescent="0.35">
      <c r="A301" s="6">
        <v>1</v>
      </c>
      <c r="B301" s="11" t="s">
        <v>117</v>
      </c>
      <c r="C301" s="2">
        <v>5656</v>
      </c>
      <c r="D301" s="2">
        <v>35.451265999999997</v>
      </c>
      <c r="E301" s="2">
        <v>0.14177300000000001</v>
      </c>
      <c r="F301" s="2">
        <v>35.173273899999998</v>
      </c>
      <c r="G301" s="2">
        <v>35.729258299999998</v>
      </c>
    </row>
    <row r="302" spans="1:7" ht="17.25" thickBot="1" x14ac:dyDescent="0.35">
      <c r="A302" s="6">
        <v>2</v>
      </c>
      <c r="B302" s="11" t="s">
        <v>117</v>
      </c>
      <c r="C302" s="2">
        <v>6001</v>
      </c>
      <c r="D302" s="2">
        <v>34.049010000000003</v>
      </c>
      <c r="E302" s="2">
        <v>0.140597</v>
      </c>
      <c r="F302" s="2">
        <v>33.773324000000002</v>
      </c>
      <c r="G302" s="2">
        <v>34.324695900000002</v>
      </c>
    </row>
    <row r="303" spans="1:7" ht="17.25" thickBot="1" x14ac:dyDescent="0.35">
      <c r="A303" s="6">
        <v>3</v>
      </c>
      <c r="B303" s="11" t="s">
        <v>117</v>
      </c>
      <c r="C303" s="2">
        <v>5944</v>
      </c>
      <c r="D303" s="2">
        <v>33.124507000000001</v>
      </c>
      <c r="E303" s="2">
        <v>0.12513099999999999</v>
      </c>
      <c r="F303" s="2">
        <v>32.879146800000001</v>
      </c>
      <c r="G303" s="2">
        <v>33.369866299999998</v>
      </c>
    </row>
    <row r="304" spans="1:7" x14ac:dyDescent="0.3">
      <c r="A304" s="6">
        <v>4</v>
      </c>
      <c r="B304" s="14" t="s">
        <v>117</v>
      </c>
      <c r="C304" s="2">
        <v>5621</v>
      </c>
      <c r="D304" s="2">
        <v>32.978979000000002</v>
      </c>
      <c r="E304" s="2">
        <v>0.13484399999999999</v>
      </c>
      <c r="F304" s="2">
        <v>32.714573100000003</v>
      </c>
      <c r="G304" s="2">
        <v>33.243385099999998</v>
      </c>
    </row>
    <row r="308" spans="1:2" x14ac:dyDescent="0.3">
      <c r="A308" s="1" t="s">
        <v>237</v>
      </c>
    </row>
    <row r="310" spans="1:2" x14ac:dyDescent="0.3">
      <c r="A310" s="1" t="s">
        <v>21</v>
      </c>
    </row>
    <row r="311" spans="1:2" ht="17.25" thickBot="1" x14ac:dyDescent="0.35"/>
    <row r="312" spans="1:2" ht="16.5" customHeight="1" x14ac:dyDescent="0.3">
      <c r="A312" s="16" t="s">
        <v>135</v>
      </c>
      <c r="B312" s="18"/>
    </row>
    <row r="313" spans="1:2" ht="26.25" thickBot="1" x14ac:dyDescent="0.35">
      <c r="A313" s="12" t="s">
        <v>136</v>
      </c>
      <c r="B313" s="2">
        <v>183</v>
      </c>
    </row>
    <row r="314" spans="1:2" ht="26.25" thickBot="1" x14ac:dyDescent="0.35">
      <c r="A314" s="12" t="s">
        <v>137</v>
      </c>
      <c r="B314" s="2">
        <v>2982</v>
      </c>
    </row>
    <row r="315" spans="1:2" ht="39" thickBot="1" x14ac:dyDescent="0.35">
      <c r="A315" s="12" t="s">
        <v>138</v>
      </c>
      <c r="B315" s="2">
        <v>68635</v>
      </c>
    </row>
    <row r="316" spans="1:2" ht="25.5" x14ac:dyDescent="0.3">
      <c r="A316" s="13" t="s">
        <v>139</v>
      </c>
      <c r="B316" s="2">
        <v>30251935.699999999</v>
      </c>
    </row>
    <row r="317" spans="1:2" ht="17.25" thickBot="1" x14ac:dyDescent="0.35"/>
    <row r="318" spans="1:2" ht="33" customHeight="1" x14ac:dyDescent="0.3">
      <c r="A318" s="16" t="s">
        <v>140</v>
      </c>
      <c r="B318" s="18"/>
    </row>
    <row r="319" spans="1:2" ht="33.75" thickBot="1" x14ac:dyDescent="0.35">
      <c r="A319" s="12" t="s">
        <v>141</v>
      </c>
      <c r="B319" s="2" t="s">
        <v>142</v>
      </c>
    </row>
    <row r="320" spans="1:2" ht="25.5" x14ac:dyDescent="0.3">
      <c r="A320" s="13" t="s">
        <v>143</v>
      </c>
      <c r="B320" s="2" t="s">
        <v>144</v>
      </c>
    </row>
    <row r="321" spans="1:9" ht="17.25" thickBot="1" x14ac:dyDescent="0.35"/>
    <row r="322" spans="1:9" ht="16.5" customHeight="1" x14ac:dyDescent="0.3">
      <c r="A322" s="16" t="s">
        <v>238</v>
      </c>
      <c r="B322" s="18"/>
      <c r="C322" s="18"/>
      <c r="D322" s="18"/>
      <c r="E322" s="18"/>
      <c r="F322" s="18"/>
    </row>
    <row r="323" spans="1:9" ht="16.5" customHeight="1" x14ac:dyDescent="0.3">
      <c r="A323" s="17" t="s">
        <v>239</v>
      </c>
      <c r="B323" s="19" t="s">
        <v>94</v>
      </c>
      <c r="C323" s="19" t="s">
        <v>240</v>
      </c>
      <c r="D323" s="3" t="s">
        <v>241</v>
      </c>
      <c r="E323" s="19" t="s">
        <v>243</v>
      </c>
      <c r="F323" s="19"/>
    </row>
    <row r="324" spans="1:9" x14ac:dyDescent="0.3">
      <c r="A324" s="17"/>
      <c r="B324" s="19"/>
      <c r="C324" s="19"/>
      <c r="D324" s="3" t="s">
        <v>242</v>
      </c>
      <c r="E324" s="19"/>
      <c r="F324" s="19"/>
    </row>
    <row r="325" spans="1:9" x14ac:dyDescent="0.3">
      <c r="A325" s="13" t="s">
        <v>117</v>
      </c>
      <c r="B325" s="2">
        <v>68635</v>
      </c>
      <c r="C325" s="2">
        <v>35.601097000000003</v>
      </c>
      <c r="D325" s="2">
        <v>3.8943999999999999E-2</v>
      </c>
      <c r="E325" s="2">
        <v>35.524735800000002</v>
      </c>
      <c r="F325" s="2">
        <v>35.677458399999999</v>
      </c>
    </row>
    <row r="329" spans="1:9" x14ac:dyDescent="0.3">
      <c r="A329" s="1" t="s">
        <v>237</v>
      </c>
    </row>
    <row r="331" spans="1:9" x14ac:dyDescent="0.3">
      <c r="A331" s="1" t="s">
        <v>21</v>
      </c>
    </row>
    <row r="332" spans="1:9" ht="17.25" thickBot="1" x14ac:dyDescent="0.35"/>
    <row r="333" spans="1:9" ht="16.5" customHeight="1" x14ac:dyDescent="0.3">
      <c r="A333" s="16" t="s">
        <v>270</v>
      </c>
      <c r="B333" s="18"/>
      <c r="C333" s="18"/>
      <c r="D333" s="18"/>
      <c r="E333" s="18"/>
      <c r="F333" s="18"/>
      <c r="G333" s="18"/>
    </row>
    <row r="334" spans="1:9" ht="16.5" customHeight="1" x14ac:dyDescent="0.3">
      <c r="A334" s="17" t="s">
        <v>9</v>
      </c>
      <c r="B334" s="19" t="s">
        <v>239</v>
      </c>
      <c r="C334" s="19" t="s">
        <v>94</v>
      </c>
      <c r="D334" s="19" t="s">
        <v>240</v>
      </c>
      <c r="E334" s="3" t="s">
        <v>241</v>
      </c>
      <c r="F334" s="19" t="s">
        <v>243</v>
      </c>
      <c r="G334" s="19"/>
    </row>
    <row r="335" spans="1:9" x14ac:dyDescent="0.3">
      <c r="A335" s="17"/>
      <c r="B335" s="19"/>
      <c r="C335" s="19"/>
      <c r="D335" s="19"/>
      <c r="E335" s="3" t="s">
        <v>242</v>
      </c>
      <c r="F335" s="19"/>
      <c r="G335" s="19"/>
    </row>
    <row r="336" spans="1:9" ht="17.25" thickBot="1" x14ac:dyDescent="0.35">
      <c r="A336" s="6">
        <v>1</v>
      </c>
      <c r="B336" s="11" t="s">
        <v>117</v>
      </c>
      <c r="C336" s="2">
        <v>11265</v>
      </c>
      <c r="D336" s="2">
        <v>36.123854000000001</v>
      </c>
      <c r="E336" s="2">
        <v>0.100498</v>
      </c>
      <c r="F336" s="2">
        <v>35.9267957</v>
      </c>
      <c r="G336" s="2">
        <v>36.320912700000001</v>
      </c>
      <c r="I336" t="str">
        <f t="shared" ref="I336:I339" si="4">TEXT(D336,"0.00")&amp;" ("&amp;TEXT(F336,"0.00")&amp;" to "&amp;TEXT(G336,"0.00")&amp;")"</f>
        <v>36.12 (35.93 to 36.32)</v>
      </c>
    </row>
    <row r="337" spans="1:9" ht="17.25" thickBot="1" x14ac:dyDescent="0.35">
      <c r="A337" s="6">
        <v>2</v>
      </c>
      <c r="B337" s="11" t="s">
        <v>117</v>
      </c>
      <c r="C337" s="2">
        <v>16834</v>
      </c>
      <c r="D337" s="2">
        <v>35.914062999999999</v>
      </c>
      <c r="E337" s="2">
        <v>7.8006000000000006E-2</v>
      </c>
      <c r="F337" s="2">
        <v>35.7611074</v>
      </c>
      <c r="G337" s="2">
        <v>36.067018099999999</v>
      </c>
      <c r="I337" t="str">
        <f t="shared" si="4"/>
        <v>35.91 (35.76 to 36.07)</v>
      </c>
    </row>
    <row r="338" spans="1:9" ht="17.25" thickBot="1" x14ac:dyDescent="0.35">
      <c r="A338" s="6">
        <v>3</v>
      </c>
      <c r="B338" s="11" t="s">
        <v>117</v>
      </c>
      <c r="C338" s="2">
        <v>19586</v>
      </c>
      <c r="D338" s="2">
        <v>35.584496999999999</v>
      </c>
      <c r="E338" s="2">
        <v>6.7822999999999994E-2</v>
      </c>
      <c r="F338" s="2">
        <v>35.451508799999999</v>
      </c>
      <c r="G338" s="2">
        <v>35.717485500000002</v>
      </c>
      <c r="I338" t="str">
        <f t="shared" si="4"/>
        <v>35.58 (35.45 to 35.72)</v>
      </c>
    </row>
    <row r="339" spans="1:9" x14ac:dyDescent="0.3">
      <c r="A339" s="6">
        <v>4</v>
      </c>
      <c r="B339" s="14" t="s">
        <v>117</v>
      </c>
      <c r="C339" s="2">
        <v>20950</v>
      </c>
      <c r="D339" s="2">
        <v>35.177123999999999</v>
      </c>
      <c r="E339" s="2">
        <v>6.7523E-2</v>
      </c>
      <c r="F339" s="2">
        <v>35.0447244</v>
      </c>
      <c r="G339" s="2">
        <v>35.309524600000003</v>
      </c>
      <c r="I339" t="str">
        <f t="shared" si="4"/>
        <v>35.18 (35.04 to 35.31)</v>
      </c>
    </row>
    <row r="343" spans="1:9" x14ac:dyDescent="0.3">
      <c r="A343" s="1" t="s">
        <v>237</v>
      </c>
    </row>
    <row r="345" spans="1:9" x14ac:dyDescent="0.3">
      <c r="A345" s="1" t="s">
        <v>1</v>
      </c>
    </row>
    <row r="346" spans="1:9" ht="17.25" thickBot="1" x14ac:dyDescent="0.35"/>
    <row r="347" spans="1:9" ht="16.5" customHeight="1" x14ac:dyDescent="0.3">
      <c r="A347" s="16" t="s">
        <v>135</v>
      </c>
      <c r="B347" s="18"/>
    </row>
    <row r="348" spans="1:9" ht="26.25" thickBot="1" x14ac:dyDescent="0.35">
      <c r="A348" s="12" t="s">
        <v>136</v>
      </c>
      <c r="B348" s="2">
        <v>183</v>
      </c>
    </row>
    <row r="349" spans="1:9" ht="26.25" thickBot="1" x14ac:dyDescent="0.35">
      <c r="A349" s="12" t="s">
        <v>137</v>
      </c>
      <c r="B349" s="2">
        <v>2949</v>
      </c>
    </row>
    <row r="350" spans="1:9" ht="39" thickBot="1" x14ac:dyDescent="0.35">
      <c r="A350" s="12" t="s">
        <v>138</v>
      </c>
      <c r="B350" s="2">
        <v>23222</v>
      </c>
    </row>
    <row r="351" spans="1:9" ht="25.5" x14ac:dyDescent="0.3">
      <c r="A351" s="13" t="s">
        <v>139</v>
      </c>
      <c r="B351" s="2">
        <v>9036880.5199999996</v>
      </c>
    </row>
    <row r="352" spans="1:9" ht="17.25" thickBot="1" x14ac:dyDescent="0.35"/>
    <row r="353" spans="1:7" ht="33" customHeight="1" x14ac:dyDescent="0.3">
      <c r="A353" s="16" t="s">
        <v>140</v>
      </c>
      <c r="B353" s="18"/>
    </row>
    <row r="354" spans="1:7" ht="33.75" thickBot="1" x14ac:dyDescent="0.35">
      <c r="A354" s="12" t="s">
        <v>141</v>
      </c>
      <c r="B354" s="2" t="s">
        <v>142</v>
      </c>
    </row>
    <row r="355" spans="1:7" ht="25.5" x14ac:dyDescent="0.3">
      <c r="A355" s="13" t="s">
        <v>143</v>
      </c>
      <c r="B355" s="2" t="s">
        <v>144</v>
      </c>
    </row>
    <row r="356" spans="1:7" ht="17.25" thickBot="1" x14ac:dyDescent="0.35"/>
    <row r="357" spans="1:7" ht="16.5" customHeight="1" x14ac:dyDescent="0.3">
      <c r="A357" s="16" t="s">
        <v>238</v>
      </c>
      <c r="B357" s="18"/>
      <c r="C357" s="18"/>
      <c r="D357" s="18"/>
      <c r="E357" s="18"/>
      <c r="F357" s="18"/>
    </row>
    <row r="358" spans="1:7" ht="16.5" customHeight="1" x14ac:dyDescent="0.3">
      <c r="A358" s="17" t="s">
        <v>239</v>
      </c>
      <c r="B358" s="19" t="s">
        <v>94</v>
      </c>
      <c r="C358" s="19" t="s">
        <v>240</v>
      </c>
      <c r="D358" s="3" t="s">
        <v>241</v>
      </c>
      <c r="E358" s="19" t="s">
        <v>243</v>
      </c>
      <c r="F358" s="19"/>
    </row>
    <row r="359" spans="1:7" x14ac:dyDescent="0.3">
      <c r="A359" s="17"/>
      <c r="B359" s="19"/>
      <c r="C359" s="19"/>
      <c r="D359" s="3" t="s">
        <v>242</v>
      </c>
      <c r="E359" s="19"/>
      <c r="F359" s="19"/>
    </row>
    <row r="360" spans="1:7" x14ac:dyDescent="0.3">
      <c r="A360" s="13" t="s">
        <v>117</v>
      </c>
      <c r="B360" s="2">
        <v>23222</v>
      </c>
      <c r="C360" s="2">
        <v>33.805624000000002</v>
      </c>
      <c r="D360" s="2">
        <v>7.0877999999999997E-2</v>
      </c>
      <c r="E360" s="2">
        <v>33.666644300000002</v>
      </c>
      <c r="F360" s="2">
        <v>33.944603299999997</v>
      </c>
    </row>
    <row r="364" spans="1:7" x14ac:dyDescent="0.3">
      <c r="A364" s="1" t="s">
        <v>237</v>
      </c>
    </row>
    <row r="366" spans="1:7" x14ac:dyDescent="0.3">
      <c r="A366" s="1" t="s">
        <v>1</v>
      </c>
    </row>
    <row r="367" spans="1:7" ht="17.25" thickBot="1" x14ac:dyDescent="0.35"/>
    <row r="368" spans="1:7" ht="16.5" customHeight="1" x14ac:dyDescent="0.3">
      <c r="A368" s="16" t="s">
        <v>271</v>
      </c>
      <c r="B368" s="18"/>
      <c r="C368" s="18"/>
      <c r="D368" s="18"/>
      <c r="E368" s="18"/>
      <c r="F368" s="18"/>
      <c r="G368" s="18"/>
    </row>
    <row r="369" spans="1:7" ht="16.5" customHeight="1" x14ac:dyDescent="0.3">
      <c r="A369" s="17" t="s">
        <v>10</v>
      </c>
      <c r="B369" s="19" t="s">
        <v>239</v>
      </c>
      <c r="C369" s="19" t="s">
        <v>94</v>
      </c>
      <c r="D369" s="19" t="s">
        <v>240</v>
      </c>
      <c r="E369" s="3" t="s">
        <v>241</v>
      </c>
      <c r="F369" s="19" t="s">
        <v>243</v>
      </c>
      <c r="G369" s="19"/>
    </row>
    <row r="370" spans="1:7" x14ac:dyDescent="0.3">
      <c r="A370" s="17"/>
      <c r="B370" s="19"/>
      <c r="C370" s="19"/>
      <c r="D370" s="19"/>
      <c r="E370" s="3" t="s">
        <v>242</v>
      </c>
      <c r="F370" s="19"/>
      <c r="G370" s="19"/>
    </row>
    <row r="371" spans="1:7" ht="17.25" thickBot="1" x14ac:dyDescent="0.35">
      <c r="A371" s="6">
        <v>1</v>
      </c>
      <c r="B371" s="11" t="s">
        <v>117</v>
      </c>
      <c r="C371" s="2">
        <v>3061</v>
      </c>
      <c r="D371" s="2">
        <v>23.674185000000001</v>
      </c>
      <c r="E371" s="2">
        <v>5.0106999999999999E-2</v>
      </c>
      <c r="F371" s="2">
        <v>23.5759355</v>
      </c>
      <c r="G371" s="2">
        <v>23.772435399999999</v>
      </c>
    </row>
    <row r="372" spans="1:7" ht="17.25" thickBot="1" x14ac:dyDescent="0.35">
      <c r="A372" s="6">
        <v>2</v>
      </c>
      <c r="B372" s="11" t="s">
        <v>117</v>
      </c>
      <c r="C372" s="2">
        <v>9324</v>
      </c>
      <c r="D372" s="2">
        <v>30.021024000000001</v>
      </c>
      <c r="E372" s="2">
        <v>4.2036999999999998E-2</v>
      </c>
      <c r="F372" s="2">
        <v>29.9385969</v>
      </c>
      <c r="G372" s="2">
        <v>30.103450899999999</v>
      </c>
    </row>
    <row r="373" spans="1:7" ht="17.25" thickBot="1" x14ac:dyDescent="0.35">
      <c r="A373" s="6">
        <v>3</v>
      </c>
      <c r="B373" s="11" t="s">
        <v>117</v>
      </c>
      <c r="C373" s="2">
        <v>4381</v>
      </c>
      <c r="D373" s="2">
        <v>35.818080000000002</v>
      </c>
      <c r="E373" s="2">
        <v>6.6633999999999999E-2</v>
      </c>
      <c r="F373" s="2">
        <v>35.687422900000001</v>
      </c>
      <c r="G373" s="2">
        <v>35.948737100000002</v>
      </c>
    </row>
    <row r="374" spans="1:7" x14ac:dyDescent="0.3">
      <c r="A374" s="6">
        <v>4</v>
      </c>
      <c r="B374" s="14" t="s">
        <v>117</v>
      </c>
      <c r="C374" s="2">
        <v>6456</v>
      </c>
      <c r="D374" s="2">
        <v>42.925272999999997</v>
      </c>
      <c r="E374" s="2">
        <v>9.9338999999999997E-2</v>
      </c>
      <c r="F374" s="2">
        <v>42.7304879</v>
      </c>
      <c r="G374" s="2">
        <v>43.120058700000001</v>
      </c>
    </row>
    <row r="378" spans="1:7" x14ac:dyDescent="0.3">
      <c r="A378" s="1" t="s">
        <v>237</v>
      </c>
    </row>
    <row r="380" spans="1:7" x14ac:dyDescent="0.3">
      <c r="A380" s="1" t="s">
        <v>21</v>
      </c>
    </row>
    <row r="381" spans="1:7" ht="17.25" thickBot="1" x14ac:dyDescent="0.35"/>
    <row r="382" spans="1:7" ht="16.5" customHeight="1" x14ac:dyDescent="0.3">
      <c r="A382" s="16" t="s">
        <v>135</v>
      </c>
      <c r="B382" s="18"/>
    </row>
    <row r="383" spans="1:7" ht="26.25" thickBot="1" x14ac:dyDescent="0.35">
      <c r="A383" s="12" t="s">
        <v>136</v>
      </c>
      <c r="B383" s="2">
        <v>183</v>
      </c>
    </row>
    <row r="384" spans="1:7" ht="26.25" thickBot="1" x14ac:dyDescent="0.35">
      <c r="A384" s="12" t="s">
        <v>137</v>
      </c>
      <c r="B384" s="2">
        <v>2982</v>
      </c>
    </row>
    <row r="385" spans="1:6" ht="39" thickBot="1" x14ac:dyDescent="0.35">
      <c r="A385" s="12" t="s">
        <v>138</v>
      </c>
      <c r="B385" s="2">
        <v>68635</v>
      </c>
    </row>
    <row r="386" spans="1:6" ht="25.5" x14ac:dyDescent="0.3">
      <c r="A386" s="13" t="s">
        <v>139</v>
      </c>
      <c r="B386" s="2">
        <v>30251935.699999999</v>
      </c>
    </row>
    <row r="387" spans="1:6" ht="17.25" thickBot="1" x14ac:dyDescent="0.35"/>
    <row r="388" spans="1:6" ht="33" customHeight="1" x14ac:dyDescent="0.3">
      <c r="A388" s="16" t="s">
        <v>140</v>
      </c>
      <c r="B388" s="18"/>
    </row>
    <row r="389" spans="1:6" ht="33.75" thickBot="1" x14ac:dyDescent="0.35">
      <c r="A389" s="12" t="s">
        <v>141</v>
      </c>
      <c r="B389" s="2" t="s">
        <v>142</v>
      </c>
    </row>
    <row r="390" spans="1:6" ht="25.5" x14ac:dyDescent="0.3">
      <c r="A390" s="13" t="s">
        <v>143</v>
      </c>
      <c r="B390" s="2" t="s">
        <v>144</v>
      </c>
    </row>
    <row r="391" spans="1:6" ht="17.25" thickBot="1" x14ac:dyDescent="0.35"/>
    <row r="392" spans="1:6" ht="16.5" customHeight="1" x14ac:dyDescent="0.3">
      <c r="A392" s="16" t="s">
        <v>238</v>
      </c>
      <c r="B392" s="18"/>
      <c r="C392" s="18"/>
      <c r="D392" s="18"/>
      <c r="E392" s="18"/>
      <c r="F392" s="18"/>
    </row>
    <row r="393" spans="1:6" ht="16.5" customHeight="1" x14ac:dyDescent="0.3">
      <c r="A393" s="17" t="s">
        <v>239</v>
      </c>
      <c r="B393" s="19" t="s">
        <v>94</v>
      </c>
      <c r="C393" s="19" t="s">
        <v>240</v>
      </c>
      <c r="D393" s="3" t="s">
        <v>241</v>
      </c>
      <c r="E393" s="19" t="s">
        <v>243</v>
      </c>
      <c r="F393" s="19"/>
    </row>
    <row r="394" spans="1:6" x14ac:dyDescent="0.3">
      <c r="A394" s="17"/>
      <c r="B394" s="19"/>
      <c r="C394" s="19"/>
      <c r="D394" s="3" t="s">
        <v>242</v>
      </c>
      <c r="E394" s="19"/>
      <c r="F394" s="19"/>
    </row>
    <row r="395" spans="1:6" x14ac:dyDescent="0.3">
      <c r="A395" s="13" t="s">
        <v>117</v>
      </c>
      <c r="B395" s="2">
        <v>68635</v>
      </c>
      <c r="C395" s="2">
        <v>35.601097000000003</v>
      </c>
      <c r="D395" s="2">
        <v>3.8943999999999999E-2</v>
      </c>
      <c r="E395" s="2">
        <v>35.524735800000002</v>
      </c>
      <c r="F395" s="2">
        <v>35.677458399999999</v>
      </c>
    </row>
    <row r="399" spans="1:6" x14ac:dyDescent="0.3">
      <c r="A399" s="1" t="s">
        <v>237</v>
      </c>
    </row>
    <row r="401" spans="1:9" x14ac:dyDescent="0.3">
      <c r="A401" s="1" t="s">
        <v>21</v>
      </c>
    </row>
    <row r="402" spans="1:9" ht="17.25" thickBot="1" x14ac:dyDescent="0.35"/>
    <row r="403" spans="1:9" ht="16.5" customHeight="1" x14ac:dyDescent="0.3">
      <c r="A403" s="16" t="s">
        <v>271</v>
      </c>
      <c r="B403" s="18"/>
      <c r="C403" s="18"/>
      <c r="D403" s="18"/>
      <c r="E403" s="18"/>
      <c r="F403" s="18"/>
      <c r="G403" s="18"/>
    </row>
    <row r="404" spans="1:9" ht="16.5" customHeight="1" x14ac:dyDescent="0.3">
      <c r="A404" s="17" t="s">
        <v>10</v>
      </c>
      <c r="B404" s="19" t="s">
        <v>239</v>
      </c>
      <c r="C404" s="19" t="s">
        <v>94</v>
      </c>
      <c r="D404" s="19" t="s">
        <v>240</v>
      </c>
      <c r="E404" s="3" t="s">
        <v>241</v>
      </c>
      <c r="F404" s="19" t="s">
        <v>243</v>
      </c>
      <c r="G404" s="19"/>
    </row>
    <row r="405" spans="1:9" x14ac:dyDescent="0.3">
      <c r="A405" s="17"/>
      <c r="B405" s="19"/>
      <c r="C405" s="19"/>
      <c r="D405" s="19"/>
      <c r="E405" s="3" t="s">
        <v>242</v>
      </c>
      <c r="F405" s="19"/>
      <c r="G405" s="19"/>
    </row>
    <row r="406" spans="1:9" ht="17.25" thickBot="1" x14ac:dyDescent="0.35">
      <c r="A406" s="6">
        <v>1</v>
      </c>
      <c r="B406" s="11" t="s">
        <v>117</v>
      </c>
      <c r="C406" s="2">
        <v>2777</v>
      </c>
      <c r="D406" s="2">
        <v>23.981465</v>
      </c>
      <c r="E406" s="2">
        <v>4.7289999999999999E-2</v>
      </c>
      <c r="F406" s="2">
        <v>23.888738799999999</v>
      </c>
      <c r="G406" s="2">
        <v>24.074191599999999</v>
      </c>
      <c r="I406" t="str">
        <f t="shared" ref="I406:I409" si="5">TEXT(D406,"0.00")&amp;" ("&amp;TEXT(F406,"0.00")&amp;" to "&amp;TEXT(G406,"0.00")&amp;")"</f>
        <v>23.98 (23.89 to 24.07)</v>
      </c>
    </row>
    <row r="407" spans="1:9" ht="17.25" thickBot="1" x14ac:dyDescent="0.35">
      <c r="A407" s="6">
        <v>2</v>
      </c>
      <c r="B407" s="11" t="s">
        <v>117</v>
      </c>
      <c r="C407" s="2">
        <v>26435</v>
      </c>
      <c r="D407" s="2">
        <v>30.15371</v>
      </c>
      <c r="E407" s="2">
        <v>2.6762000000000001E-2</v>
      </c>
      <c r="F407" s="2">
        <v>30.1012348</v>
      </c>
      <c r="G407" s="2">
        <v>30.206184400000001</v>
      </c>
      <c r="I407" t="str">
        <f t="shared" si="5"/>
        <v>30.15 (30.10 to 30.21)</v>
      </c>
    </row>
    <row r="408" spans="1:9" ht="17.25" thickBot="1" x14ac:dyDescent="0.35">
      <c r="A408" s="6">
        <v>3</v>
      </c>
      <c r="B408" s="11" t="s">
        <v>117</v>
      </c>
      <c r="C408" s="2">
        <v>16265</v>
      </c>
      <c r="D408" s="2">
        <v>35.846054000000002</v>
      </c>
      <c r="E408" s="2">
        <v>3.4014000000000003E-2</v>
      </c>
      <c r="F408" s="2">
        <v>35.779359399999997</v>
      </c>
      <c r="G408" s="2">
        <v>35.912748499999999</v>
      </c>
      <c r="I408" t="str">
        <f t="shared" si="5"/>
        <v>35.85 (35.78 to 35.91)</v>
      </c>
    </row>
    <row r="409" spans="1:9" x14ac:dyDescent="0.3">
      <c r="A409" s="6">
        <v>4</v>
      </c>
      <c r="B409" s="14" t="s">
        <v>117</v>
      </c>
      <c r="C409" s="2">
        <v>23158</v>
      </c>
      <c r="D409" s="2">
        <v>42.985622999999997</v>
      </c>
      <c r="E409" s="2">
        <v>5.0431999999999998E-2</v>
      </c>
      <c r="F409" s="2">
        <v>42.886735799999997</v>
      </c>
      <c r="G409" s="2">
        <v>43.0845111</v>
      </c>
      <c r="I409" t="str">
        <f t="shared" si="5"/>
        <v>42.99 (42.89 to 43.08)</v>
      </c>
    </row>
    <row r="413" spans="1:9" x14ac:dyDescent="0.3">
      <c r="A413" s="1" t="s">
        <v>237</v>
      </c>
    </row>
    <row r="415" spans="1:9" x14ac:dyDescent="0.3">
      <c r="A415" s="1" t="s">
        <v>1</v>
      </c>
    </row>
    <row r="416" spans="1:9" ht="17.25" thickBot="1" x14ac:dyDescent="0.35"/>
    <row r="417" spans="1:6" ht="16.5" customHeight="1" x14ac:dyDescent="0.3">
      <c r="A417" s="16" t="s">
        <v>135</v>
      </c>
      <c r="B417" s="18"/>
    </row>
    <row r="418" spans="1:6" ht="26.25" thickBot="1" x14ac:dyDescent="0.35">
      <c r="A418" s="12" t="s">
        <v>136</v>
      </c>
      <c r="B418" s="2">
        <v>183</v>
      </c>
    </row>
    <row r="419" spans="1:6" ht="26.25" thickBot="1" x14ac:dyDescent="0.35">
      <c r="A419" s="12" t="s">
        <v>137</v>
      </c>
      <c r="B419" s="2">
        <v>2949</v>
      </c>
    </row>
    <row r="420" spans="1:6" ht="39" thickBot="1" x14ac:dyDescent="0.35">
      <c r="A420" s="12" t="s">
        <v>138</v>
      </c>
      <c r="B420" s="2">
        <v>23222</v>
      </c>
    </row>
    <row r="421" spans="1:6" ht="25.5" x14ac:dyDescent="0.3">
      <c r="A421" s="13" t="s">
        <v>139</v>
      </c>
      <c r="B421" s="2">
        <v>9036880.5199999996</v>
      </c>
    </row>
    <row r="422" spans="1:6" ht="17.25" thickBot="1" x14ac:dyDescent="0.35"/>
    <row r="423" spans="1:6" ht="33" customHeight="1" x14ac:dyDescent="0.3">
      <c r="A423" s="16" t="s">
        <v>140</v>
      </c>
      <c r="B423" s="18"/>
    </row>
    <row r="424" spans="1:6" ht="33.75" thickBot="1" x14ac:dyDescent="0.35">
      <c r="A424" s="12" t="s">
        <v>141</v>
      </c>
      <c r="B424" s="2" t="s">
        <v>142</v>
      </c>
    </row>
    <row r="425" spans="1:6" ht="25.5" x14ac:dyDescent="0.3">
      <c r="A425" s="13" t="s">
        <v>143</v>
      </c>
      <c r="B425" s="2" t="s">
        <v>144</v>
      </c>
    </row>
    <row r="426" spans="1:6" ht="17.25" thickBot="1" x14ac:dyDescent="0.35"/>
    <row r="427" spans="1:6" ht="16.5" customHeight="1" x14ac:dyDescent="0.3">
      <c r="A427" s="16" t="s">
        <v>238</v>
      </c>
      <c r="B427" s="18"/>
      <c r="C427" s="18"/>
      <c r="D427" s="18"/>
      <c r="E427" s="18"/>
      <c r="F427" s="18"/>
    </row>
    <row r="428" spans="1:6" ht="16.5" customHeight="1" x14ac:dyDescent="0.3">
      <c r="A428" s="17" t="s">
        <v>239</v>
      </c>
      <c r="B428" s="19" t="s">
        <v>94</v>
      </c>
      <c r="C428" s="19" t="s">
        <v>240</v>
      </c>
      <c r="D428" s="3" t="s">
        <v>241</v>
      </c>
      <c r="E428" s="19" t="s">
        <v>243</v>
      </c>
      <c r="F428" s="19"/>
    </row>
    <row r="429" spans="1:6" x14ac:dyDescent="0.3">
      <c r="A429" s="17"/>
      <c r="B429" s="19"/>
      <c r="C429" s="19"/>
      <c r="D429" s="3" t="s">
        <v>242</v>
      </c>
      <c r="E429" s="19"/>
      <c r="F429" s="19"/>
    </row>
    <row r="430" spans="1:6" x14ac:dyDescent="0.3">
      <c r="A430" s="13" t="s">
        <v>117</v>
      </c>
      <c r="B430" s="2">
        <v>23222</v>
      </c>
      <c r="C430" s="2">
        <v>33.805624000000002</v>
      </c>
      <c r="D430" s="2">
        <v>7.0877999999999997E-2</v>
      </c>
      <c r="E430" s="2">
        <v>33.666644300000002</v>
      </c>
      <c r="F430" s="2">
        <v>33.944603299999997</v>
      </c>
    </row>
    <row r="434" spans="1:7" x14ac:dyDescent="0.3">
      <c r="A434" s="1" t="s">
        <v>237</v>
      </c>
    </row>
    <row r="436" spans="1:7" x14ac:dyDescent="0.3">
      <c r="A436" s="1" t="s">
        <v>1</v>
      </c>
    </row>
    <row r="437" spans="1:7" ht="17.25" thickBot="1" x14ac:dyDescent="0.35"/>
    <row r="438" spans="1:7" ht="16.5" customHeight="1" x14ac:dyDescent="0.3">
      <c r="A438" s="16" t="s">
        <v>272</v>
      </c>
      <c r="B438" s="18"/>
      <c r="C438" s="18"/>
      <c r="D438" s="18"/>
      <c r="E438" s="18"/>
      <c r="F438" s="18"/>
      <c r="G438" s="18"/>
    </row>
    <row r="439" spans="1:7" ht="16.5" customHeight="1" x14ac:dyDescent="0.3">
      <c r="A439" s="17" t="s">
        <v>11</v>
      </c>
      <c r="B439" s="19" t="s">
        <v>239</v>
      </c>
      <c r="C439" s="19" t="s">
        <v>94</v>
      </c>
      <c r="D439" s="19" t="s">
        <v>240</v>
      </c>
      <c r="E439" s="3" t="s">
        <v>241</v>
      </c>
      <c r="F439" s="19" t="s">
        <v>243</v>
      </c>
      <c r="G439" s="19"/>
    </row>
    <row r="440" spans="1:7" x14ac:dyDescent="0.3">
      <c r="A440" s="17"/>
      <c r="B440" s="19"/>
      <c r="C440" s="19"/>
      <c r="D440" s="19"/>
      <c r="E440" s="3" t="s">
        <v>242</v>
      </c>
      <c r="F440" s="19"/>
      <c r="G440" s="19"/>
    </row>
    <row r="441" spans="1:7" ht="17.25" thickBot="1" x14ac:dyDescent="0.35">
      <c r="A441" s="6">
        <v>1</v>
      </c>
      <c r="B441" s="11" t="s">
        <v>117</v>
      </c>
      <c r="C441" s="2">
        <v>13616</v>
      </c>
      <c r="D441" s="2">
        <v>36.389024999999997</v>
      </c>
      <c r="E441" s="2">
        <v>8.0879999999999994E-2</v>
      </c>
      <c r="F441" s="2">
        <v>36.230434199999998</v>
      </c>
      <c r="G441" s="2">
        <v>36.5476156</v>
      </c>
    </row>
    <row r="442" spans="1:7" ht="17.25" thickBot="1" x14ac:dyDescent="0.35">
      <c r="A442" s="6">
        <v>2</v>
      </c>
      <c r="B442" s="11" t="s">
        <v>117</v>
      </c>
      <c r="C442" s="2">
        <v>9560</v>
      </c>
      <c r="D442" s="2">
        <v>30.931636000000001</v>
      </c>
      <c r="E442" s="2">
        <v>0.1002</v>
      </c>
      <c r="F442" s="2">
        <v>30.735161300000001</v>
      </c>
      <c r="G442" s="2">
        <v>31.1281116</v>
      </c>
    </row>
    <row r="443" spans="1:7" x14ac:dyDescent="0.3">
      <c r="A443" s="6">
        <v>8</v>
      </c>
      <c r="B443" s="14" t="s">
        <v>117</v>
      </c>
      <c r="C443" s="2">
        <v>46</v>
      </c>
      <c r="D443" s="2">
        <v>34.025694000000001</v>
      </c>
      <c r="E443" s="2">
        <v>1.432617</v>
      </c>
      <c r="F443" s="2">
        <v>31.216585800000001</v>
      </c>
      <c r="G443" s="2">
        <v>36.834801200000001</v>
      </c>
    </row>
    <row r="447" spans="1:7" x14ac:dyDescent="0.3">
      <c r="A447" s="1" t="s">
        <v>237</v>
      </c>
    </row>
    <row r="449" spans="1:6" x14ac:dyDescent="0.3">
      <c r="A449" s="1" t="s">
        <v>21</v>
      </c>
    </row>
    <row r="450" spans="1:6" ht="17.25" thickBot="1" x14ac:dyDescent="0.35"/>
    <row r="451" spans="1:6" ht="16.5" customHeight="1" x14ac:dyDescent="0.3">
      <c r="A451" s="16" t="s">
        <v>135</v>
      </c>
      <c r="B451" s="18"/>
    </row>
    <row r="452" spans="1:6" ht="26.25" thickBot="1" x14ac:dyDescent="0.35">
      <c r="A452" s="12" t="s">
        <v>136</v>
      </c>
      <c r="B452" s="2">
        <v>183</v>
      </c>
    </row>
    <row r="453" spans="1:6" ht="26.25" thickBot="1" x14ac:dyDescent="0.35">
      <c r="A453" s="12" t="s">
        <v>137</v>
      </c>
      <c r="B453" s="2">
        <v>2982</v>
      </c>
    </row>
    <row r="454" spans="1:6" ht="39" thickBot="1" x14ac:dyDescent="0.35">
      <c r="A454" s="12" t="s">
        <v>138</v>
      </c>
      <c r="B454" s="2">
        <v>68635</v>
      </c>
    </row>
    <row r="455" spans="1:6" ht="25.5" x14ac:dyDescent="0.3">
      <c r="A455" s="13" t="s">
        <v>139</v>
      </c>
      <c r="B455" s="2">
        <v>30251935.699999999</v>
      </c>
    </row>
    <row r="456" spans="1:6" ht="17.25" thickBot="1" x14ac:dyDescent="0.35"/>
    <row r="457" spans="1:6" ht="33" customHeight="1" x14ac:dyDescent="0.3">
      <c r="A457" s="16" t="s">
        <v>140</v>
      </c>
      <c r="B457" s="18"/>
    </row>
    <row r="458" spans="1:6" ht="33.75" thickBot="1" x14ac:dyDescent="0.35">
      <c r="A458" s="12" t="s">
        <v>141</v>
      </c>
      <c r="B458" s="2" t="s">
        <v>142</v>
      </c>
    </row>
    <row r="459" spans="1:6" ht="25.5" x14ac:dyDescent="0.3">
      <c r="A459" s="13" t="s">
        <v>143</v>
      </c>
      <c r="B459" s="2" t="s">
        <v>144</v>
      </c>
    </row>
    <row r="460" spans="1:6" ht="17.25" thickBot="1" x14ac:dyDescent="0.35"/>
    <row r="461" spans="1:6" ht="16.5" customHeight="1" x14ac:dyDescent="0.3">
      <c r="A461" s="16" t="s">
        <v>238</v>
      </c>
      <c r="B461" s="18"/>
      <c r="C461" s="18"/>
      <c r="D461" s="18"/>
      <c r="E461" s="18"/>
      <c r="F461" s="18"/>
    </row>
    <row r="462" spans="1:6" ht="16.5" customHeight="1" x14ac:dyDescent="0.3">
      <c r="A462" s="17" t="s">
        <v>239</v>
      </c>
      <c r="B462" s="19" t="s">
        <v>94</v>
      </c>
      <c r="C462" s="19" t="s">
        <v>240</v>
      </c>
      <c r="D462" s="3" t="s">
        <v>241</v>
      </c>
      <c r="E462" s="19" t="s">
        <v>243</v>
      </c>
      <c r="F462" s="19"/>
    </row>
    <row r="463" spans="1:6" x14ac:dyDescent="0.3">
      <c r="A463" s="17"/>
      <c r="B463" s="19"/>
      <c r="C463" s="19"/>
      <c r="D463" s="3" t="s">
        <v>242</v>
      </c>
      <c r="E463" s="19"/>
      <c r="F463" s="19"/>
    </row>
    <row r="464" spans="1:6" x14ac:dyDescent="0.3">
      <c r="A464" s="13" t="s">
        <v>117</v>
      </c>
      <c r="B464" s="2">
        <v>68635</v>
      </c>
      <c r="C464" s="2">
        <v>35.601097000000003</v>
      </c>
      <c r="D464" s="2">
        <v>3.8943999999999999E-2</v>
      </c>
      <c r="E464" s="2">
        <v>35.524735800000002</v>
      </c>
      <c r="F464" s="2">
        <v>35.677458399999999</v>
      </c>
    </row>
    <row r="468" spans="1:9" x14ac:dyDescent="0.3">
      <c r="A468" s="1" t="s">
        <v>237</v>
      </c>
    </row>
    <row r="470" spans="1:9" x14ac:dyDescent="0.3">
      <c r="A470" s="1" t="s">
        <v>21</v>
      </c>
    </row>
    <row r="471" spans="1:9" ht="17.25" thickBot="1" x14ac:dyDescent="0.35"/>
    <row r="472" spans="1:9" ht="16.5" customHeight="1" x14ac:dyDescent="0.3">
      <c r="A472" s="16" t="s">
        <v>272</v>
      </c>
      <c r="B472" s="18"/>
      <c r="C472" s="18"/>
      <c r="D472" s="18"/>
      <c r="E472" s="18"/>
      <c r="F472" s="18"/>
      <c r="G472" s="18"/>
    </row>
    <row r="473" spans="1:9" ht="16.5" customHeight="1" x14ac:dyDescent="0.3">
      <c r="A473" s="17" t="s">
        <v>11</v>
      </c>
      <c r="B473" s="19" t="s">
        <v>239</v>
      </c>
      <c r="C473" s="19" t="s">
        <v>94</v>
      </c>
      <c r="D473" s="19" t="s">
        <v>240</v>
      </c>
      <c r="E473" s="3" t="s">
        <v>241</v>
      </c>
      <c r="F473" s="19" t="s">
        <v>243</v>
      </c>
      <c r="G473" s="19"/>
    </row>
    <row r="474" spans="1:9" x14ac:dyDescent="0.3">
      <c r="A474" s="17"/>
      <c r="B474" s="19"/>
      <c r="C474" s="19"/>
      <c r="D474" s="19"/>
      <c r="E474" s="3" t="s">
        <v>242</v>
      </c>
      <c r="F474" s="19"/>
      <c r="G474" s="19"/>
    </row>
    <row r="475" spans="1:9" ht="17.25" thickBot="1" x14ac:dyDescent="0.35">
      <c r="A475" s="6">
        <v>1</v>
      </c>
      <c r="B475" s="11" t="s">
        <v>117</v>
      </c>
      <c r="C475" s="2">
        <v>56814</v>
      </c>
      <c r="D475" s="2">
        <v>36.129204000000001</v>
      </c>
      <c r="E475" s="2">
        <v>3.8323999999999997E-2</v>
      </c>
      <c r="F475" s="2">
        <v>36.054057700000001</v>
      </c>
      <c r="G475" s="2">
        <v>36.204350300000002</v>
      </c>
      <c r="I475" t="str">
        <f t="shared" ref="I475:I476" si="6">TEXT(D475,"0.00")&amp;" ("&amp;TEXT(F475,"0.00")&amp;" to "&amp;TEXT(G475,"0.00")&amp;")"</f>
        <v>36.13 (36.05 to 36.20)</v>
      </c>
    </row>
    <row r="476" spans="1:9" x14ac:dyDescent="0.3">
      <c r="A476" s="6">
        <v>2</v>
      </c>
      <c r="B476" s="14" t="s">
        <v>117</v>
      </c>
      <c r="C476" s="2">
        <v>11821</v>
      </c>
      <c r="D476" s="2">
        <v>33.956501000000003</v>
      </c>
      <c r="E476" s="2">
        <v>9.4503000000000004E-2</v>
      </c>
      <c r="F476" s="2">
        <v>33.771197800000003</v>
      </c>
      <c r="G476" s="2">
        <v>34.141803600000003</v>
      </c>
      <c r="I476" t="str">
        <f t="shared" si="6"/>
        <v>33.96 (33.77 to 34.14)</v>
      </c>
    </row>
    <row r="480" spans="1:9" x14ac:dyDescent="0.3">
      <c r="A480" s="1" t="s">
        <v>237</v>
      </c>
    </row>
    <row r="482" spans="1:6" x14ac:dyDescent="0.3">
      <c r="A482" s="1" t="s">
        <v>1</v>
      </c>
    </row>
    <row r="483" spans="1:6" ht="17.25" thickBot="1" x14ac:dyDescent="0.35"/>
    <row r="484" spans="1:6" ht="16.5" customHeight="1" x14ac:dyDescent="0.3">
      <c r="A484" s="16" t="s">
        <v>135</v>
      </c>
      <c r="B484" s="18"/>
    </row>
    <row r="485" spans="1:6" ht="26.25" thickBot="1" x14ac:dyDescent="0.35">
      <c r="A485" s="12" t="s">
        <v>136</v>
      </c>
      <c r="B485" s="2">
        <v>183</v>
      </c>
    </row>
    <row r="486" spans="1:6" ht="26.25" thickBot="1" x14ac:dyDescent="0.35">
      <c r="A486" s="12" t="s">
        <v>137</v>
      </c>
      <c r="B486" s="2">
        <v>2949</v>
      </c>
    </row>
    <row r="487" spans="1:6" ht="39" thickBot="1" x14ac:dyDescent="0.35">
      <c r="A487" s="12" t="s">
        <v>138</v>
      </c>
      <c r="B487" s="2">
        <v>23222</v>
      </c>
    </row>
    <row r="488" spans="1:6" ht="25.5" x14ac:dyDescent="0.3">
      <c r="A488" s="13" t="s">
        <v>139</v>
      </c>
      <c r="B488" s="2">
        <v>9036880.5199999996</v>
      </c>
    </row>
    <row r="489" spans="1:6" ht="17.25" thickBot="1" x14ac:dyDescent="0.35"/>
    <row r="490" spans="1:6" ht="33" customHeight="1" x14ac:dyDescent="0.3">
      <c r="A490" s="16" t="s">
        <v>140</v>
      </c>
      <c r="B490" s="18"/>
    </row>
    <row r="491" spans="1:6" ht="33.75" thickBot="1" x14ac:dyDescent="0.35">
      <c r="A491" s="12" t="s">
        <v>141</v>
      </c>
      <c r="B491" s="2" t="s">
        <v>142</v>
      </c>
    </row>
    <row r="492" spans="1:6" ht="25.5" x14ac:dyDescent="0.3">
      <c r="A492" s="13" t="s">
        <v>143</v>
      </c>
      <c r="B492" s="2" t="s">
        <v>144</v>
      </c>
    </row>
    <row r="493" spans="1:6" ht="17.25" thickBot="1" x14ac:dyDescent="0.35"/>
    <row r="494" spans="1:6" ht="16.5" customHeight="1" x14ac:dyDescent="0.3">
      <c r="A494" s="16" t="s">
        <v>238</v>
      </c>
      <c r="B494" s="18"/>
      <c r="C494" s="18"/>
      <c r="D494" s="18"/>
      <c r="E494" s="18"/>
      <c r="F494" s="18"/>
    </row>
    <row r="495" spans="1:6" ht="16.5" customHeight="1" x14ac:dyDescent="0.3">
      <c r="A495" s="17" t="s">
        <v>239</v>
      </c>
      <c r="B495" s="19" t="s">
        <v>94</v>
      </c>
      <c r="C495" s="19" t="s">
        <v>240</v>
      </c>
      <c r="D495" s="3" t="s">
        <v>241</v>
      </c>
      <c r="E495" s="19" t="s">
        <v>243</v>
      </c>
      <c r="F495" s="19"/>
    </row>
    <row r="496" spans="1:6" x14ac:dyDescent="0.3">
      <c r="A496" s="17"/>
      <c r="B496" s="19"/>
      <c r="C496" s="19"/>
      <c r="D496" s="3" t="s">
        <v>242</v>
      </c>
      <c r="E496" s="19"/>
      <c r="F496" s="19"/>
    </row>
    <row r="497" spans="1:7" x14ac:dyDescent="0.3">
      <c r="A497" s="13" t="s">
        <v>117</v>
      </c>
      <c r="B497" s="2">
        <v>23222</v>
      </c>
      <c r="C497" s="2">
        <v>33.805624000000002</v>
      </c>
      <c r="D497" s="2">
        <v>7.0877999999999997E-2</v>
      </c>
      <c r="E497" s="2">
        <v>33.666644300000002</v>
      </c>
      <c r="F497" s="2">
        <v>33.944603299999997</v>
      </c>
    </row>
    <row r="501" spans="1:7" x14ac:dyDescent="0.3">
      <c r="A501" s="1" t="s">
        <v>237</v>
      </c>
    </row>
    <row r="503" spans="1:7" x14ac:dyDescent="0.3">
      <c r="A503" s="1" t="s">
        <v>1</v>
      </c>
    </row>
    <row r="504" spans="1:7" ht="17.25" thickBot="1" x14ac:dyDescent="0.35"/>
    <row r="505" spans="1:7" ht="16.5" customHeight="1" x14ac:dyDescent="0.3">
      <c r="A505" s="16" t="s">
        <v>273</v>
      </c>
      <c r="B505" s="18"/>
      <c r="C505" s="18"/>
      <c r="D505" s="18"/>
      <c r="E505" s="18"/>
      <c r="F505" s="18"/>
      <c r="G505" s="18"/>
    </row>
    <row r="506" spans="1:7" ht="16.5" customHeight="1" x14ac:dyDescent="0.3">
      <c r="A506" s="17" t="s">
        <v>12</v>
      </c>
      <c r="B506" s="19" t="s">
        <v>239</v>
      </c>
      <c r="C506" s="19" t="s">
        <v>94</v>
      </c>
      <c r="D506" s="19" t="s">
        <v>240</v>
      </c>
      <c r="E506" s="3" t="s">
        <v>241</v>
      </c>
      <c r="F506" s="19" t="s">
        <v>243</v>
      </c>
      <c r="G506" s="19"/>
    </row>
    <row r="507" spans="1:7" x14ac:dyDescent="0.3">
      <c r="A507" s="17"/>
      <c r="B507" s="19"/>
      <c r="C507" s="19"/>
      <c r="D507" s="19"/>
      <c r="E507" s="3" t="s">
        <v>242</v>
      </c>
      <c r="F507" s="19"/>
      <c r="G507" s="19"/>
    </row>
    <row r="508" spans="1:7" ht="17.25" thickBot="1" x14ac:dyDescent="0.35">
      <c r="A508" s="6">
        <v>1</v>
      </c>
      <c r="B508" s="11" t="s">
        <v>117</v>
      </c>
      <c r="C508" s="2">
        <v>8851</v>
      </c>
      <c r="D508" s="2">
        <v>31.70626</v>
      </c>
      <c r="E508" s="2">
        <v>9.5515000000000003E-2</v>
      </c>
      <c r="F508" s="2">
        <v>31.518972699999999</v>
      </c>
      <c r="G508" s="2">
        <v>31.893546799999999</v>
      </c>
    </row>
    <row r="509" spans="1:7" ht="17.25" thickBot="1" x14ac:dyDescent="0.35">
      <c r="A509" s="6">
        <v>2</v>
      </c>
      <c r="B509" s="11" t="s">
        <v>117</v>
      </c>
      <c r="C509" s="2">
        <v>7985</v>
      </c>
      <c r="D509" s="2">
        <v>34.237744999999997</v>
      </c>
      <c r="E509" s="2">
        <v>0.10974299999999999</v>
      </c>
      <c r="F509" s="2">
        <v>34.022559200000003</v>
      </c>
      <c r="G509" s="2">
        <v>34.452931200000002</v>
      </c>
    </row>
    <row r="510" spans="1:7" ht="17.25" thickBot="1" x14ac:dyDescent="0.35">
      <c r="A510" s="6">
        <v>3</v>
      </c>
      <c r="B510" s="11" t="s">
        <v>117</v>
      </c>
      <c r="C510" s="2">
        <v>3883</v>
      </c>
      <c r="D510" s="2">
        <v>36.432459999999999</v>
      </c>
      <c r="E510" s="2">
        <v>0.18237800000000001</v>
      </c>
      <c r="F510" s="2">
        <v>36.074850099999999</v>
      </c>
      <c r="G510" s="2">
        <v>36.790070299999996</v>
      </c>
    </row>
    <row r="511" spans="1:7" x14ac:dyDescent="0.3">
      <c r="A511" s="6">
        <v>8</v>
      </c>
      <c r="B511" s="14" t="s">
        <v>117</v>
      </c>
      <c r="C511" s="2">
        <v>2503</v>
      </c>
      <c r="D511" s="2">
        <v>36.193055999999999</v>
      </c>
      <c r="E511" s="2">
        <v>0.19153999999999999</v>
      </c>
      <c r="F511" s="2">
        <v>35.817480699999997</v>
      </c>
      <c r="G511" s="2">
        <v>36.568631500000002</v>
      </c>
    </row>
    <row r="515" spans="1:2" x14ac:dyDescent="0.3">
      <c r="A515" s="1" t="s">
        <v>237</v>
      </c>
    </row>
    <row r="517" spans="1:2" x14ac:dyDescent="0.3">
      <c r="A517" s="1" t="s">
        <v>21</v>
      </c>
    </row>
    <row r="518" spans="1:2" ht="17.25" thickBot="1" x14ac:dyDescent="0.35"/>
    <row r="519" spans="1:2" ht="16.5" customHeight="1" x14ac:dyDescent="0.3">
      <c r="A519" s="16" t="s">
        <v>135</v>
      </c>
      <c r="B519" s="18"/>
    </row>
    <row r="520" spans="1:2" ht="26.25" thickBot="1" x14ac:dyDescent="0.35">
      <c r="A520" s="12" t="s">
        <v>136</v>
      </c>
      <c r="B520" s="2">
        <v>183</v>
      </c>
    </row>
    <row r="521" spans="1:2" ht="26.25" thickBot="1" x14ac:dyDescent="0.35">
      <c r="A521" s="12" t="s">
        <v>137</v>
      </c>
      <c r="B521" s="2">
        <v>2982</v>
      </c>
    </row>
    <row r="522" spans="1:2" ht="39" thickBot="1" x14ac:dyDescent="0.35">
      <c r="A522" s="12" t="s">
        <v>138</v>
      </c>
      <c r="B522" s="2">
        <v>68635</v>
      </c>
    </row>
    <row r="523" spans="1:2" ht="25.5" x14ac:dyDescent="0.3">
      <c r="A523" s="13" t="s">
        <v>139</v>
      </c>
      <c r="B523" s="2">
        <v>30251935.699999999</v>
      </c>
    </row>
    <row r="524" spans="1:2" ht="17.25" thickBot="1" x14ac:dyDescent="0.35"/>
    <row r="525" spans="1:2" ht="33" customHeight="1" x14ac:dyDescent="0.3">
      <c r="A525" s="16" t="s">
        <v>140</v>
      </c>
      <c r="B525" s="18"/>
    </row>
    <row r="526" spans="1:2" ht="33.75" thickBot="1" x14ac:dyDescent="0.35">
      <c r="A526" s="12" t="s">
        <v>141</v>
      </c>
      <c r="B526" s="2" t="s">
        <v>142</v>
      </c>
    </row>
    <row r="527" spans="1:2" ht="25.5" x14ac:dyDescent="0.3">
      <c r="A527" s="13" t="s">
        <v>143</v>
      </c>
      <c r="B527" s="2" t="s">
        <v>144</v>
      </c>
    </row>
    <row r="528" spans="1:2" ht="17.25" thickBot="1" x14ac:dyDescent="0.35"/>
    <row r="529" spans="1:9" ht="16.5" customHeight="1" x14ac:dyDescent="0.3">
      <c r="A529" s="16" t="s">
        <v>238</v>
      </c>
      <c r="B529" s="18"/>
      <c r="C529" s="18"/>
      <c r="D529" s="18"/>
      <c r="E529" s="18"/>
      <c r="F529" s="18"/>
    </row>
    <row r="530" spans="1:9" ht="16.5" customHeight="1" x14ac:dyDescent="0.3">
      <c r="A530" s="17" t="s">
        <v>239</v>
      </c>
      <c r="B530" s="19" t="s">
        <v>94</v>
      </c>
      <c r="C530" s="19" t="s">
        <v>240</v>
      </c>
      <c r="D530" s="3" t="s">
        <v>241</v>
      </c>
      <c r="E530" s="19" t="s">
        <v>243</v>
      </c>
      <c r="F530" s="19"/>
    </row>
    <row r="531" spans="1:9" x14ac:dyDescent="0.3">
      <c r="A531" s="17"/>
      <c r="B531" s="19"/>
      <c r="C531" s="19"/>
      <c r="D531" s="3" t="s">
        <v>242</v>
      </c>
      <c r="E531" s="19"/>
      <c r="F531" s="19"/>
    </row>
    <row r="532" spans="1:9" x14ac:dyDescent="0.3">
      <c r="A532" s="13" t="s">
        <v>117</v>
      </c>
      <c r="B532" s="2">
        <v>68635</v>
      </c>
      <c r="C532" s="2">
        <v>35.601097000000003</v>
      </c>
      <c r="D532" s="2">
        <v>3.8943999999999999E-2</v>
      </c>
      <c r="E532" s="2">
        <v>35.524735800000002</v>
      </c>
      <c r="F532" s="2">
        <v>35.677458399999999</v>
      </c>
    </row>
    <row r="536" spans="1:9" x14ac:dyDescent="0.3">
      <c r="A536" s="1" t="s">
        <v>237</v>
      </c>
    </row>
    <row r="538" spans="1:9" x14ac:dyDescent="0.3">
      <c r="A538" s="1" t="s">
        <v>21</v>
      </c>
    </row>
    <row r="539" spans="1:9" ht="17.25" thickBot="1" x14ac:dyDescent="0.35"/>
    <row r="540" spans="1:9" ht="16.5" customHeight="1" x14ac:dyDescent="0.3">
      <c r="A540" s="16" t="s">
        <v>273</v>
      </c>
      <c r="B540" s="18"/>
      <c r="C540" s="18"/>
      <c r="D540" s="18"/>
      <c r="E540" s="18"/>
      <c r="F540" s="18"/>
      <c r="G540" s="18"/>
    </row>
    <row r="541" spans="1:9" ht="16.5" customHeight="1" x14ac:dyDescent="0.3">
      <c r="A541" s="17" t="s">
        <v>12</v>
      </c>
      <c r="B541" s="19" t="s">
        <v>239</v>
      </c>
      <c r="C541" s="19" t="s">
        <v>94</v>
      </c>
      <c r="D541" s="19" t="s">
        <v>240</v>
      </c>
      <c r="E541" s="3" t="s">
        <v>241</v>
      </c>
      <c r="F541" s="19" t="s">
        <v>243</v>
      </c>
      <c r="G541" s="19"/>
    </row>
    <row r="542" spans="1:9" x14ac:dyDescent="0.3">
      <c r="A542" s="17"/>
      <c r="B542" s="19"/>
      <c r="C542" s="19"/>
      <c r="D542" s="19"/>
      <c r="E542" s="3" t="s">
        <v>242</v>
      </c>
      <c r="F542" s="19"/>
      <c r="G542" s="19"/>
    </row>
    <row r="543" spans="1:9" ht="17.25" thickBot="1" x14ac:dyDescent="0.35">
      <c r="A543" s="6">
        <v>1</v>
      </c>
      <c r="B543" s="11" t="s">
        <v>117</v>
      </c>
      <c r="C543" s="2">
        <v>22876</v>
      </c>
      <c r="D543" s="2">
        <v>34.755394000000003</v>
      </c>
      <c r="E543" s="2">
        <v>5.8772999999999999E-2</v>
      </c>
      <c r="F543" s="2">
        <v>34.640151899999999</v>
      </c>
      <c r="G543" s="2">
        <v>34.870635900000003</v>
      </c>
      <c r="I543" t="str">
        <f t="shared" ref="I543:I545" si="7">TEXT(D543,"0.00")&amp;" ("&amp;TEXT(F543,"0.00")&amp;" to "&amp;TEXT(G543,"0.00")&amp;")"</f>
        <v>34.76 (34.64 to 34.87)</v>
      </c>
    </row>
    <row r="544" spans="1:9" ht="17.25" thickBot="1" x14ac:dyDescent="0.35">
      <c r="A544" s="6">
        <v>2</v>
      </c>
      <c r="B544" s="11" t="s">
        <v>117</v>
      </c>
      <c r="C544" s="2">
        <v>33210</v>
      </c>
      <c r="D544" s="2">
        <v>35.713408999999999</v>
      </c>
      <c r="E544" s="2">
        <v>5.2377E-2</v>
      </c>
      <c r="F544" s="2">
        <v>35.610706899999997</v>
      </c>
      <c r="G544" s="2">
        <v>35.816110399999999</v>
      </c>
      <c r="I544" t="str">
        <f t="shared" si="7"/>
        <v>35.71 (35.61 to 35.82)</v>
      </c>
    </row>
    <row r="545" spans="1:9" x14ac:dyDescent="0.3">
      <c r="A545" s="6">
        <v>3</v>
      </c>
      <c r="B545" s="14" t="s">
        <v>117</v>
      </c>
      <c r="C545" s="2">
        <v>12549</v>
      </c>
      <c r="D545" s="2">
        <v>37.046604000000002</v>
      </c>
      <c r="E545" s="2">
        <v>9.8544999999999994E-2</v>
      </c>
      <c r="F545" s="2">
        <v>36.853375800000002</v>
      </c>
      <c r="G545" s="2">
        <v>37.239832</v>
      </c>
      <c r="I545" t="str">
        <f t="shared" si="7"/>
        <v>37.05 (36.85 to 37.24)</v>
      </c>
    </row>
    <row r="549" spans="1:9" x14ac:dyDescent="0.3">
      <c r="A549" s="1" t="s">
        <v>237</v>
      </c>
    </row>
    <row r="551" spans="1:9" x14ac:dyDescent="0.3">
      <c r="A551" s="1" t="s">
        <v>1</v>
      </c>
    </row>
    <row r="552" spans="1:9" ht="17.25" thickBot="1" x14ac:dyDescent="0.35"/>
    <row r="553" spans="1:9" ht="16.5" customHeight="1" x14ac:dyDescent="0.3">
      <c r="A553" s="16" t="s">
        <v>135</v>
      </c>
      <c r="B553" s="18"/>
    </row>
    <row r="554" spans="1:9" ht="26.25" thickBot="1" x14ac:dyDescent="0.35">
      <c r="A554" s="12" t="s">
        <v>136</v>
      </c>
      <c r="B554" s="2">
        <v>183</v>
      </c>
    </row>
    <row r="555" spans="1:9" ht="26.25" thickBot="1" x14ac:dyDescent="0.35">
      <c r="A555" s="12" t="s">
        <v>137</v>
      </c>
      <c r="B555" s="2">
        <v>2949</v>
      </c>
    </row>
    <row r="556" spans="1:9" ht="39" thickBot="1" x14ac:dyDescent="0.35">
      <c r="A556" s="12" t="s">
        <v>138</v>
      </c>
      <c r="B556" s="2">
        <v>23222</v>
      </c>
    </row>
    <row r="557" spans="1:9" ht="25.5" x14ac:dyDescent="0.3">
      <c r="A557" s="13" t="s">
        <v>139</v>
      </c>
      <c r="B557" s="2">
        <v>9036880.5199999996</v>
      </c>
    </row>
    <row r="558" spans="1:9" ht="17.25" thickBot="1" x14ac:dyDescent="0.35"/>
    <row r="559" spans="1:9" ht="33" customHeight="1" x14ac:dyDescent="0.3">
      <c r="A559" s="16" t="s">
        <v>140</v>
      </c>
      <c r="B559" s="18"/>
    </row>
    <row r="560" spans="1:9" ht="33.75" thickBot="1" x14ac:dyDescent="0.35">
      <c r="A560" s="12" t="s">
        <v>141</v>
      </c>
      <c r="B560" s="2" t="s">
        <v>142</v>
      </c>
    </row>
    <row r="561" spans="1:7" ht="25.5" x14ac:dyDescent="0.3">
      <c r="A561" s="13" t="s">
        <v>143</v>
      </c>
      <c r="B561" s="2" t="s">
        <v>144</v>
      </c>
    </row>
    <row r="562" spans="1:7" ht="17.25" thickBot="1" x14ac:dyDescent="0.35"/>
    <row r="563" spans="1:7" ht="16.5" customHeight="1" x14ac:dyDescent="0.3">
      <c r="A563" s="16" t="s">
        <v>238</v>
      </c>
      <c r="B563" s="18"/>
      <c r="C563" s="18"/>
      <c r="D563" s="18"/>
      <c r="E563" s="18"/>
      <c r="F563" s="18"/>
    </row>
    <row r="564" spans="1:7" ht="16.5" customHeight="1" x14ac:dyDescent="0.3">
      <c r="A564" s="17" t="s">
        <v>239</v>
      </c>
      <c r="B564" s="19" t="s">
        <v>94</v>
      </c>
      <c r="C564" s="19" t="s">
        <v>240</v>
      </c>
      <c r="D564" s="3" t="s">
        <v>241</v>
      </c>
      <c r="E564" s="19" t="s">
        <v>243</v>
      </c>
      <c r="F564" s="19"/>
    </row>
    <row r="565" spans="1:7" x14ac:dyDescent="0.3">
      <c r="A565" s="17"/>
      <c r="B565" s="19"/>
      <c r="C565" s="19"/>
      <c r="D565" s="3" t="s">
        <v>242</v>
      </c>
      <c r="E565" s="19"/>
      <c r="F565" s="19"/>
    </row>
    <row r="566" spans="1:7" x14ac:dyDescent="0.3">
      <c r="A566" s="13" t="s">
        <v>117</v>
      </c>
      <c r="B566" s="2">
        <v>23222</v>
      </c>
      <c r="C566" s="2">
        <v>33.805624000000002</v>
      </c>
      <c r="D566" s="2">
        <v>7.0877999999999997E-2</v>
      </c>
      <c r="E566" s="2">
        <v>33.666644300000002</v>
      </c>
      <c r="F566" s="2">
        <v>33.944603299999997</v>
      </c>
    </row>
    <row r="570" spans="1:7" x14ac:dyDescent="0.3">
      <c r="A570" s="1" t="s">
        <v>237</v>
      </c>
    </row>
    <row r="572" spans="1:7" x14ac:dyDescent="0.3">
      <c r="A572" s="1" t="s">
        <v>1</v>
      </c>
    </row>
    <row r="573" spans="1:7" ht="17.25" thickBot="1" x14ac:dyDescent="0.35"/>
    <row r="574" spans="1:7" ht="16.5" customHeight="1" x14ac:dyDescent="0.3">
      <c r="A574" s="16" t="s">
        <v>274</v>
      </c>
      <c r="B574" s="18"/>
      <c r="C574" s="18"/>
      <c r="D574" s="18"/>
      <c r="E574" s="18"/>
      <c r="F574" s="18"/>
      <c r="G574" s="18"/>
    </row>
    <row r="575" spans="1:7" ht="16.5" customHeight="1" x14ac:dyDescent="0.3">
      <c r="A575" s="17" t="s">
        <v>13</v>
      </c>
      <c r="B575" s="19" t="s">
        <v>239</v>
      </c>
      <c r="C575" s="19" t="s">
        <v>94</v>
      </c>
      <c r="D575" s="19" t="s">
        <v>240</v>
      </c>
      <c r="E575" s="3" t="s">
        <v>241</v>
      </c>
      <c r="F575" s="19" t="s">
        <v>243</v>
      </c>
      <c r="G575" s="19"/>
    </row>
    <row r="576" spans="1:7" x14ac:dyDescent="0.3">
      <c r="A576" s="17"/>
      <c r="B576" s="19"/>
      <c r="C576" s="19"/>
      <c r="D576" s="19"/>
      <c r="E576" s="3" t="s">
        <v>242</v>
      </c>
      <c r="F576" s="19"/>
      <c r="G576" s="19"/>
    </row>
    <row r="577" spans="1:7" ht="17.25" thickBot="1" x14ac:dyDescent="0.35">
      <c r="A577" s="6">
        <v>1</v>
      </c>
      <c r="B577" s="11" t="s">
        <v>117</v>
      </c>
      <c r="C577" s="2">
        <v>5000</v>
      </c>
      <c r="D577" s="2">
        <v>34.483606999999999</v>
      </c>
      <c r="E577" s="2">
        <v>0.14124500000000001</v>
      </c>
      <c r="F577" s="2">
        <v>34.206651700000002</v>
      </c>
      <c r="G577" s="2">
        <v>34.760562999999998</v>
      </c>
    </row>
    <row r="578" spans="1:7" ht="17.25" thickBot="1" x14ac:dyDescent="0.35">
      <c r="A578" s="6">
        <v>2</v>
      </c>
      <c r="B578" s="11" t="s">
        <v>117</v>
      </c>
      <c r="C578" s="2">
        <v>11282</v>
      </c>
      <c r="D578" s="2">
        <v>34.032865999999999</v>
      </c>
      <c r="E578" s="2">
        <v>9.2133999999999994E-2</v>
      </c>
      <c r="F578" s="2">
        <v>33.852207200000002</v>
      </c>
      <c r="G578" s="2">
        <v>34.213525199999999</v>
      </c>
    </row>
    <row r="579" spans="1:7" ht="17.25" thickBot="1" x14ac:dyDescent="0.35">
      <c r="A579" s="6">
        <v>3</v>
      </c>
      <c r="B579" s="11" t="s">
        <v>117</v>
      </c>
      <c r="C579" s="2">
        <v>4216</v>
      </c>
      <c r="D579" s="2">
        <v>34.746746999999999</v>
      </c>
      <c r="E579" s="2">
        <v>0.14849499999999999</v>
      </c>
      <c r="F579" s="2">
        <v>34.455575600000003</v>
      </c>
      <c r="G579" s="2">
        <v>35.037919299999999</v>
      </c>
    </row>
    <row r="580" spans="1:7" x14ac:dyDescent="0.3">
      <c r="A580" s="6">
        <v>8</v>
      </c>
      <c r="B580" s="14" t="s">
        <v>117</v>
      </c>
      <c r="C580" s="2">
        <v>2724</v>
      </c>
      <c r="D580" s="2">
        <v>30.038965999999999</v>
      </c>
      <c r="E580" s="2">
        <v>0.195491</v>
      </c>
      <c r="F580" s="2">
        <v>29.655642499999999</v>
      </c>
      <c r="G580" s="2">
        <v>30.422288500000001</v>
      </c>
    </row>
    <row r="584" spans="1:7" x14ac:dyDescent="0.3">
      <c r="A584" s="1" t="s">
        <v>237</v>
      </c>
    </row>
    <row r="586" spans="1:7" x14ac:dyDescent="0.3">
      <c r="A586" s="1" t="s">
        <v>21</v>
      </c>
    </row>
    <row r="587" spans="1:7" ht="17.25" thickBot="1" x14ac:dyDescent="0.35"/>
    <row r="588" spans="1:7" ht="16.5" customHeight="1" x14ac:dyDescent="0.3">
      <c r="A588" s="16" t="s">
        <v>135</v>
      </c>
      <c r="B588" s="18"/>
    </row>
    <row r="589" spans="1:7" ht="26.25" thickBot="1" x14ac:dyDescent="0.35">
      <c r="A589" s="12" t="s">
        <v>136</v>
      </c>
      <c r="B589" s="2">
        <v>183</v>
      </c>
    </row>
    <row r="590" spans="1:7" ht="26.25" thickBot="1" x14ac:dyDescent="0.35">
      <c r="A590" s="12" t="s">
        <v>137</v>
      </c>
      <c r="B590" s="2">
        <v>2982</v>
      </c>
    </row>
    <row r="591" spans="1:7" ht="39" thickBot="1" x14ac:dyDescent="0.35">
      <c r="A591" s="12" t="s">
        <v>138</v>
      </c>
      <c r="B591" s="2">
        <v>68635</v>
      </c>
    </row>
    <row r="592" spans="1:7" ht="25.5" x14ac:dyDescent="0.3">
      <c r="A592" s="13" t="s">
        <v>139</v>
      </c>
      <c r="B592" s="2">
        <v>30251935.699999999</v>
      </c>
    </row>
    <row r="593" spans="1:6" ht="17.25" thickBot="1" x14ac:dyDescent="0.35"/>
    <row r="594" spans="1:6" ht="33" customHeight="1" x14ac:dyDescent="0.3">
      <c r="A594" s="16" t="s">
        <v>140</v>
      </c>
      <c r="B594" s="18"/>
    </row>
    <row r="595" spans="1:6" ht="33.75" thickBot="1" x14ac:dyDescent="0.35">
      <c r="A595" s="12" t="s">
        <v>141</v>
      </c>
      <c r="B595" s="2" t="s">
        <v>142</v>
      </c>
    </row>
    <row r="596" spans="1:6" ht="25.5" x14ac:dyDescent="0.3">
      <c r="A596" s="13" t="s">
        <v>143</v>
      </c>
      <c r="B596" s="2" t="s">
        <v>144</v>
      </c>
    </row>
    <row r="597" spans="1:6" ht="17.25" thickBot="1" x14ac:dyDescent="0.35"/>
    <row r="598" spans="1:6" ht="16.5" customHeight="1" x14ac:dyDescent="0.3">
      <c r="A598" s="16" t="s">
        <v>238</v>
      </c>
      <c r="B598" s="18"/>
      <c r="C598" s="18"/>
      <c r="D598" s="18"/>
      <c r="E598" s="18"/>
      <c r="F598" s="18"/>
    </row>
    <row r="599" spans="1:6" ht="16.5" customHeight="1" x14ac:dyDescent="0.3">
      <c r="A599" s="17" t="s">
        <v>239</v>
      </c>
      <c r="B599" s="19" t="s">
        <v>94</v>
      </c>
      <c r="C599" s="19" t="s">
        <v>240</v>
      </c>
      <c r="D599" s="3" t="s">
        <v>241</v>
      </c>
      <c r="E599" s="19" t="s">
        <v>243</v>
      </c>
      <c r="F599" s="19"/>
    </row>
    <row r="600" spans="1:6" x14ac:dyDescent="0.3">
      <c r="A600" s="17"/>
      <c r="B600" s="19"/>
      <c r="C600" s="19"/>
      <c r="D600" s="3" t="s">
        <v>242</v>
      </c>
      <c r="E600" s="19"/>
      <c r="F600" s="19"/>
    </row>
    <row r="601" spans="1:6" x14ac:dyDescent="0.3">
      <c r="A601" s="13" t="s">
        <v>117</v>
      </c>
      <c r="B601" s="2">
        <v>68635</v>
      </c>
      <c r="C601" s="2">
        <v>35.601097000000003</v>
      </c>
      <c r="D601" s="2">
        <v>3.8943999999999999E-2</v>
      </c>
      <c r="E601" s="2">
        <v>35.524735800000002</v>
      </c>
      <c r="F601" s="2">
        <v>35.677458399999999</v>
      </c>
    </row>
    <row r="605" spans="1:6" x14ac:dyDescent="0.3">
      <c r="A605" s="1" t="s">
        <v>237</v>
      </c>
    </row>
    <row r="607" spans="1:6" x14ac:dyDescent="0.3">
      <c r="A607" s="1" t="s">
        <v>21</v>
      </c>
    </row>
    <row r="608" spans="1:6" ht="17.25" thickBot="1" x14ac:dyDescent="0.35"/>
    <row r="609" spans="1:9" ht="16.5" customHeight="1" x14ac:dyDescent="0.3">
      <c r="A609" s="16" t="s">
        <v>274</v>
      </c>
      <c r="B609" s="18"/>
      <c r="C609" s="18"/>
      <c r="D609" s="18"/>
      <c r="E609" s="18"/>
      <c r="F609" s="18"/>
      <c r="G609" s="18"/>
    </row>
    <row r="610" spans="1:9" ht="16.5" customHeight="1" x14ac:dyDescent="0.3">
      <c r="A610" s="17" t="s">
        <v>13</v>
      </c>
      <c r="B610" s="19" t="s">
        <v>239</v>
      </c>
      <c r="C610" s="19" t="s">
        <v>94</v>
      </c>
      <c r="D610" s="19" t="s">
        <v>240</v>
      </c>
      <c r="E610" s="3" t="s">
        <v>241</v>
      </c>
      <c r="F610" s="19" t="s">
        <v>243</v>
      </c>
      <c r="G610" s="19"/>
    </row>
    <row r="611" spans="1:9" x14ac:dyDescent="0.3">
      <c r="A611" s="17"/>
      <c r="B611" s="19"/>
      <c r="C611" s="19"/>
      <c r="D611" s="19"/>
      <c r="E611" s="3" t="s">
        <v>242</v>
      </c>
      <c r="F611" s="19"/>
      <c r="G611" s="19"/>
    </row>
    <row r="612" spans="1:9" ht="17.25" thickBot="1" x14ac:dyDescent="0.35">
      <c r="A612" s="6">
        <v>1</v>
      </c>
      <c r="B612" s="11" t="s">
        <v>117</v>
      </c>
      <c r="C612" s="2">
        <v>18257</v>
      </c>
      <c r="D612" s="2">
        <v>35.821040000000004</v>
      </c>
      <c r="E612" s="2">
        <v>7.3301000000000005E-2</v>
      </c>
      <c r="F612" s="2">
        <v>35.6773101</v>
      </c>
      <c r="G612" s="2">
        <v>35.964770799999997</v>
      </c>
      <c r="I612" t="str">
        <f t="shared" ref="I612:I614" si="8">TEXT(D612,"0.00")&amp;" ("&amp;TEXT(F612,"0.00")&amp;" to "&amp;TEXT(G612,"0.00")&amp;")"</f>
        <v>35.82 (35.68 to 35.96)</v>
      </c>
    </row>
    <row r="613" spans="1:9" ht="17.25" thickBot="1" x14ac:dyDescent="0.35">
      <c r="A613" s="6">
        <v>2</v>
      </c>
      <c r="B613" s="11" t="s">
        <v>117</v>
      </c>
      <c r="C613" s="2">
        <v>39551</v>
      </c>
      <c r="D613" s="2">
        <v>35.384616999999999</v>
      </c>
      <c r="E613" s="2">
        <v>4.7565000000000003E-2</v>
      </c>
      <c r="F613" s="2">
        <v>35.291350700000002</v>
      </c>
      <c r="G613" s="2">
        <v>35.477882600000001</v>
      </c>
      <c r="I613" t="str">
        <f t="shared" si="8"/>
        <v>35.38 (35.29 to 35.48)</v>
      </c>
    </row>
    <row r="614" spans="1:9" x14ac:dyDescent="0.3">
      <c r="A614" s="6">
        <v>3</v>
      </c>
      <c r="B614" s="14" t="s">
        <v>117</v>
      </c>
      <c r="C614" s="2">
        <v>10827</v>
      </c>
      <c r="D614" s="2">
        <v>36.066858000000003</v>
      </c>
      <c r="E614" s="2">
        <v>9.0935000000000002E-2</v>
      </c>
      <c r="F614" s="2">
        <v>35.888551200000002</v>
      </c>
      <c r="G614" s="2">
        <v>36.2451644</v>
      </c>
      <c r="I614" t="str">
        <f t="shared" si="8"/>
        <v>36.07 (35.89 to 36.25)</v>
      </c>
    </row>
    <row r="618" spans="1:9" x14ac:dyDescent="0.3">
      <c r="A618" s="1" t="s">
        <v>237</v>
      </c>
    </row>
    <row r="620" spans="1:9" x14ac:dyDescent="0.3">
      <c r="A620" s="1" t="s">
        <v>1</v>
      </c>
    </row>
    <row r="621" spans="1:9" ht="17.25" thickBot="1" x14ac:dyDescent="0.35"/>
    <row r="622" spans="1:9" ht="16.5" customHeight="1" x14ac:dyDescent="0.3">
      <c r="A622" s="16" t="s">
        <v>135</v>
      </c>
      <c r="B622" s="18"/>
    </row>
    <row r="623" spans="1:9" ht="26.25" thickBot="1" x14ac:dyDescent="0.35">
      <c r="A623" s="12" t="s">
        <v>136</v>
      </c>
      <c r="B623" s="2">
        <v>183</v>
      </c>
    </row>
    <row r="624" spans="1:9" ht="26.25" thickBot="1" x14ac:dyDescent="0.35">
      <c r="A624" s="12" t="s">
        <v>137</v>
      </c>
      <c r="B624" s="2">
        <v>2949</v>
      </c>
    </row>
    <row r="625" spans="1:6" ht="39" thickBot="1" x14ac:dyDescent="0.35">
      <c r="A625" s="12" t="s">
        <v>138</v>
      </c>
      <c r="B625" s="2">
        <v>23222</v>
      </c>
    </row>
    <row r="626" spans="1:6" ht="25.5" x14ac:dyDescent="0.3">
      <c r="A626" s="13" t="s">
        <v>139</v>
      </c>
      <c r="B626" s="2">
        <v>9036880.5199999996</v>
      </c>
    </row>
    <row r="627" spans="1:6" ht="17.25" thickBot="1" x14ac:dyDescent="0.35"/>
    <row r="628" spans="1:6" ht="33" customHeight="1" x14ac:dyDescent="0.3">
      <c r="A628" s="16" t="s">
        <v>140</v>
      </c>
      <c r="B628" s="18"/>
    </row>
    <row r="629" spans="1:6" ht="33.75" thickBot="1" x14ac:dyDescent="0.35">
      <c r="A629" s="12" t="s">
        <v>141</v>
      </c>
      <c r="B629" s="2" t="s">
        <v>142</v>
      </c>
    </row>
    <row r="630" spans="1:6" ht="25.5" x14ac:dyDescent="0.3">
      <c r="A630" s="13" t="s">
        <v>143</v>
      </c>
      <c r="B630" s="2" t="s">
        <v>144</v>
      </c>
    </row>
    <row r="631" spans="1:6" ht="17.25" thickBot="1" x14ac:dyDescent="0.35"/>
    <row r="632" spans="1:6" ht="16.5" customHeight="1" x14ac:dyDescent="0.3">
      <c r="A632" s="16" t="s">
        <v>238</v>
      </c>
      <c r="B632" s="18"/>
      <c r="C632" s="18"/>
      <c r="D632" s="18"/>
      <c r="E632" s="18"/>
      <c r="F632" s="18"/>
    </row>
    <row r="633" spans="1:6" ht="16.5" customHeight="1" x14ac:dyDescent="0.3">
      <c r="A633" s="17" t="s">
        <v>239</v>
      </c>
      <c r="B633" s="19" t="s">
        <v>94</v>
      </c>
      <c r="C633" s="19" t="s">
        <v>240</v>
      </c>
      <c r="D633" s="3" t="s">
        <v>241</v>
      </c>
      <c r="E633" s="19" t="s">
        <v>243</v>
      </c>
      <c r="F633" s="19"/>
    </row>
    <row r="634" spans="1:6" x14ac:dyDescent="0.3">
      <c r="A634" s="17"/>
      <c r="B634" s="19"/>
      <c r="C634" s="19"/>
      <c r="D634" s="3" t="s">
        <v>242</v>
      </c>
      <c r="E634" s="19"/>
      <c r="F634" s="19"/>
    </row>
    <row r="635" spans="1:6" x14ac:dyDescent="0.3">
      <c r="A635" s="13" t="s">
        <v>117</v>
      </c>
      <c r="B635" s="2">
        <v>23222</v>
      </c>
      <c r="C635" s="2">
        <v>33.805624000000002</v>
      </c>
      <c r="D635" s="2">
        <v>7.0877999999999997E-2</v>
      </c>
      <c r="E635" s="2">
        <v>33.666644300000002</v>
      </c>
      <c r="F635" s="2">
        <v>33.944603299999997</v>
      </c>
    </row>
    <row r="639" spans="1:6" x14ac:dyDescent="0.3">
      <c r="A639" s="1" t="s">
        <v>237</v>
      </c>
    </row>
    <row r="641" spans="1:7" x14ac:dyDescent="0.3">
      <c r="A641" s="1" t="s">
        <v>1</v>
      </c>
    </row>
    <row r="642" spans="1:7" ht="17.25" thickBot="1" x14ac:dyDescent="0.35"/>
    <row r="643" spans="1:7" ht="16.5" customHeight="1" x14ac:dyDescent="0.3">
      <c r="A643" s="16" t="s">
        <v>275</v>
      </c>
      <c r="B643" s="18"/>
      <c r="C643" s="18"/>
      <c r="D643" s="18"/>
      <c r="E643" s="18"/>
      <c r="F643" s="18"/>
      <c r="G643" s="18"/>
    </row>
    <row r="644" spans="1:7" ht="16.5" customHeight="1" x14ac:dyDescent="0.3">
      <c r="A644" s="17" t="s">
        <v>14</v>
      </c>
      <c r="B644" s="19" t="s">
        <v>239</v>
      </c>
      <c r="C644" s="19" t="s">
        <v>94</v>
      </c>
      <c r="D644" s="19" t="s">
        <v>240</v>
      </c>
      <c r="E644" s="3" t="s">
        <v>241</v>
      </c>
      <c r="F644" s="19" t="s">
        <v>243</v>
      </c>
      <c r="G644" s="19"/>
    </row>
    <row r="645" spans="1:7" x14ac:dyDescent="0.3">
      <c r="A645" s="17"/>
      <c r="B645" s="19"/>
      <c r="C645" s="19"/>
      <c r="D645" s="19"/>
      <c r="E645" s="3" t="s">
        <v>242</v>
      </c>
      <c r="F645" s="19"/>
      <c r="G645" s="19"/>
    </row>
    <row r="646" spans="1:7" ht="17.25" thickBot="1" x14ac:dyDescent="0.35">
      <c r="A646" s="6">
        <v>1</v>
      </c>
      <c r="B646" s="11" t="s">
        <v>117</v>
      </c>
      <c r="C646" s="2">
        <v>2801</v>
      </c>
      <c r="D646" s="2">
        <v>33.883996000000003</v>
      </c>
      <c r="E646" s="2">
        <v>0.184863</v>
      </c>
      <c r="F646" s="2">
        <v>33.521512799999996</v>
      </c>
      <c r="G646" s="2">
        <v>34.246479100000002</v>
      </c>
    </row>
    <row r="647" spans="1:7" ht="17.25" thickBot="1" x14ac:dyDescent="0.35">
      <c r="A647" s="6">
        <v>2</v>
      </c>
      <c r="B647" s="11" t="s">
        <v>117</v>
      </c>
      <c r="C647" s="2">
        <v>1799</v>
      </c>
      <c r="D647" s="2">
        <v>34.662525000000002</v>
      </c>
      <c r="E647" s="2">
        <v>0.20769599999999999</v>
      </c>
      <c r="F647" s="2">
        <v>34.255270299999999</v>
      </c>
      <c r="G647" s="2">
        <v>35.0697799</v>
      </c>
    </row>
    <row r="648" spans="1:7" ht="17.25" thickBot="1" x14ac:dyDescent="0.35">
      <c r="A648" s="6">
        <v>3</v>
      </c>
      <c r="B648" s="11" t="s">
        <v>117</v>
      </c>
      <c r="C648" s="2">
        <v>1101</v>
      </c>
      <c r="D648" s="2">
        <v>36.594707</v>
      </c>
      <c r="E648" s="2">
        <v>0.27953699999999998</v>
      </c>
      <c r="F648" s="2">
        <v>36.046584899999999</v>
      </c>
      <c r="G648" s="2">
        <v>37.142829800000001</v>
      </c>
    </row>
    <row r="649" spans="1:7" x14ac:dyDescent="0.3">
      <c r="A649" s="6">
        <v>8</v>
      </c>
      <c r="B649" s="14" t="s">
        <v>117</v>
      </c>
      <c r="C649" s="2">
        <v>17521</v>
      </c>
      <c r="D649" s="2">
        <v>33.407412000000001</v>
      </c>
      <c r="E649" s="2">
        <v>7.9471E-2</v>
      </c>
      <c r="F649" s="2">
        <v>33.251583699999998</v>
      </c>
      <c r="G649" s="2">
        <v>33.563241300000001</v>
      </c>
    </row>
    <row r="653" spans="1:7" x14ac:dyDescent="0.3">
      <c r="A653" s="1" t="s">
        <v>237</v>
      </c>
    </row>
    <row r="655" spans="1:7" x14ac:dyDescent="0.3">
      <c r="A655" s="1" t="s">
        <v>21</v>
      </c>
    </row>
    <row r="656" spans="1:7" ht="17.25" thickBot="1" x14ac:dyDescent="0.35"/>
    <row r="657" spans="1:6" ht="16.5" customHeight="1" x14ac:dyDescent="0.3">
      <c r="A657" s="16" t="s">
        <v>135</v>
      </c>
      <c r="B657" s="18"/>
    </row>
    <row r="658" spans="1:6" ht="26.25" thickBot="1" x14ac:dyDescent="0.35">
      <c r="A658" s="12" t="s">
        <v>136</v>
      </c>
      <c r="B658" s="2">
        <v>183</v>
      </c>
    </row>
    <row r="659" spans="1:6" ht="26.25" thickBot="1" x14ac:dyDescent="0.35">
      <c r="A659" s="12" t="s">
        <v>137</v>
      </c>
      <c r="B659" s="2">
        <v>2982</v>
      </c>
    </row>
    <row r="660" spans="1:6" ht="39" thickBot="1" x14ac:dyDescent="0.35">
      <c r="A660" s="12" t="s">
        <v>138</v>
      </c>
      <c r="B660" s="2">
        <v>68635</v>
      </c>
    </row>
    <row r="661" spans="1:6" ht="25.5" x14ac:dyDescent="0.3">
      <c r="A661" s="13" t="s">
        <v>139</v>
      </c>
      <c r="B661" s="2">
        <v>30251935.699999999</v>
      </c>
    </row>
    <row r="662" spans="1:6" ht="17.25" thickBot="1" x14ac:dyDescent="0.35"/>
    <row r="663" spans="1:6" ht="33" customHeight="1" x14ac:dyDescent="0.3">
      <c r="A663" s="16" t="s">
        <v>140</v>
      </c>
      <c r="B663" s="18"/>
    </row>
    <row r="664" spans="1:6" ht="33.75" thickBot="1" x14ac:dyDescent="0.35">
      <c r="A664" s="12" t="s">
        <v>141</v>
      </c>
      <c r="B664" s="2" t="s">
        <v>142</v>
      </c>
    </row>
    <row r="665" spans="1:6" ht="25.5" x14ac:dyDescent="0.3">
      <c r="A665" s="13" t="s">
        <v>143</v>
      </c>
      <c r="B665" s="2" t="s">
        <v>144</v>
      </c>
    </row>
    <row r="666" spans="1:6" ht="17.25" thickBot="1" x14ac:dyDescent="0.35"/>
    <row r="667" spans="1:6" ht="16.5" customHeight="1" x14ac:dyDescent="0.3">
      <c r="A667" s="16" t="s">
        <v>238</v>
      </c>
      <c r="B667" s="18"/>
      <c r="C667" s="18"/>
      <c r="D667" s="18"/>
      <c r="E667" s="18"/>
      <c r="F667" s="18"/>
    </row>
    <row r="668" spans="1:6" ht="16.5" customHeight="1" x14ac:dyDescent="0.3">
      <c r="A668" s="17" t="s">
        <v>239</v>
      </c>
      <c r="B668" s="19" t="s">
        <v>94</v>
      </c>
      <c r="C668" s="19" t="s">
        <v>240</v>
      </c>
      <c r="D668" s="3" t="s">
        <v>241</v>
      </c>
      <c r="E668" s="19" t="s">
        <v>243</v>
      </c>
      <c r="F668" s="19"/>
    </row>
    <row r="669" spans="1:6" x14ac:dyDescent="0.3">
      <c r="A669" s="17"/>
      <c r="B669" s="19"/>
      <c r="C669" s="19"/>
      <c r="D669" s="3" t="s">
        <v>242</v>
      </c>
      <c r="E669" s="19"/>
      <c r="F669" s="19"/>
    </row>
    <row r="670" spans="1:6" x14ac:dyDescent="0.3">
      <c r="A670" s="13" t="s">
        <v>117</v>
      </c>
      <c r="B670" s="2">
        <v>68635</v>
      </c>
      <c r="C670" s="2">
        <v>35.601097000000003</v>
      </c>
      <c r="D670" s="2">
        <v>3.8943999999999999E-2</v>
      </c>
      <c r="E670" s="2">
        <v>35.524735800000002</v>
      </c>
      <c r="F670" s="2">
        <v>35.677458399999999</v>
      </c>
    </row>
    <row r="674" spans="1:9" x14ac:dyDescent="0.3">
      <c r="A674" s="1" t="s">
        <v>237</v>
      </c>
    </row>
    <row r="676" spans="1:9" x14ac:dyDescent="0.3">
      <c r="A676" s="1" t="s">
        <v>21</v>
      </c>
    </row>
    <row r="677" spans="1:9" ht="17.25" thickBot="1" x14ac:dyDescent="0.35"/>
    <row r="678" spans="1:9" ht="16.5" customHeight="1" x14ac:dyDescent="0.3">
      <c r="A678" s="16" t="s">
        <v>275</v>
      </c>
      <c r="B678" s="18"/>
      <c r="C678" s="18"/>
      <c r="D678" s="18"/>
      <c r="E678" s="18"/>
      <c r="F678" s="18"/>
      <c r="G678" s="18"/>
    </row>
    <row r="679" spans="1:9" ht="16.5" customHeight="1" x14ac:dyDescent="0.3">
      <c r="A679" s="17" t="s">
        <v>14</v>
      </c>
      <c r="B679" s="19" t="s">
        <v>239</v>
      </c>
      <c r="C679" s="19" t="s">
        <v>94</v>
      </c>
      <c r="D679" s="19" t="s">
        <v>240</v>
      </c>
      <c r="E679" s="3" t="s">
        <v>241</v>
      </c>
      <c r="F679" s="19" t="s">
        <v>243</v>
      </c>
      <c r="G679" s="19"/>
    </row>
    <row r="680" spans="1:9" x14ac:dyDescent="0.3">
      <c r="A680" s="17"/>
      <c r="B680" s="19"/>
      <c r="C680" s="19"/>
      <c r="D680" s="19"/>
      <c r="E680" s="3" t="s">
        <v>242</v>
      </c>
      <c r="F680" s="19"/>
      <c r="G680" s="19"/>
    </row>
    <row r="681" spans="1:9" ht="17.25" thickBot="1" x14ac:dyDescent="0.35">
      <c r="A681" s="6">
        <v>1</v>
      </c>
      <c r="B681" s="11" t="s">
        <v>117</v>
      </c>
      <c r="C681" s="2">
        <v>26908</v>
      </c>
      <c r="D681" s="2">
        <v>35.351686999999998</v>
      </c>
      <c r="E681" s="2">
        <v>6.1684999999999997E-2</v>
      </c>
      <c r="F681" s="2">
        <v>35.230734599999998</v>
      </c>
      <c r="G681" s="2">
        <v>35.472639100000002</v>
      </c>
      <c r="I681" t="str">
        <f t="shared" ref="I681:I683" si="9">TEXT(D681,"0.00")&amp;" ("&amp;TEXT(F681,"0.00")&amp;" to "&amp;TEXT(G681,"0.00")&amp;")"</f>
        <v>35.35 (35.23 to 35.47)</v>
      </c>
    </row>
    <row r="682" spans="1:9" ht="17.25" thickBot="1" x14ac:dyDescent="0.35">
      <c r="A682" s="6">
        <v>2</v>
      </c>
      <c r="B682" s="11" t="s">
        <v>117</v>
      </c>
      <c r="C682" s="2">
        <v>24999</v>
      </c>
      <c r="D682" s="2">
        <v>35.273758000000001</v>
      </c>
      <c r="E682" s="2">
        <v>6.1362E-2</v>
      </c>
      <c r="F682" s="2">
        <v>35.1534397</v>
      </c>
      <c r="G682" s="2">
        <v>35.394076699999999</v>
      </c>
      <c r="I682" t="str">
        <f t="shared" si="9"/>
        <v>35.27 (35.15 to 35.39)</v>
      </c>
    </row>
    <row r="683" spans="1:9" x14ac:dyDescent="0.3">
      <c r="A683" s="6">
        <v>3</v>
      </c>
      <c r="B683" s="14" t="s">
        <v>117</v>
      </c>
      <c r="C683" s="2">
        <v>16728</v>
      </c>
      <c r="D683" s="2">
        <v>36.440175000000004</v>
      </c>
      <c r="E683" s="2">
        <v>7.0054000000000005E-2</v>
      </c>
      <c r="F683" s="2">
        <v>36.3028136</v>
      </c>
      <c r="G683" s="2">
        <v>36.577537100000001</v>
      </c>
      <c r="I683" t="str">
        <f t="shared" si="9"/>
        <v>36.44 (36.30 to 36.58)</v>
      </c>
    </row>
    <row r="687" spans="1:9" x14ac:dyDescent="0.3">
      <c r="A687" s="1" t="s">
        <v>237</v>
      </c>
    </row>
    <row r="689" spans="1:6" x14ac:dyDescent="0.3">
      <c r="A689" s="1" t="s">
        <v>1</v>
      </c>
    </row>
    <row r="690" spans="1:6" ht="17.25" thickBot="1" x14ac:dyDescent="0.35"/>
    <row r="691" spans="1:6" ht="16.5" customHeight="1" x14ac:dyDescent="0.3">
      <c r="A691" s="16" t="s">
        <v>135</v>
      </c>
      <c r="B691" s="18"/>
    </row>
    <row r="692" spans="1:6" ht="26.25" thickBot="1" x14ac:dyDescent="0.35">
      <c r="A692" s="12" t="s">
        <v>136</v>
      </c>
      <c r="B692" s="2">
        <v>183</v>
      </c>
    </row>
    <row r="693" spans="1:6" ht="26.25" thickBot="1" x14ac:dyDescent="0.35">
      <c r="A693" s="12" t="s">
        <v>137</v>
      </c>
      <c r="B693" s="2">
        <v>2949</v>
      </c>
    </row>
    <row r="694" spans="1:6" ht="39" thickBot="1" x14ac:dyDescent="0.35">
      <c r="A694" s="12" t="s">
        <v>138</v>
      </c>
      <c r="B694" s="2">
        <v>23222</v>
      </c>
    </row>
    <row r="695" spans="1:6" ht="25.5" x14ac:dyDescent="0.3">
      <c r="A695" s="13" t="s">
        <v>139</v>
      </c>
      <c r="B695" s="2">
        <v>9036880.5199999996</v>
      </c>
    </row>
    <row r="696" spans="1:6" ht="17.25" thickBot="1" x14ac:dyDescent="0.35"/>
    <row r="697" spans="1:6" ht="33" customHeight="1" x14ac:dyDescent="0.3">
      <c r="A697" s="16" t="s">
        <v>140</v>
      </c>
      <c r="B697" s="18"/>
    </row>
    <row r="698" spans="1:6" ht="33.75" thickBot="1" x14ac:dyDescent="0.35">
      <c r="A698" s="12" t="s">
        <v>141</v>
      </c>
      <c r="B698" s="2" t="s">
        <v>142</v>
      </c>
    </row>
    <row r="699" spans="1:6" ht="25.5" x14ac:dyDescent="0.3">
      <c r="A699" s="13" t="s">
        <v>143</v>
      </c>
      <c r="B699" s="2" t="s">
        <v>144</v>
      </c>
    </row>
    <row r="700" spans="1:6" ht="17.25" thickBot="1" x14ac:dyDescent="0.35"/>
    <row r="701" spans="1:6" ht="16.5" customHeight="1" x14ac:dyDescent="0.3">
      <c r="A701" s="16" t="s">
        <v>238</v>
      </c>
      <c r="B701" s="18"/>
      <c r="C701" s="18"/>
      <c r="D701" s="18"/>
      <c r="E701" s="18"/>
      <c r="F701" s="18"/>
    </row>
    <row r="702" spans="1:6" ht="16.5" customHeight="1" x14ac:dyDescent="0.3">
      <c r="A702" s="17" t="s">
        <v>239</v>
      </c>
      <c r="B702" s="19" t="s">
        <v>94</v>
      </c>
      <c r="C702" s="19" t="s">
        <v>240</v>
      </c>
      <c r="D702" s="3" t="s">
        <v>241</v>
      </c>
      <c r="E702" s="19" t="s">
        <v>243</v>
      </c>
      <c r="F702" s="19"/>
    </row>
    <row r="703" spans="1:6" x14ac:dyDescent="0.3">
      <c r="A703" s="17"/>
      <c r="B703" s="19"/>
      <c r="C703" s="19"/>
      <c r="D703" s="3" t="s">
        <v>242</v>
      </c>
      <c r="E703" s="19"/>
      <c r="F703" s="19"/>
    </row>
    <row r="704" spans="1:6" x14ac:dyDescent="0.3">
      <c r="A704" s="13" t="s">
        <v>117</v>
      </c>
      <c r="B704" s="2">
        <v>23222</v>
      </c>
      <c r="C704" s="2">
        <v>33.805624000000002</v>
      </c>
      <c r="D704" s="2">
        <v>7.0877999999999997E-2</v>
      </c>
      <c r="E704" s="2">
        <v>33.666644300000002</v>
      </c>
      <c r="F704" s="2">
        <v>33.944603299999997</v>
      </c>
    </row>
    <row r="708" spans="1:7" x14ac:dyDescent="0.3">
      <c r="A708" s="1" t="s">
        <v>237</v>
      </c>
    </row>
    <row r="710" spans="1:7" x14ac:dyDescent="0.3">
      <c r="A710" s="1" t="s">
        <v>1</v>
      </c>
    </row>
    <row r="711" spans="1:7" ht="17.25" thickBot="1" x14ac:dyDescent="0.35"/>
    <row r="712" spans="1:7" ht="16.5" customHeight="1" x14ac:dyDescent="0.3">
      <c r="A712" s="16" t="s">
        <v>276</v>
      </c>
      <c r="B712" s="18"/>
      <c r="C712" s="18"/>
      <c r="D712" s="18"/>
      <c r="E712" s="18"/>
      <c r="F712" s="18"/>
      <c r="G712" s="18"/>
    </row>
    <row r="713" spans="1:7" ht="16.5" customHeight="1" x14ac:dyDescent="0.3">
      <c r="A713" s="17" t="s">
        <v>15</v>
      </c>
      <c r="B713" s="19" t="s">
        <v>239</v>
      </c>
      <c r="C713" s="19" t="s">
        <v>94</v>
      </c>
      <c r="D713" s="19" t="s">
        <v>240</v>
      </c>
      <c r="E713" s="3" t="s">
        <v>241</v>
      </c>
      <c r="F713" s="19" t="s">
        <v>243</v>
      </c>
      <c r="G713" s="19"/>
    </row>
    <row r="714" spans="1:7" x14ac:dyDescent="0.3">
      <c r="A714" s="17"/>
      <c r="B714" s="19"/>
      <c r="C714" s="19"/>
      <c r="D714" s="19"/>
      <c r="E714" s="3" t="s">
        <v>242</v>
      </c>
      <c r="F714" s="19"/>
      <c r="G714" s="19"/>
    </row>
    <row r="715" spans="1:7" ht="17.25" thickBot="1" x14ac:dyDescent="0.35">
      <c r="A715" s="6">
        <v>0</v>
      </c>
      <c r="B715" s="11" t="s">
        <v>117</v>
      </c>
      <c r="C715" s="2">
        <v>12250</v>
      </c>
      <c r="D715" s="2">
        <v>35.996614000000001</v>
      </c>
      <c r="E715" s="2">
        <v>8.3846000000000004E-2</v>
      </c>
      <c r="F715" s="2">
        <v>35.832207400000001</v>
      </c>
      <c r="G715" s="2">
        <v>36.161020200000003</v>
      </c>
    </row>
    <row r="716" spans="1:7" ht="17.25" thickBot="1" x14ac:dyDescent="0.35">
      <c r="A716" s="6">
        <v>1</v>
      </c>
      <c r="B716" s="11" t="s">
        <v>117</v>
      </c>
      <c r="C716" s="2">
        <v>1783</v>
      </c>
      <c r="D716" s="2">
        <v>37.358471999999999</v>
      </c>
      <c r="E716" s="2">
        <v>0.23336699999999999</v>
      </c>
      <c r="F716" s="2">
        <v>36.900880200000003</v>
      </c>
      <c r="G716" s="2">
        <v>37.816063</v>
      </c>
    </row>
    <row r="717" spans="1:7" x14ac:dyDescent="0.3">
      <c r="A717" s="6">
        <v>8</v>
      </c>
      <c r="B717" s="14" t="s">
        <v>117</v>
      </c>
      <c r="C717" s="2">
        <v>9189</v>
      </c>
      <c r="D717" s="2">
        <v>30.61797</v>
      </c>
      <c r="E717" s="2">
        <v>9.8637000000000002E-2</v>
      </c>
      <c r="F717" s="2">
        <v>30.424559899999998</v>
      </c>
      <c r="G717" s="2">
        <v>30.811380700000001</v>
      </c>
    </row>
    <row r="721" spans="1:6" x14ac:dyDescent="0.3">
      <c r="A721" s="1" t="s">
        <v>237</v>
      </c>
    </row>
    <row r="723" spans="1:6" x14ac:dyDescent="0.3">
      <c r="A723" s="1" t="s">
        <v>21</v>
      </c>
    </row>
    <row r="724" spans="1:6" ht="17.25" thickBot="1" x14ac:dyDescent="0.35"/>
    <row r="725" spans="1:6" ht="16.5" customHeight="1" x14ac:dyDescent="0.3">
      <c r="A725" s="16" t="s">
        <v>135</v>
      </c>
      <c r="B725" s="18"/>
    </row>
    <row r="726" spans="1:6" ht="26.25" thickBot="1" x14ac:dyDescent="0.35">
      <c r="A726" s="12" t="s">
        <v>136</v>
      </c>
      <c r="B726" s="2">
        <v>183</v>
      </c>
    </row>
    <row r="727" spans="1:6" ht="26.25" thickBot="1" x14ac:dyDescent="0.35">
      <c r="A727" s="12" t="s">
        <v>137</v>
      </c>
      <c r="B727" s="2">
        <v>2982</v>
      </c>
    </row>
    <row r="728" spans="1:6" ht="39" thickBot="1" x14ac:dyDescent="0.35">
      <c r="A728" s="12" t="s">
        <v>138</v>
      </c>
      <c r="B728" s="2">
        <v>68635</v>
      </c>
    </row>
    <row r="729" spans="1:6" ht="25.5" x14ac:dyDescent="0.3">
      <c r="A729" s="13" t="s">
        <v>139</v>
      </c>
      <c r="B729" s="2">
        <v>30251935.699999999</v>
      </c>
    </row>
    <row r="730" spans="1:6" ht="17.25" thickBot="1" x14ac:dyDescent="0.35"/>
    <row r="731" spans="1:6" ht="33" customHeight="1" x14ac:dyDescent="0.3">
      <c r="A731" s="16" t="s">
        <v>140</v>
      </c>
      <c r="B731" s="18"/>
    </row>
    <row r="732" spans="1:6" ht="33.75" thickBot="1" x14ac:dyDescent="0.35">
      <c r="A732" s="12" t="s">
        <v>141</v>
      </c>
      <c r="B732" s="2" t="s">
        <v>142</v>
      </c>
    </row>
    <row r="733" spans="1:6" ht="25.5" x14ac:dyDescent="0.3">
      <c r="A733" s="13" t="s">
        <v>143</v>
      </c>
      <c r="B733" s="2" t="s">
        <v>144</v>
      </c>
    </row>
    <row r="734" spans="1:6" ht="17.25" thickBot="1" x14ac:dyDescent="0.35"/>
    <row r="735" spans="1:6" ht="16.5" customHeight="1" x14ac:dyDescent="0.3">
      <c r="A735" s="16" t="s">
        <v>238</v>
      </c>
      <c r="B735" s="18"/>
      <c r="C735" s="18"/>
      <c r="D735" s="18"/>
      <c r="E735" s="18"/>
      <c r="F735" s="18"/>
    </row>
    <row r="736" spans="1:6" ht="16.5" customHeight="1" x14ac:dyDescent="0.3">
      <c r="A736" s="17" t="s">
        <v>239</v>
      </c>
      <c r="B736" s="19" t="s">
        <v>94</v>
      </c>
      <c r="C736" s="19" t="s">
        <v>240</v>
      </c>
      <c r="D736" s="3" t="s">
        <v>241</v>
      </c>
      <c r="E736" s="19" t="s">
        <v>243</v>
      </c>
      <c r="F736" s="19"/>
    </row>
    <row r="737" spans="1:9" x14ac:dyDescent="0.3">
      <c r="A737" s="17"/>
      <c r="B737" s="19"/>
      <c r="C737" s="19"/>
      <c r="D737" s="3" t="s">
        <v>242</v>
      </c>
      <c r="E737" s="19"/>
      <c r="F737" s="19"/>
    </row>
    <row r="738" spans="1:9" x14ac:dyDescent="0.3">
      <c r="A738" s="13" t="s">
        <v>117</v>
      </c>
      <c r="B738" s="2">
        <v>68635</v>
      </c>
      <c r="C738" s="2">
        <v>35.601097000000003</v>
      </c>
      <c r="D738" s="2">
        <v>3.8943999999999999E-2</v>
      </c>
      <c r="E738" s="2">
        <v>35.524735800000002</v>
      </c>
      <c r="F738" s="2">
        <v>35.677458399999999</v>
      </c>
    </row>
    <row r="742" spans="1:9" x14ac:dyDescent="0.3">
      <c r="A742" s="1" t="s">
        <v>237</v>
      </c>
    </row>
    <row r="744" spans="1:9" x14ac:dyDescent="0.3">
      <c r="A744" s="1" t="s">
        <v>21</v>
      </c>
    </row>
    <row r="745" spans="1:9" ht="17.25" thickBot="1" x14ac:dyDescent="0.35"/>
    <row r="746" spans="1:9" ht="16.5" customHeight="1" x14ac:dyDescent="0.3">
      <c r="A746" s="16" t="s">
        <v>276</v>
      </c>
      <c r="B746" s="18"/>
      <c r="C746" s="18"/>
      <c r="D746" s="18"/>
      <c r="E746" s="18"/>
      <c r="F746" s="18"/>
      <c r="G746" s="18"/>
    </row>
    <row r="747" spans="1:9" ht="16.5" customHeight="1" x14ac:dyDescent="0.3">
      <c r="A747" s="17" t="s">
        <v>15</v>
      </c>
      <c r="B747" s="19" t="s">
        <v>239</v>
      </c>
      <c r="C747" s="19" t="s">
        <v>94</v>
      </c>
      <c r="D747" s="19" t="s">
        <v>240</v>
      </c>
      <c r="E747" s="3" t="s">
        <v>241</v>
      </c>
      <c r="F747" s="19" t="s">
        <v>243</v>
      </c>
      <c r="G747" s="19"/>
    </row>
    <row r="748" spans="1:9" x14ac:dyDescent="0.3">
      <c r="A748" s="17"/>
      <c r="B748" s="19"/>
      <c r="C748" s="19"/>
      <c r="D748" s="19"/>
      <c r="E748" s="3" t="s">
        <v>242</v>
      </c>
      <c r="F748" s="19"/>
      <c r="G748" s="19"/>
    </row>
    <row r="749" spans="1:9" ht="17.25" thickBot="1" x14ac:dyDescent="0.35">
      <c r="A749" s="6">
        <v>0</v>
      </c>
      <c r="B749" s="11" t="s">
        <v>117</v>
      </c>
      <c r="C749" s="2">
        <v>52064</v>
      </c>
      <c r="D749" s="2">
        <v>34.962178999999999</v>
      </c>
      <c r="E749" s="2">
        <v>4.4814E-2</v>
      </c>
      <c r="F749" s="2">
        <v>34.874306900000001</v>
      </c>
      <c r="G749" s="2">
        <v>35.050051099999997</v>
      </c>
      <c r="I749" t="str">
        <f t="shared" ref="I749:I750" si="10">TEXT(D749,"0.00")&amp;" ("&amp;TEXT(F749,"0.00")&amp;" to "&amp;TEXT(G749,"0.00")&amp;")"</f>
        <v>34.96 (34.87 to 35.05)</v>
      </c>
    </row>
    <row r="750" spans="1:9" x14ac:dyDescent="0.3">
      <c r="A750" s="6">
        <v>1</v>
      </c>
      <c r="B750" s="14" t="s">
        <v>117</v>
      </c>
      <c r="C750" s="2">
        <v>16571</v>
      </c>
      <c r="D750" s="2">
        <v>37.323988</v>
      </c>
      <c r="E750" s="2">
        <v>7.1736999999999995E-2</v>
      </c>
      <c r="F750" s="2">
        <v>37.183325099999998</v>
      </c>
      <c r="G750" s="2">
        <v>37.464651099999998</v>
      </c>
      <c r="I750" t="str">
        <f t="shared" si="10"/>
        <v>37.32 (37.18 to 37.46)</v>
      </c>
    </row>
    <row r="754" spans="1:6" x14ac:dyDescent="0.3">
      <c r="A754" s="1" t="s">
        <v>237</v>
      </c>
    </row>
    <row r="756" spans="1:6" x14ac:dyDescent="0.3">
      <c r="A756" s="1" t="s">
        <v>1</v>
      </c>
    </row>
    <row r="757" spans="1:6" ht="17.25" thickBot="1" x14ac:dyDescent="0.35"/>
    <row r="758" spans="1:6" ht="16.5" customHeight="1" x14ac:dyDescent="0.3">
      <c r="A758" s="16" t="s">
        <v>135</v>
      </c>
      <c r="B758" s="18"/>
    </row>
    <row r="759" spans="1:6" ht="26.25" thickBot="1" x14ac:dyDescent="0.35">
      <c r="A759" s="12" t="s">
        <v>136</v>
      </c>
      <c r="B759" s="2">
        <v>183</v>
      </c>
    </row>
    <row r="760" spans="1:6" ht="26.25" thickBot="1" x14ac:dyDescent="0.35">
      <c r="A760" s="12" t="s">
        <v>137</v>
      </c>
      <c r="B760" s="2">
        <v>2949</v>
      </c>
    </row>
    <row r="761" spans="1:6" ht="39" thickBot="1" x14ac:dyDescent="0.35">
      <c r="A761" s="12" t="s">
        <v>138</v>
      </c>
      <c r="B761" s="2">
        <v>23222</v>
      </c>
    </row>
    <row r="762" spans="1:6" ht="25.5" x14ac:dyDescent="0.3">
      <c r="A762" s="13" t="s">
        <v>139</v>
      </c>
      <c r="B762" s="2">
        <v>9036880.5199999996</v>
      </c>
    </row>
    <row r="763" spans="1:6" ht="17.25" thickBot="1" x14ac:dyDescent="0.35"/>
    <row r="764" spans="1:6" ht="33" customHeight="1" x14ac:dyDescent="0.3">
      <c r="A764" s="16" t="s">
        <v>140</v>
      </c>
      <c r="B764" s="18"/>
    </row>
    <row r="765" spans="1:6" ht="33.75" thickBot="1" x14ac:dyDescent="0.35">
      <c r="A765" s="12" t="s">
        <v>141</v>
      </c>
      <c r="B765" s="2" t="s">
        <v>142</v>
      </c>
    </row>
    <row r="766" spans="1:6" ht="25.5" x14ac:dyDescent="0.3">
      <c r="A766" s="13" t="s">
        <v>143</v>
      </c>
      <c r="B766" s="2" t="s">
        <v>144</v>
      </c>
    </row>
    <row r="767" spans="1:6" ht="17.25" thickBot="1" x14ac:dyDescent="0.35"/>
    <row r="768" spans="1:6" ht="16.5" customHeight="1" x14ac:dyDescent="0.3">
      <c r="A768" s="16" t="s">
        <v>238</v>
      </c>
      <c r="B768" s="18"/>
      <c r="C768" s="18"/>
      <c r="D768" s="18"/>
      <c r="E768" s="18"/>
      <c r="F768" s="18"/>
    </row>
    <row r="769" spans="1:7" ht="16.5" customHeight="1" x14ac:dyDescent="0.3">
      <c r="A769" s="17" t="s">
        <v>239</v>
      </c>
      <c r="B769" s="19" t="s">
        <v>94</v>
      </c>
      <c r="C769" s="19" t="s">
        <v>240</v>
      </c>
      <c r="D769" s="3" t="s">
        <v>241</v>
      </c>
      <c r="E769" s="19" t="s">
        <v>243</v>
      </c>
      <c r="F769" s="19"/>
    </row>
    <row r="770" spans="1:7" x14ac:dyDescent="0.3">
      <c r="A770" s="17"/>
      <c r="B770" s="19"/>
      <c r="C770" s="19"/>
      <c r="D770" s="3" t="s">
        <v>242</v>
      </c>
      <c r="E770" s="19"/>
      <c r="F770" s="19"/>
    </row>
    <row r="771" spans="1:7" x14ac:dyDescent="0.3">
      <c r="A771" s="13" t="s">
        <v>117</v>
      </c>
      <c r="B771" s="2">
        <v>23222</v>
      </c>
      <c r="C771" s="2">
        <v>33.805624000000002</v>
      </c>
      <c r="D771" s="2">
        <v>7.0877999999999997E-2</v>
      </c>
      <c r="E771" s="2">
        <v>33.666644300000002</v>
      </c>
      <c r="F771" s="2">
        <v>33.944603299999997</v>
      </c>
    </row>
    <row r="775" spans="1:7" x14ac:dyDescent="0.3">
      <c r="A775" s="1" t="s">
        <v>237</v>
      </c>
    </row>
    <row r="777" spans="1:7" x14ac:dyDescent="0.3">
      <c r="A777" s="1" t="s">
        <v>1</v>
      </c>
    </row>
    <row r="778" spans="1:7" ht="17.25" thickBot="1" x14ac:dyDescent="0.35"/>
    <row r="779" spans="1:7" ht="16.5" customHeight="1" x14ac:dyDescent="0.3">
      <c r="A779" s="16" t="s">
        <v>277</v>
      </c>
      <c r="B779" s="18"/>
      <c r="C779" s="18"/>
      <c r="D779" s="18"/>
      <c r="E779" s="18"/>
      <c r="F779" s="18"/>
      <c r="G779" s="18"/>
    </row>
    <row r="780" spans="1:7" ht="16.5" customHeight="1" x14ac:dyDescent="0.3">
      <c r="A780" s="17" t="s">
        <v>16</v>
      </c>
      <c r="B780" s="19" t="s">
        <v>239</v>
      </c>
      <c r="C780" s="19" t="s">
        <v>94</v>
      </c>
      <c r="D780" s="19" t="s">
        <v>240</v>
      </c>
      <c r="E780" s="3" t="s">
        <v>241</v>
      </c>
      <c r="F780" s="19" t="s">
        <v>243</v>
      </c>
      <c r="G780" s="19"/>
    </row>
    <row r="781" spans="1:7" x14ac:dyDescent="0.3">
      <c r="A781" s="17"/>
      <c r="B781" s="19"/>
      <c r="C781" s="19"/>
      <c r="D781" s="19"/>
      <c r="E781" s="3" t="s">
        <v>242</v>
      </c>
      <c r="F781" s="19"/>
      <c r="G781" s="19"/>
    </row>
    <row r="782" spans="1:7" ht="17.25" thickBot="1" x14ac:dyDescent="0.35">
      <c r="A782" s="6">
        <v>0</v>
      </c>
      <c r="B782" s="11" t="s">
        <v>117</v>
      </c>
      <c r="C782" s="2">
        <v>17685</v>
      </c>
      <c r="D782" s="2">
        <v>32.711033999999998</v>
      </c>
      <c r="E782" s="2">
        <v>7.6491000000000003E-2</v>
      </c>
      <c r="F782" s="2">
        <v>32.561048499999998</v>
      </c>
      <c r="G782" s="2">
        <v>32.8610197</v>
      </c>
    </row>
    <row r="783" spans="1:7" ht="17.25" thickBot="1" x14ac:dyDescent="0.35">
      <c r="A783" s="6">
        <v>1</v>
      </c>
      <c r="B783" s="11" t="s">
        <v>117</v>
      </c>
      <c r="C783" s="2">
        <v>4929</v>
      </c>
      <c r="D783" s="2">
        <v>38.641271000000003</v>
      </c>
      <c r="E783" s="2">
        <v>0.129744</v>
      </c>
      <c r="F783" s="2">
        <v>38.386864799999998</v>
      </c>
      <c r="G783" s="2">
        <v>38.895676299999998</v>
      </c>
    </row>
    <row r="784" spans="1:7" x14ac:dyDescent="0.3">
      <c r="A784" s="6">
        <v>8</v>
      </c>
      <c r="B784" s="14" t="s">
        <v>117</v>
      </c>
      <c r="C784" s="2">
        <v>608</v>
      </c>
      <c r="D784" s="2">
        <v>36.218781999999997</v>
      </c>
      <c r="E784" s="2">
        <v>0.39246500000000001</v>
      </c>
      <c r="F784" s="2">
        <v>35.4492288</v>
      </c>
      <c r="G784" s="2">
        <v>36.988335900000003</v>
      </c>
    </row>
    <row r="788" spans="1:2" x14ac:dyDescent="0.3">
      <c r="A788" s="1" t="s">
        <v>237</v>
      </c>
    </row>
    <row r="790" spans="1:2" x14ac:dyDescent="0.3">
      <c r="A790" s="1" t="s">
        <v>21</v>
      </c>
    </row>
    <row r="791" spans="1:2" ht="17.25" thickBot="1" x14ac:dyDescent="0.35"/>
    <row r="792" spans="1:2" ht="16.5" customHeight="1" x14ac:dyDescent="0.3">
      <c r="A792" s="16" t="s">
        <v>135</v>
      </c>
      <c r="B792" s="18"/>
    </row>
    <row r="793" spans="1:2" ht="26.25" thickBot="1" x14ac:dyDescent="0.35">
      <c r="A793" s="12" t="s">
        <v>136</v>
      </c>
      <c r="B793" s="2">
        <v>183</v>
      </c>
    </row>
    <row r="794" spans="1:2" ht="26.25" thickBot="1" x14ac:dyDescent="0.35">
      <c r="A794" s="12" t="s">
        <v>137</v>
      </c>
      <c r="B794" s="2">
        <v>2982</v>
      </c>
    </row>
    <row r="795" spans="1:2" ht="39" thickBot="1" x14ac:dyDescent="0.35">
      <c r="A795" s="12" t="s">
        <v>138</v>
      </c>
      <c r="B795" s="2">
        <v>68635</v>
      </c>
    </row>
    <row r="796" spans="1:2" ht="25.5" x14ac:dyDescent="0.3">
      <c r="A796" s="13" t="s">
        <v>139</v>
      </c>
      <c r="B796" s="2">
        <v>30251935.699999999</v>
      </c>
    </row>
    <row r="797" spans="1:2" ht="17.25" thickBot="1" x14ac:dyDescent="0.35"/>
    <row r="798" spans="1:2" ht="33" customHeight="1" x14ac:dyDescent="0.3">
      <c r="A798" s="16" t="s">
        <v>140</v>
      </c>
      <c r="B798" s="18"/>
    </row>
    <row r="799" spans="1:2" ht="33.75" thickBot="1" x14ac:dyDescent="0.35">
      <c r="A799" s="12" t="s">
        <v>141</v>
      </c>
      <c r="B799" s="2" t="s">
        <v>142</v>
      </c>
    </row>
    <row r="800" spans="1:2" ht="25.5" x14ac:dyDescent="0.3">
      <c r="A800" s="13" t="s">
        <v>143</v>
      </c>
      <c r="B800" s="2" t="s">
        <v>144</v>
      </c>
    </row>
    <row r="801" spans="1:9" ht="17.25" thickBot="1" x14ac:dyDescent="0.35"/>
    <row r="802" spans="1:9" ht="16.5" customHeight="1" x14ac:dyDescent="0.3">
      <c r="A802" s="16" t="s">
        <v>238</v>
      </c>
      <c r="B802" s="18"/>
      <c r="C802" s="18"/>
      <c r="D802" s="18"/>
      <c r="E802" s="18"/>
      <c r="F802" s="18"/>
    </row>
    <row r="803" spans="1:9" ht="16.5" customHeight="1" x14ac:dyDescent="0.3">
      <c r="A803" s="17" t="s">
        <v>239</v>
      </c>
      <c r="B803" s="19" t="s">
        <v>94</v>
      </c>
      <c r="C803" s="19" t="s">
        <v>240</v>
      </c>
      <c r="D803" s="3" t="s">
        <v>241</v>
      </c>
      <c r="E803" s="19" t="s">
        <v>243</v>
      </c>
      <c r="F803" s="19"/>
    </row>
    <row r="804" spans="1:9" x14ac:dyDescent="0.3">
      <c r="A804" s="17"/>
      <c r="B804" s="19"/>
      <c r="C804" s="19"/>
      <c r="D804" s="3" t="s">
        <v>242</v>
      </c>
      <c r="E804" s="19"/>
      <c r="F804" s="19"/>
    </row>
    <row r="805" spans="1:9" x14ac:dyDescent="0.3">
      <c r="A805" s="13" t="s">
        <v>117</v>
      </c>
      <c r="B805" s="2">
        <v>68635</v>
      </c>
      <c r="C805" s="2">
        <v>35.601097000000003</v>
      </c>
      <c r="D805" s="2">
        <v>3.8943999999999999E-2</v>
      </c>
      <c r="E805" s="2">
        <v>35.524735800000002</v>
      </c>
      <c r="F805" s="2">
        <v>35.677458399999999</v>
      </c>
    </row>
    <row r="809" spans="1:9" x14ac:dyDescent="0.3">
      <c r="A809" s="1" t="s">
        <v>237</v>
      </c>
    </row>
    <row r="811" spans="1:9" x14ac:dyDescent="0.3">
      <c r="A811" s="1" t="s">
        <v>21</v>
      </c>
    </row>
    <row r="812" spans="1:9" ht="17.25" thickBot="1" x14ac:dyDescent="0.35"/>
    <row r="813" spans="1:9" ht="16.5" customHeight="1" x14ac:dyDescent="0.3">
      <c r="A813" s="16" t="s">
        <v>277</v>
      </c>
      <c r="B813" s="18"/>
      <c r="C813" s="18"/>
      <c r="D813" s="18"/>
      <c r="E813" s="18"/>
      <c r="F813" s="18"/>
      <c r="G813" s="18"/>
    </row>
    <row r="814" spans="1:9" ht="16.5" customHeight="1" x14ac:dyDescent="0.3">
      <c r="A814" s="17" t="s">
        <v>16</v>
      </c>
      <c r="B814" s="19" t="s">
        <v>239</v>
      </c>
      <c r="C814" s="19" t="s">
        <v>94</v>
      </c>
      <c r="D814" s="19" t="s">
        <v>240</v>
      </c>
      <c r="E814" s="3" t="s">
        <v>241</v>
      </c>
      <c r="F814" s="19" t="s">
        <v>243</v>
      </c>
      <c r="G814" s="19"/>
    </row>
    <row r="815" spans="1:9" x14ac:dyDescent="0.3">
      <c r="A815" s="17"/>
      <c r="B815" s="19"/>
      <c r="C815" s="19"/>
      <c r="D815" s="19"/>
      <c r="E815" s="3" t="s">
        <v>242</v>
      </c>
      <c r="F815" s="19"/>
      <c r="G815" s="19"/>
    </row>
    <row r="816" spans="1:9" ht="17.25" thickBot="1" x14ac:dyDescent="0.35">
      <c r="A816" s="6">
        <v>0</v>
      </c>
      <c r="B816" s="11" t="s">
        <v>117</v>
      </c>
      <c r="C816" s="2">
        <v>53910</v>
      </c>
      <c r="D816" s="2">
        <v>34.870714999999997</v>
      </c>
      <c r="E816" s="2">
        <v>4.1292000000000002E-2</v>
      </c>
      <c r="F816" s="2">
        <v>34.789748299999999</v>
      </c>
      <c r="G816" s="2">
        <v>34.951681499999999</v>
      </c>
      <c r="I816" t="str">
        <f t="shared" ref="I816:I817" si="11">TEXT(D816,"0.00")&amp;" ("&amp;TEXT(F816,"0.00")&amp;" to "&amp;TEXT(G816,"0.00")&amp;")"</f>
        <v>34.87 (34.79 to 34.95)</v>
      </c>
    </row>
    <row r="817" spans="1:9" x14ac:dyDescent="0.3">
      <c r="A817" s="6">
        <v>1</v>
      </c>
      <c r="B817" s="14" t="s">
        <v>117</v>
      </c>
      <c r="C817" s="2">
        <v>14725</v>
      </c>
      <c r="D817" s="2">
        <v>39.176828</v>
      </c>
      <c r="E817" s="2">
        <v>7.7633999999999995E-2</v>
      </c>
      <c r="F817" s="2">
        <v>39.024601099999998</v>
      </c>
      <c r="G817" s="2">
        <v>39.329054300000003</v>
      </c>
      <c r="I817" t="str">
        <f t="shared" si="11"/>
        <v>39.18 (39.02 to 39.33)</v>
      </c>
    </row>
    <row r="821" spans="1:9" x14ac:dyDescent="0.3">
      <c r="A821" s="1" t="s">
        <v>237</v>
      </c>
    </row>
    <row r="823" spans="1:9" x14ac:dyDescent="0.3">
      <c r="A823" s="1" t="s">
        <v>1</v>
      </c>
    </row>
    <row r="824" spans="1:9" ht="17.25" thickBot="1" x14ac:dyDescent="0.35"/>
    <row r="825" spans="1:9" ht="16.5" customHeight="1" x14ac:dyDescent="0.3">
      <c r="A825" s="16" t="s">
        <v>135</v>
      </c>
      <c r="B825" s="18"/>
    </row>
    <row r="826" spans="1:9" ht="26.25" thickBot="1" x14ac:dyDescent="0.35">
      <c r="A826" s="12" t="s">
        <v>136</v>
      </c>
      <c r="B826" s="2">
        <v>183</v>
      </c>
    </row>
    <row r="827" spans="1:9" ht="26.25" thickBot="1" x14ac:dyDescent="0.35">
      <c r="A827" s="12" t="s">
        <v>137</v>
      </c>
      <c r="B827" s="2">
        <v>2949</v>
      </c>
    </row>
    <row r="828" spans="1:9" ht="39" thickBot="1" x14ac:dyDescent="0.35">
      <c r="A828" s="12" t="s">
        <v>138</v>
      </c>
      <c r="B828" s="2">
        <v>23222</v>
      </c>
    </row>
    <row r="829" spans="1:9" ht="25.5" x14ac:dyDescent="0.3">
      <c r="A829" s="13" t="s">
        <v>139</v>
      </c>
      <c r="B829" s="2">
        <v>9036880.5199999996</v>
      </c>
    </row>
    <row r="830" spans="1:9" ht="17.25" thickBot="1" x14ac:dyDescent="0.35"/>
    <row r="831" spans="1:9" ht="33" customHeight="1" x14ac:dyDescent="0.3">
      <c r="A831" s="16" t="s">
        <v>140</v>
      </c>
      <c r="B831" s="18"/>
    </row>
    <row r="832" spans="1:9" ht="33.75" thickBot="1" x14ac:dyDescent="0.35">
      <c r="A832" s="12" t="s">
        <v>141</v>
      </c>
      <c r="B832" s="2" t="s">
        <v>142</v>
      </c>
    </row>
    <row r="833" spans="1:7" ht="25.5" x14ac:dyDescent="0.3">
      <c r="A833" s="13" t="s">
        <v>143</v>
      </c>
      <c r="B833" s="2" t="s">
        <v>144</v>
      </c>
    </row>
    <row r="834" spans="1:7" ht="17.25" thickBot="1" x14ac:dyDescent="0.35"/>
    <row r="835" spans="1:7" ht="16.5" customHeight="1" x14ac:dyDescent="0.3">
      <c r="A835" s="16" t="s">
        <v>238</v>
      </c>
      <c r="B835" s="18"/>
      <c r="C835" s="18"/>
      <c r="D835" s="18"/>
      <c r="E835" s="18"/>
      <c r="F835" s="18"/>
    </row>
    <row r="836" spans="1:7" ht="16.5" customHeight="1" x14ac:dyDescent="0.3">
      <c r="A836" s="17" t="s">
        <v>239</v>
      </c>
      <c r="B836" s="19" t="s">
        <v>94</v>
      </c>
      <c r="C836" s="19" t="s">
        <v>240</v>
      </c>
      <c r="D836" s="3" t="s">
        <v>241</v>
      </c>
      <c r="E836" s="19" t="s">
        <v>243</v>
      </c>
      <c r="F836" s="19"/>
    </row>
    <row r="837" spans="1:7" x14ac:dyDescent="0.3">
      <c r="A837" s="17"/>
      <c r="B837" s="19"/>
      <c r="C837" s="19"/>
      <c r="D837" s="3" t="s">
        <v>242</v>
      </c>
      <c r="E837" s="19"/>
      <c r="F837" s="19"/>
    </row>
    <row r="838" spans="1:7" x14ac:dyDescent="0.3">
      <c r="A838" s="13" t="s">
        <v>117</v>
      </c>
      <c r="B838" s="2">
        <v>23222</v>
      </c>
      <c r="C838" s="2">
        <v>33.805624000000002</v>
      </c>
      <c r="D838" s="2">
        <v>7.0877999999999997E-2</v>
      </c>
      <c r="E838" s="2">
        <v>33.666644300000002</v>
      </c>
      <c r="F838" s="2">
        <v>33.944603299999997</v>
      </c>
    </row>
    <row r="842" spans="1:7" x14ac:dyDescent="0.3">
      <c r="A842" s="1" t="s">
        <v>237</v>
      </c>
    </row>
    <row r="844" spans="1:7" x14ac:dyDescent="0.3">
      <c r="A844" s="1" t="s">
        <v>1</v>
      </c>
    </row>
    <row r="845" spans="1:7" ht="17.25" thickBot="1" x14ac:dyDescent="0.35"/>
    <row r="846" spans="1:7" ht="16.5" customHeight="1" x14ac:dyDescent="0.3">
      <c r="A846" s="16" t="s">
        <v>278</v>
      </c>
      <c r="B846" s="18"/>
      <c r="C846" s="18"/>
      <c r="D846" s="18"/>
      <c r="E846" s="18"/>
      <c r="F846" s="18"/>
      <c r="G846" s="18"/>
    </row>
    <row r="847" spans="1:7" ht="16.5" customHeight="1" x14ac:dyDescent="0.3">
      <c r="A847" s="17" t="s">
        <v>17</v>
      </c>
      <c r="B847" s="19" t="s">
        <v>239</v>
      </c>
      <c r="C847" s="19" t="s">
        <v>94</v>
      </c>
      <c r="D847" s="19" t="s">
        <v>240</v>
      </c>
      <c r="E847" s="3" t="s">
        <v>241</v>
      </c>
      <c r="F847" s="19" t="s">
        <v>243</v>
      </c>
      <c r="G847" s="19"/>
    </row>
    <row r="848" spans="1:7" x14ac:dyDescent="0.3">
      <c r="A848" s="17"/>
      <c r="B848" s="19"/>
      <c r="C848" s="19"/>
      <c r="D848" s="19"/>
      <c r="E848" s="3" t="s">
        <v>242</v>
      </c>
      <c r="F848" s="19"/>
      <c r="G848" s="19"/>
    </row>
    <row r="849" spans="1:7" ht="17.25" thickBot="1" x14ac:dyDescent="0.35">
      <c r="A849" s="6">
        <v>0</v>
      </c>
      <c r="B849" s="11" t="s">
        <v>117</v>
      </c>
      <c r="C849" s="2">
        <v>19657</v>
      </c>
      <c r="D849" s="2">
        <v>33.202311999999999</v>
      </c>
      <c r="E849" s="2">
        <v>7.4517E-2</v>
      </c>
      <c r="F849" s="2">
        <v>33.056197699999998</v>
      </c>
      <c r="G849" s="2">
        <v>33.348426099999998</v>
      </c>
    </row>
    <row r="850" spans="1:7" ht="17.25" thickBot="1" x14ac:dyDescent="0.35">
      <c r="A850" s="6">
        <v>1</v>
      </c>
      <c r="B850" s="11" t="s">
        <v>117</v>
      </c>
      <c r="C850" s="2">
        <v>2956</v>
      </c>
      <c r="D850" s="2">
        <v>37.929634</v>
      </c>
      <c r="E850" s="2">
        <v>0.176486</v>
      </c>
      <c r="F850" s="2">
        <v>37.583576200000003</v>
      </c>
      <c r="G850" s="2">
        <v>38.275692100000001</v>
      </c>
    </row>
    <row r="851" spans="1:7" x14ac:dyDescent="0.3">
      <c r="A851" s="6">
        <v>8</v>
      </c>
      <c r="B851" s="14" t="s">
        <v>117</v>
      </c>
      <c r="C851" s="2">
        <v>609</v>
      </c>
      <c r="D851" s="2">
        <v>36.227356999999998</v>
      </c>
      <c r="E851" s="2">
        <v>0.39225199999999999</v>
      </c>
      <c r="F851" s="2">
        <v>35.458219900000003</v>
      </c>
      <c r="G851" s="2">
        <v>36.996493700000002</v>
      </c>
    </row>
    <row r="855" spans="1:7" x14ac:dyDescent="0.3">
      <c r="A855" s="1" t="s">
        <v>237</v>
      </c>
    </row>
    <row r="857" spans="1:7" x14ac:dyDescent="0.3">
      <c r="A857" s="1" t="s">
        <v>21</v>
      </c>
    </row>
    <row r="858" spans="1:7" ht="17.25" thickBot="1" x14ac:dyDescent="0.35"/>
    <row r="859" spans="1:7" ht="16.5" customHeight="1" x14ac:dyDescent="0.3">
      <c r="A859" s="16" t="s">
        <v>135</v>
      </c>
      <c r="B859" s="18"/>
    </row>
    <row r="860" spans="1:7" ht="26.25" thickBot="1" x14ac:dyDescent="0.35">
      <c r="A860" s="12" t="s">
        <v>136</v>
      </c>
      <c r="B860" s="2">
        <v>183</v>
      </c>
    </row>
    <row r="861" spans="1:7" ht="26.25" thickBot="1" x14ac:dyDescent="0.35">
      <c r="A861" s="12" t="s">
        <v>137</v>
      </c>
      <c r="B861" s="2">
        <v>2982</v>
      </c>
    </row>
    <row r="862" spans="1:7" ht="39" thickBot="1" x14ac:dyDescent="0.35">
      <c r="A862" s="12" t="s">
        <v>138</v>
      </c>
      <c r="B862" s="2">
        <v>68635</v>
      </c>
    </row>
    <row r="863" spans="1:7" ht="25.5" x14ac:dyDescent="0.3">
      <c r="A863" s="13" t="s">
        <v>139</v>
      </c>
      <c r="B863" s="2">
        <v>30251935.699999999</v>
      </c>
    </row>
    <row r="864" spans="1:7" ht="17.25" thickBot="1" x14ac:dyDescent="0.35"/>
    <row r="865" spans="1:7" ht="33" customHeight="1" x14ac:dyDescent="0.3">
      <c r="A865" s="16" t="s">
        <v>140</v>
      </c>
      <c r="B865" s="18"/>
    </row>
    <row r="866" spans="1:7" ht="33.75" thickBot="1" x14ac:dyDescent="0.35">
      <c r="A866" s="12" t="s">
        <v>141</v>
      </c>
      <c r="B866" s="2" t="s">
        <v>142</v>
      </c>
    </row>
    <row r="867" spans="1:7" ht="25.5" x14ac:dyDescent="0.3">
      <c r="A867" s="13" t="s">
        <v>143</v>
      </c>
      <c r="B867" s="2" t="s">
        <v>144</v>
      </c>
    </row>
    <row r="868" spans="1:7" ht="17.25" thickBot="1" x14ac:dyDescent="0.35"/>
    <row r="869" spans="1:7" ht="16.5" customHeight="1" x14ac:dyDescent="0.3">
      <c r="A869" s="16" t="s">
        <v>238</v>
      </c>
      <c r="B869" s="18"/>
      <c r="C869" s="18"/>
      <c r="D869" s="18"/>
      <c r="E869" s="18"/>
      <c r="F869" s="18"/>
    </row>
    <row r="870" spans="1:7" ht="16.5" customHeight="1" x14ac:dyDescent="0.3">
      <c r="A870" s="17" t="s">
        <v>239</v>
      </c>
      <c r="B870" s="19" t="s">
        <v>94</v>
      </c>
      <c r="C870" s="19" t="s">
        <v>240</v>
      </c>
      <c r="D870" s="3" t="s">
        <v>241</v>
      </c>
      <c r="E870" s="19" t="s">
        <v>243</v>
      </c>
      <c r="F870" s="19"/>
    </row>
    <row r="871" spans="1:7" x14ac:dyDescent="0.3">
      <c r="A871" s="17"/>
      <c r="B871" s="19"/>
      <c r="C871" s="19"/>
      <c r="D871" s="3" t="s">
        <v>242</v>
      </c>
      <c r="E871" s="19"/>
      <c r="F871" s="19"/>
    </row>
    <row r="872" spans="1:7" x14ac:dyDescent="0.3">
      <c r="A872" s="13" t="s">
        <v>117</v>
      </c>
      <c r="B872" s="2">
        <v>68635</v>
      </c>
      <c r="C872" s="2">
        <v>35.601097000000003</v>
      </c>
      <c r="D872" s="2">
        <v>3.8943999999999999E-2</v>
      </c>
      <c r="E872" s="2">
        <v>35.524735800000002</v>
      </c>
      <c r="F872" s="2">
        <v>35.677458399999999</v>
      </c>
    </row>
    <row r="876" spans="1:7" x14ac:dyDescent="0.3">
      <c r="A876" s="1" t="s">
        <v>237</v>
      </c>
    </row>
    <row r="878" spans="1:7" x14ac:dyDescent="0.3">
      <c r="A878" s="1" t="s">
        <v>21</v>
      </c>
    </row>
    <row r="879" spans="1:7" ht="17.25" thickBot="1" x14ac:dyDescent="0.35"/>
    <row r="880" spans="1:7" ht="16.5" customHeight="1" x14ac:dyDescent="0.3">
      <c r="A880" s="16" t="s">
        <v>278</v>
      </c>
      <c r="B880" s="18"/>
      <c r="C880" s="18"/>
      <c r="D880" s="18"/>
      <c r="E880" s="18"/>
      <c r="F880" s="18"/>
      <c r="G880" s="18"/>
    </row>
    <row r="881" spans="1:9" ht="16.5" customHeight="1" x14ac:dyDescent="0.3">
      <c r="A881" s="17" t="s">
        <v>17</v>
      </c>
      <c r="B881" s="19" t="s">
        <v>239</v>
      </c>
      <c r="C881" s="19" t="s">
        <v>94</v>
      </c>
      <c r="D881" s="19" t="s">
        <v>240</v>
      </c>
      <c r="E881" s="3" t="s">
        <v>241</v>
      </c>
      <c r="F881" s="19" t="s">
        <v>243</v>
      </c>
      <c r="G881" s="19"/>
    </row>
    <row r="882" spans="1:9" x14ac:dyDescent="0.3">
      <c r="A882" s="17"/>
      <c r="B882" s="19"/>
      <c r="C882" s="19"/>
      <c r="D882" s="19"/>
      <c r="E882" s="3" t="s">
        <v>242</v>
      </c>
      <c r="F882" s="19"/>
      <c r="G882" s="19"/>
    </row>
    <row r="883" spans="1:9" ht="17.25" thickBot="1" x14ac:dyDescent="0.35">
      <c r="A883" s="6">
        <v>0</v>
      </c>
      <c r="B883" s="11" t="s">
        <v>117</v>
      </c>
      <c r="C883" s="2">
        <v>58467</v>
      </c>
      <c r="D883" s="2">
        <v>35.181688999999999</v>
      </c>
      <c r="E883" s="2">
        <v>4.0384999999999997E-2</v>
      </c>
      <c r="F883" s="2">
        <v>35.1025007</v>
      </c>
      <c r="G883" s="2">
        <v>35.260876500000002</v>
      </c>
      <c r="I883" t="str">
        <f t="shared" ref="I883:I884" si="12">TEXT(D883,"0.00")&amp;" ("&amp;TEXT(F883,"0.00")&amp;" to "&amp;TEXT(G883,"0.00")&amp;")"</f>
        <v>35.18 (35.10 to 35.26)</v>
      </c>
    </row>
    <row r="884" spans="1:9" x14ac:dyDescent="0.3">
      <c r="A884" s="6">
        <v>1</v>
      </c>
      <c r="B884" s="14" t="s">
        <v>117</v>
      </c>
      <c r="C884" s="2">
        <v>10168</v>
      </c>
      <c r="D884" s="2">
        <v>38.525252999999999</v>
      </c>
      <c r="E884" s="2">
        <v>9.0847999999999998E-2</v>
      </c>
      <c r="F884" s="2">
        <v>38.347117699999998</v>
      </c>
      <c r="G884" s="2">
        <v>38.703387599999999</v>
      </c>
      <c r="I884" t="str">
        <f t="shared" si="12"/>
        <v>38.53 (38.35 to 38.70)</v>
      </c>
    </row>
    <row r="888" spans="1:9" x14ac:dyDescent="0.3">
      <c r="A888" s="1" t="s">
        <v>237</v>
      </c>
    </row>
    <row r="890" spans="1:9" x14ac:dyDescent="0.3">
      <c r="A890" s="1" t="s">
        <v>1</v>
      </c>
    </row>
    <row r="891" spans="1:9" ht="17.25" thickBot="1" x14ac:dyDescent="0.35"/>
    <row r="892" spans="1:9" ht="16.5" customHeight="1" x14ac:dyDescent="0.3">
      <c r="A892" s="16" t="s">
        <v>135</v>
      </c>
      <c r="B892" s="18"/>
    </row>
    <row r="893" spans="1:9" ht="26.25" thickBot="1" x14ac:dyDescent="0.35">
      <c r="A893" s="12" t="s">
        <v>136</v>
      </c>
      <c r="B893" s="2">
        <v>183</v>
      </c>
    </row>
    <row r="894" spans="1:9" ht="26.25" thickBot="1" x14ac:dyDescent="0.35">
      <c r="A894" s="12" t="s">
        <v>137</v>
      </c>
      <c r="B894" s="2">
        <v>2949</v>
      </c>
    </row>
    <row r="895" spans="1:9" ht="39" thickBot="1" x14ac:dyDescent="0.35">
      <c r="A895" s="12" t="s">
        <v>138</v>
      </c>
      <c r="B895" s="2">
        <v>23222</v>
      </c>
    </row>
    <row r="896" spans="1:9" ht="25.5" x14ac:dyDescent="0.3">
      <c r="A896" s="13" t="s">
        <v>139</v>
      </c>
      <c r="B896" s="2">
        <v>9036880.5199999996</v>
      </c>
    </row>
    <row r="897" spans="1:6" ht="17.25" thickBot="1" x14ac:dyDescent="0.35"/>
    <row r="898" spans="1:6" ht="33" customHeight="1" x14ac:dyDescent="0.3">
      <c r="A898" s="16" t="s">
        <v>140</v>
      </c>
      <c r="B898" s="18"/>
    </row>
    <row r="899" spans="1:6" ht="33.75" thickBot="1" x14ac:dyDescent="0.35">
      <c r="A899" s="12" t="s">
        <v>141</v>
      </c>
      <c r="B899" s="2" t="s">
        <v>142</v>
      </c>
    </row>
    <row r="900" spans="1:6" ht="25.5" x14ac:dyDescent="0.3">
      <c r="A900" s="13" t="s">
        <v>143</v>
      </c>
      <c r="B900" s="2" t="s">
        <v>144</v>
      </c>
    </row>
    <row r="901" spans="1:6" ht="17.25" thickBot="1" x14ac:dyDescent="0.35"/>
    <row r="902" spans="1:6" ht="16.5" customHeight="1" x14ac:dyDescent="0.3">
      <c r="A902" s="16" t="s">
        <v>238</v>
      </c>
      <c r="B902" s="18"/>
      <c r="C902" s="18"/>
      <c r="D902" s="18"/>
      <c r="E902" s="18"/>
      <c r="F902" s="18"/>
    </row>
    <row r="903" spans="1:6" ht="16.5" customHeight="1" x14ac:dyDescent="0.3">
      <c r="A903" s="17" t="s">
        <v>239</v>
      </c>
      <c r="B903" s="19" t="s">
        <v>94</v>
      </c>
      <c r="C903" s="19" t="s">
        <v>240</v>
      </c>
      <c r="D903" s="3" t="s">
        <v>241</v>
      </c>
      <c r="E903" s="19" t="s">
        <v>243</v>
      </c>
      <c r="F903" s="19"/>
    </row>
    <row r="904" spans="1:6" x14ac:dyDescent="0.3">
      <c r="A904" s="17"/>
      <c r="B904" s="19"/>
      <c r="C904" s="19"/>
      <c r="D904" s="3" t="s">
        <v>242</v>
      </c>
      <c r="E904" s="19"/>
      <c r="F904" s="19"/>
    </row>
    <row r="905" spans="1:6" x14ac:dyDescent="0.3">
      <c r="A905" s="13" t="s">
        <v>117</v>
      </c>
      <c r="B905" s="2">
        <v>23222</v>
      </c>
      <c r="C905" s="2">
        <v>33.805624000000002</v>
      </c>
      <c r="D905" s="2">
        <v>7.0877999999999997E-2</v>
      </c>
      <c r="E905" s="2">
        <v>33.666644300000002</v>
      </c>
      <c r="F905" s="2">
        <v>33.944603299999997</v>
      </c>
    </row>
    <row r="909" spans="1:6" x14ac:dyDescent="0.3">
      <c r="A909" s="1" t="s">
        <v>237</v>
      </c>
    </row>
    <row r="911" spans="1:6" x14ac:dyDescent="0.3">
      <c r="A911" s="1" t="s">
        <v>1</v>
      </c>
    </row>
    <row r="912" spans="1:6" ht="17.25" thickBot="1" x14ac:dyDescent="0.35"/>
    <row r="913" spans="1:7" ht="16.5" customHeight="1" x14ac:dyDescent="0.3">
      <c r="A913" s="16" t="s">
        <v>279</v>
      </c>
      <c r="B913" s="18"/>
      <c r="C913" s="18"/>
      <c r="D913" s="18"/>
      <c r="E913" s="18"/>
      <c r="F913" s="18"/>
      <c r="G913" s="18"/>
    </row>
    <row r="914" spans="1:7" ht="16.5" customHeight="1" x14ac:dyDescent="0.3">
      <c r="A914" s="17" t="s">
        <v>18</v>
      </c>
      <c r="B914" s="19" t="s">
        <v>239</v>
      </c>
      <c r="C914" s="19" t="s">
        <v>94</v>
      </c>
      <c r="D914" s="19" t="s">
        <v>240</v>
      </c>
      <c r="E914" s="3" t="s">
        <v>241</v>
      </c>
      <c r="F914" s="19" t="s">
        <v>243</v>
      </c>
      <c r="G914" s="19"/>
    </row>
    <row r="915" spans="1:7" x14ac:dyDescent="0.3">
      <c r="A915" s="17"/>
      <c r="B915" s="19"/>
      <c r="C915" s="19"/>
      <c r="D915" s="19"/>
      <c r="E915" s="3" t="s">
        <v>242</v>
      </c>
      <c r="F915" s="19"/>
      <c r="G915" s="19"/>
    </row>
    <row r="916" spans="1:7" ht="17.25" thickBot="1" x14ac:dyDescent="0.35">
      <c r="A916" s="6">
        <v>0</v>
      </c>
      <c r="B916" s="11" t="s">
        <v>117</v>
      </c>
      <c r="C916" s="2">
        <v>20255</v>
      </c>
      <c r="D916" s="2">
        <v>33.374460999999997</v>
      </c>
      <c r="E916" s="2">
        <v>7.4182999999999999E-2</v>
      </c>
      <c r="F916" s="2">
        <v>33.229002000000001</v>
      </c>
      <c r="G916" s="2">
        <v>33.519919999999999</v>
      </c>
    </row>
    <row r="917" spans="1:7" ht="17.25" thickBot="1" x14ac:dyDescent="0.35">
      <c r="A917" s="6">
        <v>1</v>
      </c>
      <c r="B917" s="11" t="s">
        <v>117</v>
      </c>
      <c r="C917" s="2">
        <v>440</v>
      </c>
      <c r="D917" s="2">
        <v>37.948717000000002</v>
      </c>
      <c r="E917" s="2">
        <v>0.37234</v>
      </c>
      <c r="F917" s="2">
        <v>37.218625699999997</v>
      </c>
      <c r="G917" s="2">
        <v>38.678808799999999</v>
      </c>
    </row>
    <row r="918" spans="1:7" x14ac:dyDescent="0.3">
      <c r="A918" s="6">
        <v>8</v>
      </c>
      <c r="B918" s="14" t="s">
        <v>117</v>
      </c>
      <c r="C918" s="2">
        <v>2527</v>
      </c>
      <c r="D918" s="2">
        <v>36.238450999999998</v>
      </c>
      <c r="E918" s="2">
        <v>0.19118099999999999</v>
      </c>
      <c r="F918" s="2">
        <v>35.863580300000002</v>
      </c>
      <c r="G918" s="2">
        <v>36.613322400000001</v>
      </c>
    </row>
    <row r="922" spans="1:7" x14ac:dyDescent="0.3">
      <c r="A922" s="1" t="s">
        <v>237</v>
      </c>
    </row>
    <row r="924" spans="1:7" x14ac:dyDescent="0.3">
      <c r="A924" s="1" t="s">
        <v>21</v>
      </c>
    </row>
    <row r="925" spans="1:7" ht="17.25" thickBot="1" x14ac:dyDescent="0.35"/>
    <row r="926" spans="1:7" ht="16.5" customHeight="1" x14ac:dyDescent="0.3">
      <c r="A926" s="16" t="s">
        <v>135</v>
      </c>
      <c r="B926" s="18"/>
    </row>
    <row r="927" spans="1:7" ht="26.25" thickBot="1" x14ac:dyDescent="0.35">
      <c r="A927" s="12" t="s">
        <v>136</v>
      </c>
      <c r="B927" s="2">
        <v>183</v>
      </c>
    </row>
    <row r="928" spans="1:7" ht="26.25" thickBot="1" x14ac:dyDescent="0.35">
      <c r="A928" s="12" t="s">
        <v>137</v>
      </c>
      <c r="B928" s="2">
        <v>2982</v>
      </c>
    </row>
    <row r="929" spans="1:6" ht="39" thickBot="1" x14ac:dyDescent="0.35">
      <c r="A929" s="12" t="s">
        <v>138</v>
      </c>
      <c r="B929" s="2">
        <v>68635</v>
      </c>
    </row>
    <row r="930" spans="1:6" ht="25.5" x14ac:dyDescent="0.3">
      <c r="A930" s="13" t="s">
        <v>139</v>
      </c>
      <c r="B930" s="2">
        <v>30251935.699999999</v>
      </c>
    </row>
    <row r="931" spans="1:6" ht="17.25" thickBot="1" x14ac:dyDescent="0.35"/>
    <row r="932" spans="1:6" ht="33" customHeight="1" x14ac:dyDescent="0.3">
      <c r="A932" s="16" t="s">
        <v>140</v>
      </c>
      <c r="B932" s="18"/>
    </row>
    <row r="933" spans="1:6" ht="33.75" thickBot="1" x14ac:dyDescent="0.35">
      <c r="A933" s="12" t="s">
        <v>141</v>
      </c>
      <c r="B933" s="2" t="s">
        <v>142</v>
      </c>
    </row>
    <row r="934" spans="1:6" ht="25.5" x14ac:dyDescent="0.3">
      <c r="A934" s="13" t="s">
        <v>143</v>
      </c>
      <c r="B934" s="2" t="s">
        <v>144</v>
      </c>
    </row>
    <row r="935" spans="1:6" ht="17.25" thickBot="1" x14ac:dyDescent="0.35"/>
    <row r="936" spans="1:6" ht="16.5" customHeight="1" x14ac:dyDescent="0.3">
      <c r="A936" s="16" t="s">
        <v>238</v>
      </c>
      <c r="B936" s="18"/>
      <c r="C936" s="18"/>
      <c r="D936" s="18"/>
      <c r="E936" s="18"/>
      <c r="F936" s="18"/>
    </row>
    <row r="937" spans="1:6" ht="16.5" customHeight="1" x14ac:dyDescent="0.3">
      <c r="A937" s="17" t="s">
        <v>239</v>
      </c>
      <c r="B937" s="19" t="s">
        <v>94</v>
      </c>
      <c r="C937" s="19" t="s">
        <v>240</v>
      </c>
      <c r="D937" s="3" t="s">
        <v>241</v>
      </c>
      <c r="E937" s="19" t="s">
        <v>243</v>
      </c>
      <c r="F937" s="19"/>
    </row>
    <row r="938" spans="1:6" x14ac:dyDescent="0.3">
      <c r="A938" s="17"/>
      <c r="B938" s="19"/>
      <c r="C938" s="19"/>
      <c r="D938" s="3" t="s">
        <v>242</v>
      </c>
      <c r="E938" s="19"/>
      <c r="F938" s="19"/>
    </row>
    <row r="939" spans="1:6" x14ac:dyDescent="0.3">
      <c r="A939" s="13" t="s">
        <v>117</v>
      </c>
      <c r="B939" s="2">
        <v>68635</v>
      </c>
      <c r="C939" s="2">
        <v>35.601097000000003</v>
      </c>
      <c r="D939" s="2">
        <v>3.8943999999999999E-2</v>
      </c>
      <c r="E939" s="2">
        <v>35.524735800000002</v>
      </c>
      <c r="F939" s="2">
        <v>35.677458399999999</v>
      </c>
    </row>
    <row r="943" spans="1:6" x14ac:dyDescent="0.3">
      <c r="A943" s="1" t="s">
        <v>237</v>
      </c>
    </row>
    <row r="945" spans="1:9" x14ac:dyDescent="0.3">
      <c r="A945" s="1" t="s">
        <v>21</v>
      </c>
    </row>
    <row r="946" spans="1:9" ht="17.25" thickBot="1" x14ac:dyDescent="0.35"/>
    <row r="947" spans="1:9" ht="16.5" customHeight="1" x14ac:dyDescent="0.3">
      <c r="A947" s="16" t="s">
        <v>279</v>
      </c>
      <c r="B947" s="18"/>
      <c r="C947" s="18"/>
      <c r="D947" s="18"/>
      <c r="E947" s="18"/>
      <c r="F947" s="18"/>
      <c r="G947" s="18"/>
    </row>
    <row r="948" spans="1:9" ht="16.5" customHeight="1" x14ac:dyDescent="0.3">
      <c r="A948" s="17" t="s">
        <v>18</v>
      </c>
      <c r="B948" s="19" t="s">
        <v>239</v>
      </c>
      <c r="C948" s="19" t="s">
        <v>94</v>
      </c>
      <c r="D948" s="19" t="s">
        <v>240</v>
      </c>
      <c r="E948" s="3" t="s">
        <v>241</v>
      </c>
      <c r="F948" s="19" t="s">
        <v>243</v>
      </c>
      <c r="G948" s="19"/>
    </row>
    <row r="949" spans="1:9" x14ac:dyDescent="0.3">
      <c r="A949" s="17"/>
      <c r="B949" s="19"/>
      <c r="C949" s="19"/>
      <c r="D949" s="19"/>
      <c r="E949" s="3" t="s">
        <v>242</v>
      </c>
      <c r="F949" s="19"/>
      <c r="G949" s="19"/>
    </row>
    <row r="950" spans="1:9" ht="17.25" thickBot="1" x14ac:dyDescent="0.35">
      <c r="A950" s="6">
        <v>0</v>
      </c>
      <c r="B950" s="11" t="s">
        <v>117</v>
      </c>
      <c r="C950" s="2">
        <v>67344</v>
      </c>
      <c r="D950" s="2">
        <v>35.567458000000002</v>
      </c>
      <c r="E950" s="2">
        <v>3.9211999999999997E-2</v>
      </c>
      <c r="F950" s="2">
        <v>35.490569800000003</v>
      </c>
      <c r="G950" s="2">
        <v>35.6443455</v>
      </c>
      <c r="I950" t="str">
        <f t="shared" ref="I950:I951" si="13">TEXT(D950,"0.00")&amp;" ("&amp;TEXT(F950,"0.00")&amp;" to "&amp;TEXT(G950,"0.00")&amp;")"</f>
        <v>35.57 (35.49 to 35.64)</v>
      </c>
    </row>
    <row r="951" spans="1:9" x14ac:dyDescent="0.3">
      <c r="A951" s="6">
        <v>1</v>
      </c>
      <c r="B951" s="14" t="s">
        <v>117</v>
      </c>
      <c r="C951" s="2">
        <v>1291</v>
      </c>
      <c r="D951" s="2">
        <v>38.033833999999999</v>
      </c>
      <c r="E951" s="2">
        <v>0.223187</v>
      </c>
      <c r="F951" s="2">
        <v>37.596206500000001</v>
      </c>
      <c r="G951" s="2">
        <v>38.4714624</v>
      </c>
      <c r="I951" t="str">
        <f t="shared" si="13"/>
        <v>38.03 (37.60 to 38.47)</v>
      </c>
    </row>
    <row r="955" spans="1:9" x14ac:dyDescent="0.3">
      <c r="A955" s="1" t="s">
        <v>237</v>
      </c>
    </row>
    <row r="957" spans="1:9" x14ac:dyDescent="0.3">
      <c r="A957" s="1" t="s">
        <v>1</v>
      </c>
    </row>
    <row r="958" spans="1:9" ht="17.25" thickBot="1" x14ac:dyDescent="0.35"/>
    <row r="959" spans="1:9" ht="16.5" customHeight="1" x14ac:dyDescent="0.3">
      <c r="A959" s="16" t="s">
        <v>135</v>
      </c>
      <c r="B959" s="18"/>
    </row>
    <row r="960" spans="1:9" ht="26.25" thickBot="1" x14ac:dyDescent="0.35">
      <c r="A960" s="12" t="s">
        <v>136</v>
      </c>
      <c r="B960" s="2">
        <v>183</v>
      </c>
    </row>
    <row r="961" spans="1:6" ht="26.25" thickBot="1" x14ac:dyDescent="0.35">
      <c r="A961" s="12" t="s">
        <v>137</v>
      </c>
      <c r="B961" s="2">
        <v>2949</v>
      </c>
    </row>
    <row r="962" spans="1:6" ht="39" thickBot="1" x14ac:dyDescent="0.35">
      <c r="A962" s="12" t="s">
        <v>138</v>
      </c>
      <c r="B962" s="2">
        <v>23222</v>
      </c>
    </row>
    <row r="963" spans="1:6" ht="25.5" x14ac:dyDescent="0.3">
      <c r="A963" s="13" t="s">
        <v>139</v>
      </c>
      <c r="B963" s="2">
        <v>9036880.5199999996</v>
      </c>
    </row>
    <row r="964" spans="1:6" ht="17.25" thickBot="1" x14ac:dyDescent="0.35"/>
    <row r="965" spans="1:6" ht="33" customHeight="1" x14ac:dyDescent="0.3">
      <c r="A965" s="16" t="s">
        <v>140</v>
      </c>
      <c r="B965" s="18"/>
    </row>
    <row r="966" spans="1:6" ht="33.75" thickBot="1" x14ac:dyDescent="0.35">
      <c r="A966" s="12" t="s">
        <v>141</v>
      </c>
      <c r="B966" s="2" t="s">
        <v>142</v>
      </c>
    </row>
    <row r="967" spans="1:6" ht="25.5" x14ac:dyDescent="0.3">
      <c r="A967" s="13" t="s">
        <v>143</v>
      </c>
      <c r="B967" s="2" t="s">
        <v>144</v>
      </c>
    </row>
    <row r="968" spans="1:6" ht="17.25" thickBot="1" x14ac:dyDescent="0.35"/>
    <row r="969" spans="1:6" ht="16.5" customHeight="1" x14ac:dyDescent="0.3">
      <c r="A969" s="16" t="s">
        <v>238</v>
      </c>
      <c r="B969" s="18"/>
      <c r="C969" s="18"/>
      <c r="D969" s="18"/>
      <c r="E969" s="18"/>
      <c r="F969" s="18"/>
    </row>
    <row r="970" spans="1:6" ht="16.5" customHeight="1" x14ac:dyDescent="0.3">
      <c r="A970" s="17" t="s">
        <v>239</v>
      </c>
      <c r="B970" s="19" t="s">
        <v>94</v>
      </c>
      <c r="C970" s="19" t="s">
        <v>240</v>
      </c>
      <c r="D970" s="3" t="s">
        <v>241</v>
      </c>
      <c r="E970" s="19" t="s">
        <v>243</v>
      </c>
      <c r="F970" s="19"/>
    </row>
    <row r="971" spans="1:6" x14ac:dyDescent="0.3">
      <c r="A971" s="17"/>
      <c r="B971" s="19"/>
      <c r="C971" s="19"/>
      <c r="D971" s="3" t="s">
        <v>242</v>
      </c>
      <c r="E971" s="19"/>
      <c r="F971" s="19"/>
    </row>
    <row r="972" spans="1:6" x14ac:dyDescent="0.3">
      <c r="A972" s="13" t="s">
        <v>117</v>
      </c>
      <c r="B972" s="2">
        <v>23222</v>
      </c>
      <c r="C972" s="2">
        <v>33.805624000000002</v>
      </c>
      <c r="D972" s="2">
        <v>7.0877999999999997E-2</v>
      </c>
      <c r="E972" s="2">
        <v>33.666644300000002</v>
      </c>
      <c r="F972" s="2">
        <v>33.944603299999997</v>
      </c>
    </row>
    <row r="976" spans="1:6" x14ac:dyDescent="0.3">
      <c r="A976" s="1" t="s">
        <v>237</v>
      </c>
    </row>
    <row r="978" spans="1:7" x14ac:dyDescent="0.3">
      <c r="A978" s="1" t="s">
        <v>1</v>
      </c>
    </row>
    <row r="979" spans="1:7" ht="17.25" thickBot="1" x14ac:dyDescent="0.35"/>
    <row r="980" spans="1:7" ht="16.5" customHeight="1" x14ac:dyDescent="0.3">
      <c r="A980" s="16" t="s">
        <v>280</v>
      </c>
      <c r="B980" s="18"/>
      <c r="C980" s="18"/>
      <c r="D980" s="18"/>
      <c r="E980" s="18"/>
      <c r="F980" s="18"/>
      <c r="G980" s="18"/>
    </row>
    <row r="981" spans="1:7" ht="16.5" customHeight="1" x14ac:dyDescent="0.3">
      <c r="A981" s="17" t="s">
        <v>19</v>
      </c>
      <c r="B981" s="19" t="s">
        <v>239</v>
      </c>
      <c r="C981" s="19" t="s">
        <v>94</v>
      </c>
      <c r="D981" s="19" t="s">
        <v>240</v>
      </c>
      <c r="E981" s="3" t="s">
        <v>241</v>
      </c>
      <c r="F981" s="19" t="s">
        <v>243</v>
      </c>
      <c r="G981" s="19"/>
    </row>
    <row r="982" spans="1:7" x14ac:dyDescent="0.3">
      <c r="A982" s="17"/>
      <c r="B982" s="19"/>
      <c r="C982" s="19"/>
      <c r="D982" s="19"/>
      <c r="E982" s="3" t="s">
        <v>242</v>
      </c>
      <c r="F982" s="19"/>
      <c r="G982" s="19"/>
    </row>
    <row r="983" spans="1:7" ht="17.25" thickBot="1" x14ac:dyDescent="0.35">
      <c r="A983" s="6">
        <v>0</v>
      </c>
      <c r="B983" s="11" t="s">
        <v>117</v>
      </c>
      <c r="C983" s="2">
        <v>20515</v>
      </c>
      <c r="D983" s="2">
        <v>33.409982999999997</v>
      </c>
      <c r="E983" s="2">
        <v>7.3880000000000001E-2</v>
      </c>
      <c r="F983" s="2">
        <v>33.265117500000002</v>
      </c>
      <c r="G983" s="2">
        <v>33.554847500000001</v>
      </c>
    </row>
    <row r="984" spans="1:7" ht="17.25" thickBot="1" x14ac:dyDescent="0.35">
      <c r="A984" s="6">
        <v>1</v>
      </c>
      <c r="B984" s="11" t="s">
        <v>117</v>
      </c>
      <c r="C984" s="2">
        <v>165</v>
      </c>
      <c r="D984" s="2">
        <v>38.688290000000002</v>
      </c>
      <c r="E984" s="2">
        <v>0.69416699999999998</v>
      </c>
      <c r="F984" s="2">
        <v>37.327152900000002</v>
      </c>
      <c r="G984" s="2">
        <v>40.049427299999998</v>
      </c>
    </row>
    <row r="985" spans="1:7" x14ac:dyDescent="0.3">
      <c r="A985" s="6">
        <v>8</v>
      </c>
      <c r="B985" s="14" t="s">
        <v>117</v>
      </c>
      <c r="C985" s="2">
        <v>2542</v>
      </c>
      <c r="D985" s="2">
        <v>36.240974999999999</v>
      </c>
      <c r="E985" s="2">
        <v>0.18954199999999999</v>
      </c>
      <c r="F985" s="2">
        <v>35.8693174</v>
      </c>
      <c r="G985" s="2">
        <v>36.612632499999997</v>
      </c>
    </row>
    <row r="989" spans="1:7" x14ac:dyDescent="0.3">
      <c r="A989" s="1" t="s">
        <v>237</v>
      </c>
    </row>
    <row r="991" spans="1:7" x14ac:dyDescent="0.3">
      <c r="A991" s="1" t="s">
        <v>21</v>
      </c>
    </row>
    <row r="992" spans="1:7" ht="17.25" thickBot="1" x14ac:dyDescent="0.35"/>
    <row r="993" spans="1:6" ht="16.5" customHeight="1" x14ac:dyDescent="0.3">
      <c r="A993" s="16" t="s">
        <v>135</v>
      </c>
      <c r="B993" s="18"/>
    </row>
    <row r="994" spans="1:6" ht="26.25" thickBot="1" x14ac:dyDescent="0.35">
      <c r="A994" s="12" t="s">
        <v>136</v>
      </c>
      <c r="B994" s="2">
        <v>183</v>
      </c>
    </row>
    <row r="995" spans="1:6" ht="26.25" thickBot="1" x14ac:dyDescent="0.35">
      <c r="A995" s="12" t="s">
        <v>137</v>
      </c>
      <c r="B995" s="2">
        <v>2982</v>
      </c>
    </row>
    <row r="996" spans="1:6" ht="39" thickBot="1" x14ac:dyDescent="0.35">
      <c r="A996" s="12" t="s">
        <v>138</v>
      </c>
      <c r="B996" s="2">
        <v>68635</v>
      </c>
    </row>
    <row r="997" spans="1:6" ht="25.5" x14ac:dyDescent="0.3">
      <c r="A997" s="13" t="s">
        <v>139</v>
      </c>
      <c r="B997" s="2">
        <v>30251935.699999999</v>
      </c>
    </row>
    <row r="998" spans="1:6" ht="17.25" thickBot="1" x14ac:dyDescent="0.35"/>
    <row r="999" spans="1:6" ht="33" customHeight="1" x14ac:dyDescent="0.3">
      <c r="A999" s="16" t="s">
        <v>140</v>
      </c>
      <c r="B999" s="18"/>
    </row>
    <row r="1000" spans="1:6" ht="33.75" thickBot="1" x14ac:dyDescent="0.35">
      <c r="A1000" s="12" t="s">
        <v>141</v>
      </c>
      <c r="B1000" s="2" t="s">
        <v>142</v>
      </c>
    </row>
    <row r="1001" spans="1:6" ht="25.5" x14ac:dyDescent="0.3">
      <c r="A1001" s="13" t="s">
        <v>143</v>
      </c>
      <c r="B1001" s="2" t="s">
        <v>144</v>
      </c>
    </row>
    <row r="1002" spans="1:6" ht="17.25" thickBot="1" x14ac:dyDescent="0.35"/>
    <row r="1003" spans="1:6" ht="16.5" customHeight="1" x14ac:dyDescent="0.3">
      <c r="A1003" s="16" t="s">
        <v>238</v>
      </c>
      <c r="B1003" s="18"/>
      <c r="C1003" s="18"/>
      <c r="D1003" s="18"/>
      <c r="E1003" s="18"/>
      <c r="F1003" s="18"/>
    </row>
    <row r="1004" spans="1:6" ht="16.5" customHeight="1" x14ac:dyDescent="0.3">
      <c r="A1004" s="17" t="s">
        <v>239</v>
      </c>
      <c r="B1004" s="19" t="s">
        <v>94</v>
      </c>
      <c r="C1004" s="19" t="s">
        <v>240</v>
      </c>
      <c r="D1004" s="3" t="s">
        <v>241</v>
      </c>
      <c r="E1004" s="19" t="s">
        <v>243</v>
      </c>
      <c r="F1004" s="19"/>
    </row>
    <row r="1005" spans="1:6" x14ac:dyDescent="0.3">
      <c r="A1005" s="17"/>
      <c r="B1005" s="19"/>
      <c r="C1005" s="19"/>
      <c r="D1005" s="3" t="s">
        <v>242</v>
      </c>
      <c r="E1005" s="19"/>
      <c r="F1005" s="19"/>
    </row>
    <row r="1006" spans="1:6" x14ac:dyDescent="0.3">
      <c r="A1006" s="13" t="s">
        <v>117</v>
      </c>
      <c r="B1006" s="2">
        <v>68635</v>
      </c>
      <c r="C1006" s="2">
        <v>35.601097000000003</v>
      </c>
      <c r="D1006" s="2">
        <v>3.8943999999999999E-2</v>
      </c>
      <c r="E1006" s="2">
        <v>35.524735800000002</v>
      </c>
      <c r="F1006" s="2">
        <v>35.677458399999999</v>
      </c>
    </row>
    <row r="1010" spans="1:9" x14ac:dyDescent="0.3">
      <c r="A1010" s="1" t="s">
        <v>237</v>
      </c>
    </row>
    <row r="1012" spans="1:9" x14ac:dyDescent="0.3">
      <c r="A1012" s="1" t="s">
        <v>21</v>
      </c>
    </row>
    <row r="1013" spans="1:9" ht="17.25" thickBot="1" x14ac:dyDescent="0.35"/>
    <row r="1014" spans="1:9" ht="16.5" customHeight="1" x14ac:dyDescent="0.3">
      <c r="A1014" s="16" t="s">
        <v>280</v>
      </c>
      <c r="B1014" s="18"/>
      <c r="C1014" s="18"/>
      <c r="D1014" s="18"/>
      <c r="E1014" s="18"/>
      <c r="F1014" s="18"/>
      <c r="G1014" s="18"/>
    </row>
    <row r="1015" spans="1:9" ht="16.5" customHeight="1" x14ac:dyDescent="0.3">
      <c r="A1015" s="17" t="s">
        <v>19</v>
      </c>
      <c r="B1015" s="19" t="s">
        <v>239</v>
      </c>
      <c r="C1015" s="19" t="s">
        <v>94</v>
      </c>
      <c r="D1015" s="19" t="s">
        <v>240</v>
      </c>
      <c r="E1015" s="3" t="s">
        <v>241</v>
      </c>
      <c r="F1015" s="19" t="s">
        <v>243</v>
      </c>
      <c r="G1015" s="19"/>
    </row>
    <row r="1016" spans="1:9" x14ac:dyDescent="0.3">
      <c r="A1016" s="17"/>
      <c r="B1016" s="19"/>
      <c r="C1016" s="19"/>
      <c r="D1016" s="19"/>
      <c r="E1016" s="3" t="s">
        <v>242</v>
      </c>
      <c r="F1016" s="19"/>
      <c r="G1016" s="19"/>
    </row>
    <row r="1017" spans="1:9" ht="17.25" thickBot="1" x14ac:dyDescent="0.35">
      <c r="A1017" s="6">
        <v>0</v>
      </c>
      <c r="B1017" s="11" t="s">
        <v>117</v>
      </c>
      <c r="C1017" s="2">
        <v>67998</v>
      </c>
      <c r="D1017" s="2">
        <v>35.580286000000001</v>
      </c>
      <c r="E1017" s="2">
        <v>3.9094999999999998E-2</v>
      </c>
      <c r="F1017" s="2">
        <v>35.503627399999999</v>
      </c>
      <c r="G1017" s="2">
        <v>35.656944899999999</v>
      </c>
      <c r="I1017" t="str">
        <f t="shared" ref="I1017:I1018" si="14">TEXT(D1017,"0.00")&amp;" ("&amp;TEXT(F1017,"0.00")&amp;" to "&amp;TEXT(G1017,"0.00")&amp;")"</f>
        <v>35.58 (35.50 to 35.66)</v>
      </c>
    </row>
    <row r="1018" spans="1:9" x14ac:dyDescent="0.3">
      <c r="A1018" s="6">
        <v>1</v>
      </c>
      <c r="B1018" s="14" t="s">
        <v>117</v>
      </c>
      <c r="C1018" s="2">
        <v>637</v>
      </c>
      <c r="D1018" s="2">
        <v>38.664203000000001</v>
      </c>
      <c r="E1018" s="2">
        <v>0.33883200000000002</v>
      </c>
      <c r="F1018" s="2">
        <v>37.9998182</v>
      </c>
      <c r="G1018" s="2">
        <v>39.328588600000003</v>
      </c>
      <c r="I1018" t="str">
        <f t="shared" si="14"/>
        <v>38.66 (38.00 to 39.33)</v>
      </c>
    </row>
    <row r="1022" spans="1:9" x14ac:dyDescent="0.3">
      <c r="A1022" s="1" t="s">
        <v>237</v>
      </c>
    </row>
    <row r="1024" spans="1:9" x14ac:dyDescent="0.3">
      <c r="A1024" s="1" t="s">
        <v>1</v>
      </c>
    </row>
    <row r="1025" spans="1:6" ht="17.25" thickBot="1" x14ac:dyDescent="0.35"/>
    <row r="1026" spans="1:6" ht="16.5" customHeight="1" x14ac:dyDescent="0.3">
      <c r="A1026" s="16" t="s">
        <v>135</v>
      </c>
      <c r="B1026" s="18"/>
    </row>
    <row r="1027" spans="1:6" ht="26.25" thickBot="1" x14ac:dyDescent="0.35">
      <c r="A1027" s="12" t="s">
        <v>136</v>
      </c>
      <c r="B1027" s="2">
        <v>183</v>
      </c>
    </row>
    <row r="1028" spans="1:6" ht="26.25" thickBot="1" x14ac:dyDescent="0.35">
      <c r="A1028" s="12" t="s">
        <v>137</v>
      </c>
      <c r="B1028" s="2">
        <v>2949</v>
      </c>
    </row>
    <row r="1029" spans="1:6" ht="39" thickBot="1" x14ac:dyDescent="0.35">
      <c r="A1029" s="12" t="s">
        <v>138</v>
      </c>
      <c r="B1029" s="2">
        <v>23222</v>
      </c>
    </row>
    <row r="1030" spans="1:6" ht="25.5" x14ac:dyDescent="0.3">
      <c r="A1030" s="13" t="s">
        <v>139</v>
      </c>
      <c r="B1030" s="2">
        <v>9036880.5199999996</v>
      </c>
    </row>
    <row r="1031" spans="1:6" ht="17.25" thickBot="1" x14ac:dyDescent="0.35"/>
    <row r="1032" spans="1:6" ht="33" customHeight="1" x14ac:dyDescent="0.3">
      <c r="A1032" s="16" t="s">
        <v>140</v>
      </c>
      <c r="B1032" s="18"/>
    </row>
    <row r="1033" spans="1:6" ht="33.75" thickBot="1" x14ac:dyDescent="0.35">
      <c r="A1033" s="12" t="s">
        <v>141</v>
      </c>
      <c r="B1033" s="2" t="s">
        <v>142</v>
      </c>
    </row>
    <row r="1034" spans="1:6" ht="25.5" x14ac:dyDescent="0.3">
      <c r="A1034" s="13" t="s">
        <v>143</v>
      </c>
      <c r="B1034" s="2" t="s">
        <v>144</v>
      </c>
    </row>
    <row r="1035" spans="1:6" ht="17.25" thickBot="1" x14ac:dyDescent="0.35"/>
    <row r="1036" spans="1:6" ht="16.5" customHeight="1" x14ac:dyDescent="0.3">
      <c r="A1036" s="16" t="s">
        <v>238</v>
      </c>
      <c r="B1036" s="18"/>
      <c r="C1036" s="18"/>
      <c r="D1036" s="18"/>
      <c r="E1036" s="18"/>
      <c r="F1036" s="18"/>
    </row>
    <row r="1037" spans="1:6" ht="16.5" customHeight="1" x14ac:dyDescent="0.3">
      <c r="A1037" s="17" t="s">
        <v>239</v>
      </c>
      <c r="B1037" s="19" t="s">
        <v>94</v>
      </c>
      <c r="C1037" s="19" t="s">
        <v>240</v>
      </c>
      <c r="D1037" s="3" t="s">
        <v>241</v>
      </c>
      <c r="E1037" s="19" t="s">
        <v>243</v>
      </c>
      <c r="F1037" s="19"/>
    </row>
    <row r="1038" spans="1:6" x14ac:dyDescent="0.3">
      <c r="A1038" s="17"/>
      <c r="B1038" s="19"/>
      <c r="C1038" s="19"/>
      <c r="D1038" s="3" t="s">
        <v>242</v>
      </c>
      <c r="E1038" s="19"/>
      <c r="F1038" s="19"/>
    </row>
    <row r="1039" spans="1:6" x14ac:dyDescent="0.3">
      <c r="A1039" s="13" t="s">
        <v>117</v>
      </c>
      <c r="B1039" s="2">
        <v>23222</v>
      </c>
      <c r="C1039" s="2">
        <v>33.805624000000002</v>
      </c>
      <c r="D1039" s="2">
        <v>7.0877999999999997E-2</v>
      </c>
      <c r="E1039" s="2">
        <v>33.666644300000002</v>
      </c>
      <c r="F1039" s="2">
        <v>33.944603299999997</v>
      </c>
    </row>
    <row r="1043" spans="1:7" x14ac:dyDescent="0.3">
      <c r="A1043" s="1" t="s">
        <v>237</v>
      </c>
    </row>
    <row r="1045" spans="1:7" x14ac:dyDescent="0.3">
      <c r="A1045" s="1" t="s">
        <v>1</v>
      </c>
    </row>
    <row r="1046" spans="1:7" ht="17.25" thickBot="1" x14ac:dyDescent="0.35"/>
    <row r="1047" spans="1:7" ht="16.5" customHeight="1" x14ac:dyDescent="0.3">
      <c r="A1047" s="16" t="s">
        <v>281</v>
      </c>
      <c r="B1047" s="18"/>
      <c r="C1047" s="18"/>
      <c r="D1047" s="18"/>
      <c r="E1047" s="18"/>
      <c r="F1047" s="18"/>
      <c r="G1047" s="18"/>
    </row>
    <row r="1048" spans="1:7" ht="16.5" customHeight="1" x14ac:dyDescent="0.3">
      <c r="A1048" s="17" t="s">
        <v>20</v>
      </c>
      <c r="B1048" s="19" t="s">
        <v>239</v>
      </c>
      <c r="C1048" s="19" t="s">
        <v>94</v>
      </c>
      <c r="D1048" s="19" t="s">
        <v>240</v>
      </c>
      <c r="E1048" s="3" t="s">
        <v>241</v>
      </c>
      <c r="F1048" s="19" t="s">
        <v>243</v>
      </c>
      <c r="G1048" s="19"/>
    </row>
    <row r="1049" spans="1:7" x14ac:dyDescent="0.3">
      <c r="A1049" s="17"/>
      <c r="B1049" s="19"/>
      <c r="C1049" s="19"/>
      <c r="D1049" s="19"/>
      <c r="E1049" s="3" t="s">
        <v>242</v>
      </c>
      <c r="F1049" s="19"/>
      <c r="G1049" s="19"/>
    </row>
    <row r="1050" spans="1:7" ht="17.25" thickBot="1" x14ac:dyDescent="0.35">
      <c r="A1050" s="6">
        <v>0</v>
      </c>
      <c r="B1050" s="11" t="s">
        <v>117</v>
      </c>
      <c r="C1050" s="2">
        <v>20305</v>
      </c>
      <c r="D1050" s="2">
        <v>33.381596000000002</v>
      </c>
      <c r="E1050" s="2">
        <v>7.4227000000000001E-2</v>
      </c>
      <c r="F1050" s="2">
        <v>33.236049999999999</v>
      </c>
      <c r="G1050" s="2">
        <v>33.527142099999999</v>
      </c>
    </row>
    <row r="1051" spans="1:7" ht="17.25" thickBot="1" x14ac:dyDescent="0.35">
      <c r="A1051" s="6">
        <v>1</v>
      </c>
      <c r="B1051" s="11" t="s">
        <v>117</v>
      </c>
      <c r="C1051" s="2">
        <v>372</v>
      </c>
      <c r="D1051" s="2">
        <v>38.044705999999998</v>
      </c>
      <c r="E1051" s="2">
        <v>0.36192200000000002</v>
      </c>
      <c r="F1051" s="2">
        <v>37.335042100000003</v>
      </c>
      <c r="G1051" s="2">
        <v>38.754370899999998</v>
      </c>
    </row>
    <row r="1052" spans="1:7" x14ac:dyDescent="0.3">
      <c r="A1052" s="6">
        <v>8</v>
      </c>
      <c r="B1052" s="14" t="s">
        <v>117</v>
      </c>
      <c r="C1052" s="2">
        <v>2545</v>
      </c>
      <c r="D1052" s="2">
        <v>36.240074999999997</v>
      </c>
      <c r="E1052" s="2">
        <v>0.18940499999999999</v>
      </c>
      <c r="F1052" s="2">
        <v>35.868685499999998</v>
      </c>
      <c r="G1052" s="2">
        <v>36.611463899999997</v>
      </c>
    </row>
    <row r="1056" spans="1:7" x14ac:dyDescent="0.3">
      <c r="A1056" s="1" t="s">
        <v>237</v>
      </c>
    </row>
    <row r="1058" spans="1:6" x14ac:dyDescent="0.3">
      <c r="A1058" s="1" t="s">
        <v>21</v>
      </c>
    </row>
    <row r="1059" spans="1:6" ht="17.25" thickBot="1" x14ac:dyDescent="0.35"/>
    <row r="1060" spans="1:6" ht="16.5" customHeight="1" x14ac:dyDescent="0.3">
      <c r="A1060" s="16" t="s">
        <v>135</v>
      </c>
      <c r="B1060" s="18"/>
    </row>
    <row r="1061" spans="1:6" ht="26.25" thickBot="1" x14ac:dyDescent="0.35">
      <c r="A1061" s="12" t="s">
        <v>136</v>
      </c>
      <c r="B1061" s="2">
        <v>183</v>
      </c>
    </row>
    <row r="1062" spans="1:6" ht="26.25" thickBot="1" x14ac:dyDescent="0.35">
      <c r="A1062" s="12" t="s">
        <v>137</v>
      </c>
      <c r="B1062" s="2">
        <v>2982</v>
      </c>
    </row>
    <row r="1063" spans="1:6" ht="39" thickBot="1" x14ac:dyDescent="0.35">
      <c r="A1063" s="12" t="s">
        <v>138</v>
      </c>
      <c r="B1063" s="2">
        <v>68635</v>
      </c>
    </row>
    <row r="1064" spans="1:6" ht="25.5" x14ac:dyDescent="0.3">
      <c r="A1064" s="13" t="s">
        <v>139</v>
      </c>
      <c r="B1064" s="2">
        <v>30251935.699999999</v>
      </c>
    </row>
    <row r="1065" spans="1:6" ht="17.25" thickBot="1" x14ac:dyDescent="0.35"/>
    <row r="1066" spans="1:6" ht="33" customHeight="1" x14ac:dyDescent="0.3">
      <c r="A1066" s="16" t="s">
        <v>140</v>
      </c>
      <c r="B1066" s="18"/>
    </row>
    <row r="1067" spans="1:6" ht="33.75" thickBot="1" x14ac:dyDescent="0.35">
      <c r="A1067" s="12" t="s">
        <v>141</v>
      </c>
      <c r="B1067" s="2" t="s">
        <v>142</v>
      </c>
    </row>
    <row r="1068" spans="1:6" ht="25.5" x14ac:dyDescent="0.3">
      <c r="A1068" s="13" t="s">
        <v>143</v>
      </c>
      <c r="B1068" s="2" t="s">
        <v>144</v>
      </c>
    </row>
    <row r="1069" spans="1:6" ht="17.25" thickBot="1" x14ac:dyDescent="0.35"/>
    <row r="1070" spans="1:6" ht="16.5" customHeight="1" x14ac:dyDescent="0.3">
      <c r="A1070" s="16" t="s">
        <v>238</v>
      </c>
      <c r="B1070" s="18"/>
      <c r="C1070" s="18"/>
      <c r="D1070" s="18"/>
      <c r="E1070" s="18"/>
      <c r="F1070" s="18"/>
    </row>
    <row r="1071" spans="1:6" ht="16.5" customHeight="1" x14ac:dyDescent="0.3">
      <c r="A1071" s="17" t="s">
        <v>239</v>
      </c>
      <c r="B1071" s="19" t="s">
        <v>94</v>
      </c>
      <c r="C1071" s="19" t="s">
        <v>240</v>
      </c>
      <c r="D1071" s="3" t="s">
        <v>241</v>
      </c>
      <c r="E1071" s="19" t="s">
        <v>243</v>
      </c>
      <c r="F1071" s="19"/>
    </row>
    <row r="1072" spans="1:6" x14ac:dyDescent="0.3">
      <c r="A1072" s="17"/>
      <c r="B1072" s="19"/>
      <c r="C1072" s="19"/>
      <c r="D1072" s="3" t="s">
        <v>242</v>
      </c>
      <c r="E1072" s="19"/>
      <c r="F1072" s="19"/>
    </row>
    <row r="1073" spans="1:9" x14ac:dyDescent="0.3">
      <c r="A1073" s="13" t="s">
        <v>117</v>
      </c>
      <c r="B1073" s="2">
        <v>68635</v>
      </c>
      <c r="C1073" s="2">
        <v>35.601097000000003</v>
      </c>
      <c r="D1073" s="2">
        <v>3.8943999999999999E-2</v>
      </c>
      <c r="E1073" s="2">
        <v>35.524735800000002</v>
      </c>
      <c r="F1073" s="2">
        <v>35.677458399999999</v>
      </c>
    </row>
    <row r="1077" spans="1:9" x14ac:dyDescent="0.3">
      <c r="A1077" s="1" t="s">
        <v>237</v>
      </c>
    </row>
    <row r="1079" spans="1:9" x14ac:dyDescent="0.3">
      <c r="A1079" s="1" t="s">
        <v>21</v>
      </c>
    </row>
    <row r="1080" spans="1:9" ht="17.25" thickBot="1" x14ac:dyDescent="0.35"/>
    <row r="1081" spans="1:9" ht="16.5" customHeight="1" x14ac:dyDescent="0.3">
      <c r="A1081" s="16" t="s">
        <v>281</v>
      </c>
      <c r="B1081" s="18"/>
      <c r="C1081" s="18"/>
      <c r="D1081" s="18"/>
      <c r="E1081" s="18"/>
      <c r="F1081" s="18"/>
      <c r="G1081" s="18"/>
    </row>
    <row r="1082" spans="1:9" ht="16.5" customHeight="1" x14ac:dyDescent="0.3">
      <c r="A1082" s="17" t="s">
        <v>20</v>
      </c>
      <c r="B1082" s="19" t="s">
        <v>239</v>
      </c>
      <c r="C1082" s="19" t="s">
        <v>94</v>
      </c>
      <c r="D1082" s="19" t="s">
        <v>240</v>
      </c>
      <c r="E1082" s="3" t="s">
        <v>241</v>
      </c>
      <c r="F1082" s="19" t="s">
        <v>243</v>
      </c>
      <c r="G1082" s="19"/>
    </row>
    <row r="1083" spans="1:9" x14ac:dyDescent="0.3">
      <c r="A1083" s="17"/>
      <c r="B1083" s="19"/>
      <c r="C1083" s="19"/>
      <c r="D1083" s="19"/>
      <c r="E1083" s="3" t="s">
        <v>242</v>
      </c>
      <c r="F1083" s="19"/>
      <c r="G1083" s="19"/>
    </row>
    <row r="1084" spans="1:9" ht="17.25" thickBot="1" x14ac:dyDescent="0.35">
      <c r="A1084" s="6">
        <v>0</v>
      </c>
      <c r="B1084" s="11" t="s">
        <v>117</v>
      </c>
      <c r="C1084" s="2">
        <v>67434</v>
      </c>
      <c r="D1084" s="2">
        <v>35.570810999999999</v>
      </c>
      <c r="E1084" s="2">
        <v>3.9135000000000003E-2</v>
      </c>
      <c r="F1084" s="2">
        <v>35.494074699999999</v>
      </c>
      <c r="G1084" s="2">
        <v>35.647547099999997</v>
      </c>
      <c r="I1084" t="str">
        <f t="shared" ref="I1084:I1085" si="15">TEXT(D1084,"0.00")&amp;" ("&amp;TEXT(F1084,"0.00")&amp;" to "&amp;TEXT(G1084,"0.00")&amp;")"</f>
        <v>35.57 (35.49 to 35.65)</v>
      </c>
    </row>
    <row r="1085" spans="1:9" x14ac:dyDescent="0.3">
      <c r="A1085" s="6">
        <v>1</v>
      </c>
      <c r="B1085" s="14" t="s">
        <v>117</v>
      </c>
      <c r="C1085" s="2">
        <v>1201</v>
      </c>
      <c r="D1085" s="2">
        <v>37.996299</v>
      </c>
      <c r="E1085" s="2">
        <v>0.24546899999999999</v>
      </c>
      <c r="F1085" s="2">
        <v>37.514980100000002</v>
      </c>
      <c r="G1085" s="2">
        <v>38.477617100000003</v>
      </c>
      <c r="I1085" t="str">
        <f t="shared" si="15"/>
        <v>38.00 (37.51 to 38.48)</v>
      </c>
    </row>
  </sheetData>
  <mergeCells count="416">
    <mergeCell ref="A1081:G1081"/>
    <mergeCell ref="A1082:A1083"/>
    <mergeCell ref="B1082:B1083"/>
    <mergeCell ref="C1082:C1083"/>
    <mergeCell ref="D1082:D1083"/>
    <mergeCell ref="F1082:G1083"/>
    <mergeCell ref="A1060:B1060"/>
    <mergeCell ref="A1066:B1066"/>
    <mergeCell ref="A1070:F1070"/>
    <mergeCell ref="A1071:A1072"/>
    <mergeCell ref="B1071:B1072"/>
    <mergeCell ref="C1071:C1072"/>
    <mergeCell ref="E1071:F1072"/>
    <mergeCell ref="A1047:G1047"/>
    <mergeCell ref="A1048:A1049"/>
    <mergeCell ref="B1048:B1049"/>
    <mergeCell ref="C1048:C1049"/>
    <mergeCell ref="D1048:D1049"/>
    <mergeCell ref="F1048:G1049"/>
    <mergeCell ref="A1026:B1026"/>
    <mergeCell ref="A1032:B1032"/>
    <mergeCell ref="A1036:F1036"/>
    <mergeCell ref="A1037:A1038"/>
    <mergeCell ref="B1037:B1038"/>
    <mergeCell ref="C1037:C1038"/>
    <mergeCell ref="E1037:F1038"/>
    <mergeCell ref="A1014:G1014"/>
    <mergeCell ref="A1015:A1016"/>
    <mergeCell ref="B1015:B1016"/>
    <mergeCell ref="C1015:C1016"/>
    <mergeCell ref="D1015:D1016"/>
    <mergeCell ref="F1015:G1016"/>
    <mergeCell ref="A993:B993"/>
    <mergeCell ref="A999:B999"/>
    <mergeCell ref="A1003:F1003"/>
    <mergeCell ref="A1004:A1005"/>
    <mergeCell ref="B1004:B1005"/>
    <mergeCell ref="C1004:C1005"/>
    <mergeCell ref="E1004:F1005"/>
    <mergeCell ref="A980:G980"/>
    <mergeCell ref="A981:A982"/>
    <mergeCell ref="B981:B982"/>
    <mergeCell ref="C981:C982"/>
    <mergeCell ref="D981:D982"/>
    <mergeCell ref="F981:G982"/>
    <mergeCell ref="A959:B959"/>
    <mergeCell ref="A965:B965"/>
    <mergeCell ref="A969:F969"/>
    <mergeCell ref="A970:A971"/>
    <mergeCell ref="B970:B971"/>
    <mergeCell ref="C970:C971"/>
    <mergeCell ref="E970:F971"/>
    <mergeCell ref="A947:G947"/>
    <mergeCell ref="A948:A949"/>
    <mergeCell ref="B948:B949"/>
    <mergeCell ref="C948:C949"/>
    <mergeCell ref="D948:D949"/>
    <mergeCell ref="F948:G949"/>
    <mergeCell ref="A926:B926"/>
    <mergeCell ref="A932:B932"/>
    <mergeCell ref="A936:F936"/>
    <mergeCell ref="A937:A938"/>
    <mergeCell ref="B937:B938"/>
    <mergeCell ref="C937:C938"/>
    <mergeCell ref="E937:F938"/>
    <mergeCell ref="A913:G913"/>
    <mergeCell ref="A914:A915"/>
    <mergeCell ref="B914:B915"/>
    <mergeCell ref="C914:C915"/>
    <mergeCell ref="D914:D915"/>
    <mergeCell ref="F914:G915"/>
    <mergeCell ref="A892:B892"/>
    <mergeCell ref="A898:B898"/>
    <mergeCell ref="A902:F902"/>
    <mergeCell ref="A903:A904"/>
    <mergeCell ref="B903:B904"/>
    <mergeCell ref="C903:C904"/>
    <mergeCell ref="E903:F904"/>
    <mergeCell ref="A880:G880"/>
    <mergeCell ref="A881:A882"/>
    <mergeCell ref="B881:B882"/>
    <mergeCell ref="C881:C882"/>
    <mergeCell ref="D881:D882"/>
    <mergeCell ref="F881:G882"/>
    <mergeCell ref="A859:B859"/>
    <mergeCell ref="A865:B865"/>
    <mergeCell ref="A869:F869"/>
    <mergeCell ref="A870:A871"/>
    <mergeCell ref="B870:B871"/>
    <mergeCell ref="C870:C871"/>
    <mergeCell ref="E870:F871"/>
    <mergeCell ref="A846:G846"/>
    <mergeCell ref="A847:A848"/>
    <mergeCell ref="B847:B848"/>
    <mergeCell ref="C847:C848"/>
    <mergeCell ref="D847:D848"/>
    <mergeCell ref="F847:G848"/>
    <mergeCell ref="A825:B825"/>
    <mergeCell ref="A831:B831"/>
    <mergeCell ref="A835:F835"/>
    <mergeCell ref="A836:A837"/>
    <mergeCell ref="B836:B837"/>
    <mergeCell ref="C836:C837"/>
    <mergeCell ref="E836:F837"/>
    <mergeCell ref="A813:G813"/>
    <mergeCell ref="A814:A815"/>
    <mergeCell ref="B814:B815"/>
    <mergeCell ref="C814:C815"/>
    <mergeCell ref="D814:D815"/>
    <mergeCell ref="F814:G815"/>
    <mergeCell ref="A792:B792"/>
    <mergeCell ref="A798:B798"/>
    <mergeCell ref="A802:F802"/>
    <mergeCell ref="A803:A804"/>
    <mergeCell ref="B803:B804"/>
    <mergeCell ref="C803:C804"/>
    <mergeCell ref="E803:F804"/>
    <mergeCell ref="A779:G779"/>
    <mergeCell ref="A780:A781"/>
    <mergeCell ref="B780:B781"/>
    <mergeCell ref="C780:C781"/>
    <mergeCell ref="D780:D781"/>
    <mergeCell ref="F780:G781"/>
    <mergeCell ref="A758:B758"/>
    <mergeCell ref="A764:B764"/>
    <mergeCell ref="A768:F768"/>
    <mergeCell ref="A769:A770"/>
    <mergeCell ref="B769:B770"/>
    <mergeCell ref="C769:C770"/>
    <mergeCell ref="E769:F770"/>
    <mergeCell ref="A746:G746"/>
    <mergeCell ref="A747:A748"/>
    <mergeCell ref="B747:B748"/>
    <mergeCell ref="C747:C748"/>
    <mergeCell ref="D747:D748"/>
    <mergeCell ref="F747:G748"/>
    <mergeCell ref="A725:B725"/>
    <mergeCell ref="A731:B731"/>
    <mergeCell ref="A735:F735"/>
    <mergeCell ref="A736:A737"/>
    <mergeCell ref="B736:B737"/>
    <mergeCell ref="C736:C737"/>
    <mergeCell ref="E736:F737"/>
    <mergeCell ref="A712:G712"/>
    <mergeCell ref="A713:A714"/>
    <mergeCell ref="B713:B714"/>
    <mergeCell ref="C713:C714"/>
    <mergeCell ref="D713:D714"/>
    <mergeCell ref="F713:G714"/>
    <mergeCell ref="A691:B691"/>
    <mergeCell ref="A697:B697"/>
    <mergeCell ref="A701:F701"/>
    <mergeCell ref="A702:A703"/>
    <mergeCell ref="B702:B703"/>
    <mergeCell ref="C702:C703"/>
    <mergeCell ref="E702:F703"/>
    <mergeCell ref="A678:G678"/>
    <mergeCell ref="A679:A680"/>
    <mergeCell ref="B679:B680"/>
    <mergeCell ref="C679:C680"/>
    <mergeCell ref="D679:D680"/>
    <mergeCell ref="F679:G680"/>
    <mergeCell ref="A657:B657"/>
    <mergeCell ref="A663:B663"/>
    <mergeCell ref="A667:F667"/>
    <mergeCell ref="A668:A669"/>
    <mergeCell ref="B668:B669"/>
    <mergeCell ref="C668:C669"/>
    <mergeCell ref="E668:F669"/>
    <mergeCell ref="A643:G643"/>
    <mergeCell ref="A644:A645"/>
    <mergeCell ref="B644:B645"/>
    <mergeCell ref="C644:C645"/>
    <mergeCell ref="D644:D645"/>
    <mergeCell ref="F644:G645"/>
    <mergeCell ref="A622:B622"/>
    <mergeCell ref="A628:B628"/>
    <mergeCell ref="A632:F632"/>
    <mergeCell ref="A633:A634"/>
    <mergeCell ref="B633:B634"/>
    <mergeCell ref="C633:C634"/>
    <mergeCell ref="E633:F634"/>
    <mergeCell ref="A609:G609"/>
    <mergeCell ref="A610:A611"/>
    <mergeCell ref="B610:B611"/>
    <mergeCell ref="C610:C611"/>
    <mergeCell ref="D610:D611"/>
    <mergeCell ref="F610:G611"/>
    <mergeCell ref="A588:B588"/>
    <mergeCell ref="A594:B594"/>
    <mergeCell ref="A598:F598"/>
    <mergeCell ref="A599:A600"/>
    <mergeCell ref="B599:B600"/>
    <mergeCell ref="C599:C600"/>
    <mergeCell ref="E599:F600"/>
    <mergeCell ref="A574:G574"/>
    <mergeCell ref="A575:A576"/>
    <mergeCell ref="B575:B576"/>
    <mergeCell ref="C575:C576"/>
    <mergeCell ref="D575:D576"/>
    <mergeCell ref="F575:G576"/>
    <mergeCell ref="A553:B553"/>
    <mergeCell ref="A559:B559"/>
    <mergeCell ref="A563:F563"/>
    <mergeCell ref="A564:A565"/>
    <mergeCell ref="B564:B565"/>
    <mergeCell ref="C564:C565"/>
    <mergeCell ref="E564:F565"/>
    <mergeCell ref="A540:G540"/>
    <mergeCell ref="A541:A542"/>
    <mergeCell ref="B541:B542"/>
    <mergeCell ref="C541:C542"/>
    <mergeCell ref="D541:D542"/>
    <mergeCell ref="F541:G542"/>
    <mergeCell ref="A519:B519"/>
    <mergeCell ref="A525:B525"/>
    <mergeCell ref="A529:F529"/>
    <mergeCell ref="A530:A531"/>
    <mergeCell ref="B530:B531"/>
    <mergeCell ref="C530:C531"/>
    <mergeCell ref="E530:F531"/>
    <mergeCell ref="A505:G505"/>
    <mergeCell ref="A506:A507"/>
    <mergeCell ref="B506:B507"/>
    <mergeCell ref="C506:C507"/>
    <mergeCell ref="D506:D507"/>
    <mergeCell ref="F506:G507"/>
    <mergeCell ref="A484:B484"/>
    <mergeCell ref="A490:B490"/>
    <mergeCell ref="A494:F494"/>
    <mergeCell ref="A495:A496"/>
    <mergeCell ref="B495:B496"/>
    <mergeCell ref="C495:C496"/>
    <mergeCell ref="E495:F496"/>
    <mergeCell ref="A472:G472"/>
    <mergeCell ref="A473:A474"/>
    <mergeCell ref="B473:B474"/>
    <mergeCell ref="C473:C474"/>
    <mergeCell ref="D473:D474"/>
    <mergeCell ref="F473:G474"/>
    <mergeCell ref="A451:B451"/>
    <mergeCell ref="A457:B457"/>
    <mergeCell ref="A461:F461"/>
    <mergeCell ref="A462:A463"/>
    <mergeCell ref="B462:B463"/>
    <mergeCell ref="C462:C463"/>
    <mergeCell ref="E462:F463"/>
    <mergeCell ref="A438:G438"/>
    <mergeCell ref="A439:A440"/>
    <mergeCell ref="B439:B440"/>
    <mergeCell ref="C439:C440"/>
    <mergeCell ref="D439:D440"/>
    <mergeCell ref="F439:G440"/>
    <mergeCell ref="A417:B417"/>
    <mergeCell ref="A423:B423"/>
    <mergeCell ref="A427:F427"/>
    <mergeCell ref="A428:A429"/>
    <mergeCell ref="B428:B429"/>
    <mergeCell ref="C428:C429"/>
    <mergeCell ref="E428:F429"/>
    <mergeCell ref="A403:G403"/>
    <mergeCell ref="A404:A405"/>
    <mergeCell ref="B404:B405"/>
    <mergeCell ref="C404:C405"/>
    <mergeCell ref="D404:D405"/>
    <mergeCell ref="F404:G405"/>
    <mergeCell ref="A382:B382"/>
    <mergeCell ref="A388:B388"/>
    <mergeCell ref="A392:F392"/>
    <mergeCell ref="A393:A394"/>
    <mergeCell ref="B393:B394"/>
    <mergeCell ref="C393:C394"/>
    <mergeCell ref="E393:F394"/>
    <mergeCell ref="A368:G368"/>
    <mergeCell ref="A369:A370"/>
    <mergeCell ref="B369:B370"/>
    <mergeCell ref="C369:C370"/>
    <mergeCell ref="D369:D370"/>
    <mergeCell ref="F369:G370"/>
    <mergeCell ref="A347:B347"/>
    <mergeCell ref="A353:B353"/>
    <mergeCell ref="A357:F357"/>
    <mergeCell ref="A358:A359"/>
    <mergeCell ref="B358:B359"/>
    <mergeCell ref="C358:C359"/>
    <mergeCell ref="E358:F359"/>
    <mergeCell ref="A333:G333"/>
    <mergeCell ref="A334:A335"/>
    <mergeCell ref="B334:B335"/>
    <mergeCell ref="C334:C335"/>
    <mergeCell ref="D334:D335"/>
    <mergeCell ref="F334:G335"/>
    <mergeCell ref="A312:B312"/>
    <mergeCell ref="A318:B318"/>
    <mergeCell ref="A322:F322"/>
    <mergeCell ref="A323:A324"/>
    <mergeCell ref="B323:B324"/>
    <mergeCell ref="C323:C324"/>
    <mergeCell ref="E323:F324"/>
    <mergeCell ref="A298:G298"/>
    <mergeCell ref="A299:A300"/>
    <mergeCell ref="B299:B300"/>
    <mergeCell ref="C299:C300"/>
    <mergeCell ref="D299:D300"/>
    <mergeCell ref="F299:G300"/>
    <mergeCell ref="A277:B277"/>
    <mergeCell ref="A283:B283"/>
    <mergeCell ref="A287:F287"/>
    <mergeCell ref="A288:A289"/>
    <mergeCell ref="B288:B289"/>
    <mergeCell ref="C288:C289"/>
    <mergeCell ref="E288:F289"/>
    <mergeCell ref="A263:G263"/>
    <mergeCell ref="A264:A265"/>
    <mergeCell ref="B264:B265"/>
    <mergeCell ref="C264:C265"/>
    <mergeCell ref="D264:D265"/>
    <mergeCell ref="F264:G265"/>
    <mergeCell ref="A242:B242"/>
    <mergeCell ref="A248:B248"/>
    <mergeCell ref="A252:F252"/>
    <mergeCell ref="A253:A254"/>
    <mergeCell ref="B253:B254"/>
    <mergeCell ref="C253:C254"/>
    <mergeCell ref="E253:F254"/>
    <mergeCell ref="A227:G227"/>
    <mergeCell ref="A228:A229"/>
    <mergeCell ref="B228:B229"/>
    <mergeCell ref="C228:C229"/>
    <mergeCell ref="D228:D229"/>
    <mergeCell ref="F228:G229"/>
    <mergeCell ref="A206:B206"/>
    <mergeCell ref="A212:B212"/>
    <mergeCell ref="A216:F216"/>
    <mergeCell ref="A217:A218"/>
    <mergeCell ref="B217:B218"/>
    <mergeCell ref="C217:C218"/>
    <mergeCell ref="E217:F218"/>
    <mergeCell ref="A194:G194"/>
    <mergeCell ref="A195:A196"/>
    <mergeCell ref="B195:B196"/>
    <mergeCell ref="C195:C196"/>
    <mergeCell ref="D195:D196"/>
    <mergeCell ref="F195:G196"/>
    <mergeCell ref="A173:B173"/>
    <mergeCell ref="A179:B179"/>
    <mergeCell ref="A183:F183"/>
    <mergeCell ref="A184:A185"/>
    <mergeCell ref="B184:B185"/>
    <mergeCell ref="C184:C185"/>
    <mergeCell ref="E184:F185"/>
    <mergeCell ref="A161:G161"/>
    <mergeCell ref="A162:A163"/>
    <mergeCell ref="B162:B163"/>
    <mergeCell ref="C162:C163"/>
    <mergeCell ref="D162:D163"/>
    <mergeCell ref="F162:G163"/>
    <mergeCell ref="A140:B140"/>
    <mergeCell ref="A146:B146"/>
    <mergeCell ref="A150:F150"/>
    <mergeCell ref="A151:A152"/>
    <mergeCell ref="B151:B152"/>
    <mergeCell ref="C151:C152"/>
    <mergeCell ref="E151:F152"/>
    <mergeCell ref="A128:G128"/>
    <mergeCell ref="A129:A130"/>
    <mergeCell ref="B129:B130"/>
    <mergeCell ref="C129:C130"/>
    <mergeCell ref="D129:D130"/>
    <mergeCell ref="F129:G130"/>
    <mergeCell ref="A107:B107"/>
    <mergeCell ref="A113:B113"/>
    <mergeCell ref="A117:F117"/>
    <mergeCell ref="A118:A119"/>
    <mergeCell ref="B118:B119"/>
    <mergeCell ref="C118:C119"/>
    <mergeCell ref="E118:F119"/>
    <mergeCell ref="A95:G95"/>
    <mergeCell ref="A96:A97"/>
    <mergeCell ref="B96:B97"/>
    <mergeCell ref="C96:C97"/>
    <mergeCell ref="D96:D97"/>
    <mergeCell ref="F96:G97"/>
    <mergeCell ref="A74:B74"/>
    <mergeCell ref="A80:B80"/>
    <mergeCell ref="A84:F84"/>
    <mergeCell ref="A85:A86"/>
    <mergeCell ref="B85:B86"/>
    <mergeCell ref="C85:C86"/>
    <mergeCell ref="E85:F86"/>
    <mergeCell ref="A61:G61"/>
    <mergeCell ref="A62:A63"/>
    <mergeCell ref="B62:B63"/>
    <mergeCell ref="C62:C63"/>
    <mergeCell ref="D62:D63"/>
    <mergeCell ref="F62:G63"/>
    <mergeCell ref="A40:B40"/>
    <mergeCell ref="A46:B46"/>
    <mergeCell ref="A50:F50"/>
    <mergeCell ref="A51:A52"/>
    <mergeCell ref="B51:B52"/>
    <mergeCell ref="C51:C52"/>
    <mergeCell ref="E51:F52"/>
    <mergeCell ref="A26:G26"/>
    <mergeCell ref="A27:A28"/>
    <mergeCell ref="B27:B28"/>
    <mergeCell ref="C27:C28"/>
    <mergeCell ref="D27:D28"/>
    <mergeCell ref="F27:G28"/>
    <mergeCell ref="A5:B5"/>
    <mergeCell ref="A11:B11"/>
    <mergeCell ref="A15:F15"/>
    <mergeCell ref="A16:A17"/>
    <mergeCell ref="B16:B17"/>
    <mergeCell ref="C16:C17"/>
    <mergeCell ref="E16:F1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29</vt:i4>
      </vt:variant>
    </vt:vector>
  </HeadingPairs>
  <TitlesOfParts>
    <vt:vector size="29" baseType="lpstr">
      <vt:lpstr>Sheet1</vt:lpstr>
      <vt:lpstr>Sheet2</vt:lpstr>
      <vt:lpstr>Sheet2 (2)</vt:lpstr>
      <vt:lpstr>Sheet2 (3)</vt:lpstr>
      <vt:lpstr>Sheet2 (4)</vt:lpstr>
      <vt:lpstr>Sheet6</vt:lpstr>
      <vt:lpstr>Sheet7</vt:lpstr>
      <vt:lpstr>Sheet7 (2)</vt:lpstr>
      <vt:lpstr>Sheet7 (3)</vt:lpstr>
      <vt:lpstr>Sheet7 (4)</vt:lpstr>
      <vt:lpstr>Sheet11</vt:lpstr>
      <vt:lpstr>Sheet12</vt:lpstr>
      <vt:lpstr>Sheet12 (2)</vt:lpstr>
      <vt:lpstr>Sheet12 (3)</vt:lpstr>
      <vt:lpstr>Sheet12 (4)</vt:lpstr>
      <vt:lpstr>Sheet16</vt:lpstr>
      <vt:lpstr>Sheet17</vt:lpstr>
      <vt:lpstr>Sheet17 (2)</vt:lpstr>
      <vt:lpstr>Sheet17 (3)</vt:lpstr>
      <vt:lpstr>Sheet17 (4)</vt:lpstr>
      <vt:lpstr>Sheet21</vt:lpstr>
      <vt:lpstr>Sheet22</vt:lpstr>
      <vt:lpstr>Sheet22 (2)</vt:lpstr>
      <vt:lpstr>Sheet22 (3)</vt:lpstr>
      <vt:lpstr>Sheet22 (4)</vt:lpstr>
      <vt:lpstr>Sheet3</vt:lpstr>
      <vt:lpstr>Sheet3 (2)</vt:lpstr>
      <vt:lpstr>Sheet3 (3)</vt:lpstr>
      <vt:lpstr>Sheet3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2026-01-30T11:41:03Z</dcterms:modified>
</cp:coreProperties>
</file>