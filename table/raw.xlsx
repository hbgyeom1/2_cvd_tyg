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Documents\2_cvd_tyg\table\"/>
    </mc:Choice>
  </mc:AlternateContent>
  <xr:revisionPtr revIDLastSave="0" documentId="13_ncr:1_{52F7C91E-CAEE-44D8-8DE4-B7FC58FCE78C}" xr6:coauthVersionLast="47" xr6:coauthVersionMax="47" xr10:uidLastSave="{00000000-0000-0000-0000-000000000000}"/>
  <bookViews>
    <workbookView xWindow="-28920" yWindow="-120" windowWidth="29040" windowHeight="15720" firstSheet="6" activeTab="16" xr2:uid="{00000000-000D-0000-FFFF-FFFF00000000}"/>
  </bookViews>
  <sheets>
    <sheet name="Sheet1" sheetId="1" r:id="rId1"/>
    <sheet name="Sheet2" sheetId="2" r:id="rId2"/>
    <sheet name="Sheet2 (2)" sheetId="4" r:id="rId3"/>
    <sheet name="Sheet2 (3)" sheetId="5" r:id="rId4"/>
    <sheet name="Sheet2 (4)" sheetId="6" r:id="rId5"/>
    <sheet name="Sheet7" sheetId="7" r:id="rId6"/>
    <sheet name="Sheet8" sheetId="8" r:id="rId7"/>
    <sheet name="Sheet8 (2)" sheetId="9" r:id="rId8"/>
    <sheet name="Sheet8 (3)" sheetId="10" r:id="rId9"/>
    <sheet name="Sheet8 (4)" sheetId="11" r:id="rId10"/>
    <sheet name="Sheet12" sheetId="12" r:id="rId11"/>
    <sheet name="Sheet13" sheetId="13" r:id="rId12"/>
    <sheet name="Sheet13 (2)" sheetId="14" r:id="rId13"/>
    <sheet name="Sheet13 (3)" sheetId="15" r:id="rId14"/>
    <sheet name="Sheet13 (4)" sheetId="16" r:id="rId15"/>
    <sheet name="Sheet3" sheetId="17" r:id="rId16"/>
    <sheet name="Sheet4" sheetId="18" r:id="rId17"/>
  </sheets>
  <definedNames>
    <definedName name="_xlnm._FilterDatabase" localSheetId="0" hidden="1">Sheet1!$A$1:$A$91</definedName>
    <definedName name="_xlnm._FilterDatabase" localSheetId="10" hidden="1">Sheet12!$A$1:$A$129</definedName>
    <definedName name="_xlnm._FilterDatabase" localSheetId="11" hidden="1">Sheet13!$B$1:$B$361</definedName>
    <definedName name="_xlnm._FilterDatabase" localSheetId="12" hidden="1">'Sheet13 (2)'!$B$1:$B$361</definedName>
    <definedName name="_xlnm._FilterDatabase" localSheetId="13" hidden="1">'Sheet13 (3)'!$B$1:$B$361</definedName>
    <definedName name="_xlnm._FilterDatabase" localSheetId="14" hidden="1">'Sheet13 (4)'!$B$1:$B$361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8" l="1"/>
  <c r="M40" i="18" s="1"/>
  <c r="J40" i="18"/>
  <c r="K40" i="18"/>
  <c r="I41" i="18"/>
  <c r="J41" i="18"/>
  <c r="K41" i="18"/>
  <c r="M41" i="18"/>
  <c r="I42" i="18"/>
  <c r="J42" i="18"/>
  <c r="K42" i="18"/>
  <c r="M42" i="18"/>
  <c r="I43" i="18"/>
  <c r="J43" i="18"/>
  <c r="K43" i="18"/>
  <c r="M43" i="18"/>
  <c r="I44" i="18"/>
  <c r="M44" i="18" s="1"/>
  <c r="J44" i="18"/>
  <c r="K44" i="18"/>
  <c r="I45" i="18"/>
  <c r="J45" i="18"/>
  <c r="K45" i="18"/>
  <c r="M45" i="18"/>
  <c r="I46" i="18"/>
  <c r="J46" i="18"/>
  <c r="K46" i="18"/>
  <c r="M46" i="18"/>
  <c r="I47" i="18"/>
  <c r="J47" i="18"/>
  <c r="K47" i="18"/>
  <c r="M47" i="18"/>
  <c r="I48" i="18"/>
  <c r="M48" i="18" s="1"/>
  <c r="J48" i="18"/>
  <c r="K48" i="18"/>
  <c r="I49" i="18"/>
  <c r="J49" i="18"/>
  <c r="K49" i="18"/>
  <c r="M49" i="18"/>
  <c r="I50" i="18"/>
  <c r="J50" i="18"/>
  <c r="K50" i="18"/>
  <c r="M50" i="18"/>
  <c r="I51" i="18"/>
  <c r="J51" i="18"/>
  <c r="K51" i="18"/>
  <c r="M51" i="18"/>
  <c r="I52" i="18"/>
  <c r="M52" i="18" s="1"/>
  <c r="J52" i="18"/>
  <c r="K52" i="18"/>
  <c r="I53" i="18"/>
  <c r="J53" i="18"/>
  <c r="K53" i="18"/>
  <c r="M53" i="18"/>
  <c r="I54" i="18"/>
  <c r="J54" i="18"/>
  <c r="K54" i="18"/>
  <c r="M54" i="18"/>
  <c r="I55" i="18"/>
  <c r="J55" i="18"/>
  <c r="K55" i="18"/>
  <c r="M55" i="18"/>
  <c r="I56" i="18"/>
  <c r="M56" i="18" s="1"/>
  <c r="J56" i="18"/>
  <c r="K56" i="18"/>
  <c r="I57" i="18"/>
  <c r="J57" i="18"/>
  <c r="K57" i="18"/>
  <c r="M57" i="18"/>
  <c r="I58" i="18"/>
  <c r="J58" i="18"/>
  <c r="K58" i="18"/>
  <c r="M58" i="18"/>
  <c r="I59" i="18"/>
  <c r="J59" i="18"/>
  <c r="K59" i="18"/>
  <c r="M59" i="18"/>
  <c r="I60" i="18"/>
  <c r="M60" i="18" s="1"/>
  <c r="J60" i="18"/>
  <c r="K60" i="18"/>
  <c r="I61" i="18"/>
  <c r="J61" i="18"/>
  <c r="K61" i="18"/>
  <c r="M61" i="18"/>
  <c r="I62" i="18"/>
  <c r="J62" i="18"/>
  <c r="K62" i="18"/>
  <c r="M62" i="18"/>
  <c r="I63" i="18"/>
  <c r="J63" i="18"/>
  <c r="K63" i="18"/>
  <c r="M63" i="18"/>
  <c r="I64" i="18"/>
  <c r="M64" i="18" s="1"/>
  <c r="J64" i="18"/>
  <c r="K64" i="18"/>
  <c r="I65" i="18"/>
  <c r="J65" i="18"/>
  <c r="K65" i="18"/>
  <c r="M65" i="18"/>
  <c r="I66" i="18"/>
  <c r="J66" i="18"/>
  <c r="K66" i="18"/>
  <c r="M66" i="18"/>
  <c r="I67" i="18"/>
  <c r="J67" i="18"/>
  <c r="K67" i="18"/>
  <c r="M67" i="18"/>
  <c r="I68" i="18"/>
  <c r="M68" i="18" s="1"/>
  <c r="J68" i="18"/>
  <c r="K68" i="18"/>
  <c r="I69" i="18"/>
  <c r="J69" i="18"/>
  <c r="K69" i="18"/>
  <c r="M69" i="18"/>
  <c r="I70" i="18"/>
  <c r="J70" i="18"/>
  <c r="K70" i="18"/>
  <c r="M70" i="18"/>
  <c r="I71" i="18"/>
  <c r="J71" i="18"/>
  <c r="K71" i="18"/>
  <c r="M71" i="18"/>
  <c r="I72" i="18"/>
  <c r="M72" i="18" s="1"/>
  <c r="J72" i="18"/>
  <c r="K72" i="18"/>
  <c r="I73" i="18"/>
  <c r="J73" i="18"/>
  <c r="K73" i="18"/>
  <c r="M73" i="18"/>
  <c r="I74" i="18"/>
  <c r="J74" i="18"/>
  <c r="K74" i="18"/>
  <c r="M74" i="18"/>
  <c r="I75" i="18"/>
  <c r="J75" i="18"/>
  <c r="K75" i="18"/>
  <c r="M75" i="18"/>
  <c r="I76" i="18"/>
  <c r="M76" i="18" s="1"/>
  <c r="J76" i="18"/>
  <c r="K76" i="18"/>
  <c r="I77" i="18"/>
  <c r="J77" i="18"/>
  <c r="K77" i="18"/>
  <c r="M77" i="18"/>
  <c r="I78" i="18"/>
  <c r="J78" i="18"/>
  <c r="K78" i="18"/>
  <c r="M78" i="18"/>
  <c r="I79" i="18"/>
  <c r="J79" i="18"/>
  <c r="K79" i="18"/>
  <c r="M79" i="18"/>
  <c r="I80" i="18"/>
  <c r="M80" i="18" s="1"/>
  <c r="J80" i="18"/>
  <c r="K80" i="18"/>
  <c r="I81" i="18"/>
  <c r="J81" i="18"/>
  <c r="K81" i="18"/>
  <c r="M81" i="18"/>
  <c r="I82" i="18"/>
  <c r="J82" i="18"/>
  <c r="K82" i="18"/>
  <c r="M82" i="18"/>
  <c r="I83" i="18"/>
  <c r="J83" i="18"/>
  <c r="K83" i="18"/>
  <c r="M83" i="18"/>
  <c r="I84" i="18"/>
  <c r="M84" i="18" s="1"/>
  <c r="J84" i="18"/>
  <c r="K84" i="18"/>
  <c r="I85" i="18"/>
  <c r="J85" i="18"/>
  <c r="K85" i="18"/>
  <c r="M85" i="18"/>
  <c r="I86" i="18"/>
  <c r="J86" i="18"/>
  <c r="K86" i="18"/>
  <c r="M86" i="18"/>
  <c r="I87" i="18"/>
  <c r="J87" i="18"/>
  <c r="K87" i="18"/>
  <c r="M87" i="18"/>
  <c r="I88" i="18"/>
  <c r="M88" i="18" s="1"/>
  <c r="J88" i="18"/>
  <c r="K88" i="18"/>
  <c r="I89" i="18"/>
  <c r="J89" i="18"/>
  <c r="K89" i="18"/>
  <c r="M89" i="18"/>
  <c r="I90" i="18"/>
  <c r="J90" i="18"/>
  <c r="K90" i="18"/>
  <c r="M90" i="18"/>
  <c r="I91" i="18"/>
  <c r="J91" i="18"/>
  <c r="K91" i="18"/>
  <c r="M91" i="18"/>
  <c r="I92" i="18"/>
  <c r="M92" i="18" s="1"/>
  <c r="J92" i="18"/>
  <c r="K92" i="18"/>
  <c r="I93" i="18"/>
  <c r="J93" i="18"/>
  <c r="K93" i="18"/>
  <c r="M93" i="18"/>
  <c r="I94" i="18"/>
  <c r="J94" i="18"/>
  <c r="K94" i="18"/>
  <c r="M94" i="18"/>
  <c r="I95" i="18"/>
  <c r="J95" i="18"/>
  <c r="K95" i="18"/>
  <c r="M95" i="18"/>
  <c r="I96" i="18"/>
  <c r="M96" i="18" s="1"/>
  <c r="J96" i="18"/>
  <c r="K96" i="18"/>
  <c r="I97" i="18"/>
  <c r="J97" i="18"/>
  <c r="K97" i="18"/>
  <c r="M97" i="18"/>
  <c r="I98" i="18"/>
  <c r="J98" i="18"/>
  <c r="K98" i="18"/>
  <c r="M98" i="18"/>
  <c r="I99" i="18"/>
  <c r="J99" i="18"/>
  <c r="K99" i="18"/>
  <c r="M99" i="18"/>
  <c r="I100" i="18"/>
  <c r="M100" i="18" s="1"/>
  <c r="J100" i="18"/>
  <c r="K100" i="18"/>
  <c r="I101" i="18"/>
  <c r="J101" i="18"/>
  <c r="K101" i="18"/>
  <c r="M101" i="18"/>
  <c r="I102" i="18"/>
  <c r="J102" i="18"/>
  <c r="K102" i="18"/>
  <c r="M102" i="18"/>
  <c r="I103" i="18"/>
  <c r="J103" i="18"/>
  <c r="K103" i="18"/>
  <c r="M103" i="18"/>
  <c r="I104" i="18"/>
  <c r="M104" i="18" s="1"/>
  <c r="J104" i="18"/>
  <c r="K104" i="18"/>
  <c r="I105" i="18"/>
  <c r="J105" i="18"/>
  <c r="K105" i="18"/>
  <c r="M105" i="18"/>
  <c r="I106" i="18"/>
  <c r="J106" i="18"/>
  <c r="K106" i="18"/>
  <c r="M106" i="18"/>
  <c r="I107" i="18"/>
  <c r="J107" i="18"/>
  <c r="K107" i="18"/>
  <c r="M107" i="18"/>
  <c r="I108" i="18"/>
  <c r="M108" i="18" s="1"/>
  <c r="J108" i="18"/>
  <c r="K108" i="18"/>
  <c r="I109" i="18"/>
  <c r="J109" i="18"/>
  <c r="K109" i="18"/>
  <c r="M109" i="18"/>
  <c r="I110" i="18"/>
  <c r="J110" i="18"/>
  <c r="K110" i="18"/>
  <c r="M110" i="18"/>
  <c r="I111" i="18"/>
  <c r="J111" i="18"/>
  <c r="K111" i="18"/>
  <c r="M111" i="18"/>
  <c r="I112" i="18"/>
  <c r="M112" i="18" s="1"/>
  <c r="J112" i="18"/>
  <c r="K112" i="18"/>
  <c r="I113" i="18"/>
  <c r="J113" i="18"/>
  <c r="K113" i="18"/>
  <c r="M113" i="18"/>
  <c r="I114" i="18"/>
  <c r="J114" i="18"/>
  <c r="K114" i="18"/>
  <c r="M114" i="18"/>
  <c r="K39" i="18"/>
  <c r="J39" i="18"/>
  <c r="I39" i="18"/>
  <c r="M39" i="18"/>
  <c r="H13" i="17"/>
  <c r="I13" i="17"/>
  <c r="J13" i="17"/>
  <c r="L13" i="17"/>
  <c r="H14" i="17"/>
  <c r="I14" i="17"/>
  <c r="J14" i="17"/>
  <c r="L14" i="17"/>
  <c r="H15" i="17"/>
  <c r="I15" i="17"/>
  <c r="J15" i="17"/>
  <c r="L15" i="17"/>
  <c r="H16" i="17"/>
  <c r="I16" i="17"/>
  <c r="J16" i="17"/>
  <c r="L16" i="17"/>
  <c r="H17" i="17"/>
  <c r="I17" i="17"/>
  <c r="J17" i="17"/>
  <c r="L17" i="17"/>
  <c r="H18" i="17"/>
  <c r="I18" i="17"/>
  <c r="J18" i="17"/>
  <c r="L18" i="17"/>
  <c r="H19" i="17"/>
  <c r="I19" i="17"/>
  <c r="J19" i="17"/>
  <c r="L19" i="17"/>
  <c r="H20" i="17"/>
  <c r="I20" i="17"/>
  <c r="J20" i="17"/>
  <c r="L20" i="17"/>
  <c r="H21" i="17"/>
  <c r="I21" i="17"/>
  <c r="J21" i="17"/>
  <c r="L21" i="17"/>
  <c r="H22" i="17"/>
  <c r="I22" i="17"/>
  <c r="J22" i="17"/>
  <c r="L22" i="17"/>
  <c r="H23" i="17"/>
  <c r="I23" i="17"/>
  <c r="J23" i="17"/>
  <c r="L23" i="17"/>
  <c r="H24" i="17"/>
  <c r="I24" i="17"/>
  <c r="J24" i="17"/>
  <c r="L24" i="17"/>
  <c r="H25" i="17"/>
  <c r="I25" i="17"/>
  <c r="J25" i="17"/>
  <c r="L25" i="17"/>
  <c r="H26" i="17"/>
  <c r="I26" i="17"/>
  <c r="J26" i="17"/>
  <c r="L26" i="17"/>
  <c r="H27" i="17"/>
  <c r="I27" i="17"/>
  <c r="J27" i="17"/>
  <c r="L27" i="17"/>
  <c r="H28" i="17"/>
  <c r="I28" i="17"/>
  <c r="J28" i="17"/>
  <c r="L28" i="17"/>
  <c r="H29" i="17"/>
  <c r="I29" i="17"/>
  <c r="J29" i="17"/>
  <c r="L29" i="17"/>
  <c r="H30" i="17"/>
  <c r="I30" i="17"/>
  <c r="J30" i="17"/>
  <c r="L30" i="17"/>
  <c r="L12" i="17"/>
  <c r="J12" i="17"/>
  <c r="I12" i="17"/>
  <c r="H12" i="17"/>
  <c r="Q360" i="16"/>
  <c r="P360" i="16"/>
  <c r="O360" i="16"/>
  <c r="S360" i="16" s="1"/>
  <c r="Q359" i="16"/>
  <c r="P359" i="16"/>
  <c r="O359" i="16"/>
  <c r="S359" i="16" s="1"/>
  <c r="Q357" i="16"/>
  <c r="P357" i="16"/>
  <c r="O357" i="16"/>
  <c r="Q356" i="16"/>
  <c r="P356" i="16"/>
  <c r="O356" i="16"/>
  <c r="S356" i="16" s="1"/>
  <c r="Q354" i="16"/>
  <c r="P354" i="16"/>
  <c r="S354" i="16" s="1"/>
  <c r="O354" i="16"/>
  <c r="Q353" i="16"/>
  <c r="P353" i="16"/>
  <c r="O353" i="16"/>
  <c r="S353" i="16" s="1"/>
  <c r="Q351" i="16"/>
  <c r="P351" i="16"/>
  <c r="O351" i="16"/>
  <c r="Q350" i="16"/>
  <c r="P350" i="16"/>
  <c r="O350" i="16"/>
  <c r="S350" i="16" s="1"/>
  <c r="Q348" i="16"/>
  <c r="P348" i="16"/>
  <c r="O348" i="16"/>
  <c r="S348" i="16" s="1"/>
  <c r="Q347" i="16"/>
  <c r="P347" i="16"/>
  <c r="O347" i="16"/>
  <c r="Q341" i="16"/>
  <c r="P341" i="16"/>
  <c r="O341" i="16"/>
  <c r="Q340" i="16"/>
  <c r="P340" i="16"/>
  <c r="O340" i="16"/>
  <c r="S340" i="16" s="1"/>
  <c r="Q338" i="16"/>
  <c r="P338" i="16"/>
  <c r="O338" i="16"/>
  <c r="S338" i="16" s="1"/>
  <c r="Q337" i="16"/>
  <c r="P337" i="16"/>
  <c r="O337" i="16"/>
  <c r="S337" i="16" s="1"/>
  <c r="Q335" i="16"/>
  <c r="P335" i="16"/>
  <c r="S335" i="16" s="1"/>
  <c r="O335" i="16"/>
  <c r="Q334" i="16"/>
  <c r="P334" i="16"/>
  <c r="O334" i="16"/>
  <c r="S334" i="16" s="1"/>
  <c r="Q332" i="16"/>
  <c r="P332" i="16"/>
  <c r="O332" i="16"/>
  <c r="S332" i="16" s="1"/>
  <c r="Q331" i="16"/>
  <c r="P331" i="16"/>
  <c r="O331" i="16"/>
  <c r="S331" i="16" s="1"/>
  <c r="Q329" i="16"/>
  <c r="P329" i="16"/>
  <c r="O329" i="16"/>
  <c r="Q328" i="16"/>
  <c r="P328" i="16"/>
  <c r="O328" i="16"/>
  <c r="Q322" i="16"/>
  <c r="P322" i="16"/>
  <c r="O322" i="16"/>
  <c r="S322" i="16" s="1"/>
  <c r="Q321" i="16"/>
  <c r="P321" i="16"/>
  <c r="O321" i="16"/>
  <c r="S321" i="16" s="1"/>
  <c r="Q319" i="16"/>
  <c r="P319" i="16"/>
  <c r="O319" i="16"/>
  <c r="Q318" i="16"/>
  <c r="P318" i="16"/>
  <c r="O318" i="16"/>
  <c r="S318" i="16" s="1"/>
  <c r="Q316" i="16"/>
  <c r="S316" i="16" s="1"/>
  <c r="P316" i="16"/>
  <c r="O316" i="16"/>
  <c r="Q315" i="16"/>
  <c r="P315" i="16"/>
  <c r="O315" i="16"/>
  <c r="S315" i="16" s="1"/>
  <c r="Q313" i="16"/>
  <c r="P313" i="16"/>
  <c r="O313" i="16"/>
  <c r="Q312" i="16"/>
  <c r="P312" i="16"/>
  <c r="O312" i="16"/>
  <c r="S312" i="16" s="1"/>
  <c r="Q310" i="16"/>
  <c r="P310" i="16"/>
  <c r="O310" i="16"/>
  <c r="S310" i="16" s="1"/>
  <c r="Q309" i="16"/>
  <c r="P309" i="16"/>
  <c r="O309" i="16"/>
  <c r="Q303" i="16"/>
  <c r="P303" i="16"/>
  <c r="O303" i="16"/>
  <c r="Q302" i="16"/>
  <c r="P302" i="16"/>
  <c r="O302" i="16"/>
  <c r="S302" i="16" s="1"/>
  <c r="Q300" i="16"/>
  <c r="P300" i="16"/>
  <c r="O300" i="16"/>
  <c r="S300" i="16" s="1"/>
  <c r="Q299" i="16"/>
  <c r="P299" i="16"/>
  <c r="O299" i="16"/>
  <c r="S299" i="16" s="1"/>
  <c r="Q297" i="16"/>
  <c r="P297" i="16"/>
  <c r="O297" i="16"/>
  <c r="Q296" i="16"/>
  <c r="P296" i="16"/>
  <c r="O296" i="16"/>
  <c r="S296" i="16" s="1"/>
  <c r="Q294" i="16"/>
  <c r="P294" i="16"/>
  <c r="O294" i="16"/>
  <c r="S294" i="16" s="1"/>
  <c r="Q293" i="16"/>
  <c r="P293" i="16"/>
  <c r="O293" i="16"/>
  <c r="S293" i="16" s="1"/>
  <c r="Q291" i="16"/>
  <c r="P291" i="16"/>
  <c r="O291" i="16"/>
  <c r="Q290" i="16"/>
  <c r="P290" i="16"/>
  <c r="O290" i="16"/>
  <c r="Q284" i="16"/>
  <c r="P284" i="16"/>
  <c r="O284" i="16"/>
  <c r="S284" i="16" s="1"/>
  <c r="Q283" i="16"/>
  <c r="P283" i="16"/>
  <c r="O283" i="16"/>
  <c r="S283" i="16" s="1"/>
  <c r="Q281" i="16"/>
  <c r="P281" i="16"/>
  <c r="O281" i="16"/>
  <c r="Q280" i="16"/>
  <c r="P280" i="16"/>
  <c r="O280" i="16"/>
  <c r="S280" i="16" s="1"/>
  <c r="S278" i="16"/>
  <c r="Q278" i="16"/>
  <c r="P278" i="16"/>
  <c r="O278" i="16"/>
  <c r="Q277" i="16"/>
  <c r="P277" i="16"/>
  <c r="O277" i="16"/>
  <c r="S277" i="16" s="1"/>
  <c r="Q275" i="16"/>
  <c r="P275" i="16"/>
  <c r="O275" i="16"/>
  <c r="Q274" i="16"/>
  <c r="P274" i="16"/>
  <c r="O274" i="16"/>
  <c r="S274" i="16" s="1"/>
  <c r="Q272" i="16"/>
  <c r="P272" i="16"/>
  <c r="O272" i="16"/>
  <c r="S272" i="16" s="1"/>
  <c r="Q271" i="16"/>
  <c r="P271" i="16"/>
  <c r="O271" i="16"/>
  <c r="S271" i="16" s="1"/>
  <c r="Q265" i="16"/>
  <c r="P265" i="16"/>
  <c r="O265" i="16"/>
  <c r="Q264" i="16"/>
  <c r="P264" i="16"/>
  <c r="O264" i="16"/>
  <c r="S264" i="16" s="1"/>
  <c r="Q262" i="16"/>
  <c r="P262" i="16"/>
  <c r="O262" i="16"/>
  <c r="S262" i="16" s="1"/>
  <c r="Q261" i="16"/>
  <c r="P261" i="16"/>
  <c r="O261" i="16"/>
  <c r="S261" i="16" s="1"/>
  <c r="Q259" i="16"/>
  <c r="P259" i="16"/>
  <c r="O259" i="16"/>
  <c r="Q258" i="16"/>
  <c r="P258" i="16"/>
  <c r="O258" i="16"/>
  <c r="S258" i="16" s="1"/>
  <c r="Q256" i="16"/>
  <c r="P256" i="16"/>
  <c r="O256" i="16"/>
  <c r="S256" i="16" s="1"/>
  <c r="Q255" i="16"/>
  <c r="P255" i="16"/>
  <c r="O255" i="16"/>
  <c r="S255" i="16" s="1"/>
  <c r="Q253" i="16"/>
  <c r="P253" i="16"/>
  <c r="O253" i="16"/>
  <c r="Q252" i="16"/>
  <c r="P252" i="16"/>
  <c r="O252" i="16"/>
  <c r="S252" i="16" s="1"/>
  <c r="Q246" i="16"/>
  <c r="P246" i="16"/>
  <c r="O246" i="16"/>
  <c r="S246" i="16" s="1"/>
  <c r="Q245" i="16"/>
  <c r="P245" i="16"/>
  <c r="O245" i="16"/>
  <c r="S245" i="16" s="1"/>
  <c r="Q244" i="16"/>
  <c r="P244" i="16"/>
  <c r="O244" i="16"/>
  <c r="Q242" i="16"/>
  <c r="P242" i="16"/>
  <c r="O242" i="16"/>
  <c r="S242" i="16" s="1"/>
  <c r="Q241" i="16"/>
  <c r="P241" i="16"/>
  <c r="O241" i="16"/>
  <c r="S241" i="16" s="1"/>
  <c r="Q240" i="16"/>
  <c r="P240" i="16"/>
  <c r="O240" i="16"/>
  <c r="S240" i="16" s="1"/>
  <c r="Q238" i="16"/>
  <c r="P238" i="16"/>
  <c r="O238" i="16"/>
  <c r="Q237" i="16"/>
  <c r="P237" i="16"/>
  <c r="O237" i="16"/>
  <c r="S237" i="16" s="1"/>
  <c r="Q236" i="16"/>
  <c r="P236" i="16"/>
  <c r="S236" i="16" s="1"/>
  <c r="O236" i="16"/>
  <c r="Q234" i="16"/>
  <c r="P234" i="16"/>
  <c r="O234" i="16"/>
  <c r="S234" i="16" s="1"/>
  <c r="Q233" i="16"/>
  <c r="P233" i="16"/>
  <c r="O233" i="16"/>
  <c r="Q232" i="16"/>
  <c r="P232" i="16"/>
  <c r="O232" i="16"/>
  <c r="S232" i="16" s="1"/>
  <c r="Q230" i="16"/>
  <c r="P230" i="16"/>
  <c r="O230" i="16"/>
  <c r="S230" i="16" s="1"/>
  <c r="Q229" i="16"/>
  <c r="P229" i="16"/>
  <c r="O229" i="16"/>
  <c r="Q228" i="16"/>
  <c r="P228" i="16"/>
  <c r="O228" i="16"/>
  <c r="Q222" i="16"/>
  <c r="P222" i="16"/>
  <c r="O222" i="16"/>
  <c r="S222" i="16" s="1"/>
  <c r="Q221" i="16"/>
  <c r="P221" i="16"/>
  <c r="O221" i="16"/>
  <c r="S221" i="16" s="1"/>
  <c r="Q220" i="16"/>
  <c r="P220" i="16"/>
  <c r="O220" i="16"/>
  <c r="S220" i="16" s="1"/>
  <c r="Q218" i="16"/>
  <c r="P218" i="16"/>
  <c r="S218" i="16" s="1"/>
  <c r="O218" i="16"/>
  <c r="Q217" i="16"/>
  <c r="P217" i="16"/>
  <c r="O217" i="16"/>
  <c r="S217" i="16" s="1"/>
  <c r="Q216" i="16"/>
  <c r="P216" i="16"/>
  <c r="O216" i="16"/>
  <c r="S216" i="16" s="1"/>
  <c r="Q214" i="16"/>
  <c r="P214" i="16"/>
  <c r="O214" i="16"/>
  <c r="S214" i="16" s="1"/>
  <c r="Q213" i="16"/>
  <c r="P213" i="16"/>
  <c r="O213" i="16"/>
  <c r="Q212" i="16"/>
  <c r="P212" i="16"/>
  <c r="O212" i="16"/>
  <c r="Q210" i="16"/>
  <c r="P210" i="16"/>
  <c r="O210" i="16"/>
  <c r="S210" i="16" s="1"/>
  <c r="Q209" i="16"/>
  <c r="P209" i="16"/>
  <c r="O209" i="16"/>
  <c r="S209" i="16" s="1"/>
  <c r="Q208" i="16"/>
  <c r="P208" i="16"/>
  <c r="O208" i="16"/>
  <c r="Q206" i="16"/>
  <c r="P206" i="16"/>
  <c r="O206" i="16"/>
  <c r="S206" i="16" s="1"/>
  <c r="Q205" i="16"/>
  <c r="S205" i="16" s="1"/>
  <c r="P205" i="16"/>
  <c r="O205" i="16"/>
  <c r="Q204" i="16"/>
  <c r="P204" i="16"/>
  <c r="O204" i="16"/>
  <c r="S204" i="16" s="1"/>
  <c r="Q198" i="16"/>
  <c r="P198" i="16"/>
  <c r="O198" i="16"/>
  <c r="Q197" i="16"/>
  <c r="P197" i="16"/>
  <c r="O197" i="16"/>
  <c r="S197" i="16" s="1"/>
  <c r="Q196" i="16"/>
  <c r="P196" i="16"/>
  <c r="O196" i="16"/>
  <c r="S196" i="16" s="1"/>
  <c r="Q194" i="16"/>
  <c r="P194" i="16"/>
  <c r="O194" i="16"/>
  <c r="Q193" i="16"/>
  <c r="P193" i="16"/>
  <c r="O193" i="16"/>
  <c r="Q192" i="16"/>
  <c r="P192" i="16"/>
  <c r="O192" i="16"/>
  <c r="S192" i="16" s="1"/>
  <c r="Q190" i="16"/>
  <c r="P190" i="16"/>
  <c r="O190" i="16"/>
  <c r="S190" i="16" s="1"/>
  <c r="Q189" i="16"/>
  <c r="P189" i="16"/>
  <c r="O189" i="16"/>
  <c r="S189" i="16" s="1"/>
  <c r="Q188" i="16"/>
  <c r="P188" i="16"/>
  <c r="O188" i="16"/>
  <c r="Q186" i="16"/>
  <c r="P186" i="16"/>
  <c r="O186" i="16"/>
  <c r="S186" i="16" s="1"/>
  <c r="Q185" i="16"/>
  <c r="P185" i="16"/>
  <c r="O185" i="16"/>
  <c r="S185" i="16" s="1"/>
  <c r="Q184" i="16"/>
  <c r="P184" i="16"/>
  <c r="O184" i="16"/>
  <c r="S184" i="16" s="1"/>
  <c r="Q182" i="16"/>
  <c r="P182" i="16"/>
  <c r="O182" i="16"/>
  <c r="Q181" i="16"/>
  <c r="P181" i="16"/>
  <c r="O181" i="16"/>
  <c r="Q180" i="16"/>
  <c r="P180" i="16"/>
  <c r="O180" i="16"/>
  <c r="S180" i="16" s="1"/>
  <c r="Q174" i="16"/>
  <c r="P174" i="16"/>
  <c r="O174" i="16"/>
  <c r="S174" i="16" s="1"/>
  <c r="Q173" i="16"/>
  <c r="P173" i="16"/>
  <c r="O173" i="16"/>
  <c r="Q171" i="16"/>
  <c r="P171" i="16"/>
  <c r="O171" i="16"/>
  <c r="S171" i="16" s="1"/>
  <c r="S170" i="16"/>
  <c r="Q170" i="16"/>
  <c r="P170" i="16"/>
  <c r="O170" i="16"/>
  <c r="Q168" i="16"/>
  <c r="P168" i="16"/>
  <c r="O168" i="16"/>
  <c r="S168" i="16" s="1"/>
  <c r="Q167" i="16"/>
  <c r="P167" i="16"/>
  <c r="O167" i="16"/>
  <c r="Q165" i="16"/>
  <c r="P165" i="16"/>
  <c r="O165" i="16"/>
  <c r="S165" i="16" s="1"/>
  <c r="Q164" i="16"/>
  <c r="P164" i="16"/>
  <c r="O164" i="16"/>
  <c r="S164" i="16" s="1"/>
  <c r="Q162" i="16"/>
  <c r="P162" i="16"/>
  <c r="O162" i="16"/>
  <c r="S162" i="16" s="1"/>
  <c r="Q161" i="16"/>
  <c r="P161" i="16"/>
  <c r="O161" i="16"/>
  <c r="Q155" i="16"/>
  <c r="P155" i="16"/>
  <c r="O155" i="16"/>
  <c r="S155" i="16" s="1"/>
  <c r="Q154" i="16"/>
  <c r="P154" i="16"/>
  <c r="O154" i="16"/>
  <c r="S154" i="16" s="1"/>
  <c r="Q153" i="16"/>
  <c r="P153" i="16"/>
  <c r="O153" i="16"/>
  <c r="S153" i="16" s="1"/>
  <c r="Q152" i="16"/>
  <c r="P152" i="16"/>
  <c r="O152" i="16"/>
  <c r="Q150" i="16"/>
  <c r="P150" i="16"/>
  <c r="O150" i="16"/>
  <c r="S150" i="16" s="1"/>
  <c r="Q149" i="16"/>
  <c r="P149" i="16"/>
  <c r="O149" i="16"/>
  <c r="S149" i="16" s="1"/>
  <c r="Q148" i="16"/>
  <c r="P148" i="16"/>
  <c r="O148" i="16"/>
  <c r="S148" i="16" s="1"/>
  <c r="Q147" i="16"/>
  <c r="P147" i="16"/>
  <c r="O147" i="16"/>
  <c r="Q145" i="16"/>
  <c r="P145" i="16"/>
  <c r="O145" i="16"/>
  <c r="S145" i="16" s="1"/>
  <c r="Q144" i="16"/>
  <c r="P144" i="16"/>
  <c r="O144" i="16"/>
  <c r="S144" i="16" s="1"/>
  <c r="Q143" i="16"/>
  <c r="P143" i="16"/>
  <c r="O143" i="16"/>
  <c r="S143" i="16" s="1"/>
  <c r="Q142" i="16"/>
  <c r="P142" i="16"/>
  <c r="O142" i="16"/>
  <c r="Q140" i="16"/>
  <c r="P140" i="16"/>
  <c r="O140" i="16"/>
  <c r="S140" i="16" s="1"/>
  <c r="Q139" i="16"/>
  <c r="P139" i="16"/>
  <c r="O139" i="16"/>
  <c r="S139" i="16" s="1"/>
  <c r="Q138" i="16"/>
  <c r="P138" i="16"/>
  <c r="O138" i="16"/>
  <c r="S138" i="16" s="1"/>
  <c r="Q137" i="16"/>
  <c r="P137" i="16"/>
  <c r="O137" i="16"/>
  <c r="Q135" i="16"/>
  <c r="P135" i="16"/>
  <c r="O135" i="16"/>
  <c r="S135" i="16" s="1"/>
  <c r="Q134" i="16"/>
  <c r="P134" i="16"/>
  <c r="S134" i="16" s="1"/>
  <c r="O134" i="16"/>
  <c r="Q133" i="16"/>
  <c r="P133" i="16"/>
  <c r="O133" i="16"/>
  <c r="S133" i="16" s="1"/>
  <c r="Q132" i="16"/>
  <c r="P132" i="16"/>
  <c r="O132" i="16"/>
  <c r="Q126" i="16"/>
  <c r="P126" i="16"/>
  <c r="O126" i="16"/>
  <c r="S126" i="16" s="1"/>
  <c r="Q125" i="16"/>
  <c r="P125" i="16"/>
  <c r="O125" i="16"/>
  <c r="S125" i="16" s="1"/>
  <c r="Q124" i="16"/>
  <c r="P124" i="16"/>
  <c r="O124" i="16"/>
  <c r="Q123" i="16"/>
  <c r="P123" i="16"/>
  <c r="O123" i="16"/>
  <c r="Q121" i="16"/>
  <c r="P121" i="16"/>
  <c r="O121" i="16"/>
  <c r="S121" i="16" s="1"/>
  <c r="Q120" i="16"/>
  <c r="P120" i="16"/>
  <c r="O120" i="16"/>
  <c r="S120" i="16" s="1"/>
  <c r="Q119" i="16"/>
  <c r="P119" i="16"/>
  <c r="O119" i="16"/>
  <c r="S119" i="16" s="1"/>
  <c r="Q118" i="16"/>
  <c r="P118" i="16"/>
  <c r="S118" i="16" s="1"/>
  <c r="O118" i="16"/>
  <c r="Q116" i="16"/>
  <c r="P116" i="16"/>
  <c r="O116" i="16"/>
  <c r="S116" i="16" s="1"/>
  <c r="Q115" i="16"/>
  <c r="P115" i="16"/>
  <c r="O115" i="16"/>
  <c r="S115" i="16" s="1"/>
  <c r="Q114" i="16"/>
  <c r="P114" i="16"/>
  <c r="O114" i="16"/>
  <c r="S114" i="16" s="1"/>
  <c r="Q113" i="16"/>
  <c r="P113" i="16"/>
  <c r="O113" i="16"/>
  <c r="Q111" i="16"/>
  <c r="P111" i="16"/>
  <c r="O111" i="16"/>
  <c r="Q110" i="16"/>
  <c r="P110" i="16"/>
  <c r="O110" i="16"/>
  <c r="S110" i="16" s="1"/>
  <c r="Q109" i="16"/>
  <c r="P109" i="16"/>
  <c r="O109" i="16"/>
  <c r="S109" i="16" s="1"/>
  <c r="Q108" i="16"/>
  <c r="P108" i="16"/>
  <c r="O108" i="16"/>
  <c r="Q106" i="16"/>
  <c r="P106" i="16"/>
  <c r="O106" i="16"/>
  <c r="S106" i="16" s="1"/>
  <c r="Q105" i="16"/>
  <c r="S105" i="16" s="1"/>
  <c r="P105" i="16"/>
  <c r="O105" i="16"/>
  <c r="Q104" i="16"/>
  <c r="P104" i="16"/>
  <c r="O104" i="16"/>
  <c r="S104" i="16" s="1"/>
  <c r="Q103" i="16"/>
  <c r="P103" i="16"/>
  <c r="O103" i="16"/>
  <c r="Q97" i="16"/>
  <c r="P97" i="16"/>
  <c r="O97" i="16"/>
  <c r="S97" i="16" s="1"/>
  <c r="Q96" i="16"/>
  <c r="P96" i="16"/>
  <c r="O96" i="16"/>
  <c r="S96" i="16" s="1"/>
  <c r="Q95" i="16"/>
  <c r="P95" i="16"/>
  <c r="O95" i="16"/>
  <c r="Q94" i="16"/>
  <c r="P94" i="16"/>
  <c r="O94" i="16"/>
  <c r="Q92" i="16"/>
  <c r="P92" i="16"/>
  <c r="O92" i="16"/>
  <c r="S92" i="16" s="1"/>
  <c r="Q91" i="16"/>
  <c r="P91" i="16"/>
  <c r="O91" i="16"/>
  <c r="S91" i="16" s="1"/>
  <c r="Q90" i="16"/>
  <c r="P90" i="16"/>
  <c r="O90" i="16"/>
  <c r="S90" i="16" s="1"/>
  <c r="Q89" i="16"/>
  <c r="P89" i="16"/>
  <c r="O89" i="16"/>
  <c r="Q87" i="16"/>
  <c r="P87" i="16"/>
  <c r="O87" i="16"/>
  <c r="S87" i="16" s="1"/>
  <c r="Q86" i="16"/>
  <c r="P86" i="16"/>
  <c r="O86" i="16"/>
  <c r="S86" i="16" s="1"/>
  <c r="Q85" i="16"/>
  <c r="P85" i="16"/>
  <c r="O85" i="16"/>
  <c r="S85" i="16" s="1"/>
  <c r="Q84" i="16"/>
  <c r="P84" i="16"/>
  <c r="O84" i="16"/>
  <c r="Q82" i="16"/>
  <c r="P82" i="16"/>
  <c r="O82" i="16"/>
  <c r="Q81" i="16"/>
  <c r="P81" i="16"/>
  <c r="O81" i="16"/>
  <c r="S81" i="16" s="1"/>
  <c r="Q80" i="16"/>
  <c r="P80" i="16"/>
  <c r="O80" i="16"/>
  <c r="S80" i="16" s="1"/>
  <c r="Q79" i="16"/>
  <c r="P79" i="16"/>
  <c r="O79" i="16"/>
  <c r="Q77" i="16"/>
  <c r="P77" i="16"/>
  <c r="O77" i="16"/>
  <c r="S77" i="16" s="1"/>
  <c r="S76" i="16"/>
  <c r="Q76" i="16"/>
  <c r="P76" i="16"/>
  <c r="O76" i="16"/>
  <c r="Q75" i="16"/>
  <c r="P75" i="16"/>
  <c r="O75" i="16"/>
  <c r="S75" i="16" s="1"/>
  <c r="Q74" i="16"/>
  <c r="P74" i="16"/>
  <c r="O74" i="16"/>
  <c r="Q68" i="16"/>
  <c r="P68" i="16"/>
  <c r="O68" i="16"/>
  <c r="S68" i="16" s="1"/>
  <c r="Q67" i="16"/>
  <c r="P67" i="16"/>
  <c r="O67" i="16"/>
  <c r="S67" i="16" s="1"/>
  <c r="Q65" i="16"/>
  <c r="P65" i="16"/>
  <c r="O65" i="16"/>
  <c r="S65" i="16" s="1"/>
  <c r="Q64" i="16"/>
  <c r="P64" i="16"/>
  <c r="O64" i="16"/>
  <c r="Q62" i="16"/>
  <c r="P62" i="16"/>
  <c r="O62" i="16"/>
  <c r="S62" i="16" s="1"/>
  <c r="Q61" i="16"/>
  <c r="P61" i="16"/>
  <c r="O61" i="16"/>
  <c r="S61" i="16" s="1"/>
  <c r="Q59" i="16"/>
  <c r="P59" i="16"/>
  <c r="O59" i="16"/>
  <c r="S59" i="16" s="1"/>
  <c r="Q58" i="16"/>
  <c r="P58" i="16"/>
  <c r="O58" i="16"/>
  <c r="Q56" i="16"/>
  <c r="P56" i="16"/>
  <c r="O56" i="16"/>
  <c r="S56" i="16" s="1"/>
  <c r="Q55" i="16"/>
  <c r="P55" i="16"/>
  <c r="O55" i="16"/>
  <c r="S55" i="16" s="1"/>
  <c r="Q49" i="16"/>
  <c r="P49" i="16"/>
  <c r="O49" i="16"/>
  <c r="S49" i="16" s="1"/>
  <c r="Q48" i="16"/>
  <c r="P48" i="16"/>
  <c r="O48" i="16"/>
  <c r="Q46" i="16"/>
  <c r="P46" i="16"/>
  <c r="O46" i="16"/>
  <c r="S46" i="16" s="1"/>
  <c r="Q45" i="16"/>
  <c r="P45" i="16"/>
  <c r="O45" i="16"/>
  <c r="S45" i="16" s="1"/>
  <c r="Q43" i="16"/>
  <c r="P43" i="16"/>
  <c r="O43" i="16"/>
  <c r="S43" i="16" s="1"/>
  <c r="Q42" i="16"/>
  <c r="P42" i="16"/>
  <c r="O42" i="16"/>
  <c r="Q40" i="16"/>
  <c r="P40" i="16"/>
  <c r="O40" i="16"/>
  <c r="S40" i="16" s="1"/>
  <c r="Q39" i="16"/>
  <c r="P39" i="16"/>
  <c r="O39" i="16"/>
  <c r="S39" i="16" s="1"/>
  <c r="Q37" i="16"/>
  <c r="P37" i="16"/>
  <c r="O37" i="16"/>
  <c r="S37" i="16" s="1"/>
  <c r="Q36" i="16"/>
  <c r="P36" i="16"/>
  <c r="O36" i="16"/>
  <c r="Q30" i="16"/>
  <c r="P30" i="16"/>
  <c r="O30" i="16"/>
  <c r="S30" i="16" s="1"/>
  <c r="Q29" i="16"/>
  <c r="P29" i="16"/>
  <c r="S29" i="16" s="1"/>
  <c r="O29" i="16"/>
  <c r="Q28" i="16"/>
  <c r="P28" i="16"/>
  <c r="O28" i="16"/>
  <c r="S28" i="16" s="1"/>
  <c r="Q26" i="16"/>
  <c r="P26" i="16"/>
  <c r="O26" i="16"/>
  <c r="Q25" i="16"/>
  <c r="P25" i="16"/>
  <c r="O25" i="16"/>
  <c r="S25" i="16" s="1"/>
  <c r="Q24" i="16"/>
  <c r="P24" i="16"/>
  <c r="O24" i="16"/>
  <c r="S24" i="16" s="1"/>
  <c r="Q22" i="16"/>
  <c r="P22" i="16"/>
  <c r="O22" i="16"/>
  <c r="Q21" i="16"/>
  <c r="P21" i="16"/>
  <c r="O21" i="16"/>
  <c r="Q20" i="16"/>
  <c r="P20" i="16"/>
  <c r="O20" i="16"/>
  <c r="S20" i="16" s="1"/>
  <c r="Q18" i="16"/>
  <c r="P18" i="16"/>
  <c r="O18" i="16"/>
  <c r="S18" i="16" s="1"/>
  <c r="Q17" i="16"/>
  <c r="P17" i="16"/>
  <c r="O17" i="16"/>
  <c r="S17" i="16" s="1"/>
  <c r="Q16" i="16"/>
  <c r="P16" i="16"/>
  <c r="S16" i="16" s="1"/>
  <c r="O16" i="16"/>
  <c r="Q14" i="16"/>
  <c r="P14" i="16"/>
  <c r="O14" i="16"/>
  <c r="S14" i="16" s="1"/>
  <c r="Q13" i="16"/>
  <c r="P13" i="16"/>
  <c r="O13" i="16"/>
  <c r="S13" i="16" s="1"/>
  <c r="Q12" i="16"/>
  <c r="P12" i="16"/>
  <c r="O12" i="16"/>
  <c r="S12" i="16" s="1"/>
  <c r="Q360" i="15"/>
  <c r="P360" i="15"/>
  <c r="O360" i="15"/>
  <c r="Q359" i="15"/>
  <c r="P359" i="15"/>
  <c r="O359" i="15"/>
  <c r="S359" i="15" s="1"/>
  <c r="Q357" i="15"/>
  <c r="P357" i="15"/>
  <c r="O357" i="15"/>
  <c r="S357" i="15" s="1"/>
  <c r="Q356" i="15"/>
  <c r="P356" i="15"/>
  <c r="O356" i="15"/>
  <c r="Q354" i="15"/>
  <c r="P354" i="15"/>
  <c r="O354" i="15"/>
  <c r="S354" i="15" s="1"/>
  <c r="Q353" i="15"/>
  <c r="P353" i="15"/>
  <c r="O353" i="15"/>
  <c r="Q351" i="15"/>
  <c r="P351" i="15"/>
  <c r="O351" i="15"/>
  <c r="S351" i="15" s="1"/>
  <c r="Q350" i="15"/>
  <c r="P350" i="15"/>
  <c r="O350" i="15"/>
  <c r="S350" i="15" s="1"/>
  <c r="Q348" i="15"/>
  <c r="P348" i="15"/>
  <c r="O348" i="15"/>
  <c r="S348" i="15" s="1"/>
  <c r="Q347" i="15"/>
  <c r="P347" i="15"/>
  <c r="O347" i="15"/>
  <c r="S347" i="15" s="1"/>
  <c r="Q341" i="15"/>
  <c r="P341" i="15"/>
  <c r="O341" i="15"/>
  <c r="Q340" i="15"/>
  <c r="P340" i="15"/>
  <c r="O340" i="15"/>
  <c r="S340" i="15" s="1"/>
  <c r="Q338" i="15"/>
  <c r="P338" i="15"/>
  <c r="O338" i="15"/>
  <c r="S338" i="15" s="1"/>
  <c r="Q337" i="15"/>
  <c r="P337" i="15"/>
  <c r="O337" i="15"/>
  <c r="S337" i="15" s="1"/>
  <c r="Q335" i="15"/>
  <c r="P335" i="15"/>
  <c r="O335" i="15"/>
  <c r="S335" i="15" s="1"/>
  <c r="Q334" i="15"/>
  <c r="P334" i="15"/>
  <c r="O334" i="15"/>
  <c r="Q332" i="15"/>
  <c r="P332" i="15"/>
  <c r="O332" i="15"/>
  <c r="Q331" i="15"/>
  <c r="P331" i="15"/>
  <c r="O331" i="15"/>
  <c r="S331" i="15" s="1"/>
  <c r="Q329" i="15"/>
  <c r="P329" i="15"/>
  <c r="O329" i="15"/>
  <c r="S329" i="15" s="1"/>
  <c r="Q328" i="15"/>
  <c r="P328" i="15"/>
  <c r="O328" i="15"/>
  <c r="S328" i="15" s="1"/>
  <c r="Q322" i="15"/>
  <c r="P322" i="15"/>
  <c r="O322" i="15"/>
  <c r="S322" i="15" s="1"/>
  <c r="Q321" i="15"/>
  <c r="P321" i="15"/>
  <c r="O321" i="15"/>
  <c r="Q319" i="15"/>
  <c r="P319" i="15"/>
  <c r="O319" i="15"/>
  <c r="S319" i="15" s="1"/>
  <c r="Q318" i="15"/>
  <c r="P318" i="15"/>
  <c r="O318" i="15"/>
  <c r="S318" i="15" s="1"/>
  <c r="Q316" i="15"/>
  <c r="P316" i="15"/>
  <c r="O316" i="15"/>
  <c r="S316" i="15" s="1"/>
  <c r="Q315" i="15"/>
  <c r="P315" i="15"/>
  <c r="O315" i="15"/>
  <c r="S315" i="15" s="1"/>
  <c r="Q313" i="15"/>
  <c r="P313" i="15"/>
  <c r="O313" i="15"/>
  <c r="Q312" i="15"/>
  <c r="P312" i="15"/>
  <c r="O312" i="15"/>
  <c r="Q310" i="15"/>
  <c r="P310" i="15"/>
  <c r="O310" i="15"/>
  <c r="S310" i="15" s="1"/>
  <c r="Q309" i="15"/>
  <c r="P309" i="15"/>
  <c r="O309" i="15"/>
  <c r="S309" i="15" s="1"/>
  <c r="Q303" i="15"/>
  <c r="P303" i="15"/>
  <c r="O303" i="15"/>
  <c r="S303" i="15" s="1"/>
  <c r="Q302" i="15"/>
  <c r="P302" i="15"/>
  <c r="O302" i="15"/>
  <c r="Q300" i="15"/>
  <c r="P300" i="15"/>
  <c r="O300" i="15"/>
  <c r="Q299" i="15"/>
  <c r="P299" i="15"/>
  <c r="O299" i="15"/>
  <c r="S299" i="15" s="1"/>
  <c r="Q297" i="15"/>
  <c r="P297" i="15"/>
  <c r="O297" i="15"/>
  <c r="S297" i="15" s="1"/>
  <c r="Q296" i="15"/>
  <c r="P296" i="15"/>
  <c r="O296" i="15"/>
  <c r="S296" i="15" s="1"/>
  <c r="Q294" i="15"/>
  <c r="P294" i="15"/>
  <c r="O294" i="15"/>
  <c r="S294" i="15" s="1"/>
  <c r="Q293" i="15"/>
  <c r="P293" i="15"/>
  <c r="O293" i="15"/>
  <c r="Q291" i="15"/>
  <c r="P291" i="15"/>
  <c r="O291" i="15"/>
  <c r="S291" i="15" s="1"/>
  <c r="Q290" i="15"/>
  <c r="P290" i="15"/>
  <c r="O290" i="15"/>
  <c r="S290" i="15" s="1"/>
  <c r="Q284" i="15"/>
  <c r="P284" i="15"/>
  <c r="O284" i="15"/>
  <c r="S284" i="15" s="1"/>
  <c r="Q283" i="15"/>
  <c r="P283" i="15"/>
  <c r="O283" i="15"/>
  <c r="S283" i="15" s="1"/>
  <c r="Q281" i="15"/>
  <c r="P281" i="15"/>
  <c r="O281" i="15"/>
  <c r="Q280" i="15"/>
  <c r="P280" i="15"/>
  <c r="O280" i="15"/>
  <c r="Q278" i="15"/>
  <c r="P278" i="15"/>
  <c r="O278" i="15"/>
  <c r="S278" i="15" s="1"/>
  <c r="Q277" i="15"/>
  <c r="P277" i="15"/>
  <c r="O277" i="15"/>
  <c r="S277" i="15" s="1"/>
  <c r="Q275" i="15"/>
  <c r="P275" i="15"/>
  <c r="O275" i="15"/>
  <c r="S275" i="15" s="1"/>
  <c r="Q274" i="15"/>
  <c r="P274" i="15"/>
  <c r="O274" i="15"/>
  <c r="Q272" i="15"/>
  <c r="P272" i="15"/>
  <c r="O272" i="15"/>
  <c r="Q271" i="15"/>
  <c r="P271" i="15"/>
  <c r="O271" i="15"/>
  <c r="S271" i="15" s="1"/>
  <c r="Q265" i="15"/>
  <c r="P265" i="15"/>
  <c r="O265" i="15"/>
  <c r="S265" i="15" s="1"/>
  <c r="Q264" i="15"/>
  <c r="P264" i="15"/>
  <c r="O264" i="15"/>
  <c r="S264" i="15" s="1"/>
  <c r="Q262" i="15"/>
  <c r="P262" i="15"/>
  <c r="O262" i="15"/>
  <c r="S262" i="15" s="1"/>
  <c r="Q261" i="15"/>
  <c r="P261" i="15"/>
  <c r="O261" i="15"/>
  <c r="Q259" i="15"/>
  <c r="P259" i="15"/>
  <c r="O259" i="15"/>
  <c r="S259" i="15" s="1"/>
  <c r="Q258" i="15"/>
  <c r="P258" i="15"/>
  <c r="O258" i="15"/>
  <c r="S258" i="15" s="1"/>
  <c r="Q256" i="15"/>
  <c r="P256" i="15"/>
  <c r="O256" i="15"/>
  <c r="S256" i="15" s="1"/>
  <c r="Q255" i="15"/>
  <c r="P255" i="15"/>
  <c r="O255" i="15"/>
  <c r="S255" i="15" s="1"/>
  <c r="Q253" i="15"/>
  <c r="P253" i="15"/>
  <c r="O253" i="15"/>
  <c r="Q252" i="15"/>
  <c r="P252" i="15"/>
  <c r="O252" i="15"/>
  <c r="Q246" i="15"/>
  <c r="P246" i="15"/>
  <c r="O246" i="15"/>
  <c r="S246" i="15" s="1"/>
  <c r="Q245" i="15"/>
  <c r="P245" i="15"/>
  <c r="O245" i="15"/>
  <c r="S245" i="15" s="1"/>
  <c r="Q244" i="15"/>
  <c r="P244" i="15"/>
  <c r="O244" i="15"/>
  <c r="S244" i="15" s="1"/>
  <c r="Q242" i="15"/>
  <c r="P242" i="15"/>
  <c r="O242" i="15"/>
  <c r="Q241" i="15"/>
  <c r="P241" i="15"/>
  <c r="O241" i="15"/>
  <c r="Q240" i="15"/>
  <c r="P240" i="15"/>
  <c r="O240" i="15"/>
  <c r="S240" i="15" s="1"/>
  <c r="Q238" i="15"/>
  <c r="P238" i="15"/>
  <c r="O238" i="15"/>
  <c r="S238" i="15" s="1"/>
  <c r="Q237" i="15"/>
  <c r="P237" i="15"/>
  <c r="O237" i="15"/>
  <c r="S237" i="15" s="1"/>
  <c r="Q236" i="15"/>
  <c r="P236" i="15"/>
  <c r="O236" i="15"/>
  <c r="S236" i="15" s="1"/>
  <c r="Q234" i="15"/>
  <c r="P234" i="15"/>
  <c r="O234" i="15"/>
  <c r="Q233" i="15"/>
  <c r="P233" i="15"/>
  <c r="O233" i="15"/>
  <c r="S233" i="15" s="1"/>
  <c r="Q232" i="15"/>
  <c r="P232" i="15"/>
  <c r="O232" i="15"/>
  <c r="S232" i="15" s="1"/>
  <c r="Q230" i="15"/>
  <c r="P230" i="15"/>
  <c r="O230" i="15"/>
  <c r="S230" i="15" s="1"/>
  <c r="Q229" i="15"/>
  <c r="P229" i="15"/>
  <c r="O229" i="15"/>
  <c r="S229" i="15" s="1"/>
  <c r="Q228" i="15"/>
  <c r="P228" i="15"/>
  <c r="O228" i="15"/>
  <c r="Q222" i="15"/>
  <c r="P222" i="15"/>
  <c r="O222" i="15"/>
  <c r="Q221" i="15"/>
  <c r="P221" i="15"/>
  <c r="O221" i="15"/>
  <c r="S221" i="15" s="1"/>
  <c r="Q220" i="15"/>
  <c r="P220" i="15"/>
  <c r="O220" i="15"/>
  <c r="S220" i="15" s="1"/>
  <c r="Q218" i="15"/>
  <c r="P218" i="15"/>
  <c r="O218" i="15"/>
  <c r="S218" i="15" s="1"/>
  <c r="Q217" i="15"/>
  <c r="P217" i="15"/>
  <c r="O217" i="15"/>
  <c r="Q216" i="15"/>
  <c r="P216" i="15"/>
  <c r="O216" i="15"/>
  <c r="Q214" i="15"/>
  <c r="P214" i="15"/>
  <c r="O214" i="15"/>
  <c r="S214" i="15" s="1"/>
  <c r="Q213" i="15"/>
  <c r="P213" i="15"/>
  <c r="O213" i="15"/>
  <c r="S213" i="15" s="1"/>
  <c r="Q212" i="15"/>
  <c r="P212" i="15"/>
  <c r="O212" i="15"/>
  <c r="S212" i="15" s="1"/>
  <c r="Q210" i="15"/>
  <c r="P210" i="15"/>
  <c r="O210" i="15"/>
  <c r="S210" i="15" s="1"/>
  <c r="Q209" i="15"/>
  <c r="P209" i="15"/>
  <c r="O209" i="15"/>
  <c r="Q208" i="15"/>
  <c r="P208" i="15"/>
  <c r="O208" i="15"/>
  <c r="S208" i="15" s="1"/>
  <c r="Q206" i="15"/>
  <c r="P206" i="15"/>
  <c r="O206" i="15"/>
  <c r="S206" i="15" s="1"/>
  <c r="Q205" i="15"/>
  <c r="P205" i="15"/>
  <c r="O205" i="15"/>
  <c r="S205" i="15" s="1"/>
  <c r="Q204" i="15"/>
  <c r="P204" i="15"/>
  <c r="O204" i="15"/>
  <c r="S204" i="15" s="1"/>
  <c r="Q198" i="15"/>
  <c r="P198" i="15"/>
  <c r="O198" i="15"/>
  <c r="Q197" i="15"/>
  <c r="P197" i="15"/>
  <c r="O197" i="15"/>
  <c r="Q196" i="15"/>
  <c r="P196" i="15"/>
  <c r="O196" i="15"/>
  <c r="S196" i="15" s="1"/>
  <c r="Q194" i="15"/>
  <c r="P194" i="15"/>
  <c r="O194" i="15"/>
  <c r="S194" i="15" s="1"/>
  <c r="Q193" i="15"/>
  <c r="P193" i="15"/>
  <c r="O193" i="15"/>
  <c r="S193" i="15" s="1"/>
  <c r="Q192" i="15"/>
  <c r="P192" i="15"/>
  <c r="O192" i="15"/>
  <c r="Q190" i="15"/>
  <c r="P190" i="15"/>
  <c r="O190" i="15"/>
  <c r="Q189" i="15"/>
  <c r="P189" i="15"/>
  <c r="O189" i="15"/>
  <c r="S189" i="15" s="1"/>
  <c r="Q188" i="15"/>
  <c r="P188" i="15"/>
  <c r="O188" i="15"/>
  <c r="S188" i="15" s="1"/>
  <c r="Q186" i="15"/>
  <c r="P186" i="15"/>
  <c r="O186" i="15"/>
  <c r="S186" i="15" s="1"/>
  <c r="Q185" i="15"/>
  <c r="P185" i="15"/>
  <c r="O185" i="15"/>
  <c r="S185" i="15" s="1"/>
  <c r="Q184" i="15"/>
  <c r="P184" i="15"/>
  <c r="O184" i="15"/>
  <c r="Q182" i="15"/>
  <c r="P182" i="15"/>
  <c r="O182" i="15"/>
  <c r="S182" i="15" s="1"/>
  <c r="Q181" i="15"/>
  <c r="P181" i="15"/>
  <c r="O181" i="15"/>
  <c r="S181" i="15" s="1"/>
  <c r="Q180" i="15"/>
  <c r="P180" i="15"/>
  <c r="O180" i="15"/>
  <c r="S180" i="15" s="1"/>
  <c r="Q174" i="15"/>
  <c r="P174" i="15"/>
  <c r="O174" i="15"/>
  <c r="S174" i="15" s="1"/>
  <c r="Q173" i="15"/>
  <c r="P173" i="15"/>
  <c r="O173" i="15"/>
  <c r="Q171" i="15"/>
  <c r="P171" i="15"/>
  <c r="O171" i="15"/>
  <c r="Q170" i="15"/>
  <c r="P170" i="15"/>
  <c r="O170" i="15"/>
  <c r="S170" i="15" s="1"/>
  <c r="Q168" i="15"/>
  <c r="P168" i="15"/>
  <c r="O168" i="15"/>
  <c r="S168" i="15" s="1"/>
  <c r="Q167" i="15"/>
  <c r="P167" i="15"/>
  <c r="O167" i="15"/>
  <c r="S167" i="15" s="1"/>
  <c r="Q165" i="15"/>
  <c r="P165" i="15"/>
  <c r="O165" i="15"/>
  <c r="Q164" i="15"/>
  <c r="P164" i="15"/>
  <c r="O164" i="15"/>
  <c r="Q162" i="15"/>
  <c r="P162" i="15"/>
  <c r="O162" i="15"/>
  <c r="S162" i="15" s="1"/>
  <c r="Q161" i="15"/>
  <c r="P161" i="15"/>
  <c r="O161" i="15"/>
  <c r="S161" i="15" s="1"/>
  <c r="Q155" i="15"/>
  <c r="P155" i="15"/>
  <c r="O155" i="15"/>
  <c r="S155" i="15" s="1"/>
  <c r="Q154" i="15"/>
  <c r="P154" i="15"/>
  <c r="O154" i="15"/>
  <c r="S154" i="15" s="1"/>
  <c r="Q153" i="15"/>
  <c r="P153" i="15"/>
  <c r="O153" i="15"/>
  <c r="Q152" i="15"/>
  <c r="P152" i="15"/>
  <c r="O152" i="15"/>
  <c r="S152" i="15" s="1"/>
  <c r="Q150" i="15"/>
  <c r="P150" i="15"/>
  <c r="O150" i="15"/>
  <c r="S150" i="15" s="1"/>
  <c r="Q149" i="15"/>
  <c r="P149" i="15"/>
  <c r="O149" i="15"/>
  <c r="S149" i="15" s="1"/>
  <c r="Q148" i="15"/>
  <c r="P148" i="15"/>
  <c r="O148" i="15"/>
  <c r="S148" i="15" s="1"/>
  <c r="Q147" i="15"/>
  <c r="P147" i="15"/>
  <c r="O147" i="15"/>
  <c r="Q145" i="15"/>
  <c r="P145" i="15"/>
  <c r="O145" i="15"/>
  <c r="Q144" i="15"/>
  <c r="P144" i="15"/>
  <c r="O144" i="15"/>
  <c r="S144" i="15" s="1"/>
  <c r="Q143" i="15"/>
  <c r="P143" i="15"/>
  <c r="O143" i="15"/>
  <c r="S143" i="15" s="1"/>
  <c r="Q142" i="15"/>
  <c r="P142" i="15"/>
  <c r="O142" i="15"/>
  <c r="S142" i="15" s="1"/>
  <c r="Q140" i="15"/>
  <c r="P140" i="15"/>
  <c r="O140" i="15"/>
  <c r="Q139" i="15"/>
  <c r="P139" i="15"/>
  <c r="O139" i="15"/>
  <c r="Q138" i="15"/>
  <c r="P138" i="15"/>
  <c r="O138" i="15"/>
  <c r="S138" i="15" s="1"/>
  <c r="Q137" i="15"/>
  <c r="P137" i="15"/>
  <c r="O137" i="15"/>
  <c r="S137" i="15" s="1"/>
  <c r="Q135" i="15"/>
  <c r="P135" i="15"/>
  <c r="O135" i="15"/>
  <c r="S135" i="15" s="1"/>
  <c r="Q134" i="15"/>
  <c r="P134" i="15"/>
  <c r="O134" i="15"/>
  <c r="S134" i="15" s="1"/>
  <c r="Q133" i="15"/>
  <c r="P133" i="15"/>
  <c r="O133" i="15"/>
  <c r="Q132" i="15"/>
  <c r="P132" i="15"/>
  <c r="O132" i="15"/>
  <c r="S132" i="15" s="1"/>
  <c r="Q126" i="15"/>
  <c r="P126" i="15"/>
  <c r="O126" i="15"/>
  <c r="S126" i="15" s="1"/>
  <c r="Q125" i="15"/>
  <c r="P125" i="15"/>
  <c r="O125" i="15"/>
  <c r="S125" i="15" s="1"/>
  <c r="Q124" i="15"/>
  <c r="P124" i="15"/>
  <c r="O124" i="15"/>
  <c r="S124" i="15" s="1"/>
  <c r="Q123" i="15"/>
  <c r="P123" i="15"/>
  <c r="O123" i="15"/>
  <c r="Q121" i="15"/>
  <c r="P121" i="15"/>
  <c r="O121" i="15"/>
  <c r="Q120" i="15"/>
  <c r="P120" i="15"/>
  <c r="O120" i="15"/>
  <c r="S120" i="15" s="1"/>
  <c r="Q119" i="15"/>
  <c r="P119" i="15"/>
  <c r="O119" i="15"/>
  <c r="S119" i="15" s="1"/>
  <c r="Q118" i="15"/>
  <c r="P118" i="15"/>
  <c r="O118" i="15"/>
  <c r="S118" i="15" s="1"/>
  <c r="Q116" i="15"/>
  <c r="P116" i="15"/>
  <c r="O116" i="15"/>
  <c r="Q115" i="15"/>
  <c r="P115" i="15"/>
  <c r="O115" i="15"/>
  <c r="Q114" i="15"/>
  <c r="P114" i="15"/>
  <c r="O114" i="15"/>
  <c r="S114" i="15" s="1"/>
  <c r="Q113" i="15"/>
  <c r="P113" i="15"/>
  <c r="O113" i="15"/>
  <c r="S113" i="15" s="1"/>
  <c r="Q111" i="15"/>
  <c r="P111" i="15"/>
  <c r="O111" i="15"/>
  <c r="S111" i="15" s="1"/>
  <c r="Q110" i="15"/>
  <c r="P110" i="15"/>
  <c r="O110" i="15"/>
  <c r="S110" i="15" s="1"/>
  <c r="Q109" i="15"/>
  <c r="P109" i="15"/>
  <c r="O109" i="15"/>
  <c r="Q108" i="15"/>
  <c r="P108" i="15"/>
  <c r="O108" i="15"/>
  <c r="S108" i="15" s="1"/>
  <c r="Q106" i="15"/>
  <c r="P106" i="15"/>
  <c r="O106" i="15"/>
  <c r="S106" i="15" s="1"/>
  <c r="Q105" i="15"/>
  <c r="P105" i="15"/>
  <c r="O105" i="15"/>
  <c r="S105" i="15" s="1"/>
  <c r="Q104" i="15"/>
  <c r="P104" i="15"/>
  <c r="O104" i="15"/>
  <c r="S104" i="15" s="1"/>
  <c r="Q103" i="15"/>
  <c r="P103" i="15"/>
  <c r="O103" i="15"/>
  <c r="Q97" i="15"/>
  <c r="P97" i="15"/>
  <c r="O97" i="15"/>
  <c r="Q96" i="15"/>
  <c r="P96" i="15"/>
  <c r="O96" i="15"/>
  <c r="S96" i="15" s="1"/>
  <c r="Q95" i="15"/>
  <c r="P95" i="15"/>
  <c r="O95" i="15"/>
  <c r="S95" i="15" s="1"/>
  <c r="Q94" i="15"/>
  <c r="P94" i="15"/>
  <c r="O94" i="15"/>
  <c r="S94" i="15" s="1"/>
  <c r="Q92" i="15"/>
  <c r="P92" i="15"/>
  <c r="O92" i="15"/>
  <c r="Q91" i="15"/>
  <c r="P91" i="15"/>
  <c r="O91" i="15"/>
  <c r="Q90" i="15"/>
  <c r="P90" i="15"/>
  <c r="O90" i="15"/>
  <c r="S90" i="15" s="1"/>
  <c r="Q89" i="15"/>
  <c r="P89" i="15"/>
  <c r="O89" i="15"/>
  <c r="S89" i="15" s="1"/>
  <c r="Q87" i="15"/>
  <c r="P87" i="15"/>
  <c r="O87" i="15"/>
  <c r="S87" i="15" s="1"/>
  <c r="Q86" i="15"/>
  <c r="P86" i="15"/>
  <c r="O86" i="15"/>
  <c r="S86" i="15" s="1"/>
  <c r="Q85" i="15"/>
  <c r="P85" i="15"/>
  <c r="O85" i="15"/>
  <c r="Q84" i="15"/>
  <c r="P84" i="15"/>
  <c r="O84" i="15"/>
  <c r="S84" i="15" s="1"/>
  <c r="Q82" i="15"/>
  <c r="P82" i="15"/>
  <c r="O82" i="15"/>
  <c r="S82" i="15" s="1"/>
  <c r="Q81" i="15"/>
  <c r="P81" i="15"/>
  <c r="O81" i="15"/>
  <c r="S81" i="15" s="1"/>
  <c r="Q80" i="15"/>
  <c r="P80" i="15"/>
  <c r="O80" i="15"/>
  <c r="S80" i="15" s="1"/>
  <c r="Q79" i="15"/>
  <c r="P79" i="15"/>
  <c r="O79" i="15"/>
  <c r="Q77" i="15"/>
  <c r="P77" i="15"/>
  <c r="O77" i="15"/>
  <c r="Q76" i="15"/>
  <c r="P76" i="15"/>
  <c r="O76" i="15"/>
  <c r="S76" i="15" s="1"/>
  <c r="Q75" i="15"/>
  <c r="P75" i="15"/>
  <c r="O75" i="15"/>
  <c r="S75" i="15" s="1"/>
  <c r="Q74" i="15"/>
  <c r="P74" i="15"/>
  <c r="O74" i="15"/>
  <c r="S74" i="15" s="1"/>
  <c r="Q68" i="15"/>
  <c r="P68" i="15"/>
  <c r="O68" i="15"/>
  <c r="Q67" i="15"/>
  <c r="P67" i="15"/>
  <c r="O67" i="15"/>
  <c r="Q65" i="15"/>
  <c r="P65" i="15"/>
  <c r="O65" i="15"/>
  <c r="S65" i="15" s="1"/>
  <c r="Q64" i="15"/>
  <c r="P64" i="15"/>
  <c r="O64" i="15"/>
  <c r="S64" i="15" s="1"/>
  <c r="Q62" i="15"/>
  <c r="P62" i="15"/>
  <c r="O62" i="15"/>
  <c r="S62" i="15" s="1"/>
  <c r="Q61" i="15"/>
  <c r="P61" i="15"/>
  <c r="O61" i="15"/>
  <c r="S61" i="15" s="1"/>
  <c r="Q59" i="15"/>
  <c r="P59" i="15"/>
  <c r="O59" i="15"/>
  <c r="Q58" i="15"/>
  <c r="P58" i="15"/>
  <c r="O58" i="15"/>
  <c r="S58" i="15" s="1"/>
  <c r="Q56" i="15"/>
  <c r="P56" i="15"/>
  <c r="O56" i="15"/>
  <c r="S56" i="15" s="1"/>
  <c r="Q55" i="15"/>
  <c r="P55" i="15"/>
  <c r="O55" i="15"/>
  <c r="S55" i="15" s="1"/>
  <c r="Q49" i="15"/>
  <c r="P49" i="15"/>
  <c r="O49" i="15"/>
  <c r="S49" i="15" s="1"/>
  <c r="Q48" i="15"/>
  <c r="P48" i="15"/>
  <c r="O48" i="15"/>
  <c r="Q46" i="15"/>
  <c r="P46" i="15"/>
  <c r="O46" i="15"/>
  <c r="Q45" i="15"/>
  <c r="P45" i="15"/>
  <c r="O45" i="15"/>
  <c r="S45" i="15" s="1"/>
  <c r="Q43" i="15"/>
  <c r="P43" i="15"/>
  <c r="O43" i="15"/>
  <c r="S43" i="15" s="1"/>
  <c r="Q42" i="15"/>
  <c r="P42" i="15"/>
  <c r="O42" i="15"/>
  <c r="S42" i="15" s="1"/>
  <c r="Q40" i="15"/>
  <c r="P40" i="15"/>
  <c r="O40" i="15"/>
  <c r="Q39" i="15"/>
  <c r="P39" i="15"/>
  <c r="O39" i="15"/>
  <c r="Q37" i="15"/>
  <c r="P37" i="15"/>
  <c r="O37" i="15"/>
  <c r="S37" i="15" s="1"/>
  <c r="Q36" i="15"/>
  <c r="P36" i="15"/>
  <c r="O36" i="15"/>
  <c r="S36" i="15" s="1"/>
  <c r="Q30" i="15"/>
  <c r="P30" i="15"/>
  <c r="O30" i="15"/>
  <c r="S30" i="15" s="1"/>
  <c r="Q29" i="15"/>
  <c r="P29" i="15"/>
  <c r="O29" i="15"/>
  <c r="S29" i="15" s="1"/>
  <c r="Q28" i="15"/>
  <c r="P28" i="15"/>
  <c r="O28" i="15"/>
  <c r="Q26" i="15"/>
  <c r="P26" i="15"/>
  <c r="O26" i="15"/>
  <c r="S26" i="15" s="1"/>
  <c r="Q25" i="15"/>
  <c r="P25" i="15"/>
  <c r="O25" i="15"/>
  <c r="S25" i="15" s="1"/>
  <c r="Q24" i="15"/>
  <c r="P24" i="15"/>
  <c r="O24" i="15"/>
  <c r="S24" i="15" s="1"/>
  <c r="Q22" i="15"/>
  <c r="P22" i="15"/>
  <c r="O22" i="15"/>
  <c r="S22" i="15" s="1"/>
  <c r="Q21" i="15"/>
  <c r="P21" i="15"/>
  <c r="O21" i="15"/>
  <c r="Q20" i="15"/>
  <c r="P20" i="15"/>
  <c r="O20" i="15"/>
  <c r="S20" i="15" s="1"/>
  <c r="Q18" i="15"/>
  <c r="P18" i="15"/>
  <c r="O18" i="15"/>
  <c r="S18" i="15" s="1"/>
  <c r="Q17" i="15"/>
  <c r="P17" i="15"/>
  <c r="O17" i="15"/>
  <c r="S17" i="15" s="1"/>
  <c r="Q16" i="15"/>
  <c r="P16" i="15"/>
  <c r="O16" i="15"/>
  <c r="S16" i="15" s="1"/>
  <c r="Q14" i="15"/>
  <c r="P14" i="15"/>
  <c r="O14" i="15"/>
  <c r="S14" i="15" s="1"/>
  <c r="Q13" i="15"/>
  <c r="P13" i="15"/>
  <c r="O13" i="15"/>
  <c r="Q12" i="15"/>
  <c r="P12" i="15"/>
  <c r="O12" i="15"/>
  <c r="S12" i="15" s="1"/>
  <c r="Q360" i="14"/>
  <c r="P360" i="14"/>
  <c r="O360" i="14"/>
  <c r="Q359" i="14"/>
  <c r="P359" i="14"/>
  <c r="O359" i="14"/>
  <c r="Q357" i="14"/>
  <c r="P357" i="14"/>
  <c r="O357" i="14"/>
  <c r="S357" i="14" s="1"/>
  <c r="Q356" i="14"/>
  <c r="P356" i="14"/>
  <c r="O356" i="14"/>
  <c r="S356" i="14" s="1"/>
  <c r="Q354" i="14"/>
  <c r="P354" i="14"/>
  <c r="O354" i="14"/>
  <c r="S354" i="14" s="1"/>
  <c r="Q353" i="14"/>
  <c r="P353" i="14"/>
  <c r="O353" i="14"/>
  <c r="Q351" i="14"/>
  <c r="P351" i="14"/>
  <c r="O351" i="14"/>
  <c r="S351" i="14" s="1"/>
  <c r="Q350" i="14"/>
  <c r="P350" i="14"/>
  <c r="O350" i="14"/>
  <c r="S350" i="14" s="1"/>
  <c r="Q348" i="14"/>
  <c r="P348" i="14"/>
  <c r="O348" i="14"/>
  <c r="S348" i="14" s="1"/>
  <c r="Q347" i="14"/>
  <c r="P347" i="14"/>
  <c r="O347" i="14"/>
  <c r="Q341" i="14"/>
  <c r="P341" i="14"/>
  <c r="O341" i="14"/>
  <c r="S341" i="14" s="1"/>
  <c r="Q340" i="14"/>
  <c r="P340" i="14"/>
  <c r="O340" i="14"/>
  <c r="S340" i="14" s="1"/>
  <c r="Q338" i="14"/>
  <c r="P338" i="14"/>
  <c r="O338" i="14"/>
  <c r="S338" i="14" s="1"/>
  <c r="Q337" i="14"/>
  <c r="P337" i="14"/>
  <c r="O337" i="14"/>
  <c r="S337" i="14" s="1"/>
  <c r="Q335" i="14"/>
  <c r="P335" i="14"/>
  <c r="O335" i="14"/>
  <c r="S335" i="14" s="1"/>
  <c r="Q334" i="14"/>
  <c r="P334" i="14"/>
  <c r="O334" i="14"/>
  <c r="S334" i="14" s="1"/>
  <c r="Q332" i="14"/>
  <c r="P332" i="14"/>
  <c r="O332" i="14"/>
  <c r="S332" i="14" s="1"/>
  <c r="Q331" i="14"/>
  <c r="P331" i="14"/>
  <c r="O331" i="14"/>
  <c r="S331" i="14" s="1"/>
  <c r="Q329" i="14"/>
  <c r="P329" i="14"/>
  <c r="O329" i="14"/>
  <c r="S329" i="14" s="1"/>
  <c r="Q328" i="14"/>
  <c r="P328" i="14"/>
  <c r="S328" i="14" s="1"/>
  <c r="O328" i="14"/>
  <c r="Q322" i="14"/>
  <c r="P322" i="14"/>
  <c r="O322" i="14"/>
  <c r="S322" i="14" s="1"/>
  <c r="Q321" i="14"/>
  <c r="P321" i="14"/>
  <c r="O321" i="14"/>
  <c r="S321" i="14" s="1"/>
  <c r="Q319" i="14"/>
  <c r="P319" i="14"/>
  <c r="O319" i="14"/>
  <c r="S319" i="14" s="1"/>
  <c r="Q318" i="14"/>
  <c r="P318" i="14"/>
  <c r="O318" i="14"/>
  <c r="S318" i="14" s="1"/>
  <c r="Q316" i="14"/>
  <c r="P316" i="14"/>
  <c r="O316" i="14"/>
  <c r="Q315" i="14"/>
  <c r="P315" i="14"/>
  <c r="O315" i="14"/>
  <c r="S315" i="14" s="1"/>
  <c r="Q313" i="14"/>
  <c r="P313" i="14"/>
  <c r="O313" i="14"/>
  <c r="S313" i="14" s="1"/>
  <c r="Q312" i="14"/>
  <c r="P312" i="14"/>
  <c r="O312" i="14"/>
  <c r="S312" i="14" s="1"/>
  <c r="Q310" i="14"/>
  <c r="P310" i="14"/>
  <c r="O310" i="14"/>
  <c r="S310" i="14" s="1"/>
  <c r="Q309" i="14"/>
  <c r="P309" i="14"/>
  <c r="O309" i="14"/>
  <c r="Q303" i="14"/>
  <c r="P303" i="14"/>
  <c r="O303" i="14"/>
  <c r="S303" i="14" s="1"/>
  <c r="Q302" i="14"/>
  <c r="P302" i="14"/>
  <c r="O302" i="14"/>
  <c r="S302" i="14" s="1"/>
  <c r="Q300" i="14"/>
  <c r="P300" i="14"/>
  <c r="O300" i="14"/>
  <c r="S300" i="14" s="1"/>
  <c r="Q299" i="14"/>
  <c r="P299" i="14"/>
  <c r="O299" i="14"/>
  <c r="S299" i="14" s="1"/>
  <c r="Q297" i="14"/>
  <c r="P297" i="14"/>
  <c r="O297" i="14"/>
  <c r="Q296" i="14"/>
  <c r="P296" i="14"/>
  <c r="O296" i="14"/>
  <c r="S296" i="14" s="1"/>
  <c r="Q294" i="14"/>
  <c r="P294" i="14"/>
  <c r="O294" i="14"/>
  <c r="S294" i="14" s="1"/>
  <c r="Q293" i="14"/>
  <c r="P293" i="14"/>
  <c r="O293" i="14"/>
  <c r="S293" i="14" s="1"/>
  <c r="Q291" i="14"/>
  <c r="P291" i="14"/>
  <c r="O291" i="14"/>
  <c r="S291" i="14" s="1"/>
  <c r="Q290" i="14"/>
  <c r="S290" i="14" s="1"/>
  <c r="P290" i="14"/>
  <c r="O290" i="14"/>
  <c r="Q284" i="14"/>
  <c r="P284" i="14"/>
  <c r="O284" i="14"/>
  <c r="S284" i="14" s="1"/>
  <c r="Q283" i="14"/>
  <c r="P283" i="14"/>
  <c r="O283" i="14"/>
  <c r="S283" i="14" s="1"/>
  <c r="Q281" i="14"/>
  <c r="P281" i="14"/>
  <c r="O281" i="14"/>
  <c r="S281" i="14" s="1"/>
  <c r="Q280" i="14"/>
  <c r="P280" i="14"/>
  <c r="O280" i="14"/>
  <c r="S280" i="14" s="1"/>
  <c r="Q278" i="14"/>
  <c r="P278" i="14"/>
  <c r="O278" i="14"/>
  <c r="Q277" i="14"/>
  <c r="P277" i="14"/>
  <c r="O277" i="14"/>
  <c r="Q275" i="14"/>
  <c r="P275" i="14"/>
  <c r="O275" i="14"/>
  <c r="S275" i="14" s="1"/>
  <c r="Q274" i="14"/>
  <c r="P274" i="14"/>
  <c r="O274" i="14"/>
  <c r="S274" i="14" s="1"/>
  <c r="Q272" i="14"/>
  <c r="P272" i="14"/>
  <c r="O272" i="14"/>
  <c r="S272" i="14" s="1"/>
  <c r="Q271" i="14"/>
  <c r="P271" i="14"/>
  <c r="O271" i="14"/>
  <c r="Q265" i="14"/>
  <c r="P265" i="14"/>
  <c r="O265" i="14"/>
  <c r="S265" i="14" s="1"/>
  <c r="Q264" i="14"/>
  <c r="P264" i="14"/>
  <c r="O264" i="14"/>
  <c r="S264" i="14" s="1"/>
  <c r="Q262" i="14"/>
  <c r="P262" i="14"/>
  <c r="O262" i="14"/>
  <c r="S262" i="14" s="1"/>
  <c r="Q261" i="14"/>
  <c r="P261" i="14"/>
  <c r="O261" i="14"/>
  <c r="S261" i="14" s="1"/>
  <c r="Q259" i="14"/>
  <c r="P259" i="14"/>
  <c r="O259" i="14"/>
  <c r="Q258" i="14"/>
  <c r="P258" i="14"/>
  <c r="O258" i="14"/>
  <c r="S258" i="14" s="1"/>
  <c r="Q256" i="14"/>
  <c r="P256" i="14"/>
  <c r="O256" i="14"/>
  <c r="S256" i="14" s="1"/>
  <c r="Q255" i="14"/>
  <c r="P255" i="14"/>
  <c r="O255" i="14"/>
  <c r="S255" i="14" s="1"/>
  <c r="Q253" i="14"/>
  <c r="P253" i="14"/>
  <c r="O253" i="14"/>
  <c r="S253" i="14" s="1"/>
  <c r="S252" i="14"/>
  <c r="Q252" i="14"/>
  <c r="P252" i="14"/>
  <c r="O252" i="14"/>
  <c r="Q246" i="14"/>
  <c r="P246" i="14"/>
  <c r="O246" i="14"/>
  <c r="S246" i="14" s="1"/>
  <c r="Q245" i="14"/>
  <c r="P245" i="14"/>
  <c r="O245" i="14"/>
  <c r="S245" i="14" s="1"/>
  <c r="Q244" i="14"/>
  <c r="P244" i="14"/>
  <c r="O244" i="14"/>
  <c r="S244" i="14" s="1"/>
  <c r="Q242" i="14"/>
  <c r="P242" i="14"/>
  <c r="O242" i="14"/>
  <c r="S242" i="14" s="1"/>
  <c r="Q241" i="14"/>
  <c r="P241" i="14"/>
  <c r="O241" i="14"/>
  <c r="Q240" i="14"/>
  <c r="P240" i="14"/>
  <c r="O240" i="14"/>
  <c r="Q238" i="14"/>
  <c r="P238" i="14"/>
  <c r="O238" i="14"/>
  <c r="S238" i="14" s="1"/>
  <c r="Q237" i="14"/>
  <c r="P237" i="14"/>
  <c r="O237" i="14"/>
  <c r="S237" i="14" s="1"/>
  <c r="Q236" i="14"/>
  <c r="P236" i="14"/>
  <c r="O236" i="14"/>
  <c r="S236" i="14" s="1"/>
  <c r="Q234" i="14"/>
  <c r="P234" i="14"/>
  <c r="O234" i="14"/>
  <c r="Q233" i="14"/>
  <c r="P233" i="14"/>
  <c r="O233" i="14"/>
  <c r="S233" i="14" s="1"/>
  <c r="Q232" i="14"/>
  <c r="P232" i="14"/>
  <c r="O232" i="14"/>
  <c r="S232" i="14" s="1"/>
  <c r="Q230" i="14"/>
  <c r="P230" i="14"/>
  <c r="O230" i="14"/>
  <c r="S230" i="14" s="1"/>
  <c r="Q229" i="14"/>
  <c r="P229" i="14"/>
  <c r="O229" i="14"/>
  <c r="Q228" i="14"/>
  <c r="P228" i="14"/>
  <c r="O228" i="14"/>
  <c r="Q222" i="14"/>
  <c r="P222" i="14"/>
  <c r="O222" i="14"/>
  <c r="S222" i="14" s="1"/>
  <c r="Q221" i="14"/>
  <c r="P221" i="14"/>
  <c r="O221" i="14"/>
  <c r="S221" i="14" s="1"/>
  <c r="Q220" i="14"/>
  <c r="P220" i="14"/>
  <c r="O220" i="14"/>
  <c r="S220" i="14" s="1"/>
  <c r="Q218" i="14"/>
  <c r="P218" i="14"/>
  <c r="O218" i="14"/>
  <c r="S218" i="14" s="1"/>
  <c r="Q217" i="14"/>
  <c r="P217" i="14"/>
  <c r="O217" i="14"/>
  <c r="S217" i="14" s="1"/>
  <c r="Q216" i="14"/>
  <c r="P216" i="14"/>
  <c r="O216" i="14"/>
  <c r="S216" i="14" s="1"/>
  <c r="Q214" i="14"/>
  <c r="P214" i="14"/>
  <c r="O214" i="14"/>
  <c r="S214" i="14" s="1"/>
  <c r="Q213" i="14"/>
  <c r="P213" i="14"/>
  <c r="O213" i="14"/>
  <c r="S213" i="14" s="1"/>
  <c r="Q212" i="14"/>
  <c r="P212" i="14"/>
  <c r="S212" i="14" s="1"/>
  <c r="O212" i="14"/>
  <c r="Q210" i="14"/>
  <c r="P210" i="14"/>
  <c r="O210" i="14"/>
  <c r="S210" i="14" s="1"/>
  <c r="Q209" i="14"/>
  <c r="P209" i="14"/>
  <c r="O209" i="14"/>
  <c r="S209" i="14" s="1"/>
  <c r="Q208" i="14"/>
  <c r="P208" i="14"/>
  <c r="O208" i="14"/>
  <c r="S208" i="14" s="1"/>
  <c r="Q206" i="14"/>
  <c r="P206" i="14"/>
  <c r="O206" i="14"/>
  <c r="S206" i="14" s="1"/>
  <c r="Q205" i="14"/>
  <c r="P205" i="14"/>
  <c r="O205" i="14"/>
  <c r="Q204" i="14"/>
  <c r="P204" i="14"/>
  <c r="O204" i="14"/>
  <c r="S204" i="14" s="1"/>
  <c r="Q198" i="14"/>
  <c r="P198" i="14"/>
  <c r="O198" i="14"/>
  <c r="S198" i="14" s="1"/>
  <c r="Q197" i="14"/>
  <c r="P197" i="14"/>
  <c r="O197" i="14"/>
  <c r="S197" i="14" s="1"/>
  <c r="Q196" i="14"/>
  <c r="P196" i="14"/>
  <c r="O196" i="14"/>
  <c r="S196" i="14" s="1"/>
  <c r="Q194" i="14"/>
  <c r="P194" i="14"/>
  <c r="O194" i="14"/>
  <c r="Q193" i="14"/>
  <c r="P193" i="14"/>
  <c r="O193" i="14"/>
  <c r="S193" i="14" s="1"/>
  <c r="Q192" i="14"/>
  <c r="P192" i="14"/>
  <c r="O192" i="14"/>
  <c r="S192" i="14" s="1"/>
  <c r="Q190" i="14"/>
  <c r="P190" i="14"/>
  <c r="O190" i="14"/>
  <c r="S190" i="14" s="1"/>
  <c r="Q189" i="14"/>
  <c r="P189" i="14"/>
  <c r="O189" i="14"/>
  <c r="S189" i="14" s="1"/>
  <c r="Q188" i="14"/>
  <c r="P188" i="14"/>
  <c r="O188" i="14"/>
  <c r="Q186" i="14"/>
  <c r="P186" i="14"/>
  <c r="O186" i="14"/>
  <c r="S186" i="14" s="1"/>
  <c r="Q185" i="14"/>
  <c r="P185" i="14"/>
  <c r="O185" i="14"/>
  <c r="S185" i="14" s="1"/>
  <c r="Q184" i="14"/>
  <c r="P184" i="14"/>
  <c r="O184" i="14"/>
  <c r="S184" i="14" s="1"/>
  <c r="Q182" i="14"/>
  <c r="P182" i="14"/>
  <c r="O182" i="14"/>
  <c r="S182" i="14" s="1"/>
  <c r="Q181" i="14"/>
  <c r="S181" i="14" s="1"/>
  <c r="P181" i="14"/>
  <c r="O181" i="14"/>
  <c r="Q180" i="14"/>
  <c r="P180" i="14"/>
  <c r="O180" i="14"/>
  <c r="S180" i="14" s="1"/>
  <c r="Q174" i="14"/>
  <c r="P174" i="14"/>
  <c r="O174" i="14"/>
  <c r="S174" i="14" s="1"/>
  <c r="Q173" i="14"/>
  <c r="P173" i="14"/>
  <c r="O173" i="14"/>
  <c r="S173" i="14" s="1"/>
  <c r="Q171" i="14"/>
  <c r="P171" i="14"/>
  <c r="O171" i="14"/>
  <c r="S171" i="14" s="1"/>
  <c r="Q170" i="14"/>
  <c r="P170" i="14"/>
  <c r="O170" i="14"/>
  <c r="Q168" i="14"/>
  <c r="P168" i="14"/>
  <c r="O168" i="14"/>
  <c r="Q167" i="14"/>
  <c r="P167" i="14"/>
  <c r="O167" i="14"/>
  <c r="S167" i="14" s="1"/>
  <c r="Q165" i="14"/>
  <c r="P165" i="14"/>
  <c r="O165" i="14"/>
  <c r="S165" i="14" s="1"/>
  <c r="Q164" i="14"/>
  <c r="P164" i="14"/>
  <c r="O164" i="14"/>
  <c r="S164" i="14" s="1"/>
  <c r="Q162" i="14"/>
  <c r="P162" i="14"/>
  <c r="O162" i="14"/>
  <c r="Q161" i="14"/>
  <c r="P161" i="14"/>
  <c r="O161" i="14"/>
  <c r="S161" i="14" s="1"/>
  <c r="Q155" i="14"/>
  <c r="P155" i="14"/>
  <c r="O155" i="14"/>
  <c r="S155" i="14" s="1"/>
  <c r="Q154" i="14"/>
  <c r="P154" i="14"/>
  <c r="O154" i="14"/>
  <c r="S154" i="14" s="1"/>
  <c r="Q153" i="14"/>
  <c r="P153" i="14"/>
  <c r="O153" i="14"/>
  <c r="S153" i="14" s="1"/>
  <c r="Q152" i="14"/>
  <c r="P152" i="14"/>
  <c r="O152" i="14"/>
  <c r="Q150" i="14"/>
  <c r="P150" i="14"/>
  <c r="O150" i="14"/>
  <c r="S150" i="14" s="1"/>
  <c r="Q149" i="14"/>
  <c r="P149" i="14"/>
  <c r="O149" i="14"/>
  <c r="S149" i="14" s="1"/>
  <c r="Q148" i="14"/>
  <c r="P148" i="14"/>
  <c r="O148" i="14"/>
  <c r="S148" i="14" s="1"/>
  <c r="Q147" i="14"/>
  <c r="P147" i="14"/>
  <c r="O147" i="14"/>
  <c r="S147" i="14" s="1"/>
  <c r="S145" i="14"/>
  <c r="Q145" i="14"/>
  <c r="P145" i="14"/>
  <c r="O145" i="14"/>
  <c r="Q144" i="14"/>
  <c r="P144" i="14"/>
  <c r="O144" i="14"/>
  <c r="S144" i="14" s="1"/>
  <c r="Q143" i="14"/>
  <c r="P143" i="14"/>
  <c r="O143" i="14"/>
  <c r="S143" i="14" s="1"/>
  <c r="Q142" i="14"/>
  <c r="P142" i="14"/>
  <c r="O142" i="14"/>
  <c r="S142" i="14" s="1"/>
  <c r="Q140" i="14"/>
  <c r="P140" i="14"/>
  <c r="O140" i="14"/>
  <c r="S140" i="14" s="1"/>
  <c r="Q139" i="14"/>
  <c r="P139" i="14"/>
  <c r="O139" i="14"/>
  <c r="S139" i="14" s="1"/>
  <c r="Q138" i="14"/>
  <c r="P138" i="14"/>
  <c r="O138" i="14"/>
  <c r="Q137" i="14"/>
  <c r="P137" i="14"/>
  <c r="O137" i="14"/>
  <c r="S137" i="14" s="1"/>
  <c r="Q135" i="14"/>
  <c r="P135" i="14"/>
  <c r="O135" i="14"/>
  <c r="S135" i="14" s="1"/>
  <c r="Q134" i="14"/>
  <c r="P134" i="14"/>
  <c r="O134" i="14"/>
  <c r="S134" i="14" s="1"/>
  <c r="Q133" i="14"/>
  <c r="P133" i="14"/>
  <c r="O133" i="14"/>
  <c r="S133" i="14" s="1"/>
  <c r="Q132" i="14"/>
  <c r="P132" i="14"/>
  <c r="O132" i="14"/>
  <c r="S132" i="14" s="1"/>
  <c r="Q126" i="14"/>
  <c r="P126" i="14"/>
  <c r="O126" i="14"/>
  <c r="S126" i="14" s="1"/>
  <c r="Q125" i="14"/>
  <c r="P125" i="14"/>
  <c r="O125" i="14"/>
  <c r="S125" i="14" s="1"/>
  <c r="Q124" i="14"/>
  <c r="P124" i="14"/>
  <c r="S124" i="14" s="1"/>
  <c r="O124" i="14"/>
  <c r="Q123" i="14"/>
  <c r="P123" i="14"/>
  <c r="O123" i="14"/>
  <c r="S123" i="14" s="1"/>
  <c r="Q121" i="14"/>
  <c r="P121" i="14"/>
  <c r="O121" i="14"/>
  <c r="S121" i="14" s="1"/>
  <c r="Q120" i="14"/>
  <c r="P120" i="14"/>
  <c r="O120" i="14"/>
  <c r="S120" i="14" s="1"/>
  <c r="Q119" i="14"/>
  <c r="P119" i="14"/>
  <c r="O119" i="14"/>
  <c r="Q118" i="14"/>
  <c r="P118" i="14"/>
  <c r="O118" i="14"/>
  <c r="Q116" i="14"/>
  <c r="P116" i="14"/>
  <c r="O116" i="14"/>
  <c r="S116" i="14" s="1"/>
  <c r="Q115" i="14"/>
  <c r="P115" i="14"/>
  <c r="O115" i="14"/>
  <c r="S115" i="14" s="1"/>
  <c r="Q114" i="14"/>
  <c r="P114" i="14"/>
  <c r="O114" i="14"/>
  <c r="S114" i="14" s="1"/>
  <c r="Q113" i="14"/>
  <c r="P113" i="14"/>
  <c r="O113" i="14"/>
  <c r="S113" i="14" s="1"/>
  <c r="Q111" i="14"/>
  <c r="S111" i="14" s="1"/>
  <c r="P111" i="14"/>
  <c r="O111" i="14"/>
  <c r="Q110" i="14"/>
  <c r="P110" i="14"/>
  <c r="O110" i="14"/>
  <c r="S110" i="14" s="1"/>
  <c r="Q109" i="14"/>
  <c r="P109" i="14"/>
  <c r="O109" i="14"/>
  <c r="S109" i="14" s="1"/>
  <c r="Q108" i="14"/>
  <c r="P108" i="14"/>
  <c r="O108" i="14"/>
  <c r="S108" i="14" s="1"/>
  <c r="Q106" i="14"/>
  <c r="P106" i="14"/>
  <c r="O106" i="14"/>
  <c r="S106" i="14" s="1"/>
  <c r="Q105" i="14"/>
  <c r="P105" i="14"/>
  <c r="O105" i="14"/>
  <c r="Q104" i="14"/>
  <c r="P104" i="14"/>
  <c r="O104" i="14"/>
  <c r="S104" i="14" s="1"/>
  <c r="Q103" i="14"/>
  <c r="P103" i="14"/>
  <c r="O103" i="14"/>
  <c r="S103" i="14" s="1"/>
  <c r="Q97" i="14"/>
  <c r="P97" i="14"/>
  <c r="O97" i="14"/>
  <c r="S97" i="14" s="1"/>
  <c r="Q96" i="14"/>
  <c r="P96" i="14"/>
  <c r="O96" i="14"/>
  <c r="S96" i="14" s="1"/>
  <c r="Q95" i="14"/>
  <c r="P95" i="14"/>
  <c r="O95" i="14"/>
  <c r="Q94" i="14"/>
  <c r="P94" i="14"/>
  <c r="O94" i="14"/>
  <c r="S94" i="14" s="1"/>
  <c r="Q92" i="14"/>
  <c r="P92" i="14"/>
  <c r="O92" i="14"/>
  <c r="S92" i="14" s="1"/>
  <c r="Q91" i="14"/>
  <c r="P91" i="14"/>
  <c r="O91" i="14"/>
  <c r="S91" i="14" s="1"/>
  <c r="Q90" i="14"/>
  <c r="P90" i="14"/>
  <c r="O90" i="14"/>
  <c r="Q89" i="14"/>
  <c r="P89" i="14"/>
  <c r="O89" i="14"/>
  <c r="Q87" i="14"/>
  <c r="P87" i="14"/>
  <c r="O87" i="14"/>
  <c r="S87" i="14" s="1"/>
  <c r="Q86" i="14"/>
  <c r="P86" i="14"/>
  <c r="O86" i="14"/>
  <c r="S86" i="14" s="1"/>
  <c r="Q85" i="14"/>
  <c r="P85" i="14"/>
  <c r="O85" i="14"/>
  <c r="S85" i="14" s="1"/>
  <c r="Q84" i="14"/>
  <c r="P84" i="14"/>
  <c r="O84" i="14"/>
  <c r="S84" i="14" s="1"/>
  <c r="S82" i="14"/>
  <c r="Q82" i="14"/>
  <c r="P82" i="14"/>
  <c r="O82" i="14"/>
  <c r="Q81" i="14"/>
  <c r="P81" i="14"/>
  <c r="O81" i="14"/>
  <c r="S81" i="14" s="1"/>
  <c r="Q80" i="14"/>
  <c r="P80" i="14"/>
  <c r="O80" i="14"/>
  <c r="S80" i="14" s="1"/>
  <c r="Q79" i="14"/>
  <c r="P79" i="14"/>
  <c r="O79" i="14"/>
  <c r="S79" i="14" s="1"/>
  <c r="Q77" i="14"/>
  <c r="P77" i="14"/>
  <c r="S77" i="14" s="1"/>
  <c r="O77" i="14"/>
  <c r="Q76" i="14"/>
  <c r="P76" i="14"/>
  <c r="O76" i="14"/>
  <c r="S76" i="14" s="1"/>
  <c r="Q75" i="14"/>
  <c r="P75" i="14"/>
  <c r="O75" i="14"/>
  <c r="Q74" i="14"/>
  <c r="P74" i="14"/>
  <c r="O74" i="14"/>
  <c r="S74" i="14" s="1"/>
  <c r="Q68" i="14"/>
  <c r="P68" i="14"/>
  <c r="O68" i="14"/>
  <c r="S68" i="14" s="1"/>
  <c r="Q67" i="14"/>
  <c r="P67" i="14"/>
  <c r="O67" i="14"/>
  <c r="Q65" i="14"/>
  <c r="P65" i="14"/>
  <c r="O65" i="14"/>
  <c r="S65" i="14" s="1"/>
  <c r="Q64" i="14"/>
  <c r="P64" i="14"/>
  <c r="O64" i="14"/>
  <c r="S64" i="14" s="1"/>
  <c r="Q62" i="14"/>
  <c r="P62" i="14"/>
  <c r="O62" i="14"/>
  <c r="S62" i="14" s="1"/>
  <c r="Q61" i="14"/>
  <c r="P61" i="14"/>
  <c r="O61" i="14"/>
  <c r="S61" i="14" s="1"/>
  <c r="Q59" i="14"/>
  <c r="P59" i="14"/>
  <c r="O59" i="14"/>
  <c r="Q58" i="14"/>
  <c r="P58" i="14"/>
  <c r="O58" i="14"/>
  <c r="S58" i="14" s="1"/>
  <c r="Q56" i="14"/>
  <c r="P56" i="14"/>
  <c r="O56" i="14"/>
  <c r="S56" i="14" s="1"/>
  <c r="Q55" i="14"/>
  <c r="P55" i="14"/>
  <c r="O55" i="14"/>
  <c r="S55" i="14" s="1"/>
  <c r="Q49" i="14"/>
  <c r="P49" i="14"/>
  <c r="O49" i="14"/>
  <c r="S49" i="14" s="1"/>
  <c r="Q48" i="14"/>
  <c r="P48" i="14"/>
  <c r="O48" i="14"/>
  <c r="Q46" i="14"/>
  <c r="P46" i="14"/>
  <c r="O46" i="14"/>
  <c r="S46" i="14" s="1"/>
  <c r="Q45" i="14"/>
  <c r="P45" i="14"/>
  <c r="O45" i="14"/>
  <c r="S45" i="14" s="1"/>
  <c r="Q43" i="14"/>
  <c r="P43" i="14"/>
  <c r="O43" i="14"/>
  <c r="S43" i="14" s="1"/>
  <c r="Q42" i="14"/>
  <c r="P42" i="14"/>
  <c r="O42" i="14"/>
  <c r="S42" i="14" s="1"/>
  <c r="Q40" i="14"/>
  <c r="S40" i="14" s="1"/>
  <c r="P40" i="14"/>
  <c r="O40" i="14"/>
  <c r="Q39" i="14"/>
  <c r="P39" i="14"/>
  <c r="O39" i="14"/>
  <c r="S39" i="14" s="1"/>
  <c r="Q37" i="14"/>
  <c r="P37" i="14"/>
  <c r="O37" i="14"/>
  <c r="Q36" i="14"/>
  <c r="P36" i="14"/>
  <c r="O36" i="14"/>
  <c r="S36" i="14" s="1"/>
  <c r="Q30" i="14"/>
  <c r="P30" i="14"/>
  <c r="O30" i="14"/>
  <c r="S30" i="14" s="1"/>
  <c r="Q29" i="14"/>
  <c r="P29" i="14"/>
  <c r="O29" i="14"/>
  <c r="Q28" i="14"/>
  <c r="P28" i="14"/>
  <c r="O28" i="14"/>
  <c r="S28" i="14" s="1"/>
  <c r="Q26" i="14"/>
  <c r="P26" i="14"/>
  <c r="O26" i="14"/>
  <c r="S26" i="14" s="1"/>
  <c r="Q25" i="14"/>
  <c r="P25" i="14"/>
  <c r="O25" i="14"/>
  <c r="S25" i="14" s="1"/>
  <c r="Q24" i="14"/>
  <c r="P24" i="14"/>
  <c r="O24" i="14"/>
  <c r="S24" i="14" s="1"/>
  <c r="S22" i="14"/>
  <c r="Q22" i="14"/>
  <c r="P22" i="14"/>
  <c r="O22" i="14"/>
  <c r="Q21" i="14"/>
  <c r="P21" i="14"/>
  <c r="O21" i="14"/>
  <c r="S21" i="14" s="1"/>
  <c r="Q20" i="14"/>
  <c r="P20" i="14"/>
  <c r="O20" i="14"/>
  <c r="S20" i="14" s="1"/>
  <c r="Q18" i="14"/>
  <c r="P18" i="14"/>
  <c r="O18" i="14"/>
  <c r="S18" i="14" s="1"/>
  <c r="Q17" i="14"/>
  <c r="P17" i="14"/>
  <c r="O17" i="14"/>
  <c r="Q16" i="14"/>
  <c r="P16" i="14"/>
  <c r="O16" i="14"/>
  <c r="S16" i="14" s="1"/>
  <c r="Q14" i="14"/>
  <c r="P14" i="14"/>
  <c r="O14" i="14"/>
  <c r="S14" i="14" s="1"/>
  <c r="Q13" i="14"/>
  <c r="P13" i="14"/>
  <c r="O13" i="14"/>
  <c r="S13" i="14" s="1"/>
  <c r="Q12" i="14"/>
  <c r="P12" i="14"/>
  <c r="O12" i="14"/>
  <c r="S12" i="14" s="1"/>
  <c r="S347" i="13"/>
  <c r="S341" i="13"/>
  <c r="S340" i="13"/>
  <c r="S335" i="13"/>
  <c r="S334" i="13"/>
  <c r="S315" i="13"/>
  <c r="S313" i="13"/>
  <c r="S312" i="13"/>
  <c r="S303" i="13"/>
  <c r="S302" i="13"/>
  <c r="S283" i="13"/>
  <c r="S281" i="13"/>
  <c r="S280" i="13"/>
  <c r="S275" i="13"/>
  <c r="S274" i="13"/>
  <c r="S255" i="13"/>
  <c r="S253" i="13"/>
  <c r="S252" i="13"/>
  <c r="S244" i="13"/>
  <c r="S242" i="13"/>
  <c r="S229" i="13"/>
  <c r="S228" i="13"/>
  <c r="S222" i="13"/>
  <c r="S218" i="13"/>
  <c r="S217" i="13"/>
  <c r="S204" i="13"/>
  <c r="S198" i="13"/>
  <c r="S197" i="13"/>
  <c r="S193" i="13"/>
  <c r="S192" i="13"/>
  <c r="S174" i="13"/>
  <c r="S173" i="13"/>
  <c r="S171" i="13"/>
  <c r="S167" i="13"/>
  <c r="S165" i="13"/>
  <c r="S148" i="13"/>
  <c r="S147" i="13"/>
  <c r="S145" i="13"/>
  <c r="S142" i="13"/>
  <c r="S140" i="13"/>
  <c r="S124" i="13"/>
  <c r="S123" i="13"/>
  <c r="S121" i="13"/>
  <c r="S118" i="13"/>
  <c r="S116" i="13"/>
  <c r="S104" i="13"/>
  <c r="S103" i="13"/>
  <c r="S97" i="13"/>
  <c r="S94" i="13"/>
  <c r="S92" i="13"/>
  <c r="S80" i="13"/>
  <c r="S79" i="13"/>
  <c r="S77" i="13"/>
  <c r="S74" i="13"/>
  <c r="S68" i="13"/>
  <c r="S49" i="13"/>
  <c r="S48" i="13"/>
  <c r="S46" i="13"/>
  <c r="S42" i="13"/>
  <c r="S40" i="13"/>
  <c r="S22" i="13"/>
  <c r="S21" i="13"/>
  <c r="S20" i="13"/>
  <c r="S16" i="13"/>
  <c r="S14" i="13"/>
  <c r="N78" i="12"/>
  <c r="N55" i="12"/>
  <c r="N37" i="12"/>
  <c r="N14" i="12"/>
  <c r="Q360" i="13"/>
  <c r="P360" i="13"/>
  <c r="O360" i="13"/>
  <c r="S360" i="13" s="1"/>
  <c r="Q359" i="13"/>
  <c r="P359" i="13"/>
  <c r="O359" i="13"/>
  <c r="S359" i="13" s="1"/>
  <c r="Q357" i="13"/>
  <c r="P357" i="13"/>
  <c r="O357" i="13"/>
  <c r="S357" i="13" s="1"/>
  <c r="Q356" i="13"/>
  <c r="P356" i="13"/>
  <c r="O356" i="13"/>
  <c r="S356" i="13" s="1"/>
  <c r="Q354" i="13"/>
  <c r="P354" i="13"/>
  <c r="O354" i="13"/>
  <c r="S354" i="13" s="1"/>
  <c r="Q353" i="13"/>
  <c r="P353" i="13"/>
  <c r="O353" i="13"/>
  <c r="S353" i="13" s="1"/>
  <c r="Q351" i="13"/>
  <c r="P351" i="13"/>
  <c r="O351" i="13"/>
  <c r="S351" i="13" s="1"/>
  <c r="Q350" i="13"/>
  <c r="P350" i="13"/>
  <c r="O350" i="13"/>
  <c r="S350" i="13" s="1"/>
  <c r="Q348" i="13"/>
  <c r="P348" i="13"/>
  <c r="S348" i="13" s="1"/>
  <c r="O348" i="13"/>
  <c r="Q347" i="13"/>
  <c r="P347" i="13"/>
  <c r="O347" i="13"/>
  <c r="Q341" i="13"/>
  <c r="P341" i="13"/>
  <c r="O341" i="13"/>
  <c r="Q340" i="13"/>
  <c r="P340" i="13"/>
  <c r="O340" i="13"/>
  <c r="Q338" i="13"/>
  <c r="P338" i="13"/>
  <c r="O338" i="13"/>
  <c r="S338" i="13" s="1"/>
  <c r="Q337" i="13"/>
  <c r="P337" i="13"/>
  <c r="O337" i="13"/>
  <c r="S337" i="13" s="1"/>
  <c r="Q335" i="13"/>
  <c r="P335" i="13"/>
  <c r="O335" i="13"/>
  <c r="Q334" i="13"/>
  <c r="P334" i="13"/>
  <c r="O334" i="13"/>
  <c r="Q332" i="13"/>
  <c r="P332" i="13"/>
  <c r="O332" i="13"/>
  <c r="S332" i="13" s="1"/>
  <c r="Q331" i="13"/>
  <c r="P331" i="13"/>
  <c r="O331" i="13"/>
  <c r="S331" i="13" s="1"/>
  <c r="Q329" i="13"/>
  <c r="P329" i="13"/>
  <c r="O329" i="13"/>
  <c r="S329" i="13" s="1"/>
  <c r="Q328" i="13"/>
  <c r="P328" i="13"/>
  <c r="O328" i="13"/>
  <c r="S328" i="13" s="1"/>
  <c r="Q322" i="13"/>
  <c r="P322" i="13"/>
  <c r="O322" i="13"/>
  <c r="S322" i="13" s="1"/>
  <c r="Q321" i="13"/>
  <c r="P321" i="13"/>
  <c r="O321" i="13"/>
  <c r="S321" i="13" s="1"/>
  <c r="Q319" i="13"/>
  <c r="P319" i="13"/>
  <c r="O319" i="13"/>
  <c r="S319" i="13" s="1"/>
  <c r="Q318" i="13"/>
  <c r="P318" i="13"/>
  <c r="O318" i="13"/>
  <c r="S318" i="13" s="1"/>
  <c r="Q316" i="13"/>
  <c r="P316" i="13"/>
  <c r="S316" i="13" s="1"/>
  <c r="O316" i="13"/>
  <c r="Q315" i="13"/>
  <c r="P315" i="13"/>
  <c r="O315" i="13"/>
  <c r="Q313" i="13"/>
  <c r="P313" i="13"/>
  <c r="O313" i="13"/>
  <c r="Q312" i="13"/>
  <c r="P312" i="13"/>
  <c r="O312" i="13"/>
  <c r="Q310" i="13"/>
  <c r="P310" i="13"/>
  <c r="O310" i="13"/>
  <c r="S310" i="13" s="1"/>
  <c r="Q309" i="13"/>
  <c r="P309" i="13"/>
  <c r="O309" i="13"/>
  <c r="S309" i="13" s="1"/>
  <c r="Q303" i="13"/>
  <c r="P303" i="13"/>
  <c r="O303" i="13"/>
  <c r="Q302" i="13"/>
  <c r="P302" i="13"/>
  <c r="O302" i="13"/>
  <c r="Q300" i="13"/>
  <c r="P300" i="13"/>
  <c r="O300" i="13"/>
  <c r="S300" i="13" s="1"/>
  <c r="Q299" i="13"/>
  <c r="P299" i="13"/>
  <c r="O299" i="13"/>
  <c r="S299" i="13" s="1"/>
  <c r="Q297" i="13"/>
  <c r="P297" i="13"/>
  <c r="O297" i="13"/>
  <c r="S297" i="13" s="1"/>
  <c r="Q296" i="13"/>
  <c r="P296" i="13"/>
  <c r="O296" i="13"/>
  <c r="S296" i="13" s="1"/>
  <c r="Q294" i="13"/>
  <c r="P294" i="13"/>
  <c r="O294" i="13"/>
  <c r="S294" i="13" s="1"/>
  <c r="Q293" i="13"/>
  <c r="P293" i="13"/>
  <c r="O293" i="13"/>
  <c r="S293" i="13" s="1"/>
  <c r="Q291" i="13"/>
  <c r="P291" i="13"/>
  <c r="O291" i="13"/>
  <c r="S291" i="13" s="1"/>
  <c r="Q290" i="13"/>
  <c r="P290" i="13"/>
  <c r="O290" i="13"/>
  <c r="S290" i="13" s="1"/>
  <c r="Q284" i="13"/>
  <c r="P284" i="13"/>
  <c r="S284" i="13" s="1"/>
  <c r="O284" i="13"/>
  <c r="Q283" i="13"/>
  <c r="P283" i="13"/>
  <c r="O283" i="13"/>
  <c r="Q281" i="13"/>
  <c r="P281" i="13"/>
  <c r="O281" i="13"/>
  <c r="Q280" i="13"/>
  <c r="P280" i="13"/>
  <c r="O280" i="13"/>
  <c r="Q278" i="13"/>
  <c r="P278" i="13"/>
  <c r="O278" i="13"/>
  <c r="S278" i="13" s="1"/>
  <c r="Q277" i="13"/>
  <c r="P277" i="13"/>
  <c r="O277" i="13"/>
  <c r="S277" i="13" s="1"/>
  <c r="Q275" i="13"/>
  <c r="P275" i="13"/>
  <c r="O275" i="13"/>
  <c r="Q274" i="13"/>
  <c r="P274" i="13"/>
  <c r="O274" i="13"/>
  <c r="Q272" i="13"/>
  <c r="P272" i="13"/>
  <c r="O272" i="13"/>
  <c r="S272" i="13" s="1"/>
  <c r="Q271" i="13"/>
  <c r="P271" i="13"/>
  <c r="O271" i="13"/>
  <c r="S271" i="13" s="1"/>
  <c r="Q265" i="13"/>
  <c r="P265" i="13"/>
  <c r="O265" i="13"/>
  <c r="S265" i="13" s="1"/>
  <c r="Q264" i="13"/>
  <c r="P264" i="13"/>
  <c r="O264" i="13"/>
  <c r="S264" i="13" s="1"/>
  <c r="Q262" i="13"/>
  <c r="P262" i="13"/>
  <c r="O262" i="13"/>
  <c r="S262" i="13" s="1"/>
  <c r="Q261" i="13"/>
  <c r="P261" i="13"/>
  <c r="O261" i="13"/>
  <c r="S261" i="13" s="1"/>
  <c r="Q259" i="13"/>
  <c r="P259" i="13"/>
  <c r="O259" i="13"/>
  <c r="S259" i="13" s="1"/>
  <c r="Q258" i="13"/>
  <c r="P258" i="13"/>
  <c r="O258" i="13"/>
  <c r="S258" i="13" s="1"/>
  <c r="Q256" i="13"/>
  <c r="P256" i="13"/>
  <c r="S256" i="13" s="1"/>
  <c r="O256" i="13"/>
  <c r="Q255" i="13"/>
  <c r="P255" i="13"/>
  <c r="O255" i="13"/>
  <c r="Q253" i="13"/>
  <c r="P253" i="13"/>
  <c r="O253" i="13"/>
  <c r="Q252" i="13"/>
  <c r="P252" i="13"/>
  <c r="O252" i="13"/>
  <c r="Q246" i="13"/>
  <c r="P246" i="13"/>
  <c r="O246" i="13"/>
  <c r="S246" i="13" s="1"/>
  <c r="Q245" i="13"/>
  <c r="P245" i="13"/>
  <c r="O245" i="13"/>
  <c r="S245" i="13" s="1"/>
  <c r="Q244" i="13"/>
  <c r="P244" i="13"/>
  <c r="O244" i="13"/>
  <c r="Q242" i="13"/>
  <c r="P242" i="13"/>
  <c r="O242" i="13"/>
  <c r="Q241" i="13"/>
  <c r="P241" i="13"/>
  <c r="O241" i="13"/>
  <c r="S241" i="13" s="1"/>
  <c r="Q240" i="13"/>
  <c r="P240" i="13"/>
  <c r="O240" i="13"/>
  <c r="S240" i="13" s="1"/>
  <c r="Q238" i="13"/>
  <c r="P238" i="13"/>
  <c r="O238" i="13"/>
  <c r="S238" i="13" s="1"/>
  <c r="Q237" i="13"/>
  <c r="P237" i="13"/>
  <c r="O237" i="13"/>
  <c r="S237" i="13" s="1"/>
  <c r="Q236" i="13"/>
  <c r="P236" i="13"/>
  <c r="O236" i="13"/>
  <c r="S236" i="13" s="1"/>
  <c r="Q234" i="13"/>
  <c r="P234" i="13"/>
  <c r="O234" i="13"/>
  <c r="S234" i="13" s="1"/>
  <c r="Q233" i="13"/>
  <c r="P233" i="13"/>
  <c r="O233" i="13"/>
  <c r="S233" i="13" s="1"/>
  <c r="Q232" i="13"/>
  <c r="P232" i="13"/>
  <c r="O232" i="13"/>
  <c r="S232" i="13" s="1"/>
  <c r="Q230" i="13"/>
  <c r="P230" i="13"/>
  <c r="S230" i="13" s="1"/>
  <c r="O230" i="13"/>
  <c r="Q229" i="13"/>
  <c r="P229" i="13"/>
  <c r="O229" i="13"/>
  <c r="Q228" i="13"/>
  <c r="P228" i="13"/>
  <c r="O228" i="13"/>
  <c r="Q222" i="13"/>
  <c r="P222" i="13"/>
  <c r="O222" i="13"/>
  <c r="Q221" i="13"/>
  <c r="P221" i="13"/>
  <c r="O221" i="13"/>
  <c r="S221" i="13" s="1"/>
  <c r="Q220" i="13"/>
  <c r="P220" i="13"/>
  <c r="O220" i="13"/>
  <c r="S220" i="13" s="1"/>
  <c r="Q218" i="13"/>
  <c r="P218" i="13"/>
  <c r="O218" i="13"/>
  <c r="Q217" i="13"/>
  <c r="P217" i="13"/>
  <c r="O217" i="13"/>
  <c r="Q216" i="13"/>
  <c r="P216" i="13"/>
  <c r="O216" i="13"/>
  <c r="S216" i="13" s="1"/>
  <c r="Q214" i="13"/>
  <c r="P214" i="13"/>
  <c r="O214" i="13"/>
  <c r="S214" i="13" s="1"/>
  <c r="Q213" i="13"/>
  <c r="P213" i="13"/>
  <c r="O213" i="13"/>
  <c r="S213" i="13" s="1"/>
  <c r="Q212" i="13"/>
  <c r="P212" i="13"/>
  <c r="O212" i="13"/>
  <c r="S212" i="13" s="1"/>
  <c r="Q210" i="13"/>
  <c r="P210" i="13"/>
  <c r="O210" i="13"/>
  <c r="S210" i="13" s="1"/>
  <c r="Q209" i="13"/>
  <c r="P209" i="13"/>
  <c r="O209" i="13"/>
  <c r="S209" i="13" s="1"/>
  <c r="Q208" i="13"/>
  <c r="P208" i="13"/>
  <c r="O208" i="13"/>
  <c r="S208" i="13" s="1"/>
  <c r="Q206" i="13"/>
  <c r="P206" i="13"/>
  <c r="O206" i="13"/>
  <c r="S206" i="13" s="1"/>
  <c r="Q205" i="13"/>
  <c r="P205" i="13"/>
  <c r="S205" i="13" s="1"/>
  <c r="O205" i="13"/>
  <c r="Q204" i="13"/>
  <c r="P204" i="13"/>
  <c r="O204" i="13"/>
  <c r="Q198" i="13"/>
  <c r="P198" i="13"/>
  <c r="O198" i="13"/>
  <c r="Q197" i="13"/>
  <c r="P197" i="13"/>
  <c r="O197" i="13"/>
  <c r="Q196" i="13"/>
  <c r="P196" i="13"/>
  <c r="O196" i="13"/>
  <c r="S196" i="13" s="1"/>
  <c r="Q194" i="13"/>
  <c r="P194" i="13"/>
  <c r="O194" i="13"/>
  <c r="S194" i="13" s="1"/>
  <c r="Q193" i="13"/>
  <c r="P193" i="13"/>
  <c r="O193" i="13"/>
  <c r="Q192" i="13"/>
  <c r="P192" i="13"/>
  <c r="O192" i="13"/>
  <c r="Q190" i="13"/>
  <c r="P190" i="13"/>
  <c r="O190" i="13"/>
  <c r="S190" i="13" s="1"/>
  <c r="Q189" i="13"/>
  <c r="P189" i="13"/>
  <c r="O189" i="13"/>
  <c r="S189" i="13" s="1"/>
  <c r="Q188" i="13"/>
  <c r="P188" i="13"/>
  <c r="O188" i="13"/>
  <c r="S188" i="13" s="1"/>
  <c r="Q186" i="13"/>
  <c r="P186" i="13"/>
  <c r="O186" i="13"/>
  <c r="S186" i="13" s="1"/>
  <c r="Q185" i="13"/>
  <c r="P185" i="13"/>
  <c r="O185" i="13"/>
  <c r="S185" i="13" s="1"/>
  <c r="Q184" i="13"/>
  <c r="P184" i="13"/>
  <c r="O184" i="13"/>
  <c r="S184" i="13" s="1"/>
  <c r="Q182" i="13"/>
  <c r="P182" i="13"/>
  <c r="O182" i="13"/>
  <c r="S182" i="13" s="1"/>
  <c r="Q181" i="13"/>
  <c r="P181" i="13"/>
  <c r="O181" i="13"/>
  <c r="S181" i="13" s="1"/>
  <c r="Q180" i="13"/>
  <c r="P180" i="13"/>
  <c r="S180" i="13" s="1"/>
  <c r="O180" i="13"/>
  <c r="Q174" i="13"/>
  <c r="P174" i="13"/>
  <c r="O174" i="13"/>
  <c r="Q173" i="13"/>
  <c r="P173" i="13"/>
  <c r="O173" i="13"/>
  <c r="Q171" i="13"/>
  <c r="P171" i="13"/>
  <c r="O171" i="13"/>
  <c r="Q170" i="13"/>
  <c r="P170" i="13"/>
  <c r="O170" i="13"/>
  <c r="S170" i="13" s="1"/>
  <c r="Q168" i="13"/>
  <c r="P168" i="13"/>
  <c r="O168" i="13"/>
  <c r="S168" i="13" s="1"/>
  <c r="Q167" i="13"/>
  <c r="P167" i="13"/>
  <c r="O167" i="13"/>
  <c r="Q165" i="13"/>
  <c r="P165" i="13"/>
  <c r="O165" i="13"/>
  <c r="Q164" i="13"/>
  <c r="P164" i="13"/>
  <c r="O164" i="13"/>
  <c r="S164" i="13" s="1"/>
  <c r="Q162" i="13"/>
  <c r="P162" i="13"/>
  <c r="O162" i="13"/>
  <c r="S162" i="13" s="1"/>
  <c r="Q161" i="13"/>
  <c r="P161" i="13"/>
  <c r="O161" i="13"/>
  <c r="S161" i="13" s="1"/>
  <c r="Q155" i="13"/>
  <c r="P155" i="13"/>
  <c r="O155" i="13"/>
  <c r="S155" i="13" s="1"/>
  <c r="Q154" i="13"/>
  <c r="P154" i="13"/>
  <c r="O154" i="13"/>
  <c r="S154" i="13" s="1"/>
  <c r="Q153" i="13"/>
  <c r="P153" i="13"/>
  <c r="O153" i="13"/>
  <c r="S153" i="13" s="1"/>
  <c r="Q152" i="13"/>
  <c r="P152" i="13"/>
  <c r="O152" i="13"/>
  <c r="S152" i="13" s="1"/>
  <c r="Q150" i="13"/>
  <c r="P150" i="13"/>
  <c r="O150" i="13"/>
  <c r="S150" i="13" s="1"/>
  <c r="Q149" i="13"/>
  <c r="P149" i="13"/>
  <c r="S149" i="13" s="1"/>
  <c r="O149" i="13"/>
  <c r="Q148" i="13"/>
  <c r="P148" i="13"/>
  <c r="O148" i="13"/>
  <c r="Q147" i="13"/>
  <c r="P147" i="13"/>
  <c r="O147" i="13"/>
  <c r="Q145" i="13"/>
  <c r="P145" i="13"/>
  <c r="O145" i="13"/>
  <c r="Q144" i="13"/>
  <c r="P144" i="13"/>
  <c r="O144" i="13"/>
  <c r="S144" i="13" s="1"/>
  <c r="Q143" i="13"/>
  <c r="P143" i="13"/>
  <c r="O143" i="13"/>
  <c r="S143" i="13" s="1"/>
  <c r="Q142" i="13"/>
  <c r="P142" i="13"/>
  <c r="O142" i="13"/>
  <c r="Q140" i="13"/>
  <c r="P140" i="13"/>
  <c r="O140" i="13"/>
  <c r="Q139" i="13"/>
  <c r="P139" i="13"/>
  <c r="O139" i="13"/>
  <c r="S139" i="13" s="1"/>
  <c r="Q138" i="13"/>
  <c r="P138" i="13"/>
  <c r="O138" i="13"/>
  <c r="S138" i="13" s="1"/>
  <c r="Q137" i="13"/>
  <c r="P137" i="13"/>
  <c r="O137" i="13"/>
  <c r="S137" i="13" s="1"/>
  <c r="Q135" i="13"/>
  <c r="P135" i="13"/>
  <c r="O135" i="13"/>
  <c r="S135" i="13" s="1"/>
  <c r="Q134" i="13"/>
  <c r="P134" i="13"/>
  <c r="O134" i="13"/>
  <c r="S134" i="13" s="1"/>
  <c r="Q133" i="13"/>
  <c r="P133" i="13"/>
  <c r="O133" i="13"/>
  <c r="S133" i="13" s="1"/>
  <c r="Q132" i="13"/>
  <c r="P132" i="13"/>
  <c r="O132" i="13"/>
  <c r="S132" i="13" s="1"/>
  <c r="Q126" i="13"/>
  <c r="P126" i="13"/>
  <c r="O126" i="13"/>
  <c r="S126" i="13" s="1"/>
  <c r="Q125" i="13"/>
  <c r="P125" i="13"/>
  <c r="S125" i="13" s="1"/>
  <c r="O125" i="13"/>
  <c r="Q124" i="13"/>
  <c r="P124" i="13"/>
  <c r="O124" i="13"/>
  <c r="Q123" i="13"/>
  <c r="P123" i="13"/>
  <c r="O123" i="13"/>
  <c r="Q121" i="13"/>
  <c r="P121" i="13"/>
  <c r="O121" i="13"/>
  <c r="Q120" i="13"/>
  <c r="P120" i="13"/>
  <c r="O120" i="13"/>
  <c r="S120" i="13" s="1"/>
  <c r="Q119" i="13"/>
  <c r="P119" i="13"/>
  <c r="O119" i="13"/>
  <c r="S119" i="13" s="1"/>
  <c r="Q118" i="13"/>
  <c r="P118" i="13"/>
  <c r="O118" i="13"/>
  <c r="Q116" i="13"/>
  <c r="P116" i="13"/>
  <c r="O116" i="13"/>
  <c r="Q115" i="13"/>
  <c r="P115" i="13"/>
  <c r="O115" i="13"/>
  <c r="S115" i="13" s="1"/>
  <c r="Q114" i="13"/>
  <c r="P114" i="13"/>
  <c r="O114" i="13"/>
  <c r="S114" i="13" s="1"/>
  <c r="Q113" i="13"/>
  <c r="P113" i="13"/>
  <c r="O113" i="13"/>
  <c r="S113" i="13" s="1"/>
  <c r="Q111" i="13"/>
  <c r="P111" i="13"/>
  <c r="O111" i="13"/>
  <c r="S111" i="13" s="1"/>
  <c r="Q110" i="13"/>
  <c r="P110" i="13"/>
  <c r="O110" i="13"/>
  <c r="S110" i="13" s="1"/>
  <c r="Q109" i="13"/>
  <c r="P109" i="13"/>
  <c r="O109" i="13"/>
  <c r="S109" i="13" s="1"/>
  <c r="Q108" i="13"/>
  <c r="P108" i="13"/>
  <c r="O108" i="13"/>
  <c r="S108" i="13" s="1"/>
  <c r="Q106" i="13"/>
  <c r="P106" i="13"/>
  <c r="O106" i="13"/>
  <c r="S106" i="13" s="1"/>
  <c r="Q105" i="13"/>
  <c r="P105" i="13"/>
  <c r="S105" i="13" s="1"/>
  <c r="O105" i="13"/>
  <c r="Q104" i="13"/>
  <c r="P104" i="13"/>
  <c r="O104" i="13"/>
  <c r="Q103" i="13"/>
  <c r="P103" i="13"/>
  <c r="O103" i="13"/>
  <c r="Q97" i="13"/>
  <c r="P97" i="13"/>
  <c r="O97" i="13"/>
  <c r="Q96" i="13"/>
  <c r="P96" i="13"/>
  <c r="O96" i="13"/>
  <c r="S96" i="13" s="1"/>
  <c r="Q95" i="13"/>
  <c r="P95" i="13"/>
  <c r="O95" i="13"/>
  <c r="S95" i="13" s="1"/>
  <c r="Q94" i="13"/>
  <c r="P94" i="13"/>
  <c r="O94" i="13"/>
  <c r="Q92" i="13"/>
  <c r="P92" i="13"/>
  <c r="O92" i="13"/>
  <c r="Q91" i="13"/>
  <c r="P91" i="13"/>
  <c r="O91" i="13"/>
  <c r="S91" i="13" s="1"/>
  <c r="Q90" i="13"/>
  <c r="P90" i="13"/>
  <c r="O90" i="13"/>
  <c r="S90" i="13" s="1"/>
  <c r="Q89" i="13"/>
  <c r="P89" i="13"/>
  <c r="O89" i="13"/>
  <c r="S89" i="13" s="1"/>
  <c r="Q87" i="13"/>
  <c r="P87" i="13"/>
  <c r="O87" i="13"/>
  <c r="S87" i="13" s="1"/>
  <c r="Q86" i="13"/>
  <c r="P86" i="13"/>
  <c r="O86" i="13"/>
  <c r="S86" i="13" s="1"/>
  <c r="Q85" i="13"/>
  <c r="P85" i="13"/>
  <c r="O85" i="13"/>
  <c r="S85" i="13" s="1"/>
  <c r="Q84" i="13"/>
  <c r="P84" i="13"/>
  <c r="O84" i="13"/>
  <c r="S84" i="13" s="1"/>
  <c r="Q82" i="13"/>
  <c r="P82" i="13"/>
  <c r="O82" i="13"/>
  <c r="S82" i="13" s="1"/>
  <c r="Q81" i="13"/>
  <c r="P81" i="13"/>
  <c r="S81" i="13" s="1"/>
  <c r="O81" i="13"/>
  <c r="Q80" i="13"/>
  <c r="P80" i="13"/>
  <c r="O80" i="13"/>
  <c r="Q79" i="13"/>
  <c r="P79" i="13"/>
  <c r="O79" i="13"/>
  <c r="Q77" i="13"/>
  <c r="P77" i="13"/>
  <c r="O77" i="13"/>
  <c r="Q76" i="13"/>
  <c r="P76" i="13"/>
  <c r="O76" i="13"/>
  <c r="S76" i="13" s="1"/>
  <c r="Q75" i="13"/>
  <c r="P75" i="13"/>
  <c r="O75" i="13"/>
  <c r="S75" i="13" s="1"/>
  <c r="Q74" i="13"/>
  <c r="P74" i="13"/>
  <c r="O74" i="13"/>
  <c r="Q68" i="13"/>
  <c r="P68" i="13"/>
  <c r="O68" i="13"/>
  <c r="Q67" i="13"/>
  <c r="P67" i="13"/>
  <c r="O67" i="13"/>
  <c r="S67" i="13" s="1"/>
  <c r="Q65" i="13"/>
  <c r="P65" i="13"/>
  <c r="O65" i="13"/>
  <c r="S65" i="13" s="1"/>
  <c r="Q64" i="13"/>
  <c r="P64" i="13"/>
  <c r="O64" i="13"/>
  <c r="S64" i="13" s="1"/>
  <c r="Q62" i="13"/>
  <c r="P62" i="13"/>
  <c r="O62" i="13"/>
  <c r="S62" i="13" s="1"/>
  <c r="Q61" i="13"/>
  <c r="P61" i="13"/>
  <c r="O61" i="13"/>
  <c r="S61" i="13" s="1"/>
  <c r="Q59" i="13"/>
  <c r="P59" i="13"/>
  <c r="O59" i="13"/>
  <c r="S59" i="13" s="1"/>
  <c r="Q58" i="13"/>
  <c r="P58" i="13"/>
  <c r="O58" i="13"/>
  <c r="S58" i="13" s="1"/>
  <c r="Q56" i="13"/>
  <c r="P56" i="13"/>
  <c r="O56" i="13"/>
  <c r="S56" i="13" s="1"/>
  <c r="Q55" i="13"/>
  <c r="P55" i="13"/>
  <c r="S55" i="13" s="1"/>
  <c r="O55" i="13"/>
  <c r="Q49" i="13"/>
  <c r="P49" i="13"/>
  <c r="O49" i="13"/>
  <c r="Q48" i="13"/>
  <c r="P48" i="13"/>
  <c r="O48" i="13"/>
  <c r="Q46" i="13"/>
  <c r="P46" i="13"/>
  <c r="O46" i="13"/>
  <c r="Q45" i="13"/>
  <c r="P45" i="13"/>
  <c r="O45" i="13"/>
  <c r="S45" i="13" s="1"/>
  <c r="Q43" i="13"/>
  <c r="P43" i="13"/>
  <c r="O43" i="13"/>
  <c r="S43" i="13" s="1"/>
  <c r="Q42" i="13"/>
  <c r="P42" i="13"/>
  <c r="O42" i="13"/>
  <c r="Q40" i="13"/>
  <c r="P40" i="13"/>
  <c r="O40" i="13"/>
  <c r="Q39" i="13"/>
  <c r="P39" i="13"/>
  <c r="O39" i="13"/>
  <c r="S39" i="13" s="1"/>
  <c r="Q37" i="13"/>
  <c r="P37" i="13"/>
  <c r="O37" i="13"/>
  <c r="S37" i="13" s="1"/>
  <c r="Q36" i="13"/>
  <c r="P36" i="13"/>
  <c r="O36" i="13"/>
  <c r="S36" i="13" s="1"/>
  <c r="Q30" i="13"/>
  <c r="P30" i="13"/>
  <c r="O30" i="13"/>
  <c r="S30" i="13" s="1"/>
  <c r="Q29" i="13"/>
  <c r="P29" i="13"/>
  <c r="O29" i="13"/>
  <c r="S29" i="13" s="1"/>
  <c r="Q28" i="13"/>
  <c r="P28" i="13"/>
  <c r="O28" i="13"/>
  <c r="S28" i="13" s="1"/>
  <c r="Q26" i="13"/>
  <c r="P26" i="13"/>
  <c r="O26" i="13"/>
  <c r="S26" i="13" s="1"/>
  <c r="Q25" i="13"/>
  <c r="P25" i="13"/>
  <c r="O25" i="13"/>
  <c r="S25" i="13" s="1"/>
  <c r="Q24" i="13"/>
  <c r="P24" i="13"/>
  <c r="S24" i="13" s="1"/>
  <c r="O24" i="13"/>
  <c r="Q22" i="13"/>
  <c r="P22" i="13"/>
  <c r="O22" i="13"/>
  <c r="Q21" i="13"/>
  <c r="P21" i="13"/>
  <c r="O21" i="13"/>
  <c r="Q20" i="13"/>
  <c r="P20" i="13"/>
  <c r="O20" i="13"/>
  <c r="Q18" i="13"/>
  <c r="P18" i="13"/>
  <c r="O18" i="13"/>
  <c r="S18" i="13" s="1"/>
  <c r="Q17" i="13"/>
  <c r="P17" i="13"/>
  <c r="O17" i="13"/>
  <c r="S17" i="13" s="1"/>
  <c r="Q16" i="13"/>
  <c r="P16" i="13"/>
  <c r="O16" i="13"/>
  <c r="Q14" i="13"/>
  <c r="P14" i="13"/>
  <c r="O14" i="13"/>
  <c r="Q13" i="13"/>
  <c r="P13" i="13"/>
  <c r="O13" i="13"/>
  <c r="S13" i="13" s="1"/>
  <c r="Q12" i="13"/>
  <c r="P12" i="13"/>
  <c r="O12" i="13"/>
  <c r="S12" i="13" s="1"/>
  <c r="L128" i="12"/>
  <c r="K128" i="12"/>
  <c r="J128" i="12"/>
  <c r="N128" i="12" s="1"/>
  <c r="L127" i="12"/>
  <c r="K127" i="12"/>
  <c r="J127" i="12"/>
  <c r="N127" i="12" s="1"/>
  <c r="L121" i="12"/>
  <c r="K121" i="12"/>
  <c r="J121" i="12"/>
  <c r="N121" i="12" s="1"/>
  <c r="L120" i="12"/>
  <c r="K120" i="12"/>
  <c r="J120" i="12"/>
  <c r="N120" i="12" s="1"/>
  <c r="L114" i="12"/>
  <c r="K114" i="12"/>
  <c r="J114" i="12"/>
  <c r="N114" i="12" s="1"/>
  <c r="L113" i="12"/>
  <c r="K113" i="12"/>
  <c r="N113" i="12" s="1"/>
  <c r="J113" i="12"/>
  <c r="L107" i="12"/>
  <c r="K107" i="12"/>
  <c r="J107" i="12"/>
  <c r="N107" i="12" s="1"/>
  <c r="L106" i="12"/>
  <c r="K106" i="12"/>
  <c r="N106" i="12" s="1"/>
  <c r="J106" i="12"/>
  <c r="L100" i="12"/>
  <c r="K100" i="12"/>
  <c r="J100" i="12"/>
  <c r="N100" i="12" s="1"/>
  <c r="L99" i="12"/>
  <c r="N99" i="12" s="1"/>
  <c r="K99" i="12"/>
  <c r="J99" i="12"/>
  <c r="L93" i="12"/>
  <c r="K93" i="12"/>
  <c r="J93" i="12"/>
  <c r="N93" i="12" s="1"/>
  <c r="L92" i="12"/>
  <c r="K92" i="12"/>
  <c r="J92" i="12"/>
  <c r="N92" i="12" s="1"/>
  <c r="L86" i="12"/>
  <c r="K86" i="12"/>
  <c r="J86" i="12"/>
  <c r="N86" i="12" s="1"/>
  <c r="L85" i="12"/>
  <c r="K85" i="12"/>
  <c r="J85" i="12"/>
  <c r="N85" i="12" s="1"/>
  <c r="L84" i="12"/>
  <c r="K84" i="12"/>
  <c r="N84" i="12" s="1"/>
  <c r="J84" i="12"/>
  <c r="L78" i="12"/>
  <c r="K78" i="12"/>
  <c r="J78" i="12"/>
  <c r="L77" i="12"/>
  <c r="K77" i="12"/>
  <c r="J77" i="12"/>
  <c r="N77" i="12" s="1"/>
  <c r="L76" i="12"/>
  <c r="K76" i="12"/>
  <c r="J76" i="12"/>
  <c r="N76" i="12" s="1"/>
  <c r="L70" i="12"/>
  <c r="K70" i="12"/>
  <c r="J70" i="12"/>
  <c r="N70" i="12" s="1"/>
  <c r="L69" i="12"/>
  <c r="K69" i="12"/>
  <c r="J69" i="12"/>
  <c r="N69" i="12" s="1"/>
  <c r="L68" i="12"/>
  <c r="K68" i="12"/>
  <c r="J68" i="12"/>
  <c r="N68" i="12" s="1"/>
  <c r="L62" i="12"/>
  <c r="K62" i="12"/>
  <c r="N62" i="12" s="1"/>
  <c r="J62" i="12"/>
  <c r="L61" i="12"/>
  <c r="K61" i="12"/>
  <c r="J61" i="12"/>
  <c r="N61" i="12" s="1"/>
  <c r="L55" i="12"/>
  <c r="K55" i="12"/>
  <c r="J55" i="12"/>
  <c r="L54" i="12"/>
  <c r="K54" i="12"/>
  <c r="J54" i="12"/>
  <c r="N54" i="12" s="1"/>
  <c r="L53" i="12"/>
  <c r="N53" i="12" s="1"/>
  <c r="K53" i="12"/>
  <c r="J53" i="12"/>
  <c r="L52" i="12"/>
  <c r="K52" i="12"/>
  <c r="J52" i="12"/>
  <c r="N52" i="12" s="1"/>
  <c r="L46" i="12"/>
  <c r="K46" i="12"/>
  <c r="J46" i="12"/>
  <c r="N46" i="12" s="1"/>
  <c r="L45" i="12"/>
  <c r="K45" i="12"/>
  <c r="J45" i="12"/>
  <c r="N45" i="12" s="1"/>
  <c r="L44" i="12"/>
  <c r="K44" i="12"/>
  <c r="J44" i="12"/>
  <c r="N44" i="12" s="1"/>
  <c r="L43" i="12"/>
  <c r="K43" i="12"/>
  <c r="N43" i="12" s="1"/>
  <c r="J43" i="12"/>
  <c r="L37" i="12"/>
  <c r="K37" i="12"/>
  <c r="J37" i="12"/>
  <c r="L36" i="12"/>
  <c r="K36" i="12"/>
  <c r="J36" i="12"/>
  <c r="N36" i="12" s="1"/>
  <c r="L35" i="12"/>
  <c r="K35" i="12"/>
  <c r="J35" i="12"/>
  <c r="N35" i="12" s="1"/>
  <c r="L34" i="12"/>
  <c r="K34" i="12"/>
  <c r="J34" i="12"/>
  <c r="N34" i="12" s="1"/>
  <c r="L28" i="12"/>
  <c r="K28" i="12"/>
  <c r="J28" i="12"/>
  <c r="N28" i="12" s="1"/>
  <c r="L27" i="12"/>
  <c r="K27" i="12"/>
  <c r="J27" i="12"/>
  <c r="N27" i="12" s="1"/>
  <c r="L21" i="12"/>
  <c r="K21" i="12"/>
  <c r="N21" i="12" s="1"/>
  <c r="J21" i="12"/>
  <c r="L20" i="12"/>
  <c r="K20" i="12"/>
  <c r="J20" i="12"/>
  <c r="N20" i="12" s="1"/>
  <c r="L14" i="12"/>
  <c r="K14" i="12"/>
  <c r="J14" i="12"/>
  <c r="L13" i="12"/>
  <c r="K13" i="12"/>
  <c r="J13" i="12"/>
  <c r="N13" i="12" s="1"/>
  <c r="L12" i="12"/>
  <c r="K12" i="12"/>
  <c r="J12" i="12"/>
  <c r="K79" i="11"/>
  <c r="J79" i="11"/>
  <c r="M79" i="11" s="1"/>
  <c r="K78" i="11"/>
  <c r="J78" i="11"/>
  <c r="M78" i="11" s="1"/>
  <c r="K77" i="11"/>
  <c r="J77" i="11"/>
  <c r="M77" i="11" s="1"/>
  <c r="K76" i="11"/>
  <c r="J76" i="11"/>
  <c r="M76" i="11" s="1"/>
  <c r="K75" i="11"/>
  <c r="J75" i="11"/>
  <c r="M75" i="11" s="1"/>
  <c r="K74" i="11"/>
  <c r="J74" i="11"/>
  <c r="M74" i="11" s="1"/>
  <c r="K73" i="11"/>
  <c r="J73" i="11"/>
  <c r="M73" i="11" s="1"/>
  <c r="K72" i="11"/>
  <c r="J72" i="11"/>
  <c r="M72" i="11" s="1"/>
  <c r="K71" i="11"/>
  <c r="J71" i="11"/>
  <c r="K70" i="11"/>
  <c r="J70" i="11"/>
  <c r="M70" i="11" s="1"/>
  <c r="K69" i="11"/>
  <c r="J69" i="11"/>
  <c r="K68" i="11"/>
  <c r="J68" i="11"/>
  <c r="M68" i="11" s="1"/>
  <c r="K67" i="11"/>
  <c r="J67" i="11"/>
  <c r="M67" i="11" s="1"/>
  <c r="K66" i="11"/>
  <c r="J66" i="11"/>
  <c r="M66" i="11" s="1"/>
  <c r="K65" i="11"/>
  <c r="J65" i="11"/>
  <c r="M65" i="11" s="1"/>
  <c r="K64" i="11"/>
  <c r="J64" i="11"/>
  <c r="M64" i="11" s="1"/>
  <c r="K63" i="11"/>
  <c r="J63" i="11"/>
  <c r="K62" i="11"/>
  <c r="J62" i="11"/>
  <c r="M62" i="11" s="1"/>
  <c r="K61" i="11"/>
  <c r="J61" i="11"/>
  <c r="M61" i="11" s="1"/>
  <c r="K60" i="11"/>
  <c r="J60" i="11"/>
  <c r="M60" i="11" s="1"/>
  <c r="K59" i="11"/>
  <c r="J59" i="11"/>
  <c r="M59" i="11" s="1"/>
  <c r="K58" i="11"/>
  <c r="J58" i="11"/>
  <c r="M58" i="11" s="1"/>
  <c r="K57" i="11"/>
  <c r="J57" i="11"/>
  <c r="M57" i="11" s="1"/>
  <c r="K56" i="11"/>
  <c r="J56" i="11"/>
  <c r="M56" i="11" s="1"/>
  <c r="K55" i="11"/>
  <c r="J55" i="11"/>
  <c r="K54" i="11"/>
  <c r="J54" i="11"/>
  <c r="M54" i="11" s="1"/>
  <c r="K53" i="11"/>
  <c r="J53" i="11"/>
  <c r="K52" i="11"/>
  <c r="J52" i="11"/>
  <c r="M52" i="11" s="1"/>
  <c r="K51" i="11"/>
  <c r="J51" i="11"/>
  <c r="M51" i="11" s="1"/>
  <c r="K50" i="11"/>
  <c r="J50" i="11"/>
  <c r="M50" i="11" s="1"/>
  <c r="K49" i="11"/>
  <c r="J49" i="11"/>
  <c r="M49" i="11" s="1"/>
  <c r="K48" i="11"/>
  <c r="J48" i="11"/>
  <c r="M48" i="11" s="1"/>
  <c r="K47" i="11"/>
  <c r="J47" i="11"/>
  <c r="M47" i="11" s="1"/>
  <c r="K46" i="11"/>
  <c r="J46" i="11"/>
  <c r="M46" i="11" s="1"/>
  <c r="K45" i="11"/>
  <c r="J45" i="11"/>
  <c r="M45" i="11" s="1"/>
  <c r="K44" i="11"/>
  <c r="J44" i="11"/>
  <c r="M44" i="11" s="1"/>
  <c r="K43" i="11"/>
  <c r="J43" i="11"/>
  <c r="M43" i="11" s="1"/>
  <c r="K42" i="11"/>
  <c r="J42" i="11"/>
  <c r="M42" i="11" s="1"/>
  <c r="K41" i="11"/>
  <c r="J41" i="11"/>
  <c r="M41" i="11" s="1"/>
  <c r="K40" i="11"/>
  <c r="J40" i="11"/>
  <c r="K39" i="11"/>
  <c r="J39" i="11"/>
  <c r="M39" i="11" s="1"/>
  <c r="K38" i="11"/>
  <c r="J38" i="11"/>
  <c r="M38" i="11" s="1"/>
  <c r="K37" i="11"/>
  <c r="J37" i="11"/>
  <c r="K36" i="11"/>
  <c r="J36" i="11"/>
  <c r="M36" i="11" s="1"/>
  <c r="K35" i="11"/>
  <c r="J35" i="11"/>
  <c r="M35" i="11" s="1"/>
  <c r="K34" i="11"/>
  <c r="J34" i="11"/>
  <c r="M34" i="11" s="1"/>
  <c r="K33" i="11"/>
  <c r="J33" i="11"/>
  <c r="M33" i="11" s="1"/>
  <c r="K32" i="11"/>
  <c r="J32" i="11"/>
  <c r="K31" i="11"/>
  <c r="J31" i="11"/>
  <c r="M31" i="11" s="1"/>
  <c r="K30" i="11"/>
  <c r="J30" i="11"/>
  <c r="M30" i="11" s="1"/>
  <c r="K29" i="11"/>
  <c r="J29" i="11"/>
  <c r="M29" i="11" s="1"/>
  <c r="K28" i="11"/>
  <c r="J28" i="11"/>
  <c r="M28" i="11" s="1"/>
  <c r="K27" i="11"/>
  <c r="J27" i="11"/>
  <c r="M27" i="11" s="1"/>
  <c r="K26" i="11"/>
  <c r="J26" i="11"/>
  <c r="M26" i="11" s="1"/>
  <c r="K25" i="11"/>
  <c r="J25" i="11"/>
  <c r="M25" i="11" s="1"/>
  <c r="K24" i="11"/>
  <c r="J24" i="11"/>
  <c r="M24" i="11" s="1"/>
  <c r="K23" i="11"/>
  <c r="J23" i="11"/>
  <c r="M23" i="11" s="1"/>
  <c r="K22" i="11"/>
  <c r="J22" i="11"/>
  <c r="M22" i="11" s="1"/>
  <c r="K21" i="11"/>
  <c r="J21" i="11"/>
  <c r="K20" i="11"/>
  <c r="J20" i="11"/>
  <c r="M20" i="11" s="1"/>
  <c r="K19" i="11"/>
  <c r="J19" i="11"/>
  <c r="M19" i="11" s="1"/>
  <c r="K18" i="11"/>
  <c r="J18" i="11"/>
  <c r="M18" i="11" s="1"/>
  <c r="K17" i="11"/>
  <c r="J17" i="11"/>
  <c r="M17" i="11" s="1"/>
  <c r="K16" i="11"/>
  <c r="J16" i="11"/>
  <c r="M16" i="11" s="1"/>
  <c r="K15" i="11"/>
  <c r="J15" i="11"/>
  <c r="M15" i="11" s="1"/>
  <c r="K14" i="11"/>
  <c r="J14" i="11"/>
  <c r="M14" i="11" s="1"/>
  <c r="K13" i="11"/>
  <c r="J13" i="11"/>
  <c r="M13" i="11" s="1"/>
  <c r="K12" i="11"/>
  <c r="J12" i="11"/>
  <c r="M12" i="11" s="1"/>
  <c r="K11" i="11"/>
  <c r="J11" i="11"/>
  <c r="M11" i="11" s="1"/>
  <c r="K10" i="11"/>
  <c r="J10" i="11"/>
  <c r="M10" i="11" s="1"/>
  <c r="K9" i="11"/>
  <c r="J9" i="11"/>
  <c r="K8" i="11"/>
  <c r="J8" i="11"/>
  <c r="M8" i="11" s="1"/>
  <c r="K7" i="11"/>
  <c r="J7" i="11"/>
  <c r="M7" i="11" s="1"/>
  <c r="K6" i="11"/>
  <c r="J6" i="11"/>
  <c r="M6" i="11" s="1"/>
  <c r="K5" i="11"/>
  <c r="J5" i="11"/>
  <c r="K4" i="11"/>
  <c r="J4" i="11"/>
  <c r="M4" i="11" s="1"/>
  <c r="K79" i="10"/>
  <c r="J79" i="10"/>
  <c r="M79" i="10" s="1"/>
  <c r="K78" i="10"/>
  <c r="J78" i="10"/>
  <c r="M78" i="10" s="1"/>
  <c r="K77" i="10"/>
  <c r="J77" i="10"/>
  <c r="K76" i="10"/>
  <c r="J76" i="10"/>
  <c r="K75" i="10"/>
  <c r="J75" i="10"/>
  <c r="M75" i="10" s="1"/>
  <c r="K74" i="10"/>
  <c r="J74" i="10"/>
  <c r="M74" i="10" s="1"/>
  <c r="K73" i="10"/>
  <c r="J73" i="10"/>
  <c r="M73" i="10" s="1"/>
  <c r="K72" i="10"/>
  <c r="J72" i="10"/>
  <c r="K71" i="10"/>
  <c r="J71" i="10"/>
  <c r="K70" i="10"/>
  <c r="J70" i="10"/>
  <c r="M70" i="10" s="1"/>
  <c r="K69" i="10"/>
  <c r="J69" i="10"/>
  <c r="K68" i="10"/>
  <c r="J68" i="10"/>
  <c r="K67" i="10"/>
  <c r="J67" i="10"/>
  <c r="M67" i="10" s="1"/>
  <c r="K66" i="10"/>
  <c r="J66" i="10"/>
  <c r="M66" i="10" s="1"/>
  <c r="K65" i="10"/>
  <c r="J65" i="10"/>
  <c r="M65" i="10" s="1"/>
  <c r="K64" i="10"/>
  <c r="J64" i="10"/>
  <c r="K63" i="10"/>
  <c r="J63" i="10"/>
  <c r="K62" i="10"/>
  <c r="J62" i="10"/>
  <c r="M62" i="10" s="1"/>
  <c r="K61" i="10"/>
  <c r="J61" i="10"/>
  <c r="K60" i="10"/>
  <c r="J60" i="10"/>
  <c r="K59" i="10"/>
  <c r="J59" i="10"/>
  <c r="M59" i="10" s="1"/>
  <c r="K58" i="10"/>
  <c r="J58" i="10"/>
  <c r="M58" i="10" s="1"/>
  <c r="K57" i="10"/>
  <c r="J57" i="10"/>
  <c r="M57" i="10" s="1"/>
  <c r="K56" i="10"/>
  <c r="J56" i="10"/>
  <c r="M56" i="10" s="1"/>
  <c r="K55" i="10"/>
  <c r="J55" i="10"/>
  <c r="M55" i="10" s="1"/>
  <c r="K54" i="10"/>
  <c r="J54" i="10"/>
  <c r="M54" i="10" s="1"/>
  <c r="K53" i="10"/>
  <c r="J53" i="10"/>
  <c r="K52" i="10"/>
  <c r="J52" i="10"/>
  <c r="K51" i="10"/>
  <c r="J51" i="10"/>
  <c r="M51" i="10" s="1"/>
  <c r="K50" i="10"/>
  <c r="J50" i="10"/>
  <c r="M50" i="10" s="1"/>
  <c r="K49" i="10"/>
  <c r="J49" i="10"/>
  <c r="M49" i="10" s="1"/>
  <c r="K48" i="10"/>
  <c r="J48" i="10"/>
  <c r="M48" i="10" s="1"/>
  <c r="K47" i="10"/>
  <c r="J47" i="10"/>
  <c r="M47" i="10" s="1"/>
  <c r="K46" i="10"/>
  <c r="J46" i="10"/>
  <c r="M46" i="10" s="1"/>
  <c r="K45" i="10"/>
  <c r="J45" i="10"/>
  <c r="K44" i="10"/>
  <c r="J44" i="10"/>
  <c r="K43" i="10"/>
  <c r="J43" i="10"/>
  <c r="M43" i="10" s="1"/>
  <c r="K42" i="10"/>
  <c r="J42" i="10"/>
  <c r="M42" i="10" s="1"/>
  <c r="K41" i="10"/>
  <c r="J41" i="10"/>
  <c r="K40" i="10"/>
  <c r="J40" i="10"/>
  <c r="K39" i="10"/>
  <c r="J39" i="10"/>
  <c r="M39" i="10" s="1"/>
  <c r="K38" i="10"/>
  <c r="J38" i="10"/>
  <c r="M38" i="10" s="1"/>
  <c r="K37" i="10"/>
  <c r="J37" i="10"/>
  <c r="K36" i="10"/>
  <c r="J36" i="10"/>
  <c r="K35" i="10"/>
  <c r="J35" i="10"/>
  <c r="M35" i="10" s="1"/>
  <c r="K34" i="10"/>
  <c r="J34" i="10"/>
  <c r="M34" i="10" s="1"/>
  <c r="K33" i="10"/>
  <c r="J33" i="10"/>
  <c r="K32" i="10"/>
  <c r="J32" i="10"/>
  <c r="K31" i="10"/>
  <c r="J31" i="10"/>
  <c r="M31" i="10" s="1"/>
  <c r="K30" i="10"/>
  <c r="J30" i="10"/>
  <c r="M30" i="10" s="1"/>
  <c r="K29" i="10"/>
  <c r="J29" i="10"/>
  <c r="K28" i="10"/>
  <c r="J28" i="10"/>
  <c r="K27" i="10"/>
  <c r="J27" i="10"/>
  <c r="M27" i="10" s="1"/>
  <c r="K26" i="10"/>
  <c r="J26" i="10"/>
  <c r="M26" i="10" s="1"/>
  <c r="K25" i="10"/>
  <c r="J25" i="10"/>
  <c r="M25" i="10" s="1"/>
  <c r="K24" i="10"/>
  <c r="J24" i="10"/>
  <c r="M24" i="10" s="1"/>
  <c r="K23" i="10"/>
  <c r="J23" i="10"/>
  <c r="M23" i="10" s="1"/>
  <c r="K22" i="10"/>
  <c r="J22" i="10"/>
  <c r="M22" i="10" s="1"/>
  <c r="K21" i="10"/>
  <c r="J21" i="10"/>
  <c r="K20" i="10"/>
  <c r="J20" i="10"/>
  <c r="K19" i="10"/>
  <c r="J19" i="10"/>
  <c r="M19" i="10" s="1"/>
  <c r="K18" i="10"/>
  <c r="J18" i="10"/>
  <c r="M18" i="10" s="1"/>
  <c r="K17" i="10"/>
  <c r="J17" i="10"/>
  <c r="M17" i="10" s="1"/>
  <c r="K16" i="10"/>
  <c r="J16" i="10"/>
  <c r="M16" i="10" s="1"/>
  <c r="K15" i="10"/>
  <c r="J15" i="10"/>
  <c r="M15" i="10" s="1"/>
  <c r="K14" i="10"/>
  <c r="J14" i="10"/>
  <c r="M14" i="10" s="1"/>
  <c r="K13" i="10"/>
  <c r="J13" i="10"/>
  <c r="K12" i="10"/>
  <c r="J12" i="10"/>
  <c r="K11" i="10"/>
  <c r="J11" i="10"/>
  <c r="M11" i="10" s="1"/>
  <c r="K10" i="10"/>
  <c r="J10" i="10"/>
  <c r="K9" i="10"/>
  <c r="J9" i="10"/>
  <c r="K8" i="10"/>
  <c r="J8" i="10"/>
  <c r="M8" i="10" s="1"/>
  <c r="K7" i="10"/>
  <c r="J7" i="10"/>
  <c r="M7" i="10" s="1"/>
  <c r="K6" i="10"/>
  <c r="J6" i="10"/>
  <c r="M6" i="10" s="1"/>
  <c r="K5" i="10"/>
  <c r="J5" i="10"/>
  <c r="K4" i="10"/>
  <c r="J4" i="10"/>
  <c r="K79" i="9"/>
  <c r="J79" i="9"/>
  <c r="M79" i="9" s="1"/>
  <c r="K78" i="9"/>
  <c r="J78" i="9"/>
  <c r="M78" i="9" s="1"/>
  <c r="K77" i="9"/>
  <c r="J77" i="9"/>
  <c r="M77" i="9" s="1"/>
  <c r="K76" i="9"/>
  <c r="J76" i="9"/>
  <c r="M76" i="9" s="1"/>
  <c r="K75" i="9"/>
  <c r="J75" i="9"/>
  <c r="M75" i="9" s="1"/>
  <c r="K74" i="9"/>
  <c r="J74" i="9"/>
  <c r="M74" i="9" s="1"/>
  <c r="K73" i="9"/>
  <c r="J73" i="9"/>
  <c r="K72" i="9"/>
  <c r="J72" i="9"/>
  <c r="K71" i="9"/>
  <c r="J71" i="9"/>
  <c r="M71" i="9" s="1"/>
  <c r="K70" i="9"/>
  <c r="J70" i="9"/>
  <c r="M70" i="9" s="1"/>
  <c r="K69" i="9"/>
  <c r="J69" i="9"/>
  <c r="K68" i="9"/>
  <c r="J68" i="9"/>
  <c r="M68" i="9" s="1"/>
  <c r="K67" i="9"/>
  <c r="J67" i="9"/>
  <c r="M67" i="9" s="1"/>
  <c r="K66" i="9"/>
  <c r="J66" i="9"/>
  <c r="M66" i="9" s="1"/>
  <c r="K65" i="9"/>
  <c r="J65" i="9"/>
  <c r="K64" i="9"/>
  <c r="J64" i="9"/>
  <c r="K63" i="9"/>
  <c r="J63" i="9"/>
  <c r="M63" i="9" s="1"/>
  <c r="K62" i="9"/>
  <c r="J62" i="9"/>
  <c r="M62" i="9" s="1"/>
  <c r="K61" i="9"/>
  <c r="J61" i="9"/>
  <c r="M61" i="9" s="1"/>
  <c r="K60" i="9"/>
  <c r="J60" i="9"/>
  <c r="M60" i="9" s="1"/>
  <c r="K59" i="9"/>
  <c r="J59" i="9"/>
  <c r="M59" i="9" s="1"/>
  <c r="K58" i="9"/>
  <c r="J58" i="9"/>
  <c r="M58" i="9" s="1"/>
  <c r="K57" i="9"/>
  <c r="J57" i="9"/>
  <c r="K56" i="9"/>
  <c r="J56" i="9"/>
  <c r="M56" i="9" s="1"/>
  <c r="K55" i="9"/>
  <c r="J55" i="9"/>
  <c r="M55" i="9" s="1"/>
  <c r="K54" i="9"/>
  <c r="J54" i="9"/>
  <c r="M54" i="9" s="1"/>
  <c r="K53" i="9"/>
  <c r="J53" i="9"/>
  <c r="K52" i="9"/>
  <c r="J52" i="9"/>
  <c r="M52" i="9" s="1"/>
  <c r="K51" i="9"/>
  <c r="J51" i="9"/>
  <c r="M51" i="9" s="1"/>
  <c r="K50" i="9"/>
  <c r="J50" i="9"/>
  <c r="M50" i="9" s="1"/>
  <c r="K49" i="9"/>
  <c r="J49" i="9"/>
  <c r="K48" i="9"/>
  <c r="J48" i="9"/>
  <c r="M48" i="9" s="1"/>
  <c r="K47" i="9"/>
  <c r="J47" i="9"/>
  <c r="M47" i="9" s="1"/>
  <c r="K46" i="9"/>
  <c r="J46" i="9"/>
  <c r="M46" i="9" s="1"/>
  <c r="K45" i="9"/>
  <c r="J45" i="9"/>
  <c r="M45" i="9" s="1"/>
  <c r="K44" i="9"/>
  <c r="J44" i="9"/>
  <c r="M44" i="9" s="1"/>
  <c r="K43" i="9"/>
  <c r="J43" i="9"/>
  <c r="M43" i="9" s="1"/>
  <c r="K42" i="9"/>
  <c r="J42" i="9"/>
  <c r="K41" i="9"/>
  <c r="J41" i="9"/>
  <c r="K40" i="9"/>
  <c r="J40" i="9"/>
  <c r="M40" i="9" s="1"/>
  <c r="K39" i="9"/>
  <c r="J39" i="9"/>
  <c r="M39" i="9" s="1"/>
  <c r="K38" i="9"/>
  <c r="J38" i="9"/>
  <c r="M38" i="9" s="1"/>
  <c r="K37" i="9"/>
  <c r="J37" i="9"/>
  <c r="K36" i="9"/>
  <c r="J36" i="9"/>
  <c r="M36" i="9" s="1"/>
  <c r="K35" i="9"/>
  <c r="J35" i="9"/>
  <c r="M35" i="9" s="1"/>
  <c r="K34" i="9"/>
  <c r="J34" i="9"/>
  <c r="K33" i="9"/>
  <c r="J33" i="9"/>
  <c r="K32" i="9"/>
  <c r="J32" i="9"/>
  <c r="M32" i="9" s="1"/>
  <c r="K31" i="9"/>
  <c r="J31" i="9"/>
  <c r="M31" i="9" s="1"/>
  <c r="K30" i="9"/>
  <c r="J30" i="9"/>
  <c r="M30" i="9" s="1"/>
  <c r="K29" i="9"/>
  <c r="J29" i="9"/>
  <c r="M29" i="9" s="1"/>
  <c r="K28" i="9"/>
  <c r="J28" i="9"/>
  <c r="M28" i="9" s="1"/>
  <c r="K27" i="9"/>
  <c r="J27" i="9"/>
  <c r="K26" i="9"/>
  <c r="J26" i="9"/>
  <c r="M26" i="9" s="1"/>
  <c r="K25" i="9"/>
  <c r="J25" i="9"/>
  <c r="K24" i="9"/>
  <c r="J24" i="9"/>
  <c r="M24" i="9" s="1"/>
  <c r="K23" i="9"/>
  <c r="J23" i="9"/>
  <c r="M23" i="9" s="1"/>
  <c r="K22" i="9"/>
  <c r="J22" i="9"/>
  <c r="M22" i="9" s="1"/>
  <c r="K21" i="9"/>
  <c r="J21" i="9"/>
  <c r="K20" i="9"/>
  <c r="J20" i="9"/>
  <c r="K19" i="9"/>
  <c r="J19" i="9"/>
  <c r="M19" i="9" s="1"/>
  <c r="K18" i="9"/>
  <c r="J18" i="9"/>
  <c r="M18" i="9" s="1"/>
  <c r="K17" i="9"/>
  <c r="J17" i="9"/>
  <c r="K16" i="9"/>
  <c r="J16" i="9"/>
  <c r="M16" i="9" s="1"/>
  <c r="K15" i="9"/>
  <c r="J15" i="9"/>
  <c r="M15" i="9" s="1"/>
  <c r="K14" i="9"/>
  <c r="J14" i="9"/>
  <c r="M14" i="9" s="1"/>
  <c r="K13" i="9"/>
  <c r="J13" i="9"/>
  <c r="M13" i="9" s="1"/>
  <c r="K12" i="9"/>
  <c r="J12" i="9"/>
  <c r="K11" i="9"/>
  <c r="J11" i="9"/>
  <c r="M11" i="9" s="1"/>
  <c r="K10" i="9"/>
  <c r="J10" i="9"/>
  <c r="M10" i="9" s="1"/>
  <c r="K9" i="9"/>
  <c r="J9" i="9"/>
  <c r="K8" i="9"/>
  <c r="J8" i="9"/>
  <c r="M8" i="9" s="1"/>
  <c r="K7" i="9"/>
  <c r="J7" i="9"/>
  <c r="M7" i="9" s="1"/>
  <c r="K6" i="9"/>
  <c r="J6" i="9"/>
  <c r="M6" i="9" s="1"/>
  <c r="K5" i="9"/>
  <c r="J5" i="9"/>
  <c r="K4" i="9"/>
  <c r="J4" i="9"/>
  <c r="M4" i="9" s="1"/>
  <c r="J5" i="8"/>
  <c r="K5" i="8"/>
  <c r="M5" i="8"/>
  <c r="J6" i="8"/>
  <c r="M6" i="8" s="1"/>
  <c r="K6" i="8"/>
  <c r="J7" i="8"/>
  <c r="K7" i="8"/>
  <c r="M7" i="8"/>
  <c r="J8" i="8"/>
  <c r="K8" i="8"/>
  <c r="J9" i="8"/>
  <c r="K9" i="8"/>
  <c r="M9" i="8"/>
  <c r="J10" i="8"/>
  <c r="K10" i="8"/>
  <c r="J11" i="8"/>
  <c r="K11" i="8"/>
  <c r="J12" i="8"/>
  <c r="K12" i="8"/>
  <c r="J13" i="8"/>
  <c r="M13" i="8" s="1"/>
  <c r="K13" i="8"/>
  <c r="J14" i="8"/>
  <c r="K14" i="8"/>
  <c r="M14" i="8"/>
  <c r="J15" i="8"/>
  <c r="K15" i="8"/>
  <c r="J16" i="8"/>
  <c r="K16" i="8"/>
  <c r="M16" i="8" s="1"/>
  <c r="J17" i="8"/>
  <c r="K17" i="8"/>
  <c r="J18" i="8"/>
  <c r="K18" i="8"/>
  <c r="M18" i="8"/>
  <c r="J19" i="8"/>
  <c r="K19" i="8"/>
  <c r="J20" i="8"/>
  <c r="K20" i="8"/>
  <c r="M20" i="8"/>
  <c r="J21" i="8"/>
  <c r="K21" i="8"/>
  <c r="M21" i="8"/>
  <c r="J22" i="8"/>
  <c r="K22" i="8"/>
  <c r="M22" i="8"/>
  <c r="J23" i="8"/>
  <c r="K23" i="8"/>
  <c r="M23" i="8"/>
  <c r="J24" i="8"/>
  <c r="K24" i="8"/>
  <c r="J25" i="8"/>
  <c r="M25" i="8" s="1"/>
  <c r="K25" i="8"/>
  <c r="J26" i="8"/>
  <c r="K26" i="8"/>
  <c r="J27" i="8"/>
  <c r="K27" i="8"/>
  <c r="J28" i="8"/>
  <c r="K28" i="8"/>
  <c r="J29" i="8"/>
  <c r="K29" i="8"/>
  <c r="M29" i="8"/>
  <c r="J30" i="8"/>
  <c r="K30" i="8"/>
  <c r="M30" i="8"/>
  <c r="J31" i="8"/>
  <c r="K31" i="8"/>
  <c r="J32" i="8"/>
  <c r="K32" i="8"/>
  <c r="J33" i="8"/>
  <c r="K33" i="8"/>
  <c r="J34" i="8"/>
  <c r="K34" i="8"/>
  <c r="M34" i="8"/>
  <c r="J35" i="8"/>
  <c r="K35" i="8"/>
  <c r="J36" i="8"/>
  <c r="K36" i="8"/>
  <c r="M36" i="8"/>
  <c r="J37" i="8"/>
  <c r="K37" i="8"/>
  <c r="M37" i="8"/>
  <c r="J38" i="8"/>
  <c r="M38" i="8" s="1"/>
  <c r="K38" i="8"/>
  <c r="J39" i="8"/>
  <c r="K39" i="8"/>
  <c r="M39" i="8"/>
  <c r="J40" i="8"/>
  <c r="K40" i="8"/>
  <c r="J41" i="8"/>
  <c r="K41" i="8"/>
  <c r="M41" i="8"/>
  <c r="J42" i="8"/>
  <c r="K42" i="8"/>
  <c r="J43" i="8"/>
  <c r="K43" i="8"/>
  <c r="J44" i="8"/>
  <c r="K44" i="8"/>
  <c r="J45" i="8"/>
  <c r="M45" i="8" s="1"/>
  <c r="K45" i="8"/>
  <c r="J46" i="8"/>
  <c r="K46" i="8"/>
  <c r="M46" i="8"/>
  <c r="J47" i="8"/>
  <c r="K47" i="8"/>
  <c r="J48" i="8"/>
  <c r="K48" i="8"/>
  <c r="M48" i="8" s="1"/>
  <c r="J49" i="8"/>
  <c r="K49" i="8"/>
  <c r="J50" i="8"/>
  <c r="K50" i="8"/>
  <c r="M50" i="8"/>
  <c r="J51" i="8"/>
  <c r="K51" i="8"/>
  <c r="J52" i="8"/>
  <c r="K52" i="8"/>
  <c r="M52" i="8"/>
  <c r="J53" i="8"/>
  <c r="K53" i="8"/>
  <c r="M53" i="8"/>
  <c r="J54" i="8"/>
  <c r="K54" i="8"/>
  <c r="M54" i="8"/>
  <c r="J55" i="8"/>
  <c r="K55" i="8"/>
  <c r="M55" i="8"/>
  <c r="J56" i="8"/>
  <c r="K56" i="8"/>
  <c r="J57" i="8"/>
  <c r="M57" i="8" s="1"/>
  <c r="K57" i="8"/>
  <c r="J58" i="8"/>
  <c r="K58" i="8"/>
  <c r="J59" i="8"/>
  <c r="K59" i="8"/>
  <c r="J60" i="8"/>
  <c r="K60" i="8"/>
  <c r="J61" i="8"/>
  <c r="K61" i="8"/>
  <c r="M61" i="8"/>
  <c r="J62" i="8"/>
  <c r="K62" i="8"/>
  <c r="M62" i="8"/>
  <c r="J63" i="8"/>
  <c r="K63" i="8"/>
  <c r="J64" i="8"/>
  <c r="K64" i="8"/>
  <c r="J65" i="8"/>
  <c r="K65" i="8"/>
  <c r="J66" i="8"/>
  <c r="K66" i="8"/>
  <c r="M66" i="8"/>
  <c r="J67" i="8"/>
  <c r="K67" i="8"/>
  <c r="J68" i="8"/>
  <c r="K68" i="8"/>
  <c r="M68" i="8"/>
  <c r="J69" i="8"/>
  <c r="K69" i="8"/>
  <c r="M69" i="8"/>
  <c r="J70" i="8"/>
  <c r="M70" i="8" s="1"/>
  <c r="K70" i="8"/>
  <c r="J71" i="8"/>
  <c r="K71" i="8"/>
  <c r="M71" i="8"/>
  <c r="J72" i="8"/>
  <c r="K72" i="8"/>
  <c r="J73" i="8"/>
  <c r="K73" i="8"/>
  <c r="M73" i="8"/>
  <c r="J74" i="8"/>
  <c r="K74" i="8"/>
  <c r="J75" i="8"/>
  <c r="K75" i="8"/>
  <c r="J76" i="8"/>
  <c r="K76" i="8"/>
  <c r="J77" i="8"/>
  <c r="M77" i="8" s="1"/>
  <c r="K77" i="8"/>
  <c r="J78" i="8"/>
  <c r="K78" i="8"/>
  <c r="M78" i="8"/>
  <c r="J79" i="8"/>
  <c r="K79" i="8"/>
  <c r="K4" i="8"/>
  <c r="J4" i="8"/>
  <c r="M4" i="8" s="1"/>
  <c r="H5" i="7"/>
  <c r="I5" i="7"/>
  <c r="H6" i="7"/>
  <c r="I6" i="7"/>
  <c r="K6" i="7"/>
  <c r="H7" i="7"/>
  <c r="K7" i="7" s="1"/>
  <c r="I7" i="7"/>
  <c r="H8" i="7"/>
  <c r="I8" i="7"/>
  <c r="K8" i="7"/>
  <c r="H9" i="7"/>
  <c r="I9" i="7"/>
  <c r="K9" i="7"/>
  <c r="H10" i="7"/>
  <c r="I10" i="7"/>
  <c r="H11" i="7"/>
  <c r="I11" i="7"/>
  <c r="K11" i="7"/>
  <c r="H12" i="7"/>
  <c r="I12" i="7"/>
  <c r="K12" i="7"/>
  <c r="H13" i="7"/>
  <c r="I13" i="7"/>
  <c r="K13" i="7"/>
  <c r="H14" i="7"/>
  <c r="I14" i="7"/>
  <c r="K14" i="7"/>
  <c r="H15" i="7"/>
  <c r="I15" i="7"/>
  <c r="H16" i="7"/>
  <c r="I16" i="7"/>
  <c r="H17" i="7"/>
  <c r="I17" i="7"/>
  <c r="K17" i="7" s="1"/>
  <c r="H18" i="7"/>
  <c r="I18" i="7"/>
  <c r="K18" i="7"/>
  <c r="H19" i="7"/>
  <c r="K19" i="7" s="1"/>
  <c r="I19" i="7"/>
  <c r="H20" i="7"/>
  <c r="I20" i="7"/>
  <c r="K20" i="7"/>
  <c r="H21" i="7"/>
  <c r="I21" i="7"/>
  <c r="H22" i="7"/>
  <c r="I22" i="7"/>
  <c r="K22" i="7"/>
  <c r="I4" i="7"/>
  <c r="H4" i="7"/>
  <c r="K4" i="7" s="1"/>
  <c r="L278" i="6"/>
  <c r="K278" i="6"/>
  <c r="J278" i="6"/>
  <c r="I278" i="6"/>
  <c r="L277" i="6"/>
  <c r="Q274" i="6" s="1"/>
  <c r="K277" i="6"/>
  <c r="P274" i="6" s="1"/>
  <c r="J277" i="6"/>
  <c r="O274" i="6" s="1"/>
  <c r="I277" i="6"/>
  <c r="L276" i="6"/>
  <c r="K276" i="6"/>
  <c r="J276" i="6"/>
  <c r="I276" i="6"/>
  <c r="L275" i="6"/>
  <c r="Q273" i="6" s="1"/>
  <c r="K275" i="6"/>
  <c r="J275" i="6"/>
  <c r="O273" i="6" s="1"/>
  <c r="I275" i="6"/>
  <c r="N273" i="6" s="1"/>
  <c r="N274" i="6"/>
  <c r="L274" i="6"/>
  <c r="K274" i="6"/>
  <c r="P272" i="6" s="1"/>
  <c r="J274" i="6"/>
  <c r="I274" i="6"/>
  <c r="L273" i="6"/>
  <c r="K273" i="6"/>
  <c r="J273" i="6"/>
  <c r="I273" i="6"/>
  <c r="O272" i="6"/>
  <c r="N272" i="6"/>
  <c r="L272" i="6"/>
  <c r="K272" i="6"/>
  <c r="J272" i="6"/>
  <c r="I272" i="6"/>
  <c r="L271" i="6"/>
  <c r="K271" i="6"/>
  <c r="P271" i="6" s="1"/>
  <c r="J271" i="6"/>
  <c r="I271" i="6"/>
  <c r="L263" i="6"/>
  <c r="K263" i="6"/>
  <c r="J263" i="6"/>
  <c r="I263" i="6"/>
  <c r="L262" i="6"/>
  <c r="Q259" i="6" s="1"/>
  <c r="K262" i="6"/>
  <c r="P259" i="6" s="1"/>
  <c r="J262" i="6"/>
  <c r="O259" i="6" s="1"/>
  <c r="I262" i="6"/>
  <c r="L261" i="6"/>
  <c r="K261" i="6"/>
  <c r="J261" i="6"/>
  <c r="I261" i="6"/>
  <c r="L260" i="6"/>
  <c r="K260" i="6"/>
  <c r="J260" i="6"/>
  <c r="I260" i="6"/>
  <c r="L259" i="6"/>
  <c r="K259" i="6"/>
  <c r="J259" i="6"/>
  <c r="I259" i="6"/>
  <c r="L258" i="6"/>
  <c r="K258" i="6"/>
  <c r="J258" i="6"/>
  <c r="I258" i="6"/>
  <c r="N257" i="6"/>
  <c r="L257" i="6"/>
  <c r="K257" i="6"/>
  <c r="J257" i="6"/>
  <c r="I257" i="6"/>
  <c r="L256" i="6"/>
  <c r="K256" i="6"/>
  <c r="P256" i="6" s="1"/>
  <c r="J256" i="6"/>
  <c r="I256" i="6"/>
  <c r="L248" i="6"/>
  <c r="K248" i="6"/>
  <c r="J248" i="6"/>
  <c r="I248" i="6"/>
  <c r="L247" i="6"/>
  <c r="Q244" i="6" s="1"/>
  <c r="K247" i="6"/>
  <c r="P244" i="6" s="1"/>
  <c r="J247" i="6"/>
  <c r="O244" i="6" s="1"/>
  <c r="I247" i="6"/>
  <c r="L246" i="6"/>
  <c r="K246" i="6"/>
  <c r="J246" i="6"/>
  <c r="I246" i="6"/>
  <c r="L245" i="6"/>
  <c r="Q243" i="6" s="1"/>
  <c r="K245" i="6"/>
  <c r="J245" i="6"/>
  <c r="I245" i="6"/>
  <c r="L244" i="6"/>
  <c r="K244" i="6"/>
  <c r="J244" i="6"/>
  <c r="I244" i="6"/>
  <c r="L243" i="6"/>
  <c r="K243" i="6"/>
  <c r="P242" i="6" s="1"/>
  <c r="J243" i="6"/>
  <c r="O242" i="6" s="1"/>
  <c r="I243" i="6"/>
  <c r="N242" i="6" s="1"/>
  <c r="L242" i="6"/>
  <c r="K242" i="6"/>
  <c r="J242" i="6"/>
  <c r="I242" i="6"/>
  <c r="L241" i="6"/>
  <c r="K241" i="6"/>
  <c r="P241" i="6" s="1"/>
  <c r="J241" i="6"/>
  <c r="I241" i="6"/>
  <c r="L233" i="6"/>
  <c r="K233" i="6"/>
  <c r="J233" i="6"/>
  <c r="I233" i="6"/>
  <c r="L232" i="6"/>
  <c r="K232" i="6"/>
  <c r="J232" i="6"/>
  <c r="I232" i="6"/>
  <c r="L231" i="6"/>
  <c r="K231" i="6"/>
  <c r="J231" i="6"/>
  <c r="I231" i="6"/>
  <c r="L230" i="6"/>
  <c r="Q228" i="6" s="1"/>
  <c r="K230" i="6"/>
  <c r="P228" i="6" s="1"/>
  <c r="J230" i="6"/>
  <c r="I230" i="6"/>
  <c r="L229" i="6"/>
  <c r="K229" i="6"/>
  <c r="J229" i="6"/>
  <c r="I229" i="6"/>
  <c r="L228" i="6"/>
  <c r="K228" i="6"/>
  <c r="J228" i="6"/>
  <c r="I228" i="6"/>
  <c r="L227" i="6"/>
  <c r="K227" i="6"/>
  <c r="J227" i="6"/>
  <c r="I227" i="6"/>
  <c r="L226" i="6"/>
  <c r="Q226" i="6" s="1"/>
  <c r="K226" i="6"/>
  <c r="P226" i="6" s="1"/>
  <c r="J226" i="6"/>
  <c r="I226" i="6"/>
  <c r="L218" i="6"/>
  <c r="K218" i="6"/>
  <c r="J218" i="6"/>
  <c r="I218" i="6"/>
  <c r="L217" i="6"/>
  <c r="K217" i="6"/>
  <c r="P214" i="6" s="1"/>
  <c r="J217" i="6"/>
  <c r="O214" i="6" s="1"/>
  <c r="I217" i="6"/>
  <c r="L216" i="6"/>
  <c r="K216" i="6"/>
  <c r="J216" i="6"/>
  <c r="I216" i="6"/>
  <c r="L215" i="6"/>
  <c r="Q213" i="6" s="1"/>
  <c r="K215" i="6"/>
  <c r="J215" i="6"/>
  <c r="I215" i="6"/>
  <c r="L214" i="6"/>
  <c r="K214" i="6"/>
  <c r="J214" i="6"/>
  <c r="I214" i="6"/>
  <c r="L213" i="6"/>
  <c r="K213" i="6"/>
  <c r="J213" i="6"/>
  <c r="I213" i="6"/>
  <c r="P212" i="6"/>
  <c r="O212" i="6"/>
  <c r="N212" i="6"/>
  <c r="L212" i="6"/>
  <c r="K212" i="6"/>
  <c r="J212" i="6"/>
  <c r="I212" i="6"/>
  <c r="L211" i="6"/>
  <c r="K211" i="6"/>
  <c r="P211" i="6" s="1"/>
  <c r="J211" i="6"/>
  <c r="I211" i="6"/>
  <c r="L203" i="6"/>
  <c r="K203" i="6"/>
  <c r="J203" i="6"/>
  <c r="I203" i="6"/>
  <c r="L202" i="6"/>
  <c r="Q199" i="6" s="1"/>
  <c r="K202" i="6"/>
  <c r="P199" i="6" s="1"/>
  <c r="J202" i="6"/>
  <c r="O199" i="6" s="1"/>
  <c r="I202" i="6"/>
  <c r="L201" i="6"/>
  <c r="K201" i="6"/>
  <c r="P198" i="6" s="1"/>
  <c r="J201" i="6"/>
  <c r="I201" i="6"/>
  <c r="L200" i="6"/>
  <c r="K200" i="6"/>
  <c r="J200" i="6"/>
  <c r="I200" i="6"/>
  <c r="L199" i="6"/>
  <c r="K199" i="6"/>
  <c r="J199" i="6"/>
  <c r="I199" i="6"/>
  <c r="L198" i="6"/>
  <c r="K198" i="6"/>
  <c r="J198" i="6"/>
  <c r="I198" i="6"/>
  <c r="N197" i="6"/>
  <c r="L197" i="6"/>
  <c r="Q196" i="6" s="1"/>
  <c r="K197" i="6"/>
  <c r="J197" i="6"/>
  <c r="I197" i="6"/>
  <c r="L196" i="6"/>
  <c r="K196" i="6"/>
  <c r="P196" i="6" s="1"/>
  <c r="J196" i="6"/>
  <c r="I196" i="6"/>
  <c r="N196" i="6" s="1"/>
  <c r="L184" i="6"/>
  <c r="K184" i="6"/>
  <c r="J184" i="6"/>
  <c r="I184" i="6"/>
  <c r="L183" i="6"/>
  <c r="Q180" i="6" s="1"/>
  <c r="K183" i="6"/>
  <c r="P180" i="6" s="1"/>
  <c r="J183" i="6"/>
  <c r="O180" i="6" s="1"/>
  <c r="I183" i="6"/>
  <c r="L182" i="6"/>
  <c r="Q179" i="6" s="1"/>
  <c r="K182" i="6"/>
  <c r="J182" i="6"/>
  <c r="I182" i="6"/>
  <c r="L181" i="6"/>
  <c r="K181" i="6"/>
  <c r="J181" i="6"/>
  <c r="O179" i="6" s="1"/>
  <c r="I181" i="6"/>
  <c r="N179" i="6" s="1"/>
  <c r="L180" i="6"/>
  <c r="K180" i="6"/>
  <c r="J180" i="6"/>
  <c r="I180" i="6"/>
  <c r="L179" i="6"/>
  <c r="K179" i="6"/>
  <c r="J179" i="6"/>
  <c r="O178" i="6" s="1"/>
  <c r="I179" i="6"/>
  <c r="N178" i="6" s="1"/>
  <c r="P178" i="6"/>
  <c r="L178" i="6"/>
  <c r="K178" i="6"/>
  <c r="J178" i="6"/>
  <c r="I178" i="6"/>
  <c r="L177" i="6"/>
  <c r="K177" i="6"/>
  <c r="P177" i="6" s="1"/>
  <c r="J177" i="6"/>
  <c r="O177" i="6" s="1"/>
  <c r="I177" i="6"/>
  <c r="N177" i="6" s="1"/>
  <c r="L165" i="6"/>
  <c r="K165" i="6"/>
  <c r="J165" i="6"/>
  <c r="I165" i="6"/>
  <c r="L164" i="6"/>
  <c r="Q161" i="6" s="1"/>
  <c r="K164" i="6"/>
  <c r="J164" i="6"/>
  <c r="I164" i="6"/>
  <c r="L163" i="6"/>
  <c r="K163" i="6"/>
  <c r="J163" i="6"/>
  <c r="I163" i="6"/>
  <c r="L162" i="6"/>
  <c r="K162" i="6"/>
  <c r="J162" i="6"/>
  <c r="O160" i="6" s="1"/>
  <c r="I162" i="6"/>
  <c r="N160" i="6" s="1"/>
  <c r="L161" i="6"/>
  <c r="K161" i="6"/>
  <c r="J161" i="6"/>
  <c r="I161" i="6"/>
  <c r="N159" i="6" s="1"/>
  <c r="Q160" i="6"/>
  <c r="L160" i="6"/>
  <c r="K160" i="6"/>
  <c r="J160" i="6"/>
  <c r="I160" i="6"/>
  <c r="L159" i="6"/>
  <c r="K159" i="6"/>
  <c r="J159" i="6"/>
  <c r="I159" i="6"/>
  <c r="L158" i="6"/>
  <c r="K158" i="6"/>
  <c r="P158" i="6" s="1"/>
  <c r="J158" i="6"/>
  <c r="I158" i="6"/>
  <c r="N158" i="6" s="1"/>
  <c r="L146" i="6"/>
  <c r="K146" i="6"/>
  <c r="J146" i="6"/>
  <c r="I146" i="6"/>
  <c r="L145" i="6"/>
  <c r="K145" i="6"/>
  <c r="J145" i="6"/>
  <c r="O142" i="6" s="1"/>
  <c r="I145" i="6"/>
  <c r="L144" i="6"/>
  <c r="K144" i="6"/>
  <c r="J144" i="6"/>
  <c r="I144" i="6"/>
  <c r="L143" i="6"/>
  <c r="Q141" i="6" s="1"/>
  <c r="K143" i="6"/>
  <c r="J143" i="6"/>
  <c r="O141" i="6" s="1"/>
  <c r="I143" i="6"/>
  <c r="N141" i="6" s="1"/>
  <c r="L142" i="6"/>
  <c r="K142" i="6"/>
  <c r="J142" i="6"/>
  <c r="I142" i="6"/>
  <c r="L141" i="6"/>
  <c r="K141" i="6"/>
  <c r="J141" i="6"/>
  <c r="I141" i="6"/>
  <c r="N140" i="6" s="1"/>
  <c r="L140" i="6"/>
  <c r="K140" i="6"/>
  <c r="J140" i="6"/>
  <c r="I140" i="6"/>
  <c r="L139" i="6"/>
  <c r="K139" i="6"/>
  <c r="P139" i="6" s="1"/>
  <c r="J139" i="6"/>
  <c r="I139" i="6"/>
  <c r="L131" i="6"/>
  <c r="K131" i="6"/>
  <c r="J131" i="6"/>
  <c r="I131" i="6"/>
  <c r="L130" i="6"/>
  <c r="Q127" i="6" s="1"/>
  <c r="K130" i="6"/>
  <c r="J130" i="6"/>
  <c r="I130" i="6"/>
  <c r="L129" i="6"/>
  <c r="K129" i="6"/>
  <c r="J129" i="6"/>
  <c r="I129" i="6"/>
  <c r="L128" i="6"/>
  <c r="Q126" i="6" s="1"/>
  <c r="K128" i="6"/>
  <c r="P126" i="6" s="1"/>
  <c r="J128" i="6"/>
  <c r="I128" i="6"/>
  <c r="L127" i="6"/>
  <c r="K127" i="6"/>
  <c r="J127" i="6"/>
  <c r="I127" i="6"/>
  <c r="N125" i="6" s="1"/>
  <c r="L126" i="6"/>
  <c r="K126" i="6"/>
  <c r="J126" i="6"/>
  <c r="O125" i="6" s="1"/>
  <c r="I126" i="6"/>
  <c r="L125" i="6"/>
  <c r="K125" i="6"/>
  <c r="J125" i="6"/>
  <c r="I125" i="6"/>
  <c r="L124" i="6"/>
  <c r="K124" i="6"/>
  <c r="P124" i="6" s="1"/>
  <c r="J124" i="6"/>
  <c r="I124" i="6"/>
  <c r="N124" i="6" s="1"/>
  <c r="L108" i="6"/>
  <c r="K108" i="6"/>
  <c r="J108" i="6"/>
  <c r="I108" i="6"/>
  <c r="L107" i="6"/>
  <c r="K107" i="6"/>
  <c r="J107" i="6"/>
  <c r="I107" i="6"/>
  <c r="L106" i="6"/>
  <c r="K106" i="6"/>
  <c r="J106" i="6"/>
  <c r="I106" i="6"/>
  <c r="L105" i="6"/>
  <c r="K105" i="6"/>
  <c r="J105" i="6"/>
  <c r="O103" i="6" s="1"/>
  <c r="I105" i="6"/>
  <c r="N103" i="6" s="1"/>
  <c r="L104" i="6"/>
  <c r="K104" i="6"/>
  <c r="J104" i="6"/>
  <c r="I104" i="6"/>
  <c r="L103" i="6"/>
  <c r="K103" i="6"/>
  <c r="J103" i="6"/>
  <c r="I103" i="6"/>
  <c r="L102" i="6"/>
  <c r="K102" i="6"/>
  <c r="J102" i="6"/>
  <c r="I102" i="6"/>
  <c r="L101" i="6"/>
  <c r="K101" i="6"/>
  <c r="P101" i="6" s="1"/>
  <c r="J101" i="6"/>
  <c r="O101" i="6" s="1"/>
  <c r="I101" i="6"/>
  <c r="N101" i="6" s="1"/>
  <c r="L85" i="6"/>
  <c r="K85" i="6"/>
  <c r="J85" i="6"/>
  <c r="I85" i="6"/>
  <c r="N81" i="6" s="1"/>
  <c r="L84" i="6"/>
  <c r="K84" i="6"/>
  <c r="J84" i="6"/>
  <c r="I84" i="6"/>
  <c r="L83" i="6"/>
  <c r="K83" i="6"/>
  <c r="J83" i="6"/>
  <c r="I83" i="6"/>
  <c r="L82" i="6"/>
  <c r="Q80" i="6" s="1"/>
  <c r="K82" i="6"/>
  <c r="P80" i="6" s="1"/>
  <c r="J82" i="6"/>
  <c r="O80" i="6" s="1"/>
  <c r="I82" i="6"/>
  <c r="N80" i="6" s="1"/>
  <c r="L81" i="6"/>
  <c r="Q79" i="6" s="1"/>
  <c r="K81" i="6"/>
  <c r="P79" i="6" s="1"/>
  <c r="J81" i="6"/>
  <c r="O79" i="6" s="1"/>
  <c r="I81" i="6"/>
  <c r="N79" i="6" s="1"/>
  <c r="L80" i="6"/>
  <c r="K80" i="6"/>
  <c r="J80" i="6"/>
  <c r="I80" i="6"/>
  <c r="L79" i="6"/>
  <c r="K79" i="6"/>
  <c r="J79" i="6"/>
  <c r="I79" i="6"/>
  <c r="L78" i="6"/>
  <c r="K78" i="6"/>
  <c r="P78" i="6" s="1"/>
  <c r="J78" i="6"/>
  <c r="I78" i="6"/>
  <c r="L62" i="6"/>
  <c r="K62" i="6"/>
  <c r="J62" i="6"/>
  <c r="I62" i="6"/>
  <c r="L61" i="6"/>
  <c r="K61" i="6"/>
  <c r="J61" i="6"/>
  <c r="O58" i="6" s="1"/>
  <c r="I61" i="6"/>
  <c r="L60" i="6"/>
  <c r="K60" i="6"/>
  <c r="J60" i="6"/>
  <c r="I60" i="6"/>
  <c r="L59" i="6"/>
  <c r="K59" i="6"/>
  <c r="J59" i="6"/>
  <c r="I59" i="6"/>
  <c r="L58" i="6"/>
  <c r="K58" i="6"/>
  <c r="J58" i="6"/>
  <c r="I58" i="6"/>
  <c r="L57" i="6"/>
  <c r="K57" i="6"/>
  <c r="J57" i="6"/>
  <c r="I57" i="6"/>
  <c r="N56" i="6"/>
  <c r="L56" i="6"/>
  <c r="K56" i="6"/>
  <c r="J56" i="6"/>
  <c r="I56" i="6"/>
  <c r="L55" i="6"/>
  <c r="K55" i="6"/>
  <c r="P55" i="6" s="1"/>
  <c r="J55" i="6"/>
  <c r="I55" i="6"/>
  <c r="N55" i="6" s="1"/>
  <c r="L47" i="6"/>
  <c r="K47" i="6"/>
  <c r="J47" i="6"/>
  <c r="I47" i="6"/>
  <c r="L46" i="6"/>
  <c r="K46" i="6"/>
  <c r="P43" i="6" s="1"/>
  <c r="J46" i="6"/>
  <c r="O43" i="6" s="1"/>
  <c r="I46" i="6"/>
  <c r="N43" i="6" s="1"/>
  <c r="L45" i="6"/>
  <c r="K45" i="6"/>
  <c r="J45" i="6"/>
  <c r="I45" i="6"/>
  <c r="L44" i="6"/>
  <c r="Q42" i="6" s="1"/>
  <c r="K44" i="6"/>
  <c r="P42" i="6" s="1"/>
  <c r="J44" i="6"/>
  <c r="O42" i="6" s="1"/>
  <c r="I44" i="6"/>
  <c r="N42" i="6" s="1"/>
  <c r="L43" i="6"/>
  <c r="K43" i="6"/>
  <c r="J43" i="6"/>
  <c r="I43" i="6"/>
  <c r="L42" i="6"/>
  <c r="K42" i="6"/>
  <c r="J42" i="6"/>
  <c r="I42" i="6"/>
  <c r="L41" i="6"/>
  <c r="K41" i="6"/>
  <c r="J41" i="6"/>
  <c r="I41" i="6"/>
  <c r="L40" i="6"/>
  <c r="K40" i="6"/>
  <c r="P40" i="6" s="1"/>
  <c r="J40" i="6"/>
  <c r="O40" i="6" s="1"/>
  <c r="I40" i="6"/>
  <c r="L32" i="6"/>
  <c r="K32" i="6"/>
  <c r="J32" i="6"/>
  <c r="I32" i="6"/>
  <c r="L31" i="6"/>
  <c r="Q28" i="6" s="1"/>
  <c r="K31" i="6"/>
  <c r="J31" i="6"/>
  <c r="I31" i="6"/>
  <c r="N28" i="6" s="1"/>
  <c r="L30" i="6"/>
  <c r="K30" i="6"/>
  <c r="J30" i="6"/>
  <c r="I30" i="6"/>
  <c r="L29" i="6"/>
  <c r="Q27" i="6" s="1"/>
  <c r="K29" i="6"/>
  <c r="J29" i="6"/>
  <c r="O27" i="6" s="1"/>
  <c r="I29" i="6"/>
  <c r="L28" i="6"/>
  <c r="K28" i="6"/>
  <c r="J28" i="6"/>
  <c r="I28" i="6"/>
  <c r="L27" i="6"/>
  <c r="K27" i="6"/>
  <c r="J27" i="6"/>
  <c r="I27" i="6"/>
  <c r="P26" i="6"/>
  <c r="O26" i="6"/>
  <c r="N26" i="6"/>
  <c r="L26" i="6"/>
  <c r="Q25" i="6" s="1"/>
  <c r="K26" i="6"/>
  <c r="J26" i="6"/>
  <c r="I26" i="6"/>
  <c r="L25" i="6"/>
  <c r="K25" i="6"/>
  <c r="J25" i="6"/>
  <c r="I25" i="6"/>
  <c r="L13" i="6"/>
  <c r="K13" i="6"/>
  <c r="J13" i="6"/>
  <c r="I13" i="6"/>
  <c r="L12" i="6"/>
  <c r="Q9" i="6" s="1"/>
  <c r="K12" i="6"/>
  <c r="P9" i="6" s="1"/>
  <c r="J12" i="6"/>
  <c r="I12" i="6"/>
  <c r="L11" i="6"/>
  <c r="Q8" i="6" s="1"/>
  <c r="K11" i="6"/>
  <c r="P8" i="6" s="1"/>
  <c r="J11" i="6"/>
  <c r="I11" i="6"/>
  <c r="L10" i="6"/>
  <c r="K10" i="6"/>
  <c r="J10" i="6"/>
  <c r="I10" i="6"/>
  <c r="N8" i="6" s="1"/>
  <c r="L9" i="6"/>
  <c r="K9" i="6"/>
  <c r="J9" i="6"/>
  <c r="I9" i="6"/>
  <c r="L8" i="6"/>
  <c r="K8" i="6"/>
  <c r="J8" i="6"/>
  <c r="I8" i="6"/>
  <c r="N7" i="6" s="1"/>
  <c r="O7" i="6"/>
  <c r="L7" i="6"/>
  <c r="K7" i="6"/>
  <c r="J7" i="6"/>
  <c r="I7" i="6"/>
  <c r="L6" i="6"/>
  <c r="K6" i="6"/>
  <c r="J6" i="6"/>
  <c r="I6" i="6"/>
  <c r="N6" i="6" s="1"/>
  <c r="L278" i="5"/>
  <c r="K278" i="5"/>
  <c r="J278" i="5"/>
  <c r="I278" i="5"/>
  <c r="L277" i="5"/>
  <c r="Q274" i="5" s="1"/>
  <c r="K277" i="5"/>
  <c r="J277" i="5"/>
  <c r="I277" i="5"/>
  <c r="N274" i="5" s="1"/>
  <c r="L276" i="5"/>
  <c r="K276" i="5"/>
  <c r="J276" i="5"/>
  <c r="I276" i="5"/>
  <c r="L275" i="5"/>
  <c r="Q273" i="5" s="1"/>
  <c r="K275" i="5"/>
  <c r="P273" i="5" s="1"/>
  <c r="J275" i="5"/>
  <c r="O273" i="5" s="1"/>
  <c r="I275" i="5"/>
  <c r="N273" i="5" s="1"/>
  <c r="P274" i="5"/>
  <c r="O274" i="5"/>
  <c r="L274" i="5"/>
  <c r="K274" i="5"/>
  <c r="J274" i="5"/>
  <c r="I274" i="5"/>
  <c r="L273" i="5"/>
  <c r="Q272" i="5" s="1"/>
  <c r="K273" i="5"/>
  <c r="P272" i="5" s="1"/>
  <c r="J273" i="5"/>
  <c r="O272" i="5" s="1"/>
  <c r="I273" i="5"/>
  <c r="L272" i="5"/>
  <c r="K272" i="5"/>
  <c r="J272" i="5"/>
  <c r="I272" i="5"/>
  <c r="L271" i="5"/>
  <c r="Q271" i="5" s="1"/>
  <c r="K271" i="5"/>
  <c r="J271" i="5"/>
  <c r="I271" i="5"/>
  <c r="N271" i="5" s="1"/>
  <c r="L263" i="5"/>
  <c r="K263" i="5"/>
  <c r="J263" i="5"/>
  <c r="I263" i="5"/>
  <c r="L262" i="5"/>
  <c r="Q259" i="5" s="1"/>
  <c r="K262" i="5"/>
  <c r="P259" i="5" s="1"/>
  <c r="J262" i="5"/>
  <c r="I262" i="5"/>
  <c r="L261" i="5"/>
  <c r="K261" i="5"/>
  <c r="J261" i="5"/>
  <c r="I261" i="5"/>
  <c r="L260" i="5"/>
  <c r="Q258" i="5" s="1"/>
  <c r="K260" i="5"/>
  <c r="J260" i="5"/>
  <c r="I260" i="5"/>
  <c r="L259" i="5"/>
  <c r="K259" i="5"/>
  <c r="J259" i="5"/>
  <c r="I259" i="5"/>
  <c r="L258" i="5"/>
  <c r="Q257" i="5" s="1"/>
  <c r="K258" i="5"/>
  <c r="P257" i="5" s="1"/>
  <c r="J258" i="5"/>
  <c r="O257" i="5" s="1"/>
  <c r="I258" i="5"/>
  <c r="L257" i="5"/>
  <c r="K257" i="5"/>
  <c r="J257" i="5"/>
  <c r="I257" i="5"/>
  <c r="L256" i="5"/>
  <c r="K256" i="5"/>
  <c r="J256" i="5"/>
  <c r="O256" i="5" s="1"/>
  <c r="I256" i="5"/>
  <c r="N256" i="5" s="1"/>
  <c r="L248" i="5"/>
  <c r="K248" i="5"/>
  <c r="J248" i="5"/>
  <c r="I248" i="5"/>
  <c r="L247" i="5"/>
  <c r="Q244" i="5" s="1"/>
  <c r="K247" i="5"/>
  <c r="J247" i="5"/>
  <c r="I247" i="5"/>
  <c r="L246" i="5"/>
  <c r="K246" i="5"/>
  <c r="J246" i="5"/>
  <c r="I246" i="5"/>
  <c r="L245" i="5"/>
  <c r="K245" i="5"/>
  <c r="J245" i="5"/>
  <c r="O243" i="5" s="1"/>
  <c r="I245" i="5"/>
  <c r="L244" i="5"/>
  <c r="K244" i="5"/>
  <c r="J244" i="5"/>
  <c r="I244" i="5"/>
  <c r="N243" i="5"/>
  <c r="L243" i="5"/>
  <c r="K243" i="5"/>
  <c r="J243" i="5"/>
  <c r="I243" i="5"/>
  <c r="L242" i="5"/>
  <c r="K242" i="5"/>
  <c r="J242" i="5"/>
  <c r="I242" i="5"/>
  <c r="L241" i="5"/>
  <c r="Q241" i="5" s="1"/>
  <c r="K241" i="5"/>
  <c r="P241" i="5" s="1"/>
  <c r="J241" i="5"/>
  <c r="O241" i="5" s="1"/>
  <c r="I241" i="5"/>
  <c r="N241" i="5" s="1"/>
  <c r="L233" i="5"/>
  <c r="K233" i="5"/>
  <c r="J233" i="5"/>
  <c r="O229" i="5" s="1"/>
  <c r="I233" i="5"/>
  <c r="L232" i="5"/>
  <c r="K232" i="5"/>
  <c r="J232" i="5"/>
  <c r="I232" i="5"/>
  <c r="L231" i="5"/>
  <c r="K231" i="5"/>
  <c r="J231" i="5"/>
  <c r="I231" i="5"/>
  <c r="L230" i="5"/>
  <c r="Q228" i="5" s="1"/>
  <c r="K230" i="5"/>
  <c r="P228" i="5" s="1"/>
  <c r="J230" i="5"/>
  <c r="O228" i="5" s="1"/>
  <c r="I230" i="5"/>
  <c r="N228" i="5" s="1"/>
  <c r="L229" i="5"/>
  <c r="K229" i="5"/>
  <c r="J229" i="5"/>
  <c r="O227" i="5" s="1"/>
  <c r="I229" i="5"/>
  <c r="L228" i="5"/>
  <c r="K228" i="5"/>
  <c r="J228" i="5"/>
  <c r="I228" i="5"/>
  <c r="L227" i="5"/>
  <c r="K227" i="5"/>
  <c r="J227" i="5"/>
  <c r="I227" i="5"/>
  <c r="L226" i="5"/>
  <c r="Q226" i="5" s="1"/>
  <c r="K226" i="5"/>
  <c r="P226" i="5" s="1"/>
  <c r="J226" i="5"/>
  <c r="O226" i="5" s="1"/>
  <c r="I226" i="5"/>
  <c r="N226" i="5" s="1"/>
  <c r="L218" i="5"/>
  <c r="K218" i="5"/>
  <c r="P214" i="5" s="1"/>
  <c r="J218" i="5"/>
  <c r="I218" i="5"/>
  <c r="L217" i="5"/>
  <c r="K217" i="5"/>
  <c r="J217" i="5"/>
  <c r="I217" i="5"/>
  <c r="L216" i="5"/>
  <c r="K216" i="5"/>
  <c r="J216" i="5"/>
  <c r="I216" i="5"/>
  <c r="L215" i="5"/>
  <c r="Q213" i="5" s="1"/>
  <c r="K215" i="5"/>
  <c r="P213" i="5" s="1"/>
  <c r="J215" i="5"/>
  <c r="O213" i="5" s="1"/>
  <c r="I215" i="5"/>
  <c r="L214" i="5"/>
  <c r="K214" i="5"/>
  <c r="P212" i="5" s="1"/>
  <c r="J214" i="5"/>
  <c r="O212" i="5" s="1"/>
  <c r="I214" i="5"/>
  <c r="L213" i="5"/>
  <c r="K213" i="5"/>
  <c r="J213" i="5"/>
  <c r="I213" i="5"/>
  <c r="L212" i="5"/>
  <c r="K212" i="5"/>
  <c r="J212" i="5"/>
  <c r="I212" i="5"/>
  <c r="L211" i="5"/>
  <c r="Q211" i="5" s="1"/>
  <c r="K211" i="5"/>
  <c r="P211" i="5" s="1"/>
  <c r="J211" i="5"/>
  <c r="O211" i="5" s="1"/>
  <c r="I211" i="5"/>
  <c r="L203" i="5"/>
  <c r="K203" i="5"/>
  <c r="J203" i="5"/>
  <c r="I203" i="5"/>
  <c r="L202" i="5"/>
  <c r="K202" i="5"/>
  <c r="J202" i="5"/>
  <c r="O199" i="5" s="1"/>
  <c r="I202" i="5"/>
  <c r="N199" i="5" s="1"/>
  <c r="L201" i="5"/>
  <c r="K201" i="5"/>
  <c r="J201" i="5"/>
  <c r="I201" i="5"/>
  <c r="L200" i="5"/>
  <c r="Q198" i="5" s="1"/>
  <c r="K200" i="5"/>
  <c r="P198" i="5" s="1"/>
  <c r="J200" i="5"/>
  <c r="O198" i="5" s="1"/>
  <c r="I200" i="5"/>
  <c r="L199" i="5"/>
  <c r="K199" i="5"/>
  <c r="J199" i="5"/>
  <c r="I199" i="5"/>
  <c r="L198" i="5"/>
  <c r="K198" i="5"/>
  <c r="J198" i="5"/>
  <c r="I198" i="5"/>
  <c r="N197" i="5" s="1"/>
  <c r="O197" i="5"/>
  <c r="L197" i="5"/>
  <c r="K197" i="5"/>
  <c r="J197" i="5"/>
  <c r="I197" i="5"/>
  <c r="L196" i="5"/>
  <c r="K196" i="5"/>
  <c r="J196" i="5"/>
  <c r="I196" i="5"/>
  <c r="L184" i="5"/>
  <c r="K184" i="5"/>
  <c r="J184" i="5"/>
  <c r="I184" i="5"/>
  <c r="L183" i="5"/>
  <c r="K183" i="5"/>
  <c r="P180" i="5" s="1"/>
  <c r="J183" i="5"/>
  <c r="I183" i="5"/>
  <c r="N180" i="5" s="1"/>
  <c r="L182" i="5"/>
  <c r="K182" i="5"/>
  <c r="J182" i="5"/>
  <c r="I182" i="5"/>
  <c r="L181" i="5"/>
  <c r="K181" i="5"/>
  <c r="J181" i="5"/>
  <c r="I181" i="5"/>
  <c r="L180" i="5"/>
  <c r="K180" i="5"/>
  <c r="J180" i="5"/>
  <c r="I180" i="5"/>
  <c r="L179" i="5"/>
  <c r="K179" i="5"/>
  <c r="J179" i="5"/>
  <c r="I179" i="5"/>
  <c r="N178" i="5" s="1"/>
  <c r="P178" i="5"/>
  <c r="O178" i="5"/>
  <c r="L178" i="5"/>
  <c r="K178" i="5"/>
  <c r="J178" i="5"/>
  <c r="I178" i="5"/>
  <c r="L177" i="5"/>
  <c r="K177" i="5"/>
  <c r="P177" i="5" s="1"/>
  <c r="J177" i="5"/>
  <c r="O177" i="5" s="1"/>
  <c r="I177" i="5"/>
  <c r="L165" i="5"/>
  <c r="K165" i="5"/>
  <c r="J165" i="5"/>
  <c r="I165" i="5"/>
  <c r="L164" i="5"/>
  <c r="Q161" i="5" s="1"/>
  <c r="K164" i="5"/>
  <c r="J164" i="5"/>
  <c r="I164" i="5"/>
  <c r="N161" i="5" s="1"/>
  <c r="L163" i="5"/>
  <c r="K163" i="5"/>
  <c r="J163" i="5"/>
  <c r="I163" i="5"/>
  <c r="N160" i="5" s="1"/>
  <c r="L162" i="5"/>
  <c r="K162" i="5"/>
  <c r="P160" i="5" s="1"/>
  <c r="J162" i="5"/>
  <c r="O160" i="5" s="1"/>
  <c r="I162" i="5"/>
  <c r="L161" i="5"/>
  <c r="K161" i="5"/>
  <c r="J161" i="5"/>
  <c r="I161" i="5"/>
  <c r="L160" i="5"/>
  <c r="Q159" i="5" s="1"/>
  <c r="K160" i="5"/>
  <c r="P159" i="5" s="1"/>
  <c r="J160" i="5"/>
  <c r="O159" i="5" s="1"/>
  <c r="I160" i="5"/>
  <c r="N159" i="5" s="1"/>
  <c r="L159" i="5"/>
  <c r="K159" i="5"/>
  <c r="J159" i="5"/>
  <c r="I159" i="5"/>
  <c r="L158" i="5"/>
  <c r="Q158" i="5" s="1"/>
  <c r="K158" i="5"/>
  <c r="P158" i="5" s="1"/>
  <c r="J158" i="5"/>
  <c r="I158" i="5"/>
  <c r="L146" i="5"/>
  <c r="K146" i="5"/>
  <c r="J146" i="5"/>
  <c r="I146" i="5"/>
  <c r="L145" i="5"/>
  <c r="Q142" i="5" s="1"/>
  <c r="K145" i="5"/>
  <c r="J145" i="5"/>
  <c r="I145" i="5"/>
  <c r="N142" i="5" s="1"/>
  <c r="L144" i="5"/>
  <c r="K144" i="5"/>
  <c r="J144" i="5"/>
  <c r="I144" i="5"/>
  <c r="L143" i="5"/>
  <c r="Q141" i="5" s="1"/>
  <c r="K143" i="5"/>
  <c r="P141" i="5" s="1"/>
  <c r="J143" i="5"/>
  <c r="I143" i="5"/>
  <c r="L142" i="5"/>
  <c r="K142" i="5"/>
  <c r="J142" i="5"/>
  <c r="I142" i="5"/>
  <c r="L141" i="5"/>
  <c r="Q140" i="5" s="1"/>
  <c r="K141" i="5"/>
  <c r="P140" i="5" s="1"/>
  <c r="J141" i="5"/>
  <c r="O140" i="5" s="1"/>
  <c r="I141" i="5"/>
  <c r="N140" i="5" s="1"/>
  <c r="L140" i="5"/>
  <c r="K140" i="5"/>
  <c r="J140" i="5"/>
  <c r="I140" i="5"/>
  <c r="L139" i="5"/>
  <c r="Q139" i="5" s="1"/>
  <c r="K139" i="5"/>
  <c r="P139" i="5" s="1"/>
  <c r="J139" i="5"/>
  <c r="I139" i="5"/>
  <c r="L131" i="5"/>
  <c r="K131" i="5"/>
  <c r="J131" i="5"/>
  <c r="I131" i="5"/>
  <c r="L130" i="5"/>
  <c r="Q127" i="5" s="1"/>
  <c r="K130" i="5"/>
  <c r="J130" i="5"/>
  <c r="I130" i="5"/>
  <c r="L129" i="5"/>
  <c r="K129" i="5"/>
  <c r="J129" i="5"/>
  <c r="I129" i="5"/>
  <c r="L128" i="5"/>
  <c r="Q126" i="5" s="1"/>
  <c r="K128" i="5"/>
  <c r="P126" i="5" s="1"/>
  <c r="J128" i="5"/>
  <c r="I128" i="5"/>
  <c r="L127" i="5"/>
  <c r="K127" i="5"/>
  <c r="J127" i="5"/>
  <c r="I127" i="5"/>
  <c r="L126" i="5"/>
  <c r="Q125" i="5" s="1"/>
  <c r="K126" i="5"/>
  <c r="J126" i="5"/>
  <c r="I126" i="5"/>
  <c r="L125" i="5"/>
  <c r="K125" i="5"/>
  <c r="J125" i="5"/>
  <c r="I125" i="5"/>
  <c r="L124" i="5"/>
  <c r="Q124" i="5" s="1"/>
  <c r="K124" i="5"/>
  <c r="P124" i="5" s="1"/>
  <c r="J124" i="5"/>
  <c r="I124" i="5"/>
  <c r="L108" i="5"/>
  <c r="K108" i="5"/>
  <c r="J108" i="5"/>
  <c r="I108" i="5"/>
  <c r="L107" i="5"/>
  <c r="K107" i="5"/>
  <c r="J107" i="5"/>
  <c r="I107" i="5"/>
  <c r="N104" i="5" s="1"/>
  <c r="L106" i="5"/>
  <c r="K106" i="5"/>
  <c r="J106" i="5"/>
  <c r="I106" i="5"/>
  <c r="L105" i="5"/>
  <c r="Q103" i="5" s="1"/>
  <c r="K105" i="5"/>
  <c r="P103" i="5" s="1"/>
  <c r="J105" i="5"/>
  <c r="I105" i="5"/>
  <c r="L104" i="5"/>
  <c r="K104" i="5"/>
  <c r="J104" i="5"/>
  <c r="I104" i="5"/>
  <c r="L103" i="5"/>
  <c r="K103" i="5"/>
  <c r="J103" i="5"/>
  <c r="I103" i="5"/>
  <c r="N102" i="5" s="1"/>
  <c r="L102" i="5"/>
  <c r="K102" i="5"/>
  <c r="J102" i="5"/>
  <c r="I102" i="5"/>
  <c r="L101" i="5"/>
  <c r="Q101" i="5" s="1"/>
  <c r="K101" i="5"/>
  <c r="P101" i="5" s="1"/>
  <c r="J101" i="5"/>
  <c r="I101" i="5"/>
  <c r="L85" i="5"/>
  <c r="K85" i="5"/>
  <c r="J85" i="5"/>
  <c r="I85" i="5"/>
  <c r="L84" i="5"/>
  <c r="K84" i="5"/>
  <c r="J84" i="5"/>
  <c r="I84" i="5"/>
  <c r="N81" i="5" s="1"/>
  <c r="L83" i="5"/>
  <c r="K83" i="5"/>
  <c r="J83" i="5"/>
  <c r="I83" i="5"/>
  <c r="L82" i="5"/>
  <c r="Q80" i="5" s="1"/>
  <c r="K82" i="5"/>
  <c r="P80" i="5" s="1"/>
  <c r="J82" i="5"/>
  <c r="I82" i="5"/>
  <c r="L81" i="5"/>
  <c r="K81" i="5"/>
  <c r="J81" i="5"/>
  <c r="I81" i="5"/>
  <c r="L80" i="5"/>
  <c r="K80" i="5"/>
  <c r="J80" i="5"/>
  <c r="I80" i="5"/>
  <c r="N79" i="5" s="1"/>
  <c r="P79" i="5"/>
  <c r="O79" i="5"/>
  <c r="L79" i="5"/>
  <c r="K79" i="5"/>
  <c r="J79" i="5"/>
  <c r="I79" i="5"/>
  <c r="L78" i="5"/>
  <c r="K78" i="5"/>
  <c r="J78" i="5"/>
  <c r="I78" i="5"/>
  <c r="N78" i="5" s="1"/>
  <c r="L62" i="5"/>
  <c r="K62" i="5"/>
  <c r="J62" i="5"/>
  <c r="I62" i="5"/>
  <c r="L61" i="5"/>
  <c r="Q58" i="5" s="1"/>
  <c r="K61" i="5"/>
  <c r="P58" i="5" s="1"/>
  <c r="J61" i="5"/>
  <c r="I61" i="5"/>
  <c r="N58" i="5" s="1"/>
  <c r="L60" i="5"/>
  <c r="K60" i="5"/>
  <c r="J60" i="5"/>
  <c r="I60" i="5"/>
  <c r="L59" i="5"/>
  <c r="K59" i="5"/>
  <c r="J59" i="5"/>
  <c r="I59" i="5"/>
  <c r="L58" i="5"/>
  <c r="K58" i="5"/>
  <c r="J58" i="5"/>
  <c r="I58" i="5"/>
  <c r="L57" i="5"/>
  <c r="Q56" i="5" s="1"/>
  <c r="K57" i="5"/>
  <c r="J57" i="5"/>
  <c r="I57" i="5"/>
  <c r="N56" i="5" s="1"/>
  <c r="P56" i="5"/>
  <c r="O56" i="5"/>
  <c r="L56" i="5"/>
  <c r="K56" i="5"/>
  <c r="J56" i="5"/>
  <c r="I56" i="5"/>
  <c r="L55" i="5"/>
  <c r="K55" i="5"/>
  <c r="J55" i="5"/>
  <c r="I55" i="5"/>
  <c r="N55" i="5" s="1"/>
  <c r="L47" i="5"/>
  <c r="K47" i="5"/>
  <c r="J47" i="5"/>
  <c r="I47" i="5"/>
  <c r="L46" i="5"/>
  <c r="Q43" i="5" s="1"/>
  <c r="K46" i="5"/>
  <c r="J46" i="5"/>
  <c r="I46" i="5"/>
  <c r="N43" i="5" s="1"/>
  <c r="L45" i="5"/>
  <c r="K45" i="5"/>
  <c r="J45" i="5"/>
  <c r="I45" i="5"/>
  <c r="L44" i="5"/>
  <c r="K44" i="5"/>
  <c r="J44" i="5"/>
  <c r="I44" i="5"/>
  <c r="L43" i="5"/>
  <c r="K43" i="5"/>
  <c r="J43" i="5"/>
  <c r="I43" i="5"/>
  <c r="N42" i="5"/>
  <c r="L42" i="5"/>
  <c r="Q41" i="5" s="1"/>
  <c r="K42" i="5"/>
  <c r="P41" i="5" s="1"/>
  <c r="J42" i="5"/>
  <c r="O41" i="5" s="1"/>
  <c r="I42" i="5"/>
  <c r="N41" i="5" s="1"/>
  <c r="L41" i="5"/>
  <c r="K41" i="5"/>
  <c r="J41" i="5"/>
  <c r="I41" i="5"/>
  <c r="L40" i="5"/>
  <c r="K40" i="5"/>
  <c r="P40" i="5" s="1"/>
  <c r="J40" i="5"/>
  <c r="O40" i="5" s="1"/>
  <c r="I40" i="5"/>
  <c r="N40" i="5" s="1"/>
  <c r="L32" i="5"/>
  <c r="K32" i="5"/>
  <c r="J32" i="5"/>
  <c r="I32" i="5"/>
  <c r="L31" i="5"/>
  <c r="Q28" i="5" s="1"/>
  <c r="K31" i="5"/>
  <c r="P28" i="5" s="1"/>
  <c r="J31" i="5"/>
  <c r="I31" i="5"/>
  <c r="L30" i="5"/>
  <c r="K30" i="5"/>
  <c r="J30" i="5"/>
  <c r="I30" i="5"/>
  <c r="L29" i="5"/>
  <c r="K29" i="5"/>
  <c r="P27" i="5" s="1"/>
  <c r="J29" i="5"/>
  <c r="O27" i="5" s="1"/>
  <c r="I29" i="5"/>
  <c r="N27" i="5" s="1"/>
  <c r="L28" i="5"/>
  <c r="K28" i="5"/>
  <c r="J28" i="5"/>
  <c r="I28" i="5"/>
  <c r="L27" i="5"/>
  <c r="Q26" i="5" s="1"/>
  <c r="K27" i="5"/>
  <c r="P26" i="5" s="1"/>
  <c r="J27" i="5"/>
  <c r="O26" i="5" s="1"/>
  <c r="I27" i="5"/>
  <c r="L26" i="5"/>
  <c r="K26" i="5"/>
  <c r="J26" i="5"/>
  <c r="I26" i="5"/>
  <c r="L25" i="5"/>
  <c r="Q25" i="5" s="1"/>
  <c r="K25" i="5"/>
  <c r="P25" i="5" s="1"/>
  <c r="J25" i="5"/>
  <c r="O25" i="5" s="1"/>
  <c r="I25" i="5"/>
  <c r="N25" i="5" s="1"/>
  <c r="L13" i="5"/>
  <c r="K13" i="5"/>
  <c r="J13" i="5"/>
  <c r="I13" i="5"/>
  <c r="L12" i="5"/>
  <c r="Q9" i="5" s="1"/>
  <c r="K12" i="5"/>
  <c r="J12" i="5"/>
  <c r="I12" i="5"/>
  <c r="L11" i="5"/>
  <c r="K11" i="5"/>
  <c r="J11" i="5"/>
  <c r="I11" i="5"/>
  <c r="L10" i="5"/>
  <c r="Q8" i="5" s="1"/>
  <c r="K10" i="5"/>
  <c r="P8" i="5" s="1"/>
  <c r="J10" i="5"/>
  <c r="O8" i="5" s="1"/>
  <c r="I10" i="5"/>
  <c r="L9" i="5"/>
  <c r="K9" i="5"/>
  <c r="J9" i="5"/>
  <c r="I9" i="5"/>
  <c r="N8" i="5"/>
  <c r="L8" i="5"/>
  <c r="Q7" i="5" s="1"/>
  <c r="K8" i="5"/>
  <c r="J8" i="5"/>
  <c r="I8" i="5"/>
  <c r="L7" i="5"/>
  <c r="K7" i="5"/>
  <c r="J7" i="5"/>
  <c r="I7" i="5"/>
  <c r="L6" i="5"/>
  <c r="Q6" i="5" s="1"/>
  <c r="K6" i="5"/>
  <c r="P6" i="5" s="1"/>
  <c r="J6" i="5"/>
  <c r="O6" i="5" s="1"/>
  <c r="I6" i="5"/>
  <c r="N6" i="5" s="1"/>
  <c r="L278" i="4"/>
  <c r="K278" i="4"/>
  <c r="J278" i="4"/>
  <c r="I278" i="4"/>
  <c r="L277" i="4"/>
  <c r="Q274" i="4" s="1"/>
  <c r="K277" i="4"/>
  <c r="J277" i="4"/>
  <c r="I277" i="4"/>
  <c r="L276" i="4"/>
  <c r="K276" i="4"/>
  <c r="J276" i="4"/>
  <c r="I276" i="4"/>
  <c r="L275" i="4"/>
  <c r="Q273" i="4" s="1"/>
  <c r="K275" i="4"/>
  <c r="P273" i="4" s="1"/>
  <c r="J275" i="4"/>
  <c r="O273" i="4" s="1"/>
  <c r="I275" i="4"/>
  <c r="N273" i="4" s="1"/>
  <c r="P274" i="4"/>
  <c r="O274" i="4"/>
  <c r="N274" i="4"/>
  <c r="L274" i="4"/>
  <c r="K274" i="4"/>
  <c r="J274" i="4"/>
  <c r="O272" i="4" s="1"/>
  <c r="I274" i="4"/>
  <c r="L273" i="4"/>
  <c r="K273" i="4"/>
  <c r="J273" i="4"/>
  <c r="I273" i="4"/>
  <c r="N272" i="4"/>
  <c r="L272" i="4"/>
  <c r="K272" i="4"/>
  <c r="J272" i="4"/>
  <c r="I272" i="4"/>
  <c r="L271" i="4"/>
  <c r="K271" i="4"/>
  <c r="J271" i="4"/>
  <c r="I271" i="4"/>
  <c r="N271" i="4" s="1"/>
  <c r="L263" i="4"/>
  <c r="K263" i="4"/>
  <c r="J263" i="4"/>
  <c r="I263" i="4"/>
  <c r="L262" i="4"/>
  <c r="K262" i="4"/>
  <c r="P259" i="4" s="1"/>
  <c r="J262" i="4"/>
  <c r="I262" i="4"/>
  <c r="L261" i="4"/>
  <c r="K261" i="4"/>
  <c r="J261" i="4"/>
  <c r="I261" i="4"/>
  <c r="L260" i="4"/>
  <c r="K260" i="4"/>
  <c r="J260" i="4"/>
  <c r="I260" i="4"/>
  <c r="N258" i="4" s="1"/>
  <c r="L259" i="4"/>
  <c r="K259" i="4"/>
  <c r="J259" i="4"/>
  <c r="I259" i="4"/>
  <c r="L258" i="4"/>
  <c r="K258" i="4"/>
  <c r="P257" i="4" s="1"/>
  <c r="J258" i="4"/>
  <c r="I258" i="4"/>
  <c r="N257" i="4" s="1"/>
  <c r="O257" i="4"/>
  <c r="L257" i="4"/>
  <c r="K257" i="4"/>
  <c r="J257" i="4"/>
  <c r="I257" i="4"/>
  <c r="L256" i="4"/>
  <c r="Q256" i="4" s="1"/>
  <c r="K256" i="4"/>
  <c r="P256" i="4" s="1"/>
  <c r="J256" i="4"/>
  <c r="O256" i="4" s="1"/>
  <c r="I256" i="4"/>
  <c r="L248" i="4"/>
  <c r="K248" i="4"/>
  <c r="J248" i="4"/>
  <c r="I248" i="4"/>
  <c r="L247" i="4"/>
  <c r="Q244" i="4" s="1"/>
  <c r="K247" i="4"/>
  <c r="P244" i="4" s="1"/>
  <c r="J247" i="4"/>
  <c r="O244" i="4" s="1"/>
  <c r="I247" i="4"/>
  <c r="L246" i="4"/>
  <c r="K246" i="4"/>
  <c r="J246" i="4"/>
  <c r="I246" i="4"/>
  <c r="L245" i="4"/>
  <c r="Q243" i="4" s="1"/>
  <c r="K245" i="4"/>
  <c r="P243" i="4" s="1"/>
  <c r="J245" i="4"/>
  <c r="O243" i="4" s="1"/>
  <c r="I245" i="4"/>
  <c r="L244" i="4"/>
  <c r="K244" i="4"/>
  <c r="J244" i="4"/>
  <c r="I244" i="4"/>
  <c r="L243" i="4"/>
  <c r="K243" i="4"/>
  <c r="J243" i="4"/>
  <c r="O242" i="4" s="1"/>
  <c r="I243" i="4"/>
  <c r="L242" i="4"/>
  <c r="K242" i="4"/>
  <c r="J242" i="4"/>
  <c r="I242" i="4"/>
  <c r="L241" i="4"/>
  <c r="Q241" i="4" s="1"/>
  <c r="K241" i="4"/>
  <c r="P241" i="4" s="1"/>
  <c r="J241" i="4"/>
  <c r="O241" i="4" s="1"/>
  <c r="I241" i="4"/>
  <c r="L233" i="4"/>
  <c r="K233" i="4"/>
  <c r="J233" i="4"/>
  <c r="I233" i="4"/>
  <c r="L232" i="4"/>
  <c r="K232" i="4"/>
  <c r="J232" i="4"/>
  <c r="O229" i="4" s="1"/>
  <c r="I232" i="4"/>
  <c r="L231" i="4"/>
  <c r="K231" i="4"/>
  <c r="J231" i="4"/>
  <c r="I231" i="4"/>
  <c r="L230" i="4"/>
  <c r="Q228" i="4" s="1"/>
  <c r="K230" i="4"/>
  <c r="P228" i="4" s="1"/>
  <c r="J230" i="4"/>
  <c r="O228" i="4" s="1"/>
  <c r="I230" i="4"/>
  <c r="L229" i="4"/>
  <c r="K229" i="4"/>
  <c r="J229" i="4"/>
  <c r="I229" i="4"/>
  <c r="L228" i="4"/>
  <c r="Q227" i="4" s="1"/>
  <c r="K228" i="4"/>
  <c r="P227" i="4" s="1"/>
  <c r="J228" i="4"/>
  <c r="O227" i="4" s="1"/>
  <c r="I228" i="4"/>
  <c r="N227" i="4"/>
  <c r="L227" i="4"/>
  <c r="K227" i="4"/>
  <c r="J227" i="4"/>
  <c r="I227" i="4"/>
  <c r="L226" i="4"/>
  <c r="Q226" i="4" s="1"/>
  <c r="K226" i="4"/>
  <c r="J226" i="4"/>
  <c r="I226" i="4"/>
  <c r="L218" i="4"/>
  <c r="K218" i="4"/>
  <c r="J218" i="4"/>
  <c r="I218" i="4"/>
  <c r="L217" i="4"/>
  <c r="Q214" i="4" s="1"/>
  <c r="K217" i="4"/>
  <c r="J217" i="4"/>
  <c r="I217" i="4"/>
  <c r="N214" i="4" s="1"/>
  <c r="L216" i="4"/>
  <c r="K216" i="4"/>
  <c r="J216" i="4"/>
  <c r="I216" i="4"/>
  <c r="L215" i="4"/>
  <c r="Q213" i="4" s="1"/>
  <c r="K215" i="4"/>
  <c r="J215" i="4"/>
  <c r="I215" i="4"/>
  <c r="L214" i="4"/>
  <c r="K214" i="4"/>
  <c r="J214" i="4"/>
  <c r="I214" i="4"/>
  <c r="L213" i="4"/>
  <c r="Q212" i="4" s="1"/>
  <c r="K213" i="4"/>
  <c r="P212" i="4" s="1"/>
  <c r="J213" i="4"/>
  <c r="I213" i="4"/>
  <c r="O212" i="4"/>
  <c r="N212" i="4"/>
  <c r="L212" i="4"/>
  <c r="K212" i="4"/>
  <c r="J212" i="4"/>
  <c r="I212" i="4"/>
  <c r="L211" i="4"/>
  <c r="K211" i="4"/>
  <c r="J211" i="4"/>
  <c r="I211" i="4"/>
  <c r="N211" i="4" s="1"/>
  <c r="L203" i="4"/>
  <c r="K203" i="4"/>
  <c r="J203" i="4"/>
  <c r="I203" i="4"/>
  <c r="L202" i="4"/>
  <c r="Q199" i="4" s="1"/>
  <c r="K202" i="4"/>
  <c r="J202" i="4"/>
  <c r="O199" i="4" s="1"/>
  <c r="I202" i="4"/>
  <c r="L201" i="4"/>
  <c r="K201" i="4"/>
  <c r="J201" i="4"/>
  <c r="I201" i="4"/>
  <c r="L200" i="4"/>
  <c r="K200" i="4"/>
  <c r="J200" i="4"/>
  <c r="I200" i="4"/>
  <c r="L199" i="4"/>
  <c r="K199" i="4"/>
  <c r="J199" i="4"/>
  <c r="I199" i="4"/>
  <c r="N198" i="4"/>
  <c r="L198" i="4"/>
  <c r="Q197" i="4" s="1"/>
  <c r="K198" i="4"/>
  <c r="P197" i="4" s="1"/>
  <c r="J198" i="4"/>
  <c r="O197" i="4" s="1"/>
  <c r="I198" i="4"/>
  <c r="N197" i="4"/>
  <c r="L197" i="4"/>
  <c r="K197" i="4"/>
  <c r="J197" i="4"/>
  <c r="I197" i="4"/>
  <c r="L196" i="4"/>
  <c r="K196" i="4"/>
  <c r="P196" i="4" s="1"/>
  <c r="J196" i="4"/>
  <c r="O196" i="4" s="1"/>
  <c r="I196" i="4"/>
  <c r="N196" i="4" s="1"/>
  <c r="L184" i="4"/>
  <c r="K184" i="4"/>
  <c r="J184" i="4"/>
  <c r="I184" i="4"/>
  <c r="L183" i="4"/>
  <c r="Q180" i="4" s="1"/>
  <c r="K183" i="4"/>
  <c r="J183" i="4"/>
  <c r="I183" i="4"/>
  <c r="N180" i="4" s="1"/>
  <c r="L182" i="4"/>
  <c r="K182" i="4"/>
  <c r="J182" i="4"/>
  <c r="I182" i="4"/>
  <c r="L181" i="4"/>
  <c r="K181" i="4"/>
  <c r="P179" i="4" s="1"/>
  <c r="J181" i="4"/>
  <c r="O179" i="4" s="1"/>
  <c r="I181" i="4"/>
  <c r="N179" i="4" s="1"/>
  <c r="L180" i="4"/>
  <c r="K180" i="4"/>
  <c r="J180" i="4"/>
  <c r="I180" i="4"/>
  <c r="L179" i="4"/>
  <c r="Q178" i="4" s="1"/>
  <c r="K179" i="4"/>
  <c r="P178" i="4" s="1"/>
  <c r="J179" i="4"/>
  <c r="O178" i="4" s="1"/>
  <c r="I179" i="4"/>
  <c r="L178" i="4"/>
  <c r="K178" i="4"/>
  <c r="J178" i="4"/>
  <c r="I178" i="4"/>
  <c r="L177" i="4"/>
  <c r="K177" i="4"/>
  <c r="P177" i="4" s="1"/>
  <c r="J177" i="4"/>
  <c r="O177" i="4" s="1"/>
  <c r="I177" i="4"/>
  <c r="N177" i="4" s="1"/>
  <c r="L165" i="4"/>
  <c r="K165" i="4"/>
  <c r="J165" i="4"/>
  <c r="I165" i="4"/>
  <c r="L164" i="4"/>
  <c r="Q161" i="4" s="1"/>
  <c r="K164" i="4"/>
  <c r="J164" i="4"/>
  <c r="I164" i="4"/>
  <c r="L163" i="4"/>
  <c r="K163" i="4"/>
  <c r="J163" i="4"/>
  <c r="I163" i="4"/>
  <c r="L162" i="4"/>
  <c r="K162" i="4"/>
  <c r="P160" i="4" s="1"/>
  <c r="J162" i="4"/>
  <c r="O160" i="4" s="1"/>
  <c r="I162" i="4"/>
  <c r="N160" i="4" s="1"/>
  <c r="L161" i="4"/>
  <c r="K161" i="4"/>
  <c r="J161" i="4"/>
  <c r="I161" i="4"/>
  <c r="L160" i="4"/>
  <c r="K160" i="4"/>
  <c r="J160" i="4"/>
  <c r="I160" i="4"/>
  <c r="L159" i="4"/>
  <c r="K159" i="4"/>
  <c r="J159" i="4"/>
  <c r="I159" i="4"/>
  <c r="L158" i="4"/>
  <c r="K158" i="4"/>
  <c r="P158" i="4" s="1"/>
  <c r="J158" i="4"/>
  <c r="O158" i="4" s="1"/>
  <c r="I158" i="4"/>
  <c r="N158" i="4" s="1"/>
  <c r="L146" i="4"/>
  <c r="K146" i="4"/>
  <c r="J146" i="4"/>
  <c r="I146" i="4"/>
  <c r="L145" i="4"/>
  <c r="K145" i="4"/>
  <c r="J145" i="4"/>
  <c r="I145" i="4"/>
  <c r="N142" i="4" s="1"/>
  <c r="L144" i="4"/>
  <c r="K144" i="4"/>
  <c r="J144" i="4"/>
  <c r="I144" i="4"/>
  <c r="L143" i="4"/>
  <c r="K143" i="4"/>
  <c r="P141" i="4" s="1"/>
  <c r="J143" i="4"/>
  <c r="O141" i="4" s="1"/>
  <c r="I143" i="4"/>
  <c r="N141" i="4" s="1"/>
  <c r="L142" i="4"/>
  <c r="K142" i="4"/>
  <c r="J142" i="4"/>
  <c r="I142" i="4"/>
  <c r="L141" i="4"/>
  <c r="K141" i="4"/>
  <c r="P140" i="4" s="1"/>
  <c r="J141" i="4"/>
  <c r="O140" i="4" s="1"/>
  <c r="I141" i="4"/>
  <c r="N140" i="4" s="1"/>
  <c r="L140" i="4"/>
  <c r="K140" i="4"/>
  <c r="J140" i="4"/>
  <c r="I140" i="4"/>
  <c r="L139" i="4"/>
  <c r="Q139" i="4" s="1"/>
  <c r="K139" i="4"/>
  <c r="P139" i="4" s="1"/>
  <c r="J139" i="4"/>
  <c r="O139" i="4" s="1"/>
  <c r="I139" i="4"/>
  <c r="L131" i="4"/>
  <c r="K131" i="4"/>
  <c r="J131" i="4"/>
  <c r="I131" i="4"/>
  <c r="L130" i="4"/>
  <c r="Q127" i="4" s="1"/>
  <c r="K130" i="4"/>
  <c r="J130" i="4"/>
  <c r="I130" i="4"/>
  <c r="L129" i="4"/>
  <c r="K129" i="4"/>
  <c r="J129" i="4"/>
  <c r="I129" i="4"/>
  <c r="L128" i="4"/>
  <c r="Q126" i="4" s="1"/>
  <c r="K128" i="4"/>
  <c r="P126" i="4" s="1"/>
  <c r="J128" i="4"/>
  <c r="O126" i="4" s="1"/>
  <c r="I128" i="4"/>
  <c r="L127" i="4"/>
  <c r="K127" i="4"/>
  <c r="J127" i="4"/>
  <c r="I127" i="4"/>
  <c r="N125" i="4" s="1"/>
  <c r="L126" i="4"/>
  <c r="Q125" i="4" s="1"/>
  <c r="K126" i="4"/>
  <c r="P125" i="4" s="1"/>
  <c r="J126" i="4"/>
  <c r="I126" i="4"/>
  <c r="L125" i="4"/>
  <c r="K125" i="4"/>
  <c r="J125" i="4"/>
  <c r="I125" i="4"/>
  <c r="L124" i="4"/>
  <c r="K124" i="4"/>
  <c r="J124" i="4"/>
  <c r="I124" i="4"/>
  <c r="L108" i="4"/>
  <c r="K108" i="4"/>
  <c r="J108" i="4"/>
  <c r="I108" i="4"/>
  <c r="L107" i="4"/>
  <c r="Q104" i="4" s="1"/>
  <c r="K107" i="4"/>
  <c r="J107" i="4"/>
  <c r="I107" i="4"/>
  <c r="L106" i="4"/>
  <c r="K106" i="4"/>
  <c r="J106" i="4"/>
  <c r="I106" i="4"/>
  <c r="L105" i="4"/>
  <c r="K105" i="4"/>
  <c r="J105" i="4"/>
  <c r="I105" i="4"/>
  <c r="L104" i="4"/>
  <c r="K104" i="4"/>
  <c r="P102" i="4" s="1"/>
  <c r="J104" i="4"/>
  <c r="O102" i="4" s="1"/>
  <c r="I104" i="4"/>
  <c r="N102" i="4" s="1"/>
  <c r="L103" i="4"/>
  <c r="Q102" i="4" s="1"/>
  <c r="K103" i="4"/>
  <c r="J103" i="4"/>
  <c r="I103" i="4"/>
  <c r="L102" i="4"/>
  <c r="K102" i="4"/>
  <c r="J102" i="4"/>
  <c r="I102" i="4"/>
  <c r="L101" i="4"/>
  <c r="Q101" i="4" s="1"/>
  <c r="K101" i="4"/>
  <c r="P101" i="4" s="1"/>
  <c r="J101" i="4"/>
  <c r="O101" i="4" s="1"/>
  <c r="I101" i="4"/>
  <c r="N101" i="4" s="1"/>
  <c r="L85" i="4"/>
  <c r="K85" i="4"/>
  <c r="J85" i="4"/>
  <c r="I85" i="4"/>
  <c r="L84" i="4"/>
  <c r="K84" i="4"/>
  <c r="J84" i="4"/>
  <c r="O81" i="4" s="1"/>
  <c r="I84" i="4"/>
  <c r="L83" i="4"/>
  <c r="K83" i="4"/>
  <c r="J83" i="4"/>
  <c r="I83" i="4"/>
  <c r="L82" i="4"/>
  <c r="Q80" i="4" s="1"/>
  <c r="K82" i="4"/>
  <c r="P80" i="4" s="1"/>
  <c r="J82" i="4"/>
  <c r="I82" i="4"/>
  <c r="N80" i="4" s="1"/>
  <c r="L81" i="4"/>
  <c r="K81" i="4"/>
  <c r="J81" i="4"/>
  <c r="I81" i="4"/>
  <c r="L80" i="4"/>
  <c r="K80" i="4"/>
  <c r="J80" i="4"/>
  <c r="I80" i="4"/>
  <c r="L79" i="4"/>
  <c r="K79" i="4"/>
  <c r="J79" i="4"/>
  <c r="I79" i="4"/>
  <c r="L78" i="4"/>
  <c r="Q78" i="4" s="1"/>
  <c r="K78" i="4"/>
  <c r="P78" i="4" s="1"/>
  <c r="J78" i="4"/>
  <c r="O78" i="4" s="1"/>
  <c r="I78" i="4"/>
  <c r="N78" i="4" s="1"/>
  <c r="L62" i="4"/>
  <c r="K62" i="4"/>
  <c r="J62" i="4"/>
  <c r="I62" i="4"/>
  <c r="L61" i="4"/>
  <c r="K61" i="4"/>
  <c r="J61" i="4"/>
  <c r="I61" i="4"/>
  <c r="L60" i="4"/>
  <c r="K60" i="4"/>
  <c r="J60" i="4"/>
  <c r="I60" i="4"/>
  <c r="L59" i="4"/>
  <c r="Q57" i="4" s="1"/>
  <c r="K59" i="4"/>
  <c r="P57" i="4" s="1"/>
  <c r="J59" i="4"/>
  <c r="O57" i="4" s="1"/>
  <c r="I59" i="4"/>
  <c r="N57" i="4" s="1"/>
  <c r="L58" i="4"/>
  <c r="K58" i="4"/>
  <c r="J58" i="4"/>
  <c r="I58" i="4"/>
  <c r="L57" i="4"/>
  <c r="K57" i="4"/>
  <c r="J57" i="4"/>
  <c r="I57" i="4"/>
  <c r="N56" i="4"/>
  <c r="L56" i="4"/>
  <c r="K56" i="4"/>
  <c r="J56" i="4"/>
  <c r="I56" i="4"/>
  <c r="O55" i="4"/>
  <c r="N55" i="4"/>
  <c r="L55" i="4"/>
  <c r="Q55" i="4" s="1"/>
  <c r="K55" i="4"/>
  <c r="P55" i="4" s="1"/>
  <c r="J55" i="4"/>
  <c r="I55" i="4"/>
  <c r="L47" i="4"/>
  <c r="K47" i="4"/>
  <c r="J47" i="4"/>
  <c r="I47" i="4"/>
  <c r="L46" i="4"/>
  <c r="Q43" i="4" s="1"/>
  <c r="K46" i="4"/>
  <c r="J46" i="4"/>
  <c r="I46" i="4"/>
  <c r="L45" i="4"/>
  <c r="K45" i="4"/>
  <c r="J45" i="4"/>
  <c r="I45" i="4"/>
  <c r="L44" i="4"/>
  <c r="Q42" i="4" s="1"/>
  <c r="K44" i="4"/>
  <c r="P42" i="4" s="1"/>
  <c r="J44" i="4"/>
  <c r="I44" i="4"/>
  <c r="L43" i="4"/>
  <c r="K43" i="4"/>
  <c r="J43" i="4"/>
  <c r="I43" i="4"/>
  <c r="L42" i="4"/>
  <c r="Q41" i="4" s="1"/>
  <c r="K42" i="4"/>
  <c r="J42" i="4"/>
  <c r="O41" i="4" s="1"/>
  <c r="I42" i="4"/>
  <c r="N41" i="4" s="1"/>
  <c r="P41" i="4"/>
  <c r="L41" i="4"/>
  <c r="K41" i="4"/>
  <c r="J41" i="4"/>
  <c r="I41" i="4"/>
  <c r="O40" i="4"/>
  <c r="L40" i="4"/>
  <c r="K40" i="4"/>
  <c r="J40" i="4"/>
  <c r="I40" i="4"/>
  <c r="L32" i="4"/>
  <c r="K32" i="4"/>
  <c r="J32" i="4"/>
  <c r="I32" i="4"/>
  <c r="L31" i="4"/>
  <c r="Q28" i="4" s="1"/>
  <c r="K31" i="4"/>
  <c r="P28" i="4" s="1"/>
  <c r="J31" i="4"/>
  <c r="I31" i="4"/>
  <c r="L30" i="4"/>
  <c r="K30" i="4"/>
  <c r="J30" i="4"/>
  <c r="O27" i="4" s="1"/>
  <c r="I30" i="4"/>
  <c r="L29" i="4"/>
  <c r="K29" i="4"/>
  <c r="J29" i="4"/>
  <c r="I29" i="4"/>
  <c r="L28" i="4"/>
  <c r="K28" i="4"/>
  <c r="J28" i="4"/>
  <c r="I28" i="4"/>
  <c r="L27" i="4"/>
  <c r="Q26" i="4" s="1"/>
  <c r="K27" i="4"/>
  <c r="P26" i="4" s="1"/>
  <c r="J27" i="4"/>
  <c r="O26" i="4" s="1"/>
  <c r="I27" i="4"/>
  <c r="N26" i="4" s="1"/>
  <c r="L26" i="4"/>
  <c r="K26" i="4"/>
  <c r="J26" i="4"/>
  <c r="I26" i="4"/>
  <c r="L25" i="4"/>
  <c r="K25" i="4"/>
  <c r="J25" i="4"/>
  <c r="I25" i="4"/>
  <c r="L13" i="4"/>
  <c r="K13" i="4"/>
  <c r="J13" i="4"/>
  <c r="I13" i="4"/>
  <c r="L12" i="4"/>
  <c r="Q9" i="4" s="1"/>
  <c r="K12" i="4"/>
  <c r="J12" i="4"/>
  <c r="I12" i="4"/>
  <c r="N9" i="4" s="1"/>
  <c r="L11" i="4"/>
  <c r="K11" i="4"/>
  <c r="J11" i="4"/>
  <c r="I11" i="4"/>
  <c r="L10" i="4"/>
  <c r="K10" i="4"/>
  <c r="J10" i="4"/>
  <c r="I10" i="4"/>
  <c r="L9" i="4"/>
  <c r="K9" i="4"/>
  <c r="J9" i="4"/>
  <c r="I9" i="4"/>
  <c r="L8" i="4"/>
  <c r="Q7" i="4" s="1"/>
  <c r="K8" i="4"/>
  <c r="J8" i="4"/>
  <c r="O7" i="4" s="1"/>
  <c r="I8" i="4"/>
  <c r="N7" i="4" s="1"/>
  <c r="P7" i="4"/>
  <c r="L7" i="4"/>
  <c r="K7" i="4"/>
  <c r="J7" i="4"/>
  <c r="I7" i="4"/>
  <c r="L6" i="4"/>
  <c r="K6" i="4"/>
  <c r="J6" i="4"/>
  <c r="I6" i="4"/>
  <c r="N6" i="4" s="1"/>
  <c r="L278" i="2"/>
  <c r="K278" i="2"/>
  <c r="J278" i="2"/>
  <c r="I278" i="2"/>
  <c r="L277" i="2"/>
  <c r="Q274" i="2" s="1"/>
  <c r="K277" i="2"/>
  <c r="P274" i="2" s="1"/>
  <c r="J277" i="2"/>
  <c r="O274" i="2" s="1"/>
  <c r="I277" i="2"/>
  <c r="N274" i="2" s="1"/>
  <c r="L276" i="2"/>
  <c r="K276" i="2"/>
  <c r="J276" i="2"/>
  <c r="I276" i="2"/>
  <c r="L275" i="2"/>
  <c r="Q273" i="2" s="1"/>
  <c r="K275" i="2"/>
  <c r="P273" i="2" s="1"/>
  <c r="J275" i="2"/>
  <c r="I275" i="2"/>
  <c r="L274" i="2"/>
  <c r="K274" i="2"/>
  <c r="J274" i="2"/>
  <c r="I274" i="2"/>
  <c r="L273" i="2"/>
  <c r="Q272" i="2" s="1"/>
  <c r="K273" i="2"/>
  <c r="P272" i="2" s="1"/>
  <c r="J273" i="2"/>
  <c r="O272" i="2" s="1"/>
  <c r="I273" i="2"/>
  <c r="N272" i="2" s="1"/>
  <c r="L272" i="2"/>
  <c r="K272" i="2"/>
  <c r="J272" i="2"/>
  <c r="I272" i="2"/>
  <c r="L271" i="2"/>
  <c r="K271" i="2"/>
  <c r="J271" i="2"/>
  <c r="I271" i="2"/>
  <c r="L263" i="2"/>
  <c r="K263" i="2"/>
  <c r="J263" i="2"/>
  <c r="I263" i="2"/>
  <c r="L262" i="2"/>
  <c r="Q259" i="2" s="1"/>
  <c r="K262" i="2"/>
  <c r="P259" i="2" s="1"/>
  <c r="J262" i="2"/>
  <c r="O259" i="2" s="1"/>
  <c r="I262" i="2"/>
  <c r="N259" i="2" s="1"/>
  <c r="L261" i="2"/>
  <c r="K261" i="2"/>
  <c r="J261" i="2"/>
  <c r="I261" i="2"/>
  <c r="L260" i="2"/>
  <c r="K260" i="2"/>
  <c r="J260" i="2"/>
  <c r="I260" i="2"/>
  <c r="L259" i="2"/>
  <c r="K259" i="2"/>
  <c r="J259" i="2"/>
  <c r="I259" i="2"/>
  <c r="L258" i="2"/>
  <c r="Q257" i="2" s="1"/>
  <c r="K258" i="2"/>
  <c r="P257" i="2" s="1"/>
  <c r="J258" i="2"/>
  <c r="O257" i="2" s="1"/>
  <c r="I258" i="2"/>
  <c r="N257" i="2" s="1"/>
  <c r="L257" i="2"/>
  <c r="K257" i="2"/>
  <c r="J257" i="2"/>
  <c r="I257" i="2"/>
  <c r="L256" i="2"/>
  <c r="K256" i="2"/>
  <c r="J256" i="2"/>
  <c r="I256" i="2"/>
  <c r="L248" i="2"/>
  <c r="K248" i="2"/>
  <c r="J248" i="2"/>
  <c r="I248" i="2"/>
  <c r="L247" i="2"/>
  <c r="Q244" i="2" s="1"/>
  <c r="K247" i="2"/>
  <c r="P244" i="2" s="1"/>
  <c r="J247" i="2"/>
  <c r="O244" i="2" s="1"/>
  <c r="I247" i="2"/>
  <c r="N244" i="2" s="1"/>
  <c r="L246" i="2"/>
  <c r="K246" i="2"/>
  <c r="J246" i="2"/>
  <c r="I246" i="2"/>
  <c r="L245" i="2"/>
  <c r="K245" i="2"/>
  <c r="J245" i="2"/>
  <c r="I245" i="2"/>
  <c r="L244" i="2"/>
  <c r="K244" i="2"/>
  <c r="J244" i="2"/>
  <c r="I244" i="2"/>
  <c r="L243" i="2"/>
  <c r="Q242" i="2" s="1"/>
  <c r="K243" i="2"/>
  <c r="P242" i="2" s="1"/>
  <c r="J243" i="2"/>
  <c r="O242" i="2" s="1"/>
  <c r="I243" i="2"/>
  <c r="N242" i="2" s="1"/>
  <c r="L242" i="2"/>
  <c r="K242" i="2"/>
  <c r="J242" i="2"/>
  <c r="I242" i="2"/>
  <c r="L241" i="2"/>
  <c r="Q241" i="2" s="1"/>
  <c r="K241" i="2"/>
  <c r="P241" i="2" s="1"/>
  <c r="J241" i="2"/>
  <c r="I241" i="2"/>
  <c r="L233" i="2"/>
  <c r="K233" i="2"/>
  <c r="J233" i="2"/>
  <c r="I233" i="2"/>
  <c r="L232" i="2"/>
  <c r="Q229" i="2" s="1"/>
  <c r="K232" i="2"/>
  <c r="J232" i="2"/>
  <c r="I232" i="2"/>
  <c r="L231" i="2"/>
  <c r="K231" i="2"/>
  <c r="J231" i="2"/>
  <c r="I231" i="2"/>
  <c r="L230" i="2"/>
  <c r="Q228" i="2" s="1"/>
  <c r="K230" i="2"/>
  <c r="P228" i="2" s="1"/>
  <c r="J230" i="2"/>
  <c r="I230" i="2"/>
  <c r="L229" i="2"/>
  <c r="K229" i="2"/>
  <c r="J229" i="2"/>
  <c r="I229" i="2"/>
  <c r="L228" i="2"/>
  <c r="Q227" i="2" s="1"/>
  <c r="K228" i="2"/>
  <c r="J228" i="2"/>
  <c r="I228" i="2"/>
  <c r="L227" i="2"/>
  <c r="K227" i="2"/>
  <c r="J227" i="2"/>
  <c r="I227" i="2"/>
  <c r="L226" i="2"/>
  <c r="Q226" i="2" s="1"/>
  <c r="K226" i="2"/>
  <c r="P226" i="2" s="1"/>
  <c r="J226" i="2"/>
  <c r="I226" i="2"/>
  <c r="L218" i="2"/>
  <c r="K218" i="2"/>
  <c r="J218" i="2"/>
  <c r="I218" i="2"/>
  <c r="L217" i="2"/>
  <c r="Q214" i="2" s="1"/>
  <c r="K217" i="2"/>
  <c r="P214" i="2" s="1"/>
  <c r="J217" i="2"/>
  <c r="O214" i="2" s="1"/>
  <c r="I217" i="2"/>
  <c r="L216" i="2"/>
  <c r="K216" i="2"/>
  <c r="J216" i="2"/>
  <c r="I216" i="2"/>
  <c r="L215" i="2"/>
  <c r="Q213" i="2" s="1"/>
  <c r="K215" i="2"/>
  <c r="P213" i="2" s="1"/>
  <c r="J215" i="2"/>
  <c r="I215" i="2"/>
  <c r="L214" i="2"/>
  <c r="K214" i="2"/>
  <c r="J214" i="2"/>
  <c r="I214" i="2"/>
  <c r="L213" i="2"/>
  <c r="K213" i="2"/>
  <c r="J213" i="2"/>
  <c r="I213" i="2"/>
  <c r="N212" i="2" s="1"/>
  <c r="O212" i="2"/>
  <c r="L212" i="2"/>
  <c r="K212" i="2"/>
  <c r="J212" i="2"/>
  <c r="I212" i="2"/>
  <c r="L211" i="2"/>
  <c r="K211" i="2"/>
  <c r="J211" i="2"/>
  <c r="I211" i="2"/>
  <c r="L203" i="2"/>
  <c r="K203" i="2"/>
  <c r="J203" i="2"/>
  <c r="I203" i="2"/>
  <c r="L202" i="2"/>
  <c r="Q199" i="2" s="1"/>
  <c r="K202" i="2"/>
  <c r="P199" i="2" s="1"/>
  <c r="J202" i="2"/>
  <c r="O199" i="2" s="1"/>
  <c r="I202" i="2"/>
  <c r="N199" i="2" s="1"/>
  <c r="L201" i="2"/>
  <c r="K201" i="2"/>
  <c r="J201" i="2"/>
  <c r="I201" i="2"/>
  <c r="L200" i="2"/>
  <c r="K200" i="2"/>
  <c r="J200" i="2"/>
  <c r="I200" i="2"/>
  <c r="L199" i="2"/>
  <c r="K199" i="2"/>
  <c r="J199" i="2"/>
  <c r="I199" i="2"/>
  <c r="L198" i="2"/>
  <c r="Q197" i="2" s="1"/>
  <c r="K198" i="2"/>
  <c r="P197" i="2" s="1"/>
  <c r="J198" i="2"/>
  <c r="O197" i="2" s="1"/>
  <c r="I198" i="2"/>
  <c r="N197" i="2" s="1"/>
  <c r="L197" i="2"/>
  <c r="K197" i="2"/>
  <c r="J197" i="2"/>
  <c r="I197" i="2"/>
  <c r="L196" i="2"/>
  <c r="K196" i="2"/>
  <c r="J196" i="2"/>
  <c r="I196" i="2"/>
  <c r="L184" i="2"/>
  <c r="K184" i="2"/>
  <c r="J184" i="2"/>
  <c r="I184" i="2"/>
  <c r="L183" i="2"/>
  <c r="Q180" i="2" s="1"/>
  <c r="K183" i="2"/>
  <c r="P180" i="2" s="1"/>
  <c r="J183" i="2"/>
  <c r="O180" i="2" s="1"/>
  <c r="I183" i="2"/>
  <c r="N180" i="2" s="1"/>
  <c r="L182" i="2"/>
  <c r="K182" i="2"/>
  <c r="J182" i="2"/>
  <c r="I182" i="2"/>
  <c r="L181" i="2"/>
  <c r="K181" i="2"/>
  <c r="J181" i="2"/>
  <c r="I181" i="2"/>
  <c r="L180" i="2"/>
  <c r="K180" i="2"/>
  <c r="J180" i="2"/>
  <c r="I180" i="2"/>
  <c r="L179" i="2"/>
  <c r="Q178" i="2" s="1"/>
  <c r="K179" i="2"/>
  <c r="P178" i="2" s="1"/>
  <c r="J179" i="2"/>
  <c r="O178" i="2" s="1"/>
  <c r="I179" i="2"/>
  <c r="N178" i="2" s="1"/>
  <c r="L178" i="2"/>
  <c r="K178" i="2"/>
  <c r="J178" i="2"/>
  <c r="I178" i="2"/>
  <c r="L177" i="2"/>
  <c r="K177" i="2"/>
  <c r="J177" i="2"/>
  <c r="I177" i="2"/>
  <c r="L165" i="2"/>
  <c r="K165" i="2"/>
  <c r="J165" i="2"/>
  <c r="I165" i="2"/>
  <c r="L164" i="2"/>
  <c r="Q161" i="2" s="1"/>
  <c r="K164" i="2"/>
  <c r="P161" i="2" s="1"/>
  <c r="J164" i="2"/>
  <c r="O161" i="2" s="1"/>
  <c r="I164" i="2"/>
  <c r="N161" i="2" s="1"/>
  <c r="L163" i="2"/>
  <c r="K163" i="2"/>
  <c r="J163" i="2"/>
  <c r="I163" i="2"/>
  <c r="L162" i="2"/>
  <c r="K162" i="2"/>
  <c r="J162" i="2"/>
  <c r="I162" i="2"/>
  <c r="L161" i="2"/>
  <c r="K161" i="2"/>
  <c r="J161" i="2"/>
  <c r="I161" i="2"/>
  <c r="L160" i="2"/>
  <c r="Q159" i="2" s="1"/>
  <c r="K160" i="2"/>
  <c r="P159" i="2" s="1"/>
  <c r="J160" i="2"/>
  <c r="O159" i="2" s="1"/>
  <c r="I160" i="2"/>
  <c r="N159" i="2" s="1"/>
  <c r="L159" i="2"/>
  <c r="K159" i="2"/>
  <c r="J159" i="2"/>
  <c r="I159" i="2"/>
  <c r="L158" i="2"/>
  <c r="K158" i="2"/>
  <c r="J158" i="2"/>
  <c r="I158" i="2"/>
  <c r="L146" i="2"/>
  <c r="K146" i="2"/>
  <c r="J146" i="2"/>
  <c r="I146" i="2"/>
  <c r="L145" i="2"/>
  <c r="Q142" i="2" s="1"/>
  <c r="K145" i="2"/>
  <c r="P142" i="2" s="1"/>
  <c r="J145" i="2"/>
  <c r="O142" i="2" s="1"/>
  <c r="I145" i="2"/>
  <c r="N142" i="2" s="1"/>
  <c r="L144" i="2"/>
  <c r="K144" i="2"/>
  <c r="J144" i="2"/>
  <c r="I144" i="2"/>
  <c r="L143" i="2"/>
  <c r="K143" i="2"/>
  <c r="J143" i="2"/>
  <c r="I143" i="2"/>
  <c r="L142" i="2"/>
  <c r="K142" i="2"/>
  <c r="J142" i="2"/>
  <c r="I142" i="2"/>
  <c r="L141" i="2"/>
  <c r="Q140" i="2" s="1"/>
  <c r="K141" i="2"/>
  <c r="P140" i="2" s="1"/>
  <c r="J141" i="2"/>
  <c r="O140" i="2" s="1"/>
  <c r="I141" i="2"/>
  <c r="N140" i="2" s="1"/>
  <c r="L140" i="2"/>
  <c r="K140" i="2"/>
  <c r="J140" i="2"/>
  <c r="I140" i="2"/>
  <c r="L139" i="2"/>
  <c r="K139" i="2"/>
  <c r="J139" i="2"/>
  <c r="I139" i="2"/>
  <c r="L131" i="2"/>
  <c r="K131" i="2"/>
  <c r="J131" i="2"/>
  <c r="I131" i="2"/>
  <c r="L130" i="2"/>
  <c r="Q127" i="2" s="1"/>
  <c r="K130" i="2"/>
  <c r="P127" i="2" s="1"/>
  <c r="J130" i="2"/>
  <c r="O127" i="2" s="1"/>
  <c r="I130" i="2"/>
  <c r="N127" i="2" s="1"/>
  <c r="L129" i="2"/>
  <c r="K129" i="2"/>
  <c r="J129" i="2"/>
  <c r="I129" i="2"/>
  <c r="L128" i="2"/>
  <c r="K128" i="2"/>
  <c r="J128" i="2"/>
  <c r="I128" i="2"/>
  <c r="L127" i="2"/>
  <c r="K127" i="2"/>
  <c r="J127" i="2"/>
  <c r="I127" i="2"/>
  <c r="L126" i="2"/>
  <c r="Q125" i="2" s="1"/>
  <c r="K126" i="2"/>
  <c r="P125" i="2" s="1"/>
  <c r="J126" i="2"/>
  <c r="O125" i="2" s="1"/>
  <c r="I126" i="2"/>
  <c r="N125" i="2" s="1"/>
  <c r="L125" i="2"/>
  <c r="K125" i="2"/>
  <c r="J125" i="2"/>
  <c r="I125" i="2"/>
  <c r="L124" i="2"/>
  <c r="K124" i="2"/>
  <c r="J124" i="2"/>
  <c r="I124" i="2"/>
  <c r="L108" i="2"/>
  <c r="K108" i="2"/>
  <c r="J108" i="2"/>
  <c r="I108" i="2"/>
  <c r="L107" i="2"/>
  <c r="Q104" i="2" s="1"/>
  <c r="K107" i="2"/>
  <c r="P104" i="2" s="1"/>
  <c r="J107" i="2"/>
  <c r="O104" i="2" s="1"/>
  <c r="I107" i="2"/>
  <c r="N104" i="2" s="1"/>
  <c r="L106" i="2"/>
  <c r="K106" i="2"/>
  <c r="J106" i="2"/>
  <c r="I106" i="2"/>
  <c r="L105" i="2"/>
  <c r="K105" i="2"/>
  <c r="J105" i="2"/>
  <c r="I105" i="2"/>
  <c r="L104" i="2"/>
  <c r="K104" i="2"/>
  <c r="J104" i="2"/>
  <c r="I104" i="2"/>
  <c r="L103" i="2"/>
  <c r="Q102" i="2" s="1"/>
  <c r="K103" i="2"/>
  <c r="P102" i="2" s="1"/>
  <c r="J103" i="2"/>
  <c r="O102" i="2" s="1"/>
  <c r="I103" i="2"/>
  <c r="N102" i="2" s="1"/>
  <c r="L102" i="2"/>
  <c r="K102" i="2"/>
  <c r="J102" i="2"/>
  <c r="I102" i="2"/>
  <c r="L101" i="2"/>
  <c r="K101" i="2"/>
  <c r="J101" i="2"/>
  <c r="I101" i="2"/>
  <c r="L85" i="2"/>
  <c r="K85" i="2"/>
  <c r="J85" i="2"/>
  <c r="I85" i="2"/>
  <c r="L84" i="2"/>
  <c r="Q81" i="2" s="1"/>
  <c r="K84" i="2"/>
  <c r="P81" i="2" s="1"/>
  <c r="J84" i="2"/>
  <c r="O81" i="2" s="1"/>
  <c r="I84" i="2"/>
  <c r="N81" i="2" s="1"/>
  <c r="L83" i="2"/>
  <c r="K83" i="2"/>
  <c r="J83" i="2"/>
  <c r="I83" i="2"/>
  <c r="L82" i="2"/>
  <c r="K82" i="2"/>
  <c r="J82" i="2"/>
  <c r="I82" i="2"/>
  <c r="L81" i="2"/>
  <c r="K81" i="2"/>
  <c r="J81" i="2"/>
  <c r="I81" i="2"/>
  <c r="L80" i="2"/>
  <c r="Q79" i="2" s="1"/>
  <c r="K80" i="2"/>
  <c r="P79" i="2" s="1"/>
  <c r="J80" i="2"/>
  <c r="O79" i="2" s="1"/>
  <c r="I80" i="2"/>
  <c r="N79" i="2" s="1"/>
  <c r="L79" i="2"/>
  <c r="K79" i="2"/>
  <c r="J79" i="2"/>
  <c r="I79" i="2"/>
  <c r="L78" i="2"/>
  <c r="K78" i="2"/>
  <c r="J78" i="2"/>
  <c r="I78" i="2"/>
  <c r="L47" i="2"/>
  <c r="K47" i="2"/>
  <c r="J47" i="2"/>
  <c r="I47" i="2"/>
  <c r="L46" i="2"/>
  <c r="Q43" i="2" s="1"/>
  <c r="K46" i="2"/>
  <c r="P43" i="2" s="1"/>
  <c r="J46" i="2"/>
  <c r="O43" i="2" s="1"/>
  <c r="I46" i="2"/>
  <c r="N43" i="2" s="1"/>
  <c r="L45" i="2"/>
  <c r="K45" i="2"/>
  <c r="J45" i="2"/>
  <c r="I45" i="2"/>
  <c r="L44" i="2"/>
  <c r="K44" i="2"/>
  <c r="J44" i="2"/>
  <c r="I44" i="2"/>
  <c r="L43" i="2"/>
  <c r="K43" i="2"/>
  <c r="J43" i="2"/>
  <c r="I43" i="2"/>
  <c r="L42" i="2"/>
  <c r="Q41" i="2" s="1"/>
  <c r="K42" i="2"/>
  <c r="P41" i="2" s="1"/>
  <c r="J42" i="2"/>
  <c r="O41" i="2" s="1"/>
  <c r="I42" i="2"/>
  <c r="N41" i="2" s="1"/>
  <c r="L41" i="2"/>
  <c r="K41" i="2"/>
  <c r="J41" i="2"/>
  <c r="I41" i="2"/>
  <c r="L40" i="2"/>
  <c r="K40" i="2"/>
  <c r="J40" i="2"/>
  <c r="I40" i="2"/>
  <c r="L32" i="2"/>
  <c r="K32" i="2"/>
  <c r="J32" i="2"/>
  <c r="I32" i="2"/>
  <c r="L31" i="2"/>
  <c r="Q28" i="2" s="1"/>
  <c r="K31" i="2"/>
  <c r="P28" i="2" s="1"/>
  <c r="J31" i="2"/>
  <c r="O28" i="2" s="1"/>
  <c r="I31" i="2"/>
  <c r="N28" i="2" s="1"/>
  <c r="L30" i="2"/>
  <c r="K30" i="2"/>
  <c r="J30" i="2"/>
  <c r="I30" i="2"/>
  <c r="L29" i="2"/>
  <c r="K29" i="2"/>
  <c r="J29" i="2"/>
  <c r="I29" i="2"/>
  <c r="L28" i="2"/>
  <c r="K28" i="2"/>
  <c r="J28" i="2"/>
  <c r="I28" i="2"/>
  <c r="L27" i="2"/>
  <c r="Q26" i="2" s="1"/>
  <c r="K27" i="2"/>
  <c r="P26" i="2" s="1"/>
  <c r="J27" i="2"/>
  <c r="O26" i="2" s="1"/>
  <c r="I27" i="2"/>
  <c r="N26" i="2" s="1"/>
  <c r="L26" i="2"/>
  <c r="K26" i="2"/>
  <c r="J26" i="2"/>
  <c r="I26" i="2"/>
  <c r="L25" i="2"/>
  <c r="K25" i="2"/>
  <c r="J25" i="2"/>
  <c r="I25" i="2"/>
  <c r="L13" i="2"/>
  <c r="K13" i="2"/>
  <c r="J13" i="2"/>
  <c r="I13" i="2"/>
  <c r="L12" i="2"/>
  <c r="Q9" i="2" s="1"/>
  <c r="K12" i="2"/>
  <c r="P9" i="2" s="1"/>
  <c r="J12" i="2"/>
  <c r="O9" i="2" s="1"/>
  <c r="I12" i="2"/>
  <c r="N9" i="2" s="1"/>
  <c r="L11" i="2"/>
  <c r="K11" i="2"/>
  <c r="J11" i="2"/>
  <c r="I11" i="2"/>
  <c r="L10" i="2"/>
  <c r="K10" i="2"/>
  <c r="J10" i="2"/>
  <c r="I10" i="2"/>
  <c r="L9" i="2"/>
  <c r="K9" i="2"/>
  <c r="J9" i="2"/>
  <c r="I9" i="2"/>
  <c r="L8" i="2"/>
  <c r="Q7" i="2" s="1"/>
  <c r="K8" i="2"/>
  <c r="P7" i="2" s="1"/>
  <c r="J8" i="2"/>
  <c r="O7" i="2" s="1"/>
  <c r="I8" i="2"/>
  <c r="N7" i="2" s="1"/>
  <c r="L7" i="2"/>
  <c r="K7" i="2"/>
  <c r="J7" i="2"/>
  <c r="I7" i="2"/>
  <c r="L6" i="2"/>
  <c r="K6" i="2"/>
  <c r="J6" i="2"/>
  <c r="I6" i="2"/>
  <c r="J61" i="2"/>
  <c r="K61" i="2"/>
  <c r="L61" i="2"/>
  <c r="J62" i="2"/>
  <c r="K62" i="2"/>
  <c r="L62" i="2"/>
  <c r="I62" i="2"/>
  <c r="I61" i="2"/>
  <c r="N58" i="2" s="1"/>
  <c r="L60" i="2"/>
  <c r="Q57" i="2" s="1"/>
  <c r="K60" i="2"/>
  <c r="P57" i="2" s="1"/>
  <c r="J60" i="2"/>
  <c r="O57" i="2" s="1"/>
  <c r="I60" i="2"/>
  <c r="L59" i="2"/>
  <c r="K59" i="2"/>
  <c r="J59" i="2"/>
  <c r="I59" i="2"/>
  <c r="L58" i="2"/>
  <c r="K58" i="2"/>
  <c r="J58" i="2"/>
  <c r="I58" i="2"/>
  <c r="N57" i="2"/>
  <c r="L57" i="2"/>
  <c r="K57" i="2"/>
  <c r="J57" i="2"/>
  <c r="I57" i="2"/>
  <c r="L56" i="2"/>
  <c r="K56" i="2"/>
  <c r="J56" i="2"/>
  <c r="I56" i="2"/>
  <c r="L55" i="2"/>
  <c r="K55" i="2"/>
  <c r="J55" i="2"/>
  <c r="O55" i="2" s="1"/>
  <c r="I55" i="2"/>
  <c r="N55" i="2" s="1"/>
  <c r="H91" i="1"/>
  <c r="G91" i="1"/>
  <c r="J91" i="1" s="1"/>
  <c r="H90" i="1"/>
  <c r="G90" i="1"/>
  <c r="H86" i="1"/>
  <c r="G86" i="1"/>
  <c r="H85" i="1"/>
  <c r="G85" i="1"/>
  <c r="H81" i="1"/>
  <c r="G81" i="1"/>
  <c r="J81" i="1" s="1"/>
  <c r="H80" i="1"/>
  <c r="G80" i="1"/>
  <c r="J80" i="1" s="1"/>
  <c r="H76" i="1"/>
  <c r="G76" i="1"/>
  <c r="J76" i="1" s="1"/>
  <c r="H75" i="1"/>
  <c r="G75" i="1"/>
  <c r="H71" i="1"/>
  <c r="G71" i="1"/>
  <c r="J71" i="1" s="1"/>
  <c r="H70" i="1"/>
  <c r="G70" i="1"/>
  <c r="H66" i="1"/>
  <c r="G66" i="1"/>
  <c r="H65" i="1"/>
  <c r="G65" i="1"/>
  <c r="H61" i="1"/>
  <c r="G61" i="1"/>
  <c r="H60" i="1"/>
  <c r="G60" i="1"/>
  <c r="J60" i="1" s="1"/>
  <c r="H59" i="1"/>
  <c r="G59" i="1"/>
  <c r="J59" i="1" s="1"/>
  <c r="H55" i="1"/>
  <c r="G55" i="1"/>
  <c r="H54" i="1"/>
  <c r="G54" i="1"/>
  <c r="J54" i="1" s="1"/>
  <c r="H53" i="1"/>
  <c r="G53" i="1"/>
  <c r="H49" i="1"/>
  <c r="G49" i="1"/>
  <c r="H48" i="1"/>
  <c r="G48" i="1"/>
  <c r="H47" i="1"/>
  <c r="G47" i="1"/>
  <c r="H43" i="1"/>
  <c r="G43" i="1"/>
  <c r="J43" i="1" s="1"/>
  <c r="H42" i="1"/>
  <c r="G42" i="1"/>
  <c r="H38" i="1"/>
  <c r="G38" i="1"/>
  <c r="H37" i="1"/>
  <c r="G37" i="1"/>
  <c r="J37" i="1" s="1"/>
  <c r="H36" i="1"/>
  <c r="G36" i="1"/>
  <c r="H35" i="1"/>
  <c r="G35" i="1"/>
  <c r="H31" i="1"/>
  <c r="G31" i="1"/>
  <c r="J31" i="1" s="1"/>
  <c r="H30" i="1"/>
  <c r="G30" i="1"/>
  <c r="J30" i="1" s="1"/>
  <c r="H29" i="1"/>
  <c r="G29" i="1"/>
  <c r="J29" i="1" s="1"/>
  <c r="H28" i="1"/>
  <c r="G28" i="1"/>
  <c r="H24" i="1"/>
  <c r="G24" i="1"/>
  <c r="H23" i="1"/>
  <c r="G23" i="1"/>
  <c r="J23" i="1" s="1"/>
  <c r="H22" i="1"/>
  <c r="G22" i="1"/>
  <c r="H21" i="1"/>
  <c r="G21" i="1"/>
  <c r="H17" i="1"/>
  <c r="G17" i="1"/>
  <c r="J17" i="1" s="1"/>
  <c r="H16" i="1"/>
  <c r="G16" i="1"/>
  <c r="J16" i="1" s="1"/>
  <c r="H12" i="1"/>
  <c r="G12" i="1"/>
  <c r="J12" i="1" s="1"/>
  <c r="H11" i="1"/>
  <c r="G11" i="1"/>
  <c r="J11" i="1" s="1"/>
  <c r="H7" i="1"/>
  <c r="G7" i="1"/>
  <c r="H6" i="1"/>
  <c r="G6" i="1"/>
  <c r="J6" i="1" s="1"/>
  <c r="H5" i="1"/>
  <c r="G5" i="1"/>
  <c r="S147" i="16" l="1"/>
  <c r="S253" i="16"/>
  <c r="S142" i="16"/>
  <c r="S244" i="16"/>
  <c r="S173" i="16"/>
  <c r="S281" i="16"/>
  <c r="S208" i="16"/>
  <c r="S319" i="16"/>
  <c r="S137" i="16"/>
  <c r="S238" i="16"/>
  <c r="S357" i="16"/>
  <c r="S275" i="16"/>
  <c r="S103" i="16"/>
  <c r="S198" i="16"/>
  <c r="S313" i="16"/>
  <c r="S26" i="16"/>
  <c r="S132" i="16"/>
  <c r="S233" i="16"/>
  <c r="S351" i="16"/>
  <c r="S64" i="16"/>
  <c r="S161" i="16"/>
  <c r="S265" i="16"/>
  <c r="S94" i="16"/>
  <c r="S193" i="16"/>
  <c r="S303" i="16"/>
  <c r="S21" i="16"/>
  <c r="S123" i="16"/>
  <c r="S228" i="16"/>
  <c r="S341" i="16"/>
  <c r="S291" i="16"/>
  <c r="S113" i="16"/>
  <c r="S213" i="16"/>
  <c r="S329" i="16"/>
  <c r="S108" i="16"/>
  <c r="S74" i="16"/>
  <c r="S58" i="16"/>
  <c r="S82" i="16"/>
  <c r="S95" i="16"/>
  <c r="S152" i="16"/>
  <c r="S181" i="16"/>
  <c r="S194" i="16"/>
  <c r="S259" i="16"/>
  <c r="S290" i="16"/>
  <c r="S309" i="16"/>
  <c r="S48" i="16"/>
  <c r="S84" i="16"/>
  <c r="S182" i="16"/>
  <c r="S42" i="16"/>
  <c r="S79" i="16"/>
  <c r="S36" i="16"/>
  <c r="S167" i="16"/>
  <c r="S22" i="16"/>
  <c r="S89" i="16"/>
  <c r="S111" i="16"/>
  <c r="S124" i="16"/>
  <c r="S188" i="16"/>
  <c r="S212" i="16"/>
  <c r="S229" i="16"/>
  <c r="S297" i="16"/>
  <c r="S328" i="16"/>
  <c r="S347" i="16"/>
  <c r="S13" i="15"/>
  <c r="S39" i="15"/>
  <c r="S67" i="15"/>
  <c r="S91" i="15"/>
  <c r="S115" i="15"/>
  <c r="S139" i="15"/>
  <c r="S164" i="15"/>
  <c r="S190" i="15"/>
  <c r="S216" i="15"/>
  <c r="S241" i="15"/>
  <c r="S272" i="15"/>
  <c r="S300" i="15"/>
  <c r="S332" i="15"/>
  <c r="S360" i="15"/>
  <c r="S334" i="15"/>
  <c r="S28" i="15"/>
  <c r="S59" i="15"/>
  <c r="S85" i="15"/>
  <c r="S109" i="15"/>
  <c r="S133" i="15"/>
  <c r="S153" i="15"/>
  <c r="S184" i="15"/>
  <c r="S209" i="15"/>
  <c r="S234" i="15"/>
  <c r="S261" i="15"/>
  <c r="S293" i="15"/>
  <c r="S321" i="15"/>
  <c r="S353" i="15"/>
  <c r="S21" i="15"/>
  <c r="S48" i="15"/>
  <c r="S79" i="15"/>
  <c r="S103" i="15"/>
  <c r="S123" i="15"/>
  <c r="S147" i="15"/>
  <c r="S173" i="15"/>
  <c r="S198" i="15"/>
  <c r="S228" i="15"/>
  <c r="S253" i="15"/>
  <c r="S281" i="15"/>
  <c r="S313" i="15"/>
  <c r="S341" i="15"/>
  <c r="S356" i="15"/>
  <c r="S46" i="15"/>
  <c r="S77" i="15"/>
  <c r="S97" i="15"/>
  <c r="S121" i="15"/>
  <c r="S145" i="15"/>
  <c r="S171" i="15"/>
  <c r="S197" i="15"/>
  <c r="S222" i="15"/>
  <c r="S252" i="15"/>
  <c r="S280" i="15"/>
  <c r="S312" i="15"/>
  <c r="S40" i="15"/>
  <c r="S68" i="15"/>
  <c r="S92" i="15"/>
  <c r="S116" i="15"/>
  <c r="S140" i="15"/>
  <c r="S165" i="15"/>
  <c r="S192" i="15"/>
  <c r="S217" i="15"/>
  <c r="S242" i="15"/>
  <c r="S274" i="15"/>
  <c r="S302" i="15"/>
  <c r="S17" i="14"/>
  <c r="S119" i="14"/>
  <c r="S75" i="14"/>
  <c r="S228" i="14"/>
  <c r="S234" i="14"/>
  <c r="S241" i="14"/>
  <c r="S353" i="14"/>
  <c r="S360" i="14"/>
  <c r="S90" i="14"/>
  <c r="S37" i="14"/>
  <c r="S29" i="14"/>
  <c r="S89" i="14"/>
  <c r="S95" i="14"/>
  <c r="S105" i="14"/>
  <c r="S152" i="14"/>
  <c r="S170" i="14"/>
  <c r="S259" i="14"/>
  <c r="S278" i="14"/>
  <c r="S48" i="14"/>
  <c r="S59" i="14"/>
  <c r="S67" i="14"/>
  <c r="S118" i="14"/>
  <c r="S188" i="14"/>
  <c r="S205" i="14"/>
  <c r="S297" i="14"/>
  <c r="S316" i="14"/>
  <c r="S138" i="14"/>
  <c r="S240" i="14"/>
  <c r="S168" i="14"/>
  <c r="S277" i="14"/>
  <c r="S359" i="14"/>
  <c r="S162" i="14"/>
  <c r="S271" i="14"/>
  <c r="S194" i="14"/>
  <c r="S309" i="14"/>
  <c r="S229" i="14"/>
  <c r="S347" i="14"/>
  <c r="N12" i="12"/>
  <c r="M5" i="11"/>
  <c r="M21" i="11"/>
  <c r="M37" i="11"/>
  <c r="M53" i="11"/>
  <c r="M55" i="11"/>
  <c r="M69" i="11"/>
  <c r="M9" i="11"/>
  <c r="M32" i="11"/>
  <c r="M40" i="11"/>
  <c r="M63" i="11"/>
  <c r="M71" i="11"/>
  <c r="M10" i="10"/>
  <c r="M4" i="10"/>
  <c r="M12" i="10"/>
  <c r="M20" i="10"/>
  <c r="M28" i="10"/>
  <c r="M36" i="10"/>
  <c r="M44" i="10"/>
  <c r="M52" i="10"/>
  <c r="M60" i="10"/>
  <c r="M68" i="10"/>
  <c r="M76" i="10"/>
  <c r="M13" i="10"/>
  <c r="M29" i="10"/>
  <c r="M45" i="10"/>
  <c r="M61" i="10"/>
  <c r="M77" i="10"/>
  <c r="M5" i="9"/>
  <c r="M20" i="9"/>
  <c r="M42" i="9"/>
  <c r="M9" i="9"/>
  <c r="M17" i="9"/>
  <c r="M25" i="9"/>
  <c r="M33" i="9"/>
  <c r="M41" i="9"/>
  <c r="M65" i="9"/>
  <c r="M73" i="9"/>
  <c r="M76" i="8"/>
  <c r="M17" i="8"/>
  <c r="M59" i="8"/>
  <c r="M51" i="8"/>
  <c r="M19" i="8"/>
  <c r="M31" i="8"/>
  <c r="M12" i="8"/>
  <c r="M56" i="8"/>
  <c r="M24" i="8"/>
  <c r="M43" i="8"/>
  <c r="M11" i="8"/>
  <c r="M74" i="8"/>
  <c r="M49" i="8"/>
  <c r="M42" i="8"/>
  <c r="M10" i="8"/>
  <c r="M67" i="8"/>
  <c r="M35" i="8"/>
  <c r="M47" i="8"/>
  <c r="M15" i="8"/>
  <c r="M72" i="8"/>
  <c r="M40" i="8"/>
  <c r="M8" i="8"/>
  <c r="M65" i="8"/>
  <c r="M58" i="8"/>
  <c r="M33" i="8"/>
  <c r="M26" i="8"/>
  <c r="M63" i="8"/>
  <c r="M44" i="8"/>
  <c r="M75" i="8"/>
  <c r="M79" i="8"/>
  <c r="M60" i="8"/>
  <c r="M28" i="8"/>
  <c r="M27" i="8"/>
  <c r="M64" i="8"/>
  <c r="M32" i="8"/>
  <c r="K5" i="7"/>
  <c r="K16" i="7"/>
  <c r="K15" i="7"/>
  <c r="K10" i="7"/>
  <c r="K21" i="7"/>
  <c r="P140" i="6"/>
  <c r="O159" i="6"/>
  <c r="P258" i="6"/>
  <c r="P159" i="6"/>
  <c r="Q159" i="6"/>
  <c r="Q55" i="6"/>
  <c r="Q78" i="6"/>
  <c r="N229" i="6"/>
  <c r="Q124" i="6"/>
  <c r="N41" i="6"/>
  <c r="Q58" i="6"/>
  <c r="O104" i="6"/>
  <c r="Q198" i="6"/>
  <c r="Q212" i="6"/>
  <c r="Q227" i="6"/>
  <c r="N161" i="6"/>
  <c r="Q140" i="6"/>
  <c r="P57" i="6"/>
  <c r="N227" i="6"/>
  <c r="Q103" i="6"/>
  <c r="P25" i="6"/>
  <c r="N102" i="6"/>
  <c r="O41" i="6"/>
  <c r="P81" i="6"/>
  <c r="P104" i="6"/>
  <c r="N213" i="6"/>
  <c r="N226" i="6"/>
  <c r="N228" i="6"/>
  <c r="N241" i="6"/>
  <c r="N243" i="6"/>
  <c r="N256" i="6"/>
  <c r="Q57" i="6"/>
  <c r="O227" i="6"/>
  <c r="Q26" i="6"/>
  <c r="Q43" i="6"/>
  <c r="P58" i="6"/>
  <c r="P227" i="6"/>
  <c r="N27" i="6"/>
  <c r="N40" i="6"/>
  <c r="P41" i="6"/>
  <c r="Q81" i="6"/>
  <c r="Q104" i="6"/>
  <c r="P179" i="6"/>
  <c r="O213" i="6"/>
  <c r="O226" i="6"/>
  <c r="O228" i="6"/>
  <c r="O241" i="6"/>
  <c r="O243" i="6"/>
  <c r="O256" i="6"/>
  <c r="N258" i="6"/>
  <c r="O9" i="5"/>
  <c r="N198" i="5"/>
  <c r="O125" i="5"/>
  <c r="P104" i="5"/>
  <c r="Q180" i="5"/>
  <c r="N214" i="5"/>
  <c r="P57" i="5"/>
  <c r="P78" i="5"/>
  <c r="Q197" i="5"/>
  <c r="Q199" i="5"/>
  <c r="O242" i="5"/>
  <c r="N244" i="5"/>
  <c r="N258" i="5"/>
  <c r="O102" i="5"/>
  <c r="P125" i="5"/>
  <c r="P127" i="5"/>
  <c r="P197" i="5"/>
  <c r="N212" i="5"/>
  <c r="Q57" i="5"/>
  <c r="Q78" i="5"/>
  <c r="N80" i="5"/>
  <c r="N101" i="5"/>
  <c r="N103" i="5"/>
  <c r="N124" i="5"/>
  <c r="N139" i="5"/>
  <c r="N141" i="5"/>
  <c r="N158" i="5"/>
  <c r="P229" i="5"/>
  <c r="P242" i="5"/>
  <c r="O244" i="5"/>
  <c r="N257" i="5"/>
  <c r="N259" i="5"/>
  <c r="O104" i="5"/>
  <c r="O127" i="5"/>
  <c r="Q178" i="5"/>
  <c r="N26" i="5"/>
  <c r="N28" i="5"/>
  <c r="N57" i="5"/>
  <c r="O80" i="5"/>
  <c r="O101" i="5"/>
  <c r="O103" i="5"/>
  <c r="O124" i="5"/>
  <c r="O126" i="5"/>
  <c r="O139" i="5"/>
  <c r="O141" i="5"/>
  <c r="O158" i="5"/>
  <c r="N177" i="5"/>
  <c r="Q229" i="5"/>
  <c r="Q242" i="5"/>
  <c r="P244" i="5"/>
  <c r="O259" i="5"/>
  <c r="N272" i="5"/>
  <c r="N159" i="4"/>
  <c r="P142" i="4"/>
  <c r="P161" i="4"/>
  <c r="N126" i="4"/>
  <c r="P79" i="4"/>
  <c r="N242" i="4"/>
  <c r="N244" i="4"/>
  <c r="Q257" i="4"/>
  <c r="O6" i="4"/>
  <c r="N25" i="4"/>
  <c r="N40" i="4"/>
  <c r="Q79" i="4"/>
  <c r="Q158" i="4"/>
  <c r="Q177" i="4"/>
  <c r="Q259" i="4"/>
  <c r="O8" i="4"/>
  <c r="Q272" i="4"/>
  <c r="N161" i="4"/>
  <c r="N178" i="4"/>
  <c r="O161" i="4"/>
  <c r="N8" i="4"/>
  <c r="Q141" i="4"/>
  <c r="Q160" i="4"/>
  <c r="Q179" i="4"/>
  <c r="Q196" i="4"/>
  <c r="P6" i="4"/>
  <c r="O25" i="4"/>
  <c r="N58" i="4"/>
  <c r="Q81" i="4"/>
  <c r="N104" i="4"/>
  <c r="P229" i="4"/>
  <c r="P272" i="4"/>
  <c r="O56" i="4"/>
  <c r="O58" i="4"/>
  <c r="N79" i="4"/>
  <c r="P56" i="4"/>
  <c r="P58" i="4"/>
  <c r="O79" i="4"/>
  <c r="O125" i="4"/>
  <c r="O127" i="4"/>
  <c r="P213" i="4"/>
  <c r="P226" i="4"/>
  <c r="N228" i="4"/>
  <c r="N241" i="4"/>
  <c r="N243" i="4"/>
  <c r="N256" i="4"/>
  <c r="N56" i="2"/>
  <c r="Q58" i="2"/>
  <c r="P58" i="2"/>
  <c r="O58" i="2"/>
  <c r="P212" i="2"/>
  <c r="Q212" i="2"/>
  <c r="P55" i="2"/>
  <c r="O6" i="2"/>
  <c r="O8" i="2"/>
  <c r="O25" i="2"/>
  <c r="O27" i="2"/>
  <c r="O40" i="2"/>
  <c r="O42" i="2"/>
  <c r="O78" i="2"/>
  <c r="O80" i="2"/>
  <c r="O101" i="2"/>
  <c r="O103" i="2"/>
  <c r="O124" i="2"/>
  <c r="O126" i="2"/>
  <c r="O139" i="2"/>
  <c r="O141" i="2"/>
  <c r="O158" i="2"/>
  <c r="O160" i="2"/>
  <c r="O177" i="2"/>
  <c r="O179" i="2"/>
  <c r="O196" i="2"/>
  <c r="O198" i="2"/>
  <c r="O211" i="2"/>
  <c r="Q55" i="2"/>
  <c r="P6" i="2"/>
  <c r="P8" i="2"/>
  <c r="P25" i="2"/>
  <c r="P27" i="2"/>
  <c r="P40" i="2"/>
  <c r="P42" i="2"/>
  <c r="P78" i="2"/>
  <c r="P80" i="2"/>
  <c r="P101" i="2"/>
  <c r="P103" i="2"/>
  <c r="P124" i="2"/>
  <c r="P126" i="2"/>
  <c r="P139" i="2"/>
  <c r="P141" i="2"/>
  <c r="P158" i="2"/>
  <c r="P160" i="2"/>
  <c r="P177" i="2"/>
  <c r="P179" i="2"/>
  <c r="P196" i="2"/>
  <c r="P198" i="2"/>
  <c r="P211" i="2"/>
  <c r="Q6" i="2"/>
  <c r="Q8" i="2"/>
  <c r="Q25" i="2"/>
  <c r="Q27" i="2"/>
  <c r="Q40" i="2"/>
  <c r="Q42" i="2"/>
  <c r="Q78" i="2"/>
  <c r="Q80" i="2"/>
  <c r="Q101" i="2"/>
  <c r="Q103" i="2"/>
  <c r="Q124" i="2"/>
  <c r="Q126" i="2"/>
  <c r="Q139" i="2"/>
  <c r="Q141" i="2"/>
  <c r="Q158" i="2"/>
  <c r="Q160" i="2"/>
  <c r="Q177" i="2"/>
  <c r="Q179" i="2"/>
  <c r="Q196" i="2"/>
  <c r="Q198" i="2"/>
  <c r="Q211" i="2"/>
  <c r="N213" i="2"/>
  <c r="N226" i="2"/>
  <c r="N228" i="2"/>
  <c r="N241" i="2"/>
  <c r="N243" i="2"/>
  <c r="N256" i="2"/>
  <c r="N258" i="2"/>
  <c r="N271" i="2"/>
  <c r="N273" i="2"/>
  <c r="O213" i="2"/>
  <c r="O226" i="2"/>
  <c r="O228" i="2"/>
  <c r="O241" i="2"/>
  <c r="O273" i="2"/>
  <c r="O56" i="2"/>
  <c r="P56" i="2"/>
  <c r="Q56" i="2"/>
  <c r="O243" i="2"/>
  <c r="O256" i="2"/>
  <c r="O271" i="2"/>
  <c r="N214" i="2"/>
  <c r="N227" i="2"/>
  <c r="N229" i="2"/>
  <c r="P243" i="2"/>
  <c r="P256" i="2"/>
  <c r="P258" i="2"/>
  <c r="P271" i="2"/>
  <c r="O227" i="2"/>
  <c r="O229" i="2"/>
  <c r="Q243" i="2"/>
  <c r="Q256" i="2"/>
  <c r="Q258" i="2"/>
  <c r="Q271" i="2"/>
  <c r="O258" i="2"/>
  <c r="N6" i="2"/>
  <c r="N8" i="2"/>
  <c r="N25" i="2"/>
  <c r="N27" i="2"/>
  <c r="N40" i="2"/>
  <c r="N42" i="2"/>
  <c r="N78" i="2"/>
  <c r="N80" i="2"/>
  <c r="N101" i="2"/>
  <c r="N103" i="2"/>
  <c r="N124" i="2"/>
  <c r="N126" i="2"/>
  <c r="N139" i="2"/>
  <c r="N141" i="2"/>
  <c r="N158" i="2"/>
  <c r="N160" i="2"/>
  <c r="N177" i="2"/>
  <c r="N179" i="2"/>
  <c r="N196" i="2"/>
  <c r="N198" i="2"/>
  <c r="N211" i="2"/>
  <c r="P227" i="2"/>
  <c r="P229" i="2"/>
  <c r="J24" i="1"/>
  <c r="J55" i="1"/>
  <c r="J75" i="1"/>
  <c r="J5" i="1"/>
  <c r="J22" i="1"/>
  <c r="J36" i="1"/>
  <c r="J53" i="1"/>
  <c r="J70" i="1"/>
  <c r="J90" i="1"/>
  <c r="J48" i="1"/>
  <c r="J65" i="1"/>
  <c r="J85" i="1"/>
  <c r="J21" i="1"/>
  <c r="J49" i="1"/>
  <c r="J86" i="1"/>
  <c r="M5" i="10"/>
  <c r="M9" i="10"/>
  <c r="M32" i="10"/>
  <c r="M40" i="10"/>
  <c r="M63" i="10"/>
  <c r="M71" i="10"/>
  <c r="M21" i="10"/>
  <c r="M37" i="10"/>
  <c r="M53" i="10"/>
  <c r="M69" i="10"/>
  <c r="M33" i="10"/>
  <c r="M41" i="10"/>
  <c r="M64" i="10"/>
  <c r="M72" i="10"/>
  <c r="M37" i="9"/>
  <c r="M12" i="9"/>
  <c r="M34" i="9"/>
  <c r="M21" i="9"/>
  <c r="M53" i="9"/>
  <c r="M69" i="9"/>
  <c r="M27" i="9"/>
  <c r="M49" i="9"/>
  <c r="M57" i="9"/>
  <c r="M64" i="9"/>
  <c r="M72" i="9"/>
  <c r="N104" i="6"/>
  <c r="O102" i="6"/>
  <c r="Q139" i="6"/>
  <c r="O9" i="6"/>
  <c r="Q102" i="6"/>
  <c r="P141" i="6"/>
  <c r="O56" i="6"/>
  <c r="N127" i="6"/>
  <c r="Q158" i="6"/>
  <c r="Q257" i="6"/>
  <c r="O127" i="6"/>
  <c r="O28" i="6"/>
  <c r="N57" i="6"/>
  <c r="P125" i="6"/>
  <c r="P127" i="6"/>
  <c r="Q197" i="6"/>
  <c r="P6" i="6"/>
  <c r="P28" i="6"/>
  <c r="O57" i="6"/>
  <c r="O78" i="6"/>
  <c r="Q125" i="6"/>
  <c r="Q142" i="6"/>
  <c r="Q177" i="6"/>
  <c r="N198" i="6"/>
  <c r="N211" i="6"/>
  <c r="N214" i="6"/>
  <c r="O229" i="6"/>
  <c r="N244" i="6"/>
  <c r="Q41" i="6"/>
  <c r="N180" i="6"/>
  <c r="P273" i="6"/>
  <c r="N9" i="6"/>
  <c r="P213" i="6"/>
  <c r="Q242" i="6"/>
  <c r="N259" i="6"/>
  <c r="O257" i="6"/>
  <c r="P7" i="6"/>
  <c r="P27" i="6"/>
  <c r="Q178" i="6"/>
  <c r="N199" i="6"/>
  <c r="P257" i="6"/>
  <c r="Q7" i="6"/>
  <c r="P56" i="6"/>
  <c r="O197" i="6"/>
  <c r="N25" i="6"/>
  <c r="Q40" i="6"/>
  <c r="Q56" i="6"/>
  <c r="Q256" i="6"/>
  <c r="O8" i="6"/>
  <c r="P142" i="6"/>
  <c r="Q214" i="6"/>
  <c r="O258" i="6"/>
  <c r="Q6" i="6"/>
  <c r="Q101" i="6"/>
  <c r="N126" i="6"/>
  <c r="N139" i="6"/>
  <c r="N142" i="6"/>
  <c r="O161" i="6"/>
  <c r="O198" i="6"/>
  <c r="O211" i="6"/>
  <c r="P229" i="6"/>
  <c r="P243" i="6"/>
  <c r="Q258" i="6"/>
  <c r="Q272" i="6"/>
  <c r="P102" i="6"/>
  <c r="N58" i="6"/>
  <c r="P160" i="6"/>
  <c r="O196" i="6"/>
  <c r="P197" i="6"/>
  <c r="N271" i="6"/>
  <c r="O25" i="6"/>
  <c r="N78" i="6"/>
  <c r="O271" i="6"/>
  <c r="O81" i="6"/>
  <c r="P103" i="6"/>
  <c r="O126" i="6"/>
  <c r="O139" i="6"/>
  <c r="O140" i="6"/>
  <c r="P161" i="6"/>
  <c r="Q229" i="6"/>
  <c r="Q211" i="6"/>
  <c r="Q241" i="6"/>
  <c r="Q271" i="6"/>
  <c r="O124" i="6"/>
  <c r="O6" i="6"/>
  <c r="O55" i="6"/>
  <c r="O158" i="6"/>
  <c r="O142" i="5"/>
  <c r="P142" i="5"/>
  <c r="O161" i="5"/>
  <c r="N213" i="5"/>
  <c r="O43" i="5"/>
  <c r="O180" i="5"/>
  <c r="O42" i="5"/>
  <c r="P42" i="5"/>
  <c r="P55" i="5"/>
  <c r="Q102" i="5"/>
  <c r="N125" i="5"/>
  <c r="N127" i="5"/>
  <c r="O179" i="5"/>
  <c r="O196" i="5"/>
  <c r="P199" i="5"/>
  <c r="Q214" i="5"/>
  <c r="Q243" i="5"/>
  <c r="Q256" i="5"/>
  <c r="P43" i="5"/>
  <c r="Q27" i="5"/>
  <c r="O55" i="5"/>
  <c r="Q81" i="5"/>
  <c r="P102" i="5"/>
  <c r="Q177" i="5"/>
  <c r="N196" i="5"/>
  <c r="N227" i="5"/>
  <c r="P243" i="5"/>
  <c r="N7" i="5"/>
  <c r="O7" i="5"/>
  <c r="N9" i="5"/>
  <c r="Q42" i="5"/>
  <c r="Q55" i="5"/>
  <c r="O81" i="5"/>
  <c r="Q104" i="5"/>
  <c r="P179" i="5"/>
  <c r="P196" i="5"/>
  <c r="P227" i="5"/>
  <c r="N229" i="5"/>
  <c r="O258" i="5"/>
  <c r="O271" i="5"/>
  <c r="P9" i="5"/>
  <c r="O28" i="5"/>
  <c r="P161" i="5"/>
  <c r="N126" i="5"/>
  <c r="O58" i="5"/>
  <c r="Q40" i="5"/>
  <c r="Q79" i="5"/>
  <c r="Q160" i="5"/>
  <c r="N179" i="5"/>
  <c r="Q212" i="5"/>
  <c r="P256" i="5"/>
  <c r="P7" i="5"/>
  <c r="O57" i="5"/>
  <c r="O78" i="5"/>
  <c r="P81" i="5"/>
  <c r="Q179" i="5"/>
  <c r="Q196" i="5"/>
  <c r="N211" i="5"/>
  <c r="O214" i="5"/>
  <c r="Q227" i="5"/>
  <c r="N242" i="5"/>
  <c r="P258" i="5"/>
  <c r="P271" i="5"/>
  <c r="O180" i="4"/>
  <c r="P180" i="4"/>
  <c r="N259" i="4"/>
  <c r="P9" i="4"/>
  <c r="O259" i="4"/>
  <c r="O104" i="4"/>
  <c r="P199" i="4"/>
  <c r="P104" i="4"/>
  <c r="O43" i="4"/>
  <c r="N127" i="4"/>
  <c r="O214" i="4"/>
  <c r="N81" i="4"/>
  <c r="O9" i="4"/>
  <c r="N28" i="4"/>
  <c r="O28" i="4"/>
  <c r="P25" i="4"/>
  <c r="N103" i="4"/>
  <c r="Q140" i="4"/>
  <c r="O198" i="4"/>
  <c r="P214" i="4"/>
  <c r="O271" i="4"/>
  <c r="Q25" i="4"/>
  <c r="P40" i="4"/>
  <c r="O80" i="4"/>
  <c r="O103" i="4"/>
  <c r="Q142" i="4"/>
  <c r="Q229" i="4"/>
  <c r="P258" i="4"/>
  <c r="Q27" i="4"/>
  <c r="Q40" i="4"/>
  <c r="N42" i="4"/>
  <c r="Q56" i="4"/>
  <c r="P103" i="4"/>
  <c r="P124" i="4"/>
  <c r="Q159" i="4"/>
  <c r="Q198" i="4"/>
  <c r="Q211" i="4"/>
  <c r="N213" i="4"/>
  <c r="N226" i="4"/>
  <c r="N229" i="4"/>
  <c r="P242" i="4"/>
  <c r="Q258" i="4"/>
  <c r="Q271" i="4"/>
  <c r="P81" i="4"/>
  <c r="N199" i="4"/>
  <c r="N43" i="4"/>
  <c r="P8" i="4"/>
  <c r="P43" i="4"/>
  <c r="N124" i="4"/>
  <c r="O159" i="4"/>
  <c r="O211" i="4"/>
  <c r="O258" i="4"/>
  <c r="Q8" i="4"/>
  <c r="P27" i="4"/>
  <c r="O124" i="4"/>
  <c r="P127" i="4"/>
  <c r="P159" i="4"/>
  <c r="P198" i="4"/>
  <c r="P211" i="4"/>
  <c r="P271" i="4"/>
  <c r="N27" i="4"/>
  <c r="O42" i="4"/>
  <c r="Q58" i="4"/>
  <c r="Q103" i="4"/>
  <c r="Q124" i="4"/>
  <c r="N139" i="4"/>
  <c r="O142" i="4"/>
  <c r="O213" i="4"/>
  <c r="O226" i="4"/>
  <c r="Q242" i="4"/>
  <c r="Q6" i="4"/>
  <c r="J47" i="1"/>
  <c r="J61" i="1"/>
  <c r="J35" i="1"/>
  <c r="J66" i="1"/>
  <c r="J7" i="1"/>
  <c r="J38" i="1"/>
  <c r="J28" i="1"/>
  <c r="J42" i="1"/>
</calcChain>
</file>

<file path=xl/sharedStrings.xml><?xml version="1.0" encoding="utf-8"?>
<sst xmlns="http://schemas.openxmlformats.org/spreadsheetml/2006/main" count="3056" uniqueCount="224">
  <si>
    <t>FREQ 프로시저</t>
  </si>
  <si>
    <t>age_g</t>
  </si>
  <si>
    <t>빈도</t>
  </si>
  <si>
    <t>백분율</t>
  </si>
  <si>
    <t>누적</t>
  </si>
  <si>
    <t>sex</t>
  </si>
  <si>
    <t>town_t</t>
  </si>
  <si>
    <t>educ_g</t>
  </si>
  <si>
    <t>ho_incm</t>
  </si>
  <si>
    <t>bmi_g</t>
  </si>
  <si>
    <t>marri_g</t>
  </si>
  <si>
    <t>health_g</t>
  </si>
  <si>
    <t>stress_g</t>
  </si>
  <si>
    <t>drinking_g</t>
  </si>
  <si>
    <t>smoking_g</t>
  </si>
  <si>
    <t>hypertension_g</t>
  </si>
  <si>
    <t>dyslipidemia_g</t>
  </si>
  <si>
    <t>stroke_g</t>
  </si>
  <si>
    <t>mi_g</t>
  </si>
  <si>
    <t>angina_g</t>
  </si>
  <si>
    <t>행 백분율</t>
  </si>
  <si>
    <t>칼럼 백분율</t>
  </si>
  <si>
    <t>테이블 age_g * tyg_g</t>
  </si>
  <si>
    <t>tyg_g</t>
  </si>
  <si>
    <t>합계</t>
  </si>
  <si>
    <t>테이블 sex * tyg_g</t>
  </si>
  <si>
    <t>테이블 town_t * tyg_g</t>
  </si>
  <si>
    <t>테이블 educ_g * tyg_g</t>
  </si>
  <si>
    <t>테이블 ho_incm * tyg_g</t>
  </si>
  <si>
    <t>테이블 bmi_g * tyg_g</t>
  </si>
  <si>
    <t>테이블 marri_g * tyg_g</t>
  </si>
  <si>
    <t>테이블 health_g * tyg_g</t>
  </si>
  <si>
    <t>테이블 stress_g * tyg_g</t>
  </si>
  <si>
    <t>테이블 drinking_g * tyg_g</t>
  </si>
  <si>
    <t>테이블 smoking_g * tyg_g</t>
  </si>
  <si>
    <t>테이블 hypertension_g * tyg_g</t>
  </si>
  <si>
    <t>테이블 dyslipidemia_g * tyg_g</t>
  </si>
  <si>
    <t>테이블 stroke_g * tyg_g</t>
  </si>
  <si>
    <t>테이블 mi_g * tyg_g</t>
  </si>
  <si>
    <t>테이블 angina_g * tyg_g</t>
  </si>
  <si>
    <t>테이블 age_g * tyg_absi_g</t>
  </si>
  <si>
    <t>tyg_absi_g</t>
  </si>
  <si>
    <t>테이블 sex * tyg_absi_g</t>
  </si>
  <si>
    <t>테이블 town_t * tyg_absi_g</t>
  </si>
  <si>
    <t>테이블 educ_g * tyg_absi_g</t>
  </si>
  <si>
    <t>테이블 ho_incm * tyg_absi_g</t>
  </si>
  <si>
    <t>테이블 bmi_g * tyg_absi_g</t>
  </si>
  <si>
    <t>테이블 marri_g * tyg_absi_g</t>
  </si>
  <si>
    <t>테이블 health_g * tyg_absi_g</t>
  </si>
  <si>
    <t>테이블 stress_g * tyg_absi_g</t>
  </si>
  <si>
    <t>테이블 drinking_g * tyg_absi_g</t>
  </si>
  <si>
    <t>테이블 smoking_g * tyg_absi_g</t>
  </si>
  <si>
    <t>테이블 hypertension_g * tyg_absi_g</t>
  </si>
  <si>
    <t>테이블 dyslipidemia_g * tyg_absi_g</t>
  </si>
  <si>
    <t>테이블 stroke_g * tyg_absi_g</t>
  </si>
  <si>
    <t>테이블 mi_g * tyg_absi_g</t>
  </si>
  <si>
    <t>테이블 angina_g * tyg_absi_g</t>
  </si>
  <si>
    <t>테이블 age_g * aip_g</t>
  </si>
  <si>
    <t>aip_g</t>
  </si>
  <si>
    <t>테이블 sex * aip_g</t>
  </si>
  <si>
    <t>테이블 town_t * aip_g</t>
  </si>
  <si>
    <t>테이블 educ_g * aip_g</t>
  </si>
  <si>
    <t>테이블 ho_incm * aip_g</t>
  </si>
  <si>
    <t>테이블 bmi_g * aip_g</t>
  </si>
  <si>
    <t>테이블 marri_g * aip_g</t>
  </si>
  <si>
    <t>테이블 health_g * aip_g</t>
  </si>
  <si>
    <t>테이블 stress_g * aip_g</t>
  </si>
  <si>
    <t>테이블 drinking_g * aip_g</t>
  </si>
  <si>
    <t>테이블 smoking_g * aip_g</t>
  </si>
  <si>
    <t>테이블 hypertension_g * aip_g</t>
  </si>
  <si>
    <t>테이블 dyslipidemia_g * aip_g</t>
  </si>
  <si>
    <t>테이블 stroke_g * aip_g</t>
  </si>
  <si>
    <t>테이블 mi_g * aip_g</t>
  </si>
  <si>
    <t>테이블 angina_g * aip_g</t>
  </si>
  <si>
    <t>테이블 age_g * mets_ir_g</t>
  </si>
  <si>
    <t>mets_ir_g</t>
  </si>
  <si>
    <t>테이블 sex * mets_ir_g</t>
  </si>
  <si>
    <t>테이블 town_t * mets_ir_g</t>
  </si>
  <si>
    <t>테이블 educ_g * mets_ir_g</t>
  </si>
  <si>
    <t>테이블 ho_incm * mets_ir_g</t>
  </si>
  <si>
    <t>테이블 bmi_g * mets_ir_g</t>
  </si>
  <si>
    <t>테이블 marri_g * mets_ir_g</t>
  </si>
  <si>
    <t>테이블 health_g * mets_ir_g</t>
  </si>
  <si>
    <t>테이블 stress_g * mets_ir_g</t>
  </si>
  <si>
    <t>테이블 drinking_g * mets_ir_g</t>
  </si>
  <si>
    <t>테이블 smoking_g * mets_ir_g</t>
  </si>
  <si>
    <t>테이블 hypertension_g * mets_ir_g</t>
  </si>
  <si>
    <t>테이블 dyslipidemia_g * mets_ir_g</t>
  </si>
  <si>
    <t>테이블 stroke_g * mets_ir_g</t>
  </si>
  <si>
    <t>테이블 mi_g * mets_ir_g</t>
  </si>
  <si>
    <t>테이블 angina_g * mets_ir_g</t>
  </si>
  <si>
    <t>MEANS 프로시저</t>
  </si>
  <si>
    <t>변수</t>
  </si>
  <si>
    <t>N</t>
  </si>
  <si>
    <t>평균</t>
  </si>
  <si>
    <t>표준편차</t>
  </si>
  <si>
    <t>최솟값</t>
  </si>
  <si>
    <t>최댓값</t>
  </si>
  <si>
    <t>age</t>
  </si>
  <si>
    <t>HE_BMI</t>
  </si>
  <si>
    <t>HE_wc</t>
  </si>
  <si>
    <t>absi</t>
  </si>
  <si>
    <t>HE_sbp</t>
  </si>
  <si>
    <t>HE_glu</t>
  </si>
  <si>
    <t>HE_chol</t>
  </si>
  <si>
    <t>HE_HDL_st2</t>
  </si>
  <si>
    <t>HE_TG</t>
  </si>
  <si>
    <t>HE_ast</t>
  </si>
  <si>
    <t>HE_alt</t>
  </si>
  <si>
    <t>HE_HB</t>
  </si>
  <si>
    <t>HE_BUN</t>
  </si>
  <si>
    <t>HE_crea</t>
  </si>
  <si>
    <t>HE_Uph</t>
  </si>
  <si>
    <t>tyg</t>
  </si>
  <si>
    <t>tyg_absi</t>
  </si>
  <si>
    <t>aip</t>
  </si>
  <si>
    <t>mets_ir</t>
  </si>
  <si>
    <t>관측값 수</t>
  </si>
  <si>
    <t>The SURVEYFREQ Procedure</t>
  </si>
  <si>
    <t>Data Summary</t>
  </si>
  <si>
    <t>Number of Strata</t>
  </si>
  <si>
    <t>Number of Clusters</t>
  </si>
  <si>
    <t>Number of Observations</t>
  </si>
  <si>
    <t>Sum of Weights</t>
  </si>
  <si>
    <t>Table of age_g</t>
  </si>
  <si>
    <t>Frequency</t>
  </si>
  <si>
    <t>Weighted</t>
  </si>
  <si>
    <t>Std Err of</t>
  </si>
  <si>
    <t>Wgt Freq</t>
  </si>
  <si>
    <t>Percent</t>
  </si>
  <si>
    <t>95% Confidence Limits</t>
  </si>
  <si>
    <t>for Percent</t>
  </si>
  <si>
    <t>Total</t>
  </si>
  <si>
    <t>Table of sex</t>
  </si>
  <si>
    <t>Table of town_t</t>
  </si>
  <si>
    <t>Table of educ_g</t>
  </si>
  <si>
    <t>Table of ho_incm</t>
  </si>
  <si>
    <t>Table of bmi_g</t>
  </si>
  <si>
    <t>Table of marri_g</t>
  </si>
  <si>
    <t>Table of health_g</t>
  </si>
  <si>
    <t>Table of stress_g</t>
  </si>
  <si>
    <t>Table of drinking_g</t>
  </si>
  <si>
    <t>Table of smoking_g</t>
  </si>
  <si>
    <t>Table of hypertension_g</t>
  </si>
  <si>
    <t>Table of dyslipidemia_g</t>
  </si>
  <si>
    <t>Table of stroke_g</t>
  </si>
  <si>
    <t>Table of mi_g</t>
  </si>
  <si>
    <t>Table of angina_g</t>
  </si>
  <si>
    <t>Table of tyg_g by age_g</t>
  </si>
  <si>
    <t>Row</t>
  </si>
  <si>
    <t>Row Percent</t>
  </si>
  <si>
    <t>for Row Percent</t>
  </si>
  <si>
    <t>Table of tyg_g by sex</t>
  </si>
  <si>
    <t>Table of tyg_g by town_t</t>
  </si>
  <si>
    <t>Table of tyg_g by educ_g</t>
  </si>
  <si>
    <t>Table of tyg_g by ho_incm</t>
  </si>
  <si>
    <t>Table of tyg_g by bmi_g</t>
  </si>
  <si>
    <t>Table of tyg_g by marri_g</t>
  </si>
  <si>
    <t>Table of tyg_g by health_g</t>
  </si>
  <si>
    <t>Table of tyg_g by stress_g</t>
  </si>
  <si>
    <t>Table of tyg_g by drinking_g</t>
  </si>
  <si>
    <t>Table of tyg_g by smoking_g</t>
  </si>
  <si>
    <t>Table of tyg_g by hypertension_g</t>
  </si>
  <si>
    <t>Table of tyg_g by dyslipidemia_g</t>
  </si>
  <si>
    <t>Table of tyg_g by stroke_g</t>
  </si>
  <si>
    <t>Table of tyg_g by mi_g</t>
  </si>
  <si>
    <t>Table of tyg_g by angina_g</t>
  </si>
  <si>
    <t>Table of tyg_absi_g by age_g</t>
  </si>
  <si>
    <t>Table of tyg_absi_g by sex</t>
  </si>
  <si>
    <t>Table of tyg_absi_g by town_t</t>
  </si>
  <si>
    <t>Table of tyg_absi_g by educ_g</t>
  </si>
  <si>
    <t>Table of tyg_absi_g by ho_incm</t>
  </si>
  <si>
    <t>Table of tyg_absi_g by bmi_g</t>
  </si>
  <si>
    <t>Table of tyg_absi_g by marri_g</t>
  </si>
  <si>
    <t>Table of tyg_absi_g by health_g</t>
  </si>
  <si>
    <t>Table of tyg_absi_g by stress_g</t>
  </si>
  <si>
    <t>Table of tyg_absi_g by drinking_g</t>
  </si>
  <si>
    <t>Table of tyg_absi_g by smoking_g</t>
  </si>
  <si>
    <t>Table of tyg_absi_g by hypertension_g</t>
  </si>
  <si>
    <t>Table of tyg_absi_g by dyslipidemia_g</t>
  </si>
  <si>
    <t>Table of tyg_absi_g by stroke_g</t>
  </si>
  <si>
    <t>Table of tyg_absi_g by mi_g</t>
  </si>
  <si>
    <t>Table of tyg_absi_g by angina_g</t>
  </si>
  <si>
    <t>Table of aip_g by age_g</t>
  </si>
  <si>
    <t>Table of aip_g by sex</t>
  </si>
  <si>
    <t>Table of aip_g by town_t</t>
  </si>
  <si>
    <t>Table of aip_g by educ_g</t>
  </si>
  <si>
    <t>Table of aip_g by ho_incm</t>
  </si>
  <si>
    <t>Table of aip_g by bmi_g</t>
  </si>
  <si>
    <t>Table of aip_g by marri_g</t>
  </si>
  <si>
    <t>Table of aip_g by health_g</t>
  </si>
  <si>
    <t>Table of aip_g by stress_g</t>
  </si>
  <si>
    <t>Table of aip_g by drinking_g</t>
  </si>
  <si>
    <t>Table of aip_g by smoking_g</t>
  </si>
  <si>
    <t>Table of aip_g by hypertension_g</t>
  </si>
  <si>
    <t>Table of aip_g by dyslipidemia_g</t>
  </si>
  <si>
    <t>Table of aip_g by stroke_g</t>
  </si>
  <si>
    <t>Table of aip_g by mi_g</t>
  </si>
  <si>
    <t>Table of aip_g by angina_g</t>
  </si>
  <si>
    <t>Table of mets_ir_g by age_g</t>
  </si>
  <si>
    <t>Table of mets_ir_g by sex</t>
  </si>
  <si>
    <t>Table of mets_ir_g by town_t</t>
  </si>
  <si>
    <t>Table of mets_ir_g by educ_g</t>
  </si>
  <si>
    <t>Table of mets_ir_g by ho_incm</t>
  </si>
  <si>
    <t>Table of mets_ir_g by bmi_g</t>
  </si>
  <si>
    <t>.</t>
  </si>
  <si>
    <t>Table of mets_ir_g by marri_g</t>
  </si>
  <si>
    <t>Table of mets_ir_g by health_g</t>
  </si>
  <si>
    <t>Table of mets_ir_g by stress_g</t>
  </si>
  <si>
    <t>Table of mets_ir_g by drinking_g</t>
  </si>
  <si>
    <t>Table of mets_ir_g by smoking_g</t>
  </si>
  <si>
    <t>Table of mets_ir_g by hypertension_g</t>
  </si>
  <si>
    <t>Table of mets_ir_g by dyslipidemia_g</t>
  </si>
  <si>
    <t>Table of mets_ir_g by stroke_g</t>
  </si>
  <si>
    <t>Table of mets_ir_g by mi_g</t>
  </si>
  <si>
    <t>Table of mets_ir_g by angina_g</t>
  </si>
  <si>
    <t>The SURVEYMEANS Procedure</t>
  </si>
  <si>
    <t>Statistics</t>
  </si>
  <si>
    <t>Variable</t>
  </si>
  <si>
    <t>Mean</t>
  </si>
  <si>
    <t>Std Error</t>
  </si>
  <si>
    <t>of Mean</t>
  </si>
  <si>
    <t>95% CL for Mean</t>
  </si>
  <si>
    <t>Statistics for tyg_g Domains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</si>
</sst>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rgb="FF11227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F2F9"/>
        <bgColor indexed="64"/>
      </patternFill>
    </fill>
  </fills>
  <borders count="11">
    <border>
      <left/>
      <right/>
      <top/>
      <bottom/>
      <diagonal/>
    </border>
    <border>
      <left style="medium">
        <color rgb="FFC1C1C1"/>
      </left>
      <right/>
      <top style="medium">
        <color rgb="FFC1C1C1"/>
      </top>
      <bottom/>
      <diagonal/>
    </border>
    <border>
      <left/>
      <right/>
      <top style="medium">
        <color rgb="FFC1C1C1"/>
      </top>
      <bottom/>
      <diagonal/>
    </border>
    <border>
      <left style="medium">
        <color rgb="FFC1C1C1"/>
      </left>
      <right/>
      <top/>
      <bottom/>
      <diagonal/>
    </border>
    <border>
      <left/>
      <right style="medium">
        <color rgb="FFC1C1C1"/>
      </right>
      <top/>
      <bottom style="medium">
        <color rgb="FFC1C1C1"/>
      </bottom>
      <diagonal/>
    </border>
    <border>
      <left/>
      <right style="medium">
        <color rgb="FFC1C1C1"/>
      </right>
      <top/>
      <bottom/>
      <diagonal/>
    </border>
    <border>
      <left style="medium">
        <color rgb="FFC1C1C1"/>
      </left>
      <right style="medium">
        <color rgb="FFC1C1C1"/>
      </right>
      <top/>
      <bottom/>
      <diagonal/>
    </border>
    <border>
      <left/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/>
      <diagonal/>
    </border>
    <border>
      <left/>
      <right style="medium">
        <color rgb="FFB0B7BB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3" fillId="2" borderId="6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left" vertical="top" wrapText="1"/>
    </xf>
    <xf numFmtId="0" fontId="4" fillId="3" borderId="8" xfId="0" applyFont="1" applyFill="1" applyBorder="1" applyAlignment="1">
      <alignment horizontal="left" vertical="top" wrapText="1"/>
    </xf>
    <xf numFmtId="0" fontId="4" fillId="3" borderId="9" xfId="0" applyFont="1" applyFill="1" applyBorder="1" applyAlignment="1">
      <alignment horizontal="left" vertical="top" wrapText="1"/>
    </xf>
    <xf numFmtId="0" fontId="4" fillId="3" borderId="10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workbookViewId="0">
      <selection activeCell="D7" sqref="D7"/>
    </sheetView>
  </sheetViews>
  <sheetFormatPr defaultRowHeight="16.5" x14ac:dyDescent="0.3"/>
  <cols>
    <col min="10" max="10" width="13.5" bestFit="1" customWidth="1"/>
  </cols>
  <sheetData>
    <row r="1" spans="1:10" x14ac:dyDescent="0.3">
      <c r="A1" s="1" t="s">
        <v>0</v>
      </c>
    </row>
    <row r="2" spans="1:10" ht="17.25" thickBot="1" x14ac:dyDescent="0.35"/>
    <row r="3" spans="1:10" x14ac:dyDescent="0.3">
      <c r="A3" s="17" t="s">
        <v>1</v>
      </c>
      <c r="B3" s="19" t="s">
        <v>2</v>
      </c>
      <c r="C3" s="19" t="s">
        <v>3</v>
      </c>
      <c r="D3" s="5" t="s">
        <v>4</v>
      </c>
      <c r="E3" s="5" t="s">
        <v>4</v>
      </c>
    </row>
    <row r="4" spans="1:10" x14ac:dyDescent="0.3">
      <c r="A4" s="18"/>
      <c r="B4" s="20"/>
      <c r="C4" s="20"/>
      <c r="D4" s="3" t="s">
        <v>2</v>
      </c>
      <c r="E4" s="3" t="s">
        <v>3</v>
      </c>
    </row>
    <row r="5" spans="1:10" x14ac:dyDescent="0.3">
      <c r="A5" s="6">
        <v>1</v>
      </c>
      <c r="B5" s="2">
        <v>21079</v>
      </c>
      <c r="C5" s="2">
        <v>30.71</v>
      </c>
      <c r="D5" s="2">
        <v>21079</v>
      </c>
      <c r="E5" s="2">
        <v>30.71</v>
      </c>
      <c r="G5">
        <f>B5</f>
        <v>21079</v>
      </c>
      <c r="H5">
        <f>C5</f>
        <v>30.71</v>
      </c>
      <c r="J5" t="str">
        <f>TEXT(G5,"#,##0")&amp;" ("&amp;TEXT(H5,"0.00")&amp;")"</f>
        <v>21,079 (30.71)</v>
      </c>
    </row>
    <row r="6" spans="1:10" x14ac:dyDescent="0.3">
      <c r="A6" s="6">
        <v>2</v>
      </c>
      <c r="B6" s="2">
        <v>33470</v>
      </c>
      <c r="C6" s="2">
        <v>48.77</v>
      </c>
      <c r="D6" s="2">
        <v>54549</v>
      </c>
      <c r="E6" s="2">
        <v>79.48</v>
      </c>
      <c r="G6">
        <f t="shared" ref="G6:G7" si="0">B6</f>
        <v>33470</v>
      </c>
      <c r="H6">
        <f t="shared" ref="H6:H7" si="1">C6</f>
        <v>48.77</v>
      </c>
      <c r="J6" t="str">
        <f t="shared" ref="J6:J7" si="2">TEXT(G6,"#,##0")&amp;" ("&amp;TEXT(H6,"0.00")&amp;")"</f>
        <v>33,470 (48.77)</v>
      </c>
    </row>
    <row r="7" spans="1:10" x14ac:dyDescent="0.3">
      <c r="A7" s="6">
        <v>3</v>
      </c>
      <c r="B7" s="2">
        <v>14085</v>
      </c>
      <c r="C7" s="2">
        <v>20.52</v>
      </c>
      <c r="D7" s="2">
        <v>68634</v>
      </c>
      <c r="E7" s="2">
        <v>100</v>
      </c>
      <c r="G7">
        <f t="shared" si="0"/>
        <v>14085</v>
      </c>
      <c r="H7">
        <f t="shared" si="1"/>
        <v>20.52</v>
      </c>
      <c r="J7" t="str">
        <f t="shared" si="2"/>
        <v>14,085 (20.52)</v>
      </c>
    </row>
    <row r="8" spans="1:10" ht="17.25" thickBot="1" x14ac:dyDescent="0.35"/>
    <row r="9" spans="1:10" x14ac:dyDescent="0.3">
      <c r="A9" s="17" t="s">
        <v>5</v>
      </c>
      <c r="B9" s="19" t="s">
        <v>2</v>
      </c>
      <c r="C9" s="19" t="s">
        <v>3</v>
      </c>
      <c r="D9" s="5" t="s">
        <v>4</v>
      </c>
      <c r="E9" s="5" t="s">
        <v>4</v>
      </c>
    </row>
    <row r="10" spans="1:10" x14ac:dyDescent="0.3">
      <c r="A10" s="18"/>
      <c r="B10" s="20"/>
      <c r="C10" s="20"/>
      <c r="D10" s="3" t="s">
        <v>2</v>
      </c>
      <c r="E10" s="3" t="s">
        <v>3</v>
      </c>
    </row>
    <row r="11" spans="1:10" x14ac:dyDescent="0.3">
      <c r="A11" s="6">
        <v>1</v>
      </c>
      <c r="B11" s="2">
        <v>33200</v>
      </c>
      <c r="C11" s="2">
        <v>48.37</v>
      </c>
      <c r="D11" s="2">
        <v>33200</v>
      </c>
      <c r="E11" s="2">
        <v>48.37</v>
      </c>
      <c r="G11">
        <f t="shared" ref="G11:G12" si="3">B11</f>
        <v>33200</v>
      </c>
      <c r="H11">
        <f t="shared" ref="H11:H12" si="4">C11</f>
        <v>48.37</v>
      </c>
      <c r="J11" t="str">
        <f t="shared" ref="J11:J12" si="5">TEXT(G11,"#,##0")&amp;" ("&amp;TEXT(H11,"0.00")&amp;")"</f>
        <v>33,200 (48.37)</v>
      </c>
    </row>
    <row r="12" spans="1:10" x14ac:dyDescent="0.3">
      <c r="A12" s="6">
        <v>2</v>
      </c>
      <c r="B12" s="2">
        <v>35434</v>
      </c>
      <c r="C12" s="2">
        <v>51.63</v>
      </c>
      <c r="D12" s="2">
        <v>68634</v>
      </c>
      <c r="E12" s="2">
        <v>100</v>
      </c>
      <c r="G12">
        <f t="shared" si="3"/>
        <v>35434</v>
      </c>
      <c r="H12">
        <f t="shared" si="4"/>
        <v>51.63</v>
      </c>
      <c r="J12" t="str">
        <f t="shared" si="5"/>
        <v>35,434 (51.63)</v>
      </c>
    </row>
    <row r="13" spans="1:10" ht="17.25" thickBot="1" x14ac:dyDescent="0.35"/>
    <row r="14" spans="1:10" x14ac:dyDescent="0.3">
      <c r="A14" s="17" t="s">
        <v>6</v>
      </c>
      <c r="B14" s="19" t="s">
        <v>2</v>
      </c>
      <c r="C14" s="19" t="s">
        <v>3</v>
      </c>
      <c r="D14" s="5" t="s">
        <v>4</v>
      </c>
      <c r="E14" s="5" t="s">
        <v>4</v>
      </c>
    </row>
    <row r="15" spans="1:10" x14ac:dyDescent="0.3">
      <c r="A15" s="18"/>
      <c r="B15" s="20"/>
      <c r="C15" s="20"/>
      <c r="D15" s="3" t="s">
        <v>2</v>
      </c>
      <c r="E15" s="3" t="s">
        <v>3</v>
      </c>
    </row>
    <row r="16" spans="1:10" x14ac:dyDescent="0.3">
      <c r="A16" s="6">
        <v>1</v>
      </c>
      <c r="B16" s="2">
        <v>55176</v>
      </c>
      <c r="C16" s="2">
        <v>80.39</v>
      </c>
      <c r="D16" s="2">
        <v>55176</v>
      </c>
      <c r="E16" s="2">
        <v>80.39</v>
      </c>
      <c r="G16">
        <f t="shared" ref="G16:G17" si="6">B16</f>
        <v>55176</v>
      </c>
      <c r="H16">
        <f t="shared" ref="H16:H17" si="7">C16</f>
        <v>80.39</v>
      </c>
      <c r="J16" t="str">
        <f t="shared" ref="J16:J17" si="8">TEXT(G16,"#,##0")&amp;" ("&amp;TEXT(H16,"0.00")&amp;")"</f>
        <v>55,176 (80.39)</v>
      </c>
    </row>
    <row r="17" spans="1:10" x14ac:dyDescent="0.3">
      <c r="A17" s="6">
        <v>2</v>
      </c>
      <c r="B17" s="2">
        <v>13458</v>
      </c>
      <c r="C17" s="2">
        <v>19.61</v>
      </c>
      <c r="D17" s="2">
        <v>68634</v>
      </c>
      <c r="E17" s="2">
        <v>100</v>
      </c>
      <c r="G17">
        <f t="shared" si="6"/>
        <v>13458</v>
      </c>
      <c r="H17">
        <f t="shared" si="7"/>
        <v>19.61</v>
      </c>
      <c r="J17" t="str">
        <f t="shared" si="8"/>
        <v>13,458 (19.61)</v>
      </c>
    </row>
    <row r="18" spans="1:10" ht="17.25" thickBot="1" x14ac:dyDescent="0.35"/>
    <row r="19" spans="1:10" x14ac:dyDescent="0.3">
      <c r="A19" s="17" t="s">
        <v>7</v>
      </c>
      <c r="B19" s="19" t="s">
        <v>2</v>
      </c>
      <c r="C19" s="19" t="s">
        <v>3</v>
      </c>
      <c r="D19" s="5" t="s">
        <v>4</v>
      </c>
      <c r="E19" s="5" t="s">
        <v>4</v>
      </c>
    </row>
    <row r="20" spans="1:10" x14ac:dyDescent="0.3">
      <c r="A20" s="18"/>
      <c r="B20" s="20"/>
      <c r="C20" s="20"/>
      <c r="D20" s="3" t="s">
        <v>2</v>
      </c>
      <c r="E20" s="3" t="s">
        <v>3</v>
      </c>
    </row>
    <row r="21" spans="1:10" x14ac:dyDescent="0.3">
      <c r="A21" s="6">
        <v>1</v>
      </c>
      <c r="B21" s="2">
        <v>9199</v>
      </c>
      <c r="C21" s="2">
        <v>13.4</v>
      </c>
      <c r="D21" s="2">
        <v>9199</v>
      </c>
      <c r="E21" s="2">
        <v>13.4</v>
      </c>
      <c r="G21">
        <f t="shared" ref="G21:G24" si="9">B21</f>
        <v>9199</v>
      </c>
      <c r="H21">
        <f t="shared" ref="H21:H24" si="10">C21</f>
        <v>13.4</v>
      </c>
      <c r="J21" t="str">
        <f t="shared" ref="J21:J24" si="11">TEXT(G21,"#,##0")&amp;" ("&amp;TEXT(H21,"0.00")&amp;")"</f>
        <v>9,199 (13.40)</v>
      </c>
    </row>
    <row r="22" spans="1:10" x14ac:dyDescent="0.3">
      <c r="A22" s="6">
        <v>2</v>
      </c>
      <c r="B22" s="2">
        <v>7936</v>
      </c>
      <c r="C22" s="2">
        <v>11.56</v>
      </c>
      <c r="D22" s="2">
        <v>17135</v>
      </c>
      <c r="E22" s="2">
        <v>24.97</v>
      </c>
      <c r="G22">
        <f t="shared" si="9"/>
        <v>7936</v>
      </c>
      <c r="H22">
        <f t="shared" si="10"/>
        <v>11.56</v>
      </c>
      <c r="J22" t="str">
        <f t="shared" si="11"/>
        <v>7,936 (11.56)</v>
      </c>
    </row>
    <row r="23" spans="1:10" x14ac:dyDescent="0.3">
      <c r="A23" s="6">
        <v>3</v>
      </c>
      <c r="B23" s="2">
        <v>17758</v>
      </c>
      <c r="C23" s="2">
        <v>25.87</v>
      </c>
      <c r="D23" s="2">
        <v>34893</v>
      </c>
      <c r="E23" s="2">
        <v>50.84</v>
      </c>
      <c r="G23">
        <f t="shared" si="9"/>
        <v>17758</v>
      </c>
      <c r="H23">
        <f t="shared" si="10"/>
        <v>25.87</v>
      </c>
      <c r="J23" t="str">
        <f t="shared" si="11"/>
        <v>17,758 (25.87)</v>
      </c>
    </row>
    <row r="24" spans="1:10" x14ac:dyDescent="0.3">
      <c r="A24" s="6">
        <v>4</v>
      </c>
      <c r="B24" s="2">
        <v>33741</v>
      </c>
      <c r="C24" s="2">
        <v>49.16</v>
      </c>
      <c r="D24" s="2">
        <v>68634</v>
      </c>
      <c r="E24" s="2">
        <v>100</v>
      </c>
      <c r="G24">
        <f t="shared" si="9"/>
        <v>33741</v>
      </c>
      <c r="H24">
        <f t="shared" si="10"/>
        <v>49.16</v>
      </c>
      <c r="J24" t="str">
        <f t="shared" si="11"/>
        <v>33,741 (49.16)</v>
      </c>
    </row>
    <row r="25" spans="1:10" ht="17.25" thickBot="1" x14ac:dyDescent="0.35"/>
    <row r="26" spans="1:10" x14ac:dyDescent="0.3">
      <c r="A26" s="17" t="s">
        <v>8</v>
      </c>
      <c r="B26" s="19" t="s">
        <v>2</v>
      </c>
      <c r="C26" s="19" t="s">
        <v>3</v>
      </c>
      <c r="D26" s="5" t="s">
        <v>4</v>
      </c>
      <c r="E26" s="5" t="s">
        <v>4</v>
      </c>
    </row>
    <row r="27" spans="1:10" x14ac:dyDescent="0.3">
      <c r="A27" s="18"/>
      <c r="B27" s="20"/>
      <c r="C27" s="20"/>
      <c r="D27" s="3" t="s">
        <v>2</v>
      </c>
      <c r="E27" s="3" t="s">
        <v>3</v>
      </c>
    </row>
    <row r="28" spans="1:10" x14ac:dyDescent="0.3">
      <c r="A28" s="6">
        <v>1</v>
      </c>
      <c r="B28" s="2">
        <v>11265</v>
      </c>
      <c r="C28" s="2">
        <v>16.41</v>
      </c>
      <c r="D28" s="2">
        <v>11265</v>
      </c>
      <c r="E28" s="2">
        <v>16.41</v>
      </c>
      <c r="G28">
        <f t="shared" ref="G28:G31" si="12">B28</f>
        <v>11265</v>
      </c>
      <c r="H28">
        <f t="shared" ref="H28:H31" si="13">C28</f>
        <v>16.41</v>
      </c>
      <c r="J28" t="str">
        <f t="shared" ref="J28:J31" si="14">TEXT(G28,"#,##0")&amp;" ("&amp;TEXT(H28,"0.00")&amp;")"</f>
        <v>11,265 (16.41)</v>
      </c>
    </row>
    <row r="29" spans="1:10" x14ac:dyDescent="0.3">
      <c r="A29" s="6">
        <v>2</v>
      </c>
      <c r="B29" s="2">
        <v>16834</v>
      </c>
      <c r="C29" s="2">
        <v>24.53</v>
      </c>
      <c r="D29" s="2">
        <v>28099</v>
      </c>
      <c r="E29" s="2">
        <v>40.94</v>
      </c>
      <c r="G29">
        <f t="shared" si="12"/>
        <v>16834</v>
      </c>
      <c r="H29">
        <f t="shared" si="13"/>
        <v>24.53</v>
      </c>
      <c r="J29" t="str">
        <f t="shared" si="14"/>
        <v>16,834 (24.53)</v>
      </c>
    </row>
    <row r="30" spans="1:10" x14ac:dyDescent="0.3">
      <c r="A30" s="6">
        <v>3</v>
      </c>
      <c r="B30" s="2">
        <v>19585</v>
      </c>
      <c r="C30" s="2">
        <v>28.54</v>
      </c>
      <c r="D30" s="2">
        <v>47684</v>
      </c>
      <c r="E30" s="2">
        <v>69.48</v>
      </c>
      <c r="G30">
        <f t="shared" si="12"/>
        <v>19585</v>
      </c>
      <c r="H30">
        <f t="shared" si="13"/>
        <v>28.54</v>
      </c>
      <c r="J30" t="str">
        <f t="shared" si="14"/>
        <v>19,585 (28.54)</v>
      </c>
    </row>
    <row r="31" spans="1:10" x14ac:dyDescent="0.3">
      <c r="A31" s="6">
        <v>4</v>
      </c>
      <c r="B31" s="2">
        <v>20950</v>
      </c>
      <c r="C31" s="2">
        <v>30.52</v>
      </c>
      <c r="D31" s="2">
        <v>68634</v>
      </c>
      <c r="E31" s="2">
        <v>100</v>
      </c>
      <c r="G31">
        <f t="shared" si="12"/>
        <v>20950</v>
      </c>
      <c r="H31">
        <f t="shared" si="13"/>
        <v>30.52</v>
      </c>
      <c r="J31" t="str">
        <f t="shared" si="14"/>
        <v>20,950 (30.52)</v>
      </c>
    </row>
    <row r="32" spans="1:10" ht="17.25" thickBot="1" x14ac:dyDescent="0.35"/>
    <row r="33" spans="1:10" x14ac:dyDescent="0.3">
      <c r="A33" s="17" t="s">
        <v>9</v>
      </c>
      <c r="B33" s="19" t="s">
        <v>2</v>
      </c>
      <c r="C33" s="19" t="s">
        <v>3</v>
      </c>
      <c r="D33" s="5" t="s">
        <v>4</v>
      </c>
      <c r="E33" s="5" t="s">
        <v>4</v>
      </c>
    </row>
    <row r="34" spans="1:10" x14ac:dyDescent="0.3">
      <c r="A34" s="18"/>
      <c r="B34" s="20"/>
      <c r="C34" s="20"/>
      <c r="D34" s="3" t="s">
        <v>2</v>
      </c>
      <c r="E34" s="3" t="s">
        <v>3</v>
      </c>
    </row>
    <row r="35" spans="1:10" x14ac:dyDescent="0.3">
      <c r="A35" s="6">
        <v>1</v>
      </c>
      <c r="B35" s="2">
        <v>2777</v>
      </c>
      <c r="C35" s="2">
        <v>4.05</v>
      </c>
      <c r="D35" s="2">
        <v>2777</v>
      </c>
      <c r="E35" s="2">
        <v>4.05</v>
      </c>
      <c r="G35">
        <f t="shared" ref="G35:G38" si="15">B35</f>
        <v>2777</v>
      </c>
      <c r="H35">
        <f t="shared" ref="H35:H38" si="16">C35</f>
        <v>4.05</v>
      </c>
      <c r="J35" t="str">
        <f t="shared" ref="J35:J38" si="17">TEXT(G35,"#,##0")&amp;" ("&amp;TEXT(H35,"0.00")&amp;")"</f>
        <v>2,777 (4.05)</v>
      </c>
    </row>
    <row r="36" spans="1:10" x14ac:dyDescent="0.3">
      <c r="A36" s="6">
        <v>2</v>
      </c>
      <c r="B36" s="2">
        <v>26435</v>
      </c>
      <c r="C36" s="2">
        <v>38.520000000000003</v>
      </c>
      <c r="D36" s="2">
        <v>29212</v>
      </c>
      <c r="E36" s="2">
        <v>42.56</v>
      </c>
      <c r="G36">
        <f t="shared" si="15"/>
        <v>26435</v>
      </c>
      <c r="H36">
        <f t="shared" si="16"/>
        <v>38.520000000000003</v>
      </c>
      <c r="J36" t="str">
        <f t="shared" si="17"/>
        <v>26,435 (38.52)</v>
      </c>
    </row>
    <row r="37" spans="1:10" x14ac:dyDescent="0.3">
      <c r="A37" s="6">
        <v>3</v>
      </c>
      <c r="B37" s="2">
        <v>16264</v>
      </c>
      <c r="C37" s="2">
        <v>23.7</v>
      </c>
      <c r="D37" s="2">
        <v>45476</v>
      </c>
      <c r="E37" s="2">
        <v>66.260000000000005</v>
      </c>
      <c r="G37">
        <f t="shared" si="15"/>
        <v>16264</v>
      </c>
      <c r="H37">
        <f t="shared" si="16"/>
        <v>23.7</v>
      </c>
      <c r="J37" t="str">
        <f t="shared" si="17"/>
        <v>16,264 (23.70)</v>
      </c>
    </row>
    <row r="38" spans="1:10" x14ac:dyDescent="0.3">
      <c r="A38" s="6">
        <v>4</v>
      </c>
      <c r="B38" s="2">
        <v>23158</v>
      </c>
      <c r="C38" s="2">
        <v>33.74</v>
      </c>
      <c r="D38" s="2">
        <v>68634</v>
      </c>
      <c r="E38" s="2">
        <v>100</v>
      </c>
      <c r="G38">
        <f t="shared" si="15"/>
        <v>23158</v>
      </c>
      <c r="H38">
        <f t="shared" si="16"/>
        <v>33.74</v>
      </c>
      <c r="J38" t="str">
        <f t="shared" si="17"/>
        <v>23,158 (33.74)</v>
      </c>
    </row>
    <row r="39" spans="1:10" ht="17.25" thickBot="1" x14ac:dyDescent="0.35"/>
    <row r="40" spans="1:10" x14ac:dyDescent="0.3">
      <c r="A40" s="17" t="s">
        <v>10</v>
      </c>
      <c r="B40" s="19" t="s">
        <v>2</v>
      </c>
      <c r="C40" s="19" t="s">
        <v>3</v>
      </c>
      <c r="D40" s="5" t="s">
        <v>4</v>
      </c>
      <c r="E40" s="5" t="s">
        <v>4</v>
      </c>
    </row>
    <row r="41" spans="1:10" x14ac:dyDescent="0.3">
      <c r="A41" s="18"/>
      <c r="B41" s="20"/>
      <c r="C41" s="20"/>
      <c r="D41" s="3" t="s">
        <v>2</v>
      </c>
      <c r="E41" s="3" t="s">
        <v>3</v>
      </c>
    </row>
    <row r="42" spans="1:10" x14ac:dyDescent="0.3">
      <c r="A42" s="6">
        <v>1</v>
      </c>
      <c r="B42" s="2">
        <v>56813</v>
      </c>
      <c r="C42" s="2">
        <v>82.78</v>
      </c>
      <c r="D42" s="2">
        <v>56813</v>
      </c>
      <c r="E42" s="2">
        <v>82.78</v>
      </c>
      <c r="G42">
        <f t="shared" ref="G42:G43" si="18">B42</f>
        <v>56813</v>
      </c>
      <c r="H42">
        <f t="shared" ref="H42:H43" si="19">C42</f>
        <v>82.78</v>
      </c>
      <c r="J42" t="str">
        <f t="shared" ref="J42:J43" si="20">TEXT(G42,"#,##0")&amp;" ("&amp;TEXT(H42,"0.00")&amp;")"</f>
        <v>56,813 (82.78)</v>
      </c>
    </row>
    <row r="43" spans="1:10" x14ac:dyDescent="0.3">
      <c r="A43" s="6">
        <v>2</v>
      </c>
      <c r="B43" s="2">
        <v>11821</v>
      </c>
      <c r="C43" s="2">
        <v>17.22</v>
      </c>
      <c r="D43" s="2">
        <v>68634</v>
      </c>
      <c r="E43" s="2">
        <v>100</v>
      </c>
      <c r="G43">
        <f t="shared" si="18"/>
        <v>11821</v>
      </c>
      <c r="H43">
        <f t="shared" si="19"/>
        <v>17.22</v>
      </c>
      <c r="J43" t="str">
        <f t="shared" si="20"/>
        <v>11,821 (17.22)</v>
      </c>
    </row>
    <row r="44" spans="1:10" ht="17.25" thickBot="1" x14ac:dyDescent="0.35"/>
    <row r="45" spans="1:10" x14ac:dyDescent="0.3">
      <c r="A45" s="17" t="s">
        <v>11</v>
      </c>
      <c r="B45" s="19" t="s">
        <v>2</v>
      </c>
      <c r="C45" s="19" t="s">
        <v>3</v>
      </c>
      <c r="D45" s="5" t="s">
        <v>4</v>
      </c>
      <c r="E45" s="5" t="s">
        <v>4</v>
      </c>
    </row>
    <row r="46" spans="1:10" x14ac:dyDescent="0.3">
      <c r="A46" s="18"/>
      <c r="B46" s="20"/>
      <c r="C46" s="20"/>
      <c r="D46" s="3" t="s">
        <v>2</v>
      </c>
      <c r="E46" s="3" t="s">
        <v>3</v>
      </c>
    </row>
    <row r="47" spans="1:10" x14ac:dyDescent="0.3">
      <c r="A47" s="6">
        <v>1</v>
      </c>
      <c r="B47" s="2">
        <v>22876</v>
      </c>
      <c r="C47" s="2">
        <v>33.33</v>
      </c>
      <c r="D47" s="2">
        <v>22876</v>
      </c>
      <c r="E47" s="2">
        <v>33.33</v>
      </c>
      <c r="G47">
        <f t="shared" ref="G47:G49" si="21">B47</f>
        <v>22876</v>
      </c>
      <c r="H47">
        <f t="shared" ref="H47:H49" si="22">C47</f>
        <v>33.33</v>
      </c>
      <c r="J47" t="str">
        <f t="shared" ref="J47:J49" si="23">TEXT(G47,"#,##0")&amp;" ("&amp;TEXT(H47,"0.00")&amp;")"</f>
        <v>22,876 (33.33)</v>
      </c>
    </row>
    <row r="48" spans="1:10" x14ac:dyDescent="0.3">
      <c r="A48" s="6">
        <v>2</v>
      </c>
      <c r="B48" s="2">
        <v>33210</v>
      </c>
      <c r="C48" s="2">
        <v>48.39</v>
      </c>
      <c r="D48" s="2">
        <v>56086</v>
      </c>
      <c r="E48" s="2">
        <v>81.72</v>
      </c>
      <c r="G48">
        <f t="shared" si="21"/>
        <v>33210</v>
      </c>
      <c r="H48">
        <f t="shared" si="22"/>
        <v>48.39</v>
      </c>
      <c r="J48" t="str">
        <f t="shared" si="23"/>
        <v>33,210 (48.39)</v>
      </c>
    </row>
    <row r="49" spans="1:10" x14ac:dyDescent="0.3">
      <c r="A49" s="6">
        <v>3</v>
      </c>
      <c r="B49" s="2">
        <v>12548</v>
      </c>
      <c r="C49" s="2">
        <v>18.28</v>
      </c>
      <c r="D49" s="2">
        <v>68634</v>
      </c>
      <c r="E49" s="2">
        <v>100</v>
      </c>
      <c r="G49">
        <f t="shared" si="21"/>
        <v>12548</v>
      </c>
      <c r="H49">
        <f t="shared" si="22"/>
        <v>18.28</v>
      </c>
      <c r="J49" t="str">
        <f t="shared" si="23"/>
        <v>12,548 (18.28)</v>
      </c>
    </row>
    <row r="50" spans="1:10" ht="17.25" thickBot="1" x14ac:dyDescent="0.35"/>
    <row r="51" spans="1:10" x14ac:dyDescent="0.3">
      <c r="A51" s="17" t="s">
        <v>12</v>
      </c>
      <c r="B51" s="19" t="s">
        <v>2</v>
      </c>
      <c r="C51" s="19" t="s">
        <v>3</v>
      </c>
      <c r="D51" s="5" t="s">
        <v>4</v>
      </c>
      <c r="E51" s="5" t="s">
        <v>4</v>
      </c>
    </row>
    <row r="52" spans="1:10" x14ac:dyDescent="0.3">
      <c r="A52" s="18"/>
      <c r="B52" s="20"/>
      <c r="C52" s="20"/>
      <c r="D52" s="3" t="s">
        <v>2</v>
      </c>
      <c r="E52" s="3" t="s">
        <v>3</v>
      </c>
    </row>
    <row r="53" spans="1:10" x14ac:dyDescent="0.3">
      <c r="A53" s="6">
        <v>1</v>
      </c>
      <c r="B53" s="2">
        <v>18257</v>
      </c>
      <c r="C53" s="2">
        <v>26.6</v>
      </c>
      <c r="D53" s="2">
        <v>18257</v>
      </c>
      <c r="E53" s="2">
        <v>26.6</v>
      </c>
      <c r="G53">
        <f t="shared" ref="G53:G55" si="24">B53</f>
        <v>18257</v>
      </c>
      <c r="H53">
        <f t="shared" ref="H53:H55" si="25">C53</f>
        <v>26.6</v>
      </c>
      <c r="J53" t="str">
        <f t="shared" ref="J53:J55" si="26">TEXT(G53,"#,##0")&amp;" ("&amp;TEXT(H53,"0.00")&amp;")"</f>
        <v>18,257 (26.60)</v>
      </c>
    </row>
    <row r="54" spans="1:10" x14ac:dyDescent="0.3">
      <c r="A54" s="6">
        <v>2</v>
      </c>
      <c r="B54" s="2">
        <v>39551</v>
      </c>
      <c r="C54" s="2">
        <v>57.63</v>
      </c>
      <c r="D54" s="2">
        <v>57808</v>
      </c>
      <c r="E54" s="2">
        <v>84.23</v>
      </c>
      <c r="G54">
        <f t="shared" si="24"/>
        <v>39551</v>
      </c>
      <c r="H54">
        <f t="shared" si="25"/>
        <v>57.63</v>
      </c>
      <c r="J54" t="str">
        <f t="shared" si="26"/>
        <v>39,551 (57.63)</v>
      </c>
    </row>
    <row r="55" spans="1:10" x14ac:dyDescent="0.3">
      <c r="A55" s="6">
        <v>3</v>
      </c>
      <c r="B55" s="2">
        <v>10826</v>
      </c>
      <c r="C55" s="2">
        <v>15.77</v>
      </c>
      <c r="D55" s="2">
        <v>68634</v>
      </c>
      <c r="E55" s="2">
        <v>100</v>
      </c>
      <c r="G55">
        <f t="shared" si="24"/>
        <v>10826</v>
      </c>
      <c r="H55">
        <f t="shared" si="25"/>
        <v>15.77</v>
      </c>
      <c r="J55" t="str">
        <f t="shared" si="26"/>
        <v>10,826 (15.77)</v>
      </c>
    </row>
    <row r="56" spans="1:10" ht="17.25" thickBot="1" x14ac:dyDescent="0.35"/>
    <row r="57" spans="1:10" ht="16.5" customHeight="1" x14ac:dyDescent="0.3">
      <c r="A57" s="17" t="s">
        <v>13</v>
      </c>
      <c r="B57" s="19" t="s">
        <v>2</v>
      </c>
      <c r="C57" s="19" t="s">
        <v>3</v>
      </c>
      <c r="D57" s="5" t="s">
        <v>4</v>
      </c>
      <c r="E57" s="5" t="s">
        <v>4</v>
      </c>
    </row>
    <row r="58" spans="1:10" x14ac:dyDescent="0.3">
      <c r="A58" s="18"/>
      <c r="B58" s="20"/>
      <c r="C58" s="20"/>
      <c r="D58" s="3" t="s">
        <v>2</v>
      </c>
      <c r="E58" s="3" t="s">
        <v>3</v>
      </c>
    </row>
    <row r="59" spans="1:10" x14ac:dyDescent="0.3">
      <c r="A59" s="6">
        <v>1</v>
      </c>
      <c r="B59" s="2">
        <v>26908</v>
      </c>
      <c r="C59" s="2">
        <v>39.21</v>
      </c>
      <c r="D59" s="2">
        <v>26908</v>
      </c>
      <c r="E59" s="2">
        <v>39.21</v>
      </c>
      <c r="G59">
        <f t="shared" ref="G59:G61" si="27">B59</f>
        <v>26908</v>
      </c>
      <c r="H59">
        <f t="shared" ref="H59:H61" si="28">C59</f>
        <v>39.21</v>
      </c>
      <c r="J59" t="str">
        <f t="shared" ref="J59:J61" si="29">TEXT(G59,"#,##0")&amp;" ("&amp;TEXT(H59,"0.00")&amp;")"</f>
        <v>26,908 (39.21)</v>
      </c>
    </row>
    <row r="60" spans="1:10" x14ac:dyDescent="0.3">
      <c r="A60" s="6">
        <v>2</v>
      </c>
      <c r="B60" s="2">
        <v>24998</v>
      </c>
      <c r="C60" s="2">
        <v>36.42</v>
      </c>
      <c r="D60" s="2">
        <v>51906</v>
      </c>
      <c r="E60" s="2">
        <v>75.63</v>
      </c>
      <c r="G60">
        <f t="shared" si="27"/>
        <v>24998</v>
      </c>
      <c r="H60">
        <f t="shared" si="28"/>
        <v>36.42</v>
      </c>
      <c r="J60" t="str">
        <f t="shared" si="29"/>
        <v>24,998 (36.42)</v>
      </c>
    </row>
    <row r="61" spans="1:10" x14ac:dyDescent="0.3">
      <c r="A61" s="6">
        <v>3</v>
      </c>
      <c r="B61" s="2">
        <v>16728</v>
      </c>
      <c r="C61" s="2">
        <v>24.37</v>
      </c>
      <c r="D61" s="2">
        <v>68634</v>
      </c>
      <c r="E61" s="2">
        <v>100</v>
      </c>
      <c r="G61">
        <f t="shared" si="27"/>
        <v>16728</v>
      </c>
      <c r="H61">
        <f t="shared" si="28"/>
        <v>24.37</v>
      </c>
      <c r="J61" t="str">
        <f t="shared" si="29"/>
        <v>16,728 (24.37)</v>
      </c>
    </row>
    <row r="62" spans="1:10" ht="17.25" thickBot="1" x14ac:dyDescent="0.35"/>
    <row r="63" spans="1:10" ht="16.5" customHeight="1" x14ac:dyDescent="0.3">
      <c r="A63" s="17" t="s">
        <v>14</v>
      </c>
      <c r="B63" s="19" t="s">
        <v>2</v>
      </c>
      <c r="C63" s="19" t="s">
        <v>3</v>
      </c>
      <c r="D63" s="5" t="s">
        <v>4</v>
      </c>
      <c r="E63" s="5" t="s">
        <v>4</v>
      </c>
    </row>
    <row r="64" spans="1:10" x14ac:dyDescent="0.3">
      <c r="A64" s="18"/>
      <c r="B64" s="20"/>
      <c r="C64" s="20"/>
      <c r="D64" s="3" t="s">
        <v>2</v>
      </c>
      <c r="E64" s="3" t="s">
        <v>3</v>
      </c>
    </row>
    <row r="65" spans="1:10" x14ac:dyDescent="0.3">
      <c r="A65" s="6">
        <v>0</v>
      </c>
      <c r="B65" s="2">
        <v>52063</v>
      </c>
      <c r="C65" s="2">
        <v>75.86</v>
      </c>
      <c r="D65" s="2">
        <v>52063</v>
      </c>
      <c r="E65" s="2">
        <v>75.86</v>
      </c>
      <c r="G65">
        <f t="shared" ref="G65:G66" si="30">B65</f>
        <v>52063</v>
      </c>
      <c r="H65">
        <f t="shared" ref="H65:H66" si="31">C65</f>
        <v>75.86</v>
      </c>
      <c r="J65" t="str">
        <f t="shared" ref="J65:J66" si="32">TEXT(G65,"#,##0")&amp;" ("&amp;TEXT(H65,"0.00")&amp;")"</f>
        <v>52,063 (75.86)</v>
      </c>
    </row>
    <row r="66" spans="1:10" x14ac:dyDescent="0.3">
      <c r="A66" s="6">
        <v>1</v>
      </c>
      <c r="B66" s="2">
        <v>16571</v>
      </c>
      <c r="C66" s="2">
        <v>24.14</v>
      </c>
      <c r="D66" s="2">
        <v>68634</v>
      </c>
      <c r="E66" s="2">
        <v>100</v>
      </c>
      <c r="G66">
        <f t="shared" si="30"/>
        <v>16571</v>
      </c>
      <c r="H66">
        <f t="shared" si="31"/>
        <v>24.14</v>
      </c>
      <c r="J66" t="str">
        <f t="shared" si="32"/>
        <v>16,571 (24.14)</v>
      </c>
    </row>
    <row r="67" spans="1:10" ht="17.25" thickBot="1" x14ac:dyDescent="0.35"/>
    <row r="68" spans="1:10" ht="16.5" customHeight="1" x14ac:dyDescent="0.3">
      <c r="A68" s="17" t="s">
        <v>15</v>
      </c>
      <c r="B68" s="19" t="s">
        <v>2</v>
      </c>
      <c r="C68" s="19" t="s">
        <v>3</v>
      </c>
      <c r="D68" s="5" t="s">
        <v>4</v>
      </c>
      <c r="E68" s="5" t="s">
        <v>4</v>
      </c>
    </row>
    <row r="69" spans="1:10" x14ac:dyDescent="0.3">
      <c r="A69" s="18"/>
      <c r="B69" s="20"/>
      <c r="C69" s="20"/>
      <c r="D69" s="3" t="s">
        <v>2</v>
      </c>
      <c r="E69" s="3" t="s">
        <v>3</v>
      </c>
    </row>
    <row r="70" spans="1:10" x14ac:dyDescent="0.3">
      <c r="A70" s="6">
        <v>0</v>
      </c>
      <c r="B70" s="2">
        <v>53910</v>
      </c>
      <c r="C70" s="2">
        <v>78.55</v>
      </c>
      <c r="D70" s="2">
        <v>53910</v>
      </c>
      <c r="E70" s="2">
        <v>78.55</v>
      </c>
      <c r="G70">
        <f t="shared" ref="G70:G71" si="33">B70</f>
        <v>53910</v>
      </c>
      <c r="H70">
        <f t="shared" ref="H70:H71" si="34">C70</f>
        <v>78.55</v>
      </c>
      <c r="J70" t="str">
        <f t="shared" ref="J70:J71" si="35">TEXT(G70,"#,##0")&amp;" ("&amp;TEXT(H70,"0.00")&amp;")"</f>
        <v>53,910 (78.55)</v>
      </c>
    </row>
    <row r="71" spans="1:10" x14ac:dyDescent="0.3">
      <c r="A71" s="6">
        <v>1</v>
      </c>
      <c r="B71" s="2">
        <v>14724</v>
      </c>
      <c r="C71" s="2">
        <v>21.45</v>
      </c>
      <c r="D71" s="2">
        <v>68634</v>
      </c>
      <c r="E71" s="2">
        <v>100</v>
      </c>
      <c r="G71">
        <f t="shared" si="33"/>
        <v>14724</v>
      </c>
      <c r="H71">
        <f t="shared" si="34"/>
        <v>21.45</v>
      </c>
      <c r="J71" t="str">
        <f t="shared" si="35"/>
        <v>14,724 (21.45)</v>
      </c>
    </row>
    <row r="72" spans="1:10" ht="17.25" thickBot="1" x14ac:dyDescent="0.35"/>
    <row r="73" spans="1:10" ht="16.5" customHeight="1" x14ac:dyDescent="0.3">
      <c r="A73" s="17" t="s">
        <v>16</v>
      </c>
      <c r="B73" s="19" t="s">
        <v>2</v>
      </c>
      <c r="C73" s="19" t="s">
        <v>3</v>
      </c>
      <c r="D73" s="5" t="s">
        <v>4</v>
      </c>
      <c r="E73" s="5" t="s">
        <v>4</v>
      </c>
    </row>
    <row r="74" spans="1:10" x14ac:dyDescent="0.3">
      <c r="A74" s="18"/>
      <c r="B74" s="20"/>
      <c r="C74" s="20"/>
      <c r="D74" s="3" t="s">
        <v>2</v>
      </c>
      <c r="E74" s="3" t="s">
        <v>3</v>
      </c>
    </row>
    <row r="75" spans="1:10" x14ac:dyDescent="0.3">
      <c r="A75" s="6">
        <v>0</v>
      </c>
      <c r="B75" s="2">
        <v>58466</v>
      </c>
      <c r="C75" s="2">
        <v>85.19</v>
      </c>
      <c r="D75" s="2">
        <v>58466</v>
      </c>
      <c r="E75" s="2">
        <v>85.19</v>
      </c>
      <c r="G75">
        <f t="shared" ref="G75:G76" si="36">B75</f>
        <v>58466</v>
      </c>
      <c r="H75">
        <f t="shared" ref="H75:H76" si="37">C75</f>
        <v>85.19</v>
      </c>
      <c r="J75" t="str">
        <f t="shared" ref="J75:J76" si="38">TEXT(G75,"#,##0")&amp;" ("&amp;TEXT(H75,"0.00")&amp;")"</f>
        <v>58,466 (85.19)</v>
      </c>
    </row>
    <row r="76" spans="1:10" x14ac:dyDescent="0.3">
      <c r="A76" s="6">
        <v>1</v>
      </c>
      <c r="B76" s="2">
        <v>10168</v>
      </c>
      <c r="C76" s="2">
        <v>14.81</v>
      </c>
      <c r="D76" s="2">
        <v>68634</v>
      </c>
      <c r="E76" s="2">
        <v>100</v>
      </c>
      <c r="G76">
        <f t="shared" si="36"/>
        <v>10168</v>
      </c>
      <c r="H76">
        <f t="shared" si="37"/>
        <v>14.81</v>
      </c>
      <c r="J76" t="str">
        <f t="shared" si="38"/>
        <v>10,168 (14.81)</v>
      </c>
    </row>
    <row r="77" spans="1:10" ht="17.25" thickBot="1" x14ac:dyDescent="0.35"/>
    <row r="78" spans="1:10" x14ac:dyDescent="0.3">
      <c r="A78" s="17" t="s">
        <v>17</v>
      </c>
      <c r="B78" s="19" t="s">
        <v>2</v>
      </c>
      <c r="C78" s="19" t="s">
        <v>3</v>
      </c>
      <c r="D78" s="5" t="s">
        <v>4</v>
      </c>
      <c r="E78" s="5" t="s">
        <v>4</v>
      </c>
    </row>
    <row r="79" spans="1:10" x14ac:dyDescent="0.3">
      <c r="A79" s="18"/>
      <c r="B79" s="20"/>
      <c r="C79" s="20"/>
      <c r="D79" s="3" t="s">
        <v>2</v>
      </c>
      <c r="E79" s="3" t="s">
        <v>3</v>
      </c>
    </row>
    <row r="80" spans="1:10" x14ac:dyDescent="0.3">
      <c r="A80" s="6">
        <v>0</v>
      </c>
      <c r="B80" s="2">
        <v>67343</v>
      </c>
      <c r="C80" s="2">
        <v>98.12</v>
      </c>
      <c r="D80" s="2">
        <v>67343</v>
      </c>
      <c r="E80" s="2">
        <v>98.12</v>
      </c>
      <c r="G80">
        <f t="shared" ref="G80:G81" si="39">B80</f>
        <v>67343</v>
      </c>
      <c r="H80">
        <f t="shared" ref="H80:H81" si="40">C80</f>
        <v>98.12</v>
      </c>
      <c r="J80" t="str">
        <f t="shared" ref="J80:J81" si="41">TEXT(G80,"#,##0")&amp;" ("&amp;TEXT(H80,"0.00")&amp;")"</f>
        <v>67,343 (98.12)</v>
      </c>
    </row>
    <row r="81" spans="1:10" x14ac:dyDescent="0.3">
      <c r="A81" s="6">
        <v>1</v>
      </c>
      <c r="B81" s="2">
        <v>1291</v>
      </c>
      <c r="C81" s="2">
        <v>1.88</v>
      </c>
      <c r="D81" s="2">
        <v>68634</v>
      </c>
      <c r="E81" s="2">
        <v>100</v>
      </c>
      <c r="G81">
        <f t="shared" si="39"/>
        <v>1291</v>
      </c>
      <c r="H81">
        <f t="shared" si="40"/>
        <v>1.88</v>
      </c>
      <c r="J81" t="str">
        <f t="shared" si="41"/>
        <v>1,291 (1.88)</v>
      </c>
    </row>
    <row r="82" spans="1:10" ht="17.25" thickBot="1" x14ac:dyDescent="0.35"/>
    <row r="83" spans="1:10" x14ac:dyDescent="0.3">
      <c r="A83" s="17" t="s">
        <v>18</v>
      </c>
      <c r="B83" s="19" t="s">
        <v>2</v>
      </c>
      <c r="C83" s="19" t="s">
        <v>3</v>
      </c>
      <c r="D83" s="5" t="s">
        <v>4</v>
      </c>
      <c r="E83" s="5" t="s">
        <v>4</v>
      </c>
    </row>
    <row r="84" spans="1:10" x14ac:dyDescent="0.3">
      <c r="A84" s="18"/>
      <c r="B84" s="20"/>
      <c r="C84" s="20"/>
      <c r="D84" s="3" t="s">
        <v>2</v>
      </c>
      <c r="E84" s="3" t="s">
        <v>3</v>
      </c>
    </row>
    <row r="85" spans="1:10" x14ac:dyDescent="0.3">
      <c r="A85" s="6">
        <v>0</v>
      </c>
      <c r="B85" s="2">
        <v>67997</v>
      </c>
      <c r="C85" s="2">
        <v>99.07</v>
      </c>
      <c r="D85" s="2">
        <v>67997</v>
      </c>
      <c r="E85" s="2">
        <v>99.07</v>
      </c>
      <c r="G85">
        <f t="shared" ref="G85:G86" si="42">B85</f>
        <v>67997</v>
      </c>
      <c r="H85">
        <f t="shared" ref="H85:H86" si="43">C85</f>
        <v>99.07</v>
      </c>
      <c r="J85" t="str">
        <f t="shared" ref="J85:J86" si="44">TEXT(G85,"#,##0")&amp;" ("&amp;TEXT(H85,"0.00")&amp;")"</f>
        <v>67,997 (99.07)</v>
      </c>
    </row>
    <row r="86" spans="1:10" x14ac:dyDescent="0.3">
      <c r="A86" s="6">
        <v>1</v>
      </c>
      <c r="B86" s="2">
        <v>637</v>
      </c>
      <c r="C86" s="2">
        <v>0.93</v>
      </c>
      <c r="D86" s="2">
        <v>68634</v>
      </c>
      <c r="E86" s="2">
        <v>100</v>
      </c>
      <c r="G86">
        <f t="shared" si="42"/>
        <v>637</v>
      </c>
      <c r="H86">
        <f t="shared" si="43"/>
        <v>0.93</v>
      </c>
      <c r="J86" t="str">
        <f t="shared" si="44"/>
        <v>637 (0.93)</v>
      </c>
    </row>
    <row r="87" spans="1:10" ht="17.25" thickBot="1" x14ac:dyDescent="0.35"/>
    <row r="88" spans="1:10" x14ac:dyDescent="0.3">
      <c r="A88" s="17" t="s">
        <v>19</v>
      </c>
      <c r="B88" s="19" t="s">
        <v>2</v>
      </c>
      <c r="C88" s="19" t="s">
        <v>3</v>
      </c>
      <c r="D88" s="5" t="s">
        <v>4</v>
      </c>
      <c r="E88" s="5" t="s">
        <v>4</v>
      </c>
    </row>
    <row r="89" spans="1:10" x14ac:dyDescent="0.3">
      <c r="A89" s="18"/>
      <c r="B89" s="20"/>
      <c r="C89" s="20"/>
      <c r="D89" s="3" t="s">
        <v>2</v>
      </c>
      <c r="E89" s="3" t="s">
        <v>3</v>
      </c>
    </row>
    <row r="90" spans="1:10" x14ac:dyDescent="0.3">
      <c r="A90" s="6">
        <v>0</v>
      </c>
      <c r="B90" s="2">
        <v>67433</v>
      </c>
      <c r="C90" s="2">
        <v>98.25</v>
      </c>
      <c r="D90" s="2">
        <v>67433</v>
      </c>
      <c r="E90" s="2">
        <v>98.25</v>
      </c>
      <c r="G90">
        <f t="shared" ref="G90:G91" si="45">B90</f>
        <v>67433</v>
      </c>
      <c r="H90">
        <f t="shared" ref="H90:H91" si="46">C90</f>
        <v>98.25</v>
      </c>
      <c r="J90" t="str">
        <f t="shared" ref="J90:J91" si="47">TEXT(G90,"#,##0")&amp;" ("&amp;TEXT(H90,"0.00")&amp;")"</f>
        <v>67,433 (98.25)</v>
      </c>
    </row>
    <row r="91" spans="1:10" x14ac:dyDescent="0.3">
      <c r="A91" s="6">
        <v>1</v>
      </c>
      <c r="B91" s="2">
        <v>1201</v>
      </c>
      <c r="C91" s="2">
        <v>1.75</v>
      </c>
      <c r="D91" s="2">
        <v>68634</v>
      </c>
      <c r="E91" s="2">
        <v>100</v>
      </c>
      <c r="G91">
        <f t="shared" si="45"/>
        <v>1201</v>
      </c>
      <c r="H91">
        <f t="shared" si="46"/>
        <v>1.75</v>
      </c>
      <c r="J91" t="str">
        <f t="shared" si="47"/>
        <v>1,201 (1.75)</v>
      </c>
    </row>
  </sheetData>
  <autoFilter ref="A1:A91" xr:uid="{00000000-0001-0000-0000-000000000000}"/>
  <mergeCells count="48">
    <mergeCell ref="A3:A4"/>
    <mergeCell ref="B3:B4"/>
    <mergeCell ref="C3:C4"/>
    <mergeCell ref="A9:A10"/>
    <mergeCell ref="B9:B10"/>
    <mergeCell ref="C9:C10"/>
    <mergeCell ref="A14:A15"/>
    <mergeCell ref="B14:B15"/>
    <mergeCell ref="C14:C15"/>
    <mergeCell ref="A19:A20"/>
    <mergeCell ref="B19:B20"/>
    <mergeCell ref="C19:C20"/>
    <mergeCell ref="A26:A27"/>
    <mergeCell ref="B26:B27"/>
    <mergeCell ref="C26:C27"/>
    <mergeCell ref="A33:A34"/>
    <mergeCell ref="B33:B34"/>
    <mergeCell ref="C33:C34"/>
    <mergeCell ref="A40:A41"/>
    <mergeCell ref="B40:B41"/>
    <mergeCell ref="C40:C41"/>
    <mergeCell ref="A45:A46"/>
    <mergeCell ref="B45:B46"/>
    <mergeCell ref="C45:C46"/>
    <mergeCell ref="A51:A52"/>
    <mergeCell ref="B51:B52"/>
    <mergeCell ref="C51:C52"/>
    <mergeCell ref="A57:A58"/>
    <mergeCell ref="B57:B58"/>
    <mergeCell ref="C57:C58"/>
    <mergeCell ref="A63:A64"/>
    <mergeCell ref="B63:B64"/>
    <mergeCell ref="C63:C64"/>
    <mergeCell ref="A68:A69"/>
    <mergeCell ref="B68:B69"/>
    <mergeCell ref="C68:C69"/>
    <mergeCell ref="A73:A74"/>
    <mergeCell ref="B73:B74"/>
    <mergeCell ref="C73:C74"/>
    <mergeCell ref="A78:A79"/>
    <mergeCell ref="B78:B79"/>
    <mergeCell ref="C78:C79"/>
    <mergeCell ref="A83:A84"/>
    <mergeCell ref="B83:B84"/>
    <mergeCell ref="C83:C84"/>
    <mergeCell ref="A88:A89"/>
    <mergeCell ref="B88:B89"/>
    <mergeCell ref="C88:C8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5EFCB-A9DE-45FE-85FD-2C3EC16A5463}">
  <dimension ref="A1:Q281"/>
  <sheetViews>
    <sheetView topLeftCell="A247" workbookViewId="0">
      <selection activeCell="N271" sqref="N271:Q272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17" t="s">
        <v>22</v>
      </c>
      <c r="C3" s="19"/>
      <c r="D3" s="19"/>
      <c r="E3" s="19"/>
      <c r="F3" s="19"/>
      <c r="G3" s="19"/>
    </row>
    <row r="4" spans="1:17" ht="16.5" customHeight="1" x14ac:dyDescent="0.3">
      <c r="A4" s="6" t="s">
        <v>3</v>
      </c>
      <c r="B4" s="18" t="s">
        <v>1</v>
      </c>
      <c r="C4" s="20" t="s">
        <v>23</v>
      </c>
      <c r="D4" s="20"/>
      <c r="E4" s="20"/>
      <c r="F4" s="20"/>
      <c r="G4" s="20"/>
    </row>
    <row r="5" spans="1:17" x14ac:dyDescent="0.3">
      <c r="A5" s="6" t="s">
        <v>20</v>
      </c>
      <c r="B5" s="1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18">
        <v>1</v>
      </c>
      <c r="C6" s="7">
        <v>8348</v>
      </c>
      <c r="D6" s="7">
        <v>5437</v>
      </c>
      <c r="E6" s="7">
        <v>4047</v>
      </c>
      <c r="F6" s="7">
        <v>3247</v>
      </c>
      <c r="G6" s="7">
        <v>21079</v>
      </c>
      <c r="I6">
        <f>C6</f>
        <v>8348</v>
      </c>
      <c r="J6">
        <f t="shared" ref="J6" si="0">D6</f>
        <v>5437</v>
      </c>
      <c r="K6">
        <f t="shared" ref="K6" si="1">E6</f>
        <v>4047</v>
      </c>
      <c r="L6">
        <f t="shared" ref="L6" si="2">F6</f>
        <v>3247</v>
      </c>
      <c r="N6" t="str">
        <f>TEXT(I6,"#,##0")&amp;" ("&amp;TEXT(I7,"0.00")&amp;")"</f>
        <v>8,348 (48.54)</v>
      </c>
      <c r="O6" t="str">
        <f t="shared" ref="O6" si="3">TEXT(J6,"#,##0")&amp;" ("&amp;TEXT(J7,"0.00")&amp;")"</f>
        <v>5,437 (31.80)</v>
      </c>
      <c r="P6" t="str">
        <f t="shared" ref="P6" si="4">TEXT(K6,"#,##0")&amp;" ("&amp;TEXT(K7,"0.00")&amp;")"</f>
        <v>4,047 (23.57)</v>
      </c>
      <c r="Q6" t="str">
        <f t="shared" ref="Q6" si="5">TEXT(L6,"#,##0")&amp;" ("&amp;TEXT(L7,"0.00")&amp;")"</f>
        <v>3,247 (18.92)</v>
      </c>
    </row>
    <row r="7" spans="1:17" x14ac:dyDescent="0.3">
      <c r="A7" s="2"/>
      <c r="B7" s="18"/>
      <c r="C7" s="7">
        <v>12.16</v>
      </c>
      <c r="D7" s="7">
        <v>7.92</v>
      </c>
      <c r="E7" s="7">
        <v>5.9</v>
      </c>
      <c r="F7" s="7">
        <v>4.7300000000000004</v>
      </c>
      <c r="G7" s="7">
        <v>30.71</v>
      </c>
      <c r="I7">
        <f>C9</f>
        <v>48.54</v>
      </c>
      <c r="J7">
        <f t="shared" ref="J7:J8" si="6">D9</f>
        <v>31.8</v>
      </c>
      <c r="K7">
        <f t="shared" ref="K7:K8" si="7">E9</f>
        <v>23.57</v>
      </c>
      <c r="L7">
        <f t="shared" ref="L7:L8" si="8">F9</f>
        <v>18.920000000000002</v>
      </c>
      <c r="N7" t="str">
        <f>TEXT(I8,"#,##0")&amp;" ("&amp;TEXT(I9,"0.00")&amp;")"</f>
        <v>6,762 (39.32)</v>
      </c>
      <c r="O7" t="str">
        <f t="shared" ref="O7" si="9">TEXT(J8,"#,##0")&amp;" ("&amp;TEXT(J9,"0.00")&amp;")"</f>
        <v>8,060 (47.14)</v>
      </c>
      <c r="P7" t="str">
        <f t="shared" ref="P7" si="10">TEXT(K8,"#,##0")&amp;" ("&amp;TEXT(K9,"0.00")&amp;")"</f>
        <v>8,735 (50.87)</v>
      </c>
      <c r="Q7" t="str">
        <f t="shared" ref="Q7" si="11">TEXT(L8,"#,##0")&amp;" ("&amp;TEXT(L9,"0.00")&amp;")"</f>
        <v>9,913 (57.75)</v>
      </c>
    </row>
    <row r="8" spans="1:17" x14ac:dyDescent="0.3">
      <c r="A8" s="2"/>
      <c r="B8" s="18"/>
      <c r="C8" s="7">
        <v>39.6</v>
      </c>
      <c r="D8" s="7">
        <v>25.79</v>
      </c>
      <c r="E8" s="7">
        <v>19.2</v>
      </c>
      <c r="F8" s="7">
        <v>15.4</v>
      </c>
      <c r="G8" s="7"/>
      <c r="I8">
        <f>C10</f>
        <v>6762</v>
      </c>
      <c r="J8">
        <f t="shared" si="6"/>
        <v>8060</v>
      </c>
      <c r="K8">
        <f t="shared" si="7"/>
        <v>8735</v>
      </c>
      <c r="L8">
        <f t="shared" si="8"/>
        <v>9913</v>
      </c>
      <c r="N8" t="str">
        <f>TEXT(I10,"#,##0")&amp;" ("&amp;TEXT(I11,"0.00")&amp;")"</f>
        <v>2,089 (12.15)</v>
      </c>
      <c r="O8" t="str">
        <f t="shared" ref="O8" si="12">TEXT(J10,"#,##0")&amp;" ("&amp;TEXT(J11,"0.00")&amp;")"</f>
        <v>3,602 (21.07)</v>
      </c>
      <c r="P8" t="str">
        <f t="shared" ref="P8" si="13">TEXT(K10,"#,##0")&amp;" ("&amp;TEXT(K11,"0.00")&amp;")"</f>
        <v>4,389 (25.56)</v>
      </c>
      <c r="Q8" t="str">
        <f t="shared" ref="Q8" si="14">TEXT(L10,"#,##0")&amp;" ("&amp;TEXT(L11,"0.00")&amp;")"</f>
        <v>4,005 (23.33)</v>
      </c>
    </row>
    <row r="9" spans="1:17" x14ac:dyDescent="0.3">
      <c r="A9" s="2"/>
      <c r="B9" s="18"/>
      <c r="C9" s="7">
        <v>48.54</v>
      </c>
      <c r="D9" s="7">
        <v>31.8</v>
      </c>
      <c r="E9" s="7">
        <v>23.57</v>
      </c>
      <c r="F9" s="7">
        <v>18.920000000000002</v>
      </c>
      <c r="G9" s="7"/>
      <c r="I9">
        <f>C13</f>
        <v>39.32</v>
      </c>
      <c r="J9">
        <f t="shared" ref="J9:J10" si="15">D13</f>
        <v>47.14</v>
      </c>
      <c r="K9">
        <f t="shared" ref="K9:K10" si="16">E13</f>
        <v>50.87</v>
      </c>
      <c r="L9">
        <f t="shared" ref="L9:L10" si="17">F13</f>
        <v>57.75</v>
      </c>
      <c r="N9" t="str">
        <f>TEXT(I12,"#,##0")&amp;" ("&amp;TEXT(I13,"0.00")&amp;")"</f>
        <v>17,199 (0.00)</v>
      </c>
      <c r="O9" t="str">
        <f t="shared" ref="O9" si="18">TEXT(J12,"#,##0")&amp;" ("&amp;TEXT(J13,"0.00")&amp;")"</f>
        <v>17,099 (0.00)</v>
      </c>
      <c r="P9" t="str">
        <f t="shared" ref="P9" si="19">TEXT(K12,"#,##0")&amp;" ("&amp;TEXT(K13,"0.00")&amp;")"</f>
        <v>17,171 (0.00)</v>
      </c>
      <c r="Q9" t="str">
        <f t="shared" ref="Q9" si="20">TEXT(L12,"#,##0")&amp;" ("&amp;TEXT(L13,"0.00")&amp;")"</f>
        <v>17,165 (0.00)</v>
      </c>
    </row>
    <row r="10" spans="1:17" x14ac:dyDescent="0.3">
      <c r="A10" s="2"/>
      <c r="B10" s="18">
        <v>2</v>
      </c>
      <c r="C10" s="7">
        <v>6762</v>
      </c>
      <c r="D10" s="7">
        <v>8060</v>
      </c>
      <c r="E10" s="7">
        <v>8735</v>
      </c>
      <c r="F10" s="7">
        <v>9913</v>
      </c>
      <c r="G10" s="7">
        <v>33470</v>
      </c>
      <c r="I10">
        <f>C14</f>
        <v>2089</v>
      </c>
      <c r="J10">
        <f t="shared" si="15"/>
        <v>3602</v>
      </c>
      <c r="K10">
        <f t="shared" si="16"/>
        <v>4389</v>
      </c>
      <c r="L10">
        <f t="shared" si="17"/>
        <v>4005</v>
      </c>
    </row>
    <row r="11" spans="1:17" x14ac:dyDescent="0.3">
      <c r="A11" s="2"/>
      <c r="B11" s="18"/>
      <c r="C11" s="7">
        <v>9.85</v>
      </c>
      <c r="D11" s="7">
        <v>11.74</v>
      </c>
      <c r="E11" s="7">
        <v>12.73</v>
      </c>
      <c r="F11" s="7">
        <v>14.44</v>
      </c>
      <c r="G11" s="7">
        <v>48.77</v>
      </c>
      <c r="I11">
        <f>C17</f>
        <v>12.15</v>
      </c>
      <c r="J11">
        <f t="shared" ref="J11:J12" si="21">D17</f>
        <v>21.07</v>
      </c>
      <c r="K11">
        <f t="shared" ref="K11:K12" si="22">E17</f>
        <v>25.56</v>
      </c>
      <c r="L11">
        <f t="shared" ref="L11:L12" si="23">F17</f>
        <v>23.33</v>
      </c>
    </row>
    <row r="12" spans="1:17" x14ac:dyDescent="0.3">
      <c r="A12" s="2"/>
      <c r="B12" s="18"/>
      <c r="C12" s="7">
        <v>20.2</v>
      </c>
      <c r="D12" s="7">
        <v>24.08</v>
      </c>
      <c r="E12" s="7">
        <v>26.1</v>
      </c>
      <c r="F12" s="7">
        <v>29.62</v>
      </c>
      <c r="G12" s="7"/>
      <c r="I12">
        <f>C18</f>
        <v>17199</v>
      </c>
      <c r="J12">
        <f t="shared" si="21"/>
        <v>17099</v>
      </c>
      <c r="K12">
        <f t="shared" si="22"/>
        <v>17171</v>
      </c>
      <c r="L12">
        <f t="shared" si="23"/>
        <v>17165</v>
      </c>
    </row>
    <row r="13" spans="1:17" x14ac:dyDescent="0.3">
      <c r="A13" s="2"/>
      <c r="B13" s="18"/>
      <c r="C13" s="7">
        <v>39.32</v>
      </c>
      <c r="D13" s="7">
        <v>47.14</v>
      </c>
      <c r="E13" s="7">
        <v>50.87</v>
      </c>
      <c r="F13" s="7">
        <v>57.75</v>
      </c>
      <c r="G13" s="7"/>
      <c r="I13">
        <f>C21</f>
        <v>0</v>
      </c>
      <c r="J13">
        <f t="shared" ref="J13" si="24">D21</f>
        <v>0</v>
      </c>
      <c r="K13">
        <f t="shared" ref="K13" si="25">E21</f>
        <v>0</v>
      </c>
      <c r="L13">
        <f t="shared" ref="L13" si="26">F21</f>
        <v>0</v>
      </c>
    </row>
    <row r="14" spans="1:17" x14ac:dyDescent="0.3">
      <c r="A14" s="2"/>
      <c r="B14" s="18">
        <v>3</v>
      </c>
      <c r="C14" s="7">
        <v>2089</v>
      </c>
      <c r="D14" s="7">
        <v>3602</v>
      </c>
      <c r="E14" s="7">
        <v>4389</v>
      </c>
      <c r="F14" s="7">
        <v>4005</v>
      </c>
      <c r="G14" s="7">
        <v>14085</v>
      </c>
    </row>
    <row r="15" spans="1:17" x14ac:dyDescent="0.3">
      <c r="A15" s="2"/>
      <c r="B15" s="18"/>
      <c r="C15" s="7">
        <v>3.04</v>
      </c>
      <c r="D15" s="7">
        <v>5.25</v>
      </c>
      <c r="E15" s="7">
        <v>6.39</v>
      </c>
      <c r="F15" s="7">
        <v>5.84</v>
      </c>
      <c r="G15" s="7">
        <v>20.52</v>
      </c>
    </row>
    <row r="16" spans="1:17" x14ac:dyDescent="0.3">
      <c r="A16" s="2"/>
      <c r="B16" s="18"/>
      <c r="C16" s="7">
        <v>14.83</v>
      </c>
      <c r="D16" s="7">
        <v>25.57</v>
      </c>
      <c r="E16" s="7">
        <v>31.16</v>
      </c>
      <c r="F16" s="7">
        <v>28.43</v>
      </c>
      <c r="G16" s="7"/>
    </row>
    <row r="17" spans="1:17" x14ac:dyDescent="0.3">
      <c r="A17" s="2"/>
      <c r="B17" s="18"/>
      <c r="C17" s="7">
        <v>12.15</v>
      </c>
      <c r="D17" s="7">
        <v>21.07</v>
      </c>
      <c r="E17" s="7">
        <v>25.56</v>
      </c>
      <c r="F17" s="7">
        <v>23.33</v>
      </c>
      <c r="G17" s="7"/>
    </row>
    <row r="18" spans="1:17" x14ac:dyDescent="0.3">
      <c r="A18" s="2"/>
      <c r="B18" s="18" t="s">
        <v>24</v>
      </c>
      <c r="C18" s="7">
        <v>17199</v>
      </c>
      <c r="D18" s="7">
        <v>17099</v>
      </c>
      <c r="E18" s="7">
        <v>17171</v>
      </c>
      <c r="F18" s="7">
        <v>17165</v>
      </c>
      <c r="G18" s="7">
        <v>68634</v>
      </c>
    </row>
    <row r="19" spans="1:17" x14ac:dyDescent="0.3">
      <c r="A19" s="2"/>
      <c r="B19" s="18"/>
      <c r="C19" s="7">
        <v>25.06</v>
      </c>
      <c r="D19" s="7">
        <v>24.91</v>
      </c>
      <c r="E19" s="7">
        <v>25.02</v>
      </c>
      <c r="F19" s="7">
        <v>25.01</v>
      </c>
      <c r="G19" s="7">
        <v>100</v>
      </c>
    </row>
    <row r="20" spans="1:17" x14ac:dyDescent="0.3">
      <c r="A20" s="2"/>
      <c r="B20" s="21"/>
      <c r="C20" s="21"/>
      <c r="D20" s="21"/>
      <c r="E20" s="21"/>
      <c r="F20" s="21"/>
      <c r="G20" s="21"/>
    </row>
    <row r="21" spans="1:17" ht="17.25" thickBot="1" x14ac:dyDescent="0.35"/>
    <row r="22" spans="1:17" ht="16.5" customHeight="1" x14ac:dyDescent="0.3">
      <c r="A22" s="4" t="s">
        <v>2</v>
      </c>
      <c r="B22" s="17" t="s">
        <v>25</v>
      </c>
      <c r="C22" s="19"/>
      <c r="D22" s="19"/>
      <c r="E22" s="19"/>
      <c r="F22" s="19"/>
      <c r="G22" s="19"/>
    </row>
    <row r="23" spans="1:17" ht="16.5" customHeight="1" x14ac:dyDescent="0.3">
      <c r="A23" s="6" t="s">
        <v>3</v>
      </c>
      <c r="B23" s="18" t="s">
        <v>5</v>
      </c>
      <c r="C23" s="20" t="s">
        <v>23</v>
      </c>
      <c r="D23" s="20"/>
      <c r="E23" s="20"/>
      <c r="F23" s="20"/>
      <c r="G23" s="20"/>
    </row>
    <row r="24" spans="1:17" x14ac:dyDescent="0.3">
      <c r="A24" s="6" t="s">
        <v>20</v>
      </c>
      <c r="B24" s="1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18">
        <v>1</v>
      </c>
      <c r="C25" s="7">
        <v>5346</v>
      </c>
      <c r="D25" s="7">
        <v>7583</v>
      </c>
      <c r="E25" s="7">
        <v>9087</v>
      </c>
      <c r="F25" s="7">
        <v>11184</v>
      </c>
      <c r="G25" s="7">
        <v>33200</v>
      </c>
      <c r="I25">
        <f>C25</f>
        <v>5346</v>
      </c>
      <c r="J25">
        <f t="shared" ref="J25" si="27">D25</f>
        <v>7583</v>
      </c>
      <c r="K25">
        <f t="shared" ref="K25" si="28">E25</f>
        <v>9087</v>
      </c>
      <c r="L25">
        <f t="shared" ref="L25" si="29">F25</f>
        <v>11184</v>
      </c>
      <c r="N25" t="str">
        <f>TEXT(I25,"#,##0")&amp;" ("&amp;TEXT(I26,"0.00")&amp;")"</f>
        <v>5,346 (31.08)</v>
      </c>
      <c r="O25" t="str">
        <f t="shared" ref="O25" si="30">TEXT(J25,"#,##0")&amp;" ("&amp;TEXT(J26,"0.00")&amp;")"</f>
        <v>7,583 (44.35)</v>
      </c>
      <c r="P25" t="str">
        <f t="shared" ref="P25" si="31">TEXT(K25,"#,##0")&amp;" ("&amp;TEXT(K26,"0.00")&amp;")"</f>
        <v>9,087 (52.92)</v>
      </c>
      <c r="Q25" t="str">
        <f t="shared" ref="Q25" si="32">TEXT(L25,"#,##0")&amp;" ("&amp;TEXT(L26,"0.00")&amp;")"</f>
        <v>11,184 (65.16)</v>
      </c>
    </row>
    <row r="26" spans="1:17" x14ac:dyDescent="0.3">
      <c r="A26" s="2"/>
      <c r="B26" s="18"/>
      <c r="C26" s="7">
        <v>7.79</v>
      </c>
      <c r="D26" s="7">
        <v>11.05</v>
      </c>
      <c r="E26" s="7">
        <v>13.24</v>
      </c>
      <c r="F26" s="7">
        <v>16.3</v>
      </c>
      <c r="G26" s="7">
        <v>48.37</v>
      </c>
      <c r="I26">
        <f>C28</f>
        <v>31.08</v>
      </c>
      <c r="J26">
        <f t="shared" ref="J26:J27" si="33">D28</f>
        <v>44.35</v>
      </c>
      <c r="K26">
        <f t="shared" ref="K26:K27" si="34">E28</f>
        <v>52.92</v>
      </c>
      <c r="L26">
        <f t="shared" ref="L26:L27" si="35">F28</f>
        <v>65.16</v>
      </c>
      <c r="N26" t="str">
        <f>TEXT(I27,"#,##0")&amp;" ("&amp;TEXT(I28,"0.00")&amp;")"</f>
        <v>11,853 (68.92)</v>
      </c>
      <c r="O26" t="str">
        <f t="shared" ref="O26" si="36">TEXT(J27,"#,##0")&amp;" ("&amp;TEXT(J28,"0.00")&amp;")"</f>
        <v>9,516 (55.65)</v>
      </c>
      <c r="P26" t="str">
        <f t="shared" ref="P26" si="37">TEXT(K27,"#,##0")&amp;" ("&amp;TEXT(K28,"0.00")&amp;")"</f>
        <v>8,084 (47.08)</v>
      </c>
      <c r="Q26" t="str">
        <f t="shared" ref="Q26" si="38">TEXT(L27,"#,##0")&amp;" ("&amp;TEXT(L28,"0.00")&amp;")"</f>
        <v>5,981 (34.84)</v>
      </c>
    </row>
    <row r="27" spans="1:17" x14ac:dyDescent="0.3">
      <c r="A27" s="2"/>
      <c r="B27" s="18"/>
      <c r="C27" s="7">
        <v>16.100000000000001</v>
      </c>
      <c r="D27" s="7">
        <v>22.84</v>
      </c>
      <c r="E27" s="7">
        <v>27.37</v>
      </c>
      <c r="F27" s="7">
        <v>33.69</v>
      </c>
      <c r="G27" s="7"/>
      <c r="I27">
        <f>C29</f>
        <v>11853</v>
      </c>
      <c r="J27">
        <f t="shared" si="33"/>
        <v>9516</v>
      </c>
      <c r="K27">
        <f t="shared" si="34"/>
        <v>8084</v>
      </c>
      <c r="L27">
        <f t="shared" si="35"/>
        <v>5981</v>
      </c>
      <c r="N27" t="str">
        <f>TEXT(I29,"#,##0")&amp;" ("&amp;TEXT(I30,"0.00")&amp;")"</f>
        <v>17,199 (0.00)</v>
      </c>
      <c r="O27" t="str">
        <f t="shared" ref="O27" si="39">TEXT(J29,"#,##0")&amp;" ("&amp;TEXT(J30,"0.00")&amp;")"</f>
        <v>17,099 (0.00)</v>
      </c>
      <c r="P27" t="str">
        <f t="shared" ref="P27" si="40">TEXT(K29,"#,##0")&amp;" ("&amp;TEXT(K30,"0.00")&amp;")"</f>
        <v>17,171 (0.00)</v>
      </c>
      <c r="Q27" t="str">
        <f t="shared" ref="Q27" si="41">TEXT(L29,"#,##0")&amp;" ("&amp;TEXT(L30,"0.00")&amp;")"</f>
        <v>17,165 (0.00)</v>
      </c>
    </row>
    <row r="28" spans="1:17" x14ac:dyDescent="0.3">
      <c r="A28" s="2"/>
      <c r="B28" s="18"/>
      <c r="C28" s="7">
        <v>31.08</v>
      </c>
      <c r="D28" s="7">
        <v>44.35</v>
      </c>
      <c r="E28" s="7">
        <v>52.92</v>
      </c>
      <c r="F28" s="7">
        <v>65.16</v>
      </c>
      <c r="G28" s="7"/>
      <c r="I28">
        <f>C32</f>
        <v>68.92</v>
      </c>
      <c r="J28">
        <f t="shared" ref="J28:J29" si="42">D32</f>
        <v>55.65</v>
      </c>
      <c r="K28">
        <f t="shared" ref="K28:K29" si="43">E32</f>
        <v>47.08</v>
      </c>
      <c r="L28">
        <f t="shared" ref="L28:L29" si="44">F32</f>
        <v>34.840000000000003</v>
      </c>
      <c r="N28" t="str">
        <f>TEXT(I31,"#,##0")&amp;" ("&amp;TEXT(I32,"0.00")&amp;")"</f>
        <v>0 (14399.00)</v>
      </c>
      <c r="O28" t="str">
        <f t="shared" ref="O28" si="45">TEXT(J31,"#,##0")&amp;" ("&amp;TEXT(J32,"0.00")&amp;")"</f>
        <v>0 (13832.00)</v>
      </c>
      <c r="P28" t="str">
        <f t="shared" ref="P28" si="46">TEXT(K31,"#,##0")&amp;" ("&amp;TEXT(K32,"0.00")&amp;")"</f>
        <v>0 (13616.00)</v>
      </c>
      <c r="Q28" t="str">
        <f t="shared" ref="Q28" si="47">TEXT(L31,"#,##0")&amp;" ("&amp;TEXT(L32,"0.00")&amp;")"</f>
        <v>0 (13329.00)</v>
      </c>
    </row>
    <row r="29" spans="1:17" x14ac:dyDescent="0.3">
      <c r="A29" s="2"/>
      <c r="B29" s="18">
        <v>2</v>
      </c>
      <c r="C29" s="7">
        <v>11853</v>
      </c>
      <c r="D29" s="7">
        <v>9516</v>
      </c>
      <c r="E29" s="7">
        <v>8084</v>
      </c>
      <c r="F29" s="7">
        <v>5981</v>
      </c>
      <c r="G29" s="7">
        <v>35434</v>
      </c>
      <c r="I29">
        <f>C33</f>
        <v>17199</v>
      </c>
      <c r="J29">
        <f t="shared" si="42"/>
        <v>17099</v>
      </c>
      <c r="K29">
        <f t="shared" si="43"/>
        <v>17171</v>
      </c>
      <c r="L29">
        <f t="shared" si="44"/>
        <v>17165</v>
      </c>
    </row>
    <row r="30" spans="1:17" x14ac:dyDescent="0.3">
      <c r="A30" s="2"/>
      <c r="B30" s="18"/>
      <c r="C30" s="7">
        <v>17.27</v>
      </c>
      <c r="D30" s="7">
        <v>13.86</v>
      </c>
      <c r="E30" s="7">
        <v>11.78</v>
      </c>
      <c r="F30" s="7">
        <v>8.7100000000000009</v>
      </c>
      <c r="G30" s="7">
        <v>51.63</v>
      </c>
      <c r="I30">
        <f>C36</f>
        <v>0</v>
      </c>
      <c r="J30">
        <f t="shared" ref="J30:J31" si="48">D36</f>
        <v>0</v>
      </c>
      <c r="K30">
        <f t="shared" ref="K30:K31" si="49">E36</f>
        <v>0</v>
      </c>
      <c r="L30">
        <f t="shared" ref="L30:L31" si="50">F36</f>
        <v>0</v>
      </c>
    </row>
    <row r="31" spans="1:17" x14ac:dyDescent="0.3">
      <c r="A31" s="2"/>
      <c r="B31" s="18"/>
      <c r="C31" s="7">
        <v>33.450000000000003</v>
      </c>
      <c r="D31" s="7">
        <v>26.86</v>
      </c>
      <c r="E31" s="7">
        <v>22.81</v>
      </c>
      <c r="F31" s="7">
        <v>16.88</v>
      </c>
      <c r="G31" s="7"/>
      <c r="I31">
        <f>C37</f>
        <v>0</v>
      </c>
      <c r="J31">
        <f t="shared" si="48"/>
        <v>0</v>
      </c>
      <c r="K31">
        <f t="shared" si="49"/>
        <v>0</v>
      </c>
      <c r="L31">
        <f t="shared" si="50"/>
        <v>0</v>
      </c>
    </row>
    <row r="32" spans="1:17" x14ac:dyDescent="0.3">
      <c r="A32" s="2"/>
      <c r="B32" s="18"/>
      <c r="C32" s="7">
        <v>68.92</v>
      </c>
      <c r="D32" s="7">
        <v>55.65</v>
      </c>
      <c r="E32" s="7">
        <v>47.08</v>
      </c>
      <c r="F32" s="7">
        <v>34.840000000000003</v>
      </c>
      <c r="G32" s="7"/>
      <c r="I32">
        <f>C40</f>
        <v>14399</v>
      </c>
      <c r="J32">
        <f t="shared" ref="J32" si="51">D40</f>
        <v>13832</v>
      </c>
      <c r="K32">
        <f t="shared" ref="K32" si="52">E40</f>
        <v>13616</v>
      </c>
      <c r="L32">
        <f t="shared" ref="L32" si="53">F40</f>
        <v>13329</v>
      </c>
    </row>
    <row r="33" spans="1:17" x14ac:dyDescent="0.3">
      <c r="A33" s="2"/>
      <c r="B33" s="18" t="s">
        <v>24</v>
      </c>
      <c r="C33" s="7">
        <v>17199</v>
      </c>
      <c r="D33" s="7">
        <v>17099</v>
      </c>
      <c r="E33" s="7">
        <v>17171</v>
      </c>
      <c r="F33" s="7">
        <v>17165</v>
      </c>
      <c r="G33" s="7">
        <v>68634</v>
      </c>
    </row>
    <row r="34" spans="1:17" x14ac:dyDescent="0.3">
      <c r="A34" s="2"/>
      <c r="B34" s="18"/>
      <c r="C34" s="7">
        <v>25.06</v>
      </c>
      <c r="D34" s="7">
        <v>24.91</v>
      </c>
      <c r="E34" s="7">
        <v>25.02</v>
      </c>
      <c r="F34" s="7">
        <v>25.01</v>
      </c>
      <c r="G34" s="7">
        <v>100</v>
      </c>
    </row>
    <row r="35" spans="1:17" x14ac:dyDescent="0.3">
      <c r="A35" s="2"/>
      <c r="B35" s="21"/>
      <c r="C35" s="21"/>
      <c r="D35" s="21"/>
      <c r="E35" s="21"/>
      <c r="F35" s="21"/>
      <c r="G35" s="21"/>
    </row>
    <row r="36" spans="1:17" ht="17.25" thickBot="1" x14ac:dyDescent="0.35"/>
    <row r="37" spans="1:17" ht="16.5" customHeight="1" x14ac:dyDescent="0.3">
      <c r="A37" s="4" t="s">
        <v>2</v>
      </c>
      <c r="B37" s="17" t="s">
        <v>26</v>
      </c>
      <c r="C37" s="19"/>
      <c r="D37" s="19"/>
      <c r="E37" s="19"/>
      <c r="F37" s="19"/>
      <c r="G37" s="19"/>
    </row>
    <row r="38" spans="1:17" ht="16.5" customHeight="1" x14ac:dyDescent="0.3">
      <c r="A38" s="6" t="s">
        <v>3</v>
      </c>
      <c r="B38" s="18" t="s">
        <v>6</v>
      </c>
      <c r="C38" s="20" t="s">
        <v>23</v>
      </c>
      <c r="D38" s="20"/>
      <c r="E38" s="20"/>
      <c r="F38" s="20"/>
      <c r="G38" s="20"/>
    </row>
    <row r="39" spans="1:17" x14ac:dyDescent="0.3">
      <c r="A39" s="6" t="s">
        <v>20</v>
      </c>
      <c r="B39" s="1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18">
        <v>1</v>
      </c>
      <c r="C40" s="7">
        <v>14399</v>
      </c>
      <c r="D40" s="7">
        <v>13832</v>
      </c>
      <c r="E40" s="7">
        <v>13616</v>
      </c>
      <c r="F40" s="7">
        <v>13329</v>
      </c>
      <c r="G40" s="7">
        <v>55176</v>
      </c>
      <c r="I40">
        <f>C40</f>
        <v>14399</v>
      </c>
      <c r="J40">
        <f t="shared" ref="J40" si="54">D40</f>
        <v>13832</v>
      </c>
      <c r="K40">
        <f t="shared" ref="K40" si="55">E40</f>
        <v>13616</v>
      </c>
      <c r="L40">
        <f t="shared" ref="L40" si="56">F40</f>
        <v>13329</v>
      </c>
      <c r="N40" t="str">
        <f>TEXT(I40,"#,##0")&amp;" ("&amp;TEXT(I41,"0.00")&amp;")"</f>
        <v>14,399 (83.72)</v>
      </c>
      <c r="O40" t="str">
        <f t="shared" ref="O40" si="57">TEXT(J40,"#,##0")&amp;" ("&amp;TEXT(J41,"0.00")&amp;")"</f>
        <v>13,832 (80.89)</v>
      </c>
      <c r="P40" t="str">
        <f t="shared" ref="P40" si="58">TEXT(K40,"#,##0")&amp;" ("&amp;TEXT(K41,"0.00")&amp;")"</f>
        <v>13,616 (79.30)</v>
      </c>
      <c r="Q40" t="str">
        <f t="shared" ref="Q40" si="59">TEXT(L40,"#,##0")&amp;" ("&amp;TEXT(L41,"0.00")&amp;")"</f>
        <v>13,329 (77.65)</v>
      </c>
    </row>
    <row r="41" spans="1:17" x14ac:dyDescent="0.3">
      <c r="A41" s="2"/>
      <c r="B41" s="18"/>
      <c r="C41" s="7">
        <v>20.98</v>
      </c>
      <c r="D41" s="7">
        <v>20.149999999999999</v>
      </c>
      <c r="E41" s="7">
        <v>19.84</v>
      </c>
      <c r="F41" s="7">
        <v>19.420000000000002</v>
      </c>
      <c r="G41" s="7">
        <v>80.39</v>
      </c>
      <c r="I41">
        <f>C43</f>
        <v>83.72</v>
      </c>
      <c r="J41">
        <f t="shared" ref="J41:J42" si="60">D43</f>
        <v>80.89</v>
      </c>
      <c r="K41">
        <f t="shared" ref="K41:K42" si="61">E43</f>
        <v>79.3</v>
      </c>
      <c r="L41">
        <f t="shared" ref="L41:L42" si="62">F43</f>
        <v>77.650000000000006</v>
      </c>
      <c r="N41" t="str">
        <f>TEXT(I42,"#,##0")&amp;" ("&amp;TEXT(I43,"0.00")&amp;")"</f>
        <v>2,800 (16.28)</v>
      </c>
      <c r="O41" t="str">
        <f t="shared" ref="O41" si="63">TEXT(J42,"#,##0")&amp;" ("&amp;TEXT(J43,"0.00")&amp;")"</f>
        <v>3,267 (19.11)</v>
      </c>
      <c r="P41" t="str">
        <f t="shared" ref="P41" si="64">TEXT(K42,"#,##0")&amp;" ("&amp;TEXT(K43,"0.00")&amp;")"</f>
        <v>3,555 (20.70)</v>
      </c>
      <c r="Q41" t="str">
        <f t="shared" ref="Q41" si="65">TEXT(L42,"#,##0")&amp;" ("&amp;TEXT(L43,"0.00")&amp;")"</f>
        <v>3,836 (22.35)</v>
      </c>
    </row>
    <row r="42" spans="1:17" x14ac:dyDescent="0.3">
      <c r="A42" s="2"/>
      <c r="B42" s="18"/>
      <c r="C42" s="7">
        <v>26.1</v>
      </c>
      <c r="D42" s="7">
        <v>25.07</v>
      </c>
      <c r="E42" s="7">
        <v>24.68</v>
      </c>
      <c r="F42" s="7">
        <v>24.16</v>
      </c>
      <c r="G42" s="7"/>
      <c r="I42">
        <f>C44</f>
        <v>2800</v>
      </c>
      <c r="J42">
        <f t="shared" si="60"/>
        <v>3267</v>
      </c>
      <c r="K42">
        <f t="shared" si="61"/>
        <v>3555</v>
      </c>
      <c r="L42">
        <f t="shared" si="62"/>
        <v>3836</v>
      </c>
      <c r="N42" t="str">
        <f>TEXT(I44,"#,##0")&amp;" ("&amp;TEXT(I45,"0.00")&amp;")"</f>
        <v>17,199 (0.00)</v>
      </c>
      <c r="O42" t="str">
        <f t="shared" ref="O42" si="66">TEXT(J44,"#,##0")&amp;" ("&amp;TEXT(J45,"0.00")&amp;")"</f>
        <v>17,099 (0.00)</v>
      </c>
      <c r="P42" t="str">
        <f t="shared" ref="P42" si="67">TEXT(K44,"#,##0")&amp;" ("&amp;TEXT(K45,"0.00")&amp;")"</f>
        <v>17,171 (0.00)</v>
      </c>
      <c r="Q42" t="str">
        <f t="shared" ref="Q42" si="68">TEXT(L44,"#,##0")&amp;" ("&amp;TEXT(L45,"0.00")&amp;")"</f>
        <v>17,165 (0.00)</v>
      </c>
    </row>
    <row r="43" spans="1:17" x14ac:dyDescent="0.3">
      <c r="A43" s="2"/>
      <c r="B43" s="18"/>
      <c r="C43" s="7">
        <v>83.72</v>
      </c>
      <c r="D43" s="7">
        <v>80.89</v>
      </c>
      <c r="E43" s="7">
        <v>79.3</v>
      </c>
      <c r="F43" s="7">
        <v>77.650000000000006</v>
      </c>
      <c r="G43" s="7"/>
      <c r="I43">
        <f>C47</f>
        <v>16.28</v>
      </c>
      <c r="J43">
        <f t="shared" ref="J43:J44" si="69">D47</f>
        <v>19.11</v>
      </c>
      <c r="K43">
        <f t="shared" ref="K43:K44" si="70">E47</f>
        <v>20.7</v>
      </c>
      <c r="L43">
        <f t="shared" ref="L43:L44" si="71">F47</f>
        <v>22.35</v>
      </c>
      <c r="N43" t="str">
        <f>TEXT(I46,"#,##0")&amp;" ("&amp;TEXT(I47,"0.00")&amp;")"</f>
        <v>0 (1329.00)</v>
      </c>
      <c r="O43" t="str">
        <f t="shared" ref="O43" si="72">TEXT(J46,"#,##0")&amp;" ("&amp;TEXT(J47,"0.00")&amp;")"</f>
        <v>0 (2236.00)</v>
      </c>
      <c r="P43" t="str">
        <f t="shared" ref="P43" si="73">TEXT(K46,"#,##0")&amp;" ("&amp;TEXT(K47,"0.00")&amp;")"</f>
        <v>0 (2840.00)</v>
      </c>
      <c r="Q43" t="str">
        <f t="shared" ref="Q43" si="74">TEXT(L46,"#,##0")&amp;" ("&amp;TEXT(L47,"0.00")&amp;")"</f>
        <v>0 (2794.00)</v>
      </c>
    </row>
    <row r="44" spans="1:17" x14ac:dyDescent="0.3">
      <c r="A44" s="2"/>
      <c r="B44" s="18">
        <v>2</v>
      </c>
      <c r="C44" s="7">
        <v>2800</v>
      </c>
      <c r="D44" s="7">
        <v>3267</v>
      </c>
      <c r="E44" s="7">
        <v>3555</v>
      </c>
      <c r="F44" s="7">
        <v>3836</v>
      </c>
      <c r="G44" s="7">
        <v>13458</v>
      </c>
      <c r="I44">
        <f>C48</f>
        <v>17199</v>
      </c>
      <c r="J44">
        <f t="shared" si="69"/>
        <v>17099</v>
      </c>
      <c r="K44">
        <f t="shared" si="70"/>
        <v>17171</v>
      </c>
      <c r="L44">
        <f t="shared" si="71"/>
        <v>17165</v>
      </c>
    </row>
    <row r="45" spans="1:17" x14ac:dyDescent="0.3">
      <c r="A45" s="2"/>
      <c r="B45" s="18"/>
      <c r="C45" s="7">
        <v>4.08</v>
      </c>
      <c r="D45" s="7">
        <v>4.76</v>
      </c>
      <c r="E45" s="7">
        <v>5.18</v>
      </c>
      <c r="F45" s="7">
        <v>5.59</v>
      </c>
      <c r="G45" s="7">
        <v>19.61</v>
      </c>
      <c r="I45">
        <f>C51</f>
        <v>0</v>
      </c>
      <c r="J45">
        <f t="shared" ref="J45:J46" si="75">D51</f>
        <v>0</v>
      </c>
      <c r="K45">
        <f t="shared" ref="K45:K46" si="76">E51</f>
        <v>0</v>
      </c>
      <c r="L45">
        <f t="shared" ref="L45:L46" si="77">F51</f>
        <v>0</v>
      </c>
    </row>
    <row r="46" spans="1:17" x14ac:dyDescent="0.3">
      <c r="A46" s="2"/>
      <c r="B46" s="18"/>
      <c r="C46" s="7">
        <v>20.81</v>
      </c>
      <c r="D46" s="7">
        <v>24.28</v>
      </c>
      <c r="E46" s="7">
        <v>26.42</v>
      </c>
      <c r="F46" s="7">
        <v>28.5</v>
      </c>
      <c r="G46" s="7"/>
      <c r="I46">
        <f>C52</f>
        <v>0</v>
      </c>
      <c r="J46">
        <f t="shared" si="75"/>
        <v>0</v>
      </c>
      <c r="K46">
        <f t="shared" si="76"/>
        <v>0</v>
      </c>
      <c r="L46">
        <f t="shared" si="77"/>
        <v>0</v>
      </c>
    </row>
    <row r="47" spans="1:17" x14ac:dyDescent="0.3">
      <c r="A47" s="2"/>
      <c r="B47" s="18"/>
      <c r="C47" s="7">
        <v>16.28</v>
      </c>
      <c r="D47" s="7">
        <v>19.11</v>
      </c>
      <c r="E47" s="7">
        <v>20.7</v>
      </c>
      <c r="F47" s="7">
        <v>22.35</v>
      </c>
      <c r="G47" s="7"/>
      <c r="I47">
        <f>C55</f>
        <v>1329</v>
      </c>
      <c r="J47">
        <f t="shared" ref="J47" si="78">D55</f>
        <v>2236</v>
      </c>
      <c r="K47">
        <f t="shared" ref="K47" si="79">E55</f>
        <v>2840</v>
      </c>
      <c r="L47">
        <f t="shared" ref="L47" si="80">F55</f>
        <v>2794</v>
      </c>
    </row>
    <row r="48" spans="1:17" x14ac:dyDescent="0.3">
      <c r="A48" s="2"/>
      <c r="B48" s="18" t="s">
        <v>24</v>
      </c>
      <c r="C48" s="7">
        <v>17199</v>
      </c>
      <c r="D48" s="7">
        <v>17099</v>
      </c>
      <c r="E48" s="7">
        <v>17171</v>
      </c>
      <c r="F48" s="7">
        <v>17165</v>
      </c>
      <c r="G48" s="7">
        <v>68634</v>
      </c>
    </row>
    <row r="49" spans="1:17" x14ac:dyDescent="0.3">
      <c r="A49" s="2"/>
      <c r="B49" s="18"/>
      <c r="C49" s="7">
        <v>25.06</v>
      </c>
      <c r="D49" s="7">
        <v>24.91</v>
      </c>
      <c r="E49" s="7">
        <v>25.02</v>
      </c>
      <c r="F49" s="7">
        <v>25.01</v>
      </c>
      <c r="G49" s="7">
        <v>100</v>
      </c>
    </row>
    <row r="50" spans="1:17" x14ac:dyDescent="0.3">
      <c r="A50" s="2"/>
      <c r="B50" s="21"/>
      <c r="C50" s="21"/>
      <c r="D50" s="21"/>
      <c r="E50" s="21"/>
      <c r="F50" s="21"/>
      <c r="G50" s="21"/>
    </row>
    <row r="51" spans="1:17" ht="17.25" thickBot="1" x14ac:dyDescent="0.35"/>
    <row r="52" spans="1:17" ht="16.5" customHeight="1" x14ac:dyDescent="0.3">
      <c r="A52" s="4" t="s">
        <v>2</v>
      </c>
      <c r="B52" s="17" t="s">
        <v>27</v>
      </c>
      <c r="C52" s="19"/>
      <c r="D52" s="19"/>
      <c r="E52" s="19"/>
      <c r="F52" s="19"/>
      <c r="G52" s="19"/>
    </row>
    <row r="53" spans="1:17" ht="16.5" customHeight="1" x14ac:dyDescent="0.3">
      <c r="A53" s="6" t="s">
        <v>3</v>
      </c>
      <c r="B53" s="18" t="s">
        <v>7</v>
      </c>
      <c r="C53" s="20" t="s">
        <v>23</v>
      </c>
      <c r="D53" s="20"/>
      <c r="E53" s="20"/>
      <c r="F53" s="20"/>
      <c r="G53" s="20"/>
    </row>
    <row r="54" spans="1:17" x14ac:dyDescent="0.3">
      <c r="A54" s="6" t="s">
        <v>20</v>
      </c>
      <c r="B54" s="1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18">
        <v>1</v>
      </c>
      <c r="C55" s="7">
        <v>1329</v>
      </c>
      <c r="D55" s="7">
        <v>2236</v>
      </c>
      <c r="E55" s="7">
        <v>2840</v>
      </c>
      <c r="F55" s="7">
        <v>2794</v>
      </c>
      <c r="G55" s="7">
        <v>9199</v>
      </c>
      <c r="I55">
        <f>C55</f>
        <v>1329</v>
      </c>
      <c r="J55">
        <f t="shared" ref="J55" si="81">D55</f>
        <v>2236</v>
      </c>
      <c r="K55">
        <f t="shared" ref="K55" si="82">E55</f>
        <v>2840</v>
      </c>
      <c r="L55">
        <f t="shared" ref="L55" si="83">F55</f>
        <v>2794</v>
      </c>
      <c r="N55" t="str">
        <f>TEXT(I55,"#,##0")&amp;" ("&amp;TEXT(I56,"0.00")&amp;")"</f>
        <v>1,329 (7.73)</v>
      </c>
      <c r="O55" t="str">
        <f t="shared" ref="O55" si="84">TEXT(J55,"#,##0")&amp;" ("&amp;TEXT(J56,"0.00")&amp;")"</f>
        <v>2,236 (13.08)</v>
      </c>
      <c r="P55" t="str">
        <f t="shared" ref="P55" si="85">TEXT(K55,"#,##0")&amp;" ("&amp;TEXT(K56,"0.00")&amp;")"</f>
        <v>2,840 (16.54)</v>
      </c>
      <c r="Q55" t="str">
        <f t="shared" ref="Q55" si="86">TEXT(L55,"#,##0")&amp;" ("&amp;TEXT(L56,"0.00")&amp;")"</f>
        <v>2,794 (16.28)</v>
      </c>
    </row>
    <row r="56" spans="1:17" x14ac:dyDescent="0.3">
      <c r="A56" s="2"/>
      <c r="B56" s="18"/>
      <c r="C56" s="7">
        <v>1.94</v>
      </c>
      <c r="D56" s="7">
        <v>3.26</v>
      </c>
      <c r="E56" s="7">
        <v>4.1399999999999997</v>
      </c>
      <c r="F56" s="7">
        <v>4.07</v>
      </c>
      <c r="G56" s="7">
        <v>13.4</v>
      </c>
      <c r="I56">
        <f>C58</f>
        <v>7.73</v>
      </c>
      <c r="J56">
        <f t="shared" ref="J56:J57" si="87">D58</f>
        <v>13.08</v>
      </c>
      <c r="K56">
        <f t="shared" ref="K56:K57" si="88">E58</f>
        <v>16.54</v>
      </c>
      <c r="L56">
        <f t="shared" ref="L56:L57" si="89">F58</f>
        <v>16.28</v>
      </c>
      <c r="N56" t="str">
        <f>TEXT(I57,"#,##0")&amp;" ("&amp;TEXT(I58,"0.00")&amp;")"</f>
        <v>1,316 (7.65)</v>
      </c>
      <c r="O56" t="str">
        <f t="shared" ref="O56" si="90">TEXT(J57,"#,##0")&amp;" ("&amp;TEXT(J58,"0.00")&amp;")"</f>
        <v>1,881 (11.00)</v>
      </c>
      <c r="P56" t="str">
        <f t="shared" ref="P56" si="91">TEXT(K57,"#,##0")&amp;" ("&amp;TEXT(K58,"0.00")&amp;")"</f>
        <v>2,326 (13.55)</v>
      </c>
      <c r="Q56" t="str">
        <f t="shared" ref="Q56" si="92">TEXT(L57,"#,##0")&amp;" ("&amp;TEXT(L58,"0.00")&amp;")"</f>
        <v>2,413 (14.06)</v>
      </c>
    </row>
    <row r="57" spans="1:17" x14ac:dyDescent="0.3">
      <c r="A57" s="2"/>
      <c r="B57" s="18"/>
      <c r="C57" s="7">
        <v>14.45</v>
      </c>
      <c r="D57" s="7">
        <v>24.31</v>
      </c>
      <c r="E57" s="7">
        <v>30.87</v>
      </c>
      <c r="F57" s="7">
        <v>30.37</v>
      </c>
      <c r="G57" s="7"/>
      <c r="I57">
        <f>C59</f>
        <v>1316</v>
      </c>
      <c r="J57">
        <f t="shared" si="87"/>
        <v>1881</v>
      </c>
      <c r="K57">
        <f t="shared" si="88"/>
        <v>2326</v>
      </c>
      <c r="L57">
        <f t="shared" si="89"/>
        <v>2413</v>
      </c>
      <c r="N57" t="str">
        <f>TEXT(I59,"#,##0")&amp;" ("&amp;TEXT(I60,"0.00")&amp;")"</f>
        <v>3,850 (22.39)</v>
      </c>
      <c r="O57" t="str">
        <f t="shared" ref="O57" si="93">TEXT(J59,"#,##0")&amp;" ("&amp;TEXT(J60,"0.00")&amp;")"</f>
        <v>4,488 (26.25)</v>
      </c>
      <c r="P57" t="str">
        <f t="shared" ref="P57" si="94">TEXT(K59,"#,##0")&amp;" ("&amp;TEXT(K60,"0.00")&amp;")"</f>
        <v>4,512 (26.28)</v>
      </c>
      <c r="Q57" t="str">
        <f t="shared" ref="Q57" si="95">TEXT(L59,"#,##0")&amp;" ("&amp;TEXT(L60,"0.00")&amp;")"</f>
        <v>4,908 (28.59)</v>
      </c>
    </row>
    <row r="58" spans="1:17" x14ac:dyDescent="0.3">
      <c r="A58" s="2"/>
      <c r="B58" s="18"/>
      <c r="C58" s="7">
        <v>7.73</v>
      </c>
      <c r="D58" s="7">
        <v>13.08</v>
      </c>
      <c r="E58" s="7">
        <v>16.54</v>
      </c>
      <c r="F58" s="7">
        <v>16.28</v>
      </c>
      <c r="G58" s="7"/>
      <c r="I58">
        <f>C62</f>
        <v>7.65</v>
      </c>
      <c r="J58">
        <f t="shared" ref="J58:J59" si="96">D62</f>
        <v>11</v>
      </c>
      <c r="K58">
        <f t="shared" ref="K58:K59" si="97">E62</f>
        <v>13.55</v>
      </c>
      <c r="L58">
        <f t="shared" ref="L58:L59" si="98">F62</f>
        <v>14.06</v>
      </c>
      <c r="N58" t="str">
        <f>TEXT(I61,"#,##0")&amp;" ("&amp;TEXT(I62,"0.00")&amp;")"</f>
        <v>10,704 (62.24)</v>
      </c>
      <c r="O58" t="str">
        <f t="shared" ref="O58:Q58" si="99">TEXT(J61,"#,##0")&amp;" ("&amp;TEXT(J62,"0.00")&amp;")"</f>
        <v>8,494 (49.68)</v>
      </c>
      <c r="P58" t="str">
        <f t="shared" si="99"/>
        <v>7,493 (43.64)</v>
      </c>
      <c r="Q58" t="str">
        <f t="shared" si="99"/>
        <v>7,050 (41.07)</v>
      </c>
    </row>
    <row r="59" spans="1:17" x14ac:dyDescent="0.3">
      <c r="A59" s="2"/>
      <c r="B59" s="18">
        <v>2</v>
      </c>
      <c r="C59" s="7">
        <v>1316</v>
      </c>
      <c r="D59" s="7">
        <v>1881</v>
      </c>
      <c r="E59" s="7">
        <v>2326</v>
      </c>
      <c r="F59" s="7">
        <v>2413</v>
      </c>
      <c r="G59" s="7">
        <v>7936</v>
      </c>
      <c r="I59">
        <f>C63</f>
        <v>3850</v>
      </c>
      <c r="J59">
        <f t="shared" si="96"/>
        <v>4488</v>
      </c>
      <c r="K59">
        <f t="shared" si="97"/>
        <v>4512</v>
      </c>
      <c r="L59">
        <f t="shared" si="98"/>
        <v>4908</v>
      </c>
    </row>
    <row r="60" spans="1:17" x14ac:dyDescent="0.3">
      <c r="A60" s="2"/>
      <c r="B60" s="18"/>
      <c r="C60" s="7">
        <v>1.92</v>
      </c>
      <c r="D60" s="7">
        <v>2.74</v>
      </c>
      <c r="E60" s="7">
        <v>3.39</v>
      </c>
      <c r="F60" s="7">
        <v>3.52</v>
      </c>
      <c r="G60" s="7">
        <v>11.56</v>
      </c>
      <c r="I60">
        <f>C66</f>
        <v>22.39</v>
      </c>
      <c r="J60">
        <f t="shared" ref="J60:J61" si="100">D66</f>
        <v>26.25</v>
      </c>
      <c r="K60">
        <f t="shared" ref="K60:K61" si="101">E66</f>
        <v>26.28</v>
      </c>
      <c r="L60">
        <f t="shared" ref="L60:L61" si="102">F66</f>
        <v>28.59</v>
      </c>
    </row>
    <row r="61" spans="1:17" x14ac:dyDescent="0.3">
      <c r="A61" s="2"/>
      <c r="B61" s="18"/>
      <c r="C61" s="7">
        <v>16.579999999999998</v>
      </c>
      <c r="D61" s="7">
        <v>23.7</v>
      </c>
      <c r="E61" s="7">
        <v>29.31</v>
      </c>
      <c r="F61" s="7">
        <v>30.41</v>
      </c>
      <c r="G61" s="7"/>
      <c r="I61">
        <f>C67</f>
        <v>10704</v>
      </c>
      <c r="J61">
        <f t="shared" si="100"/>
        <v>8494</v>
      </c>
      <c r="K61">
        <f t="shared" si="101"/>
        <v>7493</v>
      </c>
      <c r="L61">
        <f t="shared" si="102"/>
        <v>7050</v>
      </c>
    </row>
    <row r="62" spans="1:17" x14ac:dyDescent="0.3">
      <c r="A62" s="2"/>
      <c r="B62" s="18"/>
      <c r="C62" s="7">
        <v>7.65</v>
      </c>
      <c r="D62" s="7">
        <v>11</v>
      </c>
      <c r="E62" s="7">
        <v>13.55</v>
      </c>
      <c r="F62" s="7">
        <v>14.06</v>
      </c>
      <c r="G62" s="7"/>
      <c r="I62">
        <f>C70</f>
        <v>62.24</v>
      </c>
      <c r="J62">
        <f t="shared" ref="J62:L62" si="103">D70</f>
        <v>49.68</v>
      </c>
      <c r="K62">
        <f t="shared" si="103"/>
        <v>43.64</v>
      </c>
      <c r="L62">
        <f t="shared" si="103"/>
        <v>41.07</v>
      </c>
    </row>
    <row r="63" spans="1:17" x14ac:dyDescent="0.3">
      <c r="A63" s="2"/>
      <c r="B63" s="18">
        <v>3</v>
      </c>
      <c r="C63" s="7">
        <v>3850</v>
      </c>
      <c r="D63" s="7">
        <v>4488</v>
      </c>
      <c r="E63" s="7">
        <v>4512</v>
      </c>
      <c r="F63" s="7">
        <v>4908</v>
      </c>
      <c r="G63" s="7">
        <v>17758</v>
      </c>
    </row>
    <row r="64" spans="1:17" x14ac:dyDescent="0.3">
      <c r="A64" s="2"/>
      <c r="B64" s="18"/>
      <c r="C64" s="7">
        <v>5.61</v>
      </c>
      <c r="D64" s="7">
        <v>6.54</v>
      </c>
      <c r="E64" s="7">
        <v>6.57</v>
      </c>
      <c r="F64" s="7">
        <v>7.15</v>
      </c>
      <c r="G64" s="7">
        <v>25.87</v>
      </c>
    </row>
    <row r="65" spans="1:17" x14ac:dyDescent="0.3">
      <c r="A65" s="2"/>
      <c r="B65" s="18"/>
      <c r="C65" s="7">
        <v>21.68</v>
      </c>
      <c r="D65" s="7">
        <v>25.27</v>
      </c>
      <c r="E65" s="7">
        <v>25.41</v>
      </c>
      <c r="F65" s="7">
        <v>27.64</v>
      </c>
      <c r="G65" s="7"/>
    </row>
    <row r="66" spans="1:17" x14ac:dyDescent="0.3">
      <c r="A66" s="2"/>
      <c r="B66" s="18"/>
      <c r="C66" s="7">
        <v>22.39</v>
      </c>
      <c r="D66" s="7">
        <v>26.25</v>
      </c>
      <c r="E66" s="7">
        <v>26.28</v>
      </c>
      <c r="F66" s="7">
        <v>28.59</v>
      </c>
      <c r="G66" s="7"/>
    </row>
    <row r="67" spans="1:17" x14ac:dyDescent="0.3">
      <c r="A67" s="2"/>
      <c r="B67" s="18">
        <v>4</v>
      </c>
      <c r="C67" s="7">
        <v>10704</v>
      </c>
      <c r="D67" s="7">
        <v>8494</v>
      </c>
      <c r="E67" s="7">
        <v>7493</v>
      </c>
      <c r="F67" s="7">
        <v>7050</v>
      </c>
      <c r="G67" s="7">
        <v>33741</v>
      </c>
    </row>
    <row r="68" spans="1:17" x14ac:dyDescent="0.3">
      <c r="A68" s="2"/>
      <c r="B68" s="18"/>
      <c r="C68" s="7">
        <v>15.6</v>
      </c>
      <c r="D68" s="7">
        <v>12.38</v>
      </c>
      <c r="E68" s="7">
        <v>10.92</v>
      </c>
      <c r="F68" s="7">
        <v>10.27</v>
      </c>
      <c r="G68" s="7">
        <v>49.16</v>
      </c>
    </row>
    <row r="69" spans="1:17" x14ac:dyDescent="0.3">
      <c r="A69" s="2"/>
      <c r="B69" s="18"/>
      <c r="C69" s="7">
        <v>31.72</v>
      </c>
      <c r="D69" s="7">
        <v>25.17</v>
      </c>
      <c r="E69" s="7">
        <v>22.21</v>
      </c>
      <c r="F69" s="7">
        <v>20.89</v>
      </c>
      <c r="G69" s="7"/>
    </row>
    <row r="70" spans="1:17" x14ac:dyDescent="0.3">
      <c r="A70" s="2"/>
      <c r="B70" s="18"/>
      <c r="C70" s="7">
        <v>62.24</v>
      </c>
      <c r="D70" s="7">
        <v>49.68</v>
      </c>
      <c r="E70" s="7">
        <v>43.64</v>
      </c>
      <c r="F70" s="7">
        <v>41.07</v>
      </c>
      <c r="G70" s="7"/>
    </row>
    <row r="71" spans="1:17" x14ac:dyDescent="0.3">
      <c r="A71" s="2"/>
      <c r="B71" s="18" t="s">
        <v>24</v>
      </c>
      <c r="C71" s="7">
        <v>17199</v>
      </c>
      <c r="D71" s="7">
        <v>17099</v>
      </c>
      <c r="E71" s="7">
        <v>17171</v>
      </c>
      <c r="F71" s="7">
        <v>17165</v>
      </c>
      <c r="G71" s="7">
        <v>68634</v>
      </c>
    </row>
    <row r="72" spans="1:17" x14ac:dyDescent="0.3">
      <c r="A72" s="2"/>
      <c r="B72" s="18"/>
      <c r="C72" s="7">
        <v>25.06</v>
      </c>
      <c r="D72" s="7">
        <v>24.91</v>
      </c>
      <c r="E72" s="7">
        <v>25.02</v>
      </c>
      <c r="F72" s="7">
        <v>25.01</v>
      </c>
      <c r="G72" s="7">
        <v>100</v>
      </c>
    </row>
    <row r="73" spans="1:17" x14ac:dyDescent="0.3">
      <c r="A73" s="2"/>
      <c r="B73" s="21"/>
      <c r="C73" s="21"/>
      <c r="D73" s="21"/>
      <c r="E73" s="21"/>
      <c r="F73" s="21"/>
      <c r="G73" s="21"/>
    </row>
    <row r="74" spans="1:17" ht="17.25" thickBot="1" x14ac:dyDescent="0.35"/>
    <row r="75" spans="1:17" ht="16.5" customHeight="1" x14ac:dyDescent="0.3">
      <c r="A75" s="4" t="s">
        <v>2</v>
      </c>
      <c r="B75" s="17" t="s">
        <v>28</v>
      </c>
      <c r="C75" s="19"/>
      <c r="D75" s="19"/>
      <c r="E75" s="19"/>
      <c r="F75" s="19"/>
      <c r="G75" s="19"/>
    </row>
    <row r="76" spans="1:17" ht="16.5" customHeight="1" x14ac:dyDescent="0.3">
      <c r="A76" s="6" t="s">
        <v>3</v>
      </c>
      <c r="B76" s="18" t="s">
        <v>8</v>
      </c>
      <c r="C76" s="20" t="s">
        <v>23</v>
      </c>
      <c r="D76" s="20"/>
      <c r="E76" s="20"/>
      <c r="F76" s="20"/>
      <c r="G76" s="20"/>
    </row>
    <row r="77" spans="1:17" x14ac:dyDescent="0.3">
      <c r="A77" s="6" t="s">
        <v>20</v>
      </c>
      <c r="B77" s="1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18">
        <v>1</v>
      </c>
      <c r="C78" s="7">
        <v>2049</v>
      </c>
      <c r="D78" s="7">
        <v>2776</v>
      </c>
      <c r="E78" s="7">
        <v>3173</v>
      </c>
      <c r="F78" s="7">
        <v>3267</v>
      </c>
      <c r="G78" s="7">
        <v>11265</v>
      </c>
      <c r="I78">
        <f>C78</f>
        <v>2049</v>
      </c>
      <c r="J78">
        <f t="shared" ref="J78" si="104">D78</f>
        <v>2776</v>
      </c>
      <c r="K78">
        <f t="shared" ref="K78" si="105">E78</f>
        <v>3173</v>
      </c>
      <c r="L78">
        <f t="shared" ref="L78" si="106">F78</f>
        <v>3267</v>
      </c>
      <c r="N78" t="str">
        <f>TEXT(I78,"#,##0")&amp;" ("&amp;TEXT(I79,"0.00")&amp;")"</f>
        <v>2,049 (11.91)</v>
      </c>
      <c r="O78" t="str">
        <f t="shared" ref="O78" si="107">TEXT(J78,"#,##0")&amp;" ("&amp;TEXT(J79,"0.00")&amp;")"</f>
        <v>2,776 (16.23)</v>
      </c>
      <c r="P78" t="str">
        <f t="shared" ref="P78" si="108">TEXT(K78,"#,##0")&amp;" ("&amp;TEXT(K79,"0.00")&amp;")"</f>
        <v>3,173 (18.48)</v>
      </c>
      <c r="Q78" t="str">
        <f t="shared" ref="Q78" si="109">TEXT(L78,"#,##0")&amp;" ("&amp;TEXT(L79,"0.00")&amp;")"</f>
        <v>3,267 (19.03)</v>
      </c>
    </row>
    <row r="79" spans="1:17" x14ac:dyDescent="0.3">
      <c r="A79" s="2"/>
      <c r="B79" s="18"/>
      <c r="C79" s="7">
        <v>2.99</v>
      </c>
      <c r="D79" s="7">
        <v>4.04</v>
      </c>
      <c r="E79" s="7">
        <v>4.62</v>
      </c>
      <c r="F79" s="7">
        <v>4.76</v>
      </c>
      <c r="G79" s="7">
        <v>16.41</v>
      </c>
      <c r="I79">
        <f>C81</f>
        <v>11.91</v>
      </c>
      <c r="J79">
        <f t="shared" ref="J79:J80" si="110">D81</f>
        <v>16.23</v>
      </c>
      <c r="K79">
        <f t="shared" ref="K79:K80" si="111">E81</f>
        <v>18.48</v>
      </c>
      <c r="L79">
        <f t="shared" ref="L79:L80" si="112">F81</f>
        <v>19.03</v>
      </c>
      <c r="N79" t="str">
        <f>TEXT(I80,"#,##0")&amp;" ("&amp;TEXT(I81,"0.00")&amp;")"</f>
        <v>3,997 (23.24)</v>
      </c>
      <c r="O79" t="str">
        <f t="shared" ref="O79" si="113">TEXT(J80,"#,##0")&amp;" ("&amp;TEXT(J81,"0.00")&amp;")"</f>
        <v>4,196 (24.54)</v>
      </c>
      <c r="P79" t="str">
        <f t="shared" ref="P79" si="114">TEXT(K80,"#,##0")&amp;" ("&amp;TEXT(K81,"0.00")&amp;")"</f>
        <v>4,306 (25.08)</v>
      </c>
      <c r="Q79" t="str">
        <f t="shared" ref="Q79" si="115">TEXT(L80,"#,##0")&amp;" ("&amp;TEXT(L81,"0.00")&amp;")"</f>
        <v>4,335 (25.25)</v>
      </c>
    </row>
    <row r="80" spans="1:17" x14ac:dyDescent="0.3">
      <c r="A80" s="2"/>
      <c r="B80" s="18"/>
      <c r="C80" s="7">
        <v>18.190000000000001</v>
      </c>
      <c r="D80" s="7">
        <v>24.64</v>
      </c>
      <c r="E80" s="7">
        <v>28.17</v>
      </c>
      <c r="F80" s="7">
        <v>29</v>
      </c>
      <c r="G80" s="7"/>
      <c r="I80">
        <f>C82</f>
        <v>3997</v>
      </c>
      <c r="J80">
        <f t="shared" si="110"/>
        <v>4196</v>
      </c>
      <c r="K80">
        <f t="shared" si="111"/>
        <v>4306</v>
      </c>
      <c r="L80">
        <f t="shared" si="112"/>
        <v>4335</v>
      </c>
      <c r="N80" t="str">
        <f>TEXT(I82,"#,##0")&amp;" ("&amp;TEXT(I83,"0.00")&amp;")"</f>
        <v>5,204 (30.26)</v>
      </c>
      <c r="O80" t="str">
        <f t="shared" ref="O80" si="116">TEXT(J82,"#,##0")&amp;" ("&amp;TEXT(J83,"0.00")&amp;")"</f>
        <v>4,927 (28.81)</v>
      </c>
      <c r="P80" t="str">
        <f t="shared" ref="P80" si="117">TEXT(K82,"#,##0")&amp;" ("&amp;TEXT(K83,"0.00")&amp;")"</f>
        <v>4,741 (27.61)</v>
      </c>
      <c r="Q80" t="str">
        <f t="shared" ref="Q80" si="118">TEXT(L82,"#,##0")&amp;" ("&amp;TEXT(L83,"0.00")&amp;")"</f>
        <v>4,713 (27.46)</v>
      </c>
    </row>
    <row r="81" spans="1:17" x14ac:dyDescent="0.3">
      <c r="A81" s="2"/>
      <c r="B81" s="18"/>
      <c r="C81" s="7">
        <v>11.91</v>
      </c>
      <c r="D81" s="7">
        <v>16.23</v>
      </c>
      <c r="E81" s="7">
        <v>18.48</v>
      </c>
      <c r="F81" s="7">
        <v>19.03</v>
      </c>
      <c r="G81" s="7"/>
      <c r="I81">
        <f>C85</f>
        <v>23.24</v>
      </c>
      <c r="J81">
        <f t="shared" ref="J81:J82" si="119">D85</f>
        <v>24.54</v>
      </c>
      <c r="K81">
        <f t="shared" ref="K81:K82" si="120">E85</f>
        <v>25.08</v>
      </c>
      <c r="L81">
        <f t="shared" ref="L81:L82" si="121">F85</f>
        <v>25.25</v>
      </c>
      <c r="N81" t="str">
        <f>TEXT(I84,"#,##0")&amp;" ("&amp;TEXT(I85,"0.00")&amp;")"</f>
        <v>5,949 (34.59)</v>
      </c>
      <c r="O81" t="str">
        <f t="shared" ref="O81" si="122">TEXT(J84,"#,##0")&amp;" ("&amp;TEXT(J85,"0.00")&amp;")"</f>
        <v>5,200 (30.41)</v>
      </c>
      <c r="P81" t="str">
        <f t="shared" ref="P81" si="123">TEXT(K84,"#,##0")&amp;" ("&amp;TEXT(K85,"0.00")&amp;")"</f>
        <v>4,951 (28.83)</v>
      </c>
      <c r="Q81" t="str">
        <f t="shared" ref="Q81" si="124">TEXT(L84,"#,##0")&amp;" ("&amp;TEXT(L85,"0.00")&amp;")"</f>
        <v>4,850 (28.26)</v>
      </c>
    </row>
    <row r="82" spans="1:17" x14ac:dyDescent="0.3">
      <c r="A82" s="2"/>
      <c r="B82" s="18">
        <v>2</v>
      </c>
      <c r="C82" s="7">
        <v>3997</v>
      </c>
      <c r="D82" s="7">
        <v>4196</v>
      </c>
      <c r="E82" s="7">
        <v>4306</v>
      </c>
      <c r="F82" s="7">
        <v>4335</v>
      </c>
      <c r="G82" s="7">
        <v>16834</v>
      </c>
      <c r="I82">
        <f>C86</f>
        <v>5204</v>
      </c>
      <c r="J82">
        <f t="shared" si="119"/>
        <v>4927</v>
      </c>
      <c r="K82">
        <f t="shared" si="120"/>
        <v>4741</v>
      </c>
      <c r="L82">
        <f t="shared" si="121"/>
        <v>4713</v>
      </c>
    </row>
    <row r="83" spans="1:17" x14ac:dyDescent="0.3">
      <c r="A83" s="2"/>
      <c r="B83" s="18"/>
      <c r="C83" s="7">
        <v>5.82</v>
      </c>
      <c r="D83" s="7">
        <v>6.11</v>
      </c>
      <c r="E83" s="7">
        <v>6.27</v>
      </c>
      <c r="F83" s="7">
        <v>6.32</v>
      </c>
      <c r="G83" s="7">
        <v>24.53</v>
      </c>
      <c r="I83">
        <f>C89</f>
        <v>30.26</v>
      </c>
      <c r="J83">
        <f t="shared" ref="J83:J84" si="125">D89</f>
        <v>28.81</v>
      </c>
      <c r="K83">
        <f t="shared" ref="K83:K84" si="126">E89</f>
        <v>27.61</v>
      </c>
      <c r="L83">
        <f t="shared" ref="L83:L84" si="127">F89</f>
        <v>27.46</v>
      </c>
    </row>
    <row r="84" spans="1:17" x14ac:dyDescent="0.3">
      <c r="A84" s="2"/>
      <c r="B84" s="18"/>
      <c r="C84" s="7">
        <v>23.74</v>
      </c>
      <c r="D84" s="7">
        <v>24.93</v>
      </c>
      <c r="E84" s="7">
        <v>25.58</v>
      </c>
      <c r="F84" s="7">
        <v>25.75</v>
      </c>
      <c r="G84" s="7"/>
      <c r="I84">
        <f>C90</f>
        <v>5949</v>
      </c>
      <c r="J84">
        <f t="shared" si="125"/>
        <v>5200</v>
      </c>
      <c r="K84">
        <f t="shared" si="126"/>
        <v>4951</v>
      </c>
      <c r="L84">
        <f t="shared" si="127"/>
        <v>4850</v>
      </c>
    </row>
    <row r="85" spans="1:17" x14ac:dyDescent="0.3">
      <c r="A85" s="2"/>
      <c r="B85" s="18"/>
      <c r="C85" s="7">
        <v>23.24</v>
      </c>
      <c r="D85" s="7">
        <v>24.54</v>
      </c>
      <c r="E85" s="7">
        <v>25.08</v>
      </c>
      <c r="F85" s="7">
        <v>25.25</v>
      </c>
      <c r="G85" s="7"/>
      <c r="I85">
        <f>C93</f>
        <v>34.590000000000003</v>
      </c>
      <c r="J85">
        <f t="shared" ref="J85" si="128">D93</f>
        <v>30.41</v>
      </c>
      <c r="K85">
        <f t="shared" ref="K85" si="129">E93</f>
        <v>28.83</v>
      </c>
      <c r="L85">
        <f t="shared" ref="L85" si="130">F93</f>
        <v>28.26</v>
      </c>
    </row>
    <row r="86" spans="1:17" x14ac:dyDescent="0.3">
      <c r="A86" s="2"/>
      <c r="B86" s="18">
        <v>3</v>
      </c>
      <c r="C86" s="7">
        <v>5204</v>
      </c>
      <c r="D86" s="7">
        <v>4927</v>
      </c>
      <c r="E86" s="7">
        <v>4741</v>
      </c>
      <c r="F86" s="7">
        <v>4713</v>
      </c>
      <c r="G86" s="7">
        <v>19585</v>
      </c>
    </row>
    <row r="87" spans="1:17" x14ac:dyDescent="0.3">
      <c r="A87" s="2"/>
      <c r="B87" s="18"/>
      <c r="C87" s="7">
        <v>7.58</v>
      </c>
      <c r="D87" s="7">
        <v>7.18</v>
      </c>
      <c r="E87" s="7">
        <v>6.91</v>
      </c>
      <c r="F87" s="7">
        <v>6.87</v>
      </c>
      <c r="G87" s="7">
        <v>28.54</v>
      </c>
    </row>
    <row r="88" spans="1:17" x14ac:dyDescent="0.3">
      <c r="A88" s="2"/>
      <c r="B88" s="18"/>
      <c r="C88" s="7">
        <v>26.57</v>
      </c>
      <c r="D88" s="7">
        <v>25.16</v>
      </c>
      <c r="E88" s="7">
        <v>24.21</v>
      </c>
      <c r="F88" s="7">
        <v>24.06</v>
      </c>
      <c r="G88" s="7"/>
    </row>
    <row r="89" spans="1:17" x14ac:dyDescent="0.3">
      <c r="A89" s="2"/>
      <c r="B89" s="18"/>
      <c r="C89" s="7">
        <v>30.26</v>
      </c>
      <c r="D89" s="7">
        <v>28.81</v>
      </c>
      <c r="E89" s="7">
        <v>27.61</v>
      </c>
      <c r="F89" s="7">
        <v>27.46</v>
      </c>
      <c r="G89" s="7"/>
    </row>
    <row r="90" spans="1:17" x14ac:dyDescent="0.3">
      <c r="A90" s="2"/>
      <c r="B90" s="18">
        <v>4</v>
      </c>
      <c r="C90" s="7">
        <v>5949</v>
      </c>
      <c r="D90" s="7">
        <v>5200</v>
      </c>
      <c r="E90" s="7">
        <v>4951</v>
      </c>
      <c r="F90" s="7">
        <v>4850</v>
      </c>
      <c r="G90" s="7">
        <v>20950</v>
      </c>
    </row>
    <row r="91" spans="1:17" x14ac:dyDescent="0.3">
      <c r="A91" s="2"/>
      <c r="B91" s="18"/>
      <c r="C91" s="7">
        <v>8.67</v>
      </c>
      <c r="D91" s="7">
        <v>7.58</v>
      </c>
      <c r="E91" s="7">
        <v>7.21</v>
      </c>
      <c r="F91" s="7">
        <v>7.07</v>
      </c>
      <c r="G91" s="7">
        <v>30.52</v>
      </c>
    </row>
    <row r="92" spans="1:17" x14ac:dyDescent="0.3">
      <c r="A92" s="2"/>
      <c r="B92" s="18"/>
      <c r="C92" s="7">
        <v>28.4</v>
      </c>
      <c r="D92" s="7">
        <v>24.82</v>
      </c>
      <c r="E92" s="7">
        <v>23.63</v>
      </c>
      <c r="F92" s="7">
        <v>23.15</v>
      </c>
      <c r="G92" s="7"/>
    </row>
    <row r="93" spans="1:17" x14ac:dyDescent="0.3">
      <c r="A93" s="2"/>
      <c r="B93" s="18"/>
      <c r="C93" s="7">
        <v>34.590000000000003</v>
      </c>
      <c r="D93" s="7">
        <v>30.41</v>
      </c>
      <c r="E93" s="7">
        <v>28.83</v>
      </c>
      <c r="F93" s="7">
        <v>28.26</v>
      </c>
      <c r="G93" s="7"/>
    </row>
    <row r="94" spans="1:17" x14ac:dyDescent="0.3">
      <c r="A94" s="2"/>
      <c r="B94" s="18" t="s">
        <v>24</v>
      </c>
      <c r="C94" s="7">
        <v>17199</v>
      </c>
      <c r="D94" s="7">
        <v>17099</v>
      </c>
      <c r="E94" s="7">
        <v>17171</v>
      </c>
      <c r="F94" s="7">
        <v>17165</v>
      </c>
      <c r="G94" s="7">
        <v>68634</v>
      </c>
    </row>
    <row r="95" spans="1:17" x14ac:dyDescent="0.3">
      <c r="A95" s="2"/>
      <c r="B95" s="18"/>
      <c r="C95" s="7">
        <v>25.06</v>
      </c>
      <c r="D95" s="7">
        <v>24.91</v>
      </c>
      <c r="E95" s="7">
        <v>25.02</v>
      </c>
      <c r="F95" s="7">
        <v>25.01</v>
      </c>
      <c r="G95" s="7">
        <v>100</v>
      </c>
    </row>
    <row r="96" spans="1:17" x14ac:dyDescent="0.3">
      <c r="A96" s="2"/>
      <c r="B96" s="21"/>
      <c r="C96" s="21"/>
      <c r="D96" s="21"/>
      <c r="E96" s="21"/>
      <c r="F96" s="21"/>
      <c r="G96" s="21"/>
    </row>
    <row r="97" spans="1:17" ht="17.25" thickBot="1" x14ac:dyDescent="0.35"/>
    <row r="98" spans="1:17" ht="16.5" customHeight="1" x14ac:dyDescent="0.3">
      <c r="A98" s="4" t="s">
        <v>2</v>
      </c>
      <c r="B98" s="17" t="s">
        <v>29</v>
      </c>
      <c r="C98" s="19"/>
      <c r="D98" s="19"/>
      <c r="E98" s="19"/>
      <c r="F98" s="19"/>
      <c r="G98" s="19"/>
    </row>
    <row r="99" spans="1:17" ht="16.5" customHeight="1" x14ac:dyDescent="0.3">
      <c r="A99" s="6" t="s">
        <v>3</v>
      </c>
      <c r="B99" s="18" t="s">
        <v>9</v>
      </c>
      <c r="C99" s="20" t="s">
        <v>23</v>
      </c>
      <c r="D99" s="20"/>
      <c r="E99" s="20"/>
      <c r="F99" s="20"/>
      <c r="G99" s="20"/>
    </row>
    <row r="100" spans="1:17" x14ac:dyDescent="0.3">
      <c r="A100" s="6" t="s">
        <v>20</v>
      </c>
      <c r="B100" s="1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18">
        <v>1</v>
      </c>
      <c r="C101" s="7">
        <v>1543</v>
      </c>
      <c r="D101" s="7">
        <v>794</v>
      </c>
      <c r="E101" s="7">
        <v>318</v>
      </c>
      <c r="F101" s="7">
        <v>122</v>
      </c>
      <c r="G101" s="7">
        <v>2777</v>
      </c>
      <c r="I101">
        <f>C101</f>
        <v>1543</v>
      </c>
      <c r="J101">
        <f t="shared" ref="J101" si="131">D101</f>
        <v>794</v>
      </c>
      <c r="K101">
        <f t="shared" ref="K101" si="132">E101</f>
        <v>318</v>
      </c>
      <c r="L101">
        <f t="shared" ref="L101" si="133">F101</f>
        <v>122</v>
      </c>
      <c r="N101" t="str">
        <f>TEXT(I101,"#,##0")&amp;" ("&amp;TEXT(I102,"0.00")&amp;")"</f>
        <v>1,543 (8.97)</v>
      </c>
      <c r="O101" t="str">
        <f t="shared" ref="O101" si="134">TEXT(J101,"#,##0")&amp;" ("&amp;TEXT(J102,"0.00")&amp;")"</f>
        <v>794 (4.64)</v>
      </c>
      <c r="P101" t="str">
        <f t="shared" ref="P101" si="135">TEXT(K101,"#,##0")&amp;" ("&amp;TEXT(K102,"0.00")&amp;")"</f>
        <v>318 (1.85)</v>
      </c>
      <c r="Q101" t="str">
        <f t="shared" ref="Q101" si="136">TEXT(L101,"#,##0")&amp;" ("&amp;TEXT(L102,"0.00")&amp;")"</f>
        <v>122 (0.71)</v>
      </c>
    </row>
    <row r="102" spans="1:17" x14ac:dyDescent="0.3">
      <c r="A102" s="2"/>
      <c r="B102" s="18"/>
      <c r="C102" s="7">
        <v>2.25</v>
      </c>
      <c r="D102" s="7">
        <v>1.1599999999999999</v>
      </c>
      <c r="E102" s="7">
        <v>0.46</v>
      </c>
      <c r="F102" s="7">
        <v>0.18</v>
      </c>
      <c r="G102" s="7">
        <v>4.05</v>
      </c>
      <c r="I102">
        <f>C104</f>
        <v>8.9700000000000006</v>
      </c>
      <c r="J102">
        <f t="shared" ref="J102:J103" si="137">D104</f>
        <v>4.6399999999999997</v>
      </c>
      <c r="K102">
        <f t="shared" ref="K102:K103" si="138">E104</f>
        <v>1.85</v>
      </c>
      <c r="L102">
        <f t="shared" ref="L102:L103" si="139">F104</f>
        <v>0.71</v>
      </c>
      <c r="N102" t="str">
        <f>TEXT(I103,"#,##0")&amp;" ("&amp;TEXT(I104,"0.00")&amp;")"</f>
        <v>9,820 (57.10)</v>
      </c>
      <c r="O102" t="str">
        <f t="shared" ref="O102" si="140">TEXT(J103,"#,##0")&amp;" ("&amp;TEXT(J104,"0.00")&amp;")"</f>
        <v>7,518 (43.97)</v>
      </c>
      <c r="P102" t="str">
        <f t="shared" ref="P102" si="141">TEXT(K103,"#,##0")&amp;" ("&amp;TEXT(K104,"0.00")&amp;")"</f>
        <v>5,484 (31.94)</v>
      </c>
      <c r="Q102" t="str">
        <f t="shared" ref="Q102" si="142">TEXT(L103,"#,##0")&amp;" ("&amp;TEXT(L104,"0.00")&amp;")"</f>
        <v>3,613 (21.05)</v>
      </c>
    </row>
    <row r="103" spans="1:17" x14ac:dyDescent="0.3">
      <c r="A103" s="2"/>
      <c r="B103" s="18"/>
      <c r="C103" s="7">
        <v>55.56</v>
      </c>
      <c r="D103" s="7">
        <v>28.59</v>
      </c>
      <c r="E103" s="7">
        <v>11.45</v>
      </c>
      <c r="F103" s="7">
        <v>4.3899999999999997</v>
      </c>
      <c r="G103" s="7"/>
      <c r="I103">
        <f>C105</f>
        <v>9820</v>
      </c>
      <c r="J103">
        <f t="shared" si="137"/>
        <v>7518</v>
      </c>
      <c r="K103">
        <f t="shared" si="138"/>
        <v>5484</v>
      </c>
      <c r="L103">
        <f t="shared" si="139"/>
        <v>3613</v>
      </c>
      <c r="N103" t="str">
        <f>TEXT(I105,"#,##0")&amp;" ("&amp;TEXT(I106,"0.00")&amp;")"</f>
        <v>3,269 (19.01)</v>
      </c>
      <c r="O103" t="str">
        <f t="shared" ref="O103" si="143">TEXT(J105,"#,##0")&amp;" ("&amp;TEXT(J106,"0.00")&amp;")"</f>
        <v>4,154 (24.29)</v>
      </c>
      <c r="P103" t="str">
        <f t="shared" ref="P103" si="144">TEXT(K105,"#,##0")&amp;" ("&amp;TEXT(K106,"0.00")&amp;")"</f>
        <v>4,576 (26.65)</v>
      </c>
      <c r="Q103" t="str">
        <f t="shared" ref="Q103" si="145">TEXT(L105,"#,##0")&amp;" ("&amp;TEXT(L106,"0.00")&amp;")"</f>
        <v>4,265 (24.85)</v>
      </c>
    </row>
    <row r="104" spans="1:17" x14ac:dyDescent="0.3">
      <c r="A104" s="2"/>
      <c r="B104" s="18"/>
      <c r="C104" s="7">
        <v>8.9700000000000006</v>
      </c>
      <c r="D104" s="7">
        <v>4.6399999999999997</v>
      </c>
      <c r="E104" s="7">
        <v>1.85</v>
      </c>
      <c r="F104" s="7">
        <v>0.71</v>
      </c>
      <c r="G104" s="7"/>
      <c r="I104">
        <f>C108</f>
        <v>57.1</v>
      </c>
      <c r="J104">
        <f t="shared" ref="J104:J105" si="146">D108</f>
        <v>43.97</v>
      </c>
      <c r="K104">
        <f t="shared" ref="K104:K105" si="147">E108</f>
        <v>31.94</v>
      </c>
      <c r="L104">
        <f t="shared" ref="L104:L105" si="148">F108</f>
        <v>21.05</v>
      </c>
      <c r="N104" t="str">
        <f>TEXT(I107,"#,##0")&amp;" ("&amp;TEXT(I108,"0.00")&amp;")"</f>
        <v>2,567 (14.93)</v>
      </c>
      <c r="O104" t="str">
        <f t="shared" ref="O104" si="149">TEXT(J107,"#,##0")&amp;" ("&amp;TEXT(J108,"0.00")&amp;")"</f>
        <v>4,633 (27.10)</v>
      </c>
      <c r="P104" t="str">
        <f t="shared" ref="P104" si="150">TEXT(K107,"#,##0")&amp;" ("&amp;TEXT(K108,"0.00")&amp;")"</f>
        <v>6,793 (39.56)</v>
      </c>
      <c r="Q104" t="str">
        <f t="shared" ref="Q104" si="151">TEXT(L107,"#,##0")&amp;" ("&amp;TEXT(L108,"0.00")&amp;")"</f>
        <v>9,165 (53.39)</v>
      </c>
    </row>
    <row r="105" spans="1:17" x14ac:dyDescent="0.3">
      <c r="A105" s="2"/>
      <c r="B105" s="18">
        <v>2</v>
      </c>
      <c r="C105" s="7">
        <v>9820</v>
      </c>
      <c r="D105" s="7">
        <v>7518</v>
      </c>
      <c r="E105" s="7">
        <v>5484</v>
      </c>
      <c r="F105" s="7">
        <v>3613</v>
      </c>
      <c r="G105" s="7">
        <v>26435</v>
      </c>
      <c r="I105">
        <f>C109</f>
        <v>3269</v>
      </c>
      <c r="J105">
        <f t="shared" si="146"/>
        <v>4154</v>
      </c>
      <c r="K105">
        <f t="shared" si="147"/>
        <v>4576</v>
      </c>
      <c r="L105">
        <f t="shared" si="148"/>
        <v>4265</v>
      </c>
    </row>
    <row r="106" spans="1:17" x14ac:dyDescent="0.3">
      <c r="A106" s="2"/>
      <c r="B106" s="18"/>
      <c r="C106" s="7">
        <v>14.31</v>
      </c>
      <c r="D106" s="7">
        <v>10.95</v>
      </c>
      <c r="E106" s="7">
        <v>7.99</v>
      </c>
      <c r="F106" s="7">
        <v>5.26</v>
      </c>
      <c r="G106" s="7">
        <v>38.520000000000003</v>
      </c>
      <c r="I106">
        <f>C112</f>
        <v>19.010000000000002</v>
      </c>
      <c r="J106">
        <f t="shared" ref="J106:J107" si="152">D112</f>
        <v>24.29</v>
      </c>
      <c r="K106">
        <f t="shared" ref="K106:K107" si="153">E112</f>
        <v>26.65</v>
      </c>
      <c r="L106">
        <f t="shared" ref="L106:L107" si="154">F112</f>
        <v>24.85</v>
      </c>
    </row>
    <row r="107" spans="1:17" x14ac:dyDescent="0.3">
      <c r="A107" s="2"/>
      <c r="B107" s="18"/>
      <c r="C107" s="7">
        <v>37.15</v>
      </c>
      <c r="D107" s="7">
        <v>28.44</v>
      </c>
      <c r="E107" s="7">
        <v>20.75</v>
      </c>
      <c r="F107" s="7">
        <v>13.67</v>
      </c>
      <c r="G107" s="7"/>
      <c r="I107">
        <f>C113</f>
        <v>2567</v>
      </c>
      <c r="J107">
        <f t="shared" si="152"/>
        <v>4633</v>
      </c>
      <c r="K107">
        <f t="shared" si="153"/>
        <v>6793</v>
      </c>
      <c r="L107">
        <f t="shared" si="154"/>
        <v>9165</v>
      </c>
    </row>
    <row r="108" spans="1:17" x14ac:dyDescent="0.3">
      <c r="A108" s="2"/>
      <c r="B108" s="18"/>
      <c r="C108" s="7">
        <v>57.1</v>
      </c>
      <c r="D108" s="7">
        <v>43.97</v>
      </c>
      <c r="E108" s="7">
        <v>31.94</v>
      </c>
      <c r="F108" s="7">
        <v>21.05</v>
      </c>
      <c r="G108" s="7"/>
      <c r="I108">
        <f>C116</f>
        <v>14.93</v>
      </c>
      <c r="J108">
        <f t="shared" ref="J108" si="155">D116</f>
        <v>27.1</v>
      </c>
      <c r="K108">
        <f t="shared" ref="K108" si="156">E116</f>
        <v>39.56</v>
      </c>
      <c r="L108">
        <f t="shared" ref="L108" si="157">F116</f>
        <v>53.39</v>
      </c>
    </row>
    <row r="109" spans="1:17" x14ac:dyDescent="0.3">
      <c r="A109" s="2"/>
      <c r="B109" s="18">
        <v>3</v>
      </c>
      <c r="C109" s="7">
        <v>3269</v>
      </c>
      <c r="D109" s="7">
        <v>4154</v>
      </c>
      <c r="E109" s="7">
        <v>4576</v>
      </c>
      <c r="F109" s="7">
        <v>4265</v>
      </c>
      <c r="G109" s="7">
        <v>16264</v>
      </c>
    </row>
    <row r="110" spans="1:17" x14ac:dyDescent="0.3">
      <c r="A110" s="2"/>
      <c r="B110" s="18"/>
      <c r="C110" s="7">
        <v>4.76</v>
      </c>
      <c r="D110" s="7">
        <v>6.05</v>
      </c>
      <c r="E110" s="7">
        <v>6.67</v>
      </c>
      <c r="F110" s="7">
        <v>6.21</v>
      </c>
      <c r="G110" s="7">
        <v>23.7</v>
      </c>
    </row>
    <row r="111" spans="1:17" x14ac:dyDescent="0.3">
      <c r="A111" s="2"/>
      <c r="B111" s="18"/>
      <c r="C111" s="7">
        <v>20.100000000000001</v>
      </c>
      <c r="D111" s="7">
        <v>25.54</v>
      </c>
      <c r="E111" s="7">
        <v>28.14</v>
      </c>
      <c r="F111" s="7">
        <v>26.22</v>
      </c>
      <c r="G111" s="7"/>
    </row>
    <row r="112" spans="1:17" x14ac:dyDescent="0.3">
      <c r="A112" s="2"/>
      <c r="B112" s="18"/>
      <c r="C112" s="7">
        <v>19.010000000000002</v>
      </c>
      <c r="D112" s="7">
        <v>24.29</v>
      </c>
      <c r="E112" s="7">
        <v>26.65</v>
      </c>
      <c r="F112" s="7">
        <v>24.85</v>
      </c>
      <c r="G112" s="7"/>
    </row>
    <row r="113" spans="1:17" x14ac:dyDescent="0.3">
      <c r="A113" s="2"/>
      <c r="B113" s="18">
        <v>4</v>
      </c>
      <c r="C113" s="7">
        <v>2567</v>
      </c>
      <c r="D113" s="7">
        <v>4633</v>
      </c>
      <c r="E113" s="7">
        <v>6793</v>
      </c>
      <c r="F113" s="7">
        <v>9165</v>
      </c>
      <c r="G113" s="7">
        <v>23158</v>
      </c>
    </row>
    <row r="114" spans="1:17" x14ac:dyDescent="0.3">
      <c r="A114" s="2"/>
      <c r="B114" s="18"/>
      <c r="C114" s="7">
        <v>3.74</v>
      </c>
      <c r="D114" s="7">
        <v>6.75</v>
      </c>
      <c r="E114" s="7">
        <v>9.9</v>
      </c>
      <c r="F114" s="7">
        <v>13.35</v>
      </c>
      <c r="G114" s="7">
        <v>33.74</v>
      </c>
    </row>
    <row r="115" spans="1:17" x14ac:dyDescent="0.3">
      <c r="A115" s="2"/>
      <c r="B115" s="18"/>
      <c r="C115" s="7">
        <v>11.08</v>
      </c>
      <c r="D115" s="7">
        <v>20.010000000000002</v>
      </c>
      <c r="E115" s="7">
        <v>29.33</v>
      </c>
      <c r="F115" s="7">
        <v>39.58</v>
      </c>
      <c r="G115" s="7"/>
    </row>
    <row r="116" spans="1:17" x14ac:dyDescent="0.3">
      <c r="A116" s="2"/>
      <c r="B116" s="18"/>
      <c r="C116" s="7">
        <v>14.93</v>
      </c>
      <c r="D116" s="7">
        <v>27.1</v>
      </c>
      <c r="E116" s="7">
        <v>39.56</v>
      </c>
      <c r="F116" s="7">
        <v>53.39</v>
      </c>
      <c r="G116" s="7"/>
    </row>
    <row r="117" spans="1:17" x14ac:dyDescent="0.3">
      <c r="A117" s="2"/>
      <c r="B117" s="18" t="s">
        <v>24</v>
      </c>
      <c r="C117" s="7">
        <v>17199</v>
      </c>
      <c r="D117" s="7">
        <v>17099</v>
      </c>
      <c r="E117" s="7">
        <v>17171</v>
      </c>
      <c r="F117" s="7">
        <v>17165</v>
      </c>
      <c r="G117" s="7">
        <v>68634</v>
      </c>
    </row>
    <row r="118" spans="1:17" x14ac:dyDescent="0.3">
      <c r="A118" s="2"/>
      <c r="B118" s="18"/>
      <c r="C118" s="7">
        <v>25.06</v>
      </c>
      <c r="D118" s="7">
        <v>24.91</v>
      </c>
      <c r="E118" s="7">
        <v>25.02</v>
      </c>
      <c r="F118" s="7">
        <v>25.01</v>
      </c>
      <c r="G118" s="7">
        <v>100</v>
      </c>
    </row>
    <row r="119" spans="1:17" x14ac:dyDescent="0.3">
      <c r="A119" s="2"/>
      <c r="B119" s="21"/>
      <c r="C119" s="21"/>
      <c r="D119" s="21"/>
      <c r="E119" s="21"/>
      <c r="F119" s="21"/>
      <c r="G119" s="21"/>
    </row>
    <row r="120" spans="1:17" ht="17.25" thickBot="1" x14ac:dyDescent="0.35"/>
    <row r="121" spans="1:17" ht="16.5" customHeight="1" x14ac:dyDescent="0.3">
      <c r="A121" s="4" t="s">
        <v>2</v>
      </c>
      <c r="B121" s="17" t="s">
        <v>30</v>
      </c>
      <c r="C121" s="19"/>
      <c r="D121" s="19"/>
      <c r="E121" s="19"/>
      <c r="F121" s="19"/>
      <c r="G121" s="19"/>
    </row>
    <row r="122" spans="1:17" ht="16.5" customHeight="1" x14ac:dyDescent="0.3">
      <c r="A122" s="6" t="s">
        <v>3</v>
      </c>
      <c r="B122" s="18" t="s">
        <v>10</v>
      </c>
      <c r="C122" s="20" t="s">
        <v>23</v>
      </c>
      <c r="D122" s="20"/>
      <c r="E122" s="20"/>
      <c r="F122" s="20"/>
      <c r="G122" s="20"/>
    </row>
    <row r="123" spans="1:17" x14ac:dyDescent="0.3">
      <c r="A123" s="6" t="s">
        <v>20</v>
      </c>
      <c r="B123" s="1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18">
        <v>1</v>
      </c>
      <c r="C124" s="7">
        <v>12418</v>
      </c>
      <c r="D124" s="7">
        <v>14072</v>
      </c>
      <c r="E124" s="7">
        <v>14942</v>
      </c>
      <c r="F124" s="7">
        <v>15381</v>
      </c>
      <c r="G124" s="7">
        <v>56813</v>
      </c>
      <c r="I124">
        <f>C124</f>
        <v>12418</v>
      </c>
      <c r="J124">
        <f t="shared" ref="J124" si="158">D124</f>
        <v>14072</v>
      </c>
      <c r="K124">
        <f t="shared" ref="K124" si="159">E124</f>
        <v>14942</v>
      </c>
      <c r="L124">
        <f t="shared" ref="L124" si="160">F124</f>
        <v>15381</v>
      </c>
      <c r="N124" t="str">
        <f>TEXT(I124,"#,##0")&amp;" ("&amp;TEXT(I125,"0.00")&amp;")"</f>
        <v>12,418 (72.20)</v>
      </c>
      <c r="O124" t="str">
        <f>TEXT(J124,"#,##0")&amp;" ("&amp;TEXT(J125,"0.00")&amp;")"</f>
        <v>14,072 (82.30)</v>
      </c>
      <c r="P124" t="str">
        <f>TEXT(K124,"#,##0")&amp;" ("&amp;TEXT(K125,"0.00")&amp;")"</f>
        <v>14,942 (87.02)</v>
      </c>
      <c r="Q124" t="str">
        <f>TEXT(L124,"#,##0")&amp;" ("&amp;TEXT(L125,"0.00")&amp;")"</f>
        <v>15,381 (89.61)</v>
      </c>
    </row>
    <row r="125" spans="1:17" x14ac:dyDescent="0.3">
      <c r="A125" s="2"/>
      <c r="B125" s="18"/>
      <c r="C125" s="7">
        <v>18.09</v>
      </c>
      <c r="D125" s="7">
        <v>20.5</v>
      </c>
      <c r="E125" s="7">
        <v>21.77</v>
      </c>
      <c r="F125" s="7">
        <v>22.41</v>
      </c>
      <c r="G125" s="7">
        <v>82.78</v>
      </c>
      <c r="I125">
        <f>C127</f>
        <v>72.2</v>
      </c>
      <c r="J125">
        <f t="shared" ref="J125:J126" si="161">D127</f>
        <v>82.3</v>
      </c>
      <c r="K125">
        <f t="shared" ref="K125:K126" si="162">E127</f>
        <v>87.02</v>
      </c>
      <c r="L125">
        <f t="shared" ref="L125:L126" si="163">F127</f>
        <v>89.61</v>
      </c>
      <c r="N125" t="str">
        <f>TEXT(I126,"#,##0")&amp;" ("&amp;TEXT(I127,"0.00")&amp;")"</f>
        <v>4,781 (27.80)</v>
      </c>
      <c r="O125" t="str">
        <f t="shared" ref="O125" si="164">TEXT(J126,"#,##0")&amp;" ("&amp;TEXT(J127,"0.00")&amp;")"</f>
        <v>3,027 (17.70)</v>
      </c>
      <c r="P125" t="str">
        <f t="shared" ref="P125" si="165">TEXT(K126,"#,##0")&amp;" ("&amp;TEXT(K127,"0.00")&amp;")"</f>
        <v>2,229 (12.98)</v>
      </c>
      <c r="Q125" t="str">
        <f t="shared" ref="Q125" si="166">TEXT(L126,"#,##0")&amp;" ("&amp;TEXT(L127,"0.00")&amp;")"</f>
        <v>1,784 (10.39)</v>
      </c>
    </row>
    <row r="126" spans="1:17" x14ac:dyDescent="0.3">
      <c r="A126" s="2"/>
      <c r="B126" s="18"/>
      <c r="C126" s="7">
        <v>21.86</v>
      </c>
      <c r="D126" s="7">
        <v>24.77</v>
      </c>
      <c r="E126" s="7">
        <v>26.3</v>
      </c>
      <c r="F126" s="7">
        <v>27.07</v>
      </c>
      <c r="G126" s="7"/>
      <c r="I126">
        <f>C128</f>
        <v>4781</v>
      </c>
      <c r="J126">
        <f t="shared" si="161"/>
        <v>3027</v>
      </c>
      <c r="K126">
        <f t="shared" si="162"/>
        <v>2229</v>
      </c>
      <c r="L126">
        <f t="shared" si="163"/>
        <v>1784</v>
      </c>
      <c r="N126" t="str">
        <f>TEXT(I128,"#,##0")&amp;" ("&amp;TEXT(I129,"0.00")&amp;")"</f>
        <v>17,199 (0.00)</v>
      </c>
      <c r="O126" t="str">
        <f t="shared" ref="O126" si="167">TEXT(J128,"#,##0")&amp;" ("&amp;TEXT(J129,"0.00")&amp;")"</f>
        <v>17,099 (0.00)</v>
      </c>
      <c r="P126" t="str">
        <f t="shared" ref="P126" si="168">TEXT(K128,"#,##0")&amp;" ("&amp;TEXT(K129,"0.00")&amp;")"</f>
        <v>17,171 (0.00)</v>
      </c>
      <c r="Q126" t="str">
        <f t="shared" ref="Q126" si="169">TEXT(L128,"#,##0")&amp;" ("&amp;TEXT(L129,"0.00")&amp;")"</f>
        <v>17,165 (0.00)</v>
      </c>
    </row>
    <row r="127" spans="1:17" x14ac:dyDescent="0.3">
      <c r="A127" s="2"/>
      <c r="B127" s="18"/>
      <c r="C127" s="7">
        <v>72.2</v>
      </c>
      <c r="D127" s="7">
        <v>82.3</v>
      </c>
      <c r="E127" s="7">
        <v>87.02</v>
      </c>
      <c r="F127" s="7">
        <v>89.61</v>
      </c>
      <c r="G127" s="7"/>
      <c r="I127">
        <f>C131</f>
        <v>27.8</v>
      </c>
      <c r="J127">
        <f t="shared" ref="J127:J128" si="170">D131</f>
        <v>17.7</v>
      </c>
      <c r="K127">
        <f t="shared" ref="K127:K128" si="171">E131</f>
        <v>12.98</v>
      </c>
      <c r="L127">
        <f t="shared" ref="L127:L128" si="172">F131</f>
        <v>10.39</v>
      </c>
      <c r="N127" t="str">
        <f>TEXT(I130,"#,##0")&amp;" ("&amp;TEXT(I131,"0.00")&amp;")"</f>
        <v>0 (6707.00)</v>
      </c>
      <c r="O127" t="str">
        <f t="shared" ref="O127" si="173">TEXT(J130,"#,##0")&amp;" ("&amp;TEXT(J131,"0.00")&amp;")"</f>
        <v>0 (5906.00)</v>
      </c>
      <c r="P127" t="str">
        <f t="shared" ref="P127" si="174">TEXT(K130,"#,##0")&amp;" ("&amp;TEXT(K131,"0.00")&amp;")"</f>
        <v>0 (5459.00)</v>
      </c>
      <c r="Q127" t="str">
        <f t="shared" ref="Q127" si="175">TEXT(L130,"#,##0")&amp;" ("&amp;TEXT(L131,"0.00")&amp;")"</f>
        <v>0 (4804.00)</v>
      </c>
    </row>
    <row r="128" spans="1:17" x14ac:dyDescent="0.3">
      <c r="A128" s="2"/>
      <c r="B128" s="18">
        <v>2</v>
      </c>
      <c r="C128" s="7">
        <v>4781</v>
      </c>
      <c r="D128" s="7">
        <v>3027</v>
      </c>
      <c r="E128" s="7">
        <v>2229</v>
      </c>
      <c r="F128" s="7">
        <v>1784</v>
      </c>
      <c r="G128" s="7">
        <v>11821</v>
      </c>
      <c r="I128">
        <f>C132</f>
        <v>17199</v>
      </c>
      <c r="J128">
        <f t="shared" si="170"/>
        <v>17099</v>
      </c>
      <c r="K128">
        <f t="shared" si="171"/>
        <v>17171</v>
      </c>
      <c r="L128">
        <f t="shared" si="172"/>
        <v>17165</v>
      </c>
    </row>
    <row r="129" spans="1:17" x14ac:dyDescent="0.3">
      <c r="A129" s="2"/>
      <c r="B129" s="18"/>
      <c r="C129" s="7">
        <v>6.97</v>
      </c>
      <c r="D129" s="7">
        <v>4.41</v>
      </c>
      <c r="E129" s="7">
        <v>3.25</v>
      </c>
      <c r="F129" s="7">
        <v>2.6</v>
      </c>
      <c r="G129" s="7">
        <v>17.22</v>
      </c>
      <c r="I129">
        <f>C135</f>
        <v>0</v>
      </c>
      <c r="J129">
        <f t="shared" ref="J129:J130" si="176">D135</f>
        <v>0</v>
      </c>
      <c r="K129">
        <f t="shared" ref="K129:K130" si="177">E135</f>
        <v>0</v>
      </c>
      <c r="L129">
        <f t="shared" ref="L129:L130" si="178">F135</f>
        <v>0</v>
      </c>
    </row>
    <row r="130" spans="1:17" x14ac:dyDescent="0.3">
      <c r="A130" s="2"/>
      <c r="B130" s="18"/>
      <c r="C130" s="7">
        <v>40.44</v>
      </c>
      <c r="D130" s="7">
        <v>25.61</v>
      </c>
      <c r="E130" s="7">
        <v>18.86</v>
      </c>
      <c r="F130" s="7">
        <v>15.09</v>
      </c>
      <c r="G130" s="7"/>
      <c r="I130">
        <f>C136</f>
        <v>0</v>
      </c>
      <c r="J130">
        <f t="shared" si="176"/>
        <v>0</v>
      </c>
      <c r="K130">
        <f t="shared" si="177"/>
        <v>0</v>
      </c>
      <c r="L130">
        <f t="shared" si="178"/>
        <v>0</v>
      </c>
    </row>
    <row r="131" spans="1:17" x14ac:dyDescent="0.3">
      <c r="A131" s="2"/>
      <c r="B131" s="18"/>
      <c r="C131" s="7">
        <v>27.8</v>
      </c>
      <c r="D131" s="7">
        <v>17.7</v>
      </c>
      <c r="E131" s="7">
        <v>12.98</v>
      </c>
      <c r="F131" s="7">
        <v>10.39</v>
      </c>
      <c r="G131" s="7"/>
      <c r="I131">
        <f>C139</f>
        <v>6707</v>
      </c>
      <c r="J131">
        <f t="shared" ref="J131" si="179">D139</f>
        <v>5906</v>
      </c>
      <c r="K131">
        <f t="shared" ref="K131" si="180">E139</f>
        <v>5459</v>
      </c>
      <c r="L131">
        <f t="shared" ref="L131" si="181">F139</f>
        <v>4804</v>
      </c>
    </row>
    <row r="132" spans="1:17" x14ac:dyDescent="0.3">
      <c r="A132" s="2"/>
      <c r="B132" s="18" t="s">
        <v>24</v>
      </c>
      <c r="C132" s="7">
        <v>17199</v>
      </c>
      <c r="D132" s="7">
        <v>17099</v>
      </c>
      <c r="E132" s="7">
        <v>17171</v>
      </c>
      <c r="F132" s="7">
        <v>17165</v>
      </c>
      <c r="G132" s="7">
        <v>68634</v>
      </c>
    </row>
    <row r="133" spans="1:17" x14ac:dyDescent="0.3">
      <c r="A133" s="2"/>
      <c r="B133" s="18"/>
      <c r="C133" s="7">
        <v>25.06</v>
      </c>
      <c r="D133" s="7">
        <v>24.91</v>
      </c>
      <c r="E133" s="7">
        <v>25.02</v>
      </c>
      <c r="F133" s="7">
        <v>25.01</v>
      </c>
      <c r="G133" s="7">
        <v>100</v>
      </c>
    </row>
    <row r="134" spans="1:17" x14ac:dyDescent="0.3">
      <c r="A134" s="2"/>
      <c r="B134" s="21"/>
      <c r="C134" s="21"/>
      <c r="D134" s="21"/>
      <c r="E134" s="21"/>
      <c r="F134" s="21"/>
      <c r="G134" s="21"/>
    </row>
    <row r="135" spans="1:17" ht="17.25" thickBot="1" x14ac:dyDescent="0.35"/>
    <row r="136" spans="1:17" ht="16.5" customHeight="1" x14ac:dyDescent="0.3">
      <c r="A136" s="4" t="s">
        <v>2</v>
      </c>
      <c r="B136" s="17" t="s">
        <v>31</v>
      </c>
      <c r="C136" s="19"/>
      <c r="D136" s="19"/>
      <c r="E136" s="19"/>
      <c r="F136" s="19"/>
      <c r="G136" s="19"/>
    </row>
    <row r="137" spans="1:17" ht="16.5" customHeight="1" x14ac:dyDescent="0.3">
      <c r="A137" s="6" t="s">
        <v>3</v>
      </c>
      <c r="B137" s="18" t="s">
        <v>11</v>
      </c>
      <c r="C137" s="20" t="s">
        <v>23</v>
      </c>
      <c r="D137" s="20"/>
      <c r="E137" s="20"/>
      <c r="F137" s="20"/>
      <c r="G137" s="20"/>
    </row>
    <row r="138" spans="1:17" x14ac:dyDescent="0.3">
      <c r="A138" s="6" t="s">
        <v>20</v>
      </c>
      <c r="B138" s="1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18">
        <v>1</v>
      </c>
      <c r="C139" s="7">
        <v>6707</v>
      </c>
      <c r="D139" s="7">
        <v>5906</v>
      </c>
      <c r="E139" s="7">
        <v>5459</v>
      </c>
      <c r="F139" s="7">
        <v>4804</v>
      </c>
      <c r="G139" s="7">
        <v>22876</v>
      </c>
      <c r="I139">
        <f>C139</f>
        <v>6707</v>
      </c>
      <c r="J139">
        <f t="shared" ref="J139" si="182">D139</f>
        <v>5906</v>
      </c>
      <c r="K139">
        <f t="shared" ref="K139" si="183">E139</f>
        <v>5459</v>
      </c>
      <c r="L139">
        <f t="shared" ref="L139" si="184">F139</f>
        <v>4804</v>
      </c>
      <c r="N139" t="str">
        <f>TEXT(I139,"#,##0")&amp;" ("&amp;TEXT(I140,"0.00")&amp;")"</f>
        <v>6,707 (39.00)</v>
      </c>
      <c r="O139" t="str">
        <f t="shared" ref="O139" si="185">TEXT(J139,"#,##0")&amp;" ("&amp;TEXT(J140,"0.00")&amp;")"</f>
        <v>5,906 (34.54)</v>
      </c>
      <c r="P139" t="str">
        <f t="shared" ref="P139" si="186">TEXT(K139,"#,##0")&amp;" ("&amp;TEXT(K140,"0.00")&amp;")"</f>
        <v>5,459 (31.79)</v>
      </c>
      <c r="Q139" t="str">
        <f t="shared" ref="Q139" si="187">TEXT(L139,"#,##0")&amp;" ("&amp;TEXT(L140,"0.00")&amp;")"</f>
        <v>4,804 (27.99)</v>
      </c>
    </row>
    <row r="140" spans="1:17" x14ac:dyDescent="0.3">
      <c r="A140" s="2"/>
      <c r="B140" s="18"/>
      <c r="C140" s="7">
        <v>9.77</v>
      </c>
      <c r="D140" s="7">
        <v>8.61</v>
      </c>
      <c r="E140" s="7">
        <v>7.95</v>
      </c>
      <c r="F140" s="7">
        <v>7</v>
      </c>
      <c r="G140" s="7">
        <v>33.33</v>
      </c>
      <c r="I140">
        <f>C142</f>
        <v>39</v>
      </c>
      <c r="J140">
        <f t="shared" ref="J140:J141" si="188">D142</f>
        <v>34.54</v>
      </c>
      <c r="K140">
        <f t="shared" ref="K140:K141" si="189">E142</f>
        <v>31.79</v>
      </c>
      <c r="L140">
        <f t="shared" ref="L140:L141" si="190">F142</f>
        <v>27.99</v>
      </c>
      <c r="N140" t="str">
        <f>TEXT(I141,"#,##0")&amp;" ("&amp;TEXT(I142,"0.00")&amp;")"</f>
        <v>7,972 (46.35)</v>
      </c>
      <c r="O140" t="str">
        <f t="shared" ref="O140" si="191">TEXT(J141,"#,##0")&amp;" ("&amp;TEXT(J142,"0.00")&amp;")"</f>
        <v>8,226 (48.11)</v>
      </c>
      <c r="P140" t="str">
        <f t="shared" ref="P140" si="192">TEXT(K141,"#,##0")&amp;" ("&amp;TEXT(K142,"0.00")&amp;")"</f>
        <v>8,414 (49.00)</v>
      </c>
      <c r="Q140" t="str">
        <f t="shared" ref="Q140" si="193">TEXT(L141,"#,##0")&amp;" ("&amp;TEXT(L142,"0.00")&amp;")"</f>
        <v>8,598 (50.09)</v>
      </c>
    </row>
    <row r="141" spans="1:17" x14ac:dyDescent="0.3">
      <c r="A141" s="2"/>
      <c r="B141" s="18"/>
      <c r="C141" s="7">
        <v>29.32</v>
      </c>
      <c r="D141" s="7">
        <v>25.82</v>
      </c>
      <c r="E141" s="7">
        <v>23.86</v>
      </c>
      <c r="F141" s="7">
        <v>21</v>
      </c>
      <c r="G141" s="7"/>
      <c r="I141">
        <f>C143</f>
        <v>7972</v>
      </c>
      <c r="J141">
        <f t="shared" si="188"/>
        <v>8226</v>
      </c>
      <c r="K141">
        <f t="shared" si="189"/>
        <v>8414</v>
      </c>
      <c r="L141">
        <f t="shared" si="190"/>
        <v>8598</v>
      </c>
      <c r="N141" t="str">
        <f>TEXT(I143,"#,##0")&amp;" ("&amp;TEXT(I144,"0.00")&amp;")"</f>
        <v>2,520 (14.65)</v>
      </c>
      <c r="O141" t="str">
        <f t="shared" ref="O141" si="194">TEXT(J143,"#,##0")&amp;" ("&amp;TEXT(J144,"0.00")&amp;")"</f>
        <v>2,967 (17.35)</v>
      </c>
      <c r="P141" t="str">
        <f t="shared" ref="P141" si="195">TEXT(K143,"#,##0")&amp;" ("&amp;TEXT(K144,"0.00")&amp;")"</f>
        <v>3,298 (19.21)</v>
      </c>
      <c r="Q141" t="str">
        <f t="shared" ref="Q141" si="196">TEXT(L143,"#,##0")&amp;" ("&amp;TEXT(L144,"0.00")&amp;")"</f>
        <v>3,763 (21.92)</v>
      </c>
    </row>
    <row r="142" spans="1:17" x14ac:dyDescent="0.3">
      <c r="A142" s="2"/>
      <c r="B142" s="18"/>
      <c r="C142" s="7">
        <v>39</v>
      </c>
      <c r="D142" s="7">
        <v>34.54</v>
      </c>
      <c r="E142" s="7">
        <v>31.79</v>
      </c>
      <c r="F142" s="7">
        <v>27.99</v>
      </c>
      <c r="G142" s="7"/>
      <c r="I142">
        <f>C146</f>
        <v>46.35</v>
      </c>
      <c r="J142">
        <f t="shared" ref="J142:J143" si="197">D146</f>
        <v>48.11</v>
      </c>
      <c r="K142">
        <f t="shared" ref="K142:K143" si="198">E146</f>
        <v>49</v>
      </c>
      <c r="L142">
        <f t="shared" ref="L142:L143" si="199">F146</f>
        <v>50.09</v>
      </c>
      <c r="N142" t="str">
        <f>TEXT(I145,"#,##0")&amp;" ("&amp;TEXT(I146,"0.00")&amp;")"</f>
        <v>17,199 (0.00)</v>
      </c>
      <c r="O142" t="str">
        <f t="shared" ref="O142" si="200">TEXT(J145,"#,##0")&amp;" ("&amp;TEXT(J146,"0.00")&amp;")"</f>
        <v>17,099 (0.00)</v>
      </c>
      <c r="P142" t="str">
        <f t="shared" ref="P142" si="201">TEXT(K145,"#,##0")&amp;" ("&amp;TEXT(K146,"0.00")&amp;")"</f>
        <v>17,171 (0.00)</v>
      </c>
      <c r="Q142" t="str">
        <f t="shared" ref="Q142" si="202">TEXT(L145,"#,##0")&amp;" ("&amp;TEXT(L146,"0.00")&amp;")"</f>
        <v>17,165 (0.00)</v>
      </c>
    </row>
    <row r="143" spans="1:17" x14ac:dyDescent="0.3">
      <c r="A143" s="2"/>
      <c r="B143" s="18">
        <v>2</v>
      </c>
      <c r="C143" s="7">
        <v>7972</v>
      </c>
      <c r="D143" s="7">
        <v>8226</v>
      </c>
      <c r="E143" s="7">
        <v>8414</v>
      </c>
      <c r="F143" s="7">
        <v>8598</v>
      </c>
      <c r="G143" s="7">
        <v>33210</v>
      </c>
      <c r="I143">
        <f>C147</f>
        <v>2520</v>
      </c>
      <c r="J143">
        <f t="shared" si="197"/>
        <v>2967</v>
      </c>
      <c r="K143">
        <f t="shared" si="198"/>
        <v>3298</v>
      </c>
      <c r="L143">
        <f t="shared" si="199"/>
        <v>3763</v>
      </c>
    </row>
    <row r="144" spans="1:17" x14ac:dyDescent="0.3">
      <c r="A144" s="2"/>
      <c r="B144" s="18"/>
      <c r="C144" s="7">
        <v>11.62</v>
      </c>
      <c r="D144" s="7">
        <v>11.99</v>
      </c>
      <c r="E144" s="7">
        <v>12.26</v>
      </c>
      <c r="F144" s="7">
        <v>12.53</v>
      </c>
      <c r="G144" s="7">
        <v>48.39</v>
      </c>
      <c r="I144">
        <f>C150</f>
        <v>14.65</v>
      </c>
      <c r="J144">
        <f t="shared" ref="J144:J145" si="203">D150</f>
        <v>17.350000000000001</v>
      </c>
      <c r="K144">
        <f t="shared" ref="K144:K145" si="204">E150</f>
        <v>19.21</v>
      </c>
      <c r="L144">
        <f t="shared" ref="L144:L145" si="205">F150</f>
        <v>21.92</v>
      </c>
    </row>
    <row r="145" spans="1:17" x14ac:dyDescent="0.3">
      <c r="A145" s="2"/>
      <c r="B145" s="18"/>
      <c r="C145" s="7">
        <v>24</v>
      </c>
      <c r="D145" s="7">
        <v>24.77</v>
      </c>
      <c r="E145" s="7">
        <v>25.34</v>
      </c>
      <c r="F145" s="7">
        <v>25.89</v>
      </c>
      <c r="G145" s="7"/>
      <c r="I145">
        <f>C151</f>
        <v>17199</v>
      </c>
      <c r="J145">
        <f t="shared" si="203"/>
        <v>17099</v>
      </c>
      <c r="K145">
        <f t="shared" si="204"/>
        <v>17171</v>
      </c>
      <c r="L145">
        <f t="shared" si="205"/>
        <v>17165</v>
      </c>
    </row>
    <row r="146" spans="1:17" x14ac:dyDescent="0.3">
      <c r="A146" s="2"/>
      <c r="B146" s="18"/>
      <c r="C146" s="7">
        <v>46.35</v>
      </c>
      <c r="D146" s="7">
        <v>48.11</v>
      </c>
      <c r="E146" s="7">
        <v>49</v>
      </c>
      <c r="F146" s="7">
        <v>50.09</v>
      </c>
      <c r="G146" s="7"/>
      <c r="I146">
        <f>C154</f>
        <v>0</v>
      </c>
      <c r="J146">
        <f t="shared" ref="J146" si="206">D154</f>
        <v>0</v>
      </c>
      <c r="K146">
        <f t="shared" ref="K146" si="207">E154</f>
        <v>0</v>
      </c>
      <c r="L146">
        <f t="shared" ref="L146" si="208">F154</f>
        <v>0</v>
      </c>
    </row>
    <row r="147" spans="1:17" x14ac:dyDescent="0.3">
      <c r="A147" s="2"/>
      <c r="B147" s="18">
        <v>3</v>
      </c>
      <c r="C147" s="7">
        <v>2520</v>
      </c>
      <c r="D147" s="7">
        <v>2967</v>
      </c>
      <c r="E147" s="7">
        <v>3298</v>
      </c>
      <c r="F147" s="7">
        <v>3763</v>
      </c>
      <c r="G147" s="7">
        <v>12548</v>
      </c>
    </row>
    <row r="148" spans="1:17" x14ac:dyDescent="0.3">
      <c r="A148" s="2"/>
      <c r="B148" s="18"/>
      <c r="C148" s="7">
        <v>3.67</v>
      </c>
      <c r="D148" s="7">
        <v>4.32</v>
      </c>
      <c r="E148" s="7">
        <v>4.8099999999999996</v>
      </c>
      <c r="F148" s="7">
        <v>5.48</v>
      </c>
      <c r="G148" s="7">
        <v>18.28</v>
      </c>
    </row>
    <row r="149" spans="1:17" x14ac:dyDescent="0.3">
      <c r="A149" s="2"/>
      <c r="B149" s="18"/>
      <c r="C149" s="7">
        <v>20.079999999999998</v>
      </c>
      <c r="D149" s="7">
        <v>23.65</v>
      </c>
      <c r="E149" s="7">
        <v>26.28</v>
      </c>
      <c r="F149" s="7">
        <v>29.99</v>
      </c>
      <c r="G149" s="7"/>
    </row>
    <row r="150" spans="1:17" x14ac:dyDescent="0.3">
      <c r="A150" s="2"/>
      <c r="B150" s="18"/>
      <c r="C150" s="7">
        <v>14.65</v>
      </c>
      <c r="D150" s="7">
        <v>17.350000000000001</v>
      </c>
      <c r="E150" s="7">
        <v>19.21</v>
      </c>
      <c r="F150" s="7">
        <v>21.92</v>
      </c>
      <c r="G150" s="7"/>
    </row>
    <row r="151" spans="1:17" x14ac:dyDescent="0.3">
      <c r="A151" s="2"/>
      <c r="B151" s="18" t="s">
        <v>24</v>
      </c>
      <c r="C151" s="7">
        <v>17199</v>
      </c>
      <c r="D151" s="7">
        <v>17099</v>
      </c>
      <c r="E151" s="7">
        <v>17171</v>
      </c>
      <c r="F151" s="7">
        <v>17165</v>
      </c>
      <c r="G151" s="7">
        <v>68634</v>
      </c>
    </row>
    <row r="152" spans="1:17" x14ac:dyDescent="0.3">
      <c r="A152" s="2"/>
      <c r="B152" s="18"/>
      <c r="C152" s="7">
        <v>25.06</v>
      </c>
      <c r="D152" s="7">
        <v>24.91</v>
      </c>
      <c r="E152" s="7">
        <v>25.02</v>
      </c>
      <c r="F152" s="7">
        <v>25.01</v>
      </c>
      <c r="G152" s="7">
        <v>100</v>
      </c>
    </row>
    <row r="153" spans="1:17" x14ac:dyDescent="0.3">
      <c r="A153" s="2"/>
      <c r="B153" s="21"/>
      <c r="C153" s="21"/>
      <c r="D153" s="21"/>
      <c r="E153" s="21"/>
      <c r="F153" s="21"/>
      <c r="G153" s="21"/>
    </row>
    <row r="154" spans="1:17" ht="17.25" thickBot="1" x14ac:dyDescent="0.35"/>
    <row r="155" spans="1:17" ht="16.5" customHeight="1" x14ac:dyDescent="0.3">
      <c r="A155" s="4" t="s">
        <v>2</v>
      </c>
      <c r="B155" s="17" t="s">
        <v>32</v>
      </c>
      <c r="C155" s="19"/>
      <c r="D155" s="19"/>
      <c r="E155" s="19"/>
      <c r="F155" s="19"/>
      <c r="G155" s="19"/>
    </row>
    <row r="156" spans="1:17" ht="16.5" customHeight="1" x14ac:dyDescent="0.3">
      <c r="A156" s="6" t="s">
        <v>3</v>
      </c>
      <c r="B156" s="18" t="s">
        <v>12</v>
      </c>
      <c r="C156" s="20" t="s">
        <v>23</v>
      </c>
      <c r="D156" s="20"/>
      <c r="E156" s="20"/>
      <c r="F156" s="20"/>
      <c r="G156" s="20"/>
    </row>
    <row r="157" spans="1:17" x14ac:dyDescent="0.3">
      <c r="A157" s="6" t="s">
        <v>20</v>
      </c>
      <c r="B157" s="1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18">
        <v>1</v>
      </c>
      <c r="C158" s="7">
        <v>4761</v>
      </c>
      <c r="D158" s="7">
        <v>4430</v>
      </c>
      <c r="E158" s="7">
        <v>4440</v>
      </c>
      <c r="F158" s="7">
        <v>4626</v>
      </c>
      <c r="G158" s="7">
        <v>18257</v>
      </c>
      <c r="I158">
        <f>C158</f>
        <v>4761</v>
      </c>
      <c r="J158">
        <f t="shared" ref="J158" si="209">D158</f>
        <v>4430</v>
      </c>
      <c r="K158">
        <f t="shared" ref="K158" si="210">E158</f>
        <v>4440</v>
      </c>
      <c r="L158">
        <f t="shared" ref="L158" si="211">F158</f>
        <v>4626</v>
      </c>
      <c r="N158" t="str">
        <f>TEXT(I158,"#,##0")&amp;" ("&amp;TEXT(I159,"0.00")&amp;")"</f>
        <v>4,761 (27.68)</v>
      </c>
      <c r="O158" t="str">
        <f t="shared" ref="O158" si="212">TEXT(J158,"#,##0")&amp;" ("&amp;TEXT(J159,"0.00")&amp;")"</f>
        <v>4,430 (25.91)</v>
      </c>
      <c r="P158" t="str">
        <f t="shared" ref="P158" si="213">TEXT(K158,"#,##0")&amp;" ("&amp;TEXT(K159,"0.00")&amp;")"</f>
        <v>4,440 (25.86)</v>
      </c>
      <c r="Q158" t="str">
        <f t="shared" ref="Q158" si="214">TEXT(L158,"#,##0")&amp;" ("&amp;TEXT(L159,"0.00")&amp;")"</f>
        <v>4,626 (26.95)</v>
      </c>
    </row>
    <row r="159" spans="1:17" x14ac:dyDescent="0.3">
      <c r="A159" s="2"/>
      <c r="B159" s="18"/>
      <c r="C159" s="7">
        <v>6.94</v>
      </c>
      <c r="D159" s="7">
        <v>6.45</v>
      </c>
      <c r="E159" s="7">
        <v>6.47</v>
      </c>
      <c r="F159" s="7">
        <v>6.74</v>
      </c>
      <c r="G159" s="7">
        <v>26.6</v>
      </c>
      <c r="I159">
        <f>C161</f>
        <v>27.68</v>
      </c>
      <c r="J159">
        <f t="shared" ref="J159:J160" si="215">D161</f>
        <v>25.91</v>
      </c>
      <c r="K159">
        <f t="shared" ref="K159:K160" si="216">E161</f>
        <v>25.86</v>
      </c>
      <c r="L159">
        <f t="shared" ref="L159:L160" si="217">F161</f>
        <v>26.95</v>
      </c>
      <c r="N159" t="str">
        <f>TEXT(I160,"#,##0")&amp;" ("&amp;TEXT(I161,"0.00")&amp;")"</f>
        <v>10,150 (59.02)</v>
      </c>
      <c r="O159" t="str">
        <f t="shared" ref="O159" si="218">TEXT(J160,"#,##0")&amp;" ("&amp;TEXT(J161,"0.00")&amp;")"</f>
        <v>9,962 (58.26)</v>
      </c>
      <c r="P159" t="str">
        <f t="shared" ref="P159" si="219">TEXT(K160,"#,##0")&amp;" ("&amp;TEXT(K161,"0.00")&amp;")"</f>
        <v>9,818 (57.18)</v>
      </c>
      <c r="Q159" t="str">
        <f t="shared" ref="Q159" si="220">TEXT(L160,"#,##0")&amp;" ("&amp;TEXT(L161,"0.00")&amp;")"</f>
        <v>9,621 (56.05)</v>
      </c>
    </row>
    <row r="160" spans="1:17" x14ac:dyDescent="0.3">
      <c r="A160" s="2"/>
      <c r="B160" s="18"/>
      <c r="C160" s="7">
        <v>26.08</v>
      </c>
      <c r="D160" s="7">
        <v>24.26</v>
      </c>
      <c r="E160" s="7">
        <v>24.32</v>
      </c>
      <c r="F160" s="7">
        <v>25.34</v>
      </c>
      <c r="G160" s="7"/>
      <c r="I160">
        <f>C162</f>
        <v>10150</v>
      </c>
      <c r="J160">
        <f t="shared" si="215"/>
        <v>9962</v>
      </c>
      <c r="K160">
        <f t="shared" si="216"/>
        <v>9818</v>
      </c>
      <c r="L160">
        <f t="shared" si="217"/>
        <v>9621</v>
      </c>
      <c r="N160" t="str">
        <f>TEXT(I162,"#,##0")&amp;" ("&amp;TEXT(I163,"0.00")&amp;")"</f>
        <v>2,288 (13.30)</v>
      </c>
      <c r="O160" t="str">
        <f t="shared" ref="O160" si="221">TEXT(J162,"#,##0")&amp;" ("&amp;TEXT(J163,"0.00")&amp;")"</f>
        <v>2,707 (15.83)</v>
      </c>
      <c r="P160" t="str">
        <f t="shared" ref="P160" si="222">TEXT(K162,"#,##0")&amp;" ("&amp;TEXT(K163,"0.00")&amp;")"</f>
        <v>2,913 (16.96)</v>
      </c>
      <c r="Q160" t="str">
        <f t="shared" ref="Q160" si="223">TEXT(L162,"#,##0")&amp;" ("&amp;TEXT(L163,"0.00")&amp;")"</f>
        <v>2,918 (17.00)</v>
      </c>
    </row>
    <row r="161" spans="1:17" x14ac:dyDescent="0.3">
      <c r="A161" s="2"/>
      <c r="B161" s="18"/>
      <c r="C161" s="7">
        <v>27.68</v>
      </c>
      <c r="D161" s="7">
        <v>25.91</v>
      </c>
      <c r="E161" s="7">
        <v>25.86</v>
      </c>
      <c r="F161" s="7">
        <v>26.95</v>
      </c>
      <c r="G161" s="7"/>
      <c r="I161">
        <f>C165</f>
        <v>59.02</v>
      </c>
      <c r="J161">
        <f t="shared" ref="J161:J162" si="224">D165</f>
        <v>58.26</v>
      </c>
      <c r="K161">
        <f t="shared" ref="K161:K162" si="225">E165</f>
        <v>57.18</v>
      </c>
      <c r="L161">
        <f t="shared" ref="L161:L162" si="226">F165</f>
        <v>56.05</v>
      </c>
      <c r="N161" t="str">
        <f>TEXT(I164,"#,##0")&amp;" ("&amp;TEXT(I165,"0.00")&amp;")"</f>
        <v>17,199 (0.00)</v>
      </c>
      <c r="O161" t="str">
        <f t="shared" ref="O161" si="227">TEXT(J164,"#,##0")&amp;" ("&amp;TEXT(J165,"0.00")&amp;")"</f>
        <v>17,099 (0.00)</v>
      </c>
      <c r="P161" t="str">
        <f t="shared" ref="P161" si="228">TEXT(K164,"#,##0")&amp;" ("&amp;TEXT(K165,"0.00")&amp;")"</f>
        <v>17,171 (0.00)</v>
      </c>
      <c r="Q161" t="str">
        <f t="shared" ref="Q161" si="229">TEXT(L164,"#,##0")&amp;" ("&amp;TEXT(L165,"0.00")&amp;")"</f>
        <v>17,165 (0.00)</v>
      </c>
    </row>
    <row r="162" spans="1:17" x14ac:dyDescent="0.3">
      <c r="A162" s="2"/>
      <c r="B162" s="18">
        <v>2</v>
      </c>
      <c r="C162" s="7">
        <v>10150</v>
      </c>
      <c r="D162" s="7">
        <v>9962</v>
      </c>
      <c r="E162" s="7">
        <v>9818</v>
      </c>
      <c r="F162" s="7">
        <v>9621</v>
      </c>
      <c r="G162" s="7">
        <v>39551</v>
      </c>
      <c r="I162">
        <f>C166</f>
        <v>2288</v>
      </c>
      <c r="J162">
        <f t="shared" si="224"/>
        <v>2707</v>
      </c>
      <c r="K162">
        <f t="shared" si="225"/>
        <v>2913</v>
      </c>
      <c r="L162">
        <f t="shared" si="226"/>
        <v>2918</v>
      </c>
    </row>
    <row r="163" spans="1:17" x14ac:dyDescent="0.3">
      <c r="A163" s="2"/>
      <c r="B163" s="18"/>
      <c r="C163" s="7">
        <v>14.79</v>
      </c>
      <c r="D163" s="7">
        <v>14.51</v>
      </c>
      <c r="E163" s="7">
        <v>14.3</v>
      </c>
      <c r="F163" s="7">
        <v>14.02</v>
      </c>
      <c r="G163" s="7">
        <v>57.63</v>
      </c>
      <c r="I163">
        <f>C169</f>
        <v>13.3</v>
      </c>
      <c r="J163">
        <f t="shared" ref="J163:J164" si="230">D169</f>
        <v>15.83</v>
      </c>
      <c r="K163">
        <f t="shared" ref="K163:K164" si="231">E169</f>
        <v>16.96</v>
      </c>
      <c r="L163">
        <f t="shared" ref="L163:L164" si="232">F169</f>
        <v>17</v>
      </c>
    </row>
    <row r="164" spans="1:17" x14ac:dyDescent="0.3">
      <c r="A164" s="2"/>
      <c r="B164" s="18"/>
      <c r="C164" s="7">
        <v>25.66</v>
      </c>
      <c r="D164" s="7">
        <v>25.19</v>
      </c>
      <c r="E164" s="7">
        <v>24.82</v>
      </c>
      <c r="F164" s="7">
        <v>24.33</v>
      </c>
      <c r="G164" s="7"/>
      <c r="I164">
        <f>C170</f>
        <v>17199</v>
      </c>
      <c r="J164">
        <f t="shared" si="230"/>
        <v>17099</v>
      </c>
      <c r="K164">
        <f t="shared" si="231"/>
        <v>17171</v>
      </c>
      <c r="L164">
        <f t="shared" si="232"/>
        <v>17165</v>
      </c>
    </row>
    <row r="165" spans="1:17" x14ac:dyDescent="0.3">
      <c r="A165" s="2"/>
      <c r="B165" s="18"/>
      <c r="C165" s="7">
        <v>59.02</v>
      </c>
      <c r="D165" s="7">
        <v>58.26</v>
      </c>
      <c r="E165" s="7">
        <v>57.18</v>
      </c>
      <c r="F165" s="7">
        <v>56.05</v>
      </c>
      <c r="G165" s="7"/>
      <c r="I165">
        <f>C173</f>
        <v>0</v>
      </c>
      <c r="J165">
        <f t="shared" ref="J165" si="233">D173</f>
        <v>0</v>
      </c>
      <c r="K165">
        <f t="shared" ref="K165" si="234">E173</f>
        <v>0</v>
      </c>
      <c r="L165">
        <f t="shared" ref="L165" si="235">F173</f>
        <v>0</v>
      </c>
    </row>
    <row r="166" spans="1:17" x14ac:dyDescent="0.3">
      <c r="A166" s="2"/>
      <c r="B166" s="18">
        <v>3</v>
      </c>
      <c r="C166" s="7">
        <v>2288</v>
      </c>
      <c r="D166" s="7">
        <v>2707</v>
      </c>
      <c r="E166" s="7">
        <v>2913</v>
      </c>
      <c r="F166" s="7">
        <v>2918</v>
      </c>
      <c r="G166" s="7">
        <v>10826</v>
      </c>
    </row>
    <row r="167" spans="1:17" x14ac:dyDescent="0.3">
      <c r="A167" s="2"/>
      <c r="B167" s="18"/>
      <c r="C167" s="7">
        <v>3.33</v>
      </c>
      <c r="D167" s="7">
        <v>3.94</v>
      </c>
      <c r="E167" s="7">
        <v>4.24</v>
      </c>
      <c r="F167" s="7">
        <v>4.25</v>
      </c>
      <c r="G167" s="7">
        <v>15.77</v>
      </c>
    </row>
    <row r="168" spans="1:17" x14ac:dyDescent="0.3">
      <c r="A168" s="2"/>
      <c r="B168" s="18"/>
      <c r="C168" s="7">
        <v>21.13</v>
      </c>
      <c r="D168" s="7">
        <v>25</v>
      </c>
      <c r="E168" s="7">
        <v>26.91</v>
      </c>
      <c r="F168" s="7">
        <v>26.95</v>
      </c>
      <c r="G168" s="7"/>
    </row>
    <row r="169" spans="1:17" x14ac:dyDescent="0.3">
      <c r="A169" s="2"/>
      <c r="B169" s="18"/>
      <c r="C169" s="7">
        <v>13.3</v>
      </c>
      <c r="D169" s="7">
        <v>15.83</v>
      </c>
      <c r="E169" s="7">
        <v>16.96</v>
      </c>
      <c r="F169" s="7">
        <v>17</v>
      </c>
      <c r="G169" s="7"/>
    </row>
    <row r="170" spans="1:17" x14ac:dyDescent="0.3">
      <c r="A170" s="2"/>
      <c r="B170" s="18" t="s">
        <v>24</v>
      </c>
      <c r="C170" s="7">
        <v>17199</v>
      </c>
      <c r="D170" s="7">
        <v>17099</v>
      </c>
      <c r="E170" s="7">
        <v>17171</v>
      </c>
      <c r="F170" s="7">
        <v>17165</v>
      </c>
      <c r="G170" s="7">
        <v>68634</v>
      </c>
    </row>
    <row r="171" spans="1:17" x14ac:dyDescent="0.3">
      <c r="A171" s="2"/>
      <c r="B171" s="18"/>
      <c r="C171" s="7">
        <v>25.06</v>
      </c>
      <c r="D171" s="7">
        <v>24.91</v>
      </c>
      <c r="E171" s="7">
        <v>25.02</v>
      </c>
      <c r="F171" s="7">
        <v>25.01</v>
      </c>
      <c r="G171" s="7">
        <v>100</v>
      </c>
    </row>
    <row r="172" spans="1:17" x14ac:dyDescent="0.3">
      <c r="A172" s="2"/>
      <c r="B172" s="21"/>
      <c r="C172" s="21"/>
      <c r="D172" s="21"/>
      <c r="E172" s="21"/>
      <c r="F172" s="21"/>
      <c r="G172" s="21"/>
    </row>
    <row r="173" spans="1:17" ht="17.25" thickBot="1" x14ac:dyDescent="0.35"/>
    <row r="174" spans="1:17" ht="16.5" customHeight="1" x14ac:dyDescent="0.3">
      <c r="A174" s="4" t="s">
        <v>2</v>
      </c>
      <c r="B174" s="17" t="s">
        <v>33</v>
      </c>
      <c r="C174" s="19"/>
      <c r="D174" s="19"/>
      <c r="E174" s="19"/>
      <c r="F174" s="19"/>
      <c r="G174" s="19"/>
    </row>
    <row r="175" spans="1:17" ht="16.5" customHeight="1" x14ac:dyDescent="0.3">
      <c r="A175" s="6" t="s">
        <v>3</v>
      </c>
      <c r="B175" s="18" t="s">
        <v>13</v>
      </c>
      <c r="C175" s="20" t="s">
        <v>23</v>
      </c>
      <c r="D175" s="20"/>
      <c r="E175" s="20"/>
      <c r="F175" s="20"/>
      <c r="G175" s="20"/>
    </row>
    <row r="176" spans="1:17" x14ac:dyDescent="0.3">
      <c r="A176" s="6" t="s">
        <v>20</v>
      </c>
      <c r="B176" s="1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18">
        <v>1</v>
      </c>
      <c r="C177" s="7">
        <v>7172</v>
      </c>
      <c r="D177" s="7">
        <v>7098</v>
      </c>
      <c r="E177" s="7">
        <v>6878</v>
      </c>
      <c r="F177" s="7">
        <v>5760</v>
      </c>
      <c r="G177" s="7">
        <v>26908</v>
      </c>
      <c r="I177">
        <f>C177</f>
        <v>7172</v>
      </c>
      <c r="J177">
        <f t="shared" ref="J177" si="236">D177</f>
        <v>7098</v>
      </c>
      <c r="K177">
        <f t="shared" ref="K177" si="237">E177</f>
        <v>6878</v>
      </c>
      <c r="L177">
        <f t="shared" ref="L177" si="238">F177</f>
        <v>5760</v>
      </c>
      <c r="N177" t="str">
        <f>TEXT(I177,"#,##0")&amp;" ("&amp;TEXT(I178,"0.00")&amp;")"</f>
        <v>7,172 (41.70)</v>
      </c>
      <c r="O177" t="str">
        <f t="shared" ref="O177" si="239">TEXT(J177,"#,##0")&amp;" ("&amp;TEXT(J178,"0.00")&amp;")"</f>
        <v>7,098 (41.51)</v>
      </c>
      <c r="P177" t="str">
        <f t="shared" ref="P177" si="240">TEXT(K177,"#,##0")&amp;" ("&amp;TEXT(K178,"0.00")&amp;")"</f>
        <v>6,878 (40.06)</v>
      </c>
      <c r="Q177" t="str">
        <f t="shared" ref="Q177" si="241">TEXT(L177,"#,##0")&amp;" ("&amp;TEXT(L178,"0.00")&amp;")"</f>
        <v>5,760 (33.56)</v>
      </c>
    </row>
    <row r="178" spans="1:17" x14ac:dyDescent="0.3">
      <c r="A178" s="2"/>
      <c r="B178" s="18"/>
      <c r="C178" s="7">
        <v>10.45</v>
      </c>
      <c r="D178" s="7">
        <v>10.34</v>
      </c>
      <c r="E178" s="7">
        <v>10.02</v>
      </c>
      <c r="F178" s="7">
        <v>8.39</v>
      </c>
      <c r="G178" s="7">
        <v>39.21</v>
      </c>
      <c r="I178">
        <f>C180</f>
        <v>41.7</v>
      </c>
      <c r="J178">
        <f t="shared" ref="J178:J179" si="242">D180</f>
        <v>41.51</v>
      </c>
      <c r="K178">
        <f t="shared" ref="K178:K179" si="243">E180</f>
        <v>40.06</v>
      </c>
      <c r="L178">
        <f t="shared" ref="L178:L179" si="244">F180</f>
        <v>33.56</v>
      </c>
      <c r="N178" t="str">
        <f>TEXT(I179,"#,##0")&amp;" ("&amp;TEXT(I180,"0.00")&amp;")"</f>
        <v>7,077 (41.15)</v>
      </c>
      <c r="O178" t="str">
        <f t="shared" ref="O178" si="245">TEXT(J179,"#,##0")&amp;" ("&amp;TEXT(J180,"0.00")&amp;")"</f>
        <v>6,408 (37.48)</v>
      </c>
      <c r="P178" t="str">
        <f t="shared" ref="P178" si="246">TEXT(K179,"#,##0")&amp;" ("&amp;TEXT(K180,"0.00")&amp;")"</f>
        <v>6,010 (35.00)</v>
      </c>
      <c r="Q178" t="str">
        <f t="shared" ref="Q178" si="247">TEXT(L179,"#,##0")&amp;" ("&amp;TEXT(L180,"0.00")&amp;")"</f>
        <v>5,503 (32.06)</v>
      </c>
    </row>
    <row r="179" spans="1:17" x14ac:dyDescent="0.3">
      <c r="A179" s="2"/>
      <c r="B179" s="18"/>
      <c r="C179" s="7">
        <v>26.65</v>
      </c>
      <c r="D179" s="7">
        <v>26.38</v>
      </c>
      <c r="E179" s="7">
        <v>25.56</v>
      </c>
      <c r="F179" s="7">
        <v>21.41</v>
      </c>
      <c r="G179" s="7"/>
      <c r="I179">
        <f>C181</f>
        <v>7077</v>
      </c>
      <c r="J179">
        <f t="shared" si="242"/>
        <v>6408</v>
      </c>
      <c r="K179">
        <f t="shared" si="243"/>
        <v>6010</v>
      </c>
      <c r="L179">
        <f t="shared" si="244"/>
        <v>5503</v>
      </c>
      <c r="N179" t="str">
        <f>TEXT(I181,"#,##0")&amp;" ("&amp;TEXT(I182,"0.00")&amp;")"</f>
        <v>2,950 (17.15)</v>
      </c>
      <c r="O179" t="str">
        <f t="shared" ref="O179" si="248">TEXT(J181,"#,##0")&amp;" ("&amp;TEXT(J182,"0.00")&amp;")"</f>
        <v>3,593 (21.01)</v>
      </c>
      <c r="P179" t="str">
        <f t="shared" ref="P179" si="249">TEXT(K181,"#,##0")&amp;" ("&amp;TEXT(K182,"0.00")&amp;")"</f>
        <v>4,283 (24.94)</v>
      </c>
      <c r="Q179" t="str">
        <f t="shared" ref="Q179" si="250">TEXT(L181,"#,##0")&amp;" ("&amp;TEXT(L182,"0.00")&amp;")"</f>
        <v>5,902 (34.38)</v>
      </c>
    </row>
    <row r="180" spans="1:17" x14ac:dyDescent="0.3">
      <c r="A180" s="2"/>
      <c r="B180" s="18"/>
      <c r="C180" s="7">
        <v>41.7</v>
      </c>
      <c r="D180" s="7">
        <v>41.51</v>
      </c>
      <c r="E180" s="7">
        <v>40.06</v>
      </c>
      <c r="F180" s="7">
        <v>33.56</v>
      </c>
      <c r="G180" s="7"/>
      <c r="I180">
        <f>C184</f>
        <v>41.15</v>
      </c>
      <c r="J180">
        <f t="shared" ref="J180:J181" si="251">D184</f>
        <v>37.479999999999997</v>
      </c>
      <c r="K180">
        <f t="shared" ref="K180:K181" si="252">E184</f>
        <v>35</v>
      </c>
      <c r="L180">
        <f t="shared" ref="L180:L181" si="253">F184</f>
        <v>32.06</v>
      </c>
      <c r="N180" t="str">
        <f>TEXT(I183,"#,##0")&amp;" ("&amp;TEXT(I184,"0.00")&amp;")"</f>
        <v>17,199 (0.00)</v>
      </c>
      <c r="O180" t="str">
        <f t="shared" ref="O180" si="254">TEXT(J183,"#,##0")&amp;" ("&amp;TEXT(J184,"0.00")&amp;")"</f>
        <v>17,099 (0.00)</v>
      </c>
      <c r="P180" t="str">
        <f t="shared" ref="P180" si="255">TEXT(K183,"#,##0")&amp;" ("&amp;TEXT(K184,"0.00")&amp;")"</f>
        <v>17,171 (0.00)</v>
      </c>
      <c r="Q180" t="str">
        <f t="shared" ref="Q180" si="256">TEXT(L183,"#,##0")&amp;" ("&amp;TEXT(L184,"0.00")&amp;")"</f>
        <v>17,165 (0.00)</v>
      </c>
    </row>
    <row r="181" spans="1:17" x14ac:dyDescent="0.3">
      <c r="A181" s="2"/>
      <c r="B181" s="18">
        <v>2</v>
      </c>
      <c r="C181" s="7">
        <v>7077</v>
      </c>
      <c r="D181" s="7">
        <v>6408</v>
      </c>
      <c r="E181" s="7">
        <v>6010</v>
      </c>
      <c r="F181" s="7">
        <v>5503</v>
      </c>
      <c r="G181" s="7">
        <v>24998</v>
      </c>
      <c r="I181">
        <f>C185</f>
        <v>2950</v>
      </c>
      <c r="J181">
        <f t="shared" si="251"/>
        <v>3593</v>
      </c>
      <c r="K181">
        <f t="shared" si="252"/>
        <v>4283</v>
      </c>
      <c r="L181">
        <f t="shared" si="253"/>
        <v>5902</v>
      </c>
    </row>
    <row r="182" spans="1:17" x14ac:dyDescent="0.3">
      <c r="A182" s="2"/>
      <c r="B182" s="18"/>
      <c r="C182" s="7">
        <v>10.31</v>
      </c>
      <c r="D182" s="7">
        <v>9.34</v>
      </c>
      <c r="E182" s="7">
        <v>8.76</v>
      </c>
      <c r="F182" s="7">
        <v>8.02</v>
      </c>
      <c r="G182" s="7">
        <v>36.42</v>
      </c>
      <c r="I182">
        <f>C188</f>
        <v>17.149999999999999</v>
      </c>
      <c r="J182">
        <f t="shared" ref="J182:J183" si="257">D188</f>
        <v>21.01</v>
      </c>
      <c r="K182">
        <f t="shared" ref="K182:K183" si="258">E188</f>
        <v>24.94</v>
      </c>
      <c r="L182">
        <f t="shared" ref="L182:L183" si="259">F188</f>
        <v>34.380000000000003</v>
      </c>
    </row>
    <row r="183" spans="1:17" x14ac:dyDescent="0.3">
      <c r="A183" s="2"/>
      <c r="B183" s="18"/>
      <c r="C183" s="7">
        <v>28.31</v>
      </c>
      <c r="D183" s="7">
        <v>25.63</v>
      </c>
      <c r="E183" s="7">
        <v>24.04</v>
      </c>
      <c r="F183" s="7">
        <v>22.01</v>
      </c>
      <c r="G183" s="7"/>
      <c r="I183">
        <f>C189</f>
        <v>17199</v>
      </c>
      <c r="J183">
        <f t="shared" si="257"/>
        <v>17099</v>
      </c>
      <c r="K183">
        <f t="shared" si="258"/>
        <v>17171</v>
      </c>
      <c r="L183">
        <f t="shared" si="259"/>
        <v>17165</v>
      </c>
    </row>
    <row r="184" spans="1:17" x14ac:dyDescent="0.3">
      <c r="A184" s="2"/>
      <c r="B184" s="18"/>
      <c r="C184" s="7">
        <v>41.15</v>
      </c>
      <c r="D184" s="7">
        <v>37.479999999999997</v>
      </c>
      <c r="E184" s="7">
        <v>35</v>
      </c>
      <c r="F184" s="7">
        <v>32.06</v>
      </c>
      <c r="G184" s="7"/>
      <c r="I184">
        <f>C192</f>
        <v>0</v>
      </c>
      <c r="J184">
        <f t="shared" ref="J184" si="260">D192</f>
        <v>0</v>
      </c>
      <c r="K184">
        <f t="shared" ref="K184" si="261">E192</f>
        <v>0</v>
      </c>
      <c r="L184">
        <f t="shared" ref="L184" si="262">F192</f>
        <v>0</v>
      </c>
    </row>
    <row r="185" spans="1:17" x14ac:dyDescent="0.3">
      <c r="A185" s="2"/>
      <c r="B185" s="18">
        <v>3</v>
      </c>
      <c r="C185" s="7">
        <v>2950</v>
      </c>
      <c r="D185" s="7">
        <v>3593</v>
      </c>
      <c r="E185" s="7">
        <v>4283</v>
      </c>
      <c r="F185" s="7">
        <v>5902</v>
      </c>
      <c r="G185" s="7">
        <v>16728</v>
      </c>
    </row>
    <row r="186" spans="1:17" x14ac:dyDescent="0.3">
      <c r="A186" s="2"/>
      <c r="B186" s="18"/>
      <c r="C186" s="7">
        <v>4.3</v>
      </c>
      <c r="D186" s="7">
        <v>5.24</v>
      </c>
      <c r="E186" s="7">
        <v>6.24</v>
      </c>
      <c r="F186" s="7">
        <v>8.6</v>
      </c>
      <c r="G186" s="7">
        <v>24.37</v>
      </c>
    </row>
    <row r="187" spans="1:17" x14ac:dyDescent="0.3">
      <c r="A187" s="2"/>
      <c r="B187" s="18"/>
      <c r="C187" s="7">
        <v>17.64</v>
      </c>
      <c r="D187" s="7">
        <v>21.48</v>
      </c>
      <c r="E187" s="7">
        <v>25.6</v>
      </c>
      <c r="F187" s="7">
        <v>35.28</v>
      </c>
      <c r="G187" s="7"/>
    </row>
    <row r="188" spans="1:17" x14ac:dyDescent="0.3">
      <c r="A188" s="2"/>
      <c r="B188" s="18"/>
      <c r="C188" s="7">
        <v>17.149999999999999</v>
      </c>
      <c r="D188" s="7">
        <v>21.01</v>
      </c>
      <c r="E188" s="7">
        <v>24.94</v>
      </c>
      <c r="F188" s="7">
        <v>34.380000000000003</v>
      </c>
      <c r="G188" s="7"/>
    </row>
    <row r="189" spans="1:17" x14ac:dyDescent="0.3">
      <c r="A189" s="2"/>
      <c r="B189" s="18" t="s">
        <v>24</v>
      </c>
      <c r="C189" s="7">
        <v>17199</v>
      </c>
      <c r="D189" s="7">
        <v>17099</v>
      </c>
      <c r="E189" s="7">
        <v>17171</v>
      </c>
      <c r="F189" s="7">
        <v>17165</v>
      </c>
      <c r="G189" s="7">
        <v>68634</v>
      </c>
    </row>
    <row r="190" spans="1:17" x14ac:dyDescent="0.3">
      <c r="A190" s="2"/>
      <c r="B190" s="18"/>
      <c r="C190" s="7">
        <v>25.06</v>
      </c>
      <c r="D190" s="7">
        <v>24.91</v>
      </c>
      <c r="E190" s="7">
        <v>25.02</v>
      </c>
      <c r="F190" s="7">
        <v>25.01</v>
      </c>
      <c r="G190" s="7">
        <v>100</v>
      </c>
    </row>
    <row r="191" spans="1:17" x14ac:dyDescent="0.3">
      <c r="A191" s="2"/>
      <c r="B191" s="21"/>
      <c r="C191" s="21"/>
      <c r="D191" s="21"/>
      <c r="E191" s="21"/>
      <c r="F191" s="21"/>
      <c r="G191" s="21"/>
    </row>
    <row r="192" spans="1:17" ht="17.25" thickBot="1" x14ac:dyDescent="0.35"/>
    <row r="193" spans="1:17" ht="16.5" customHeight="1" x14ac:dyDescent="0.3">
      <c r="A193" s="4" t="s">
        <v>2</v>
      </c>
      <c r="B193" s="17" t="s">
        <v>34</v>
      </c>
      <c r="C193" s="19"/>
      <c r="D193" s="19"/>
      <c r="E193" s="19"/>
      <c r="F193" s="19"/>
      <c r="G193" s="19"/>
    </row>
    <row r="194" spans="1:17" ht="16.5" customHeight="1" x14ac:dyDescent="0.3">
      <c r="A194" s="6" t="s">
        <v>3</v>
      </c>
      <c r="B194" s="18" t="s">
        <v>14</v>
      </c>
      <c r="C194" s="20" t="s">
        <v>23</v>
      </c>
      <c r="D194" s="20"/>
      <c r="E194" s="20"/>
      <c r="F194" s="20"/>
      <c r="G194" s="20"/>
    </row>
    <row r="195" spans="1:17" x14ac:dyDescent="0.3">
      <c r="A195" s="6" t="s">
        <v>20</v>
      </c>
      <c r="B195" s="1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18">
        <v>0</v>
      </c>
      <c r="C196" s="7">
        <v>14620</v>
      </c>
      <c r="D196" s="7">
        <v>13567</v>
      </c>
      <c r="E196" s="7">
        <v>12804</v>
      </c>
      <c r="F196" s="7">
        <v>11072</v>
      </c>
      <c r="G196" s="7">
        <v>52063</v>
      </c>
      <c r="I196">
        <f>C196</f>
        <v>14620</v>
      </c>
      <c r="J196">
        <f t="shared" ref="J196" si="263">D196</f>
        <v>13567</v>
      </c>
      <c r="K196">
        <f t="shared" ref="K196" si="264">E196</f>
        <v>12804</v>
      </c>
      <c r="L196">
        <f t="shared" ref="L196" si="265">F196</f>
        <v>11072</v>
      </c>
      <c r="N196" t="str">
        <f>TEXT(I196,"#,##0")&amp;" ("&amp;TEXT(I197,"0.00")&amp;")"</f>
        <v>14,620 (85.00)</v>
      </c>
      <c r="O196" t="str">
        <f t="shared" ref="O196" si="266">TEXT(J196,"#,##0")&amp;" ("&amp;TEXT(J197,"0.00")&amp;")"</f>
        <v>13,567 (79.34)</v>
      </c>
      <c r="P196" t="str">
        <f t="shared" ref="P196" si="267">TEXT(K196,"#,##0")&amp;" ("&amp;TEXT(K197,"0.00")&amp;")"</f>
        <v>12,804 (74.57)</v>
      </c>
      <c r="Q196" t="str">
        <f t="shared" ref="Q196" si="268">TEXT(L196,"#,##0")&amp;" ("&amp;TEXT(L197,"0.00")&amp;")"</f>
        <v>11,072 (64.50)</v>
      </c>
    </row>
    <row r="197" spans="1:17" x14ac:dyDescent="0.3">
      <c r="A197" s="2"/>
      <c r="B197" s="18"/>
      <c r="C197" s="7">
        <v>21.3</v>
      </c>
      <c r="D197" s="7">
        <v>19.77</v>
      </c>
      <c r="E197" s="7">
        <v>18.66</v>
      </c>
      <c r="F197" s="7">
        <v>16.13</v>
      </c>
      <c r="G197" s="7">
        <v>75.86</v>
      </c>
      <c r="I197">
        <f>C199</f>
        <v>85</v>
      </c>
      <c r="J197">
        <f t="shared" ref="J197:J198" si="269">D199</f>
        <v>79.34</v>
      </c>
      <c r="K197">
        <f t="shared" ref="K197:K198" si="270">E199</f>
        <v>74.569999999999993</v>
      </c>
      <c r="L197">
        <f t="shared" ref="L197:L198" si="271">F199</f>
        <v>64.5</v>
      </c>
      <c r="N197" t="str">
        <f>TEXT(I198,"#,##0")&amp;" ("&amp;TEXT(I199,"0.00")&amp;")"</f>
        <v>2,579 (15.00)</v>
      </c>
      <c r="O197" t="str">
        <f t="shared" ref="O197" si="272">TEXT(J198,"#,##0")&amp;" ("&amp;TEXT(J199,"0.00")&amp;")"</f>
        <v>3,532 (20.66)</v>
      </c>
      <c r="P197" t="str">
        <f t="shared" ref="P197" si="273">TEXT(K198,"#,##0")&amp;" ("&amp;TEXT(K199,"0.00")&amp;")"</f>
        <v>4,367 (25.43)</v>
      </c>
      <c r="Q197" t="str">
        <f t="shared" ref="Q197" si="274">TEXT(L198,"#,##0")&amp;" ("&amp;TEXT(L199,"0.00")&amp;")"</f>
        <v>6,093 (35.50)</v>
      </c>
    </row>
    <row r="198" spans="1:17" x14ac:dyDescent="0.3">
      <c r="A198" s="2"/>
      <c r="B198" s="18"/>
      <c r="C198" s="7">
        <v>28.08</v>
      </c>
      <c r="D198" s="7">
        <v>26.06</v>
      </c>
      <c r="E198" s="7">
        <v>24.59</v>
      </c>
      <c r="F198" s="7">
        <v>21.27</v>
      </c>
      <c r="G198" s="7"/>
      <c r="I198">
        <f>C200</f>
        <v>2579</v>
      </c>
      <c r="J198">
        <f t="shared" si="269"/>
        <v>3532</v>
      </c>
      <c r="K198">
        <f t="shared" si="270"/>
        <v>4367</v>
      </c>
      <c r="L198">
        <f t="shared" si="271"/>
        <v>6093</v>
      </c>
      <c r="N198" t="str">
        <f>TEXT(I200,"#,##0")&amp;" ("&amp;TEXT(I201,"0.00")&amp;")"</f>
        <v>17,199 (0.00)</v>
      </c>
      <c r="O198" t="str">
        <f t="shared" ref="O198" si="275">TEXT(J200,"#,##0")&amp;" ("&amp;TEXT(J201,"0.00")&amp;")"</f>
        <v>17,099 (0.00)</v>
      </c>
      <c r="P198" t="str">
        <f t="shared" ref="P198" si="276">TEXT(K200,"#,##0")&amp;" ("&amp;TEXT(K201,"0.00")&amp;")"</f>
        <v>17,171 (0.00)</v>
      </c>
      <c r="Q198" t="str">
        <f t="shared" ref="Q198" si="277">TEXT(L200,"#,##0")&amp;" ("&amp;TEXT(L201,"0.00")&amp;")"</f>
        <v>17,165 (0.00)</v>
      </c>
    </row>
    <row r="199" spans="1:17" x14ac:dyDescent="0.3">
      <c r="A199" s="2"/>
      <c r="B199" s="18"/>
      <c r="C199" s="7">
        <v>85</v>
      </c>
      <c r="D199" s="7">
        <v>79.34</v>
      </c>
      <c r="E199" s="7">
        <v>74.569999999999993</v>
      </c>
      <c r="F199" s="7">
        <v>64.5</v>
      </c>
      <c r="G199" s="7"/>
      <c r="I199">
        <f>C203</f>
        <v>15</v>
      </c>
      <c r="J199">
        <f t="shared" ref="J199:J200" si="278">D203</f>
        <v>20.66</v>
      </c>
      <c r="K199">
        <f t="shared" ref="K199:K200" si="279">E203</f>
        <v>25.43</v>
      </c>
      <c r="L199">
        <f t="shared" ref="L199:L200" si="280">F203</f>
        <v>35.5</v>
      </c>
      <c r="N199" t="str">
        <f>TEXT(I202,"#,##0")&amp;" ("&amp;TEXT(I203,"0.00")&amp;")"</f>
        <v>0 (15455.00)</v>
      </c>
      <c r="O199" t="str">
        <f t="shared" ref="O199" si="281">TEXT(J202,"#,##0")&amp;" ("&amp;TEXT(J203,"0.00")&amp;")"</f>
        <v>0 (13966.00)</v>
      </c>
      <c r="P199" t="str">
        <f t="shared" ref="P199" si="282">TEXT(K202,"#,##0")&amp;" ("&amp;TEXT(K203,"0.00")&amp;")"</f>
        <v>0 (12728.00)</v>
      </c>
      <c r="Q199" t="str">
        <f t="shared" ref="Q199" si="283">TEXT(L202,"#,##0")&amp;" ("&amp;TEXT(L203,"0.00")&amp;")"</f>
        <v>0 (11761.00)</v>
      </c>
    </row>
    <row r="200" spans="1:17" x14ac:dyDescent="0.3">
      <c r="A200" s="2"/>
      <c r="B200" s="18">
        <v>1</v>
      </c>
      <c r="C200" s="7">
        <v>2579</v>
      </c>
      <c r="D200" s="7">
        <v>3532</v>
      </c>
      <c r="E200" s="7">
        <v>4367</v>
      </c>
      <c r="F200" s="7">
        <v>6093</v>
      </c>
      <c r="G200" s="7">
        <v>16571</v>
      </c>
      <c r="I200">
        <f>C204</f>
        <v>17199</v>
      </c>
      <c r="J200">
        <f t="shared" si="278"/>
        <v>17099</v>
      </c>
      <c r="K200">
        <f t="shared" si="279"/>
        <v>17171</v>
      </c>
      <c r="L200">
        <f t="shared" si="280"/>
        <v>17165</v>
      </c>
    </row>
    <row r="201" spans="1:17" x14ac:dyDescent="0.3">
      <c r="A201" s="2"/>
      <c r="B201" s="18"/>
      <c r="C201" s="7">
        <v>3.76</v>
      </c>
      <c r="D201" s="7">
        <v>5.15</v>
      </c>
      <c r="E201" s="7">
        <v>6.36</v>
      </c>
      <c r="F201" s="7">
        <v>8.8800000000000008</v>
      </c>
      <c r="G201" s="7">
        <v>24.14</v>
      </c>
      <c r="I201">
        <f>C207</f>
        <v>0</v>
      </c>
      <c r="J201">
        <f t="shared" ref="J201:J202" si="284">D207</f>
        <v>0</v>
      </c>
      <c r="K201">
        <f t="shared" ref="K201:K202" si="285">E207</f>
        <v>0</v>
      </c>
      <c r="L201">
        <f t="shared" ref="L201:L202" si="286">F207</f>
        <v>0</v>
      </c>
    </row>
    <row r="202" spans="1:17" x14ac:dyDescent="0.3">
      <c r="A202" s="2"/>
      <c r="B202" s="18"/>
      <c r="C202" s="7">
        <v>15.56</v>
      </c>
      <c r="D202" s="7">
        <v>21.31</v>
      </c>
      <c r="E202" s="7">
        <v>26.35</v>
      </c>
      <c r="F202" s="7">
        <v>36.770000000000003</v>
      </c>
      <c r="G202" s="7"/>
      <c r="I202">
        <f>C208</f>
        <v>0</v>
      </c>
      <c r="J202">
        <f t="shared" si="284"/>
        <v>0</v>
      </c>
      <c r="K202">
        <f t="shared" si="285"/>
        <v>0</v>
      </c>
      <c r="L202">
        <f t="shared" si="286"/>
        <v>0</v>
      </c>
    </row>
    <row r="203" spans="1:17" x14ac:dyDescent="0.3">
      <c r="A203" s="2"/>
      <c r="B203" s="18"/>
      <c r="C203" s="7">
        <v>15</v>
      </c>
      <c r="D203" s="7">
        <v>20.66</v>
      </c>
      <c r="E203" s="7">
        <v>25.43</v>
      </c>
      <c r="F203" s="7">
        <v>35.5</v>
      </c>
      <c r="G203" s="7"/>
      <c r="I203">
        <f>C211</f>
        <v>15455</v>
      </c>
      <c r="J203">
        <f t="shared" ref="J203" si="287">D211</f>
        <v>13966</v>
      </c>
      <c r="K203">
        <f t="shared" ref="K203" si="288">E211</f>
        <v>12728</v>
      </c>
      <c r="L203">
        <f t="shared" ref="L203" si="289">F211</f>
        <v>11761</v>
      </c>
    </row>
    <row r="204" spans="1:17" x14ac:dyDescent="0.3">
      <c r="A204" s="2"/>
      <c r="B204" s="18" t="s">
        <v>24</v>
      </c>
      <c r="C204" s="7">
        <v>17199</v>
      </c>
      <c r="D204" s="7">
        <v>17099</v>
      </c>
      <c r="E204" s="7">
        <v>17171</v>
      </c>
      <c r="F204" s="7">
        <v>17165</v>
      </c>
      <c r="G204" s="7">
        <v>68634</v>
      </c>
    </row>
    <row r="205" spans="1:17" x14ac:dyDescent="0.3">
      <c r="A205" s="2"/>
      <c r="B205" s="18"/>
      <c r="C205" s="7">
        <v>25.06</v>
      </c>
      <c r="D205" s="7">
        <v>24.91</v>
      </c>
      <c r="E205" s="7">
        <v>25.02</v>
      </c>
      <c r="F205" s="7">
        <v>25.01</v>
      </c>
      <c r="G205" s="7">
        <v>100</v>
      </c>
    </row>
    <row r="206" spans="1:17" x14ac:dyDescent="0.3">
      <c r="A206" s="2"/>
      <c r="B206" s="21"/>
      <c r="C206" s="21"/>
      <c r="D206" s="21"/>
      <c r="E206" s="21"/>
      <c r="F206" s="21"/>
      <c r="G206" s="21"/>
    </row>
    <row r="207" spans="1:17" ht="17.25" thickBot="1" x14ac:dyDescent="0.35"/>
    <row r="208" spans="1:17" ht="16.5" customHeight="1" x14ac:dyDescent="0.3">
      <c r="A208" s="4" t="s">
        <v>2</v>
      </c>
      <c r="B208" s="17" t="s">
        <v>35</v>
      </c>
      <c r="C208" s="19"/>
      <c r="D208" s="19"/>
      <c r="E208" s="19"/>
      <c r="F208" s="19"/>
      <c r="G208" s="19"/>
    </row>
    <row r="209" spans="1:17" ht="16.5" customHeight="1" x14ac:dyDescent="0.3">
      <c r="A209" s="6" t="s">
        <v>3</v>
      </c>
      <c r="B209" s="18" t="s">
        <v>15</v>
      </c>
      <c r="C209" s="20" t="s">
        <v>23</v>
      </c>
      <c r="D209" s="20"/>
      <c r="E209" s="20"/>
      <c r="F209" s="20"/>
      <c r="G209" s="20"/>
    </row>
    <row r="210" spans="1:17" x14ac:dyDescent="0.3">
      <c r="A210" s="6" t="s">
        <v>20</v>
      </c>
      <c r="B210" s="1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18">
        <v>0</v>
      </c>
      <c r="C211" s="7">
        <v>15455</v>
      </c>
      <c r="D211" s="7">
        <v>13966</v>
      </c>
      <c r="E211" s="7">
        <v>12728</v>
      </c>
      <c r="F211" s="7">
        <v>11761</v>
      </c>
      <c r="G211" s="7">
        <v>53910</v>
      </c>
      <c r="I211">
        <f>C211</f>
        <v>15455</v>
      </c>
      <c r="J211">
        <f t="shared" ref="J211" si="290">D211</f>
        <v>13966</v>
      </c>
      <c r="K211">
        <f t="shared" ref="K211" si="291">E211</f>
        <v>12728</v>
      </c>
      <c r="L211">
        <f t="shared" ref="L211" si="292">F211</f>
        <v>11761</v>
      </c>
      <c r="N211" t="str">
        <f>TEXT(I211,"#,##0")&amp;" ("&amp;TEXT(I212,"0.00")&amp;")"</f>
        <v>15,455 (89.86)</v>
      </c>
      <c r="O211" t="str">
        <f t="shared" ref="O211" si="293">TEXT(J211,"#,##0")&amp;" ("&amp;TEXT(J212,"0.00")&amp;")"</f>
        <v>13,966 (81.68)</v>
      </c>
      <c r="P211" t="str">
        <f t="shared" ref="P211" si="294">TEXT(K211,"#,##0")&amp;" ("&amp;TEXT(K212,"0.00")&amp;")"</f>
        <v>12,728 (74.12)</v>
      </c>
      <c r="Q211" t="str">
        <f t="shared" ref="Q211" si="295">TEXT(L211,"#,##0")&amp;" ("&amp;TEXT(L212,"0.00")&amp;")"</f>
        <v>11,761 (68.52)</v>
      </c>
    </row>
    <row r="212" spans="1:17" x14ac:dyDescent="0.3">
      <c r="A212" s="2"/>
      <c r="B212" s="18"/>
      <c r="C212" s="7">
        <v>22.52</v>
      </c>
      <c r="D212" s="7">
        <v>20.350000000000001</v>
      </c>
      <c r="E212" s="7">
        <v>18.54</v>
      </c>
      <c r="F212" s="7">
        <v>17.14</v>
      </c>
      <c r="G212" s="7">
        <v>78.55</v>
      </c>
      <c r="I212">
        <f>C214</f>
        <v>89.86</v>
      </c>
      <c r="J212">
        <f t="shared" ref="J212:J213" si="296">D214</f>
        <v>81.680000000000007</v>
      </c>
      <c r="K212">
        <f t="shared" ref="K212:K213" si="297">E214</f>
        <v>74.12</v>
      </c>
      <c r="L212">
        <f t="shared" ref="L212:L213" si="298">F214</f>
        <v>68.52</v>
      </c>
      <c r="N212" t="str">
        <f>TEXT(I213,"#,##0")&amp;" ("&amp;TEXT(I214,"0.00")&amp;")"</f>
        <v>1,744 (10.14)</v>
      </c>
      <c r="O212" t="str">
        <f t="shared" ref="O212" si="299">TEXT(J213,"#,##0")&amp;" ("&amp;TEXT(J214,"0.00")&amp;")"</f>
        <v>3,133 (18.32)</v>
      </c>
      <c r="P212" t="str">
        <f t="shared" ref="P212" si="300">TEXT(K213,"#,##0")&amp;" ("&amp;TEXT(K214,"0.00")&amp;")"</f>
        <v>4,443 (25.88)</v>
      </c>
      <c r="Q212" t="str">
        <f t="shared" ref="Q212" si="301">TEXT(L213,"#,##0")&amp;" ("&amp;TEXT(L214,"0.00")&amp;")"</f>
        <v>5,404 (31.48)</v>
      </c>
    </row>
    <row r="213" spans="1:17" x14ac:dyDescent="0.3">
      <c r="A213" s="2"/>
      <c r="B213" s="18"/>
      <c r="C213" s="7">
        <v>28.67</v>
      </c>
      <c r="D213" s="7">
        <v>25.91</v>
      </c>
      <c r="E213" s="7">
        <v>23.61</v>
      </c>
      <c r="F213" s="7">
        <v>21.82</v>
      </c>
      <c r="G213" s="7"/>
      <c r="I213">
        <f>C215</f>
        <v>1744</v>
      </c>
      <c r="J213">
        <f t="shared" si="296"/>
        <v>3133</v>
      </c>
      <c r="K213">
        <f t="shared" si="297"/>
        <v>4443</v>
      </c>
      <c r="L213">
        <f t="shared" si="298"/>
        <v>5404</v>
      </c>
      <c r="N213" t="str">
        <f>TEXT(I215,"#,##0")&amp;" ("&amp;TEXT(I216,"0.00")&amp;")"</f>
        <v>17,199 (0.00)</v>
      </c>
      <c r="O213" t="str">
        <f t="shared" ref="O213" si="302">TEXT(J215,"#,##0")&amp;" ("&amp;TEXT(J216,"0.00")&amp;")"</f>
        <v>17,099 (0.00)</v>
      </c>
      <c r="P213" t="str">
        <f t="shared" ref="P213" si="303">TEXT(K215,"#,##0")&amp;" ("&amp;TEXT(K216,"0.00")&amp;")"</f>
        <v>17,171 (0.00)</v>
      </c>
      <c r="Q213" t="str">
        <f t="shared" ref="Q213" si="304">TEXT(L215,"#,##0")&amp;" ("&amp;TEXT(L216,"0.00")&amp;")"</f>
        <v>17,165 (0.00)</v>
      </c>
    </row>
    <row r="214" spans="1:17" x14ac:dyDescent="0.3">
      <c r="A214" s="2"/>
      <c r="B214" s="18"/>
      <c r="C214" s="7">
        <v>89.86</v>
      </c>
      <c r="D214" s="7">
        <v>81.680000000000007</v>
      </c>
      <c r="E214" s="7">
        <v>74.12</v>
      </c>
      <c r="F214" s="7">
        <v>68.52</v>
      </c>
      <c r="G214" s="7"/>
      <c r="I214">
        <f>C218</f>
        <v>10.14</v>
      </c>
      <c r="J214">
        <f t="shared" ref="J214:J215" si="305">D218</f>
        <v>18.32</v>
      </c>
      <c r="K214">
        <f t="shared" ref="K214:K215" si="306">E218</f>
        <v>25.88</v>
      </c>
      <c r="L214">
        <f t="shared" ref="L214:L215" si="307">F218</f>
        <v>31.48</v>
      </c>
      <c r="N214" t="str">
        <f>TEXT(I217,"#,##0")&amp;" ("&amp;TEXT(I218,"0.00")&amp;")"</f>
        <v>0 (16080.00)</v>
      </c>
      <c r="O214" t="str">
        <f t="shared" ref="O214" si="308">TEXT(J217,"#,##0")&amp;" ("&amp;TEXT(J218,"0.00")&amp;")"</f>
        <v>0 (14905.00)</v>
      </c>
      <c r="P214" t="str">
        <f t="shared" ref="P214" si="309">TEXT(K217,"#,##0")&amp;" ("&amp;TEXT(K218,"0.00")&amp;")"</f>
        <v>0 (14101.00)</v>
      </c>
      <c r="Q214" t="str">
        <f t="shared" ref="Q214" si="310">TEXT(L217,"#,##0")&amp;" ("&amp;TEXT(L218,"0.00")&amp;")"</f>
        <v>0 (13380.00)</v>
      </c>
    </row>
    <row r="215" spans="1:17" x14ac:dyDescent="0.3">
      <c r="A215" s="2"/>
      <c r="B215" s="18">
        <v>1</v>
      </c>
      <c r="C215" s="7">
        <v>1744</v>
      </c>
      <c r="D215" s="7">
        <v>3133</v>
      </c>
      <c r="E215" s="7">
        <v>4443</v>
      </c>
      <c r="F215" s="7">
        <v>5404</v>
      </c>
      <c r="G215" s="7">
        <v>14724</v>
      </c>
      <c r="I215">
        <f>C219</f>
        <v>17199</v>
      </c>
      <c r="J215">
        <f t="shared" si="305"/>
        <v>17099</v>
      </c>
      <c r="K215">
        <f t="shared" si="306"/>
        <v>17171</v>
      </c>
      <c r="L215">
        <f t="shared" si="307"/>
        <v>17165</v>
      </c>
    </row>
    <row r="216" spans="1:17" x14ac:dyDescent="0.3">
      <c r="A216" s="2"/>
      <c r="B216" s="18"/>
      <c r="C216" s="7">
        <v>2.54</v>
      </c>
      <c r="D216" s="7">
        <v>4.5599999999999996</v>
      </c>
      <c r="E216" s="7">
        <v>6.47</v>
      </c>
      <c r="F216" s="7">
        <v>7.87</v>
      </c>
      <c r="G216" s="7">
        <v>21.45</v>
      </c>
      <c r="I216">
        <f>C222</f>
        <v>0</v>
      </c>
      <c r="J216">
        <f t="shared" ref="J216:J217" si="311">D222</f>
        <v>0</v>
      </c>
      <c r="K216">
        <f t="shared" ref="K216:K217" si="312">E222</f>
        <v>0</v>
      </c>
      <c r="L216">
        <f t="shared" ref="L216:L217" si="313">F222</f>
        <v>0</v>
      </c>
    </row>
    <row r="217" spans="1:17" x14ac:dyDescent="0.3">
      <c r="A217" s="2"/>
      <c r="B217" s="18"/>
      <c r="C217" s="7">
        <v>11.84</v>
      </c>
      <c r="D217" s="7">
        <v>21.28</v>
      </c>
      <c r="E217" s="7">
        <v>30.18</v>
      </c>
      <c r="F217" s="7">
        <v>36.700000000000003</v>
      </c>
      <c r="G217" s="7"/>
      <c r="I217">
        <f>C223</f>
        <v>0</v>
      </c>
      <c r="J217">
        <f t="shared" si="311"/>
        <v>0</v>
      </c>
      <c r="K217">
        <f t="shared" si="312"/>
        <v>0</v>
      </c>
      <c r="L217">
        <f t="shared" si="313"/>
        <v>0</v>
      </c>
    </row>
    <row r="218" spans="1:17" x14ac:dyDescent="0.3">
      <c r="A218" s="2"/>
      <c r="B218" s="18"/>
      <c r="C218" s="7">
        <v>10.14</v>
      </c>
      <c r="D218" s="7">
        <v>18.32</v>
      </c>
      <c r="E218" s="7">
        <v>25.88</v>
      </c>
      <c r="F218" s="7">
        <v>31.48</v>
      </c>
      <c r="G218" s="7"/>
      <c r="I218">
        <f>C226</f>
        <v>16080</v>
      </c>
      <c r="J218">
        <f t="shared" ref="J218" si="314">D226</f>
        <v>14905</v>
      </c>
      <c r="K218">
        <f t="shared" ref="K218" si="315">E226</f>
        <v>14101</v>
      </c>
      <c r="L218">
        <f t="shared" ref="L218" si="316">F226</f>
        <v>13380</v>
      </c>
    </row>
    <row r="219" spans="1:17" x14ac:dyDescent="0.3">
      <c r="A219" s="2"/>
      <c r="B219" s="18" t="s">
        <v>24</v>
      </c>
      <c r="C219" s="7">
        <v>17199</v>
      </c>
      <c r="D219" s="7">
        <v>17099</v>
      </c>
      <c r="E219" s="7">
        <v>17171</v>
      </c>
      <c r="F219" s="7">
        <v>17165</v>
      </c>
      <c r="G219" s="7">
        <v>68634</v>
      </c>
    </row>
    <row r="220" spans="1:17" x14ac:dyDescent="0.3">
      <c r="A220" s="2"/>
      <c r="B220" s="18"/>
      <c r="C220" s="7">
        <v>25.06</v>
      </c>
      <c r="D220" s="7">
        <v>24.91</v>
      </c>
      <c r="E220" s="7">
        <v>25.02</v>
      </c>
      <c r="F220" s="7">
        <v>25.01</v>
      </c>
      <c r="G220" s="7">
        <v>100</v>
      </c>
    </row>
    <row r="221" spans="1:17" x14ac:dyDescent="0.3">
      <c r="A221" s="2"/>
      <c r="B221" s="21"/>
      <c r="C221" s="21"/>
      <c r="D221" s="21"/>
      <c r="E221" s="21"/>
      <c r="F221" s="21"/>
      <c r="G221" s="21"/>
    </row>
    <row r="222" spans="1:17" ht="17.25" thickBot="1" x14ac:dyDescent="0.35"/>
    <row r="223" spans="1:17" ht="16.5" customHeight="1" x14ac:dyDescent="0.3">
      <c r="A223" s="4" t="s">
        <v>2</v>
      </c>
      <c r="B223" s="17" t="s">
        <v>36</v>
      </c>
      <c r="C223" s="19"/>
      <c r="D223" s="19"/>
      <c r="E223" s="19"/>
      <c r="F223" s="19"/>
      <c r="G223" s="19"/>
    </row>
    <row r="224" spans="1:17" ht="16.5" customHeight="1" x14ac:dyDescent="0.3">
      <c r="A224" s="6" t="s">
        <v>3</v>
      </c>
      <c r="B224" s="18" t="s">
        <v>16</v>
      </c>
      <c r="C224" s="20" t="s">
        <v>23</v>
      </c>
      <c r="D224" s="20"/>
      <c r="E224" s="20"/>
      <c r="F224" s="20"/>
      <c r="G224" s="20"/>
    </row>
    <row r="225" spans="1:17" x14ac:dyDescent="0.3">
      <c r="A225" s="6" t="s">
        <v>20</v>
      </c>
      <c r="B225" s="1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18">
        <v>0</v>
      </c>
      <c r="C226" s="7">
        <v>16080</v>
      </c>
      <c r="D226" s="7">
        <v>14905</v>
      </c>
      <c r="E226" s="7">
        <v>14101</v>
      </c>
      <c r="F226" s="7">
        <v>13380</v>
      </c>
      <c r="G226" s="7">
        <v>58466</v>
      </c>
      <c r="I226">
        <f>C226</f>
        <v>16080</v>
      </c>
      <c r="J226">
        <f t="shared" ref="J226" si="317">D226</f>
        <v>14905</v>
      </c>
      <c r="K226">
        <f t="shared" ref="K226" si="318">E226</f>
        <v>14101</v>
      </c>
      <c r="L226">
        <f t="shared" ref="L226" si="319">F226</f>
        <v>13380</v>
      </c>
      <c r="N226" t="str">
        <f>TEXT(I226,"#,##0")&amp;" ("&amp;TEXT(I227,"0.00")&amp;")"</f>
        <v>16,080 (93.49)</v>
      </c>
      <c r="O226" t="str">
        <f t="shared" ref="O226" si="320">TEXT(J226,"#,##0")&amp;" ("&amp;TEXT(J227,"0.00")&amp;")"</f>
        <v>14,905 (87.17)</v>
      </c>
      <c r="P226" t="str">
        <f t="shared" ref="P226" si="321">TEXT(K226,"#,##0")&amp;" ("&amp;TEXT(K227,"0.00")&amp;")"</f>
        <v>14,101 (82.12)</v>
      </c>
      <c r="Q226" t="str">
        <f t="shared" ref="Q226" si="322">TEXT(L226,"#,##0")&amp;" ("&amp;TEXT(L227,"0.00")&amp;")"</f>
        <v>13,380 (77.95)</v>
      </c>
    </row>
    <row r="227" spans="1:17" x14ac:dyDescent="0.3">
      <c r="A227" s="2"/>
      <c r="B227" s="18"/>
      <c r="C227" s="7">
        <v>23.43</v>
      </c>
      <c r="D227" s="7">
        <v>21.72</v>
      </c>
      <c r="E227" s="7">
        <v>20.55</v>
      </c>
      <c r="F227" s="7">
        <v>19.489999999999998</v>
      </c>
      <c r="G227" s="7">
        <v>85.19</v>
      </c>
      <c r="I227">
        <f>C229</f>
        <v>93.49</v>
      </c>
      <c r="J227">
        <f t="shared" ref="J227:J228" si="323">D229</f>
        <v>87.17</v>
      </c>
      <c r="K227">
        <f t="shared" ref="K227:K228" si="324">E229</f>
        <v>82.12</v>
      </c>
      <c r="L227">
        <f t="shared" ref="L227:L228" si="325">F229</f>
        <v>77.95</v>
      </c>
      <c r="N227" t="str">
        <f>TEXT(I228,"#,##0")&amp;" ("&amp;TEXT(I229,"0.00")&amp;")"</f>
        <v>1,119 (6.51)</v>
      </c>
      <c r="O227" t="str">
        <f t="shared" ref="O227" si="326">TEXT(J228,"#,##0")&amp;" ("&amp;TEXT(J229,"0.00")&amp;")"</f>
        <v>2,194 (12.83)</v>
      </c>
      <c r="P227" t="str">
        <f t="shared" ref="P227" si="327">TEXT(K228,"#,##0")&amp;" ("&amp;TEXT(K229,"0.00")&amp;")"</f>
        <v>3,070 (17.88)</v>
      </c>
      <c r="Q227" t="str">
        <f t="shared" ref="Q227" si="328">TEXT(L228,"#,##0")&amp;" ("&amp;TEXT(L229,"0.00")&amp;")"</f>
        <v>3,785 (22.05)</v>
      </c>
    </row>
    <row r="228" spans="1:17" x14ac:dyDescent="0.3">
      <c r="A228" s="2"/>
      <c r="B228" s="18"/>
      <c r="C228" s="7">
        <v>27.5</v>
      </c>
      <c r="D228" s="7">
        <v>25.49</v>
      </c>
      <c r="E228" s="7">
        <v>24.12</v>
      </c>
      <c r="F228" s="7">
        <v>22.89</v>
      </c>
      <c r="G228" s="7"/>
      <c r="I228">
        <f>C230</f>
        <v>1119</v>
      </c>
      <c r="J228">
        <f t="shared" si="323"/>
        <v>2194</v>
      </c>
      <c r="K228">
        <f t="shared" si="324"/>
        <v>3070</v>
      </c>
      <c r="L228">
        <f t="shared" si="325"/>
        <v>3785</v>
      </c>
      <c r="N228" t="str">
        <f>TEXT(I230,"#,##0")&amp;" ("&amp;TEXT(I231,"0.00")&amp;")"</f>
        <v>17,199 (0.00)</v>
      </c>
      <c r="O228" t="str">
        <f t="shared" ref="O228" si="329">TEXT(J230,"#,##0")&amp;" ("&amp;TEXT(J231,"0.00")&amp;")"</f>
        <v>17,099 (0.00)</v>
      </c>
      <c r="P228" t="str">
        <f t="shared" ref="P228" si="330">TEXT(K230,"#,##0")&amp;" ("&amp;TEXT(K231,"0.00")&amp;")"</f>
        <v>17,171 (0.00)</v>
      </c>
      <c r="Q228" t="str">
        <f t="shared" ref="Q228" si="331">TEXT(L230,"#,##0")&amp;" ("&amp;TEXT(L231,"0.00")&amp;")"</f>
        <v>17,165 (0.00)</v>
      </c>
    </row>
    <row r="229" spans="1:17" x14ac:dyDescent="0.3">
      <c r="A229" s="2"/>
      <c r="B229" s="18"/>
      <c r="C229" s="7">
        <v>93.49</v>
      </c>
      <c r="D229" s="7">
        <v>87.17</v>
      </c>
      <c r="E229" s="7">
        <v>82.12</v>
      </c>
      <c r="F229" s="7">
        <v>77.95</v>
      </c>
      <c r="G229" s="7"/>
      <c r="I229">
        <f>C233</f>
        <v>6.51</v>
      </c>
      <c r="J229">
        <f t="shared" ref="J229:J230" si="332">D233</f>
        <v>12.83</v>
      </c>
      <c r="K229">
        <f t="shared" ref="K229:K230" si="333">E233</f>
        <v>17.88</v>
      </c>
      <c r="L229">
        <f t="shared" ref="L229:L230" si="334">F233</f>
        <v>22.05</v>
      </c>
      <c r="N229" t="str">
        <f>TEXT(I232,"#,##0")&amp;" ("&amp;TEXT(I233,"0.00")&amp;")"</f>
        <v>0 (17037.00)</v>
      </c>
      <c r="O229" t="str">
        <f t="shared" ref="O229" si="335">TEXT(J232,"#,##0")&amp;" ("&amp;TEXT(J233,"0.00")&amp;")"</f>
        <v>0 (16798.00)</v>
      </c>
      <c r="P229" t="str">
        <f t="shared" ref="P229" si="336">TEXT(K232,"#,##0")&amp;" ("&amp;TEXT(K233,"0.00")&amp;")"</f>
        <v>0 (16777.00)</v>
      </c>
      <c r="Q229" t="str">
        <f t="shared" ref="Q229" si="337">TEXT(L232,"#,##0")&amp;" ("&amp;TEXT(L233,"0.00")&amp;")"</f>
        <v>0 (16731.00)</v>
      </c>
    </row>
    <row r="230" spans="1:17" x14ac:dyDescent="0.3">
      <c r="A230" s="2"/>
      <c r="B230" s="18">
        <v>1</v>
      </c>
      <c r="C230" s="7">
        <v>1119</v>
      </c>
      <c r="D230" s="7">
        <v>2194</v>
      </c>
      <c r="E230" s="7">
        <v>3070</v>
      </c>
      <c r="F230" s="7">
        <v>3785</v>
      </c>
      <c r="G230" s="7">
        <v>10168</v>
      </c>
      <c r="I230">
        <f>C234</f>
        <v>17199</v>
      </c>
      <c r="J230">
        <f t="shared" si="332"/>
        <v>17099</v>
      </c>
      <c r="K230">
        <f t="shared" si="333"/>
        <v>17171</v>
      </c>
      <c r="L230">
        <f t="shared" si="334"/>
        <v>17165</v>
      </c>
    </row>
    <row r="231" spans="1:17" x14ac:dyDescent="0.3">
      <c r="A231" s="2"/>
      <c r="B231" s="18"/>
      <c r="C231" s="7">
        <v>1.63</v>
      </c>
      <c r="D231" s="7">
        <v>3.2</v>
      </c>
      <c r="E231" s="7">
        <v>4.47</v>
      </c>
      <c r="F231" s="7">
        <v>5.51</v>
      </c>
      <c r="G231" s="7">
        <v>14.81</v>
      </c>
      <c r="I231">
        <f>C237</f>
        <v>0</v>
      </c>
      <c r="J231">
        <f t="shared" ref="J231:J232" si="338">D237</f>
        <v>0</v>
      </c>
      <c r="K231">
        <f t="shared" ref="K231:K232" si="339">E237</f>
        <v>0</v>
      </c>
      <c r="L231">
        <f t="shared" ref="L231:L232" si="340">F237</f>
        <v>0</v>
      </c>
    </row>
    <row r="232" spans="1:17" x14ac:dyDescent="0.3">
      <c r="A232" s="2"/>
      <c r="B232" s="18"/>
      <c r="C232" s="7">
        <v>11.01</v>
      </c>
      <c r="D232" s="7">
        <v>21.58</v>
      </c>
      <c r="E232" s="7">
        <v>30.19</v>
      </c>
      <c r="F232" s="7">
        <v>37.22</v>
      </c>
      <c r="G232" s="7"/>
      <c r="I232">
        <f>C238</f>
        <v>0</v>
      </c>
      <c r="J232">
        <f t="shared" si="338"/>
        <v>0</v>
      </c>
      <c r="K232">
        <f t="shared" si="339"/>
        <v>0</v>
      </c>
      <c r="L232">
        <f t="shared" si="340"/>
        <v>0</v>
      </c>
    </row>
    <row r="233" spans="1:17" x14ac:dyDescent="0.3">
      <c r="A233" s="2"/>
      <c r="B233" s="18"/>
      <c r="C233" s="7">
        <v>6.51</v>
      </c>
      <c r="D233" s="7">
        <v>12.83</v>
      </c>
      <c r="E233" s="7">
        <v>17.88</v>
      </c>
      <c r="F233" s="7">
        <v>22.05</v>
      </c>
      <c r="G233" s="7"/>
      <c r="I233">
        <f>C241</f>
        <v>17037</v>
      </c>
      <c r="J233">
        <f t="shared" ref="J233" si="341">D241</f>
        <v>16798</v>
      </c>
      <c r="K233">
        <f t="shared" ref="K233" si="342">E241</f>
        <v>16777</v>
      </c>
      <c r="L233">
        <f t="shared" ref="L233" si="343">F241</f>
        <v>16731</v>
      </c>
    </row>
    <row r="234" spans="1:17" x14ac:dyDescent="0.3">
      <c r="A234" s="2"/>
      <c r="B234" s="18" t="s">
        <v>24</v>
      </c>
      <c r="C234" s="7">
        <v>17199</v>
      </c>
      <c r="D234" s="7">
        <v>17099</v>
      </c>
      <c r="E234" s="7">
        <v>17171</v>
      </c>
      <c r="F234" s="7">
        <v>17165</v>
      </c>
      <c r="G234" s="7">
        <v>68634</v>
      </c>
    </row>
    <row r="235" spans="1:17" x14ac:dyDescent="0.3">
      <c r="A235" s="2"/>
      <c r="B235" s="18"/>
      <c r="C235" s="7">
        <v>25.06</v>
      </c>
      <c r="D235" s="7">
        <v>24.91</v>
      </c>
      <c r="E235" s="7">
        <v>25.02</v>
      </c>
      <c r="F235" s="7">
        <v>25.01</v>
      </c>
      <c r="G235" s="7">
        <v>100</v>
      </c>
    </row>
    <row r="236" spans="1:17" x14ac:dyDescent="0.3">
      <c r="A236" s="2"/>
      <c r="B236" s="21"/>
      <c r="C236" s="21"/>
      <c r="D236" s="21"/>
      <c r="E236" s="21"/>
      <c r="F236" s="21"/>
      <c r="G236" s="21"/>
    </row>
    <row r="237" spans="1:17" ht="17.25" thickBot="1" x14ac:dyDescent="0.35"/>
    <row r="238" spans="1:17" ht="16.5" customHeight="1" x14ac:dyDescent="0.3">
      <c r="A238" s="4" t="s">
        <v>2</v>
      </c>
      <c r="B238" s="17" t="s">
        <v>37</v>
      </c>
      <c r="C238" s="19"/>
      <c r="D238" s="19"/>
      <c r="E238" s="19"/>
      <c r="F238" s="19"/>
      <c r="G238" s="19"/>
    </row>
    <row r="239" spans="1:17" ht="16.5" customHeight="1" x14ac:dyDescent="0.3">
      <c r="A239" s="6" t="s">
        <v>3</v>
      </c>
      <c r="B239" s="18" t="s">
        <v>17</v>
      </c>
      <c r="C239" s="20" t="s">
        <v>23</v>
      </c>
      <c r="D239" s="20"/>
      <c r="E239" s="20"/>
      <c r="F239" s="20"/>
      <c r="G239" s="20"/>
    </row>
    <row r="240" spans="1:17" x14ac:dyDescent="0.3">
      <c r="A240" s="6" t="s">
        <v>20</v>
      </c>
      <c r="B240" s="1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18">
        <v>0</v>
      </c>
      <c r="C241" s="7">
        <v>17037</v>
      </c>
      <c r="D241" s="7">
        <v>16798</v>
      </c>
      <c r="E241" s="7">
        <v>16777</v>
      </c>
      <c r="F241" s="7">
        <v>16731</v>
      </c>
      <c r="G241" s="7">
        <v>67343</v>
      </c>
      <c r="I241">
        <f>C241</f>
        <v>17037</v>
      </c>
      <c r="J241">
        <f t="shared" ref="J241" si="344">D241</f>
        <v>16798</v>
      </c>
      <c r="K241">
        <f t="shared" ref="K241" si="345">E241</f>
        <v>16777</v>
      </c>
      <c r="L241">
        <f t="shared" ref="L241" si="346">F241</f>
        <v>16731</v>
      </c>
      <c r="N241" t="str">
        <f>TEXT(I241,"#,##0")&amp;" ("&amp;TEXT(I242,"0.00")&amp;")"</f>
        <v>17,037 (99.06)</v>
      </c>
      <c r="O241" t="str">
        <f t="shared" ref="O241" si="347">TEXT(J241,"#,##0")&amp;" ("&amp;TEXT(J242,"0.00")&amp;")"</f>
        <v>16,798 (98.24)</v>
      </c>
      <c r="P241" t="str">
        <f t="shared" ref="P241" si="348">TEXT(K241,"#,##0")&amp;" ("&amp;TEXT(K242,"0.00")&amp;")"</f>
        <v>16,777 (97.71)</v>
      </c>
      <c r="Q241" t="str">
        <f t="shared" ref="Q241" si="349">TEXT(L241,"#,##0")&amp;" ("&amp;TEXT(L242,"0.00")&amp;")"</f>
        <v>16,731 (97.47)</v>
      </c>
    </row>
    <row r="242" spans="1:17" x14ac:dyDescent="0.3">
      <c r="A242" s="2"/>
      <c r="B242" s="18"/>
      <c r="C242" s="7">
        <v>24.82</v>
      </c>
      <c r="D242" s="7">
        <v>24.47</v>
      </c>
      <c r="E242" s="7">
        <v>24.44</v>
      </c>
      <c r="F242" s="7">
        <v>24.38</v>
      </c>
      <c r="G242" s="7">
        <v>98.12</v>
      </c>
      <c r="I242">
        <f>C244</f>
        <v>99.06</v>
      </c>
      <c r="J242">
        <f t="shared" ref="J242:J243" si="350">D244</f>
        <v>98.24</v>
      </c>
      <c r="K242">
        <f t="shared" ref="K242:K243" si="351">E244</f>
        <v>97.71</v>
      </c>
      <c r="L242">
        <f t="shared" ref="L242:L243" si="352">F244</f>
        <v>97.47</v>
      </c>
      <c r="N242" t="str">
        <f>TEXT(I243,"#,##0")&amp;" ("&amp;TEXT(I244,"0.00")&amp;")"</f>
        <v>162 (0.94)</v>
      </c>
      <c r="O242" t="str">
        <f t="shared" ref="O242" si="353">TEXT(J243,"#,##0")&amp;" ("&amp;TEXT(J244,"0.00")&amp;")"</f>
        <v>301 (1.76)</v>
      </c>
      <c r="P242" t="str">
        <f t="shared" ref="P242" si="354">TEXT(K243,"#,##0")&amp;" ("&amp;TEXT(K244,"0.00")&amp;")"</f>
        <v>394 (2.29)</v>
      </c>
      <c r="Q242" t="str">
        <f t="shared" ref="Q242" si="355">TEXT(L243,"#,##0")&amp;" ("&amp;TEXT(L244,"0.00")&amp;")"</f>
        <v>434 (2.53)</v>
      </c>
    </row>
    <row r="243" spans="1:17" x14ac:dyDescent="0.3">
      <c r="A243" s="2"/>
      <c r="B243" s="18"/>
      <c r="C243" s="7">
        <v>25.3</v>
      </c>
      <c r="D243" s="7">
        <v>24.94</v>
      </c>
      <c r="E243" s="7">
        <v>24.91</v>
      </c>
      <c r="F243" s="7">
        <v>24.84</v>
      </c>
      <c r="G243" s="7"/>
      <c r="I243">
        <f>C245</f>
        <v>162</v>
      </c>
      <c r="J243">
        <f t="shared" si="350"/>
        <v>301</v>
      </c>
      <c r="K243">
        <f t="shared" si="351"/>
        <v>394</v>
      </c>
      <c r="L243">
        <f t="shared" si="352"/>
        <v>434</v>
      </c>
      <c r="N243" t="str">
        <f>TEXT(I245,"#,##0")&amp;" ("&amp;TEXT(I246,"0.00")&amp;")"</f>
        <v>17,199 (0.00)</v>
      </c>
      <c r="O243" t="str">
        <f t="shared" ref="O243" si="356">TEXT(J245,"#,##0")&amp;" ("&amp;TEXT(J246,"0.00")&amp;")"</f>
        <v>17,099 (0.00)</v>
      </c>
      <c r="P243" t="str">
        <f t="shared" ref="P243" si="357">TEXT(K245,"#,##0")&amp;" ("&amp;TEXT(K246,"0.00")&amp;")"</f>
        <v>17,171 (0.00)</v>
      </c>
      <c r="Q243" t="str">
        <f t="shared" ref="Q243" si="358">TEXT(L245,"#,##0")&amp;" ("&amp;TEXT(L246,"0.00")&amp;")"</f>
        <v>17,165 (0.00)</v>
      </c>
    </row>
    <row r="244" spans="1:17" x14ac:dyDescent="0.3">
      <c r="A244" s="2"/>
      <c r="B244" s="18"/>
      <c r="C244" s="7">
        <v>99.06</v>
      </c>
      <c r="D244" s="7">
        <v>98.24</v>
      </c>
      <c r="E244" s="7">
        <v>97.71</v>
      </c>
      <c r="F244" s="7">
        <v>97.47</v>
      </c>
      <c r="G244" s="7"/>
      <c r="I244">
        <f>C248</f>
        <v>0.94</v>
      </c>
      <c r="J244">
        <f t="shared" ref="J244:J245" si="359">D248</f>
        <v>1.76</v>
      </c>
      <c r="K244">
        <f t="shared" ref="K244:K245" si="360">E248</f>
        <v>2.29</v>
      </c>
      <c r="L244">
        <f t="shared" ref="L244:L245" si="361">F248</f>
        <v>2.5299999999999998</v>
      </c>
      <c r="N244" t="str">
        <f>TEXT(I247,"#,##0")&amp;" ("&amp;TEXT(I248,"0.00")&amp;")"</f>
        <v>0 (17108.00)</v>
      </c>
      <c r="O244" t="str">
        <f t="shared" ref="O244" si="362">TEXT(J247,"#,##0")&amp;" ("&amp;TEXT(J248,"0.00")&amp;")"</f>
        <v>0 (16943.00)</v>
      </c>
      <c r="P244" t="str">
        <f t="shared" ref="P244" si="363">TEXT(K247,"#,##0")&amp;" ("&amp;TEXT(K248,"0.00")&amp;")"</f>
        <v>0 (16985.00)</v>
      </c>
      <c r="Q244" t="str">
        <f t="shared" ref="Q244" si="364">TEXT(L247,"#,##0")&amp;" ("&amp;TEXT(L248,"0.00")&amp;")"</f>
        <v>0 (16961.00)</v>
      </c>
    </row>
    <row r="245" spans="1:17" x14ac:dyDescent="0.3">
      <c r="A245" s="2"/>
      <c r="B245" s="18">
        <v>1</v>
      </c>
      <c r="C245" s="7">
        <v>162</v>
      </c>
      <c r="D245" s="7">
        <v>301</v>
      </c>
      <c r="E245" s="7">
        <v>394</v>
      </c>
      <c r="F245" s="7">
        <v>434</v>
      </c>
      <c r="G245" s="7">
        <v>1291</v>
      </c>
      <c r="I245">
        <f>C249</f>
        <v>17199</v>
      </c>
      <c r="J245">
        <f t="shared" si="359"/>
        <v>17099</v>
      </c>
      <c r="K245">
        <f t="shared" si="360"/>
        <v>17171</v>
      </c>
      <c r="L245">
        <f t="shared" si="361"/>
        <v>17165</v>
      </c>
    </row>
    <row r="246" spans="1:17" x14ac:dyDescent="0.3">
      <c r="A246" s="2"/>
      <c r="B246" s="18"/>
      <c r="C246" s="7">
        <v>0.24</v>
      </c>
      <c r="D246" s="7">
        <v>0.44</v>
      </c>
      <c r="E246" s="7">
        <v>0.56999999999999995</v>
      </c>
      <c r="F246" s="7">
        <v>0.63</v>
      </c>
      <c r="G246" s="7">
        <v>1.88</v>
      </c>
      <c r="I246">
        <f>C252</f>
        <v>0</v>
      </c>
      <c r="J246">
        <f t="shared" ref="J246:J247" si="365">D252</f>
        <v>0</v>
      </c>
      <c r="K246">
        <f t="shared" ref="K246:K247" si="366">E252</f>
        <v>0</v>
      </c>
      <c r="L246">
        <f t="shared" ref="L246:L247" si="367">F252</f>
        <v>0</v>
      </c>
    </row>
    <row r="247" spans="1:17" x14ac:dyDescent="0.3">
      <c r="A247" s="2"/>
      <c r="B247" s="18"/>
      <c r="C247" s="7">
        <v>12.55</v>
      </c>
      <c r="D247" s="7">
        <v>23.32</v>
      </c>
      <c r="E247" s="7">
        <v>30.52</v>
      </c>
      <c r="F247" s="7">
        <v>33.619999999999997</v>
      </c>
      <c r="G247" s="7"/>
      <c r="I247">
        <f>C253</f>
        <v>0</v>
      </c>
      <c r="J247">
        <f t="shared" si="365"/>
        <v>0</v>
      </c>
      <c r="K247">
        <f t="shared" si="366"/>
        <v>0</v>
      </c>
      <c r="L247">
        <f t="shared" si="367"/>
        <v>0</v>
      </c>
    </row>
    <row r="248" spans="1:17" x14ac:dyDescent="0.3">
      <c r="A248" s="2"/>
      <c r="B248" s="18"/>
      <c r="C248" s="7">
        <v>0.94</v>
      </c>
      <c r="D248" s="7">
        <v>1.76</v>
      </c>
      <c r="E248" s="7">
        <v>2.29</v>
      </c>
      <c r="F248" s="7">
        <v>2.5299999999999998</v>
      </c>
      <c r="G248" s="7"/>
      <c r="I248">
        <f>C256</f>
        <v>17108</v>
      </c>
      <c r="J248">
        <f t="shared" ref="J248" si="368">D256</f>
        <v>16943</v>
      </c>
      <c r="K248">
        <f t="shared" ref="K248" si="369">E256</f>
        <v>16985</v>
      </c>
      <c r="L248">
        <f t="shared" ref="L248" si="370">F256</f>
        <v>16961</v>
      </c>
    </row>
    <row r="249" spans="1:17" x14ac:dyDescent="0.3">
      <c r="A249" s="2"/>
      <c r="B249" s="18" t="s">
        <v>24</v>
      </c>
      <c r="C249" s="7">
        <v>17199</v>
      </c>
      <c r="D249" s="7">
        <v>17099</v>
      </c>
      <c r="E249" s="7">
        <v>17171</v>
      </c>
      <c r="F249" s="7">
        <v>17165</v>
      </c>
      <c r="G249" s="7">
        <v>68634</v>
      </c>
    </row>
    <row r="250" spans="1:17" x14ac:dyDescent="0.3">
      <c r="A250" s="2"/>
      <c r="B250" s="18"/>
      <c r="C250" s="7">
        <v>25.06</v>
      </c>
      <c r="D250" s="7">
        <v>24.91</v>
      </c>
      <c r="E250" s="7">
        <v>25.02</v>
      </c>
      <c r="F250" s="7">
        <v>25.01</v>
      </c>
      <c r="G250" s="7">
        <v>100</v>
      </c>
    </row>
    <row r="251" spans="1:17" x14ac:dyDescent="0.3">
      <c r="A251" s="2"/>
      <c r="B251" s="21"/>
      <c r="C251" s="21"/>
      <c r="D251" s="21"/>
      <c r="E251" s="21"/>
      <c r="F251" s="21"/>
      <c r="G251" s="21"/>
    </row>
    <row r="252" spans="1:17" ht="17.25" thickBot="1" x14ac:dyDescent="0.35"/>
    <row r="253" spans="1:17" ht="16.5" customHeight="1" x14ac:dyDescent="0.3">
      <c r="A253" s="4" t="s">
        <v>2</v>
      </c>
      <c r="B253" s="17" t="s">
        <v>38</v>
      </c>
      <c r="C253" s="19"/>
      <c r="D253" s="19"/>
      <c r="E253" s="19"/>
      <c r="F253" s="19"/>
      <c r="G253" s="19"/>
    </row>
    <row r="254" spans="1:17" ht="16.5" customHeight="1" x14ac:dyDescent="0.3">
      <c r="A254" s="6" t="s">
        <v>3</v>
      </c>
      <c r="B254" s="18" t="s">
        <v>18</v>
      </c>
      <c r="C254" s="20" t="s">
        <v>23</v>
      </c>
      <c r="D254" s="20"/>
      <c r="E254" s="20"/>
      <c r="F254" s="20"/>
      <c r="G254" s="20"/>
    </row>
    <row r="255" spans="1:17" x14ac:dyDescent="0.3">
      <c r="A255" s="6" t="s">
        <v>20</v>
      </c>
      <c r="B255" s="1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18">
        <v>0</v>
      </c>
      <c r="C256" s="7">
        <v>17108</v>
      </c>
      <c r="D256" s="7">
        <v>16943</v>
      </c>
      <c r="E256" s="7">
        <v>16985</v>
      </c>
      <c r="F256" s="7">
        <v>16961</v>
      </c>
      <c r="G256" s="7">
        <v>67997</v>
      </c>
      <c r="I256">
        <f>C256</f>
        <v>17108</v>
      </c>
      <c r="J256">
        <f t="shared" ref="J256" si="371">D256</f>
        <v>16943</v>
      </c>
      <c r="K256">
        <f t="shared" ref="K256" si="372">E256</f>
        <v>16985</v>
      </c>
      <c r="L256">
        <f t="shared" ref="L256" si="373">F256</f>
        <v>16961</v>
      </c>
      <c r="N256" t="str">
        <f>TEXT(I256,"#,##0")&amp;" ("&amp;TEXT(I257,"0.00")&amp;")"</f>
        <v>17,108 (99.47)</v>
      </c>
      <c r="O256" t="str">
        <f t="shared" ref="O256" si="374">TEXT(J256,"#,##0")&amp;" ("&amp;TEXT(J257,"0.00")&amp;")"</f>
        <v>16,943 (99.09)</v>
      </c>
      <c r="P256" t="str">
        <f t="shared" ref="P256" si="375">TEXT(K256,"#,##0")&amp;" ("&amp;TEXT(K257,"0.00")&amp;")"</f>
        <v>16,985 (98.92)</v>
      </c>
      <c r="Q256" t="str">
        <f t="shared" ref="Q256" si="376">TEXT(L256,"#,##0")&amp;" ("&amp;TEXT(L257,"0.00")&amp;")"</f>
        <v>16,961 (98.81)</v>
      </c>
    </row>
    <row r="257" spans="1:17" x14ac:dyDescent="0.3">
      <c r="A257" s="2"/>
      <c r="B257" s="18"/>
      <c r="C257" s="7">
        <v>24.93</v>
      </c>
      <c r="D257" s="7">
        <v>24.69</v>
      </c>
      <c r="E257" s="7">
        <v>24.75</v>
      </c>
      <c r="F257" s="7">
        <v>24.71</v>
      </c>
      <c r="G257" s="7">
        <v>99.07</v>
      </c>
      <c r="I257">
        <f>C259</f>
        <v>99.47</v>
      </c>
      <c r="J257">
        <f t="shared" ref="J257:J258" si="377">D259</f>
        <v>99.09</v>
      </c>
      <c r="K257">
        <f t="shared" ref="K257:K258" si="378">E259</f>
        <v>98.92</v>
      </c>
      <c r="L257">
        <f t="shared" ref="L257:L258" si="379">F259</f>
        <v>98.81</v>
      </c>
      <c r="N257" t="str">
        <f>TEXT(I258,"#,##0")&amp;" ("&amp;TEXT(I259,"0.00")&amp;")"</f>
        <v>91 (0.53)</v>
      </c>
      <c r="O257" t="str">
        <f t="shared" ref="O257" si="380">TEXT(J258,"#,##0")&amp;" ("&amp;TEXT(J259,"0.00")&amp;")"</f>
        <v>156 (0.91)</v>
      </c>
      <c r="P257" t="str">
        <f t="shared" ref="P257" si="381">TEXT(K258,"#,##0")&amp;" ("&amp;TEXT(K259,"0.00")&amp;")"</f>
        <v>186 (1.08)</v>
      </c>
      <c r="Q257" t="str">
        <f t="shared" ref="Q257" si="382">TEXT(L258,"#,##0")&amp;" ("&amp;TEXT(L259,"0.00")&amp;")"</f>
        <v>204 (1.19)</v>
      </c>
    </row>
    <row r="258" spans="1:17" x14ac:dyDescent="0.3">
      <c r="A258" s="2"/>
      <c r="B258" s="18"/>
      <c r="C258" s="7">
        <v>25.16</v>
      </c>
      <c r="D258" s="7">
        <v>24.92</v>
      </c>
      <c r="E258" s="7">
        <v>24.98</v>
      </c>
      <c r="F258" s="7">
        <v>24.94</v>
      </c>
      <c r="G258" s="7"/>
      <c r="I258">
        <f>C260</f>
        <v>91</v>
      </c>
      <c r="J258">
        <f t="shared" si="377"/>
        <v>156</v>
      </c>
      <c r="K258">
        <f t="shared" si="378"/>
        <v>186</v>
      </c>
      <c r="L258">
        <f t="shared" si="379"/>
        <v>204</v>
      </c>
      <c r="N258" t="str">
        <f>TEXT(I260,"#,##0")&amp;" ("&amp;TEXT(I261,"0.00")&amp;")"</f>
        <v>17,199 (0.00)</v>
      </c>
      <c r="O258" t="str">
        <f t="shared" ref="O258" si="383">TEXT(J260,"#,##0")&amp;" ("&amp;TEXT(J261,"0.00")&amp;")"</f>
        <v>17,099 (0.00)</v>
      </c>
      <c r="P258" t="str">
        <f t="shared" ref="P258" si="384">TEXT(K260,"#,##0")&amp;" ("&amp;TEXT(K261,"0.00")&amp;")"</f>
        <v>17,171 (0.00)</v>
      </c>
      <c r="Q258" t="str">
        <f t="shared" ref="Q258" si="385">TEXT(L260,"#,##0")&amp;" ("&amp;TEXT(L261,"0.00")&amp;")"</f>
        <v>17,165 (0.00)</v>
      </c>
    </row>
    <row r="259" spans="1:17" x14ac:dyDescent="0.3">
      <c r="A259" s="2"/>
      <c r="B259" s="18"/>
      <c r="C259" s="7">
        <v>99.47</v>
      </c>
      <c r="D259" s="7">
        <v>99.09</v>
      </c>
      <c r="E259" s="7">
        <v>98.92</v>
      </c>
      <c r="F259" s="7">
        <v>98.81</v>
      </c>
      <c r="G259" s="7"/>
      <c r="I259">
        <f>C263</f>
        <v>0.53</v>
      </c>
      <c r="J259">
        <f t="shared" ref="J259:J260" si="386">D263</f>
        <v>0.91</v>
      </c>
      <c r="K259">
        <f t="shared" ref="K259:K260" si="387">E263</f>
        <v>1.08</v>
      </c>
      <c r="L259">
        <f t="shared" ref="L259:L260" si="388">F263</f>
        <v>1.19</v>
      </c>
      <c r="N259" t="str">
        <f>TEXT(I262,"#,##0")&amp;" ("&amp;TEXT(I263,"0.00")&amp;")"</f>
        <v>0 (17015.00)</v>
      </c>
      <c r="O259" t="str">
        <f t="shared" ref="O259" si="389">TEXT(J262,"#,##0")&amp;" ("&amp;TEXT(J263,"0.00")&amp;")"</f>
        <v>0 (16800.00)</v>
      </c>
      <c r="P259" t="str">
        <f t="shared" ref="P259" si="390">TEXT(K262,"#,##0")&amp;" ("&amp;TEXT(K263,"0.00")&amp;")"</f>
        <v>0 (16816.00)</v>
      </c>
      <c r="Q259" t="str">
        <f t="shared" ref="Q259" si="391">TEXT(L262,"#,##0")&amp;" ("&amp;TEXT(L263,"0.00")&amp;")"</f>
        <v>0 (16802.00)</v>
      </c>
    </row>
    <row r="260" spans="1:17" x14ac:dyDescent="0.3">
      <c r="A260" s="2"/>
      <c r="B260" s="18">
        <v>1</v>
      </c>
      <c r="C260" s="7">
        <v>91</v>
      </c>
      <c r="D260" s="7">
        <v>156</v>
      </c>
      <c r="E260" s="7">
        <v>186</v>
      </c>
      <c r="F260" s="7">
        <v>204</v>
      </c>
      <c r="G260" s="7">
        <v>637</v>
      </c>
      <c r="I260">
        <f>C264</f>
        <v>17199</v>
      </c>
      <c r="J260">
        <f t="shared" si="386"/>
        <v>17099</v>
      </c>
      <c r="K260">
        <f t="shared" si="387"/>
        <v>17171</v>
      </c>
      <c r="L260">
        <f t="shared" si="388"/>
        <v>17165</v>
      </c>
    </row>
    <row r="261" spans="1:17" x14ac:dyDescent="0.3">
      <c r="A261" s="2"/>
      <c r="B261" s="18"/>
      <c r="C261" s="7">
        <v>0.13</v>
      </c>
      <c r="D261" s="7">
        <v>0.23</v>
      </c>
      <c r="E261" s="7">
        <v>0.27</v>
      </c>
      <c r="F261" s="7">
        <v>0.3</v>
      </c>
      <c r="G261" s="7">
        <v>0.93</v>
      </c>
      <c r="I261">
        <f>C267</f>
        <v>0</v>
      </c>
      <c r="J261">
        <f t="shared" ref="J261:J262" si="392">D267</f>
        <v>0</v>
      </c>
      <c r="K261">
        <f t="shared" ref="K261:K262" si="393">E267</f>
        <v>0</v>
      </c>
      <c r="L261">
        <f t="shared" ref="L261:L262" si="394">F267</f>
        <v>0</v>
      </c>
    </row>
    <row r="262" spans="1:17" x14ac:dyDescent="0.3">
      <c r="A262" s="2"/>
      <c r="B262" s="18"/>
      <c r="C262" s="7">
        <v>14.29</v>
      </c>
      <c r="D262" s="7">
        <v>24.49</v>
      </c>
      <c r="E262" s="7">
        <v>29.2</v>
      </c>
      <c r="F262" s="7">
        <v>32.03</v>
      </c>
      <c r="G262" s="7"/>
      <c r="I262">
        <f>C268</f>
        <v>0</v>
      </c>
      <c r="J262">
        <f t="shared" si="392"/>
        <v>0</v>
      </c>
      <c r="K262">
        <f t="shared" si="393"/>
        <v>0</v>
      </c>
      <c r="L262">
        <f t="shared" si="394"/>
        <v>0</v>
      </c>
    </row>
    <row r="263" spans="1:17" x14ac:dyDescent="0.3">
      <c r="A263" s="2"/>
      <c r="B263" s="18"/>
      <c r="C263" s="7">
        <v>0.53</v>
      </c>
      <c r="D263" s="7">
        <v>0.91</v>
      </c>
      <c r="E263" s="7">
        <v>1.08</v>
      </c>
      <c r="F263" s="7">
        <v>1.19</v>
      </c>
      <c r="G263" s="7"/>
      <c r="I263">
        <f>C271</f>
        <v>17015</v>
      </c>
      <c r="J263">
        <f t="shared" ref="J263" si="395">D271</f>
        <v>16800</v>
      </c>
      <c r="K263">
        <f t="shared" ref="K263" si="396">E271</f>
        <v>16816</v>
      </c>
      <c r="L263">
        <f t="shared" ref="L263" si="397">F271</f>
        <v>16802</v>
      </c>
    </row>
    <row r="264" spans="1:17" x14ac:dyDescent="0.3">
      <c r="A264" s="2"/>
      <c r="B264" s="18" t="s">
        <v>24</v>
      </c>
      <c r="C264" s="7">
        <v>17199</v>
      </c>
      <c r="D264" s="7">
        <v>17099</v>
      </c>
      <c r="E264" s="7">
        <v>17171</v>
      </c>
      <c r="F264" s="7">
        <v>17165</v>
      </c>
      <c r="G264" s="7">
        <v>68634</v>
      </c>
    </row>
    <row r="265" spans="1:17" x14ac:dyDescent="0.3">
      <c r="A265" s="2"/>
      <c r="B265" s="18"/>
      <c r="C265" s="7">
        <v>25.06</v>
      </c>
      <c r="D265" s="7">
        <v>24.91</v>
      </c>
      <c r="E265" s="7">
        <v>25.02</v>
      </c>
      <c r="F265" s="7">
        <v>25.01</v>
      </c>
      <c r="G265" s="7">
        <v>100</v>
      </c>
    </row>
    <row r="266" spans="1:17" x14ac:dyDescent="0.3">
      <c r="A266" s="2"/>
      <c r="B266" s="21"/>
      <c r="C266" s="21"/>
      <c r="D266" s="21"/>
      <c r="E266" s="21"/>
      <c r="F266" s="21"/>
      <c r="G266" s="21"/>
    </row>
    <row r="267" spans="1:17" ht="17.25" thickBot="1" x14ac:dyDescent="0.35"/>
    <row r="268" spans="1:17" ht="16.5" customHeight="1" x14ac:dyDescent="0.3">
      <c r="A268" s="4" t="s">
        <v>2</v>
      </c>
      <c r="B268" s="17" t="s">
        <v>39</v>
      </c>
      <c r="C268" s="19"/>
      <c r="D268" s="19"/>
      <c r="E268" s="19"/>
      <c r="F268" s="19"/>
      <c r="G268" s="19"/>
    </row>
    <row r="269" spans="1:17" ht="16.5" customHeight="1" x14ac:dyDescent="0.3">
      <c r="A269" s="6" t="s">
        <v>3</v>
      </c>
      <c r="B269" s="18" t="s">
        <v>19</v>
      </c>
      <c r="C269" s="20" t="s">
        <v>23</v>
      </c>
      <c r="D269" s="20"/>
      <c r="E269" s="20"/>
      <c r="F269" s="20"/>
      <c r="G269" s="20"/>
    </row>
    <row r="270" spans="1:17" x14ac:dyDescent="0.3">
      <c r="A270" s="6" t="s">
        <v>20</v>
      </c>
      <c r="B270" s="1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18">
        <v>0</v>
      </c>
      <c r="C271" s="7">
        <v>17015</v>
      </c>
      <c r="D271" s="7">
        <v>16800</v>
      </c>
      <c r="E271" s="7">
        <v>16816</v>
      </c>
      <c r="F271" s="7">
        <v>16802</v>
      </c>
      <c r="G271" s="7">
        <v>67433</v>
      </c>
      <c r="I271">
        <f>C271</f>
        <v>17015</v>
      </c>
      <c r="J271">
        <f t="shared" ref="J271" si="398">D271</f>
        <v>16800</v>
      </c>
      <c r="K271">
        <f t="shared" ref="K271" si="399">E271</f>
        <v>16816</v>
      </c>
      <c r="L271">
        <f t="shared" ref="L271" si="400">F271</f>
        <v>16802</v>
      </c>
      <c r="N271" t="str">
        <f>TEXT(I271,"#,##0")&amp;" ("&amp;TEXT(I272,"0.00")&amp;")"</f>
        <v>17,015 (98.93)</v>
      </c>
      <c r="O271" t="str">
        <f t="shared" ref="O271" si="401">TEXT(J271,"#,##0")&amp;" ("&amp;TEXT(J272,"0.00")&amp;")"</f>
        <v>16,800 (98.25)</v>
      </c>
      <c r="P271" t="str">
        <f t="shared" ref="P271" si="402">TEXT(K271,"#,##0")&amp;" ("&amp;TEXT(K272,"0.00")&amp;")"</f>
        <v>16,816 (97.93)</v>
      </c>
      <c r="Q271" t="str">
        <f t="shared" ref="Q271" si="403">TEXT(L271,"#,##0")&amp;" ("&amp;TEXT(L272,"0.00")&amp;")"</f>
        <v>16,802 (97.89)</v>
      </c>
    </row>
    <row r="272" spans="1:17" x14ac:dyDescent="0.3">
      <c r="A272" s="2"/>
      <c r="B272" s="18"/>
      <c r="C272" s="7">
        <v>24.79</v>
      </c>
      <c r="D272" s="7">
        <v>24.48</v>
      </c>
      <c r="E272" s="7">
        <v>24.5</v>
      </c>
      <c r="F272" s="7">
        <v>24.48</v>
      </c>
      <c r="G272" s="7">
        <v>98.25</v>
      </c>
      <c r="I272">
        <f>C274</f>
        <v>98.93</v>
      </c>
      <c r="J272">
        <f t="shared" ref="J272:J273" si="404">D274</f>
        <v>98.25</v>
      </c>
      <c r="K272">
        <f t="shared" ref="K272:K273" si="405">E274</f>
        <v>97.93</v>
      </c>
      <c r="L272">
        <f t="shared" ref="L272:L273" si="406">F274</f>
        <v>97.89</v>
      </c>
      <c r="N272" t="str">
        <f>TEXT(I273,"#,##0")&amp;" ("&amp;TEXT(I274,"0.00")&amp;")"</f>
        <v>184 (1.07)</v>
      </c>
      <c r="O272" t="str">
        <f t="shared" ref="O272" si="407">TEXT(J273,"#,##0")&amp;" ("&amp;TEXT(J274,"0.00")&amp;")"</f>
        <v>299 (1.75)</v>
      </c>
      <c r="P272" t="str">
        <f t="shared" ref="P272" si="408">TEXT(K273,"#,##0")&amp;" ("&amp;TEXT(K274,"0.00")&amp;")"</f>
        <v>355 (2.07)</v>
      </c>
      <c r="Q272" t="str">
        <f t="shared" ref="Q272" si="409">TEXT(L273,"#,##0")&amp;" ("&amp;TEXT(L274,"0.00")&amp;")"</f>
        <v>363 (2.11)</v>
      </c>
    </row>
    <row r="273" spans="1:17" x14ac:dyDescent="0.3">
      <c r="A273" s="2"/>
      <c r="B273" s="18"/>
      <c r="C273" s="7">
        <v>25.23</v>
      </c>
      <c r="D273" s="7">
        <v>24.91</v>
      </c>
      <c r="E273" s="7">
        <v>24.94</v>
      </c>
      <c r="F273" s="7">
        <v>24.92</v>
      </c>
      <c r="G273" s="7"/>
      <c r="I273">
        <f>C275</f>
        <v>184</v>
      </c>
      <c r="J273">
        <f t="shared" si="404"/>
        <v>299</v>
      </c>
      <c r="K273">
        <f t="shared" si="405"/>
        <v>355</v>
      </c>
      <c r="L273">
        <f t="shared" si="406"/>
        <v>363</v>
      </c>
      <c r="N273" t="str">
        <f>TEXT(I275,"#,##0")&amp;" ("&amp;TEXT(I276,"0.00")&amp;")"</f>
        <v>17,199 (0.00)</v>
      </c>
      <c r="O273" t="str">
        <f t="shared" ref="O273" si="410">TEXT(J275,"#,##0")&amp;" ("&amp;TEXT(J276,"0.00")&amp;")"</f>
        <v>17,099 (0.00)</v>
      </c>
      <c r="P273" t="str">
        <f t="shared" ref="P273" si="411">TEXT(K275,"#,##0")&amp;" ("&amp;TEXT(K276,"0.00")&amp;")"</f>
        <v>17,171 (0.00)</v>
      </c>
      <c r="Q273" t="str">
        <f t="shared" ref="Q273" si="412">TEXT(L275,"#,##0")&amp;" ("&amp;TEXT(L276,"0.00")&amp;")"</f>
        <v>17,165 (0.00)</v>
      </c>
    </row>
    <row r="274" spans="1:17" x14ac:dyDescent="0.3">
      <c r="A274" s="2"/>
      <c r="B274" s="18"/>
      <c r="C274" s="7">
        <v>98.93</v>
      </c>
      <c r="D274" s="7">
        <v>98.25</v>
      </c>
      <c r="E274" s="7">
        <v>97.93</v>
      </c>
      <c r="F274" s="7">
        <v>97.89</v>
      </c>
      <c r="G274" s="7"/>
      <c r="I274">
        <f>C278</f>
        <v>1.07</v>
      </c>
      <c r="J274">
        <f t="shared" ref="J274:J275" si="413">D278</f>
        <v>1.75</v>
      </c>
      <c r="K274">
        <f t="shared" ref="K274:K275" si="414">E278</f>
        <v>2.0699999999999998</v>
      </c>
      <c r="L274">
        <f t="shared" ref="L274:L275" si="415">F278</f>
        <v>2.11</v>
      </c>
      <c r="N274" t="str">
        <f>TEXT(I277,"#,##0")&amp;" ("&amp;TEXT(I278,"0.00")&amp;")"</f>
        <v>0 (0.00)</v>
      </c>
      <c r="O274" t="str">
        <f t="shared" ref="O274" si="416">TEXT(J277,"#,##0")&amp;" ("&amp;TEXT(J278,"0.00")&amp;")"</f>
        <v>0 (0.00)</v>
      </c>
      <c r="P274" t="str">
        <f t="shared" ref="P274" si="417">TEXT(K277,"#,##0")&amp;" ("&amp;TEXT(K278,"0.00")&amp;")"</f>
        <v>0 (0.00)</v>
      </c>
      <c r="Q274" t="str">
        <f t="shared" ref="Q274" si="418">TEXT(L277,"#,##0")&amp;" ("&amp;TEXT(L278,"0.00")&amp;")"</f>
        <v>0 (0.00)</v>
      </c>
    </row>
    <row r="275" spans="1:17" x14ac:dyDescent="0.3">
      <c r="A275" s="2"/>
      <c r="B275" s="18">
        <v>1</v>
      </c>
      <c r="C275" s="7">
        <v>184</v>
      </c>
      <c r="D275" s="7">
        <v>299</v>
      </c>
      <c r="E275" s="7">
        <v>355</v>
      </c>
      <c r="F275" s="7">
        <v>363</v>
      </c>
      <c r="G275" s="7">
        <v>1201</v>
      </c>
      <c r="I275">
        <f>C279</f>
        <v>17199</v>
      </c>
      <c r="J275">
        <f t="shared" si="413"/>
        <v>17099</v>
      </c>
      <c r="K275">
        <f t="shared" si="414"/>
        <v>17171</v>
      </c>
      <c r="L275">
        <f t="shared" si="415"/>
        <v>17165</v>
      </c>
    </row>
    <row r="276" spans="1:17" x14ac:dyDescent="0.3">
      <c r="A276" s="2"/>
      <c r="B276" s="18"/>
      <c r="C276" s="7">
        <v>0.27</v>
      </c>
      <c r="D276" s="7">
        <v>0.44</v>
      </c>
      <c r="E276" s="7">
        <v>0.52</v>
      </c>
      <c r="F276" s="7">
        <v>0.53</v>
      </c>
      <c r="G276" s="7">
        <v>1.75</v>
      </c>
      <c r="I276">
        <f>C282</f>
        <v>0</v>
      </c>
      <c r="J276">
        <f t="shared" ref="J276:J277" si="419">D282</f>
        <v>0</v>
      </c>
      <c r="K276">
        <f t="shared" ref="K276:K277" si="420">E282</f>
        <v>0</v>
      </c>
      <c r="L276">
        <f t="shared" ref="L276:L277" si="421">F282</f>
        <v>0</v>
      </c>
    </row>
    <row r="277" spans="1:17" x14ac:dyDescent="0.3">
      <c r="A277" s="2"/>
      <c r="B277" s="18"/>
      <c r="C277" s="7">
        <v>15.32</v>
      </c>
      <c r="D277" s="7">
        <v>24.9</v>
      </c>
      <c r="E277" s="7">
        <v>29.56</v>
      </c>
      <c r="F277" s="7">
        <v>30.22</v>
      </c>
      <c r="G277" s="7"/>
      <c r="I277">
        <f>C283</f>
        <v>0</v>
      </c>
      <c r="J277">
        <f t="shared" si="419"/>
        <v>0</v>
      </c>
      <c r="K277">
        <f t="shared" si="420"/>
        <v>0</v>
      </c>
      <c r="L277">
        <f t="shared" si="421"/>
        <v>0</v>
      </c>
    </row>
    <row r="278" spans="1:17" x14ac:dyDescent="0.3">
      <c r="A278" s="2"/>
      <c r="B278" s="18"/>
      <c r="C278" s="7">
        <v>1.07</v>
      </c>
      <c r="D278" s="7">
        <v>1.75</v>
      </c>
      <c r="E278" s="7">
        <v>2.0699999999999998</v>
      </c>
      <c r="F278" s="7">
        <v>2.11</v>
      </c>
      <c r="G278" s="7"/>
      <c r="I278">
        <f>C286</f>
        <v>0</v>
      </c>
      <c r="J278">
        <f t="shared" ref="J278" si="422">D286</f>
        <v>0</v>
      </c>
      <c r="K278">
        <f t="shared" ref="K278" si="423">E286</f>
        <v>0</v>
      </c>
      <c r="L278">
        <f t="shared" ref="L278" si="424">F286</f>
        <v>0</v>
      </c>
    </row>
    <row r="279" spans="1:17" x14ac:dyDescent="0.3">
      <c r="A279" s="2"/>
      <c r="B279" s="18" t="s">
        <v>24</v>
      </c>
      <c r="C279" s="7">
        <v>17199</v>
      </c>
      <c r="D279" s="7">
        <v>17099</v>
      </c>
      <c r="E279" s="7">
        <v>17171</v>
      </c>
      <c r="F279" s="7">
        <v>17165</v>
      </c>
      <c r="G279" s="7">
        <v>68634</v>
      </c>
    </row>
    <row r="280" spans="1:17" x14ac:dyDescent="0.3">
      <c r="A280" s="2"/>
      <c r="B280" s="18"/>
      <c r="C280" s="7">
        <v>25.06</v>
      </c>
      <c r="D280" s="7">
        <v>24.91</v>
      </c>
      <c r="E280" s="7">
        <v>25.02</v>
      </c>
      <c r="F280" s="7">
        <v>25.01</v>
      </c>
      <c r="G280" s="7">
        <v>100</v>
      </c>
    </row>
    <row r="281" spans="1:17" x14ac:dyDescent="0.3">
      <c r="A281" s="2"/>
      <c r="B281" s="21"/>
      <c r="C281" s="21"/>
      <c r="D281" s="21"/>
      <c r="E281" s="21"/>
      <c r="F281" s="21"/>
      <c r="G281" s="21"/>
    </row>
  </sheetData>
  <mergeCells count="122"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9B4E-92FA-43E9-B33C-75196D70F773}">
  <dimension ref="A1:Q281"/>
  <sheetViews>
    <sheetView topLeftCell="A250" workbookViewId="0">
      <selection activeCell="C264" sqref="C264:F264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17" t="s">
        <v>40</v>
      </c>
      <c r="C3" s="19"/>
      <c r="D3" s="19"/>
      <c r="E3" s="19"/>
      <c r="F3" s="19"/>
      <c r="G3" s="19"/>
    </row>
    <row r="4" spans="1:17" ht="16.5" customHeight="1" x14ac:dyDescent="0.3">
      <c r="A4" s="6" t="s">
        <v>3</v>
      </c>
      <c r="B4" s="18" t="s">
        <v>1</v>
      </c>
      <c r="C4" s="20" t="s">
        <v>41</v>
      </c>
      <c r="D4" s="20"/>
      <c r="E4" s="20"/>
      <c r="F4" s="20"/>
      <c r="G4" s="20"/>
    </row>
    <row r="5" spans="1:17" x14ac:dyDescent="0.3">
      <c r="A5" s="6" t="s">
        <v>20</v>
      </c>
      <c r="B5" s="1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18">
        <v>1</v>
      </c>
      <c r="C6" s="7">
        <v>9758</v>
      </c>
      <c r="D6" s="7">
        <v>5846</v>
      </c>
      <c r="E6" s="7">
        <v>3582</v>
      </c>
      <c r="F6" s="7">
        <v>1893</v>
      </c>
      <c r="G6" s="7">
        <v>21079</v>
      </c>
      <c r="I6">
        <f>C6</f>
        <v>9758</v>
      </c>
      <c r="J6">
        <f t="shared" ref="J6:L6" si="0">D6</f>
        <v>5846</v>
      </c>
      <c r="K6">
        <f t="shared" si="0"/>
        <v>3582</v>
      </c>
      <c r="L6">
        <f t="shared" si="0"/>
        <v>1893</v>
      </c>
      <c r="N6" t="str">
        <f>TEXT(I6,"#,##0")&amp;" ("&amp;TEXT(I7,"0.00")&amp;")"</f>
        <v>9,758 (56.87)</v>
      </c>
      <c r="O6" t="str">
        <f t="shared" ref="O6:Q6" si="1">TEXT(J6,"#,##0")&amp;" ("&amp;TEXT(J7,"0.00")&amp;")"</f>
        <v>5,846 (34.07)</v>
      </c>
      <c r="P6" t="str">
        <f t="shared" si="1"/>
        <v>3,582 (20.88)</v>
      </c>
      <c r="Q6" t="str">
        <f t="shared" si="1"/>
        <v>1,893 (11.03)</v>
      </c>
    </row>
    <row r="7" spans="1:17" x14ac:dyDescent="0.3">
      <c r="A7" s="2"/>
      <c r="B7" s="18"/>
      <c r="C7" s="7">
        <v>14.22</v>
      </c>
      <c r="D7" s="7">
        <v>8.52</v>
      </c>
      <c r="E7" s="7">
        <v>5.22</v>
      </c>
      <c r="F7" s="7">
        <v>2.76</v>
      </c>
      <c r="G7" s="7">
        <v>30.71</v>
      </c>
      <c r="I7">
        <f>C9</f>
        <v>56.87</v>
      </c>
      <c r="J7">
        <f t="shared" ref="J7:L8" si="2">D9</f>
        <v>34.07</v>
      </c>
      <c r="K7">
        <f t="shared" si="2"/>
        <v>20.88</v>
      </c>
      <c r="L7">
        <f t="shared" si="2"/>
        <v>11.03</v>
      </c>
      <c r="N7" t="str">
        <f>TEXT(I8,"#,##0")&amp;" ("&amp;TEXT(I9,"0.00")&amp;")"</f>
        <v>6,527 (38.04)</v>
      </c>
      <c r="O7" t="str">
        <f t="shared" ref="O7:Q7" si="3">TEXT(J8,"#,##0")&amp;" ("&amp;TEXT(J9,"0.00")&amp;")"</f>
        <v>8,778 (51.16)</v>
      </c>
      <c r="P7" t="str">
        <f t="shared" si="3"/>
        <v>9,165 (53.41)</v>
      </c>
      <c r="Q7" t="str">
        <f t="shared" si="3"/>
        <v>9,000 (52.45)</v>
      </c>
    </row>
    <row r="8" spans="1:17" x14ac:dyDescent="0.3">
      <c r="A8" s="2"/>
      <c r="B8" s="18"/>
      <c r="C8" s="7">
        <v>46.29</v>
      </c>
      <c r="D8" s="7">
        <v>27.73</v>
      </c>
      <c r="E8" s="7">
        <v>16.989999999999998</v>
      </c>
      <c r="F8" s="7">
        <v>8.98</v>
      </c>
      <c r="G8" s="7"/>
      <c r="I8">
        <f>C10</f>
        <v>6527</v>
      </c>
      <c r="J8">
        <f t="shared" si="2"/>
        <v>8778</v>
      </c>
      <c r="K8">
        <f t="shared" si="2"/>
        <v>9165</v>
      </c>
      <c r="L8">
        <f t="shared" si="2"/>
        <v>9000</v>
      </c>
      <c r="N8" t="str">
        <f>TEXT(I10,"#,##0")&amp;" ("&amp;TEXT(I11,"0.00")&amp;")"</f>
        <v>874 (5.09)</v>
      </c>
      <c r="O8" t="str">
        <f t="shared" ref="O8:Q8" si="4">TEXT(J10,"#,##0")&amp;" ("&amp;TEXT(J11,"0.00")&amp;")"</f>
        <v>2,534 (14.77)</v>
      </c>
      <c r="P8" t="str">
        <f t="shared" si="4"/>
        <v>4,412 (25.71)</v>
      </c>
      <c r="Q8" t="str">
        <f t="shared" si="4"/>
        <v>6,265 (36.51)</v>
      </c>
    </row>
    <row r="9" spans="1:17" x14ac:dyDescent="0.3">
      <c r="A9" s="2"/>
      <c r="B9" s="18"/>
      <c r="C9" s="7">
        <v>56.87</v>
      </c>
      <c r="D9" s="7">
        <v>34.07</v>
      </c>
      <c r="E9" s="7">
        <v>20.88</v>
      </c>
      <c r="F9" s="7">
        <v>11.03</v>
      </c>
      <c r="G9" s="7"/>
      <c r="I9">
        <f>C13</f>
        <v>38.04</v>
      </c>
      <c r="J9">
        <f t="shared" ref="J9:L10" si="5">D13</f>
        <v>51.16</v>
      </c>
      <c r="K9">
        <f t="shared" si="5"/>
        <v>53.41</v>
      </c>
      <c r="L9">
        <f t="shared" si="5"/>
        <v>52.45</v>
      </c>
      <c r="N9" t="str">
        <f>TEXT(I12,"#,##0")&amp;" ("&amp;TEXT(I13,"0.00")&amp;")"</f>
        <v>17,159 (0.00)</v>
      </c>
      <c r="O9" t="str">
        <f t="shared" ref="O9:Q9" si="6">TEXT(J12,"#,##0")&amp;" ("&amp;TEXT(J13,"0.00")&amp;")"</f>
        <v>17,158 (0.00)</v>
      </c>
      <c r="P9" t="str">
        <f t="shared" si="6"/>
        <v>17,159 (0.00)</v>
      </c>
      <c r="Q9" t="str">
        <f t="shared" si="6"/>
        <v>17,158 (0.00)</v>
      </c>
    </row>
    <row r="10" spans="1:17" x14ac:dyDescent="0.3">
      <c r="A10" s="2"/>
      <c r="B10" s="18">
        <v>2</v>
      </c>
      <c r="C10" s="7">
        <v>6527</v>
      </c>
      <c r="D10" s="7">
        <v>8778</v>
      </c>
      <c r="E10" s="7">
        <v>9165</v>
      </c>
      <c r="F10" s="7">
        <v>9000</v>
      </c>
      <c r="G10" s="7">
        <v>33470</v>
      </c>
      <c r="I10">
        <f>C14</f>
        <v>874</v>
      </c>
      <c r="J10">
        <f t="shared" si="5"/>
        <v>2534</v>
      </c>
      <c r="K10">
        <f t="shared" si="5"/>
        <v>4412</v>
      </c>
      <c r="L10">
        <f t="shared" si="5"/>
        <v>6265</v>
      </c>
    </row>
    <row r="11" spans="1:17" x14ac:dyDescent="0.3">
      <c r="A11" s="2"/>
      <c r="B11" s="18"/>
      <c r="C11" s="7">
        <v>9.51</v>
      </c>
      <c r="D11" s="7">
        <v>12.79</v>
      </c>
      <c r="E11" s="7">
        <v>13.35</v>
      </c>
      <c r="F11" s="7">
        <v>13.11</v>
      </c>
      <c r="G11" s="7">
        <v>48.77</v>
      </c>
      <c r="I11">
        <f>C17</f>
        <v>5.09</v>
      </c>
      <c r="J11">
        <f t="shared" ref="J11:L12" si="7">D17</f>
        <v>14.77</v>
      </c>
      <c r="K11">
        <f t="shared" si="7"/>
        <v>25.71</v>
      </c>
      <c r="L11">
        <f t="shared" si="7"/>
        <v>36.51</v>
      </c>
    </row>
    <row r="12" spans="1:17" x14ac:dyDescent="0.3">
      <c r="A12" s="2"/>
      <c r="B12" s="18"/>
      <c r="C12" s="7">
        <v>19.5</v>
      </c>
      <c r="D12" s="7">
        <v>26.23</v>
      </c>
      <c r="E12" s="7">
        <v>27.38</v>
      </c>
      <c r="F12" s="7">
        <v>26.89</v>
      </c>
      <c r="G12" s="7"/>
      <c r="I12">
        <f>C18</f>
        <v>17159</v>
      </c>
      <c r="J12">
        <f t="shared" si="7"/>
        <v>17158</v>
      </c>
      <c r="K12">
        <f t="shared" si="7"/>
        <v>17159</v>
      </c>
      <c r="L12">
        <f t="shared" si="7"/>
        <v>17158</v>
      </c>
    </row>
    <row r="13" spans="1:17" x14ac:dyDescent="0.3">
      <c r="A13" s="2"/>
      <c r="B13" s="18"/>
      <c r="C13" s="7">
        <v>38.04</v>
      </c>
      <c r="D13" s="7">
        <v>51.16</v>
      </c>
      <c r="E13" s="7">
        <v>53.41</v>
      </c>
      <c r="F13" s="7">
        <v>52.45</v>
      </c>
      <c r="G13" s="7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18">
        <v>3</v>
      </c>
      <c r="C14" s="7">
        <v>874</v>
      </c>
      <c r="D14" s="7">
        <v>2534</v>
      </c>
      <c r="E14" s="7">
        <v>4412</v>
      </c>
      <c r="F14" s="7">
        <v>6265</v>
      </c>
      <c r="G14" s="7">
        <v>14085</v>
      </c>
    </row>
    <row r="15" spans="1:17" x14ac:dyDescent="0.3">
      <c r="A15" s="2"/>
      <c r="B15" s="18"/>
      <c r="C15" s="7">
        <v>1.27</v>
      </c>
      <c r="D15" s="7">
        <v>3.69</v>
      </c>
      <c r="E15" s="7">
        <v>6.43</v>
      </c>
      <c r="F15" s="7">
        <v>9.1300000000000008</v>
      </c>
      <c r="G15" s="7">
        <v>20.52</v>
      </c>
    </row>
    <row r="16" spans="1:17" x14ac:dyDescent="0.3">
      <c r="A16" s="2"/>
      <c r="B16" s="18"/>
      <c r="C16" s="7">
        <v>6.21</v>
      </c>
      <c r="D16" s="7">
        <v>17.989999999999998</v>
      </c>
      <c r="E16" s="7">
        <v>31.32</v>
      </c>
      <c r="F16" s="7">
        <v>44.48</v>
      </c>
      <c r="G16" s="7"/>
    </row>
    <row r="17" spans="1:17" x14ac:dyDescent="0.3">
      <c r="A17" s="2"/>
      <c r="B17" s="18"/>
      <c r="C17" s="7">
        <v>5.09</v>
      </c>
      <c r="D17" s="7">
        <v>14.77</v>
      </c>
      <c r="E17" s="7">
        <v>25.71</v>
      </c>
      <c r="F17" s="7">
        <v>36.51</v>
      </c>
      <c r="G17" s="7"/>
    </row>
    <row r="18" spans="1:17" x14ac:dyDescent="0.3">
      <c r="A18" s="2"/>
      <c r="B18" s="18" t="s">
        <v>24</v>
      </c>
      <c r="C18" s="7">
        <v>17159</v>
      </c>
      <c r="D18" s="7">
        <v>17158</v>
      </c>
      <c r="E18" s="7">
        <v>17159</v>
      </c>
      <c r="F18" s="7">
        <v>17158</v>
      </c>
      <c r="G18" s="7">
        <v>68634</v>
      </c>
    </row>
    <row r="19" spans="1:17" x14ac:dyDescent="0.3">
      <c r="A19" s="2"/>
      <c r="B19" s="18"/>
      <c r="C19" s="7">
        <v>25</v>
      </c>
      <c r="D19" s="7">
        <v>25</v>
      </c>
      <c r="E19" s="7">
        <v>25</v>
      </c>
      <c r="F19" s="7">
        <v>25</v>
      </c>
      <c r="G19" s="7">
        <v>100</v>
      </c>
    </row>
    <row r="20" spans="1:17" x14ac:dyDescent="0.3">
      <c r="A20" s="2"/>
      <c r="B20" s="21"/>
      <c r="C20" s="21"/>
      <c r="D20" s="21"/>
      <c r="E20" s="21"/>
      <c r="F20" s="21"/>
      <c r="G20" s="21"/>
    </row>
    <row r="21" spans="1:17" ht="17.25" thickBot="1" x14ac:dyDescent="0.35"/>
    <row r="22" spans="1:17" ht="16.5" customHeight="1" x14ac:dyDescent="0.3">
      <c r="A22" s="4" t="s">
        <v>2</v>
      </c>
      <c r="B22" s="17" t="s">
        <v>42</v>
      </c>
      <c r="C22" s="19"/>
      <c r="D22" s="19"/>
      <c r="E22" s="19"/>
      <c r="F22" s="19"/>
      <c r="G22" s="19"/>
    </row>
    <row r="23" spans="1:17" ht="16.5" customHeight="1" x14ac:dyDescent="0.3">
      <c r="A23" s="6" t="s">
        <v>3</v>
      </c>
      <c r="B23" s="18" t="s">
        <v>5</v>
      </c>
      <c r="C23" s="20" t="s">
        <v>41</v>
      </c>
      <c r="D23" s="20"/>
      <c r="E23" s="20"/>
      <c r="F23" s="20"/>
      <c r="G23" s="20"/>
    </row>
    <row r="24" spans="1:17" x14ac:dyDescent="0.3">
      <c r="A24" s="6" t="s">
        <v>20</v>
      </c>
      <c r="B24" s="1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18">
        <v>1</v>
      </c>
      <c r="C25" s="7">
        <v>4799</v>
      </c>
      <c r="D25" s="7">
        <v>7733</v>
      </c>
      <c r="E25" s="7">
        <v>9677</v>
      </c>
      <c r="F25" s="7">
        <v>10991</v>
      </c>
      <c r="G25" s="7">
        <v>33200</v>
      </c>
      <c r="I25">
        <f>C25</f>
        <v>4799</v>
      </c>
      <c r="J25">
        <f t="shared" ref="J25:L25" si="9">D25</f>
        <v>7733</v>
      </c>
      <c r="K25">
        <f t="shared" si="9"/>
        <v>9677</v>
      </c>
      <c r="L25">
        <f t="shared" si="9"/>
        <v>10991</v>
      </c>
      <c r="N25" t="str">
        <f>TEXT(I25,"#,##0")&amp;" ("&amp;TEXT(I26,"0.00")&amp;")"</f>
        <v>4,799 (27.97)</v>
      </c>
      <c r="O25" t="str">
        <f t="shared" ref="O25:Q25" si="10">TEXT(J25,"#,##0")&amp;" ("&amp;TEXT(J26,"0.00")&amp;")"</f>
        <v>7,733 (45.07)</v>
      </c>
      <c r="P25" t="str">
        <f t="shared" si="10"/>
        <v>9,677 (56.40)</v>
      </c>
      <c r="Q25" t="str">
        <f t="shared" si="10"/>
        <v>10,991 (64.06)</v>
      </c>
    </row>
    <row r="26" spans="1:17" x14ac:dyDescent="0.3">
      <c r="A26" s="2"/>
      <c r="B26" s="18"/>
      <c r="C26" s="7">
        <v>6.99</v>
      </c>
      <c r="D26" s="7">
        <v>11.27</v>
      </c>
      <c r="E26" s="7">
        <v>14.1</v>
      </c>
      <c r="F26" s="7">
        <v>16.010000000000002</v>
      </c>
      <c r="G26" s="7">
        <v>48.37</v>
      </c>
      <c r="I26">
        <f>C28</f>
        <v>27.97</v>
      </c>
      <c r="J26">
        <f t="shared" ref="J26:L27" si="11">D28</f>
        <v>45.07</v>
      </c>
      <c r="K26">
        <f t="shared" si="11"/>
        <v>56.4</v>
      </c>
      <c r="L26">
        <f t="shared" si="11"/>
        <v>64.06</v>
      </c>
      <c r="N26" t="str">
        <f>TEXT(I27,"#,##0")&amp;" ("&amp;TEXT(I28,"0.00")&amp;")"</f>
        <v>12,360 (72.03)</v>
      </c>
      <c r="O26" t="str">
        <f t="shared" ref="O26:Q26" si="12">TEXT(J27,"#,##0")&amp;" ("&amp;TEXT(J28,"0.00")&amp;")"</f>
        <v>9,425 (54.93)</v>
      </c>
      <c r="P26" t="str">
        <f t="shared" si="12"/>
        <v>7,482 (43.60)</v>
      </c>
      <c r="Q26" t="str">
        <f t="shared" si="12"/>
        <v>6,167 (35.94)</v>
      </c>
    </row>
    <row r="27" spans="1:17" x14ac:dyDescent="0.3">
      <c r="A27" s="2"/>
      <c r="B27" s="18"/>
      <c r="C27" s="7">
        <v>14.45</v>
      </c>
      <c r="D27" s="7">
        <v>23.29</v>
      </c>
      <c r="E27" s="7">
        <v>29.15</v>
      </c>
      <c r="F27" s="7">
        <v>33.11</v>
      </c>
      <c r="G27" s="7"/>
      <c r="I27">
        <f>C29</f>
        <v>12360</v>
      </c>
      <c r="J27">
        <f t="shared" si="11"/>
        <v>9425</v>
      </c>
      <c r="K27">
        <f t="shared" si="11"/>
        <v>7482</v>
      </c>
      <c r="L27">
        <f t="shared" si="11"/>
        <v>6167</v>
      </c>
      <c r="N27" t="str">
        <f>TEXT(I29,"#,##0")&amp;" ("&amp;TEXT(I30,"0.00")&amp;")"</f>
        <v>17,159 (0.00)</v>
      </c>
      <c r="O27" t="str">
        <f t="shared" ref="O27:Q27" si="13">TEXT(J29,"#,##0")&amp;" ("&amp;TEXT(J30,"0.00")&amp;")"</f>
        <v>17,158 (0.00)</v>
      </c>
      <c r="P27" t="str">
        <f t="shared" si="13"/>
        <v>17,159 (0.00)</v>
      </c>
      <c r="Q27" t="str">
        <f t="shared" si="13"/>
        <v>17,158 (0.00)</v>
      </c>
    </row>
    <row r="28" spans="1:17" x14ac:dyDescent="0.3">
      <c r="A28" s="2"/>
      <c r="B28" s="18"/>
      <c r="C28" s="7">
        <v>27.97</v>
      </c>
      <c r="D28" s="7">
        <v>45.07</v>
      </c>
      <c r="E28" s="7">
        <v>56.4</v>
      </c>
      <c r="F28" s="7">
        <v>64.06</v>
      </c>
      <c r="G28" s="7"/>
      <c r="I28">
        <f>C32</f>
        <v>72.03</v>
      </c>
      <c r="J28">
        <f t="shared" ref="J28:L29" si="14">D32</f>
        <v>54.93</v>
      </c>
      <c r="K28">
        <f t="shared" si="14"/>
        <v>43.6</v>
      </c>
      <c r="L28">
        <f t="shared" si="14"/>
        <v>35.94</v>
      </c>
      <c r="N28" t="str">
        <f>TEXT(I31,"#,##0")&amp;" ("&amp;TEXT(I32,"0.00")&amp;")"</f>
        <v>0 (14821.00)</v>
      </c>
      <c r="O28" t="str">
        <f t="shared" ref="O28:Q28" si="15">TEXT(J31,"#,##0")&amp;" ("&amp;TEXT(J32,"0.00")&amp;")"</f>
        <v>0 (14030.00)</v>
      </c>
      <c r="P28" t="str">
        <f t="shared" si="15"/>
        <v>0 (13477.00)</v>
      </c>
      <c r="Q28" t="str">
        <f t="shared" si="15"/>
        <v>0 (12848.00)</v>
      </c>
    </row>
    <row r="29" spans="1:17" x14ac:dyDescent="0.3">
      <c r="A29" s="2"/>
      <c r="B29" s="18">
        <v>2</v>
      </c>
      <c r="C29" s="7">
        <v>12360</v>
      </c>
      <c r="D29" s="7">
        <v>9425</v>
      </c>
      <c r="E29" s="7">
        <v>7482</v>
      </c>
      <c r="F29" s="7">
        <v>6167</v>
      </c>
      <c r="G29" s="7">
        <v>35434</v>
      </c>
      <c r="I29">
        <f>C33</f>
        <v>17159</v>
      </c>
      <c r="J29">
        <f t="shared" si="14"/>
        <v>17158</v>
      </c>
      <c r="K29">
        <f t="shared" si="14"/>
        <v>17159</v>
      </c>
      <c r="L29">
        <f t="shared" si="14"/>
        <v>17158</v>
      </c>
    </row>
    <row r="30" spans="1:17" x14ac:dyDescent="0.3">
      <c r="A30" s="2"/>
      <c r="B30" s="18"/>
      <c r="C30" s="7">
        <v>18.010000000000002</v>
      </c>
      <c r="D30" s="7">
        <v>13.73</v>
      </c>
      <c r="E30" s="7">
        <v>10.9</v>
      </c>
      <c r="F30" s="7">
        <v>8.99</v>
      </c>
      <c r="G30" s="7">
        <v>51.63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18"/>
      <c r="C31" s="7">
        <v>34.880000000000003</v>
      </c>
      <c r="D31" s="7">
        <v>26.6</v>
      </c>
      <c r="E31" s="7">
        <v>21.12</v>
      </c>
      <c r="F31" s="7">
        <v>17.399999999999999</v>
      </c>
      <c r="G31" s="7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18"/>
      <c r="C32" s="7">
        <v>72.03</v>
      </c>
      <c r="D32" s="7">
        <v>54.93</v>
      </c>
      <c r="E32" s="7">
        <v>43.6</v>
      </c>
      <c r="F32" s="7">
        <v>35.94</v>
      </c>
      <c r="G32" s="7"/>
      <c r="I32">
        <f>C40</f>
        <v>14821</v>
      </c>
      <c r="J32">
        <f t="shared" ref="J32:L32" si="17">D40</f>
        <v>14030</v>
      </c>
      <c r="K32">
        <f t="shared" si="17"/>
        <v>13477</v>
      </c>
      <c r="L32">
        <f t="shared" si="17"/>
        <v>12848</v>
      </c>
    </row>
    <row r="33" spans="1:17" x14ac:dyDescent="0.3">
      <c r="A33" s="2"/>
      <c r="B33" s="18" t="s">
        <v>24</v>
      </c>
      <c r="C33" s="7">
        <v>17159</v>
      </c>
      <c r="D33" s="7">
        <v>17158</v>
      </c>
      <c r="E33" s="7">
        <v>17159</v>
      </c>
      <c r="F33" s="7">
        <v>17158</v>
      </c>
      <c r="G33" s="7">
        <v>68634</v>
      </c>
    </row>
    <row r="34" spans="1:17" x14ac:dyDescent="0.3">
      <c r="A34" s="2"/>
      <c r="B34" s="18"/>
      <c r="C34" s="7">
        <v>25</v>
      </c>
      <c r="D34" s="7">
        <v>25</v>
      </c>
      <c r="E34" s="7">
        <v>25</v>
      </c>
      <c r="F34" s="7">
        <v>25</v>
      </c>
      <c r="G34" s="7">
        <v>100</v>
      </c>
    </row>
    <row r="35" spans="1:17" x14ac:dyDescent="0.3">
      <c r="A35" s="2"/>
      <c r="B35" s="21"/>
      <c r="C35" s="21"/>
      <c r="D35" s="21"/>
      <c r="E35" s="21"/>
      <c r="F35" s="21"/>
      <c r="G35" s="21"/>
    </row>
    <row r="36" spans="1:17" ht="17.25" thickBot="1" x14ac:dyDescent="0.35"/>
    <row r="37" spans="1:17" ht="16.5" customHeight="1" x14ac:dyDescent="0.3">
      <c r="A37" s="4" t="s">
        <v>2</v>
      </c>
      <c r="B37" s="17" t="s">
        <v>43</v>
      </c>
      <c r="C37" s="19"/>
      <c r="D37" s="19"/>
      <c r="E37" s="19"/>
      <c r="F37" s="19"/>
      <c r="G37" s="19"/>
    </row>
    <row r="38" spans="1:17" ht="16.5" customHeight="1" x14ac:dyDescent="0.3">
      <c r="A38" s="6" t="s">
        <v>3</v>
      </c>
      <c r="B38" s="18" t="s">
        <v>6</v>
      </c>
      <c r="C38" s="20" t="s">
        <v>41</v>
      </c>
      <c r="D38" s="20"/>
      <c r="E38" s="20"/>
      <c r="F38" s="20"/>
      <c r="G38" s="20"/>
    </row>
    <row r="39" spans="1:17" x14ac:dyDescent="0.3">
      <c r="A39" s="6" t="s">
        <v>20</v>
      </c>
      <c r="B39" s="1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18">
        <v>1</v>
      </c>
      <c r="C40" s="7">
        <v>14821</v>
      </c>
      <c r="D40" s="7">
        <v>14030</v>
      </c>
      <c r="E40" s="7">
        <v>13477</v>
      </c>
      <c r="F40" s="7">
        <v>12848</v>
      </c>
      <c r="G40" s="7">
        <v>55176</v>
      </c>
      <c r="I40">
        <f>C40</f>
        <v>14821</v>
      </c>
      <c r="J40">
        <f t="shared" ref="J40:L40" si="18">D40</f>
        <v>14030</v>
      </c>
      <c r="K40">
        <f t="shared" si="18"/>
        <v>13477</v>
      </c>
      <c r="L40">
        <f t="shared" si="18"/>
        <v>12848</v>
      </c>
      <c r="N40" t="str">
        <f>TEXT(I40,"#,##0")&amp;" ("&amp;TEXT(I41,"0.00")&amp;")"</f>
        <v>14,821 (86.37)</v>
      </c>
      <c r="O40" t="str">
        <f t="shared" ref="O40:Q40" si="19">TEXT(J40,"#,##0")&amp;" ("&amp;TEXT(J41,"0.00")&amp;")"</f>
        <v>14,030 (81.77)</v>
      </c>
      <c r="P40" t="str">
        <f t="shared" si="19"/>
        <v>13,477 (78.54)</v>
      </c>
      <c r="Q40" t="str">
        <f t="shared" si="19"/>
        <v>12,848 (74.88)</v>
      </c>
    </row>
    <row r="41" spans="1:17" x14ac:dyDescent="0.3">
      <c r="A41" s="2"/>
      <c r="B41" s="18"/>
      <c r="C41" s="7">
        <v>21.59</v>
      </c>
      <c r="D41" s="7">
        <v>20.440000000000001</v>
      </c>
      <c r="E41" s="7">
        <v>19.64</v>
      </c>
      <c r="F41" s="7">
        <v>18.72</v>
      </c>
      <c r="G41" s="7">
        <v>80.39</v>
      </c>
      <c r="I41">
        <f>C43</f>
        <v>86.37</v>
      </c>
      <c r="J41">
        <f t="shared" ref="J41:L42" si="20">D43</f>
        <v>81.77</v>
      </c>
      <c r="K41">
        <f t="shared" si="20"/>
        <v>78.540000000000006</v>
      </c>
      <c r="L41">
        <f t="shared" si="20"/>
        <v>74.88</v>
      </c>
      <c r="N41" t="str">
        <f>TEXT(I42,"#,##0")&amp;" ("&amp;TEXT(I43,"0.00")&amp;")"</f>
        <v>2,338 (13.63)</v>
      </c>
      <c r="O41" t="str">
        <f t="shared" ref="O41:Q41" si="21">TEXT(J42,"#,##0")&amp;" ("&amp;TEXT(J43,"0.00")&amp;")"</f>
        <v>3,128 (18.23)</v>
      </c>
      <c r="P41" t="str">
        <f t="shared" si="21"/>
        <v>3,682 (21.46)</v>
      </c>
      <c r="Q41" t="str">
        <f t="shared" si="21"/>
        <v>4,310 (25.12)</v>
      </c>
    </row>
    <row r="42" spans="1:17" x14ac:dyDescent="0.3">
      <c r="A42" s="2"/>
      <c r="B42" s="18"/>
      <c r="C42" s="7">
        <v>26.86</v>
      </c>
      <c r="D42" s="7">
        <v>25.43</v>
      </c>
      <c r="E42" s="7">
        <v>24.43</v>
      </c>
      <c r="F42" s="7">
        <v>23.29</v>
      </c>
      <c r="G42" s="7"/>
      <c r="I42">
        <f>C44</f>
        <v>2338</v>
      </c>
      <c r="J42">
        <f t="shared" si="20"/>
        <v>3128</v>
      </c>
      <c r="K42">
        <f t="shared" si="20"/>
        <v>3682</v>
      </c>
      <c r="L42">
        <f t="shared" si="20"/>
        <v>4310</v>
      </c>
      <c r="N42" t="str">
        <f>TEXT(I44,"#,##0")&amp;" ("&amp;TEXT(I45,"0.00")&amp;")"</f>
        <v>17,159 (0.00)</v>
      </c>
      <c r="O42" t="str">
        <f t="shared" ref="O42:Q42" si="22">TEXT(J44,"#,##0")&amp;" ("&amp;TEXT(J45,"0.00")&amp;")"</f>
        <v>17,158 (0.00)</v>
      </c>
      <c r="P42" t="str">
        <f t="shared" si="22"/>
        <v>17,159 (0.00)</v>
      </c>
      <c r="Q42" t="str">
        <f t="shared" si="22"/>
        <v>17,158 (0.00)</v>
      </c>
    </row>
    <row r="43" spans="1:17" x14ac:dyDescent="0.3">
      <c r="A43" s="2"/>
      <c r="B43" s="18"/>
      <c r="C43" s="7">
        <v>86.37</v>
      </c>
      <c r="D43" s="7">
        <v>81.77</v>
      </c>
      <c r="E43" s="7">
        <v>78.540000000000006</v>
      </c>
      <c r="F43" s="7">
        <v>74.88</v>
      </c>
      <c r="G43" s="7"/>
      <c r="I43">
        <f>C47</f>
        <v>13.63</v>
      </c>
      <c r="J43">
        <f t="shared" ref="J43:L44" si="23">D47</f>
        <v>18.23</v>
      </c>
      <c r="K43">
        <f t="shared" si="23"/>
        <v>21.46</v>
      </c>
      <c r="L43">
        <f t="shared" si="23"/>
        <v>25.12</v>
      </c>
      <c r="N43" t="str">
        <f>TEXT(I46,"#,##0")&amp;" ("&amp;TEXT(I47,"0.00")&amp;")"</f>
        <v>0 (657.00)</v>
      </c>
      <c r="O43" t="str">
        <f t="shared" ref="O43:Q43" si="24">TEXT(J46,"#,##0")&amp;" ("&amp;TEXT(J47,"0.00")&amp;")"</f>
        <v>0 (1735.00)</v>
      </c>
      <c r="P43" t="str">
        <f t="shared" si="24"/>
        <v>0 (2846.00)</v>
      </c>
      <c r="Q43" t="str">
        <f t="shared" si="24"/>
        <v>0 (3961.00)</v>
      </c>
    </row>
    <row r="44" spans="1:17" x14ac:dyDescent="0.3">
      <c r="A44" s="2"/>
      <c r="B44" s="18">
        <v>2</v>
      </c>
      <c r="C44" s="7">
        <v>2338</v>
      </c>
      <c r="D44" s="7">
        <v>3128</v>
      </c>
      <c r="E44" s="7">
        <v>3682</v>
      </c>
      <c r="F44" s="7">
        <v>4310</v>
      </c>
      <c r="G44" s="7">
        <v>13458</v>
      </c>
      <c r="I44">
        <f>C48</f>
        <v>17159</v>
      </c>
      <c r="J44">
        <f t="shared" si="23"/>
        <v>17158</v>
      </c>
      <c r="K44">
        <f t="shared" si="23"/>
        <v>17159</v>
      </c>
      <c r="L44">
        <f t="shared" si="23"/>
        <v>17158</v>
      </c>
    </row>
    <row r="45" spans="1:17" x14ac:dyDescent="0.3">
      <c r="A45" s="2"/>
      <c r="B45" s="18"/>
      <c r="C45" s="7">
        <v>3.41</v>
      </c>
      <c r="D45" s="7">
        <v>4.5599999999999996</v>
      </c>
      <c r="E45" s="7">
        <v>5.36</v>
      </c>
      <c r="F45" s="7">
        <v>6.28</v>
      </c>
      <c r="G45" s="7">
        <v>19.61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18"/>
      <c r="C46" s="7">
        <v>17.37</v>
      </c>
      <c r="D46" s="7">
        <v>23.24</v>
      </c>
      <c r="E46" s="7">
        <v>27.36</v>
      </c>
      <c r="F46" s="7">
        <v>32.03</v>
      </c>
      <c r="G46" s="7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18"/>
      <c r="C47" s="7">
        <v>13.63</v>
      </c>
      <c r="D47" s="7">
        <v>18.23</v>
      </c>
      <c r="E47" s="7">
        <v>21.46</v>
      </c>
      <c r="F47" s="7">
        <v>25.12</v>
      </c>
      <c r="G47" s="7"/>
      <c r="I47">
        <f>C55</f>
        <v>657</v>
      </c>
      <c r="J47">
        <f t="shared" ref="J47:L47" si="26">D55</f>
        <v>1735</v>
      </c>
      <c r="K47">
        <f t="shared" si="26"/>
        <v>2846</v>
      </c>
      <c r="L47">
        <f t="shared" si="26"/>
        <v>3961</v>
      </c>
    </row>
    <row r="48" spans="1:17" x14ac:dyDescent="0.3">
      <c r="A48" s="2"/>
      <c r="B48" s="18" t="s">
        <v>24</v>
      </c>
      <c r="C48" s="7">
        <v>17159</v>
      </c>
      <c r="D48" s="7">
        <v>17158</v>
      </c>
      <c r="E48" s="7">
        <v>17159</v>
      </c>
      <c r="F48" s="7">
        <v>17158</v>
      </c>
      <c r="G48" s="7">
        <v>68634</v>
      </c>
    </row>
    <row r="49" spans="1:17" x14ac:dyDescent="0.3">
      <c r="A49" s="2"/>
      <c r="B49" s="18"/>
      <c r="C49" s="7">
        <v>25</v>
      </c>
      <c r="D49" s="7">
        <v>25</v>
      </c>
      <c r="E49" s="7">
        <v>25</v>
      </c>
      <c r="F49" s="7">
        <v>25</v>
      </c>
      <c r="G49" s="7">
        <v>100</v>
      </c>
    </row>
    <row r="50" spans="1:17" x14ac:dyDescent="0.3">
      <c r="A50" s="2"/>
      <c r="B50" s="21"/>
      <c r="C50" s="21"/>
      <c r="D50" s="21"/>
      <c r="E50" s="21"/>
      <c r="F50" s="21"/>
      <c r="G50" s="21"/>
    </row>
    <row r="51" spans="1:17" ht="17.25" thickBot="1" x14ac:dyDescent="0.35"/>
    <row r="52" spans="1:17" ht="16.5" customHeight="1" x14ac:dyDescent="0.3">
      <c r="A52" s="4" t="s">
        <v>2</v>
      </c>
      <c r="B52" s="17" t="s">
        <v>44</v>
      </c>
      <c r="C52" s="19"/>
      <c r="D52" s="19"/>
      <c r="E52" s="19"/>
      <c r="F52" s="19"/>
      <c r="G52" s="19"/>
    </row>
    <row r="53" spans="1:17" ht="16.5" customHeight="1" x14ac:dyDescent="0.3">
      <c r="A53" s="6" t="s">
        <v>3</v>
      </c>
      <c r="B53" s="18" t="s">
        <v>7</v>
      </c>
      <c r="C53" s="20" t="s">
        <v>41</v>
      </c>
      <c r="D53" s="20"/>
      <c r="E53" s="20"/>
      <c r="F53" s="20"/>
      <c r="G53" s="20"/>
    </row>
    <row r="54" spans="1:17" x14ac:dyDescent="0.3">
      <c r="A54" s="6" t="s">
        <v>20</v>
      </c>
      <c r="B54" s="1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18">
        <v>1</v>
      </c>
      <c r="C55" s="7">
        <v>657</v>
      </c>
      <c r="D55" s="7">
        <v>1735</v>
      </c>
      <c r="E55" s="7">
        <v>2846</v>
      </c>
      <c r="F55" s="7">
        <v>3961</v>
      </c>
      <c r="G55" s="7">
        <v>9199</v>
      </c>
      <c r="I55">
        <f>C55</f>
        <v>657</v>
      </c>
      <c r="J55">
        <f t="shared" ref="J55:L55" si="27">D55</f>
        <v>1735</v>
      </c>
      <c r="K55">
        <f t="shared" si="27"/>
        <v>2846</v>
      </c>
      <c r="L55">
        <f t="shared" si="27"/>
        <v>3961</v>
      </c>
      <c r="N55" t="str">
        <f>TEXT(I55,"#,##0")&amp;" ("&amp;TEXT(I56,"0.00")&amp;")"</f>
        <v>657 (3.83)</v>
      </c>
      <c r="O55" t="str">
        <f t="shared" ref="O55:Q55" si="28">TEXT(J55,"#,##0")&amp;" ("&amp;TEXT(J56,"0.00")&amp;")"</f>
        <v>1,735 (10.11)</v>
      </c>
      <c r="P55" t="str">
        <f t="shared" si="28"/>
        <v>2,846 (16.59)</v>
      </c>
      <c r="Q55" t="str">
        <f t="shared" si="28"/>
        <v>3,961 (23.09)</v>
      </c>
    </row>
    <row r="56" spans="1:17" x14ac:dyDescent="0.3">
      <c r="A56" s="2"/>
      <c r="B56" s="18"/>
      <c r="C56" s="7">
        <v>0.96</v>
      </c>
      <c r="D56" s="7">
        <v>2.5299999999999998</v>
      </c>
      <c r="E56" s="7">
        <v>4.1500000000000004</v>
      </c>
      <c r="F56" s="7">
        <v>5.77</v>
      </c>
      <c r="G56" s="7">
        <v>13.4</v>
      </c>
      <c r="I56">
        <f>C58</f>
        <v>3.83</v>
      </c>
      <c r="J56">
        <f t="shared" ref="J56:L57" si="29">D58</f>
        <v>10.11</v>
      </c>
      <c r="K56">
        <f t="shared" si="29"/>
        <v>16.59</v>
      </c>
      <c r="L56">
        <f t="shared" si="29"/>
        <v>23.09</v>
      </c>
      <c r="N56" t="str">
        <f>TEXT(I57,"#,##0")&amp;" ("&amp;TEXT(I58,"0.00")&amp;")"</f>
        <v>883 (5.15)</v>
      </c>
      <c r="O56" t="str">
        <f t="shared" ref="O56:Q56" si="30">TEXT(J57,"#,##0")&amp;" ("&amp;TEXT(J58,"0.00")&amp;")"</f>
        <v>1,738 (10.13)</v>
      </c>
      <c r="P56" t="str">
        <f t="shared" si="30"/>
        <v>2,357 (13.74)</v>
      </c>
      <c r="Q56" t="str">
        <f t="shared" si="30"/>
        <v>2,958 (17.24)</v>
      </c>
    </row>
    <row r="57" spans="1:17" x14ac:dyDescent="0.3">
      <c r="A57" s="2"/>
      <c r="B57" s="18"/>
      <c r="C57" s="7">
        <v>7.14</v>
      </c>
      <c r="D57" s="7">
        <v>18.86</v>
      </c>
      <c r="E57" s="7">
        <v>30.94</v>
      </c>
      <c r="F57" s="7">
        <v>43.06</v>
      </c>
      <c r="G57" s="7"/>
      <c r="I57">
        <f>C59</f>
        <v>883</v>
      </c>
      <c r="J57">
        <f t="shared" si="29"/>
        <v>1738</v>
      </c>
      <c r="K57">
        <f t="shared" si="29"/>
        <v>2357</v>
      </c>
      <c r="L57">
        <f t="shared" si="29"/>
        <v>2958</v>
      </c>
      <c r="N57" t="str">
        <f>TEXT(I59,"#,##0")&amp;" ("&amp;TEXT(I60,"0.00")&amp;")"</f>
        <v>3,835 (22.35)</v>
      </c>
      <c r="O57" t="str">
        <f t="shared" ref="O57:Q57" si="31">TEXT(J59,"#,##0")&amp;" ("&amp;TEXT(J60,"0.00")&amp;")"</f>
        <v>4,612 (26.88)</v>
      </c>
      <c r="P57" t="str">
        <f t="shared" si="31"/>
        <v>4,681 (27.28)</v>
      </c>
      <c r="Q57" t="str">
        <f t="shared" si="31"/>
        <v>4,630 (26.98)</v>
      </c>
    </row>
    <row r="58" spans="1:17" x14ac:dyDescent="0.3">
      <c r="A58" s="2"/>
      <c r="B58" s="18"/>
      <c r="C58" s="7">
        <v>3.83</v>
      </c>
      <c r="D58" s="7">
        <v>10.11</v>
      </c>
      <c r="E58" s="7">
        <v>16.59</v>
      </c>
      <c r="F58" s="7">
        <v>23.09</v>
      </c>
      <c r="G58" s="7"/>
      <c r="I58">
        <f>C62</f>
        <v>5.15</v>
      </c>
      <c r="J58">
        <f t="shared" ref="J58:L59" si="32">D62</f>
        <v>10.130000000000001</v>
      </c>
      <c r="K58">
        <f t="shared" si="32"/>
        <v>13.74</v>
      </c>
      <c r="L58">
        <f t="shared" si="32"/>
        <v>17.239999999999998</v>
      </c>
      <c r="N58" t="str">
        <f>TEXT(I61,"#,##0")&amp;" ("&amp;TEXT(I62,"0.00")&amp;")"</f>
        <v>11,784 (68.68)</v>
      </c>
      <c r="O58" t="str">
        <f t="shared" ref="O58:Q58" si="33">TEXT(J61,"#,##0")&amp;" ("&amp;TEXT(J62,"0.00")&amp;")"</f>
        <v>9,073 (52.88)</v>
      </c>
      <c r="P58" t="str">
        <f t="shared" si="33"/>
        <v>7,275 (42.40)</v>
      </c>
      <c r="Q58" t="str">
        <f t="shared" si="33"/>
        <v>5,609 (32.69)</v>
      </c>
    </row>
    <row r="59" spans="1:17" x14ac:dyDescent="0.3">
      <c r="A59" s="2"/>
      <c r="B59" s="18">
        <v>2</v>
      </c>
      <c r="C59" s="7">
        <v>883</v>
      </c>
      <c r="D59" s="7">
        <v>1738</v>
      </c>
      <c r="E59" s="7">
        <v>2357</v>
      </c>
      <c r="F59" s="7">
        <v>2958</v>
      </c>
      <c r="G59" s="7">
        <v>7936</v>
      </c>
      <c r="I59">
        <f>C63</f>
        <v>3835</v>
      </c>
      <c r="J59">
        <f t="shared" si="32"/>
        <v>4612</v>
      </c>
      <c r="K59">
        <f t="shared" si="32"/>
        <v>4681</v>
      </c>
      <c r="L59">
        <f t="shared" si="32"/>
        <v>4630</v>
      </c>
    </row>
    <row r="60" spans="1:17" x14ac:dyDescent="0.3">
      <c r="A60" s="2"/>
      <c r="B60" s="18"/>
      <c r="C60" s="7">
        <v>1.29</v>
      </c>
      <c r="D60" s="7">
        <v>2.5299999999999998</v>
      </c>
      <c r="E60" s="7">
        <v>3.43</v>
      </c>
      <c r="F60" s="7">
        <v>4.3099999999999996</v>
      </c>
      <c r="G60" s="7">
        <v>11.56</v>
      </c>
      <c r="I60">
        <f>C66</f>
        <v>22.35</v>
      </c>
      <c r="J60">
        <f t="shared" ref="J60:L61" si="34">D66</f>
        <v>26.88</v>
      </c>
      <c r="K60">
        <f t="shared" si="34"/>
        <v>27.28</v>
      </c>
      <c r="L60">
        <f t="shared" si="34"/>
        <v>26.98</v>
      </c>
    </row>
    <row r="61" spans="1:17" x14ac:dyDescent="0.3">
      <c r="A61" s="2"/>
      <c r="B61" s="18"/>
      <c r="C61" s="7">
        <v>11.13</v>
      </c>
      <c r="D61" s="7">
        <v>21.9</v>
      </c>
      <c r="E61" s="7">
        <v>29.7</v>
      </c>
      <c r="F61" s="7">
        <v>37.270000000000003</v>
      </c>
      <c r="G61" s="7"/>
      <c r="I61">
        <f>C67</f>
        <v>11784</v>
      </c>
      <c r="J61">
        <f t="shared" si="34"/>
        <v>9073</v>
      </c>
      <c r="K61">
        <f t="shared" si="34"/>
        <v>7275</v>
      </c>
      <c r="L61">
        <f t="shared" si="34"/>
        <v>5609</v>
      </c>
    </row>
    <row r="62" spans="1:17" x14ac:dyDescent="0.3">
      <c r="A62" s="2"/>
      <c r="B62" s="18"/>
      <c r="C62" s="7">
        <v>5.15</v>
      </c>
      <c r="D62" s="7">
        <v>10.130000000000001</v>
      </c>
      <c r="E62" s="7">
        <v>13.74</v>
      </c>
      <c r="F62" s="7">
        <v>17.239999999999998</v>
      </c>
      <c r="G62" s="7"/>
      <c r="I62">
        <f>C70</f>
        <v>68.680000000000007</v>
      </c>
      <c r="J62">
        <f t="shared" ref="J62:L62" si="35">D70</f>
        <v>52.88</v>
      </c>
      <c r="K62">
        <f t="shared" si="35"/>
        <v>42.4</v>
      </c>
      <c r="L62">
        <f t="shared" si="35"/>
        <v>32.69</v>
      </c>
    </row>
    <row r="63" spans="1:17" x14ac:dyDescent="0.3">
      <c r="A63" s="2"/>
      <c r="B63" s="18">
        <v>3</v>
      </c>
      <c r="C63" s="7">
        <v>3835</v>
      </c>
      <c r="D63" s="7">
        <v>4612</v>
      </c>
      <c r="E63" s="7">
        <v>4681</v>
      </c>
      <c r="F63" s="7">
        <v>4630</v>
      </c>
      <c r="G63" s="7">
        <v>17758</v>
      </c>
    </row>
    <row r="64" spans="1:17" x14ac:dyDescent="0.3">
      <c r="A64" s="2"/>
      <c r="B64" s="18"/>
      <c r="C64" s="7">
        <v>5.59</v>
      </c>
      <c r="D64" s="7">
        <v>6.72</v>
      </c>
      <c r="E64" s="7">
        <v>6.82</v>
      </c>
      <c r="F64" s="7">
        <v>6.75</v>
      </c>
      <c r="G64" s="7">
        <v>25.87</v>
      </c>
    </row>
    <row r="65" spans="1:17" x14ac:dyDescent="0.3">
      <c r="A65" s="2"/>
      <c r="B65" s="18"/>
      <c r="C65" s="7">
        <v>21.6</v>
      </c>
      <c r="D65" s="7">
        <v>25.97</v>
      </c>
      <c r="E65" s="7">
        <v>26.36</v>
      </c>
      <c r="F65" s="7">
        <v>26.07</v>
      </c>
      <c r="G65" s="7"/>
    </row>
    <row r="66" spans="1:17" x14ac:dyDescent="0.3">
      <c r="A66" s="2"/>
      <c r="B66" s="18"/>
      <c r="C66" s="7">
        <v>22.35</v>
      </c>
      <c r="D66" s="7">
        <v>26.88</v>
      </c>
      <c r="E66" s="7">
        <v>27.28</v>
      </c>
      <c r="F66" s="7">
        <v>26.98</v>
      </c>
      <c r="G66" s="7"/>
    </row>
    <row r="67" spans="1:17" x14ac:dyDescent="0.3">
      <c r="A67" s="2"/>
      <c r="B67" s="18">
        <v>4</v>
      </c>
      <c r="C67" s="7">
        <v>11784</v>
      </c>
      <c r="D67" s="7">
        <v>9073</v>
      </c>
      <c r="E67" s="7">
        <v>7275</v>
      </c>
      <c r="F67" s="7">
        <v>5609</v>
      </c>
      <c r="G67" s="7">
        <v>33741</v>
      </c>
    </row>
    <row r="68" spans="1:17" x14ac:dyDescent="0.3">
      <c r="A68" s="2"/>
      <c r="B68" s="18"/>
      <c r="C68" s="7">
        <v>17.170000000000002</v>
      </c>
      <c r="D68" s="7">
        <v>13.22</v>
      </c>
      <c r="E68" s="7">
        <v>10.6</v>
      </c>
      <c r="F68" s="7">
        <v>8.17</v>
      </c>
      <c r="G68" s="7">
        <v>49.16</v>
      </c>
    </row>
    <row r="69" spans="1:17" x14ac:dyDescent="0.3">
      <c r="A69" s="2"/>
      <c r="B69" s="18"/>
      <c r="C69" s="7">
        <v>34.92</v>
      </c>
      <c r="D69" s="7">
        <v>26.89</v>
      </c>
      <c r="E69" s="7">
        <v>21.56</v>
      </c>
      <c r="F69" s="7">
        <v>16.62</v>
      </c>
      <c r="G69" s="7"/>
    </row>
    <row r="70" spans="1:17" x14ac:dyDescent="0.3">
      <c r="A70" s="2"/>
      <c r="B70" s="18"/>
      <c r="C70" s="7">
        <v>68.680000000000007</v>
      </c>
      <c r="D70" s="7">
        <v>52.88</v>
      </c>
      <c r="E70" s="7">
        <v>42.4</v>
      </c>
      <c r="F70" s="7">
        <v>32.69</v>
      </c>
      <c r="G70" s="7"/>
    </row>
    <row r="71" spans="1:17" x14ac:dyDescent="0.3">
      <c r="A71" s="2"/>
      <c r="B71" s="18" t="s">
        <v>24</v>
      </c>
      <c r="C71" s="7">
        <v>17159</v>
      </c>
      <c r="D71" s="7">
        <v>17158</v>
      </c>
      <c r="E71" s="7">
        <v>17159</v>
      </c>
      <c r="F71" s="7">
        <v>17158</v>
      </c>
      <c r="G71" s="7">
        <v>68634</v>
      </c>
    </row>
    <row r="72" spans="1:17" x14ac:dyDescent="0.3">
      <c r="A72" s="2"/>
      <c r="B72" s="18"/>
      <c r="C72" s="7">
        <v>25</v>
      </c>
      <c r="D72" s="7">
        <v>25</v>
      </c>
      <c r="E72" s="7">
        <v>25</v>
      </c>
      <c r="F72" s="7">
        <v>25</v>
      </c>
      <c r="G72" s="7">
        <v>100</v>
      </c>
    </row>
    <row r="73" spans="1:17" x14ac:dyDescent="0.3">
      <c r="A73" s="2"/>
      <c r="B73" s="21"/>
      <c r="C73" s="21"/>
      <c r="D73" s="21"/>
      <c r="E73" s="21"/>
      <c r="F73" s="21"/>
      <c r="G73" s="21"/>
    </row>
    <row r="74" spans="1:17" ht="17.25" thickBot="1" x14ac:dyDescent="0.35"/>
    <row r="75" spans="1:17" ht="16.5" customHeight="1" x14ac:dyDescent="0.3">
      <c r="A75" s="4" t="s">
        <v>2</v>
      </c>
      <c r="B75" s="17" t="s">
        <v>45</v>
      </c>
      <c r="C75" s="19"/>
      <c r="D75" s="19"/>
      <c r="E75" s="19"/>
      <c r="F75" s="19"/>
      <c r="G75" s="19"/>
    </row>
    <row r="76" spans="1:17" ht="16.5" customHeight="1" x14ac:dyDescent="0.3">
      <c r="A76" s="6" t="s">
        <v>3</v>
      </c>
      <c r="B76" s="18" t="s">
        <v>8</v>
      </c>
      <c r="C76" s="20" t="s">
        <v>41</v>
      </c>
      <c r="D76" s="20"/>
      <c r="E76" s="20"/>
      <c r="F76" s="20"/>
      <c r="G76" s="20"/>
    </row>
    <row r="77" spans="1:17" x14ac:dyDescent="0.3">
      <c r="A77" s="6" t="s">
        <v>20</v>
      </c>
      <c r="B77" s="1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18">
        <v>1</v>
      </c>
      <c r="C78" s="7">
        <v>1519</v>
      </c>
      <c r="D78" s="7">
        <v>2329</v>
      </c>
      <c r="E78" s="7">
        <v>3103</v>
      </c>
      <c r="F78" s="7">
        <v>4314</v>
      </c>
      <c r="G78" s="7">
        <v>11265</v>
      </c>
      <c r="I78">
        <f>C78</f>
        <v>1519</v>
      </c>
      <c r="J78">
        <f t="shared" ref="J78:L78" si="36">D78</f>
        <v>2329</v>
      </c>
      <c r="K78">
        <f t="shared" si="36"/>
        <v>3103</v>
      </c>
      <c r="L78">
        <f t="shared" si="36"/>
        <v>4314</v>
      </c>
      <c r="N78" t="str">
        <f>TEXT(I78,"#,##0")&amp;" ("&amp;TEXT(I79,"0.00")&amp;")"</f>
        <v>1,519 (8.85)</v>
      </c>
      <c r="O78" t="str">
        <f t="shared" ref="O78:Q78" si="37">TEXT(J78,"#,##0")&amp;" ("&amp;TEXT(J79,"0.00")&amp;")"</f>
        <v>2,329 (13.57)</v>
      </c>
      <c r="P78" t="str">
        <f t="shared" si="37"/>
        <v>3,103 (18.08)</v>
      </c>
      <c r="Q78" t="str">
        <f t="shared" si="37"/>
        <v>4,314 (25.14)</v>
      </c>
    </row>
    <row r="79" spans="1:17" x14ac:dyDescent="0.3">
      <c r="A79" s="2"/>
      <c r="B79" s="18"/>
      <c r="C79" s="7">
        <v>2.21</v>
      </c>
      <c r="D79" s="7">
        <v>3.39</v>
      </c>
      <c r="E79" s="7">
        <v>4.5199999999999996</v>
      </c>
      <c r="F79" s="7">
        <v>6.29</v>
      </c>
      <c r="G79" s="7">
        <v>16.41</v>
      </c>
      <c r="I79">
        <f>C81</f>
        <v>8.85</v>
      </c>
      <c r="J79">
        <f t="shared" ref="J79:L80" si="38">D81</f>
        <v>13.57</v>
      </c>
      <c r="K79">
        <f t="shared" si="38"/>
        <v>18.079999999999998</v>
      </c>
      <c r="L79">
        <f t="shared" si="38"/>
        <v>25.14</v>
      </c>
      <c r="N79" t="str">
        <f>TEXT(I80,"#,##0")&amp;" ("&amp;TEXT(I81,"0.00")&amp;")"</f>
        <v>3,910 (22.79)</v>
      </c>
      <c r="O79" t="str">
        <f t="shared" ref="O79:Q79" si="39">TEXT(J80,"#,##0")&amp;" ("&amp;TEXT(J81,"0.00")&amp;")"</f>
        <v>4,093 (23.85)</v>
      </c>
      <c r="P79" t="str">
        <f t="shared" si="39"/>
        <v>4,271 (24.89)</v>
      </c>
      <c r="Q79" t="str">
        <f t="shared" si="39"/>
        <v>4,560 (26.58)</v>
      </c>
    </row>
    <row r="80" spans="1:17" x14ac:dyDescent="0.3">
      <c r="A80" s="2"/>
      <c r="B80" s="18"/>
      <c r="C80" s="7">
        <v>13.48</v>
      </c>
      <c r="D80" s="7">
        <v>20.67</v>
      </c>
      <c r="E80" s="7">
        <v>27.55</v>
      </c>
      <c r="F80" s="7">
        <v>38.299999999999997</v>
      </c>
      <c r="G80" s="7"/>
      <c r="I80">
        <f>C82</f>
        <v>3910</v>
      </c>
      <c r="J80">
        <f t="shared" si="38"/>
        <v>4093</v>
      </c>
      <c r="K80">
        <f t="shared" si="38"/>
        <v>4271</v>
      </c>
      <c r="L80">
        <f t="shared" si="38"/>
        <v>4560</v>
      </c>
      <c r="N80" t="str">
        <f>TEXT(I82,"#,##0")&amp;" ("&amp;TEXT(I83,"0.00")&amp;")"</f>
        <v>5,398 (31.46)</v>
      </c>
      <c r="O80" t="str">
        <f t="shared" ref="O80:Q80" si="40">TEXT(J82,"#,##0")&amp;" ("&amp;TEXT(J83,"0.00")&amp;")"</f>
        <v>5,185 (30.22)</v>
      </c>
      <c r="P80" t="str">
        <f t="shared" si="40"/>
        <v>4,836 (28.18)</v>
      </c>
      <c r="Q80" t="str">
        <f t="shared" si="40"/>
        <v>4,166 (24.28)</v>
      </c>
    </row>
    <row r="81" spans="1:17" x14ac:dyDescent="0.3">
      <c r="A81" s="2"/>
      <c r="B81" s="18"/>
      <c r="C81" s="7">
        <v>8.85</v>
      </c>
      <c r="D81" s="7">
        <v>13.57</v>
      </c>
      <c r="E81" s="7">
        <v>18.079999999999998</v>
      </c>
      <c r="F81" s="7">
        <v>25.14</v>
      </c>
      <c r="G81" s="7"/>
      <c r="I81">
        <f>C85</f>
        <v>22.79</v>
      </c>
      <c r="J81">
        <f t="shared" ref="J81:L82" si="41">D85</f>
        <v>23.85</v>
      </c>
      <c r="K81">
        <f t="shared" si="41"/>
        <v>24.89</v>
      </c>
      <c r="L81">
        <f t="shared" si="41"/>
        <v>26.58</v>
      </c>
      <c r="N81" t="str">
        <f>TEXT(I84,"#,##0")&amp;" ("&amp;TEXT(I85,"0.00")&amp;")"</f>
        <v>6,332 (36.90)</v>
      </c>
      <c r="O81" t="str">
        <f t="shared" ref="O81:Q81" si="42">TEXT(J84,"#,##0")&amp;" ("&amp;TEXT(J85,"0.00")&amp;")"</f>
        <v>5,551 (32.35)</v>
      </c>
      <c r="P81" t="str">
        <f t="shared" si="42"/>
        <v>4,949 (28.84)</v>
      </c>
      <c r="Q81" t="str">
        <f t="shared" si="42"/>
        <v>4,118 (24.00)</v>
      </c>
    </row>
    <row r="82" spans="1:17" x14ac:dyDescent="0.3">
      <c r="A82" s="2"/>
      <c r="B82" s="18">
        <v>2</v>
      </c>
      <c r="C82" s="7">
        <v>3910</v>
      </c>
      <c r="D82" s="7">
        <v>4093</v>
      </c>
      <c r="E82" s="7">
        <v>4271</v>
      </c>
      <c r="F82" s="7">
        <v>4560</v>
      </c>
      <c r="G82" s="7">
        <v>16834</v>
      </c>
      <c r="I82">
        <f>C86</f>
        <v>5398</v>
      </c>
      <c r="J82">
        <f t="shared" si="41"/>
        <v>5185</v>
      </c>
      <c r="K82">
        <f t="shared" si="41"/>
        <v>4836</v>
      </c>
      <c r="L82">
        <f t="shared" si="41"/>
        <v>4166</v>
      </c>
    </row>
    <row r="83" spans="1:17" x14ac:dyDescent="0.3">
      <c r="A83" s="2"/>
      <c r="B83" s="18"/>
      <c r="C83" s="7">
        <v>5.7</v>
      </c>
      <c r="D83" s="7">
        <v>5.96</v>
      </c>
      <c r="E83" s="7">
        <v>6.22</v>
      </c>
      <c r="F83" s="7">
        <v>6.64</v>
      </c>
      <c r="G83" s="7">
        <v>24.53</v>
      </c>
      <c r="I83">
        <f>C89</f>
        <v>31.46</v>
      </c>
      <c r="J83">
        <f t="shared" ref="J83:L84" si="43">D89</f>
        <v>30.22</v>
      </c>
      <c r="K83">
        <f t="shared" si="43"/>
        <v>28.18</v>
      </c>
      <c r="L83">
        <f t="shared" si="43"/>
        <v>24.28</v>
      </c>
    </row>
    <row r="84" spans="1:17" x14ac:dyDescent="0.3">
      <c r="A84" s="2"/>
      <c r="B84" s="18"/>
      <c r="C84" s="7">
        <v>23.23</v>
      </c>
      <c r="D84" s="7">
        <v>24.31</v>
      </c>
      <c r="E84" s="7">
        <v>25.37</v>
      </c>
      <c r="F84" s="7">
        <v>27.09</v>
      </c>
      <c r="G84" s="7"/>
      <c r="I84">
        <f>C90</f>
        <v>6332</v>
      </c>
      <c r="J84">
        <f t="shared" si="43"/>
        <v>5551</v>
      </c>
      <c r="K84">
        <f t="shared" si="43"/>
        <v>4949</v>
      </c>
      <c r="L84">
        <f t="shared" si="43"/>
        <v>4118</v>
      </c>
    </row>
    <row r="85" spans="1:17" x14ac:dyDescent="0.3">
      <c r="A85" s="2"/>
      <c r="B85" s="18"/>
      <c r="C85" s="7">
        <v>22.79</v>
      </c>
      <c r="D85" s="7">
        <v>23.85</v>
      </c>
      <c r="E85" s="7">
        <v>24.89</v>
      </c>
      <c r="F85" s="7">
        <v>26.58</v>
      </c>
      <c r="G85" s="7"/>
      <c r="I85">
        <f>C93</f>
        <v>36.9</v>
      </c>
      <c r="J85">
        <f t="shared" ref="J85:L85" si="44">D93</f>
        <v>32.35</v>
      </c>
      <c r="K85">
        <f t="shared" si="44"/>
        <v>28.84</v>
      </c>
      <c r="L85">
        <f t="shared" si="44"/>
        <v>24</v>
      </c>
    </row>
    <row r="86" spans="1:17" x14ac:dyDescent="0.3">
      <c r="A86" s="2"/>
      <c r="B86" s="18">
        <v>3</v>
      </c>
      <c r="C86" s="7">
        <v>5398</v>
      </c>
      <c r="D86" s="7">
        <v>5185</v>
      </c>
      <c r="E86" s="7">
        <v>4836</v>
      </c>
      <c r="F86" s="7">
        <v>4166</v>
      </c>
      <c r="G86" s="7">
        <v>19585</v>
      </c>
    </row>
    <row r="87" spans="1:17" x14ac:dyDescent="0.3">
      <c r="A87" s="2"/>
      <c r="B87" s="18"/>
      <c r="C87" s="7">
        <v>7.86</v>
      </c>
      <c r="D87" s="7">
        <v>7.55</v>
      </c>
      <c r="E87" s="7">
        <v>7.05</v>
      </c>
      <c r="F87" s="7">
        <v>6.07</v>
      </c>
      <c r="G87" s="7">
        <v>28.54</v>
      </c>
    </row>
    <row r="88" spans="1:17" x14ac:dyDescent="0.3">
      <c r="A88" s="2"/>
      <c r="B88" s="18"/>
      <c r="C88" s="7">
        <v>27.56</v>
      </c>
      <c r="D88" s="7">
        <v>26.47</v>
      </c>
      <c r="E88" s="7">
        <v>24.69</v>
      </c>
      <c r="F88" s="7">
        <v>21.27</v>
      </c>
      <c r="G88" s="7"/>
    </row>
    <row r="89" spans="1:17" x14ac:dyDescent="0.3">
      <c r="A89" s="2"/>
      <c r="B89" s="18"/>
      <c r="C89" s="7">
        <v>31.46</v>
      </c>
      <c r="D89" s="7">
        <v>30.22</v>
      </c>
      <c r="E89" s="7">
        <v>28.18</v>
      </c>
      <c r="F89" s="7">
        <v>24.28</v>
      </c>
      <c r="G89" s="7"/>
    </row>
    <row r="90" spans="1:17" x14ac:dyDescent="0.3">
      <c r="A90" s="2"/>
      <c r="B90" s="18">
        <v>4</v>
      </c>
      <c r="C90" s="7">
        <v>6332</v>
      </c>
      <c r="D90" s="7">
        <v>5551</v>
      </c>
      <c r="E90" s="7">
        <v>4949</v>
      </c>
      <c r="F90" s="7">
        <v>4118</v>
      </c>
      <c r="G90" s="7">
        <v>20950</v>
      </c>
    </row>
    <row r="91" spans="1:17" x14ac:dyDescent="0.3">
      <c r="A91" s="2"/>
      <c r="B91" s="18"/>
      <c r="C91" s="7">
        <v>9.23</v>
      </c>
      <c r="D91" s="7">
        <v>8.09</v>
      </c>
      <c r="E91" s="7">
        <v>7.21</v>
      </c>
      <c r="F91" s="7">
        <v>6</v>
      </c>
      <c r="G91" s="7">
        <v>30.52</v>
      </c>
    </row>
    <row r="92" spans="1:17" x14ac:dyDescent="0.3">
      <c r="A92" s="2"/>
      <c r="B92" s="18"/>
      <c r="C92" s="7">
        <v>30.22</v>
      </c>
      <c r="D92" s="7">
        <v>26.5</v>
      </c>
      <c r="E92" s="7">
        <v>23.62</v>
      </c>
      <c r="F92" s="7">
        <v>19.66</v>
      </c>
      <c r="G92" s="7"/>
    </row>
    <row r="93" spans="1:17" x14ac:dyDescent="0.3">
      <c r="A93" s="2"/>
      <c r="B93" s="18"/>
      <c r="C93" s="7">
        <v>36.9</v>
      </c>
      <c r="D93" s="7">
        <v>32.35</v>
      </c>
      <c r="E93" s="7">
        <v>28.84</v>
      </c>
      <c r="F93" s="7">
        <v>24</v>
      </c>
      <c r="G93" s="7"/>
    </row>
    <row r="94" spans="1:17" x14ac:dyDescent="0.3">
      <c r="A94" s="2"/>
      <c r="B94" s="18" t="s">
        <v>24</v>
      </c>
      <c r="C94" s="7">
        <v>17159</v>
      </c>
      <c r="D94" s="7">
        <v>17158</v>
      </c>
      <c r="E94" s="7">
        <v>17159</v>
      </c>
      <c r="F94" s="7">
        <v>17158</v>
      </c>
      <c r="G94" s="7">
        <v>68634</v>
      </c>
    </row>
    <row r="95" spans="1:17" x14ac:dyDescent="0.3">
      <c r="A95" s="2"/>
      <c r="B95" s="18"/>
      <c r="C95" s="7">
        <v>25</v>
      </c>
      <c r="D95" s="7">
        <v>25</v>
      </c>
      <c r="E95" s="7">
        <v>25</v>
      </c>
      <c r="F95" s="7">
        <v>25</v>
      </c>
      <c r="G95" s="7">
        <v>100</v>
      </c>
    </row>
    <row r="96" spans="1:17" x14ac:dyDescent="0.3">
      <c r="A96" s="2"/>
      <c r="B96" s="21"/>
      <c r="C96" s="21"/>
      <c r="D96" s="21"/>
      <c r="E96" s="21"/>
      <c r="F96" s="21"/>
      <c r="G96" s="21"/>
    </row>
    <row r="97" spans="1:17" ht="17.25" thickBot="1" x14ac:dyDescent="0.35"/>
    <row r="98" spans="1:17" ht="16.5" customHeight="1" x14ac:dyDescent="0.3">
      <c r="A98" s="4" t="s">
        <v>2</v>
      </c>
      <c r="B98" s="17" t="s">
        <v>46</v>
      </c>
      <c r="C98" s="19"/>
      <c r="D98" s="19"/>
      <c r="E98" s="19"/>
      <c r="F98" s="19"/>
      <c r="G98" s="19"/>
    </row>
    <row r="99" spans="1:17" ht="16.5" customHeight="1" x14ac:dyDescent="0.3">
      <c r="A99" s="6" t="s">
        <v>3</v>
      </c>
      <c r="B99" s="18" t="s">
        <v>9</v>
      </c>
      <c r="C99" s="20" t="s">
        <v>41</v>
      </c>
      <c r="D99" s="20"/>
      <c r="E99" s="20"/>
      <c r="F99" s="20"/>
      <c r="G99" s="20"/>
    </row>
    <row r="100" spans="1:17" x14ac:dyDescent="0.3">
      <c r="A100" s="6" t="s">
        <v>20</v>
      </c>
      <c r="B100" s="1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18">
        <v>1</v>
      </c>
      <c r="C101" s="7">
        <v>1535</v>
      </c>
      <c r="D101" s="7">
        <v>788</v>
      </c>
      <c r="E101" s="7">
        <v>320</v>
      </c>
      <c r="F101" s="7">
        <v>134</v>
      </c>
      <c r="G101" s="7">
        <v>2777</v>
      </c>
      <c r="I101">
        <f>C101</f>
        <v>1535</v>
      </c>
      <c r="J101">
        <f t="shared" ref="J101:L101" si="45">D101</f>
        <v>788</v>
      </c>
      <c r="K101">
        <f t="shared" si="45"/>
        <v>320</v>
      </c>
      <c r="L101">
        <f t="shared" si="45"/>
        <v>134</v>
      </c>
      <c r="N101" t="str">
        <f>TEXT(I101,"#,##0")&amp;" ("&amp;TEXT(I102,"0.00")&amp;")"</f>
        <v>1,535 (8.95)</v>
      </c>
      <c r="O101" t="str">
        <f t="shared" ref="O101:Q101" si="46">TEXT(J101,"#,##0")&amp;" ("&amp;TEXT(J102,"0.00")&amp;")"</f>
        <v>788 (4.59)</v>
      </c>
      <c r="P101" t="str">
        <f t="shared" si="46"/>
        <v>320 (1.86)</v>
      </c>
      <c r="Q101" t="str">
        <f t="shared" si="46"/>
        <v>134 (0.78)</v>
      </c>
    </row>
    <row r="102" spans="1:17" x14ac:dyDescent="0.3">
      <c r="A102" s="2"/>
      <c r="B102" s="18"/>
      <c r="C102" s="7">
        <v>2.2400000000000002</v>
      </c>
      <c r="D102" s="7">
        <v>1.1499999999999999</v>
      </c>
      <c r="E102" s="7">
        <v>0.47</v>
      </c>
      <c r="F102" s="7">
        <v>0.2</v>
      </c>
      <c r="G102" s="7">
        <v>4.05</v>
      </c>
      <c r="I102">
        <f>C104</f>
        <v>8.9499999999999993</v>
      </c>
      <c r="J102">
        <f t="shared" ref="J102:L103" si="47">D104</f>
        <v>4.59</v>
      </c>
      <c r="K102">
        <f t="shared" si="47"/>
        <v>1.86</v>
      </c>
      <c r="L102">
        <f t="shared" si="47"/>
        <v>0.78</v>
      </c>
      <c r="N102" t="str">
        <f>TEXT(I103,"#,##0")&amp;" ("&amp;TEXT(I104,"0.00")&amp;")"</f>
        <v>9,952 (58.00)</v>
      </c>
      <c r="O102" t="str">
        <f t="shared" ref="O102:Q102" si="48">TEXT(J103,"#,##0")&amp;" ("&amp;TEXT(J104,"0.00")&amp;")"</f>
        <v>7,183 (41.86)</v>
      </c>
      <c r="P102" t="str">
        <f t="shared" si="48"/>
        <v>5,208 (30.35)</v>
      </c>
      <c r="Q102" t="str">
        <f t="shared" si="48"/>
        <v>4,092 (23.85)</v>
      </c>
    </row>
    <row r="103" spans="1:17" x14ac:dyDescent="0.3">
      <c r="A103" s="2"/>
      <c r="B103" s="18"/>
      <c r="C103" s="7">
        <v>55.28</v>
      </c>
      <c r="D103" s="7">
        <v>28.38</v>
      </c>
      <c r="E103" s="7">
        <v>11.52</v>
      </c>
      <c r="F103" s="7">
        <v>4.83</v>
      </c>
      <c r="G103" s="7"/>
      <c r="I103">
        <f>C105</f>
        <v>9952</v>
      </c>
      <c r="J103">
        <f t="shared" si="47"/>
        <v>7183</v>
      </c>
      <c r="K103">
        <f t="shared" si="47"/>
        <v>5208</v>
      </c>
      <c r="L103">
        <f t="shared" si="47"/>
        <v>4092</v>
      </c>
      <c r="N103" t="str">
        <f>TEXT(I105,"#,##0")&amp;" ("&amp;TEXT(I106,"0.00")&amp;")"</f>
        <v>3,145 (18.33)</v>
      </c>
      <c r="O103" t="str">
        <f t="shared" ref="O103:Q103" si="49">TEXT(J105,"#,##0")&amp;" ("&amp;TEXT(J106,"0.00")&amp;")"</f>
        <v>4,188 (24.41)</v>
      </c>
      <c r="P103" t="str">
        <f t="shared" si="49"/>
        <v>4,468 (26.04)</v>
      </c>
      <c r="Q103" t="str">
        <f t="shared" si="49"/>
        <v>4,463 (26.01)</v>
      </c>
    </row>
    <row r="104" spans="1:17" x14ac:dyDescent="0.3">
      <c r="A104" s="2"/>
      <c r="B104" s="18"/>
      <c r="C104" s="7">
        <v>8.9499999999999993</v>
      </c>
      <c r="D104" s="7">
        <v>4.59</v>
      </c>
      <c r="E104" s="7">
        <v>1.86</v>
      </c>
      <c r="F104" s="7">
        <v>0.78</v>
      </c>
      <c r="G104" s="7"/>
      <c r="I104">
        <f>C108</f>
        <v>58</v>
      </c>
      <c r="J104">
        <f t="shared" ref="J104:L105" si="50">D108</f>
        <v>41.86</v>
      </c>
      <c r="K104">
        <f t="shared" si="50"/>
        <v>30.35</v>
      </c>
      <c r="L104">
        <f t="shared" si="50"/>
        <v>23.85</v>
      </c>
      <c r="N104" t="str">
        <f>TEXT(I107,"#,##0")&amp;" ("&amp;TEXT(I108,"0.00")&amp;")"</f>
        <v>2,527 (14.73)</v>
      </c>
      <c r="O104" t="str">
        <f t="shared" ref="O104:Q104" si="51">TEXT(J107,"#,##0")&amp;" ("&amp;TEXT(J108,"0.00")&amp;")"</f>
        <v>4,999 (29.14)</v>
      </c>
      <c r="P104" t="str">
        <f t="shared" si="51"/>
        <v>7,163 (41.74)</v>
      </c>
      <c r="Q104" t="str">
        <f t="shared" si="51"/>
        <v>8,469 (49.36)</v>
      </c>
    </row>
    <row r="105" spans="1:17" x14ac:dyDescent="0.3">
      <c r="A105" s="2"/>
      <c r="B105" s="18">
        <v>2</v>
      </c>
      <c r="C105" s="7">
        <v>9952</v>
      </c>
      <c r="D105" s="7">
        <v>7183</v>
      </c>
      <c r="E105" s="7">
        <v>5208</v>
      </c>
      <c r="F105" s="7">
        <v>4092</v>
      </c>
      <c r="G105" s="7">
        <v>26435</v>
      </c>
      <c r="I105">
        <f>C109</f>
        <v>3145</v>
      </c>
      <c r="J105">
        <f t="shared" si="50"/>
        <v>4188</v>
      </c>
      <c r="K105">
        <f t="shared" si="50"/>
        <v>4468</v>
      </c>
      <c r="L105">
        <f t="shared" si="50"/>
        <v>4463</v>
      </c>
    </row>
    <row r="106" spans="1:17" x14ac:dyDescent="0.3">
      <c r="A106" s="2"/>
      <c r="B106" s="18"/>
      <c r="C106" s="7">
        <v>14.5</v>
      </c>
      <c r="D106" s="7">
        <v>10.47</v>
      </c>
      <c r="E106" s="7">
        <v>7.59</v>
      </c>
      <c r="F106" s="7">
        <v>5.96</v>
      </c>
      <c r="G106" s="7">
        <v>38.520000000000003</v>
      </c>
      <c r="I106">
        <f>C112</f>
        <v>18.329999999999998</v>
      </c>
      <c r="J106">
        <f t="shared" ref="J106:L107" si="52">D112</f>
        <v>24.41</v>
      </c>
      <c r="K106">
        <f t="shared" si="52"/>
        <v>26.04</v>
      </c>
      <c r="L106">
        <f t="shared" si="52"/>
        <v>26.01</v>
      </c>
    </row>
    <row r="107" spans="1:17" x14ac:dyDescent="0.3">
      <c r="A107" s="2"/>
      <c r="B107" s="18"/>
      <c r="C107" s="7">
        <v>37.65</v>
      </c>
      <c r="D107" s="7">
        <v>27.17</v>
      </c>
      <c r="E107" s="7">
        <v>19.7</v>
      </c>
      <c r="F107" s="7">
        <v>15.48</v>
      </c>
      <c r="G107" s="7"/>
      <c r="I107">
        <f>C113</f>
        <v>2527</v>
      </c>
      <c r="J107">
        <f t="shared" si="52"/>
        <v>4999</v>
      </c>
      <c r="K107">
        <f t="shared" si="52"/>
        <v>7163</v>
      </c>
      <c r="L107">
        <f t="shared" si="52"/>
        <v>8469</v>
      </c>
    </row>
    <row r="108" spans="1:17" x14ac:dyDescent="0.3">
      <c r="A108" s="2"/>
      <c r="B108" s="18"/>
      <c r="C108" s="7">
        <v>58</v>
      </c>
      <c r="D108" s="7">
        <v>41.86</v>
      </c>
      <c r="E108" s="7">
        <v>30.35</v>
      </c>
      <c r="F108" s="7">
        <v>23.85</v>
      </c>
      <c r="G108" s="7"/>
      <c r="I108">
        <f>C116</f>
        <v>14.73</v>
      </c>
      <c r="J108">
        <f t="shared" ref="J108:L108" si="53">D116</f>
        <v>29.14</v>
      </c>
      <c r="K108">
        <f t="shared" si="53"/>
        <v>41.74</v>
      </c>
      <c r="L108">
        <f t="shared" si="53"/>
        <v>49.36</v>
      </c>
    </row>
    <row r="109" spans="1:17" x14ac:dyDescent="0.3">
      <c r="A109" s="2"/>
      <c r="B109" s="18">
        <v>3</v>
      </c>
      <c r="C109" s="7">
        <v>3145</v>
      </c>
      <c r="D109" s="7">
        <v>4188</v>
      </c>
      <c r="E109" s="7">
        <v>4468</v>
      </c>
      <c r="F109" s="7">
        <v>4463</v>
      </c>
      <c r="G109" s="7">
        <v>16264</v>
      </c>
    </row>
    <row r="110" spans="1:17" x14ac:dyDescent="0.3">
      <c r="A110" s="2"/>
      <c r="B110" s="18"/>
      <c r="C110" s="7">
        <v>4.58</v>
      </c>
      <c r="D110" s="7">
        <v>6.1</v>
      </c>
      <c r="E110" s="7">
        <v>6.51</v>
      </c>
      <c r="F110" s="7">
        <v>6.5</v>
      </c>
      <c r="G110" s="7">
        <v>23.7</v>
      </c>
    </row>
    <row r="111" spans="1:17" x14ac:dyDescent="0.3">
      <c r="A111" s="2"/>
      <c r="B111" s="18"/>
      <c r="C111" s="7">
        <v>19.34</v>
      </c>
      <c r="D111" s="7">
        <v>25.75</v>
      </c>
      <c r="E111" s="7">
        <v>27.47</v>
      </c>
      <c r="F111" s="7">
        <v>27.44</v>
      </c>
      <c r="G111" s="7"/>
    </row>
    <row r="112" spans="1:17" x14ac:dyDescent="0.3">
      <c r="A112" s="2"/>
      <c r="B112" s="18"/>
      <c r="C112" s="7">
        <v>18.329999999999998</v>
      </c>
      <c r="D112" s="7">
        <v>24.41</v>
      </c>
      <c r="E112" s="7">
        <v>26.04</v>
      </c>
      <c r="F112" s="7">
        <v>26.01</v>
      </c>
      <c r="G112" s="7"/>
    </row>
    <row r="113" spans="1:17" x14ac:dyDescent="0.3">
      <c r="A113" s="2"/>
      <c r="B113" s="18">
        <v>4</v>
      </c>
      <c r="C113" s="7">
        <v>2527</v>
      </c>
      <c r="D113" s="7">
        <v>4999</v>
      </c>
      <c r="E113" s="7">
        <v>7163</v>
      </c>
      <c r="F113" s="7">
        <v>8469</v>
      </c>
      <c r="G113" s="7">
        <v>23158</v>
      </c>
    </row>
    <row r="114" spans="1:17" x14ac:dyDescent="0.3">
      <c r="A114" s="2"/>
      <c r="B114" s="18"/>
      <c r="C114" s="7">
        <v>3.68</v>
      </c>
      <c r="D114" s="7">
        <v>7.28</v>
      </c>
      <c r="E114" s="7">
        <v>10.44</v>
      </c>
      <c r="F114" s="7">
        <v>12.34</v>
      </c>
      <c r="G114" s="7">
        <v>33.74</v>
      </c>
    </row>
    <row r="115" spans="1:17" x14ac:dyDescent="0.3">
      <c r="A115" s="2"/>
      <c r="B115" s="18"/>
      <c r="C115" s="7">
        <v>10.91</v>
      </c>
      <c r="D115" s="7">
        <v>21.59</v>
      </c>
      <c r="E115" s="7">
        <v>30.93</v>
      </c>
      <c r="F115" s="7">
        <v>36.57</v>
      </c>
      <c r="G115" s="7"/>
    </row>
    <row r="116" spans="1:17" x14ac:dyDescent="0.3">
      <c r="A116" s="2"/>
      <c r="B116" s="18"/>
      <c r="C116" s="7">
        <v>14.73</v>
      </c>
      <c r="D116" s="7">
        <v>29.14</v>
      </c>
      <c r="E116" s="7">
        <v>41.74</v>
      </c>
      <c r="F116" s="7">
        <v>49.36</v>
      </c>
      <c r="G116" s="7"/>
    </row>
    <row r="117" spans="1:17" x14ac:dyDescent="0.3">
      <c r="A117" s="2"/>
      <c r="B117" s="18" t="s">
        <v>24</v>
      </c>
      <c r="C117" s="7">
        <v>17159</v>
      </c>
      <c r="D117" s="7">
        <v>17158</v>
      </c>
      <c r="E117" s="7">
        <v>17159</v>
      </c>
      <c r="F117" s="7">
        <v>17158</v>
      </c>
      <c r="G117" s="7">
        <v>68634</v>
      </c>
    </row>
    <row r="118" spans="1:17" x14ac:dyDescent="0.3">
      <c r="A118" s="2"/>
      <c r="B118" s="18"/>
      <c r="C118" s="7">
        <v>25</v>
      </c>
      <c r="D118" s="7">
        <v>25</v>
      </c>
      <c r="E118" s="7">
        <v>25</v>
      </c>
      <c r="F118" s="7">
        <v>25</v>
      </c>
      <c r="G118" s="7">
        <v>100</v>
      </c>
    </row>
    <row r="119" spans="1:17" x14ac:dyDescent="0.3">
      <c r="A119" s="2"/>
      <c r="B119" s="21"/>
      <c r="C119" s="21"/>
      <c r="D119" s="21"/>
      <c r="E119" s="21"/>
      <c r="F119" s="21"/>
      <c r="G119" s="21"/>
    </row>
    <row r="120" spans="1:17" ht="17.25" thickBot="1" x14ac:dyDescent="0.35"/>
    <row r="121" spans="1:17" ht="16.5" customHeight="1" x14ac:dyDescent="0.3">
      <c r="A121" s="4" t="s">
        <v>2</v>
      </c>
      <c r="B121" s="17" t="s">
        <v>47</v>
      </c>
      <c r="C121" s="19"/>
      <c r="D121" s="19"/>
      <c r="E121" s="19"/>
      <c r="F121" s="19"/>
      <c r="G121" s="19"/>
    </row>
    <row r="122" spans="1:17" ht="16.5" customHeight="1" x14ac:dyDescent="0.3">
      <c r="A122" s="6" t="s">
        <v>3</v>
      </c>
      <c r="B122" s="18" t="s">
        <v>10</v>
      </c>
      <c r="C122" s="20" t="s">
        <v>41</v>
      </c>
      <c r="D122" s="20"/>
      <c r="E122" s="20"/>
      <c r="F122" s="20"/>
      <c r="G122" s="20"/>
    </row>
    <row r="123" spans="1:17" x14ac:dyDescent="0.3">
      <c r="A123" s="6" t="s">
        <v>20</v>
      </c>
      <c r="B123" s="1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18">
        <v>1</v>
      </c>
      <c r="C124" s="7">
        <v>11331</v>
      </c>
      <c r="D124" s="7">
        <v>14047</v>
      </c>
      <c r="E124" s="7">
        <v>15387</v>
      </c>
      <c r="F124" s="7">
        <v>16048</v>
      </c>
      <c r="G124" s="7">
        <v>56813</v>
      </c>
      <c r="I124">
        <f>C124</f>
        <v>11331</v>
      </c>
      <c r="J124">
        <f t="shared" ref="J124:L124" si="54">D124</f>
        <v>14047</v>
      </c>
      <c r="K124">
        <f t="shared" si="54"/>
        <v>15387</v>
      </c>
      <c r="L124">
        <f t="shared" si="54"/>
        <v>16048</v>
      </c>
      <c r="N124" t="str">
        <f>TEXT(I124,"#,##0")&amp;" ("&amp;TEXT(I125,"0.00")&amp;")"</f>
        <v>11,331 (66.04)</v>
      </c>
      <c r="O124" t="str">
        <f t="shared" ref="O124:Q124" si="55">TEXT(J124,"#,##0")&amp;" ("&amp;TEXT(J125,"0.00")&amp;")"</f>
        <v>14,047 (81.87)</v>
      </c>
      <c r="P124" t="str">
        <f t="shared" si="55"/>
        <v>15,387 (89.67)</v>
      </c>
      <c r="Q124" t="str">
        <f t="shared" si="55"/>
        <v>16,048 (93.53)</v>
      </c>
    </row>
    <row r="125" spans="1:17" x14ac:dyDescent="0.3">
      <c r="A125" s="2"/>
      <c r="B125" s="18"/>
      <c r="C125" s="7">
        <v>16.510000000000002</v>
      </c>
      <c r="D125" s="7">
        <v>20.47</v>
      </c>
      <c r="E125" s="7">
        <v>22.42</v>
      </c>
      <c r="F125" s="7">
        <v>23.38</v>
      </c>
      <c r="G125" s="7">
        <v>82.78</v>
      </c>
      <c r="I125">
        <f>C127</f>
        <v>66.040000000000006</v>
      </c>
      <c r="J125">
        <f t="shared" ref="J125:L126" si="56">D127</f>
        <v>81.87</v>
      </c>
      <c r="K125">
        <f t="shared" si="56"/>
        <v>89.67</v>
      </c>
      <c r="L125">
        <f t="shared" si="56"/>
        <v>93.53</v>
      </c>
      <c r="N125" t="str">
        <f>TEXT(I126,"#,##0")&amp;" ("&amp;TEXT(I127,"0.00")&amp;")"</f>
        <v>5,828 (33.96)</v>
      </c>
      <c r="O125" t="str">
        <f t="shared" ref="O125:Q125" si="57">TEXT(J126,"#,##0")&amp;" ("&amp;TEXT(J127,"0.00")&amp;")"</f>
        <v>3,111 (18.13)</v>
      </c>
      <c r="P125" t="str">
        <f t="shared" si="57"/>
        <v>1,772 (10.33)</v>
      </c>
      <c r="Q125" t="str">
        <f t="shared" si="57"/>
        <v>1,110 (6.47)</v>
      </c>
    </row>
    <row r="126" spans="1:17" x14ac:dyDescent="0.3">
      <c r="A126" s="2"/>
      <c r="B126" s="18"/>
      <c r="C126" s="7">
        <v>19.940000000000001</v>
      </c>
      <c r="D126" s="7">
        <v>24.72</v>
      </c>
      <c r="E126" s="7">
        <v>27.08</v>
      </c>
      <c r="F126" s="7">
        <v>28.25</v>
      </c>
      <c r="G126" s="7"/>
      <c r="I126">
        <f>C128</f>
        <v>5828</v>
      </c>
      <c r="J126">
        <f t="shared" si="56"/>
        <v>3111</v>
      </c>
      <c r="K126">
        <f t="shared" si="56"/>
        <v>1772</v>
      </c>
      <c r="L126">
        <f t="shared" si="56"/>
        <v>1110</v>
      </c>
      <c r="N126" t="str">
        <f>TEXT(I128,"#,##0")&amp;" ("&amp;TEXT(I129,"0.00")&amp;")"</f>
        <v>17,159 (0.00)</v>
      </c>
      <c r="O126" t="str">
        <f t="shared" ref="O126:Q126" si="58">TEXT(J128,"#,##0")&amp;" ("&amp;TEXT(J129,"0.00")&amp;")"</f>
        <v>17,158 (0.00)</v>
      </c>
      <c r="P126" t="str">
        <f t="shared" si="58"/>
        <v>17,159 (0.00)</v>
      </c>
      <c r="Q126" t="str">
        <f t="shared" si="58"/>
        <v>17,158 (0.00)</v>
      </c>
    </row>
    <row r="127" spans="1:17" x14ac:dyDescent="0.3">
      <c r="A127" s="2"/>
      <c r="B127" s="18"/>
      <c r="C127" s="7">
        <v>66.040000000000006</v>
      </c>
      <c r="D127" s="7">
        <v>81.87</v>
      </c>
      <c r="E127" s="7">
        <v>89.67</v>
      </c>
      <c r="F127" s="7">
        <v>93.53</v>
      </c>
      <c r="G127" s="7"/>
      <c r="I127">
        <f>C131</f>
        <v>33.96</v>
      </c>
      <c r="J127">
        <f t="shared" ref="J127:L128" si="59">D131</f>
        <v>18.13</v>
      </c>
      <c r="K127">
        <f t="shared" si="59"/>
        <v>10.33</v>
      </c>
      <c r="L127">
        <f t="shared" si="59"/>
        <v>6.47</v>
      </c>
      <c r="N127" t="str">
        <f>TEXT(I130,"#,##0")&amp;" ("&amp;TEXT(I131,"0.00")&amp;")"</f>
        <v>0 (7181.00)</v>
      </c>
      <c r="O127" t="str">
        <f t="shared" ref="O127:Q127" si="60">TEXT(J130,"#,##0")&amp;" ("&amp;TEXT(J131,"0.00")&amp;")"</f>
        <v>0 (5995.00)</v>
      </c>
      <c r="P127" t="str">
        <f t="shared" si="60"/>
        <v>0 (5315.00)</v>
      </c>
      <c r="Q127" t="str">
        <f t="shared" si="60"/>
        <v>0 (4385.00)</v>
      </c>
    </row>
    <row r="128" spans="1:17" x14ac:dyDescent="0.3">
      <c r="A128" s="2"/>
      <c r="B128" s="18">
        <v>2</v>
      </c>
      <c r="C128" s="7">
        <v>5828</v>
      </c>
      <c r="D128" s="7">
        <v>3111</v>
      </c>
      <c r="E128" s="7">
        <v>1772</v>
      </c>
      <c r="F128" s="7">
        <v>1110</v>
      </c>
      <c r="G128" s="7">
        <v>11821</v>
      </c>
      <c r="I128">
        <f>C132</f>
        <v>17159</v>
      </c>
      <c r="J128">
        <f t="shared" si="59"/>
        <v>17158</v>
      </c>
      <c r="K128">
        <f t="shared" si="59"/>
        <v>17159</v>
      </c>
      <c r="L128">
        <f t="shared" si="59"/>
        <v>17158</v>
      </c>
    </row>
    <row r="129" spans="1:17" x14ac:dyDescent="0.3">
      <c r="A129" s="2"/>
      <c r="B129" s="18"/>
      <c r="C129" s="7">
        <v>8.49</v>
      </c>
      <c r="D129" s="7">
        <v>4.53</v>
      </c>
      <c r="E129" s="7">
        <v>2.58</v>
      </c>
      <c r="F129" s="7">
        <v>1.62</v>
      </c>
      <c r="G129" s="7">
        <v>17.22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18"/>
      <c r="C130" s="7">
        <v>49.3</v>
      </c>
      <c r="D130" s="7">
        <v>26.32</v>
      </c>
      <c r="E130" s="7">
        <v>14.99</v>
      </c>
      <c r="F130" s="7">
        <v>9.39</v>
      </c>
      <c r="G130" s="7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18"/>
      <c r="C131" s="7">
        <v>33.96</v>
      </c>
      <c r="D131" s="7">
        <v>18.13</v>
      </c>
      <c r="E131" s="7">
        <v>10.33</v>
      </c>
      <c r="F131" s="7">
        <v>6.47</v>
      </c>
      <c r="G131" s="7"/>
      <c r="I131">
        <f>C139</f>
        <v>7181</v>
      </c>
      <c r="J131">
        <f t="shared" ref="J131:L131" si="62">D139</f>
        <v>5995</v>
      </c>
      <c r="K131">
        <f t="shared" si="62"/>
        <v>5315</v>
      </c>
      <c r="L131">
        <f t="shared" si="62"/>
        <v>4385</v>
      </c>
    </row>
    <row r="132" spans="1:17" x14ac:dyDescent="0.3">
      <c r="A132" s="2"/>
      <c r="B132" s="18" t="s">
        <v>24</v>
      </c>
      <c r="C132" s="7">
        <v>17159</v>
      </c>
      <c r="D132" s="7">
        <v>17158</v>
      </c>
      <c r="E132" s="7">
        <v>17159</v>
      </c>
      <c r="F132" s="7">
        <v>17158</v>
      </c>
      <c r="G132" s="7">
        <v>68634</v>
      </c>
    </row>
    <row r="133" spans="1:17" x14ac:dyDescent="0.3">
      <c r="A133" s="2"/>
      <c r="B133" s="18"/>
      <c r="C133" s="7">
        <v>25</v>
      </c>
      <c r="D133" s="7">
        <v>25</v>
      </c>
      <c r="E133" s="7">
        <v>25</v>
      </c>
      <c r="F133" s="7">
        <v>25</v>
      </c>
      <c r="G133" s="7">
        <v>100</v>
      </c>
    </row>
    <row r="134" spans="1:17" x14ac:dyDescent="0.3">
      <c r="A134" s="2"/>
      <c r="B134" s="21"/>
      <c r="C134" s="21"/>
      <c r="D134" s="21"/>
      <c r="E134" s="21"/>
      <c r="F134" s="21"/>
      <c r="G134" s="21"/>
    </row>
    <row r="135" spans="1:17" ht="17.25" thickBot="1" x14ac:dyDescent="0.35"/>
    <row r="136" spans="1:17" ht="16.5" customHeight="1" x14ac:dyDescent="0.3">
      <c r="A136" s="4" t="s">
        <v>2</v>
      </c>
      <c r="B136" s="17" t="s">
        <v>48</v>
      </c>
      <c r="C136" s="19"/>
      <c r="D136" s="19"/>
      <c r="E136" s="19"/>
      <c r="F136" s="19"/>
      <c r="G136" s="19"/>
    </row>
    <row r="137" spans="1:17" ht="16.5" customHeight="1" x14ac:dyDescent="0.3">
      <c r="A137" s="6" t="s">
        <v>3</v>
      </c>
      <c r="B137" s="18" t="s">
        <v>11</v>
      </c>
      <c r="C137" s="20" t="s">
        <v>41</v>
      </c>
      <c r="D137" s="20"/>
      <c r="E137" s="20"/>
      <c r="F137" s="20"/>
      <c r="G137" s="20"/>
    </row>
    <row r="138" spans="1:17" x14ac:dyDescent="0.3">
      <c r="A138" s="6" t="s">
        <v>20</v>
      </c>
      <c r="B138" s="1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18">
        <v>1</v>
      </c>
      <c r="C139" s="7">
        <v>7181</v>
      </c>
      <c r="D139" s="7">
        <v>5995</v>
      </c>
      <c r="E139" s="7">
        <v>5315</v>
      </c>
      <c r="F139" s="7">
        <v>4385</v>
      </c>
      <c r="G139" s="7">
        <v>22876</v>
      </c>
      <c r="I139">
        <f>C139</f>
        <v>7181</v>
      </c>
      <c r="J139">
        <f t="shared" ref="J139:L139" si="63">D139</f>
        <v>5995</v>
      </c>
      <c r="K139">
        <f t="shared" si="63"/>
        <v>5315</v>
      </c>
      <c r="L139">
        <f t="shared" si="63"/>
        <v>4385</v>
      </c>
      <c r="N139" t="str">
        <f>TEXT(I139,"#,##0")&amp;" ("&amp;TEXT(I140,"0.00")&amp;")"</f>
        <v>7,181 (41.85)</v>
      </c>
      <c r="O139" t="str">
        <f t="shared" ref="O139:Q139" si="64">TEXT(J139,"#,##0")&amp;" ("&amp;TEXT(J140,"0.00")&amp;")"</f>
        <v>5,995 (34.94)</v>
      </c>
      <c r="P139" t="str">
        <f t="shared" si="64"/>
        <v>5,315 (30.97)</v>
      </c>
      <c r="Q139" t="str">
        <f t="shared" si="64"/>
        <v>4,385 (25.56)</v>
      </c>
    </row>
    <row r="140" spans="1:17" x14ac:dyDescent="0.3">
      <c r="A140" s="2"/>
      <c r="B140" s="18"/>
      <c r="C140" s="7">
        <v>10.46</v>
      </c>
      <c r="D140" s="7">
        <v>8.73</v>
      </c>
      <c r="E140" s="7">
        <v>7.74</v>
      </c>
      <c r="F140" s="7">
        <v>6.39</v>
      </c>
      <c r="G140" s="7">
        <v>33.33</v>
      </c>
      <c r="I140">
        <f>C142</f>
        <v>41.85</v>
      </c>
      <c r="J140">
        <f t="shared" ref="J140:L141" si="65">D142</f>
        <v>34.94</v>
      </c>
      <c r="K140">
        <f t="shared" si="65"/>
        <v>30.97</v>
      </c>
      <c r="L140">
        <f t="shared" si="65"/>
        <v>25.56</v>
      </c>
      <c r="N140" t="str">
        <f>TEXT(I141,"#,##0")&amp;" ("&amp;TEXT(I142,"0.00")&amp;")"</f>
        <v>7,855 (45.78)</v>
      </c>
      <c r="O140" t="str">
        <f t="shared" ref="O140:Q140" si="66">TEXT(J141,"#,##0")&amp;" ("&amp;TEXT(J142,"0.00")&amp;")"</f>
        <v>8,439 (49.18)</v>
      </c>
      <c r="P140" t="str">
        <f t="shared" si="66"/>
        <v>8,493 (49.50)</v>
      </c>
      <c r="Q140" t="str">
        <f t="shared" si="66"/>
        <v>8,423 (49.09)</v>
      </c>
    </row>
    <row r="141" spans="1:17" x14ac:dyDescent="0.3">
      <c r="A141" s="2"/>
      <c r="B141" s="18"/>
      <c r="C141" s="7">
        <v>31.39</v>
      </c>
      <c r="D141" s="7">
        <v>26.21</v>
      </c>
      <c r="E141" s="7">
        <v>23.23</v>
      </c>
      <c r="F141" s="7">
        <v>19.170000000000002</v>
      </c>
      <c r="G141" s="7"/>
      <c r="I141">
        <f>C143</f>
        <v>7855</v>
      </c>
      <c r="J141">
        <f t="shared" si="65"/>
        <v>8439</v>
      </c>
      <c r="K141">
        <f t="shared" si="65"/>
        <v>8493</v>
      </c>
      <c r="L141">
        <f t="shared" si="65"/>
        <v>8423</v>
      </c>
      <c r="N141" t="str">
        <f>TEXT(I143,"#,##0")&amp;" ("&amp;TEXT(I144,"0.00")&amp;")"</f>
        <v>2,123 (12.37)</v>
      </c>
      <c r="O141" t="str">
        <f t="shared" ref="O141:Q141" si="67">TEXT(J143,"#,##0")&amp;" ("&amp;TEXT(J144,"0.00")&amp;")"</f>
        <v>2,724 (15.88)</v>
      </c>
      <c r="P141" t="str">
        <f t="shared" si="67"/>
        <v>3,351 (19.53)</v>
      </c>
      <c r="Q141" t="str">
        <f t="shared" si="67"/>
        <v>4,350 (25.35)</v>
      </c>
    </row>
    <row r="142" spans="1:17" x14ac:dyDescent="0.3">
      <c r="A142" s="2"/>
      <c r="B142" s="18"/>
      <c r="C142" s="7">
        <v>41.85</v>
      </c>
      <c r="D142" s="7">
        <v>34.94</v>
      </c>
      <c r="E142" s="7">
        <v>30.97</v>
      </c>
      <c r="F142" s="7">
        <v>25.56</v>
      </c>
      <c r="G142" s="7"/>
      <c r="I142">
        <f>C146</f>
        <v>45.78</v>
      </c>
      <c r="J142">
        <f t="shared" ref="J142:L143" si="68">D146</f>
        <v>49.18</v>
      </c>
      <c r="K142">
        <f t="shared" si="68"/>
        <v>49.5</v>
      </c>
      <c r="L142">
        <f t="shared" si="68"/>
        <v>49.09</v>
      </c>
      <c r="N142" t="str">
        <f>TEXT(I145,"#,##0")&amp;" ("&amp;TEXT(I146,"0.00")&amp;")"</f>
        <v>17,159 (0.00)</v>
      </c>
      <c r="O142" t="str">
        <f t="shared" ref="O142:Q142" si="69">TEXT(J145,"#,##0")&amp;" ("&amp;TEXT(J146,"0.00")&amp;")"</f>
        <v>17,158 (0.00)</v>
      </c>
      <c r="P142" t="str">
        <f t="shared" si="69"/>
        <v>17,159 (0.00)</v>
      </c>
      <c r="Q142" t="str">
        <f t="shared" si="69"/>
        <v>17,158 (0.00)</v>
      </c>
    </row>
    <row r="143" spans="1:17" x14ac:dyDescent="0.3">
      <c r="A143" s="2"/>
      <c r="B143" s="18">
        <v>2</v>
      </c>
      <c r="C143" s="7">
        <v>7855</v>
      </c>
      <c r="D143" s="7">
        <v>8439</v>
      </c>
      <c r="E143" s="7">
        <v>8493</v>
      </c>
      <c r="F143" s="7">
        <v>8423</v>
      </c>
      <c r="G143" s="7">
        <v>33210</v>
      </c>
      <c r="I143">
        <f>C147</f>
        <v>2123</v>
      </c>
      <c r="J143">
        <f t="shared" si="68"/>
        <v>2724</v>
      </c>
      <c r="K143">
        <f t="shared" si="68"/>
        <v>3351</v>
      </c>
      <c r="L143">
        <f t="shared" si="68"/>
        <v>4350</v>
      </c>
    </row>
    <row r="144" spans="1:17" x14ac:dyDescent="0.3">
      <c r="A144" s="2"/>
      <c r="B144" s="18"/>
      <c r="C144" s="7">
        <v>11.44</v>
      </c>
      <c r="D144" s="7">
        <v>12.3</v>
      </c>
      <c r="E144" s="7">
        <v>12.37</v>
      </c>
      <c r="F144" s="7">
        <v>12.27</v>
      </c>
      <c r="G144" s="7">
        <v>48.39</v>
      </c>
      <c r="I144">
        <f>C150</f>
        <v>12.37</v>
      </c>
      <c r="J144">
        <f t="shared" ref="J144:L145" si="70">D150</f>
        <v>15.88</v>
      </c>
      <c r="K144">
        <f t="shared" si="70"/>
        <v>19.53</v>
      </c>
      <c r="L144">
        <f t="shared" si="70"/>
        <v>25.35</v>
      </c>
    </row>
    <row r="145" spans="1:17" x14ac:dyDescent="0.3">
      <c r="A145" s="2"/>
      <c r="B145" s="18"/>
      <c r="C145" s="7">
        <v>23.65</v>
      </c>
      <c r="D145" s="7">
        <v>25.41</v>
      </c>
      <c r="E145" s="7">
        <v>25.57</v>
      </c>
      <c r="F145" s="7">
        <v>25.36</v>
      </c>
      <c r="G145" s="7"/>
      <c r="I145">
        <f>C151</f>
        <v>17159</v>
      </c>
      <c r="J145">
        <f t="shared" si="70"/>
        <v>17158</v>
      </c>
      <c r="K145">
        <f t="shared" si="70"/>
        <v>17159</v>
      </c>
      <c r="L145">
        <f t="shared" si="70"/>
        <v>17158</v>
      </c>
    </row>
    <row r="146" spans="1:17" x14ac:dyDescent="0.3">
      <c r="A146" s="2"/>
      <c r="B146" s="18"/>
      <c r="C146" s="7">
        <v>45.78</v>
      </c>
      <c r="D146" s="7">
        <v>49.18</v>
      </c>
      <c r="E146" s="7">
        <v>49.5</v>
      </c>
      <c r="F146" s="7">
        <v>49.09</v>
      </c>
      <c r="G146" s="7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18">
        <v>3</v>
      </c>
      <c r="C147" s="7">
        <v>2123</v>
      </c>
      <c r="D147" s="7">
        <v>2724</v>
      </c>
      <c r="E147" s="7">
        <v>3351</v>
      </c>
      <c r="F147" s="7">
        <v>4350</v>
      </c>
      <c r="G147" s="7">
        <v>12548</v>
      </c>
    </row>
    <row r="148" spans="1:17" x14ac:dyDescent="0.3">
      <c r="A148" s="2"/>
      <c r="B148" s="18"/>
      <c r="C148" s="7">
        <v>3.09</v>
      </c>
      <c r="D148" s="7">
        <v>3.97</v>
      </c>
      <c r="E148" s="7">
        <v>4.88</v>
      </c>
      <c r="F148" s="7">
        <v>6.34</v>
      </c>
      <c r="G148" s="7">
        <v>18.28</v>
      </c>
    </row>
    <row r="149" spans="1:17" x14ac:dyDescent="0.3">
      <c r="A149" s="2"/>
      <c r="B149" s="18"/>
      <c r="C149" s="7">
        <v>16.920000000000002</v>
      </c>
      <c r="D149" s="7">
        <v>21.71</v>
      </c>
      <c r="E149" s="7">
        <v>26.71</v>
      </c>
      <c r="F149" s="7">
        <v>34.67</v>
      </c>
      <c r="G149" s="7"/>
    </row>
    <row r="150" spans="1:17" x14ac:dyDescent="0.3">
      <c r="A150" s="2"/>
      <c r="B150" s="18"/>
      <c r="C150" s="7">
        <v>12.37</v>
      </c>
      <c r="D150" s="7">
        <v>15.88</v>
      </c>
      <c r="E150" s="7">
        <v>19.53</v>
      </c>
      <c r="F150" s="7">
        <v>25.35</v>
      </c>
      <c r="G150" s="7"/>
    </row>
    <row r="151" spans="1:17" x14ac:dyDescent="0.3">
      <c r="A151" s="2"/>
      <c r="B151" s="18" t="s">
        <v>24</v>
      </c>
      <c r="C151" s="7">
        <v>17159</v>
      </c>
      <c r="D151" s="7">
        <v>17158</v>
      </c>
      <c r="E151" s="7">
        <v>17159</v>
      </c>
      <c r="F151" s="7">
        <v>17158</v>
      </c>
      <c r="G151" s="7">
        <v>68634</v>
      </c>
    </row>
    <row r="152" spans="1:17" x14ac:dyDescent="0.3">
      <c r="A152" s="2"/>
      <c r="B152" s="18"/>
      <c r="C152" s="7">
        <v>25</v>
      </c>
      <c r="D152" s="7">
        <v>25</v>
      </c>
      <c r="E152" s="7">
        <v>25</v>
      </c>
      <c r="F152" s="7">
        <v>25</v>
      </c>
      <c r="G152" s="7">
        <v>100</v>
      </c>
    </row>
    <row r="153" spans="1:17" x14ac:dyDescent="0.3">
      <c r="A153" s="2"/>
      <c r="B153" s="21"/>
      <c r="C153" s="21"/>
      <c r="D153" s="21"/>
      <c r="E153" s="21"/>
      <c r="F153" s="21"/>
      <c r="G153" s="21"/>
    </row>
    <row r="154" spans="1:17" ht="17.25" thickBot="1" x14ac:dyDescent="0.35"/>
    <row r="155" spans="1:17" ht="16.5" customHeight="1" x14ac:dyDescent="0.3">
      <c r="A155" s="4" t="s">
        <v>2</v>
      </c>
      <c r="B155" s="17" t="s">
        <v>49</v>
      </c>
      <c r="C155" s="19"/>
      <c r="D155" s="19"/>
      <c r="E155" s="19"/>
      <c r="F155" s="19"/>
      <c r="G155" s="19"/>
    </row>
    <row r="156" spans="1:17" ht="16.5" customHeight="1" x14ac:dyDescent="0.3">
      <c r="A156" s="6" t="s">
        <v>3</v>
      </c>
      <c r="B156" s="18" t="s">
        <v>12</v>
      </c>
      <c r="C156" s="20" t="s">
        <v>41</v>
      </c>
      <c r="D156" s="20"/>
      <c r="E156" s="20"/>
      <c r="F156" s="20"/>
      <c r="G156" s="20"/>
    </row>
    <row r="157" spans="1:17" x14ac:dyDescent="0.3">
      <c r="A157" s="6" t="s">
        <v>20</v>
      </c>
      <c r="B157" s="1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18">
        <v>1</v>
      </c>
      <c r="C158" s="7">
        <v>4902</v>
      </c>
      <c r="D158" s="7">
        <v>4618</v>
      </c>
      <c r="E158" s="7">
        <v>4515</v>
      </c>
      <c r="F158" s="7">
        <v>4222</v>
      </c>
      <c r="G158" s="7">
        <v>18257</v>
      </c>
      <c r="I158">
        <f>C158</f>
        <v>4902</v>
      </c>
      <c r="J158">
        <f t="shared" ref="J158:L158" si="72">D158</f>
        <v>4618</v>
      </c>
      <c r="K158">
        <f t="shared" si="72"/>
        <v>4515</v>
      </c>
      <c r="L158">
        <f t="shared" si="72"/>
        <v>4222</v>
      </c>
      <c r="N158" t="str">
        <f>TEXT(I158,"#,##0")&amp;" ("&amp;TEXT(I159,"0.00")&amp;")"</f>
        <v>4,902 (28.57)</v>
      </c>
      <c r="O158" t="str">
        <f t="shared" ref="O158:Q158" si="73">TEXT(J158,"#,##0")&amp;" ("&amp;TEXT(J159,"0.00")&amp;")"</f>
        <v>4,618 (26.91)</v>
      </c>
      <c r="P158" t="str">
        <f t="shared" si="73"/>
        <v>4,515 (26.31)</v>
      </c>
      <c r="Q158" t="str">
        <f t="shared" si="73"/>
        <v>4,222 (24.61)</v>
      </c>
    </row>
    <row r="159" spans="1:17" x14ac:dyDescent="0.3">
      <c r="A159" s="2"/>
      <c r="B159" s="18"/>
      <c r="C159" s="7">
        <v>7.14</v>
      </c>
      <c r="D159" s="7">
        <v>6.73</v>
      </c>
      <c r="E159" s="7">
        <v>6.58</v>
      </c>
      <c r="F159" s="7">
        <v>6.15</v>
      </c>
      <c r="G159" s="7">
        <v>26.6</v>
      </c>
      <c r="I159">
        <f>C161</f>
        <v>28.57</v>
      </c>
      <c r="J159">
        <f t="shared" ref="J159:L160" si="74">D161</f>
        <v>26.91</v>
      </c>
      <c r="K159">
        <f t="shared" si="74"/>
        <v>26.31</v>
      </c>
      <c r="L159">
        <f t="shared" si="74"/>
        <v>24.61</v>
      </c>
      <c r="N159" t="str">
        <f>TEXT(I160,"#,##0")&amp;" ("&amp;TEXT(I161,"0.00")&amp;")"</f>
        <v>10,255 (59.76)</v>
      </c>
      <c r="O159" t="str">
        <f t="shared" ref="O159:Q159" si="75">TEXT(J160,"#,##0")&amp;" ("&amp;TEXT(J161,"0.00")&amp;")"</f>
        <v>10,079 (58.74)</v>
      </c>
      <c r="P159" t="str">
        <f t="shared" si="75"/>
        <v>9,774 (56.96)</v>
      </c>
      <c r="Q159" t="str">
        <f t="shared" si="75"/>
        <v>9,443 (55.04)</v>
      </c>
    </row>
    <row r="160" spans="1:17" x14ac:dyDescent="0.3">
      <c r="A160" s="2"/>
      <c r="B160" s="18"/>
      <c r="C160" s="7">
        <v>26.85</v>
      </c>
      <c r="D160" s="7">
        <v>25.29</v>
      </c>
      <c r="E160" s="7">
        <v>24.73</v>
      </c>
      <c r="F160" s="7">
        <v>23.13</v>
      </c>
      <c r="G160" s="7"/>
      <c r="I160">
        <f>C162</f>
        <v>10255</v>
      </c>
      <c r="J160">
        <f t="shared" si="74"/>
        <v>10079</v>
      </c>
      <c r="K160">
        <f t="shared" si="74"/>
        <v>9774</v>
      </c>
      <c r="L160">
        <f t="shared" si="74"/>
        <v>9443</v>
      </c>
      <c r="N160" t="str">
        <f>TEXT(I162,"#,##0")&amp;" ("&amp;TEXT(I163,"0.00")&amp;")"</f>
        <v>2,002 (11.67)</v>
      </c>
      <c r="O160" t="str">
        <f t="shared" ref="O160:Q160" si="76">TEXT(J162,"#,##0")&amp;" ("&amp;TEXT(J163,"0.00")&amp;")"</f>
        <v>2,461 (14.34)</v>
      </c>
      <c r="P160" t="str">
        <f t="shared" si="76"/>
        <v>2,870 (16.73)</v>
      </c>
      <c r="Q160" t="str">
        <f t="shared" si="76"/>
        <v>3,493 (20.36)</v>
      </c>
    </row>
    <row r="161" spans="1:17" x14ac:dyDescent="0.3">
      <c r="A161" s="2"/>
      <c r="B161" s="18"/>
      <c r="C161" s="7">
        <v>28.57</v>
      </c>
      <c r="D161" s="7">
        <v>26.91</v>
      </c>
      <c r="E161" s="7">
        <v>26.31</v>
      </c>
      <c r="F161" s="7">
        <v>24.61</v>
      </c>
      <c r="G161" s="7"/>
      <c r="I161">
        <f>C165</f>
        <v>59.76</v>
      </c>
      <c r="J161">
        <f t="shared" ref="J161:L162" si="77">D165</f>
        <v>58.74</v>
      </c>
      <c r="K161">
        <f t="shared" si="77"/>
        <v>56.96</v>
      </c>
      <c r="L161">
        <f t="shared" si="77"/>
        <v>55.04</v>
      </c>
      <c r="N161" t="str">
        <f>TEXT(I164,"#,##0")&amp;" ("&amp;TEXT(I165,"0.00")&amp;")"</f>
        <v>17,159 (0.00)</v>
      </c>
      <c r="O161" t="str">
        <f t="shared" ref="O161:Q161" si="78">TEXT(J164,"#,##0")&amp;" ("&amp;TEXT(J165,"0.00")&amp;")"</f>
        <v>17,158 (0.00)</v>
      </c>
      <c r="P161" t="str">
        <f t="shared" si="78"/>
        <v>17,159 (0.00)</v>
      </c>
      <c r="Q161" t="str">
        <f t="shared" si="78"/>
        <v>17,158 (0.00)</v>
      </c>
    </row>
    <row r="162" spans="1:17" x14ac:dyDescent="0.3">
      <c r="A162" s="2"/>
      <c r="B162" s="18">
        <v>2</v>
      </c>
      <c r="C162" s="7">
        <v>10255</v>
      </c>
      <c r="D162" s="7">
        <v>10079</v>
      </c>
      <c r="E162" s="7">
        <v>9774</v>
      </c>
      <c r="F162" s="7">
        <v>9443</v>
      </c>
      <c r="G162" s="7">
        <v>39551</v>
      </c>
      <c r="I162">
        <f>C166</f>
        <v>2002</v>
      </c>
      <c r="J162">
        <f t="shared" si="77"/>
        <v>2461</v>
      </c>
      <c r="K162">
        <f t="shared" si="77"/>
        <v>2870</v>
      </c>
      <c r="L162">
        <f t="shared" si="77"/>
        <v>3493</v>
      </c>
    </row>
    <row r="163" spans="1:17" x14ac:dyDescent="0.3">
      <c r="A163" s="2"/>
      <c r="B163" s="18"/>
      <c r="C163" s="7">
        <v>14.94</v>
      </c>
      <c r="D163" s="7">
        <v>14.69</v>
      </c>
      <c r="E163" s="7">
        <v>14.24</v>
      </c>
      <c r="F163" s="7">
        <v>13.76</v>
      </c>
      <c r="G163" s="7">
        <v>57.63</v>
      </c>
      <c r="I163">
        <f>C169</f>
        <v>11.67</v>
      </c>
      <c r="J163">
        <f t="shared" ref="J163:L164" si="79">D169</f>
        <v>14.34</v>
      </c>
      <c r="K163">
        <f t="shared" si="79"/>
        <v>16.73</v>
      </c>
      <c r="L163">
        <f t="shared" si="79"/>
        <v>20.36</v>
      </c>
    </row>
    <row r="164" spans="1:17" x14ac:dyDescent="0.3">
      <c r="A164" s="2"/>
      <c r="B164" s="18"/>
      <c r="C164" s="7">
        <v>25.93</v>
      </c>
      <c r="D164" s="7">
        <v>25.48</v>
      </c>
      <c r="E164" s="7">
        <v>24.71</v>
      </c>
      <c r="F164" s="7">
        <v>23.88</v>
      </c>
      <c r="G164" s="7"/>
      <c r="I164">
        <f>C170</f>
        <v>17159</v>
      </c>
      <c r="J164">
        <f t="shared" si="79"/>
        <v>17158</v>
      </c>
      <c r="K164">
        <f t="shared" si="79"/>
        <v>17159</v>
      </c>
      <c r="L164">
        <f t="shared" si="79"/>
        <v>17158</v>
      </c>
    </row>
    <row r="165" spans="1:17" x14ac:dyDescent="0.3">
      <c r="A165" s="2"/>
      <c r="B165" s="18"/>
      <c r="C165" s="7">
        <v>59.76</v>
      </c>
      <c r="D165" s="7">
        <v>58.74</v>
      </c>
      <c r="E165" s="7">
        <v>56.96</v>
      </c>
      <c r="F165" s="7">
        <v>55.04</v>
      </c>
      <c r="G165" s="7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18">
        <v>3</v>
      </c>
      <c r="C166" s="7">
        <v>2002</v>
      </c>
      <c r="D166" s="7">
        <v>2461</v>
      </c>
      <c r="E166" s="7">
        <v>2870</v>
      </c>
      <c r="F166" s="7">
        <v>3493</v>
      </c>
      <c r="G166" s="7">
        <v>10826</v>
      </c>
    </row>
    <row r="167" spans="1:17" x14ac:dyDescent="0.3">
      <c r="A167" s="2"/>
      <c r="B167" s="18"/>
      <c r="C167" s="7">
        <v>2.92</v>
      </c>
      <c r="D167" s="7">
        <v>3.59</v>
      </c>
      <c r="E167" s="7">
        <v>4.18</v>
      </c>
      <c r="F167" s="7">
        <v>5.09</v>
      </c>
      <c r="G167" s="7">
        <v>15.77</v>
      </c>
    </row>
    <row r="168" spans="1:17" x14ac:dyDescent="0.3">
      <c r="A168" s="2"/>
      <c r="B168" s="18"/>
      <c r="C168" s="7">
        <v>18.489999999999998</v>
      </c>
      <c r="D168" s="7">
        <v>22.73</v>
      </c>
      <c r="E168" s="7">
        <v>26.51</v>
      </c>
      <c r="F168" s="7">
        <v>32.26</v>
      </c>
      <c r="G168" s="7"/>
    </row>
    <row r="169" spans="1:17" x14ac:dyDescent="0.3">
      <c r="A169" s="2"/>
      <c r="B169" s="18"/>
      <c r="C169" s="7">
        <v>11.67</v>
      </c>
      <c r="D169" s="7">
        <v>14.34</v>
      </c>
      <c r="E169" s="7">
        <v>16.73</v>
      </c>
      <c r="F169" s="7">
        <v>20.36</v>
      </c>
      <c r="G169" s="7"/>
    </row>
    <row r="170" spans="1:17" x14ac:dyDescent="0.3">
      <c r="A170" s="2"/>
      <c r="B170" s="18" t="s">
        <v>24</v>
      </c>
      <c r="C170" s="7">
        <v>17159</v>
      </c>
      <c r="D170" s="7">
        <v>17158</v>
      </c>
      <c r="E170" s="7">
        <v>17159</v>
      </c>
      <c r="F170" s="7">
        <v>17158</v>
      </c>
      <c r="G170" s="7">
        <v>68634</v>
      </c>
    </row>
    <row r="171" spans="1:17" x14ac:dyDescent="0.3">
      <c r="A171" s="2"/>
      <c r="B171" s="18"/>
      <c r="C171" s="7">
        <v>25</v>
      </c>
      <c r="D171" s="7">
        <v>25</v>
      </c>
      <c r="E171" s="7">
        <v>25</v>
      </c>
      <c r="F171" s="7">
        <v>25</v>
      </c>
      <c r="G171" s="7">
        <v>100</v>
      </c>
    </row>
    <row r="172" spans="1:17" x14ac:dyDescent="0.3">
      <c r="A172" s="2"/>
      <c r="B172" s="21"/>
      <c r="C172" s="21"/>
      <c r="D172" s="21"/>
      <c r="E172" s="21"/>
      <c r="F172" s="21"/>
      <c r="G172" s="21"/>
    </row>
    <row r="173" spans="1:17" ht="17.25" thickBot="1" x14ac:dyDescent="0.35"/>
    <row r="174" spans="1:17" ht="16.5" customHeight="1" x14ac:dyDescent="0.3">
      <c r="A174" s="4" t="s">
        <v>2</v>
      </c>
      <c r="B174" s="17" t="s">
        <v>50</v>
      </c>
      <c r="C174" s="19"/>
      <c r="D174" s="19"/>
      <c r="E174" s="19"/>
      <c r="F174" s="19"/>
      <c r="G174" s="19"/>
    </row>
    <row r="175" spans="1:17" ht="16.5" customHeight="1" x14ac:dyDescent="0.3">
      <c r="A175" s="6" t="s">
        <v>3</v>
      </c>
      <c r="B175" s="18" t="s">
        <v>13</v>
      </c>
      <c r="C175" s="20" t="s">
        <v>41</v>
      </c>
      <c r="D175" s="20"/>
      <c r="E175" s="20"/>
      <c r="F175" s="20"/>
      <c r="G175" s="20"/>
    </row>
    <row r="176" spans="1:17" x14ac:dyDescent="0.3">
      <c r="A176" s="6" t="s">
        <v>20</v>
      </c>
      <c r="B176" s="1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18">
        <v>1</v>
      </c>
      <c r="C177" s="7">
        <v>6912</v>
      </c>
      <c r="D177" s="7">
        <v>6915</v>
      </c>
      <c r="E177" s="7">
        <v>6753</v>
      </c>
      <c r="F177" s="7">
        <v>6328</v>
      </c>
      <c r="G177" s="7">
        <v>26908</v>
      </c>
      <c r="I177">
        <f>C177</f>
        <v>6912</v>
      </c>
      <c r="J177">
        <f t="shared" ref="J177:L177" si="81">D177</f>
        <v>6915</v>
      </c>
      <c r="K177">
        <f t="shared" si="81"/>
        <v>6753</v>
      </c>
      <c r="L177">
        <f t="shared" si="81"/>
        <v>6328</v>
      </c>
      <c r="N177" t="str">
        <f>TEXT(I177,"#,##0")&amp;" ("&amp;TEXT(I178,"0.00")&amp;")"</f>
        <v>6,912 (40.28)</v>
      </c>
      <c r="O177" t="str">
        <f t="shared" ref="O177:Q177" si="82">TEXT(J177,"#,##0")&amp;" ("&amp;TEXT(J178,"0.00")&amp;")"</f>
        <v>6,915 (40.30)</v>
      </c>
      <c r="P177" t="str">
        <f t="shared" si="82"/>
        <v>6,753 (39.36)</v>
      </c>
      <c r="Q177" t="str">
        <f t="shared" si="82"/>
        <v>6,328 (36.88)</v>
      </c>
    </row>
    <row r="178" spans="1:17" x14ac:dyDescent="0.3">
      <c r="A178" s="2"/>
      <c r="B178" s="18"/>
      <c r="C178" s="7">
        <v>10.07</v>
      </c>
      <c r="D178" s="7">
        <v>10.08</v>
      </c>
      <c r="E178" s="7">
        <v>9.84</v>
      </c>
      <c r="F178" s="7">
        <v>9.2200000000000006</v>
      </c>
      <c r="G178" s="7">
        <v>39.21</v>
      </c>
      <c r="I178">
        <f>C180</f>
        <v>40.28</v>
      </c>
      <c r="J178">
        <f t="shared" ref="J178:L179" si="83">D180</f>
        <v>40.299999999999997</v>
      </c>
      <c r="K178">
        <f t="shared" si="83"/>
        <v>39.36</v>
      </c>
      <c r="L178">
        <f t="shared" si="83"/>
        <v>36.880000000000003</v>
      </c>
      <c r="N178" t="str">
        <f>TEXT(I179,"#,##0")&amp;" ("&amp;TEXT(I180,"0.00")&amp;")"</f>
        <v>7,524 (43.85)</v>
      </c>
      <c r="O178" t="str">
        <f t="shared" ref="O178:Q178" si="84">TEXT(J179,"#,##0")&amp;" ("&amp;TEXT(J180,"0.00")&amp;")"</f>
        <v>6,534 (38.08)</v>
      </c>
      <c r="P178" t="str">
        <f t="shared" si="84"/>
        <v>5,906 (34.42)</v>
      </c>
      <c r="Q178" t="str">
        <f t="shared" si="84"/>
        <v>5,034 (29.34)</v>
      </c>
    </row>
    <row r="179" spans="1:17" x14ac:dyDescent="0.3">
      <c r="A179" s="2"/>
      <c r="B179" s="18"/>
      <c r="C179" s="7">
        <v>25.69</v>
      </c>
      <c r="D179" s="7">
        <v>25.7</v>
      </c>
      <c r="E179" s="7">
        <v>25.1</v>
      </c>
      <c r="F179" s="7">
        <v>23.52</v>
      </c>
      <c r="G179" s="7"/>
      <c r="I179">
        <f>C181</f>
        <v>7524</v>
      </c>
      <c r="J179">
        <f t="shared" si="83"/>
        <v>6534</v>
      </c>
      <c r="K179">
        <f t="shared" si="83"/>
        <v>5906</v>
      </c>
      <c r="L179">
        <f t="shared" si="83"/>
        <v>5034</v>
      </c>
      <c r="N179" t="str">
        <f>TEXT(I181,"#,##0")&amp;" ("&amp;TEXT(I182,"0.00")&amp;")"</f>
        <v>2,723 (15.87)</v>
      </c>
      <c r="O179" t="str">
        <f t="shared" ref="O179:Q179" si="85">TEXT(J181,"#,##0")&amp;" ("&amp;TEXT(J182,"0.00")&amp;")"</f>
        <v>3,709 (21.62)</v>
      </c>
      <c r="P179" t="str">
        <f t="shared" si="85"/>
        <v>4,500 (26.23)</v>
      </c>
      <c r="Q179" t="str">
        <f t="shared" si="85"/>
        <v>5,796 (33.78)</v>
      </c>
    </row>
    <row r="180" spans="1:17" x14ac:dyDescent="0.3">
      <c r="A180" s="2"/>
      <c r="B180" s="18"/>
      <c r="C180" s="7">
        <v>40.28</v>
      </c>
      <c r="D180" s="7">
        <v>40.299999999999997</v>
      </c>
      <c r="E180" s="7">
        <v>39.36</v>
      </c>
      <c r="F180" s="7">
        <v>36.880000000000003</v>
      </c>
      <c r="G180" s="7"/>
      <c r="I180">
        <f>C184</f>
        <v>43.85</v>
      </c>
      <c r="J180">
        <f t="shared" ref="J180:L181" si="86">D184</f>
        <v>38.08</v>
      </c>
      <c r="K180">
        <f t="shared" si="86"/>
        <v>34.42</v>
      </c>
      <c r="L180">
        <f t="shared" si="86"/>
        <v>29.34</v>
      </c>
      <c r="N180" t="str">
        <f>TEXT(I183,"#,##0")&amp;" ("&amp;TEXT(I184,"0.00")&amp;")"</f>
        <v>17,159 (0.00)</v>
      </c>
      <c r="O180" t="str">
        <f t="shared" ref="O180:Q180" si="87">TEXT(J183,"#,##0")&amp;" ("&amp;TEXT(J184,"0.00")&amp;")"</f>
        <v>17,158 (0.00)</v>
      </c>
      <c r="P180" t="str">
        <f t="shared" si="87"/>
        <v>17,159 (0.00)</v>
      </c>
      <c r="Q180" t="str">
        <f t="shared" si="87"/>
        <v>17,158 (0.00)</v>
      </c>
    </row>
    <row r="181" spans="1:17" x14ac:dyDescent="0.3">
      <c r="A181" s="2"/>
      <c r="B181" s="18">
        <v>2</v>
      </c>
      <c r="C181" s="7">
        <v>7524</v>
      </c>
      <c r="D181" s="7">
        <v>6534</v>
      </c>
      <c r="E181" s="7">
        <v>5906</v>
      </c>
      <c r="F181" s="7">
        <v>5034</v>
      </c>
      <c r="G181" s="7">
        <v>24998</v>
      </c>
      <c r="I181">
        <f>C185</f>
        <v>2723</v>
      </c>
      <c r="J181">
        <f t="shared" si="86"/>
        <v>3709</v>
      </c>
      <c r="K181">
        <f t="shared" si="86"/>
        <v>4500</v>
      </c>
      <c r="L181">
        <f t="shared" si="86"/>
        <v>5796</v>
      </c>
    </row>
    <row r="182" spans="1:17" x14ac:dyDescent="0.3">
      <c r="A182" s="2"/>
      <c r="B182" s="18"/>
      <c r="C182" s="7">
        <v>10.96</v>
      </c>
      <c r="D182" s="7">
        <v>9.52</v>
      </c>
      <c r="E182" s="7">
        <v>8.61</v>
      </c>
      <c r="F182" s="7">
        <v>7.33</v>
      </c>
      <c r="G182" s="7">
        <v>36.42</v>
      </c>
      <c r="I182">
        <f>C188</f>
        <v>15.87</v>
      </c>
      <c r="J182">
        <f t="shared" ref="J182:L183" si="88">D188</f>
        <v>21.62</v>
      </c>
      <c r="K182">
        <f t="shared" si="88"/>
        <v>26.23</v>
      </c>
      <c r="L182">
        <f t="shared" si="88"/>
        <v>33.78</v>
      </c>
    </row>
    <row r="183" spans="1:17" x14ac:dyDescent="0.3">
      <c r="A183" s="2"/>
      <c r="B183" s="18"/>
      <c r="C183" s="7">
        <v>30.1</v>
      </c>
      <c r="D183" s="7">
        <v>26.14</v>
      </c>
      <c r="E183" s="7">
        <v>23.63</v>
      </c>
      <c r="F183" s="7">
        <v>20.14</v>
      </c>
      <c r="G183" s="7"/>
      <c r="I183">
        <f>C189</f>
        <v>17159</v>
      </c>
      <c r="J183">
        <f t="shared" si="88"/>
        <v>17158</v>
      </c>
      <c r="K183">
        <f t="shared" si="88"/>
        <v>17159</v>
      </c>
      <c r="L183">
        <f t="shared" si="88"/>
        <v>17158</v>
      </c>
    </row>
    <row r="184" spans="1:17" x14ac:dyDescent="0.3">
      <c r="A184" s="2"/>
      <c r="B184" s="18"/>
      <c r="C184" s="7">
        <v>43.85</v>
      </c>
      <c r="D184" s="7">
        <v>38.08</v>
      </c>
      <c r="E184" s="7">
        <v>34.42</v>
      </c>
      <c r="F184" s="7">
        <v>29.34</v>
      </c>
      <c r="G184" s="7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18">
        <v>3</v>
      </c>
      <c r="C185" s="7">
        <v>2723</v>
      </c>
      <c r="D185" s="7">
        <v>3709</v>
      </c>
      <c r="E185" s="7">
        <v>4500</v>
      </c>
      <c r="F185" s="7">
        <v>5796</v>
      </c>
      <c r="G185" s="7">
        <v>16728</v>
      </c>
    </row>
    <row r="186" spans="1:17" x14ac:dyDescent="0.3">
      <c r="A186" s="2"/>
      <c r="B186" s="18"/>
      <c r="C186" s="7">
        <v>3.97</v>
      </c>
      <c r="D186" s="7">
        <v>5.4</v>
      </c>
      <c r="E186" s="7">
        <v>6.56</v>
      </c>
      <c r="F186" s="7">
        <v>8.44</v>
      </c>
      <c r="G186" s="7">
        <v>24.37</v>
      </c>
    </row>
    <row r="187" spans="1:17" x14ac:dyDescent="0.3">
      <c r="A187" s="2"/>
      <c r="B187" s="18"/>
      <c r="C187" s="7">
        <v>16.28</v>
      </c>
      <c r="D187" s="7">
        <v>22.17</v>
      </c>
      <c r="E187" s="7">
        <v>26.9</v>
      </c>
      <c r="F187" s="7">
        <v>34.65</v>
      </c>
      <c r="G187" s="7"/>
    </row>
    <row r="188" spans="1:17" x14ac:dyDescent="0.3">
      <c r="A188" s="2"/>
      <c r="B188" s="18"/>
      <c r="C188" s="7">
        <v>15.87</v>
      </c>
      <c r="D188" s="7">
        <v>21.62</v>
      </c>
      <c r="E188" s="7">
        <v>26.23</v>
      </c>
      <c r="F188" s="7">
        <v>33.78</v>
      </c>
      <c r="G188" s="7"/>
    </row>
    <row r="189" spans="1:17" x14ac:dyDescent="0.3">
      <c r="A189" s="2"/>
      <c r="B189" s="18" t="s">
        <v>24</v>
      </c>
      <c r="C189" s="7">
        <v>17159</v>
      </c>
      <c r="D189" s="7">
        <v>17158</v>
      </c>
      <c r="E189" s="7">
        <v>17159</v>
      </c>
      <c r="F189" s="7">
        <v>17158</v>
      </c>
      <c r="G189" s="7">
        <v>68634</v>
      </c>
    </row>
    <row r="190" spans="1:17" x14ac:dyDescent="0.3">
      <c r="A190" s="2"/>
      <c r="B190" s="18"/>
      <c r="C190" s="7">
        <v>25</v>
      </c>
      <c r="D190" s="7">
        <v>25</v>
      </c>
      <c r="E190" s="7">
        <v>25</v>
      </c>
      <c r="F190" s="7">
        <v>25</v>
      </c>
      <c r="G190" s="7">
        <v>100</v>
      </c>
    </row>
    <row r="191" spans="1:17" x14ac:dyDescent="0.3">
      <c r="A191" s="2"/>
      <c r="B191" s="21"/>
      <c r="C191" s="21"/>
      <c r="D191" s="21"/>
      <c r="E191" s="21"/>
      <c r="F191" s="21"/>
      <c r="G191" s="21"/>
    </row>
    <row r="192" spans="1:17" ht="17.25" thickBot="1" x14ac:dyDescent="0.35"/>
    <row r="193" spans="1:17" ht="16.5" customHeight="1" x14ac:dyDescent="0.3">
      <c r="A193" s="4" t="s">
        <v>2</v>
      </c>
      <c r="B193" s="17" t="s">
        <v>51</v>
      </c>
      <c r="C193" s="19"/>
      <c r="D193" s="19"/>
      <c r="E193" s="19"/>
      <c r="F193" s="19"/>
      <c r="G193" s="19"/>
    </row>
    <row r="194" spans="1:17" ht="16.5" customHeight="1" x14ac:dyDescent="0.3">
      <c r="A194" s="6" t="s">
        <v>3</v>
      </c>
      <c r="B194" s="18" t="s">
        <v>14</v>
      </c>
      <c r="C194" s="20" t="s">
        <v>41</v>
      </c>
      <c r="D194" s="20"/>
      <c r="E194" s="20"/>
      <c r="F194" s="20"/>
      <c r="G194" s="20"/>
    </row>
    <row r="195" spans="1:17" x14ac:dyDescent="0.3">
      <c r="A195" s="6" t="s">
        <v>20</v>
      </c>
      <c r="B195" s="1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18">
        <v>0</v>
      </c>
      <c r="C196" s="7">
        <v>14569</v>
      </c>
      <c r="D196" s="7">
        <v>13378</v>
      </c>
      <c r="E196" s="7">
        <v>12591</v>
      </c>
      <c r="F196" s="7">
        <v>11525</v>
      </c>
      <c r="G196" s="7">
        <v>52063</v>
      </c>
      <c r="I196">
        <f>C196</f>
        <v>14569</v>
      </c>
      <c r="J196">
        <f t="shared" ref="J196:L196" si="90">D196</f>
        <v>13378</v>
      </c>
      <c r="K196">
        <f t="shared" si="90"/>
        <v>12591</v>
      </c>
      <c r="L196">
        <f t="shared" si="90"/>
        <v>11525</v>
      </c>
      <c r="N196" t="str">
        <f>TEXT(I196,"#,##0")&amp;" ("&amp;TEXT(I197,"0.00")&amp;")"</f>
        <v>14,569 (84.91)</v>
      </c>
      <c r="O196" t="str">
        <f t="shared" ref="O196:Q196" si="91">TEXT(J196,"#,##0")&amp;" ("&amp;TEXT(J197,"0.00")&amp;")"</f>
        <v>13,378 (77.97)</v>
      </c>
      <c r="P196" t="str">
        <f t="shared" si="91"/>
        <v>12,591 (73.38)</v>
      </c>
      <c r="Q196" t="str">
        <f t="shared" si="91"/>
        <v>11,525 (67.17)</v>
      </c>
    </row>
    <row r="197" spans="1:17" x14ac:dyDescent="0.3">
      <c r="A197" s="2"/>
      <c r="B197" s="18"/>
      <c r="C197" s="7">
        <v>21.23</v>
      </c>
      <c r="D197" s="7">
        <v>19.489999999999998</v>
      </c>
      <c r="E197" s="7">
        <v>18.350000000000001</v>
      </c>
      <c r="F197" s="7">
        <v>16.79</v>
      </c>
      <c r="G197" s="7">
        <v>75.86</v>
      </c>
      <c r="I197">
        <f>C199</f>
        <v>84.91</v>
      </c>
      <c r="J197">
        <f t="shared" ref="J197:L198" si="92">D199</f>
        <v>77.97</v>
      </c>
      <c r="K197">
        <f t="shared" si="92"/>
        <v>73.38</v>
      </c>
      <c r="L197">
        <f t="shared" si="92"/>
        <v>67.17</v>
      </c>
      <c r="N197" t="str">
        <f>TEXT(I198,"#,##0")&amp;" ("&amp;TEXT(I199,"0.00")&amp;")"</f>
        <v>2,590 (15.09)</v>
      </c>
      <c r="O197" t="str">
        <f t="shared" ref="O197:Q197" si="93">TEXT(J198,"#,##0")&amp;" ("&amp;TEXT(J199,"0.00")&amp;")"</f>
        <v>3,780 (22.03)</v>
      </c>
      <c r="P197" t="str">
        <f t="shared" si="93"/>
        <v>4,568 (26.62)</v>
      </c>
      <c r="Q197" t="str">
        <f t="shared" si="93"/>
        <v>5,633 (32.83)</v>
      </c>
    </row>
    <row r="198" spans="1:17" x14ac:dyDescent="0.3">
      <c r="A198" s="2"/>
      <c r="B198" s="18"/>
      <c r="C198" s="7">
        <v>27.98</v>
      </c>
      <c r="D198" s="7">
        <v>25.7</v>
      </c>
      <c r="E198" s="7">
        <v>24.18</v>
      </c>
      <c r="F198" s="7">
        <v>22.14</v>
      </c>
      <c r="G198" s="7"/>
      <c r="I198">
        <f>C200</f>
        <v>2590</v>
      </c>
      <c r="J198">
        <f t="shared" si="92"/>
        <v>3780</v>
      </c>
      <c r="K198">
        <f t="shared" si="92"/>
        <v>4568</v>
      </c>
      <c r="L198">
        <f t="shared" si="92"/>
        <v>5633</v>
      </c>
      <c r="N198" t="str">
        <f>TEXT(I200,"#,##0")&amp;" ("&amp;TEXT(I201,"0.00")&amp;")"</f>
        <v>17,159 (0.00)</v>
      </c>
      <c r="O198" t="str">
        <f t="shared" ref="O198:Q198" si="94">TEXT(J200,"#,##0")&amp;" ("&amp;TEXT(J201,"0.00")&amp;")"</f>
        <v>17,158 (0.00)</v>
      </c>
      <c r="P198" t="str">
        <f t="shared" si="94"/>
        <v>17,159 (0.00)</v>
      </c>
      <c r="Q198" t="str">
        <f t="shared" si="94"/>
        <v>17,158 (0.00)</v>
      </c>
    </row>
    <row r="199" spans="1:17" x14ac:dyDescent="0.3">
      <c r="A199" s="2"/>
      <c r="B199" s="18"/>
      <c r="C199" s="7">
        <v>84.91</v>
      </c>
      <c r="D199" s="7">
        <v>77.97</v>
      </c>
      <c r="E199" s="7">
        <v>73.38</v>
      </c>
      <c r="F199" s="7">
        <v>67.17</v>
      </c>
      <c r="G199" s="7"/>
      <c r="I199">
        <f>C203</f>
        <v>15.09</v>
      </c>
      <c r="J199">
        <f t="shared" ref="J199:L200" si="95">D203</f>
        <v>22.03</v>
      </c>
      <c r="K199">
        <f t="shared" si="95"/>
        <v>26.62</v>
      </c>
      <c r="L199">
        <f t="shared" si="95"/>
        <v>32.83</v>
      </c>
      <c r="N199" t="str">
        <f>TEXT(I202,"#,##0")&amp;" ("&amp;TEXT(I203,"0.00")&amp;")"</f>
        <v>0 (16198.00)</v>
      </c>
      <c r="O199" t="str">
        <f t="shared" ref="O199:Q199" si="96">TEXT(J202,"#,##0")&amp;" ("&amp;TEXT(J203,"0.00")&amp;")"</f>
        <v>0 (14524.00)</v>
      </c>
      <c r="P199" t="str">
        <f t="shared" si="96"/>
        <v>0 (12670.00)</v>
      </c>
      <c r="Q199" t="str">
        <f t="shared" si="96"/>
        <v>0 (10518.00)</v>
      </c>
    </row>
    <row r="200" spans="1:17" x14ac:dyDescent="0.3">
      <c r="A200" s="2"/>
      <c r="B200" s="18">
        <v>1</v>
      </c>
      <c r="C200" s="7">
        <v>2590</v>
      </c>
      <c r="D200" s="7">
        <v>3780</v>
      </c>
      <c r="E200" s="7">
        <v>4568</v>
      </c>
      <c r="F200" s="7">
        <v>5633</v>
      </c>
      <c r="G200" s="7">
        <v>16571</v>
      </c>
      <c r="I200">
        <f>C204</f>
        <v>17159</v>
      </c>
      <c r="J200">
        <f t="shared" si="95"/>
        <v>17158</v>
      </c>
      <c r="K200">
        <f t="shared" si="95"/>
        <v>17159</v>
      </c>
      <c r="L200">
        <f t="shared" si="95"/>
        <v>17158</v>
      </c>
    </row>
    <row r="201" spans="1:17" x14ac:dyDescent="0.3">
      <c r="A201" s="2"/>
      <c r="B201" s="18"/>
      <c r="C201" s="7">
        <v>3.77</v>
      </c>
      <c r="D201" s="7">
        <v>5.51</v>
      </c>
      <c r="E201" s="7">
        <v>6.66</v>
      </c>
      <c r="F201" s="7">
        <v>8.2100000000000009</v>
      </c>
      <c r="G201" s="7">
        <v>24.14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18"/>
      <c r="C202" s="7">
        <v>15.63</v>
      </c>
      <c r="D202" s="7">
        <v>22.81</v>
      </c>
      <c r="E202" s="7">
        <v>27.57</v>
      </c>
      <c r="F202" s="7">
        <v>33.99</v>
      </c>
      <c r="G202" s="7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18"/>
      <c r="C203" s="7">
        <v>15.09</v>
      </c>
      <c r="D203" s="7">
        <v>22.03</v>
      </c>
      <c r="E203" s="7">
        <v>26.62</v>
      </c>
      <c r="F203" s="7">
        <v>32.83</v>
      </c>
      <c r="G203" s="7"/>
      <c r="I203">
        <f>C211</f>
        <v>16198</v>
      </c>
      <c r="J203">
        <f t="shared" ref="J203:L203" si="98">D211</f>
        <v>14524</v>
      </c>
      <c r="K203">
        <f t="shared" si="98"/>
        <v>12670</v>
      </c>
      <c r="L203">
        <f t="shared" si="98"/>
        <v>10518</v>
      </c>
    </row>
    <row r="204" spans="1:17" x14ac:dyDescent="0.3">
      <c r="A204" s="2"/>
      <c r="B204" s="18" t="s">
        <v>24</v>
      </c>
      <c r="C204" s="7">
        <v>17159</v>
      </c>
      <c r="D204" s="7">
        <v>17158</v>
      </c>
      <c r="E204" s="7">
        <v>17159</v>
      </c>
      <c r="F204" s="7">
        <v>17158</v>
      </c>
      <c r="G204" s="7">
        <v>68634</v>
      </c>
    </row>
    <row r="205" spans="1:17" x14ac:dyDescent="0.3">
      <c r="A205" s="2"/>
      <c r="B205" s="18"/>
      <c r="C205" s="7">
        <v>25</v>
      </c>
      <c r="D205" s="7">
        <v>25</v>
      </c>
      <c r="E205" s="7">
        <v>25</v>
      </c>
      <c r="F205" s="7">
        <v>25</v>
      </c>
      <c r="G205" s="7">
        <v>100</v>
      </c>
    </row>
    <row r="206" spans="1:17" x14ac:dyDescent="0.3">
      <c r="A206" s="2"/>
      <c r="B206" s="21"/>
      <c r="C206" s="21"/>
      <c r="D206" s="21"/>
      <c r="E206" s="21"/>
      <c r="F206" s="21"/>
      <c r="G206" s="21"/>
    </row>
    <row r="207" spans="1:17" ht="17.25" thickBot="1" x14ac:dyDescent="0.35"/>
    <row r="208" spans="1:17" ht="16.5" customHeight="1" x14ac:dyDescent="0.3">
      <c r="A208" s="4" t="s">
        <v>2</v>
      </c>
      <c r="B208" s="17" t="s">
        <v>52</v>
      </c>
      <c r="C208" s="19"/>
      <c r="D208" s="19"/>
      <c r="E208" s="19"/>
      <c r="F208" s="19"/>
      <c r="G208" s="19"/>
    </row>
    <row r="209" spans="1:17" ht="16.5" customHeight="1" x14ac:dyDescent="0.3">
      <c r="A209" s="6" t="s">
        <v>3</v>
      </c>
      <c r="B209" s="18" t="s">
        <v>15</v>
      </c>
      <c r="C209" s="20" t="s">
        <v>41</v>
      </c>
      <c r="D209" s="20"/>
      <c r="E209" s="20"/>
      <c r="F209" s="20"/>
      <c r="G209" s="20"/>
    </row>
    <row r="210" spans="1:17" x14ac:dyDescent="0.3">
      <c r="A210" s="6" t="s">
        <v>20</v>
      </c>
      <c r="B210" s="1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18">
        <v>0</v>
      </c>
      <c r="C211" s="7">
        <v>16198</v>
      </c>
      <c r="D211" s="7">
        <v>14524</v>
      </c>
      <c r="E211" s="7">
        <v>12670</v>
      </c>
      <c r="F211" s="7">
        <v>10518</v>
      </c>
      <c r="G211" s="7">
        <v>53910</v>
      </c>
      <c r="I211">
        <f>C211</f>
        <v>16198</v>
      </c>
      <c r="J211">
        <f t="shared" ref="J211:L211" si="99">D211</f>
        <v>14524</v>
      </c>
      <c r="K211">
        <f t="shared" si="99"/>
        <v>12670</v>
      </c>
      <c r="L211">
        <f t="shared" si="99"/>
        <v>10518</v>
      </c>
      <c r="N211" t="str">
        <f>TEXT(I211,"#,##0")&amp;" ("&amp;TEXT(I212,"0.00")&amp;")"</f>
        <v>16,198 (94.40)</v>
      </c>
      <c r="O211" t="str">
        <f t="shared" ref="O211:Q211" si="100">TEXT(J211,"#,##0")&amp;" ("&amp;TEXT(J212,"0.00")&amp;")"</f>
        <v>14,524 (84.65)</v>
      </c>
      <c r="P211" t="str">
        <f t="shared" si="100"/>
        <v>12,670 (73.84)</v>
      </c>
      <c r="Q211" t="str">
        <f t="shared" si="100"/>
        <v>10,518 (61.30)</v>
      </c>
    </row>
    <row r="212" spans="1:17" x14ac:dyDescent="0.3">
      <c r="A212" s="2"/>
      <c r="B212" s="18"/>
      <c r="C212" s="7">
        <v>23.6</v>
      </c>
      <c r="D212" s="7">
        <v>21.16</v>
      </c>
      <c r="E212" s="7">
        <v>18.46</v>
      </c>
      <c r="F212" s="7">
        <v>15.32</v>
      </c>
      <c r="G212" s="7">
        <v>78.55</v>
      </c>
      <c r="I212">
        <f>C214</f>
        <v>94.4</v>
      </c>
      <c r="J212">
        <f t="shared" ref="J212:L213" si="101">D214</f>
        <v>84.65</v>
      </c>
      <c r="K212">
        <f t="shared" si="101"/>
        <v>73.84</v>
      </c>
      <c r="L212">
        <f t="shared" si="101"/>
        <v>61.3</v>
      </c>
      <c r="N212" t="str">
        <f>TEXT(I213,"#,##0")&amp;" ("&amp;TEXT(I214,"0.00")&amp;")"</f>
        <v>961 (5.60)</v>
      </c>
      <c r="O212" t="str">
        <f t="shared" ref="O212:Q212" si="102">TEXT(J213,"#,##0")&amp;" ("&amp;TEXT(J214,"0.00")&amp;")"</f>
        <v>2,634 (15.35)</v>
      </c>
      <c r="P212" t="str">
        <f t="shared" si="102"/>
        <v>4,489 (26.16)</v>
      </c>
      <c r="Q212" t="str">
        <f t="shared" si="102"/>
        <v>6,640 (38.70)</v>
      </c>
    </row>
    <row r="213" spans="1:17" x14ac:dyDescent="0.3">
      <c r="A213" s="2"/>
      <c r="B213" s="18"/>
      <c r="C213" s="7">
        <v>30.05</v>
      </c>
      <c r="D213" s="7">
        <v>26.94</v>
      </c>
      <c r="E213" s="7">
        <v>23.5</v>
      </c>
      <c r="F213" s="7">
        <v>19.510000000000002</v>
      </c>
      <c r="G213" s="7"/>
      <c r="I213">
        <f>C215</f>
        <v>961</v>
      </c>
      <c r="J213">
        <f t="shared" si="101"/>
        <v>2634</v>
      </c>
      <c r="K213">
        <f t="shared" si="101"/>
        <v>4489</v>
      </c>
      <c r="L213">
        <f t="shared" si="101"/>
        <v>6640</v>
      </c>
      <c r="N213" t="str">
        <f>TEXT(I215,"#,##0")&amp;" ("&amp;TEXT(I216,"0.00")&amp;")"</f>
        <v>17,159 (0.00)</v>
      </c>
      <c r="O213" t="str">
        <f t="shared" ref="O213:Q213" si="103">TEXT(J215,"#,##0")&amp;" ("&amp;TEXT(J216,"0.00")&amp;")"</f>
        <v>17,158 (0.00)</v>
      </c>
      <c r="P213" t="str">
        <f t="shared" si="103"/>
        <v>17,159 (0.00)</v>
      </c>
      <c r="Q213" t="str">
        <f t="shared" si="103"/>
        <v>17,158 (0.00)</v>
      </c>
    </row>
    <row r="214" spans="1:17" x14ac:dyDescent="0.3">
      <c r="A214" s="2"/>
      <c r="B214" s="18"/>
      <c r="C214" s="7">
        <v>94.4</v>
      </c>
      <c r="D214" s="7">
        <v>84.65</v>
      </c>
      <c r="E214" s="7">
        <v>73.84</v>
      </c>
      <c r="F214" s="7">
        <v>61.3</v>
      </c>
      <c r="G214" s="7"/>
      <c r="I214">
        <f>C218</f>
        <v>5.6</v>
      </c>
      <c r="J214">
        <f t="shared" ref="J214:L215" si="104">D218</f>
        <v>15.35</v>
      </c>
      <c r="K214">
        <f t="shared" si="104"/>
        <v>26.16</v>
      </c>
      <c r="L214">
        <f t="shared" si="104"/>
        <v>38.700000000000003</v>
      </c>
      <c r="N214" t="str">
        <f>TEXT(I217,"#,##0")&amp;" ("&amp;TEXT(I218,"0.00")&amp;")"</f>
        <v>0 (16432.00)</v>
      </c>
      <c r="O214" t="str">
        <f t="shared" ref="O214:Q214" si="105">TEXT(J217,"#,##0")&amp;" ("&amp;TEXT(J218,"0.00")&amp;")"</f>
        <v>0 (15200.00)</v>
      </c>
      <c r="P214" t="str">
        <f t="shared" si="105"/>
        <v>0 (14040.00)</v>
      </c>
      <c r="Q214" t="str">
        <f t="shared" si="105"/>
        <v>0 (12794.00)</v>
      </c>
    </row>
    <row r="215" spans="1:17" x14ac:dyDescent="0.3">
      <c r="A215" s="2"/>
      <c r="B215" s="18">
        <v>1</v>
      </c>
      <c r="C215" s="7">
        <v>961</v>
      </c>
      <c r="D215" s="7">
        <v>2634</v>
      </c>
      <c r="E215" s="7">
        <v>4489</v>
      </c>
      <c r="F215" s="7">
        <v>6640</v>
      </c>
      <c r="G215" s="7">
        <v>14724</v>
      </c>
      <c r="I215">
        <f>C219</f>
        <v>17159</v>
      </c>
      <c r="J215">
        <f t="shared" si="104"/>
        <v>17158</v>
      </c>
      <c r="K215">
        <f t="shared" si="104"/>
        <v>17159</v>
      </c>
      <c r="L215">
        <f t="shared" si="104"/>
        <v>17158</v>
      </c>
    </row>
    <row r="216" spans="1:17" x14ac:dyDescent="0.3">
      <c r="A216" s="2"/>
      <c r="B216" s="18"/>
      <c r="C216" s="7">
        <v>1.4</v>
      </c>
      <c r="D216" s="7">
        <v>3.84</v>
      </c>
      <c r="E216" s="7">
        <v>6.54</v>
      </c>
      <c r="F216" s="7">
        <v>9.67</v>
      </c>
      <c r="G216" s="7">
        <v>21.45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18"/>
      <c r="C217" s="7">
        <v>6.53</v>
      </c>
      <c r="D217" s="7">
        <v>17.89</v>
      </c>
      <c r="E217" s="7">
        <v>30.49</v>
      </c>
      <c r="F217" s="7">
        <v>45.1</v>
      </c>
      <c r="G217" s="7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18"/>
      <c r="C218" s="7">
        <v>5.6</v>
      </c>
      <c r="D218" s="7">
        <v>15.35</v>
      </c>
      <c r="E218" s="7">
        <v>26.16</v>
      </c>
      <c r="F218" s="7">
        <v>38.700000000000003</v>
      </c>
      <c r="G218" s="7"/>
      <c r="I218">
        <f>C226</f>
        <v>16432</v>
      </c>
      <c r="J218">
        <f t="shared" ref="J218:L218" si="107">D226</f>
        <v>15200</v>
      </c>
      <c r="K218">
        <f t="shared" si="107"/>
        <v>14040</v>
      </c>
      <c r="L218">
        <f t="shared" si="107"/>
        <v>12794</v>
      </c>
    </row>
    <row r="219" spans="1:17" x14ac:dyDescent="0.3">
      <c r="A219" s="2"/>
      <c r="B219" s="18" t="s">
        <v>24</v>
      </c>
      <c r="C219" s="7">
        <v>17159</v>
      </c>
      <c r="D219" s="7">
        <v>17158</v>
      </c>
      <c r="E219" s="7">
        <v>17159</v>
      </c>
      <c r="F219" s="7">
        <v>17158</v>
      </c>
      <c r="G219" s="7">
        <v>68634</v>
      </c>
    </row>
    <row r="220" spans="1:17" x14ac:dyDescent="0.3">
      <c r="A220" s="2"/>
      <c r="B220" s="18"/>
      <c r="C220" s="7">
        <v>25</v>
      </c>
      <c r="D220" s="7">
        <v>25</v>
      </c>
      <c r="E220" s="7">
        <v>25</v>
      </c>
      <c r="F220" s="7">
        <v>25</v>
      </c>
      <c r="G220" s="7">
        <v>100</v>
      </c>
    </row>
    <row r="221" spans="1:17" x14ac:dyDescent="0.3">
      <c r="A221" s="2"/>
      <c r="B221" s="21"/>
      <c r="C221" s="21"/>
      <c r="D221" s="21"/>
      <c r="E221" s="21"/>
      <c r="F221" s="21"/>
      <c r="G221" s="21"/>
    </row>
    <row r="222" spans="1:17" ht="17.25" thickBot="1" x14ac:dyDescent="0.35"/>
    <row r="223" spans="1:17" ht="16.5" customHeight="1" x14ac:dyDescent="0.3">
      <c r="A223" s="4" t="s">
        <v>2</v>
      </c>
      <c r="B223" s="17" t="s">
        <v>53</v>
      </c>
      <c r="C223" s="19"/>
      <c r="D223" s="19"/>
      <c r="E223" s="19"/>
      <c r="F223" s="19"/>
      <c r="G223" s="19"/>
    </row>
    <row r="224" spans="1:17" ht="16.5" customHeight="1" x14ac:dyDescent="0.3">
      <c r="A224" s="6" t="s">
        <v>3</v>
      </c>
      <c r="B224" s="18" t="s">
        <v>16</v>
      </c>
      <c r="C224" s="20" t="s">
        <v>41</v>
      </c>
      <c r="D224" s="20"/>
      <c r="E224" s="20"/>
      <c r="F224" s="20"/>
      <c r="G224" s="20"/>
    </row>
    <row r="225" spans="1:17" x14ac:dyDescent="0.3">
      <c r="A225" s="6" t="s">
        <v>20</v>
      </c>
      <c r="B225" s="1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18">
        <v>0</v>
      </c>
      <c r="C226" s="7">
        <v>16432</v>
      </c>
      <c r="D226" s="7">
        <v>15200</v>
      </c>
      <c r="E226" s="7">
        <v>14040</v>
      </c>
      <c r="F226" s="7">
        <v>12794</v>
      </c>
      <c r="G226" s="7">
        <v>58466</v>
      </c>
      <c r="I226">
        <f>C226</f>
        <v>16432</v>
      </c>
      <c r="J226">
        <f t="shared" ref="J226:L226" si="108">D226</f>
        <v>15200</v>
      </c>
      <c r="K226">
        <f t="shared" si="108"/>
        <v>14040</v>
      </c>
      <c r="L226">
        <f t="shared" si="108"/>
        <v>12794</v>
      </c>
      <c r="N226" t="str">
        <f>TEXT(I226,"#,##0")&amp;" ("&amp;TEXT(I227,"0.00")&amp;")"</f>
        <v>16,432 (95.76)</v>
      </c>
      <c r="O226" t="str">
        <f t="shared" ref="O226:Q226" si="109">TEXT(J226,"#,##0")&amp;" ("&amp;TEXT(J227,"0.00")&amp;")"</f>
        <v>15,200 (88.59)</v>
      </c>
      <c r="P226" t="str">
        <f t="shared" si="109"/>
        <v>14,040 (81.82)</v>
      </c>
      <c r="Q226" t="str">
        <f t="shared" si="109"/>
        <v>12,794 (74.57)</v>
      </c>
    </row>
    <row r="227" spans="1:17" x14ac:dyDescent="0.3">
      <c r="A227" s="2"/>
      <c r="B227" s="18"/>
      <c r="C227" s="7">
        <v>23.94</v>
      </c>
      <c r="D227" s="7">
        <v>22.15</v>
      </c>
      <c r="E227" s="7">
        <v>20.46</v>
      </c>
      <c r="F227" s="7">
        <v>18.64</v>
      </c>
      <c r="G227" s="7">
        <v>85.19</v>
      </c>
      <c r="I227">
        <f>C229</f>
        <v>95.76</v>
      </c>
      <c r="J227">
        <f t="shared" ref="J227:L228" si="110">D229</f>
        <v>88.59</v>
      </c>
      <c r="K227">
        <f t="shared" si="110"/>
        <v>81.819999999999993</v>
      </c>
      <c r="L227">
        <f t="shared" si="110"/>
        <v>74.569999999999993</v>
      </c>
      <c r="N227" t="str">
        <f>TEXT(I228,"#,##0")&amp;" ("&amp;TEXT(I229,"0.00")&amp;")"</f>
        <v>727 (4.24)</v>
      </c>
      <c r="O227" t="str">
        <f t="shared" ref="O227:Q227" si="111">TEXT(J228,"#,##0")&amp;" ("&amp;TEXT(J229,"0.00")&amp;")"</f>
        <v>1,958 (11.41)</v>
      </c>
      <c r="P227" t="str">
        <f t="shared" si="111"/>
        <v>3,119 (18.18)</v>
      </c>
      <c r="Q227" t="str">
        <f t="shared" si="111"/>
        <v>4,364 (25.43)</v>
      </c>
    </row>
    <row r="228" spans="1:17" x14ac:dyDescent="0.3">
      <c r="A228" s="2"/>
      <c r="B228" s="18"/>
      <c r="C228" s="7">
        <v>28.11</v>
      </c>
      <c r="D228" s="7">
        <v>26</v>
      </c>
      <c r="E228" s="7">
        <v>24.01</v>
      </c>
      <c r="F228" s="7">
        <v>21.88</v>
      </c>
      <c r="G228" s="7"/>
      <c r="I228">
        <f>C230</f>
        <v>727</v>
      </c>
      <c r="J228">
        <f t="shared" si="110"/>
        <v>1958</v>
      </c>
      <c r="K228">
        <f t="shared" si="110"/>
        <v>3119</v>
      </c>
      <c r="L228">
        <f t="shared" si="110"/>
        <v>4364</v>
      </c>
      <c r="N228" t="str">
        <f>TEXT(I230,"#,##0")&amp;" ("&amp;TEXT(I231,"0.00")&amp;")"</f>
        <v>17,159 (0.00)</v>
      </c>
      <c r="O228" t="str">
        <f t="shared" ref="O228:Q228" si="112">TEXT(J230,"#,##0")&amp;" ("&amp;TEXT(J231,"0.00")&amp;")"</f>
        <v>17,158 (0.00)</v>
      </c>
      <c r="P228" t="str">
        <f t="shared" si="112"/>
        <v>17,159 (0.00)</v>
      </c>
      <c r="Q228" t="str">
        <f t="shared" si="112"/>
        <v>17,158 (0.00)</v>
      </c>
    </row>
    <row r="229" spans="1:17" x14ac:dyDescent="0.3">
      <c r="A229" s="2"/>
      <c r="B229" s="18"/>
      <c r="C229" s="7">
        <v>95.76</v>
      </c>
      <c r="D229" s="7">
        <v>88.59</v>
      </c>
      <c r="E229" s="7">
        <v>81.819999999999993</v>
      </c>
      <c r="F229" s="7">
        <v>74.569999999999993</v>
      </c>
      <c r="G229" s="7"/>
      <c r="I229">
        <f>C233</f>
        <v>4.24</v>
      </c>
      <c r="J229">
        <f t="shared" ref="J229:L230" si="113">D233</f>
        <v>11.41</v>
      </c>
      <c r="K229">
        <f t="shared" si="113"/>
        <v>18.18</v>
      </c>
      <c r="L229">
        <f t="shared" si="113"/>
        <v>25.43</v>
      </c>
      <c r="N229" t="str">
        <f>TEXT(I232,"#,##0")&amp;" ("&amp;TEXT(I233,"0.00")&amp;")"</f>
        <v>0 (17079.00)</v>
      </c>
      <c r="O229" t="str">
        <f t="shared" ref="O229:Q229" si="114">TEXT(J232,"#,##0")&amp;" ("&amp;TEXT(J233,"0.00")&amp;")"</f>
        <v>0 (16925.00)</v>
      </c>
      <c r="P229" t="str">
        <f t="shared" si="114"/>
        <v>0 (16793.00)</v>
      </c>
      <c r="Q229" t="str">
        <f t="shared" si="114"/>
        <v>0 (16546.00)</v>
      </c>
    </row>
    <row r="230" spans="1:17" x14ac:dyDescent="0.3">
      <c r="A230" s="2"/>
      <c r="B230" s="18">
        <v>1</v>
      </c>
      <c r="C230" s="7">
        <v>727</v>
      </c>
      <c r="D230" s="7">
        <v>1958</v>
      </c>
      <c r="E230" s="7">
        <v>3119</v>
      </c>
      <c r="F230" s="7">
        <v>4364</v>
      </c>
      <c r="G230" s="7">
        <v>10168</v>
      </c>
      <c r="I230">
        <f>C234</f>
        <v>17159</v>
      </c>
      <c r="J230">
        <f t="shared" si="113"/>
        <v>17158</v>
      </c>
      <c r="K230">
        <f t="shared" si="113"/>
        <v>17159</v>
      </c>
      <c r="L230">
        <f t="shared" si="113"/>
        <v>17158</v>
      </c>
    </row>
    <row r="231" spans="1:17" x14ac:dyDescent="0.3">
      <c r="A231" s="2"/>
      <c r="B231" s="18"/>
      <c r="C231" s="7">
        <v>1.06</v>
      </c>
      <c r="D231" s="7">
        <v>2.85</v>
      </c>
      <c r="E231" s="7">
        <v>4.54</v>
      </c>
      <c r="F231" s="7">
        <v>6.36</v>
      </c>
      <c r="G231" s="7">
        <v>14.81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18"/>
      <c r="C232" s="7">
        <v>7.15</v>
      </c>
      <c r="D232" s="7">
        <v>19.260000000000002</v>
      </c>
      <c r="E232" s="7">
        <v>30.67</v>
      </c>
      <c r="F232" s="7">
        <v>42.92</v>
      </c>
      <c r="G232" s="7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18"/>
      <c r="C233" s="7">
        <v>4.24</v>
      </c>
      <c r="D233" s="7">
        <v>11.41</v>
      </c>
      <c r="E233" s="7">
        <v>18.18</v>
      </c>
      <c r="F233" s="7">
        <v>25.43</v>
      </c>
      <c r="G233" s="7"/>
      <c r="I233">
        <f>C241</f>
        <v>17079</v>
      </c>
      <c r="J233">
        <f t="shared" ref="J233:L233" si="116">D241</f>
        <v>16925</v>
      </c>
      <c r="K233">
        <f t="shared" si="116"/>
        <v>16793</v>
      </c>
      <c r="L233">
        <f t="shared" si="116"/>
        <v>16546</v>
      </c>
    </row>
    <row r="234" spans="1:17" x14ac:dyDescent="0.3">
      <c r="A234" s="2"/>
      <c r="B234" s="18" t="s">
        <v>24</v>
      </c>
      <c r="C234" s="7">
        <v>17159</v>
      </c>
      <c r="D234" s="7">
        <v>17158</v>
      </c>
      <c r="E234" s="7">
        <v>17159</v>
      </c>
      <c r="F234" s="7">
        <v>17158</v>
      </c>
      <c r="G234" s="7">
        <v>68634</v>
      </c>
    </row>
    <row r="235" spans="1:17" x14ac:dyDescent="0.3">
      <c r="A235" s="2"/>
      <c r="B235" s="18"/>
      <c r="C235" s="7">
        <v>25</v>
      </c>
      <c r="D235" s="7">
        <v>25</v>
      </c>
      <c r="E235" s="7">
        <v>25</v>
      </c>
      <c r="F235" s="7">
        <v>25</v>
      </c>
      <c r="G235" s="7">
        <v>100</v>
      </c>
    </row>
    <row r="236" spans="1:17" x14ac:dyDescent="0.3">
      <c r="A236" s="2"/>
      <c r="B236" s="21"/>
      <c r="C236" s="21"/>
      <c r="D236" s="21"/>
      <c r="E236" s="21"/>
      <c r="F236" s="21"/>
      <c r="G236" s="21"/>
    </row>
    <row r="237" spans="1:17" ht="17.25" thickBot="1" x14ac:dyDescent="0.35"/>
    <row r="238" spans="1:17" ht="16.5" customHeight="1" x14ac:dyDescent="0.3">
      <c r="A238" s="4" t="s">
        <v>2</v>
      </c>
      <c r="B238" s="17" t="s">
        <v>54</v>
      </c>
      <c r="C238" s="19"/>
      <c r="D238" s="19"/>
      <c r="E238" s="19"/>
      <c r="F238" s="19"/>
      <c r="G238" s="19"/>
    </row>
    <row r="239" spans="1:17" ht="16.5" customHeight="1" x14ac:dyDescent="0.3">
      <c r="A239" s="6" t="s">
        <v>3</v>
      </c>
      <c r="B239" s="18" t="s">
        <v>17</v>
      </c>
      <c r="C239" s="20" t="s">
        <v>41</v>
      </c>
      <c r="D239" s="20"/>
      <c r="E239" s="20"/>
      <c r="F239" s="20"/>
      <c r="G239" s="20"/>
    </row>
    <row r="240" spans="1:17" x14ac:dyDescent="0.3">
      <c r="A240" s="6" t="s">
        <v>20</v>
      </c>
      <c r="B240" s="1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18">
        <v>0</v>
      </c>
      <c r="C241" s="7">
        <v>17079</v>
      </c>
      <c r="D241" s="7">
        <v>16925</v>
      </c>
      <c r="E241" s="7">
        <v>16793</v>
      </c>
      <c r="F241" s="7">
        <v>16546</v>
      </c>
      <c r="G241" s="7">
        <v>67343</v>
      </c>
      <c r="I241">
        <f>C241</f>
        <v>17079</v>
      </c>
      <c r="J241">
        <f t="shared" ref="J241:L241" si="117">D241</f>
        <v>16925</v>
      </c>
      <c r="K241">
        <f t="shared" si="117"/>
        <v>16793</v>
      </c>
      <c r="L241">
        <f t="shared" si="117"/>
        <v>16546</v>
      </c>
      <c r="N241" t="str">
        <f>TEXT(I241,"#,##0")&amp;" ("&amp;TEXT(I242,"0.00")&amp;")"</f>
        <v>17,079 (99.53)</v>
      </c>
      <c r="O241" t="str">
        <f t="shared" ref="O241:Q241" si="118">TEXT(J241,"#,##0")&amp;" ("&amp;TEXT(J242,"0.00")&amp;")"</f>
        <v>16,925 (98.64)</v>
      </c>
      <c r="P241" t="str">
        <f t="shared" si="118"/>
        <v>16,793 (97.87)</v>
      </c>
      <c r="Q241" t="str">
        <f t="shared" si="118"/>
        <v>16,546 (96.43)</v>
      </c>
    </row>
    <row r="242" spans="1:17" x14ac:dyDescent="0.3">
      <c r="A242" s="2"/>
      <c r="B242" s="18"/>
      <c r="C242" s="7">
        <v>24.88</v>
      </c>
      <c r="D242" s="7">
        <v>24.66</v>
      </c>
      <c r="E242" s="7">
        <v>24.47</v>
      </c>
      <c r="F242" s="7">
        <v>24.11</v>
      </c>
      <c r="G242" s="7">
        <v>98.12</v>
      </c>
      <c r="I242">
        <f>C244</f>
        <v>99.53</v>
      </c>
      <c r="J242">
        <f t="shared" ref="J242:L243" si="119">D244</f>
        <v>98.64</v>
      </c>
      <c r="K242">
        <f t="shared" si="119"/>
        <v>97.87</v>
      </c>
      <c r="L242">
        <f t="shared" si="119"/>
        <v>96.43</v>
      </c>
      <c r="N242" t="str">
        <f>TEXT(I243,"#,##0")&amp;" ("&amp;TEXT(I244,"0.00")&amp;")"</f>
        <v>80 (0.47)</v>
      </c>
      <c r="O242" t="str">
        <f t="shared" ref="O242:Q242" si="120">TEXT(J243,"#,##0")&amp;" ("&amp;TEXT(J244,"0.00")&amp;")"</f>
        <v>233 (1.36)</v>
      </c>
      <c r="P242" t="str">
        <f t="shared" si="120"/>
        <v>366 (2.13)</v>
      </c>
      <c r="Q242" t="str">
        <f t="shared" si="120"/>
        <v>612 (3.57)</v>
      </c>
    </row>
    <row r="243" spans="1:17" x14ac:dyDescent="0.3">
      <c r="A243" s="2"/>
      <c r="B243" s="18"/>
      <c r="C243" s="7">
        <v>25.36</v>
      </c>
      <c r="D243" s="7">
        <v>25.13</v>
      </c>
      <c r="E243" s="7">
        <v>24.94</v>
      </c>
      <c r="F243" s="7">
        <v>24.57</v>
      </c>
      <c r="G243" s="7"/>
      <c r="I243">
        <f>C245</f>
        <v>80</v>
      </c>
      <c r="J243">
        <f t="shared" si="119"/>
        <v>233</v>
      </c>
      <c r="K243">
        <f t="shared" si="119"/>
        <v>366</v>
      </c>
      <c r="L243">
        <f t="shared" si="119"/>
        <v>612</v>
      </c>
      <c r="N243" t="str">
        <f>TEXT(I245,"#,##0")&amp;" ("&amp;TEXT(I246,"0.00")&amp;")"</f>
        <v>17,159 (0.00)</v>
      </c>
      <c r="O243" t="str">
        <f t="shared" ref="O243:Q243" si="121">TEXT(J245,"#,##0")&amp;" ("&amp;TEXT(J246,"0.00")&amp;")"</f>
        <v>17,158 (0.00)</v>
      </c>
      <c r="P243" t="str">
        <f t="shared" si="121"/>
        <v>17,159 (0.00)</v>
      </c>
      <c r="Q243" t="str">
        <f t="shared" si="121"/>
        <v>17,158 (0.00)</v>
      </c>
    </row>
    <row r="244" spans="1:17" x14ac:dyDescent="0.3">
      <c r="A244" s="2"/>
      <c r="B244" s="18"/>
      <c r="C244" s="7">
        <v>99.53</v>
      </c>
      <c r="D244" s="7">
        <v>98.64</v>
      </c>
      <c r="E244" s="7">
        <v>97.87</v>
      </c>
      <c r="F244" s="7">
        <v>96.43</v>
      </c>
      <c r="G244" s="7"/>
      <c r="I244">
        <f>C248</f>
        <v>0.47</v>
      </c>
      <c r="J244">
        <f t="shared" ref="J244:L245" si="122">D248</f>
        <v>1.36</v>
      </c>
      <c r="K244">
        <f t="shared" si="122"/>
        <v>2.13</v>
      </c>
      <c r="L244">
        <f t="shared" si="122"/>
        <v>3.57</v>
      </c>
      <c r="N244" t="str">
        <f>TEXT(I247,"#,##0")&amp;" ("&amp;TEXT(I248,"0.00")&amp;")"</f>
        <v>0 (17128.00)</v>
      </c>
      <c r="O244" t="str">
        <f t="shared" ref="O244:Q244" si="123">TEXT(J247,"#,##0")&amp;" ("&amp;TEXT(J248,"0.00")&amp;")"</f>
        <v>0 (17037.00)</v>
      </c>
      <c r="P244" t="str">
        <f t="shared" si="123"/>
        <v>0 (16971.00)</v>
      </c>
      <c r="Q244" t="str">
        <f t="shared" si="123"/>
        <v>0 (16861.00)</v>
      </c>
    </row>
    <row r="245" spans="1:17" x14ac:dyDescent="0.3">
      <c r="A245" s="2"/>
      <c r="B245" s="18">
        <v>1</v>
      </c>
      <c r="C245" s="7">
        <v>80</v>
      </c>
      <c r="D245" s="7">
        <v>233</v>
      </c>
      <c r="E245" s="7">
        <v>366</v>
      </c>
      <c r="F245" s="7">
        <v>612</v>
      </c>
      <c r="G245" s="7">
        <v>1291</v>
      </c>
      <c r="I245">
        <f>C249</f>
        <v>17159</v>
      </c>
      <c r="J245">
        <f t="shared" si="122"/>
        <v>17158</v>
      </c>
      <c r="K245">
        <f t="shared" si="122"/>
        <v>17159</v>
      </c>
      <c r="L245">
        <f t="shared" si="122"/>
        <v>17158</v>
      </c>
    </row>
    <row r="246" spans="1:17" x14ac:dyDescent="0.3">
      <c r="A246" s="2"/>
      <c r="B246" s="18"/>
      <c r="C246" s="7">
        <v>0.12</v>
      </c>
      <c r="D246" s="7">
        <v>0.34</v>
      </c>
      <c r="E246" s="7">
        <v>0.53</v>
      </c>
      <c r="F246" s="7">
        <v>0.89</v>
      </c>
      <c r="G246" s="7">
        <v>1.88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18"/>
      <c r="C247" s="7">
        <v>6.2</v>
      </c>
      <c r="D247" s="7">
        <v>18.05</v>
      </c>
      <c r="E247" s="7">
        <v>28.35</v>
      </c>
      <c r="F247" s="7">
        <v>47.41</v>
      </c>
      <c r="G247" s="7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18"/>
      <c r="C248" s="7">
        <v>0.47</v>
      </c>
      <c r="D248" s="7">
        <v>1.36</v>
      </c>
      <c r="E248" s="7">
        <v>2.13</v>
      </c>
      <c r="F248" s="7">
        <v>3.57</v>
      </c>
      <c r="G248" s="7"/>
      <c r="I248">
        <f>C256</f>
        <v>17128</v>
      </c>
      <c r="J248">
        <f t="shared" ref="J248:L248" si="125">D256</f>
        <v>17037</v>
      </c>
      <c r="K248">
        <f t="shared" si="125"/>
        <v>16971</v>
      </c>
      <c r="L248">
        <f t="shared" si="125"/>
        <v>16861</v>
      </c>
    </row>
    <row r="249" spans="1:17" x14ac:dyDescent="0.3">
      <c r="A249" s="2"/>
      <c r="B249" s="18" t="s">
        <v>24</v>
      </c>
      <c r="C249" s="7">
        <v>17159</v>
      </c>
      <c r="D249" s="7">
        <v>17158</v>
      </c>
      <c r="E249" s="7">
        <v>17159</v>
      </c>
      <c r="F249" s="7">
        <v>17158</v>
      </c>
      <c r="G249" s="7">
        <v>68634</v>
      </c>
    </row>
    <row r="250" spans="1:17" x14ac:dyDescent="0.3">
      <c r="A250" s="2"/>
      <c r="B250" s="18"/>
      <c r="C250" s="7">
        <v>25</v>
      </c>
      <c r="D250" s="7">
        <v>25</v>
      </c>
      <c r="E250" s="7">
        <v>25</v>
      </c>
      <c r="F250" s="7">
        <v>25</v>
      </c>
      <c r="G250" s="7">
        <v>100</v>
      </c>
    </row>
    <row r="251" spans="1:17" x14ac:dyDescent="0.3">
      <c r="A251" s="2"/>
      <c r="B251" s="21"/>
      <c r="C251" s="21"/>
      <c r="D251" s="21"/>
      <c r="E251" s="21"/>
      <c r="F251" s="21"/>
      <c r="G251" s="21"/>
    </row>
    <row r="252" spans="1:17" ht="17.25" thickBot="1" x14ac:dyDescent="0.35"/>
    <row r="253" spans="1:17" ht="16.5" customHeight="1" x14ac:dyDescent="0.3">
      <c r="A253" s="4" t="s">
        <v>2</v>
      </c>
      <c r="B253" s="17" t="s">
        <v>55</v>
      </c>
      <c r="C253" s="19"/>
      <c r="D253" s="19"/>
      <c r="E253" s="19"/>
      <c r="F253" s="19"/>
      <c r="G253" s="19"/>
    </row>
    <row r="254" spans="1:17" ht="16.5" customHeight="1" x14ac:dyDescent="0.3">
      <c r="A254" s="6" t="s">
        <v>3</v>
      </c>
      <c r="B254" s="18" t="s">
        <v>18</v>
      </c>
      <c r="C254" s="20" t="s">
        <v>41</v>
      </c>
      <c r="D254" s="20"/>
      <c r="E254" s="20"/>
      <c r="F254" s="20"/>
      <c r="G254" s="20"/>
    </row>
    <row r="255" spans="1:17" x14ac:dyDescent="0.3">
      <c r="A255" s="6" t="s">
        <v>20</v>
      </c>
      <c r="B255" s="1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18">
        <v>0</v>
      </c>
      <c r="C256" s="7">
        <v>17128</v>
      </c>
      <c r="D256" s="7">
        <v>17037</v>
      </c>
      <c r="E256" s="7">
        <v>16971</v>
      </c>
      <c r="F256" s="7">
        <v>16861</v>
      </c>
      <c r="G256" s="7">
        <v>67997</v>
      </c>
      <c r="I256">
        <f>C256</f>
        <v>17128</v>
      </c>
      <c r="J256">
        <f t="shared" ref="J256:L256" si="126">D256</f>
        <v>17037</v>
      </c>
      <c r="K256">
        <f t="shared" si="126"/>
        <v>16971</v>
      </c>
      <c r="L256">
        <f t="shared" si="126"/>
        <v>16861</v>
      </c>
      <c r="N256" t="str">
        <f>TEXT(I256,"#,##0")&amp;" ("&amp;TEXT(I257,"0.00")&amp;")"</f>
        <v>17,128 (99.82)</v>
      </c>
      <c r="O256" t="str">
        <f t="shared" ref="O256:Q256" si="127">TEXT(J256,"#,##0")&amp;" ("&amp;TEXT(J257,"0.00")&amp;")"</f>
        <v>17,037 (99.29)</v>
      </c>
      <c r="P256" t="str">
        <f t="shared" si="127"/>
        <v>16,971 (98.90)</v>
      </c>
      <c r="Q256" t="str">
        <f t="shared" si="127"/>
        <v>16,861 (98.27)</v>
      </c>
    </row>
    <row r="257" spans="1:17" x14ac:dyDescent="0.3">
      <c r="A257" s="2"/>
      <c r="B257" s="18"/>
      <c r="C257" s="7">
        <v>24.96</v>
      </c>
      <c r="D257" s="7">
        <v>24.82</v>
      </c>
      <c r="E257" s="7">
        <v>24.73</v>
      </c>
      <c r="F257" s="7">
        <v>24.57</v>
      </c>
      <c r="G257" s="7">
        <v>99.07</v>
      </c>
      <c r="I257">
        <f>C259</f>
        <v>99.82</v>
      </c>
      <c r="J257">
        <f t="shared" ref="J257:L258" si="128">D259</f>
        <v>99.29</v>
      </c>
      <c r="K257">
        <f t="shared" si="128"/>
        <v>98.9</v>
      </c>
      <c r="L257">
        <f t="shared" si="128"/>
        <v>98.27</v>
      </c>
      <c r="N257" t="str">
        <f>TEXT(I258,"#,##0")&amp;" ("&amp;TEXT(I259,"0.00")&amp;")"</f>
        <v>31 (0.18)</v>
      </c>
      <c r="O257" t="str">
        <f t="shared" ref="O257:Q257" si="129">TEXT(J258,"#,##0")&amp;" ("&amp;TEXT(J259,"0.00")&amp;")"</f>
        <v>121 (0.71)</v>
      </c>
      <c r="P257" t="str">
        <f t="shared" si="129"/>
        <v>188 (1.10)</v>
      </c>
      <c r="Q257" t="str">
        <f t="shared" si="129"/>
        <v>297 (1.73)</v>
      </c>
    </row>
    <row r="258" spans="1:17" x14ac:dyDescent="0.3">
      <c r="A258" s="2"/>
      <c r="B258" s="18"/>
      <c r="C258" s="7">
        <v>25.19</v>
      </c>
      <c r="D258" s="7">
        <v>25.06</v>
      </c>
      <c r="E258" s="7">
        <v>24.96</v>
      </c>
      <c r="F258" s="7">
        <v>24.8</v>
      </c>
      <c r="G258" s="7"/>
      <c r="I258">
        <f>C260</f>
        <v>31</v>
      </c>
      <c r="J258">
        <f t="shared" si="128"/>
        <v>121</v>
      </c>
      <c r="K258">
        <f t="shared" si="128"/>
        <v>188</v>
      </c>
      <c r="L258">
        <f t="shared" si="128"/>
        <v>297</v>
      </c>
      <c r="N258" t="str">
        <f>TEXT(I260,"#,##0")&amp;" ("&amp;TEXT(I261,"0.00")&amp;")"</f>
        <v>17,159 (0.00)</v>
      </c>
      <c r="O258" t="str">
        <f t="shared" ref="O258:Q258" si="130">TEXT(J260,"#,##0")&amp;" ("&amp;TEXT(J261,"0.00")&amp;")"</f>
        <v>17,158 (0.00)</v>
      </c>
      <c r="P258" t="str">
        <f t="shared" si="130"/>
        <v>17,159 (0.00)</v>
      </c>
      <c r="Q258" t="str">
        <f t="shared" si="130"/>
        <v>17,158 (0.00)</v>
      </c>
    </row>
    <row r="259" spans="1:17" x14ac:dyDescent="0.3">
      <c r="A259" s="2"/>
      <c r="B259" s="18"/>
      <c r="C259" s="7">
        <v>99.82</v>
      </c>
      <c r="D259" s="7">
        <v>99.29</v>
      </c>
      <c r="E259" s="7">
        <v>98.9</v>
      </c>
      <c r="F259" s="7">
        <v>98.27</v>
      </c>
      <c r="G259" s="7"/>
      <c r="I259">
        <f>C263</f>
        <v>0.18</v>
      </c>
      <c r="J259">
        <f t="shared" ref="J259:L260" si="131">D263</f>
        <v>0.71</v>
      </c>
      <c r="K259">
        <f t="shared" si="131"/>
        <v>1.1000000000000001</v>
      </c>
      <c r="L259">
        <f t="shared" si="131"/>
        <v>1.73</v>
      </c>
      <c r="N259" t="str">
        <f>TEXT(I262,"#,##0")&amp;" ("&amp;TEXT(I263,"0.00")&amp;")"</f>
        <v>0 (17071.00)</v>
      </c>
      <c r="O259" t="str">
        <f t="shared" ref="O259:Q259" si="132">TEXT(J262,"#,##0")&amp;" ("&amp;TEXT(J263,"0.00")&amp;")"</f>
        <v>0 (16943.00)</v>
      </c>
      <c r="P259" t="str">
        <f t="shared" si="132"/>
        <v>0 (16800.00)</v>
      </c>
      <c r="Q259" t="str">
        <f t="shared" si="132"/>
        <v>0 (16619.00)</v>
      </c>
    </row>
    <row r="260" spans="1:17" x14ac:dyDescent="0.3">
      <c r="A260" s="2"/>
      <c r="B260" s="18">
        <v>1</v>
      </c>
      <c r="C260" s="7">
        <v>31</v>
      </c>
      <c r="D260" s="7">
        <v>121</v>
      </c>
      <c r="E260" s="7">
        <v>188</v>
      </c>
      <c r="F260" s="7">
        <v>297</v>
      </c>
      <c r="G260" s="7">
        <v>637</v>
      </c>
      <c r="I260">
        <f>C264</f>
        <v>17159</v>
      </c>
      <c r="J260">
        <f t="shared" si="131"/>
        <v>17158</v>
      </c>
      <c r="K260">
        <f t="shared" si="131"/>
        <v>17159</v>
      </c>
      <c r="L260">
        <f t="shared" si="131"/>
        <v>17158</v>
      </c>
    </row>
    <row r="261" spans="1:17" x14ac:dyDescent="0.3">
      <c r="A261" s="2"/>
      <c r="B261" s="18"/>
      <c r="C261" s="7">
        <v>0.05</v>
      </c>
      <c r="D261" s="7">
        <v>0.18</v>
      </c>
      <c r="E261" s="7">
        <v>0.27</v>
      </c>
      <c r="F261" s="7">
        <v>0.43</v>
      </c>
      <c r="G261" s="7">
        <v>0.93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18"/>
      <c r="C262" s="7">
        <v>4.87</v>
      </c>
      <c r="D262" s="7">
        <v>19</v>
      </c>
      <c r="E262" s="7">
        <v>29.51</v>
      </c>
      <c r="F262" s="7">
        <v>46.62</v>
      </c>
      <c r="G262" s="7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18"/>
      <c r="C263" s="7">
        <v>0.18</v>
      </c>
      <c r="D263" s="7">
        <v>0.71</v>
      </c>
      <c r="E263" s="7">
        <v>1.1000000000000001</v>
      </c>
      <c r="F263" s="7">
        <v>1.73</v>
      </c>
      <c r="G263" s="7"/>
      <c r="I263">
        <f>C271</f>
        <v>17071</v>
      </c>
      <c r="J263">
        <f t="shared" ref="J263:L263" si="134">D271</f>
        <v>16943</v>
      </c>
      <c r="K263">
        <f t="shared" si="134"/>
        <v>16800</v>
      </c>
      <c r="L263">
        <f t="shared" si="134"/>
        <v>16619</v>
      </c>
    </row>
    <row r="264" spans="1:17" x14ac:dyDescent="0.3">
      <c r="A264" s="2"/>
      <c r="B264" s="18" t="s">
        <v>24</v>
      </c>
      <c r="C264" s="7">
        <v>17159</v>
      </c>
      <c r="D264" s="7">
        <v>17158</v>
      </c>
      <c r="E264" s="7">
        <v>17159</v>
      </c>
      <c r="F264" s="7">
        <v>17158</v>
      </c>
      <c r="G264" s="7">
        <v>68634</v>
      </c>
    </row>
    <row r="265" spans="1:17" x14ac:dyDescent="0.3">
      <c r="A265" s="2"/>
      <c r="B265" s="18"/>
      <c r="C265" s="7">
        <v>25</v>
      </c>
      <c r="D265" s="7">
        <v>25</v>
      </c>
      <c r="E265" s="7">
        <v>25</v>
      </c>
      <c r="F265" s="7">
        <v>25</v>
      </c>
      <c r="G265" s="7">
        <v>100</v>
      </c>
    </row>
    <row r="266" spans="1:17" x14ac:dyDescent="0.3">
      <c r="A266" s="2"/>
      <c r="B266" s="21"/>
      <c r="C266" s="21"/>
      <c r="D266" s="21"/>
      <c r="E266" s="21"/>
      <c r="F266" s="21"/>
      <c r="G266" s="21"/>
    </row>
    <row r="267" spans="1:17" ht="17.25" thickBot="1" x14ac:dyDescent="0.35"/>
    <row r="268" spans="1:17" ht="16.5" customHeight="1" x14ac:dyDescent="0.3">
      <c r="A268" s="4" t="s">
        <v>2</v>
      </c>
      <c r="B268" s="17" t="s">
        <v>56</v>
      </c>
      <c r="C268" s="19"/>
      <c r="D268" s="19"/>
      <c r="E268" s="19"/>
      <c r="F268" s="19"/>
      <c r="G268" s="19"/>
    </row>
    <row r="269" spans="1:17" ht="16.5" customHeight="1" x14ac:dyDescent="0.3">
      <c r="A269" s="6" t="s">
        <v>3</v>
      </c>
      <c r="B269" s="18" t="s">
        <v>19</v>
      </c>
      <c r="C269" s="20" t="s">
        <v>41</v>
      </c>
      <c r="D269" s="20"/>
      <c r="E269" s="20"/>
      <c r="F269" s="20"/>
      <c r="G269" s="20"/>
    </row>
    <row r="270" spans="1:17" x14ac:dyDescent="0.3">
      <c r="A270" s="6" t="s">
        <v>20</v>
      </c>
      <c r="B270" s="1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18">
        <v>0</v>
      </c>
      <c r="C271" s="7">
        <v>17071</v>
      </c>
      <c r="D271" s="7">
        <v>16943</v>
      </c>
      <c r="E271" s="7">
        <v>16800</v>
      </c>
      <c r="F271" s="7">
        <v>16619</v>
      </c>
      <c r="G271" s="7">
        <v>67433</v>
      </c>
      <c r="I271">
        <f>C271</f>
        <v>17071</v>
      </c>
      <c r="J271">
        <f t="shared" ref="J271:L271" si="135">D271</f>
        <v>16943</v>
      </c>
      <c r="K271">
        <f t="shared" si="135"/>
        <v>16800</v>
      </c>
      <c r="L271">
        <f t="shared" si="135"/>
        <v>16619</v>
      </c>
      <c r="N271" t="str">
        <f>TEXT(I271,"#,##0")&amp;" ("&amp;TEXT(I272,"0.00")&amp;")"</f>
        <v>17,071 (99.49)</v>
      </c>
      <c r="O271" t="str">
        <f t="shared" ref="O271:Q271" si="136">TEXT(J271,"#,##0")&amp;" ("&amp;TEXT(J272,"0.00")&amp;")"</f>
        <v>16,943 (98.75)</v>
      </c>
      <c r="P271" t="str">
        <f t="shared" si="136"/>
        <v>16,800 (97.91)</v>
      </c>
      <c r="Q271" t="str">
        <f t="shared" si="136"/>
        <v>16,619 (96.86)</v>
      </c>
    </row>
    <row r="272" spans="1:17" x14ac:dyDescent="0.3">
      <c r="A272" s="2"/>
      <c r="B272" s="18"/>
      <c r="C272" s="7">
        <v>24.87</v>
      </c>
      <c r="D272" s="7">
        <v>24.69</v>
      </c>
      <c r="E272" s="7">
        <v>24.48</v>
      </c>
      <c r="F272" s="7">
        <v>24.21</v>
      </c>
      <c r="G272" s="7">
        <v>98.25</v>
      </c>
      <c r="I272">
        <f>C274</f>
        <v>99.49</v>
      </c>
      <c r="J272">
        <f t="shared" ref="J272:L273" si="137">D274</f>
        <v>98.75</v>
      </c>
      <c r="K272">
        <f t="shared" si="137"/>
        <v>97.91</v>
      </c>
      <c r="L272">
        <f t="shared" si="137"/>
        <v>96.86</v>
      </c>
      <c r="N272" t="str">
        <f>TEXT(I273,"#,##0")&amp;" ("&amp;TEXT(I274,"0.00")&amp;")"</f>
        <v>88 (0.51)</v>
      </c>
      <c r="O272" t="str">
        <f t="shared" ref="O272:Q272" si="138">TEXT(J273,"#,##0")&amp;" ("&amp;TEXT(J274,"0.00")&amp;")"</f>
        <v>215 (1.25)</v>
      </c>
      <c r="P272" t="str">
        <f t="shared" si="138"/>
        <v>359 (2.09)</v>
      </c>
      <c r="Q272" t="str">
        <f t="shared" si="138"/>
        <v>539 (3.14)</v>
      </c>
    </row>
    <row r="273" spans="1:17" x14ac:dyDescent="0.3">
      <c r="A273" s="2"/>
      <c r="B273" s="18"/>
      <c r="C273" s="7">
        <v>25.32</v>
      </c>
      <c r="D273" s="7">
        <v>25.13</v>
      </c>
      <c r="E273" s="7">
        <v>24.91</v>
      </c>
      <c r="F273" s="7">
        <v>24.65</v>
      </c>
      <c r="G273" s="7"/>
      <c r="I273">
        <f>C275</f>
        <v>88</v>
      </c>
      <c r="J273">
        <f t="shared" si="137"/>
        <v>215</v>
      </c>
      <c r="K273">
        <f t="shared" si="137"/>
        <v>359</v>
      </c>
      <c r="L273">
        <f t="shared" si="137"/>
        <v>539</v>
      </c>
      <c r="N273" t="str">
        <f>TEXT(I275,"#,##0")&amp;" ("&amp;TEXT(I276,"0.00")&amp;")"</f>
        <v>17,159 (0.00)</v>
      </c>
      <c r="O273" t="str">
        <f t="shared" ref="O273:Q273" si="139">TEXT(J275,"#,##0")&amp;" ("&amp;TEXT(J276,"0.00")&amp;")"</f>
        <v>17,158 (0.00)</v>
      </c>
      <c r="P273" t="str">
        <f t="shared" si="139"/>
        <v>17,159 (0.00)</v>
      </c>
      <c r="Q273" t="str">
        <f t="shared" si="139"/>
        <v>17,158 (0.00)</v>
      </c>
    </row>
    <row r="274" spans="1:17" x14ac:dyDescent="0.3">
      <c r="A274" s="2"/>
      <c r="B274" s="18"/>
      <c r="C274" s="7">
        <v>99.49</v>
      </c>
      <c r="D274" s="7">
        <v>98.75</v>
      </c>
      <c r="E274" s="7">
        <v>97.91</v>
      </c>
      <c r="F274" s="7">
        <v>96.86</v>
      </c>
      <c r="G274" s="7"/>
      <c r="I274">
        <f>C278</f>
        <v>0.51</v>
      </c>
      <c r="J274">
        <f t="shared" ref="J274:L275" si="140">D278</f>
        <v>1.25</v>
      </c>
      <c r="K274">
        <f t="shared" si="140"/>
        <v>2.09</v>
      </c>
      <c r="L274">
        <f t="shared" si="140"/>
        <v>3.14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18">
        <v>1</v>
      </c>
      <c r="C275" s="7">
        <v>88</v>
      </c>
      <c r="D275" s="7">
        <v>215</v>
      </c>
      <c r="E275" s="7">
        <v>359</v>
      </c>
      <c r="F275" s="7">
        <v>539</v>
      </c>
      <c r="G275" s="7">
        <v>1201</v>
      </c>
      <c r="I275">
        <f>C279</f>
        <v>17159</v>
      </c>
      <c r="J275">
        <f t="shared" si="140"/>
        <v>17158</v>
      </c>
      <c r="K275">
        <f t="shared" si="140"/>
        <v>17159</v>
      </c>
      <c r="L275">
        <f t="shared" si="140"/>
        <v>17158</v>
      </c>
    </row>
    <row r="276" spans="1:17" x14ac:dyDescent="0.3">
      <c r="A276" s="2"/>
      <c r="B276" s="18"/>
      <c r="C276" s="7">
        <v>0.13</v>
      </c>
      <c r="D276" s="7">
        <v>0.31</v>
      </c>
      <c r="E276" s="7">
        <v>0.52</v>
      </c>
      <c r="F276" s="7">
        <v>0.79</v>
      </c>
      <c r="G276" s="7">
        <v>1.75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18"/>
      <c r="C277" s="7">
        <v>7.33</v>
      </c>
      <c r="D277" s="7">
        <v>17.899999999999999</v>
      </c>
      <c r="E277" s="7">
        <v>29.89</v>
      </c>
      <c r="F277" s="7">
        <v>44.88</v>
      </c>
      <c r="G277" s="7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18"/>
      <c r="C278" s="7">
        <v>0.51</v>
      </c>
      <c r="D278" s="7">
        <v>1.25</v>
      </c>
      <c r="E278" s="7">
        <v>2.09</v>
      </c>
      <c r="F278" s="7">
        <v>3.14</v>
      </c>
      <c r="G278" s="7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18" t="s">
        <v>24</v>
      </c>
      <c r="C279" s="7">
        <v>17159</v>
      </c>
      <c r="D279" s="7">
        <v>17158</v>
      </c>
      <c r="E279" s="7">
        <v>17159</v>
      </c>
      <c r="F279" s="7">
        <v>17158</v>
      </c>
      <c r="G279" s="7">
        <v>68634</v>
      </c>
    </row>
    <row r="280" spans="1:17" x14ac:dyDescent="0.3">
      <c r="A280" s="2"/>
      <c r="B280" s="18"/>
      <c r="C280" s="7">
        <v>25</v>
      </c>
      <c r="D280" s="7">
        <v>25</v>
      </c>
      <c r="E280" s="7">
        <v>25</v>
      </c>
      <c r="F280" s="7">
        <v>25</v>
      </c>
      <c r="G280" s="7">
        <v>100</v>
      </c>
    </row>
    <row r="281" spans="1:17" x14ac:dyDescent="0.3">
      <c r="A281" s="2"/>
      <c r="B281" s="21"/>
      <c r="C281" s="21"/>
      <c r="D281" s="21"/>
      <c r="E281" s="21"/>
      <c r="F281" s="21"/>
      <c r="G281" s="21"/>
    </row>
  </sheetData>
  <mergeCells count="122"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FC6AD-288F-4ACB-9B03-4F28655A5BFA}">
  <dimension ref="A1:Q281"/>
  <sheetViews>
    <sheetView topLeftCell="A253" workbookViewId="0">
      <selection activeCell="C264" sqref="C264:F264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17" t="s">
        <v>57</v>
      </c>
      <c r="C3" s="19"/>
      <c r="D3" s="19"/>
      <c r="E3" s="19"/>
      <c r="F3" s="19"/>
      <c r="G3" s="19"/>
    </row>
    <row r="4" spans="1:17" ht="16.5" customHeight="1" x14ac:dyDescent="0.3">
      <c r="A4" s="6" t="s">
        <v>3</v>
      </c>
      <c r="B4" s="18" t="s">
        <v>1</v>
      </c>
      <c r="C4" s="20" t="s">
        <v>58</v>
      </c>
      <c r="D4" s="20"/>
      <c r="E4" s="20"/>
      <c r="F4" s="20"/>
      <c r="G4" s="20"/>
    </row>
    <row r="5" spans="1:17" x14ac:dyDescent="0.3">
      <c r="A5" s="6" t="s">
        <v>20</v>
      </c>
      <c r="B5" s="1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18">
        <v>1</v>
      </c>
      <c r="C6" s="7">
        <v>7540</v>
      </c>
      <c r="D6" s="7">
        <v>5553</v>
      </c>
      <c r="E6" s="7">
        <v>4250</v>
      </c>
      <c r="F6" s="7">
        <v>3736</v>
      </c>
      <c r="G6" s="7">
        <v>21079</v>
      </c>
      <c r="I6">
        <f>C6</f>
        <v>7540</v>
      </c>
      <c r="J6">
        <f t="shared" ref="J6:L6" si="0">D6</f>
        <v>5553</v>
      </c>
      <c r="K6">
        <f t="shared" si="0"/>
        <v>4250</v>
      </c>
      <c r="L6">
        <f t="shared" si="0"/>
        <v>3736</v>
      </c>
      <c r="N6" t="str">
        <f>TEXT(I6,"#,##0")&amp;" ("&amp;TEXT(I7,"0.00")&amp;")"</f>
        <v>7,540 (43.95)</v>
      </c>
      <c r="O6" t="str">
        <f t="shared" ref="O6:Q6" si="1">TEXT(J6,"#,##0")&amp;" ("&amp;TEXT(J7,"0.00")&amp;")"</f>
        <v>5,553 (32.36)</v>
      </c>
      <c r="P6" t="str">
        <f t="shared" si="1"/>
        <v>4,250 (24.77)</v>
      </c>
      <c r="Q6" t="str">
        <f t="shared" si="1"/>
        <v>3,736 (21.77)</v>
      </c>
    </row>
    <row r="7" spans="1:17" x14ac:dyDescent="0.3">
      <c r="A7" s="2"/>
      <c r="B7" s="18"/>
      <c r="C7" s="7">
        <v>10.99</v>
      </c>
      <c r="D7" s="7">
        <v>8.09</v>
      </c>
      <c r="E7" s="7">
        <v>6.19</v>
      </c>
      <c r="F7" s="7">
        <v>5.44</v>
      </c>
      <c r="G7" s="7">
        <v>30.71</v>
      </c>
      <c r="I7">
        <f>C9</f>
        <v>43.95</v>
      </c>
      <c r="J7">
        <f t="shared" ref="J7:L8" si="2">D9</f>
        <v>32.36</v>
      </c>
      <c r="K7">
        <f t="shared" si="2"/>
        <v>24.77</v>
      </c>
      <c r="L7">
        <f t="shared" si="2"/>
        <v>21.77</v>
      </c>
      <c r="N7" t="str">
        <f>TEXT(I8,"#,##0")&amp;" ("&amp;TEXT(I9,"0.00")&amp;")"</f>
        <v>7,246 (42.23)</v>
      </c>
      <c r="O7" t="str">
        <f t="shared" ref="O7:Q7" si="3">TEXT(J8,"#,##0")&amp;" ("&amp;TEXT(J9,"0.00")&amp;")"</f>
        <v>8,025 (46.77)</v>
      </c>
      <c r="P7" t="str">
        <f t="shared" si="3"/>
        <v>8,640 (50.36)</v>
      </c>
      <c r="Q7" t="str">
        <f t="shared" si="3"/>
        <v>9,559 (55.71)</v>
      </c>
    </row>
    <row r="8" spans="1:17" x14ac:dyDescent="0.3">
      <c r="A8" s="2"/>
      <c r="B8" s="18"/>
      <c r="C8" s="7">
        <v>35.770000000000003</v>
      </c>
      <c r="D8" s="7">
        <v>26.34</v>
      </c>
      <c r="E8" s="7">
        <v>20.16</v>
      </c>
      <c r="F8" s="7">
        <v>17.72</v>
      </c>
      <c r="G8" s="7"/>
      <c r="I8">
        <f>C10</f>
        <v>7246</v>
      </c>
      <c r="J8">
        <f t="shared" si="2"/>
        <v>8025</v>
      </c>
      <c r="K8">
        <f t="shared" si="2"/>
        <v>8640</v>
      </c>
      <c r="L8">
        <f t="shared" si="2"/>
        <v>9559</v>
      </c>
      <c r="N8" t="str">
        <f>TEXT(I10,"#,##0")&amp;" ("&amp;TEXT(I11,"0.00")&amp;")"</f>
        <v>2,371 (13.82)</v>
      </c>
      <c r="O8" t="str">
        <f t="shared" ref="O8:Q8" si="4">TEXT(J10,"#,##0")&amp;" ("&amp;TEXT(J11,"0.00")&amp;")"</f>
        <v>3,582 (20.87)</v>
      </c>
      <c r="P8" t="str">
        <f t="shared" si="4"/>
        <v>4,268 (24.87)</v>
      </c>
      <c r="Q8" t="str">
        <f t="shared" si="4"/>
        <v>3,864 (22.52)</v>
      </c>
    </row>
    <row r="9" spans="1:17" x14ac:dyDescent="0.3">
      <c r="A9" s="2"/>
      <c r="B9" s="18"/>
      <c r="C9" s="7">
        <v>43.95</v>
      </c>
      <c r="D9" s="7">
        <v>32.36</v>
      </c>
      <c r="E9" s="7">
        <v>24.77</v>
      </c>
      <c r="F9" s="7">
        <v>21.77</v>
      </c>
      <c r="G9" s="7"/>
      <c r="I9">
        <f>C13</f>
        <v>42.23</v>
      </c>
      <c r="J9">
        <f t="shared" ref="J9:L10" si="5">D13</f>
        <v>46.77</v>
      </c>
      <c r="K9">
        <f t="shared" si="5"/>
        <v>50.36</v>
      </c>
      <c r="L9">
        <f t="shared" si="5"/>
        <v>55.71</v>
      </c>
      <c r="N9" t="str">
        <f>TEXT(I12,"#,##0")&amp;" ("&amp;TEXT(I13,"0.00")&amp;")"</f>
        <v>17,157 (0.00)</v>
      </c>
      <c r="O9" t="str">
        <f t="shared" ref="O9:Q9" si="6">TEXT(J12,"#,##0")&amp;" ("&amp;TEXT(J13,"0.00")&amp;")"</f>
        <v>17,160 (0.00)</v>
      </c>
      <c r="P9" t="str">
        <f t="shared" si="6"/>
        <v>17,158 (0.00)</v>
      </c>
      <c r="Q9" t="str">
        <f t="shared" si="6"/>
        <v>17,159 (0.00)</v>
      </c>
    </row>
    <row r="10" spans="1:17" x14ac:dyDescent="0.3">
      <c r="A10" s="2"/>
      <c r="B10" s="18">
        <v>2</v>
      </c>
      <c r="C10" s="7">
        <v>7246</v>
      </c>
      <c r="D10" s="7">
        <v>8025</v>
      </c>
      <c r="E10" s="7">
        <v>8640</v>
      </c>
      <c r="F10" s="7">
        <v>9559</v>
      </c>
      <c r="G10" s="7">
        <v>33470</v>
      </c>
      <c r="I10">
        <f>C14</f>
        <v>2371</v>
      </c>
      <c r="J10">
        <f t="shared" si="5"/>
        <v>3582</v>
      </c>
      <c r="K10">
        <f t="shared" si="5"/>
        <v>4268</v>
      </c>
      <c r="L10">
        <f t="shared" si="5"/>
        <v>3864</v>
      </c>
    </row>
    <row r="11" spans="1:17" x14ac:dyDescent="0.3">
      <c r="A11" s="2"/>
      <c r="B11" s="18"/>
      <c r="C11" s="7">
        <v>10.56</v>
      </c>
      <c r="D11" s="7">
        <v>11.69</v>
      </c>
      <c r="E11" s="7">
        <v>12.59</v>
      </c>
      <c r="F11" s="7">
        <v>13.93</v>
      </c>
      <c r="G11" s="7">
        <v>48.77</v>
      </c>
      <c r="I11">
        <f>C17</f>
        <v>13.82</v>
      </c>
      <c r="J11">
        <f t="shared" ref="J11:L12" si="7">D17</f>
        <v>20.87</v>
      </c>
      <c r="K11">
        <f t="shared" si="7"/>
        <v>24.87</v>
      </c>
      <c r="L11">
        <f t="shared" si="7"/>
        <v>22.52</v>
      </c>
    </row>
    <row r="12" spans="1:17" x14ac:dyDescent="0.3">
      <c r="A12" s="2"/>
      <c r="B12" s="18"/>
      <c r="C12" s="7">
        <v>21.65</v>
      </c>
      <c r="D12" s="7">
        <v>23.98</v>
      </c>
      <c r="E12" s="7">
        <v>25.81</v>
      </c>
      <c r="F12" s="7">
        <v>28.56</v>
      </c>
      <c r="G12" s="7"/>
      <c r="I12">
        <f>C18</f>
        <v>17157</v>
      </c>
      <c r="J12">
        <f t="shared" si="7"/>
        <v>17160</v>
      </c>
      <c r="K12">
        <f t="shared" si="7"/>
        <v>17158</v>
      </c>
      <c r="L12">
        <f t="shared" si="7"/>
        <v>17159</v>
      </c>
    </row>
    <row r="13" spans="1:17" x14ac:dyDescent="0.3">
      <c r="A13" s="2"/>
      <c r="B13" s="18"/>
      <c r="C13" s="7">
        <v>42.23</v>
      </c>
      <c r="D13" s="7">
        <v>46.77</v>
      </c>
      <c r="E13" s="7">
        <v>50.36</v>
      </c>
      <c r="F13" s="7">
        <v>55.71</v>
      </c>
      <c r="G13" s="7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18">
        <v>3</v>
      </c>
      <c r="C14" s="7">
        <v>2371</v>
      </c>
      <c r="D14" s="7">
        <v>3582</v>
      </c>
      <c r="E14" s="7">
        <v>4268</v>
      </c>
      <c r="F14" s="7">
        <v>3864</v>
      </c>
      <c r="G14" s="7">
        <v>14085</v>
      </c>
    </row>
    <row r="15" spans="1:17" x14ac:dyDescent="0.3">
      <c r="A15" s="2"/>
      <c r="B15" s="18"/>
      <c r="C15" s="7">
        <v>3.45</v>
      </c>
      <c r="D15" s="7">
        <v>5.22</v>
      </c>
      <c r="E15" s="7">
        <v>6.22</v>
      </c>
      <c r="F15" s="7">
        <v>5.63</v>
      </c>
      <c r="G15" s="7">
        <v>20.52</v>
      </c>
    </row>
    <row r="16" spans="1:17" x14ac:dyDescent="0.3">
      <c r="A16" s="2"/>
      <c r="B16" s="18"/>
      <c r="C16" s="7">
        <v>16.829999999999998</v>
      </c>
      <c r="D16" s="7">
        <v>25.43</v>
      </c>
      <c r="E16" s="7">
        <v>30.3</v>
      </c>
      <c r="F16" s="7">
        <v>27.43</v>
      </c>
      <c r="G16" s="7"/>
    </row>
    <row r="17" spans="1:17" x14ac:dyDescent="0.3">
      <c r="A17" s="2"/>
      <c r="B17" s="18"/>
      <c r="C17" s="7">
        <v>13.82</v>
      </c>
      <c r="D17" s="7">
        <v>20.87</v>
      </c>
      <c r="E17" s="7">
        <v>24.87</v>
      </c>
      <c r="F17" s="7">
        <v>22.52</v>
      </c>
      <c r="G17" s="7"/>
    </row>
    <row r="18" spans="1:17" x14ac:dyDescent="0.3">
      <c r="A18" s="2"/>
      <c r="B18" s="18" t="s">
        <v>24</v>
      </c>
      <c r="C18" s="7">
        <v>17157</v>
      </c>
      <c r="D18" s="7">
        <v>17160</v>
      </c>
      <c r="E18" s="7">
        <v>17158</v>
      </c>
      <c r="F18" s="7">
        <v>17159</v>
      </c>
      <c r="G18" s="7">
        <v>68634</v>
      </c>
    </row>
    <row r="19" spans="1:17" x14ac:dyDescent="0.3">
      <c r="A19" s="2"/>
      <c r="B19" s="18"/>
      <c r="C19" s="7">
        <v>25</v>
      </c>
      <c r="D19" s="7">
        <v>25</v>
      </c>
      <c r="E19" s="7">
        <v>25</v>
      </c>
      <c r="F19" s="7">
        <v>25</v>
      </c>
      <c r="G19" s="7">
        <v>100</v>
      </c>
    </row>
    <row r="20" spans="1:17" x14ac:dyDescent="0.3">
      <c r="A20" s="2"/>
      <c r="B20" s="21"/>
      <c r="C20" s="21"/>
      <c r="D20" s="21"/>
      <c r="E20" s="21"/>
      <c r="F20" s="21"/>
      <c r="G20" s="21"/>
    </row>
    <row r="21" spans="1:17" ht="17.25" thickBot="1" x14ac:dyDescent="0.35"/>
    <row r="22" spans="1:17" ht="16.5" customHeight="1" x14ac:dyDescent="0.3">
      <c r="A22" s="4" t="s">
        <v>2</v>
      </c>
      <c r="B22" s="17" t="s">
        <v>59</v>
      </c>
      <c r="C22" s="19"/>
      <c r="D22" s="19"/>
      <c r="E22" s="19"/>
      <c r="F22" s="19"/>
      <c r="G22" s="19"/>
    </row>
    <row r="23" spans="1:17" ht="16.5" customHeight="1" x14ac:dyDescent="0.3">
      <c r="A23" s="6" t="s">
        <v>3</v>
      </c>
      <c r="B23" s="18" t="s">
        <v>5</v>
      </c>
      <c r="C23" s="20" t="s">
        <v>58</v>
      </c>
      <c r="D23" s="20"/>
      <c r="E23" s="20"/>
      <c r="F23" s="20"/>
      <c r="G23" s="20"/>
    </row>
    <row r="24" spans="1:17" x14ac:dyDescent="0.3">
      <c r="A24" s="6" t="s">
        <v>20</v>
      </c>
      <c r="B24" s="1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18">
        <v>1</v>
      </c>
      <c r="C25" s="7">
        <v>4894</v>
      </c>
      <c r="D25" s="7">
        <v>7481</v>
      </c>
      <c r="E25" s="7">
        <v>9361</v>
      </c>
      <c r="F25" s="7">
        <v>11464</v>
      </c>
      <c r="G25" s="7">
        <v>33200</v>
      </c>
      <c r="I25">
        <f>C25</f>
        <v>4894</v>
      </c>
      <c r="J25">
        <f t="shared" ref="J25:L25" si="9">D25</f>
        <v>7481</v>
      </c>
      <c r="K25">
        <f t="shared" si="9"/>
        <v>9361</v>
      </c>
      <c r="L25">
        <f t="shared" si="9"/>
        <v>11464</v>
      </c>
      <c r="N25" t="str">
        <f>TEXT(I25,"#,##0")&amp;" ("&amp;TEXT(I26,"0.00")&amp;")"</f>
        <v>4,894 (28.52)</v>
      </c>
      <c r="O25" t="str">
        <f t="shared" ref="O25:Q25" si="10">TEXT(J25,"#,##0")&amp;" ("&amp;TEXT(J26,"0.00")&amp;")"</f>
        <v>7,481 (43.60)</v>
      </c>
      <c r="P25" t="str">
        <f t="shared" si="10"/>
        <v>9,361 (54.56)</v>
      </c>
      <c r="Q25" t="str">
        <f t="shared" si="10"/>
        <v>11,464 (66.81)</v>
      </c>
    </row>
    <row r="26" spans="1:17" x14ac:dyDescent="0.3">
      <c r="A26" s="2"/>
      <c r="B26" s="18"/>
      <c r="C26" s="7">
        <v>7.13</v>
      </c>
      <c r="D26" s="7">
        <v>10.9</v>
      </c>
      <c r="E26" s="7">
        <v>13.64</v>
      </c>
      <c r="F26" s="7">
        <v>16.7</v>
      </c>
      <c r="G26" s="7">
        <v>48.37</v>
      </c>
      <c r="I26">
        <f>C28</f>
        <v>28.52</v>
      </c>
      <c r="J26">
        <f t="shared" ref="J26:L27" si="11">D28</f>
        <v>43.6</v>
      </c>
      <c r="K26">
        <f t="shared" si="11"/>
        <v>54.56</v>
      </c>
      <c r="L26">
        <f t="shared" si="11"/>
        <v>66.81</v>
      </c>
      <c r="N26" t="str">
        <f>TEXT(I27,"#,##0")&amp;" ("&amp;TEXT(I28,"0.00")&amp;")"</f>
        <v>12,263 (71.48)</v>
      </c>
      <c r="O26" t="str">
        <f t="shared" ref="O26:Q26" si="12">TEXT(J27,"#,##0")&amp;" ("&amp;TEXT(J28,"0.00")&amp;")"</f>
        <v>9,679 (56.40)</v>
      </c>
      <c r="P26" t="str">
        <f t="shared" si="12"/>
        <v>7,797 (45.44)</v>
      </c>
      <c r="Q26" t="str">
        <f t="shared" si="12"/>
        <v>5,695 (33.19)</v>
      </c>
    </row>
    <row r="27" spans="1:17" x14ac:dyDescent="0.3">
      <c r="A27" s="2"/>
      <c r="B27" s="18"/>
      <c r="C27" s="7">
        <v>14.74</v>
      </c>
      <c r="D27" s="7">
        <v>22.53</v>
      </c>
      <c r="E27" s="7">
        <v>28.2</v>
      </c>
      <c r="F27" s="7">
        <v>34.53</v>
      </c>
      <c r="G27" s="7"/>
      <c r="I27">
        <f>C29</f>
        <v>12263</v>
      </c>
      <c r="J27">
        <f t="shared" si="11"/>
        <v>9679</v>
      </c>
      <c r="K27">
        <f t="shared" si="11"/>
        <v>7797</v>
      </c>
      <c r="L27">
        <f t="shared" si="11"/>
        <v>5695</v>
      </c>
      <c r="N27" t="str">
        <f>TEXT(I29,"#,##0")&amp;" ("&amp;TEXT(I30,"0.00")&amp;")"</f>
        <v>17,157 (0.00)</v>
      </c>
      <c r="O27" t="str">
        <f t="shared" ref="O27:Q27" si="13">TEXT(J29,"#,##0")&amp;" ("&amp;TEXT(J30,"0.00")&amp;")"</f>
        <v>17,160 (0.00)</v>
      </c>
      <c r="P27" t="str">
        <f t="shared" si="13"/>
        <v>17,158 (0.00)</v>
      </c>
      <c r="Q27" t="str">
        <f t="shared" si="13"/>
        <v>17,159 (0.00)</v>
      </c>
    </row>
    <row r="28" spans="1:17" x14ac:dyDescent="0.3">
      <c r="A28" s="2"/>
      <c r="B28" s="18"/>
      <c r="C28" s="7">
        <v>28.52</v>
      </c>
      <c r="D28" s="7">
        <v>43.6</v>
      </c>
      <c r="E28" s="7">
        <v>54.56</v>
      </c>
      <c r="F28" s="7">
        <v>66.81</v>
      </c>
      <c r="G28" s="7"/>
      <c r="I28">
        <f>C32</f>
        <v>71.48</v>
      </c>
      <c r="J28">
        <f t="shared" ref="J28:L29" si="14">D32</f>
        <v>56.4</v>
      </c>
      <c r="K28">
        <f t="shared" si="14"/>
        <v>45.44</v>
      </c>
      <c r="L28">
        <f t="shared" si="14"/>
        <v>33.19</v>
      </c>
      <c r="N28" t="str">
        <f>TEXT(I31,"#,##0")&amp;" ("&amp;TEXT(I32,"0.00")&amp;")"</f>
        <v>0 (14369.00)</v>
      </c>
      <c r="O28" t="str">
        <f t="shared" ref="O28:Q28" si="15">TEXT(J31,"#,##0")&amp;" ("&amp;TEXT(J32,"0.00")&amp;")"</f>
        <v>0 (13852.00)</v>
      </c>
      <c r="P28" t="str">
        <f t="shared" si="15"/>
        <v>0 (13625.00)</v>
      </c>
      <c r="Q28" t="str">
        <f t="shared" si="15"/>
        <v>0 (13330.00)</v>
      </c>
    </row>
    <row r="29" spans="1:17" x14ac:dyDescent="0.3">
      <c r="A29" s="2"/>
      <c r="B29" s="18">
        <v>2</v>
      </c>
      <c r="C29" s="7">
        <v>12263</v>
      </c>
      <c r="D29" s="7">
        <v>9679</v>
      </c>
      <c r="E29" s="7">
        <v>7797</v>
      </c>
      <c r="F29" s="7">
        <v>5695</v>
      </c>
      <c r="G29" s="7">
        <v>35434</v>
      </c>
      <c r="I29">
        <f>C33</f>
        <v>17157</v>
      </c>
      <c r="J29">
        <f t="shared" si="14"/>
        <v>17160</v>
      </c>
      <c r="K29">
        <f t="shared" si="14"/>
        <v>17158</v>
      </c>
      <c r="L29">
        <f t="shared" si="14"/>
        <v>17159</v>
      </c>
    </row>
    <row r="30" spans="1:17" x14ac:dyDescent="0.3">
      <c r="A30" s="2"/>
      <c r="B30" s="18"/>
      <c r="C30" s="7">
        <v>17.87</v>
      </c>
      <c r="D30" s="7">
        <v>14.1</v>
      </c>
      <c r="E30" s="7">
        <v>11.36</v>
      </c>
      <c r="F30" s="7">
        <v>8.3000000000000007</v>
      </c>
      <c r="G30" s="7">
        <v>51.63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18"/>
      <c r="C31" s="7">
        <v>34.61</v>
      </c>
      <c r="D31" s="7">
        <v>27.32</v>
      </c>
      <c r="E31" s="7">
        <v>22</v>
      </c>
      <c r="F31" s="7">
        <v>16.07</v>
      </c>
      <c r="G31" s="7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18"/>
      <c r="C32" s="7">
        <v>71.48</v>
      </c>
      <c r="D32" s="7">
        <v>56.4</v>
      </c>
      <c r="E32" s="7">
        <v>45.44</v>
      </c>
      <c r="F32" s="7">
        <v>33.19</v>
      </c>
      <c r="G32" s="7"/>
      <c r="I32">
        <f>C40</f>
        <v>14369</v>
      </c>
      <c r="J32">
        <f t="shared" ref="J32:L32" si="17">D40</f>
        <v>13852</v>
      </c>
      <c r="K32">
        <f t="shared" si="17"/>
        <v>13625</v>
      </c>
      <c r="L32">
        <f t="shared" si="17"/>
        <v>13330</v>
      </c>
    </row>
    <row r="33" spans="1:17" x14ac:dyDescent="0.3">
      <c r="A33" s="2"/>
      <c r="B33" s="18" t="s">
        <v>24</v>
      </c>
      <c r="C33" s="7">
        <v>17157</v>
      </c>
      <c r="D33" s="7">
        <v>17160</v>
      </c>
      <c r="E33" s="7">
        <v>17158</v>
      </c>
      <c r="F33" s="7">
        <v>17159</v>
      </c>
      <c r="G33" s="7">
        <v>68634</v>
      </c>
    </row>
    <row r="34" spans="1:17" x14ac:dyDescent="0.3">
      <c r="A34" s="2"/>
      <c r="B34" s="18"/>
      <c r="C34" s="7">
        <v>25</v>
      </c>
      <c r="D34" s="7">
        <v>25</v>
      </c>
      <c r="E34" s="7">
        <v>25</v>
      </c>
      <c r="F34" s="7">
        <v>25</v>
      </c>
      <c r="G34" s="7">
        <v>100</v>
      </c>
    </row>
    <row r="35" spans="1:17" x14ac:dyDescent="0.3">
      <c r="A35" s="2"/>
      <c r="B35" s="21"/>
      <c r="C35" s="21"/>
      <c r="D35" s="21"/>
      <c r="E35" s="21"/>
      <c r="F35" s="21"/>
      <c r="G35" s="21"/>
    </row>
    <row r="36" spans="1:17" ht="17.25" thickBot="1" x14ac:dyDescent="0.35"/>
    <row r="37" spans="1:17" ht="16.5" customHeight="1" x14ac:dyDescent="0.3">
      <c r="A37" s="4" t="s">
        <v>2</v>
      </c>
      <c r="B37" s="17" t="s">
        <v>60</v>
      </c>
      <c r="C37" s="19"/>
      <c r="D37" s="19"/>
      <c r="E37" s="19"/>
      <c r="F37" s="19"/>
      <c r="G37" s="19"/>
    </row>
    <row r="38" spans="1:17" ht="16.5" customHeight="1" x14ac:dyDescent="0.3">
      <c r="A38" s="6" t="s">
        <v>3</v>
      </c>
      <c r="B38" s="18" t="s">
        <v>6</v>
      </c>
      <c r="C38" s="20" t="s">
        <v>58</v>
      </c>
      <c r="D38" s="20"/>
      <c r="E38" s="20"/>
      <c r="F38" s="20"/>
      <c r="G38" s="20"/>
    </row>
    <row r="39" spans="1:17" x14ac:dyDescent="0.3">
      <c r="A39" s="6" t="s">
        <v>20</v>
      </c>
      <c r="B39" s="1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18">
        <v>1</v>
      </c>
      <c r="C40" s="7">
        <v>14369</v>
      </c>
      <c r="D40" s="7">
        <v>13852</v>
      </c>
      <c r="E40" s="7">
        <v>13625</v>
      </c>
      <c r="F40" s="7">
        <v>13330</v>
      </c>
      <c r="G40" s="7">
        <v>55176</v>
      </c>
      <c r="I40">
        <f>C40</f>
        <v>14369</v>
      </c>
      <c r="J40">
        <f t="shared" ref="J40:L40" si="18">D40</f>
        <v>13852</v>
      </c>
      <c r="K40">
        <f t="shared" si="18"/>
        <v>13625</v>
      </c>
      <c r="L40">
        <f t="shared" si="18"/>
        <v>13330</v>
      </c>
      <c r="N40" t="str">
        <f>TEXT(I40,"#,##0")&amp;" ("&amp;TEXT(I41,"0.00")&amp;")"</f>
        <v>14,369 (83.75)</v>
      </c>
      <c r="O40" t="str">
        <f t="shared" ref="O40:Q40" si="19">TEXT(J40,"#,##0")&amp;" ("&amp;TEXT(J41,"0.00")&amp;")"</f>
        <v>13,852 (80.72)</v>
      </c>
      <c r="P40" t="str">
        <f t="shared" si="19"/>
        <v>13,625 (79.41)</v>
      </c>
      <c r="Q40" t="str">
        <f t="shared" si="19"/>
        <v>13,330 (77.69)</v>
      </c>
    </row>
    <row r="41" spans="1:17" x14ac:dyDescent="0.3">
      <c r="A41" s="2"/>
      <c r="B41" s="18"/>
      <c r="C41" s="7">
        <v>20.94</v>
      </c>
      <c r="D41" s="7">
        <v>20.18</v>
      </c>
      <c r="E41" s="7">
        <v>19.850000000000001</v>
      </c>
      <c r="F41" s="7">
        <v>19.420000000000002</v>
      </c>
      <c r="G41" s="7">
        <v>80.39</v>
      </c>
      <c r="I41">
        <f>C43</f>
        <v>83.75</v>
      </c>
      <c r="J41">
        <f t="shared" ref="J41:L42" si="20">D43</f>
        <v>80.72</v>
      </c>
      <c r="K41">
        <f t="shared" si="20"/>
        <v>79.41</v>
      </c>
      <c r="L41">
        <f t="shared" si="20"/>
        <v>77.69</v>
      </c>
      <c r="N41" t="str">
        <f>TEXT(I42,"#,##0")&amp;" ("&amp;TEXT(I43,"0.00")&amp;")"</f>
        <v>2,788 (16.25)</v>
      </c>
      <c r="O41" t="str">
        <f t="shared" ref="O41:Q41" si="21">TEXT(J42,"#,##0")&amp;" ("&amp;TEXT(J43,"0.00")&amp;")"</f>
        <v>3,308 (19.28)</v>
      </c>
      <c r="P41" t="str">
        <f t="shared" si="21"/>
        <v>3,533 (20.59)</v>
      </c>
      <c r="Q41" t="str">
        <f t="shared" si="21"/>
        <v>3,829 (22.31)</v>
      </c>
    </row>
    <row r="42" spans="1:17" x14ac:dyDescent="0.3">
      <c r="A42" s="2"/>
      <c r="B42" s="18"/>
      <c r="C42" s="7">
        <v>26.04</v>
      </c>
      <c r="D42" s="7">
        <v>25.11</v>
      </c>
      <c r="E42" s="7">
        <v>24.69</v>
      </c>
      <c r="F42" s="7">
        <v>24.16</v>
      </c>
      <c r="G42" s="7"/>
      <c r="I42">
        <f>C44</f>
        <v>2788</v>
      </c>
      <c r="J42">
        <f t="shared" si="20"/>
        <v>3308</v>
      </c>
      <c r="K42">
        <f t="shared" si="20"/>
        <v>3533</v>
      </c>
      <c r="L42">
        <f t="shared" si="20"/>
        <v>3829</v>
      </c>
      <c r="N42" t="str">
        <f>TEXT(I44,"#,##0")&amp;" ("&amp;TEXT(I45,"0.00")&amp;")"</f>
        <v>17,157 (0.00)</v>
      </c>
      <c r="O42" t="str">
        <f t="shared" ref="O42:Q42" si="22">TEXT(J44,"#,##0")&amp;" ("&amp;TEXT(J45,"0.00")&amp;")"</f>
        <v>17,160 (0.00)</v>
      </c>
      <c r="P42" t="str">
        <f t="shared" si="22"/>
        <v>17,158 (0.00)</v>
      </c>
      <c r="Q42" t="str">
        <f t="shared" si="22"/>
        <v>17,159 (0.00)</v>
      </c>
    </row>
    <row r="43" spans="1:17" x14ac:dyDescent="0.3">
      <c r="A43" s="2"/>
      <c r="B43" s="18"/>
      <c r="C43" s="7">
        <v>83.75</v>
      </c>
      <c r="D43" s="7">
        <v>80.72</v>
      </c>
      <c r="E43" s="7">
        <v>79.41</v>
      </c>
      <c r="F43" s="7">
        <v>77.69</v>
      </c>
      <c r="G43" s="7"/>
      <c r="I43">
        <f>C47</f>
        <v>16.25</v>
      </c>
      <c r="J43">
        <f t="shared" ref="J43:L44" si="23">D47</f>
        <v>19.28</v>
      </c>
      <c r="K43">
        <f t="shared" si="23"/>
        <v>20.59</v>
      </c>
      <c r="L43">
        <f t="shared" si="23"/>
        <v>22.31</v>
      </c>
      <c r="N43" t="str">
        <f>TEXT(I46,"#,##0")&amp;" ("&amp;TEXT(I47,"0.00")&amp;")"</f>
        <v>0 (1485.00)</v>
      </c>
      <c r="O43" t="str">
        <f t="shared" ref="O43:Q43" si="24">TEXT(J46,"#,##0")&amp;" ("&amp;TEXT(J47,"0.00")&amp;")"</f>
        <v>0 (2281.00)</v>
      </c>
      <c r="P43" t="str">
        <f t="shared" si="24"/>
        <v>0 (2709.00)</v>
      </c>
      <c r="Q43" t="str">
        <f t="shared" si="24"/>
        <v>0 (2724.00)</v>
      </c>
    </row>
    <row r="44" spans="1:17" x14ac:dyDescent="0.3">
      <c r="A44" s="2"/>
      <c r="B44" s="18">
        <v>2</v>
      </c>
      <c r="C44" s="7">
        <v>2788</v>
      </c>
      <c r="D44" s="7">
        <v>3308</v>
      </c>
      <c r="E44" s="7">
        <v>3533</v>
      </c>
      <c r="F44" s="7">
        <v>3829</v>
      </c>
      <c r="G44" s="7">
        <v>13458</v>
      </c>
      <c r="I44">
        <f>C48</f>
        <v>17157</v>
      </c>
      <c r="J44">
        <f t="shared" si="23"/>
        <v>17160</v>
      </c>
      <c r="K44">
        <f t="shared" si="23"/>
        <v>17158</v>
      </c>
      <c r="L44">
        <f t="shared" si="23"/>
        <v>17159</v>
      </c>
    </row>
    <row r="45" spans="1:17" x14ac:dyDescent="0.3">
      <c r="A45" s="2"/>
      <c r="B45" s="18"/>
      <c r="C45" s="7">
        <v>4.0599999999999996</v>
      </c>
      <c r="D45" s="7">
        <v>4.82</v>
      </c>
      <c r="E45" s="7">
        <v>5.15</v>
      </c>
      <c r="F45" s="7">
        <v>5.58</v>
      </c>
      <c r="G45" s="7">
        <v>19.61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18"/>
      <c r="C46" s="7">
        <v>20.72</v>
      </c>
      <c r="D46" s="7">
        <v>24.58</v>
      </c>
      <c r="E46" s="7">
        <v>26.25</v>
      </c>
      <c r="F46" s="7">
        <v>28.45</v>
      </c>
      <c r="G46" s="7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18"/>
      <c r="C47" s="7">
        <v>16.25</v>
      </c>
      <c r="D47" s="7">
        <v>19.28</v>
      </c>
      <c r="E47" s="7">
        <v>20.59</v>
      </c>
      <c r="F47" s="7">
        <v>22.31</v>
      </c>
      <c r="G47" s="7"/>
      <c r="I47">
        <f>C55</f>
        <v>1485</v>
      </c>
      <c r="J47">
        <f t="shared" ref="J47:L47" si="26">D55</f>
        <v>2281</v>
      </c>
      <c r="K47">
        <f t="shared" si="26"/>
        <v>2709</v>
      </c>
      <c r="L47">
        <f t="shared" si="26"/>
        <v>2724</v>
      </c>
    </row>
    <row r="48" spans="1:17" x14ac:dyDescent="0.3">
      <c r="A48" s="2"/>
      <c r="B48" s="18" t="s">
        <v>24</v>
      </c>
      <c r="C48" s="7">
        <v>17157</v>
      </c>
      <c r="D48" s="7">
        <v>17160</v>
      </c>
      <c r="E48" s="7">
        <v>17158</v>
      </c>
      <c r="F48" s="7">
        <v>17159</v>
      </c>
      <c r="G48" s="7">
        <v>68634</v>
      </c>
    </row>
    <row r="49" spans="1:17" x14ac:dyDescent="0.3">
      <c r="A49" s="2"/>
      <c r="B49" s="18"/>
      <c r="C49" s="7">
        <v>25</v>
      </c>
      <c r="D49" s="7">
        <v>25</v>
      </c>
      <c r="E49" s="7">
        <v>25</v>
      </c>
      <c r="F49" s="7">
        <v>25</v>
      </c>
      <c r="G49" s="7">
        <v>100</v>
      </c>
    </row>
    <row r="50" spans="1:17" x14ac:dyDescent="0.3">
      <c r="A50" s="2"/>
      <c r="B50" s="21"/>
      <c r="C50" s="21"/>
      <c r="D50" s="21"/>
      <c r="E50" s="21"/>
      <c r="F50" s="21"/>
      <c r="G50" s="21"/>
    </row>
    <row r="51" spans="1:17" ht="17.25" thickBot="1" x14ac:dyDescent="0.35"/>
    <row r="52" spans="1:17" ht="16.5" customHeight="1" x14ac:dyDescent="0.3">
      <c r="A52" s="4" t="s">
        <v>2</v>
      </c>
      <c r="B52" s="17" t="s">
        <v>61</v>
      </c>
      <c r="C52" s="19"/>
      <c r="D52" s="19"/>
      <c r="E52" s="19"/>
      <c r="F52" s="19"/>
      <c r="G52" s="19"/>
    </row>
    <row r="53" spans="1:17" ht="16.5" customHeight="1" x14ac:dyDescent="0.3">
      <c r="A53" s="6" t="s">
        <v>3</v>
      </c>
      <c r="B53" s="18" t="s">
        <v>7</v>
      </c>
      <c r="C53" s="20" t="s">
        <v>58</v>
      </c>
      <c r="D53" s="20"/>
      <c r="E53" s="20"/>
      <c r="F53" s="20"/>
      <c r="G53" s="20"/>
    </row>
    <row r="54" spans="1:17" x14ac:dyDescent="0.3">
      <c r="A54" s="6" t="s">
        <v>20</v>
      </c>
      <c r="B54" s="1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18">
        <v>1</v>
      </c>
      <c r="C55" s="7">
        <v>1485</v>
      </c>
      <c r="D55" s="7">
        <v>2281</v>
      </c>
      <c r="E55" s="7">
        <v>2709</v>
      </c>
      <c r="F55" s="7">
        <v>2724</v>
      </c>
      <c r="G55" s="7">
        <v>9199</v>
      </c>
      <c r="I55">
        <f>C55</f>
        <v>1485</v>
      </c>
      <c r="J55">
        <f t="shared" ref="J55:L55" si="27">D55</f>
        <v>2281</v>
      </c>
      <c r="K55">
        <f t="shared" si="27"/>
        <v>2709</v>
      </c>
      <c r="L55">
        <f t="shared" si="27"/>
        <v>2724</v>
      </c>
      <c r="N55" t="str">
        <f>TEXT(I55,"#,##0")&amp;" ("&amp;TEXT(I56,"0.00")&amp;")"</f>
        <v>1,485 (8.66)</v>
      </c>
      <c r="O55" t="str">
        <f t="shared" ref="O55:Q55" si="28">TEXT(J55,"#,##0")&amp;" ("&amp;TEXT(J56,"0.00")&amp;")"</f>
        <v>2,281 (13.29)</v>
      </c>
      <c r="P55" t="str">
        <f t="shared" si="28"/>
        <v>2,709 (15.79)</v>
      </c>
      <c r="Q55" t="str">
        <f t="shared" si="28"/>
        <v>2,724 (15.88)</v>
      </c>
    </row>
    <row r="56" spans="1:17" x14ac:dyDescent="0.3">
      <c r="A56" s="2"/>
      <c r="B56" s="18"/>
      <c r="C56" s="7">
        <v>2.16</v>
      </c>
      <c r="D56" s="7">
        <v>3.32</v>
      </c>
      <c r="E56" s="7">
        <v>3.95</v>
      </c>
      <c r="F56" s="7">
        <v>3.97</v>
      </c>
      <c r="G56" s="7">
        <v>13.4</v>
      </c>
      <c r="I56">
        <f>C58</f>
        <v>8.66</v>
      </c>
      <c r="J56">
        <f t="shared" ref="J56:L57" si="29">D58</f>
        <v>13.29</v>
      </c>
      <c r="K56">
        <f t="shared" si="29"/>
        <v>15.79</v>
      </c>
      <c r="L56">
        <f t="shared" si="29"/>
        <v>15.88</v>
      </c>
      <c r="N56" t="str">
        <f>TEXT(I57,"#,##0")&amp;" ("&amp;TEXT(I58,"0.00")&amp;")"</f>
        <v>1,418 (8.26)</v>
      </c>
      <c r="O56" t="str">
        <f t="shared" ref="O56:Q56" si="30">TEXT(J57,"#,##0")&amp;" ("&amp;TEXT(J58,"0.00")&amp;")"</f>
        <v>1,850 (10.78)</v>
      </c>
      <c r="P56" t="str">
        <f t="shared" si="30"/>
        <v>2,324 (13.54)</v>
      </c>
      <c r="Q56" t="str">
        <f t="shared" si="30"/>
        <v>2,344 (13.66)</v>
      </c>
    </row>
    <row r="57" spans="1:17" x14ac:dyDescent="0.3">
      <c r="A57" s="2"/>
      <c r="B57" s="18"/>
      <c r="C57" s="7">
        <v>16.14</v>
      </c>
      <c r="D57" s="7">
        <v>24.8</v>
      </c>
      <c r="E57" s="7">
        <v>29.45</v>
      </c>
      <c r="F57" s="7">
        <v>29.61</v>
      </c>
      <c r="G57" s="7"/>
      <c r="I57">
        <f>C59</f>
        <v>1418</v>
      </c>
      <c r="J57">
        <f t="shared" si="29"/>
        <v>1850</v>
      </c>
      <c r="K57">
        <f t="shared" si="29"/>
        <v>2324</v>
      </c>
      <c r="L57">
        <f t="shared" si="29"/>
        <v>2344</v>
      </c>
      <c r="N57" t="str">
        <f>TEXT(I59,"#,##0")&amp;" ("&amp;TEXT(I60,"0.00")&amp;")"</f>
        <v>4,119 (24.01)</v>
      </c>
      <c r="O57" t="str">
        <f t="shared" ref="O57:Q57" si="31">TEXT(J59,"#,##0")&amp;" ("&amp;TEXT(J60,"0.00")&amp;")"</f>
        <v>4,457 (25.97)</v>
      </c>
      <c r="P57" t="str">
        <f t="shared" si="31"/>
        <v>4,509 (26.28)</v>
      </c>
      <c r="Q57" t="str">
        <f t="shared" si="31"/>
        <v>4,673 (27.23)</v>
      </c>
    </row>
    <row r="58" spans="1:17" x14ac:dyDescent="0.3">
      <c r="A58" s="2"/>
      <c r="B58" s="18"/>
      <c r="C58" s="7">
        <v>8.66</v>
      </c>
      <c r="D58" s="7">
        <v>13.29</v>
      </c>
      <c r="E58" s="7">
        <v>15.79</v>
      </c>
      <c r="F58" s="7">
        <v>15.88</v>
      </c>
      <c r="G58" s="7"/>
      <c r="I58">
        <f>C62</f>
        <v>8.26</v>
      </c>
      <c r="J58">
        <f t="shared" ref="J58:L59" si="32">D62</f>
        <v>10.78</v>
      </c>
      <c r="K58">
        <f t="shared" si="32"/>
        <v>13.54</v>
      </c>
      <c r="L58">
        <f t="shared" si="32"/>
        <v>13.66</v>
      </c>
      <c r="N58" t="str">
        <f>TEXT(I61,"#,##0")&amp;" ("&amp;TEXT(I62,"0.00")&amp;")"</f>
        <v>10,135 (59.07)</v>
      </c>
      <c r="O58" t="str">
        <f t="shared" ref="O58:Q58" si="33">TEXT(J61,"#,##0")&amp;" ("&amp;TEXT(J62,"0.00")&amp;")"</f>
        <v>8,572 (49.95)</v>
      </c>
      <c r="P58" t="str">
        <f t="shared" si="33"/>
        <v>7,616 (44.39)</v>
      </c>
      <c r="Q58" t="str">
        <f t="shared" si="33"/>
        <v>7,418 (43.23)</v>
      </c>
    </row>
    <row r="59" spans="1:17" x14ac:dyDescent="0.3">
      <c r="A59" s="2"/>
      <c r="B59" s="18">
        <v>2</v>
      </c>
      <c r="C59" s="7">
        <v>1418</v>
      </c>
      <c r="D59" s="7">
        <v>1850</v>
      </c>
      <c r="E59" s="7">
        <v>2324</v>
      </c>
      <c r="F59" s="7">
        <v>2344</v>
      </c>
      <c r="G59" s="7">
        <v>7936</v>
      </c>
      <c r="I59">
        <f>C63</f>
        <v>4119</v>
      </c>
      <c r="J59">
        <f t="shared" si="32"/>
        <v>4457</v>
      </c>
      <c r="K59">
        <f t="shared" si="32"/>
        <v>4509</v>
      </c>
      <c r="L59">
        <f t="shared" si="32"/>
        <v>4673</v>
      </c>
    </row>
    <row r="60" spans="1:17" x14ac:dyDescent="0.3">
      <c r="A60" s="2"/>
      <c r="B60" s="18"/>
      <c r="C60" s="7">
        <v>2.0699999999999998</v>
      </c>
      <c r="D60" s="7">
        <v>2.7</v>
      </c>
      <c r="E60" s="7">
        <v>3.39</v>
      </c>
      <c r="F60" s="7">
        <v>3.42</v>
      </c>
      <c r="G60" s="7">
        <v>11.56</v>
      </c>
      <c r="I60">
        <f>C66</f>
        <v>24.01</v>
      </c>
      <c r="J60">
        <f t="shared" ref="J60:L61" si="34">D66</f>
        <v>25.97</v>
      </c>
      <c r="K60">
        <f t="shared" si="34"/>
        <v>26.28</v>
      </c>
      <c r="L60">
        <f t="shared" si="34"/>
        <v>27.23</v>
      </c>
    </row>
    <row r="61" spans="1:17" x14ac:dyDescent="0.3">
      <c r="A61" s="2"/>
      <c r="B61" s="18"/>
      <c r="C61" s="7">
        <v>17.87</v>
      </c>
      <c r="D61" s="7">
        <v>23.31</v>
      </c>
      <c r="E61" s="7">
        <v>29.28</v>
      </c>
      <c r="F61" s="7">
        <v>29.54</v>
      </c>
      <c r="G61" s="7"/>
      <c r="I61">
        <f>C67</f>
        <v>10135</v>
      </c>
      <c r="J61">
        <f t="shared" si="34"/>
        <v>8572</v>
      </c>
      <c r="K61">
        <f t="shared" si="34"/>
        <v>7616</v>
      </c>
      <c r="L61">
        <f t="shared" si="34"/>
        <v>7418</v>
      </c>
    </row>
    <row r="62" spans="1:17" x14ac:dyDescent="0.3">
      <c r="A62" s="2"/>
      <c r="B62" s="18"/>
      <c r="C62" s="7">
        <v>8.26</v>
      </c>
      <c r="D62" s="7">
        <v>10.78</v>
      </c>
      <c r="E62" s="7">
        <v>13.54</v>
      </c>
      <c r="F62" s="7">
        <v>13.66</v>
      </c>
      <c r="G62" s="7"/>
      <c r="I62">
        <f>C70</f>
        <v>59.07</v>
      </c>
      <c r="J62">
        <f t="shared" ref="J62:L62" si="35">D70</f>
        <v>49.95</v>
      </c>
      <c r="K62">
        <f t="shared" si="35"/>
        <v>44.39</v>
      </c>
      <c r="L62">
        <f t="shared" si="35"/>
        <v>43.23</v>
      </c>
    </row>
    <row r="63" spans="1:17" x14ac:dyDescent="0.3">
      <c r="A63" s="2"/>
      <c r="B63" s="18">
        <v>3</v>
      </c>
      <c r="C63" s="7">
        <v>4119</v>
      </c>
      <c r="D63" s="7">
        <v>4457</v>
      </c>
      <c r="E63" s="7">
        <v>4509</v>
      </c>
      <c r="F63" s="7">
        <v>4673</v>
      </c>
      <c r="G63" s="7">
        <v>17758</v>
      </c>
    </row>
    <row r="64" spans="1:17" x14ac:dyDescent="0.3">
      <c r="A64" s="2"/>
      <c r="B64" s="18"/>
      <c r="C64" s="7">
        <v>6</v>
      </c>
      <c r="D64" s="7">
        <v>6.49</v>
      </c>
      <c r="E64" s="7">
        <v>6.57</v>
      </c>
      <c r="F64" s="7">
        <v>6.81</v>
      </c>
      <c r="G64" s="7">
        <v>25.87</v>
      </c>
    </row>
    <row r="65" spans="1:17" x14ac:dyDescent="0.3">
      <c r="A65" s="2"/>
      <c r="B65" s="18"/>
      <c r="C65" s="7">
        <v>23.2</v>
      </c>
      <c r="D65" s="7">
        <v>25.1</v>
      </c>
      <c r="E65" s="7">
        <v>25.39</v>
      </c>
      <c r="F65" s="7">
        <v>26.31</v>
      </c>
      <c r="G65" s="7"/>
    </row>
    <row r="66" spans="1:17" x14ac:dyDescent="0.3">
      <c r="A66" s="2"/>
      <c r="B66" s="18"/>
      <c r="C66" s="7">
        <v>24.01</v>
      </c>
      <c r="D66" s="7">
        <v>25.97</v>
      </c>
      <c r="E66" s="7">
        <v>26.28</v>
      </c>
      <c r="F66" s="7">
        <v>27.23</v>
      </c>
      <c r="G66" s="7"/>
    </row>
    <row r="67" spans="1:17" x14ac:dyDescent="0.3">
      <c r="A67" s="2"/>
      <c r="B67" s="18">
        <v>4</v>
      </c>
      <c r="C67" s="7">
        <v>10135</v>
      </c>
      <c r="D67" s="7">
        <v>8572</v>
      </c>
      <c r="E67" s="7">
        <v>7616</v>
      </c>
      <c r="F67" s="7">
        <v>7418</v>
      </c>
      <c r="G67" s="7">
        <v>33741</v>
      </c>
    </row>
    <row r="68" spans="1:17" x14ac:dyDescent="0.3">
      <c r="A68" s="2"/>
      <c r="B68" s="18"/>
      <c r="C68" s="7">
        <v>14.77</v>
      </c>
      <c r="D68" s="7">
        <v>12.49</v>
      </c>
      <c r="E68" s="7">
        <v>11.1</v>
      </c>
      <c r="F68" s="7">
        <v>10.81</v>
      </c>
      <c r="G68" s="7">
        <v>49.16</v>
      </c>
    </row>
    <row r="69" spans="1:17" x14ac:dyDescent="0.3">
      <c r="A69" s="2"/>
      <c r="B69" s="18"/>
      <c r="C69" s="7">
        <v>30.04</v>
      </c>
      <c r="D69" s="7">
        <v>25.41</v>
      </c>
      <c r="E69" s="7">
        <v>22.57</v>
      </c>
      <c r="F69" s="7">
        <v>21.99</v>
      </c>
      <c r="G69" s="7"/>
    </row>
    <row r="70" spans="1:17" x14ac:dyDescent="0.3">
      <c r="A70" s="2"/>
      <c r="B70" s="18"/>
      <c r="C70" s="7">
        <v>59.07</v>
      </c>
      <c r="D70" s="7">
        <v>49.95</v>
      </c>
      <c r="E70" s="7">
        <v>44.39</v>
      </c>
      <c r="F70" s="7">
        <v>43.23</v>
      </c>
      <c r="G70" s="7"/>
    </row>
    <row r="71" spans="1:17" x14ac:dyDescent="0.3">
      <c r="A71" s="2"/>
      <c r="B71" s="18" t="s">
        <v>24</v>
      </c>
      <c r="C71" s="7">
        <v>17157</v>
      </c>
      <c r="D71" s="7">
        <v>17160</v>
      </c>
      <c r="E71" s="7">
        <v>17158</v>
      </c>
      <c r="F71" s="7">
        <v>17159</v>
      </c>
      <c r="G71" s="7">
        <v>68634</v>
      </c>
    </row>
    <row r="72" spans="1:17" x14ac:dyDescent="0.3">
      <c r="A72" s="2"/>
      <c r="B72" s="18"/>
      <c r="C72" s="7">
        <v>25</v>
      </c>
      <c r="D72" s="7">
        <v>25</v>
      </c>
      <c r="E72" s="7">
        <v>25</v>
      </c>
      <c r="F72" s="7">
        <v>25</v>
      </c>
      <c r="G72" s="7">
        <v>100</v>
      </c>
    </row>
    <row r="73" spans="1:17" x14ac:dyDescent="0.3">
      <c r="A73" s="2"/>
      <c r="B73" s="21"/>
      <c r="C73" s="21"/>
      <c r="D73" s="21"/>
      <c r="E73" s="21"/>
      <c r="F73" s="21"/>
      <c r="G73" s="21"/>
    </row>
    <row r="74" spans="1:17" ht="17.25" thickBot="1" x14ac:dyDescent="0.35"/>
    <row r="75" spans="1:17" ht="16.5" customHeight="1" x14ac:dyDescent="0.3">
      <c r="A75" s="4" t="s">
        <v>2</v>
      </c>
      <c r="B75" s="17" t="s">
        <v>62</v>
      </c>
      <c r="C75" s="19"/>
      <c r="D75" s="19"/>
      <c r="E75" s="19"/>
      <c r="F75" s="19"/>
      <c r="G75" s="19"/>
    </row>
    <row r="76" spans="1:17" ht="16.5" customHeight="1" x14ac:dyDescent="0.3">
      <c r="A76" s="6" t="s">
        <v>3</v>
      </c>
      <c r="B76" s="18" t="s">
        <v>8</v>
      </c>
      <c r="C76" s="20" t="s">
        <v>58</v>
      </c>
      <c r="D76" s="20"/>
      <c r="E76" s="20"/>
      <c r="F76" s="20"/>
      <c r="G76" s="20"/>
    </row>
    <row r="77" spans="1:17" x14ac:dyDescent="0.3">
      <c r="A77" s="6" t="s">
        <v>20</v>
      </c>
      <c r="B77" s="1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18">
        <v>1</v>
      </c>
      <c r="C78" s="7">
        <v>2135</v>
      </c>
      <c r="D78" s="7">
        <v>2747</v>
      </c>
      <c r="E78" s="7">
        <v>3187</v>
      </c>
      <c r="F78" s="7">
        <v>3196</v>
      </c>
      <c r="G78" s="7">
        <v>11265</v>
      </c>
      <c r="I78">
        <f>C78</f>
        <v>2135</v>
      </c>
      <c r="J78">
        <f t="shared" ref="J78:L78" si="36">D78</f>
        <v>2747</v>
      </c>
      <c r="K78">
        <f t="shared" si="36"/>
        <v>3187</v>
      </c>
      <c r="L78">
        <f t="shared" si="36"/>
        <v>3196</v>
      </c>
      <c r="N78" t="str">
        <f>TEXT(I78,"#,##0")&amp;" ("&amp;TEXT(I79,"0.00")&amp;")"</f>
        <v>2,135 (12.44)</v>
      </c>
      <c r="O78" t="str">
        <f t="shared" ref="O78:Q78" si="37">TEXT(J78,"#,##0")&amp;" ("&amp;TEXT(J79,"0.00")&amp;")"</f>
        <v>2,747 (16.01)</v>
      </c>
      <c r="P78" t="str">
        <f t="shared" si="37"/>
        <v>3,187 (18.57)</v>
      </c>
      <c r="Q78" t="str">
        <f t="shared" si="37"/>
        <v>3,196 (18.63)</v>
      </c>
    </row>
    <row r="79" spans="1:17" x14ac:dyDescent="0.3">
      <c r="A79" s="2"/>
      <c r="B79" s="18"/>
      <c r="C79" s="7">
        <v>3.11</v>
      </c>
      <c r="D79" s="7">
        <v>4</v>
      </c>
      <c r="E79" s="7">
        <v>4.6399999999999997</v>
      </c>
      <c r="F79" s="7">
        <v>4.66</v>
      </c>
      <c r="G79" s="7">
        <v>16.41</v>
      </c>
      <c r="I79">
        <f>C81</f>
        <v>12.44</v>
      </c>
      <c r="J79">
        <f t="shared" ref="J79:L80" si="38">D81</f>
        <v>16.010000000000002</v>
      </c>
      <c r="K79">
        <f t="shared" si="38"/>
        <v>18.57</v>
      </c>
      <c r="L79">
        <f t="shared" si="38"/>
        <v>18.63</v>
      </c>
      <c r="N79" t="str">
        <f>TEXT(I80,"#,##0")&amp;" ("&amp;TEXT(I81,"0.00")&amp;")"</f>
        <v>3,962 (23.09)</v>
      </c>
      <c r="O79" t="str">
        <f t="shared" ref="O79:Q79" si="39">TEXT(J80,"#,##0")&amp;" ("&amp;TEXT(J81,"0.00")&amp;")"</f>
        <v>4,156 (24.22)</v>
      </c>
      <c r="P79" t="str">
        <f t="shared" si="39"/>
        <v>4,359 (25.41)</v>
      </c>
      <c r="Q79" t="str">
        <f t="shared" si="39"/>
        <v>4,357 (25.39)</v>
      </c>
    </row>
    <row r="80" spans="1:17" x14ac:dyDescent="0.3">
      <c r="A80" s="2"/>
      <c r="B80" s="18"/>
      <c r="C80" s="7">
        <v>18.95</v>
      </c>
      <c r="D80" s="7">
        <v>24.39</v>
      </c>
      <c r="E80" s="7">
        <v>28.29</v>
      </c>
      <c r="F80" s="7">
        <v>28.37</v>
      </c>
      <c r="G80" s="7"/>
      <c r="I80">
        <f>C82</f>
        <v>3962</v>
      </c>
      <c r="J80">
        <f t="shared" si="38"/>
        <v>4156</v>
      </c>
      <c r="K80">
        <f t="shared" si="38"/>
        <v>4359</v>
      </c>
      <c r="L80">
        <f t="shared" si="38"/>
        <v>4357</v>
      </c>
      <c r="N80" t="str">
        <f>TEXT(I82,"#,##0")&amp;" ("&amp;TEXT(I83,"0.00")&amp;")"</f>
        <v>5,114 (29.81)</v>
      </c>
      <c r="O80" t="str">
        <f t="shared" ref="O80:Q80" si="40">TEXT(J82,"#,##0")&amp;" ("&amp;TEXT(J83,"0.00")&amp;")"</f>
        <v>5,021 (29.26)</v>
      </c>
      <c r="P80" t="str">
        <f t="shared" si="40"/>
        <v>4,708 (27.44)</v>
      </c>
      <c r="Q80" t="str">
        <f t="shared" si="40"/>
        <v>4,742 (27.64)</v>
      </c>
    </row>
    <row r="81" spans="1:17" x14ac:dyDescent="0.3">
      <c r="A81" s="2"/>
      <c r="B81" s="18"/>
      <c r="C81" s="7">
        <v>12.44</v>
      </c>
      <c r="D81" s="7">
        <v>16.010000000000002</v>
      </c>
      <c r="E81" s="7">
        <v>18.57</v>
      </c>
      <c r="F81" s="7">
        <v>18.63</v>
      </c>
      <c r="G81" s="7"/>
      <c r="I81">
        <f>C85</f>
        <v>23.09</v>
      </c>
      <c r="J81">
        <f t="shared" ref="J81:L82" si="41">D85</f>
        <v>24.22</v>
      </c>
      <c r="K81">
        <f t="shared" si="41"/>
        <v>25.41</v>
      </c>
      <c r="L81">
        <f t="shared" si="41"/>
        <v>25.39</v>
      </c>
      <c r="N81" t="str">
        <f>TEXT(I84,"#,##0")&amp;" ("&amp;TEXT(I85,"0.00")&amp;")"</f>
        <v>5,946 (34.66)</v>
      </c>
      <c r="O81" t="str">
        <f t="shared" ref="O81:Q81" si="42">TEXT(J84,"#,##0")&amp;" ("&amp;TEXT(J85,"0.00")&amp;")"</f>
        <v>5,236 (30.51)</v>
      </c>
      <c r="P81" t="str">
        <f t="shared" si="42"/>
        <v>4,904 (28.58)</v>
      </c>
      <c r="Q81" t="str">
        <f t="shared" si="42"/>
        <v>4,864 (28.35)</v>
      </c>
    </row>
    <row r="82" spans="1:17" x14ac:dyDescent="0.3">
      <c r="A82" s="2"/>
      <c r="B82" s="18">
        <v>2</v>
      </c>
      <c r="C82" s="7">
        <v>3962</v>
      </c>
      <c r="D82" s="7">
        <v>4156</v>
      </c>
      <c r="E82" s="7">
        <v>4359</v>
      </c>
      <c r="F82" s="7">
        <v>4357</v>
      </c>
      <c r="G82" s="7">
        <v>16834</v>
      </c>
      <c r="I82">
        <f>C86</f>
        <v>5114</v>
      </c>
      <c r="J82">
        <f t="shared" si="41"/>
        <v>5021</v>
      </c>
      <c r="K82">
        <f t="shared" si="41"/>
        <v>4708</v>
      </c>
      <c r="L82">
        <f t="shared" si="41"/>
        <v>4742</v>
      </c>
    </row>
    <row r="83" spans="1:17" x14ac:dyDescent="0.3">
      <c r="A83" s="2"/>
      <c r="B83" s="18"/>
      <c r="C83" s="7">
        <v>5.77</v>
      </c>
      <c r="D83" s="7">
        <v>6.06</v>
      </c>
      <c r="E83" s="7">
        <v>6.35</v>
      </c>
      <c r="F83" s="7">
        <v>6.35</v>
      </c>
      <c r="G83" s="7">
        <v>24.53</v>
      </c>
      <c r="I83">
        <f>C89</f>
        <v>29.81</v>
      </c>
      <c r="J83">
        <f t="shared" ref="J83:L84" si="43">D89</f>
        <v>29.26</v>
      </c>
      <c r="K83">
        <f t="shared" si="43"/>
        <v>27.44</v>
      </c>
      <c r="L83">
        <f t="shared" si="43"/>
        <v>27.64</v>
      </c>
    </row>
    <row r="84" spans="1:17" x14ac:dyDescent="0.3">
      <c r="A84" s="2"/>
      <c r="B84" s="18"/>
      <c r="C84" s="7">
        <v>23.54</v>
      </c>
      <c r="D84" s="7">
        <v>24.69</v>
      </c>
      <c r="E84" s="7">
        <v>25.89</v>
      </c>
      <c r="F84" s="7">
        <v>25.88</v>
      </c>
      <c r="G84" s="7"/>
      <c r="I84">
        <f>C90</f>
        <v>5946</v>
      </c>
      <c r="J84">
        <f t="shared" si="43"/>
        <v>5236</v>
      </c>
      <c r="K84">
        <f t="shared" si="43"/>
        <v>4904</v>
      </c>
      <c r="L84">
        <f t="shared" si="43"/>
        <v>4864</v>
      </c>
    </row>
    <row r="85" spans="1:17" x14ac:dyDescent="0.3">
      <c r="A85" s="2"/>
      <c r="B85" s="18"/>
      <c r="C85" s="7">
        <v>23.09</v>
      </c>
      <c r="D85" s="7">
        <v>24.22</v>
      </c>
      <c r="E85" s="7">
        <v>25.41</v>
      </c>
      <c r="F85" s="7">
        <v>25.39</v>
      </c>
      <c r="G85" s="7"/>
      <c r="I85">
        <f>C93</f>
        <v>34.659999999999997</v>
      </c>
      <c r="J85">
        <f t="shared" ref="J85:L85" si="44">D93</f>
        <v>30.51</v>
      </c>
      <c r="K85">
        <f t="shared" si="44"/>
        <v>28.58</v>
      </c>
      <c r="L85">
        <f t="shared" si="44"/>
        <v>28.35</v>
      </c>
    </row>
    <row r="86" spans="1:17" x14ac:dyDescent="0.3">
      <c r="A86" s="2"/>
      <c r="B86" s="18">
        <v>3</v>
      </c>
      <c r="C86" s="7">
        <v>5114</v>
      </c>
      <c r="D86" s="7">
        <v>5021</v>
      </c>
      <c r="E86" s="7">
        <v>4708</v>
      </c>
      <c r="F86" s="7">
        <v>4742</v>
      </c>
      <c r="G86" s="7">
        <v>19585</v>
      </c>
    </row>
    <row r="87" spans="1:17" x14ac:dyDescent="0.3">
      <c r="A87" s="2"/>
      <c r="B87" s="18"/>
      <c r="C87" s="7">
        <v>7.45</v>
      </c>
      <c r="D87" s="7">
        <v>7.32</v>
      </c>
      <c r="E87" s="7">
        <v>6.86</v>
      </c>
      <c r="F87" s="7">
        <v>6.91</v>
      </c>
      <c r="G87" s="7">
        <v>28.54</v>
      </c>
    </row>
    <row r="88" spans="1:17" x14ac:dyDescent="0.3">
      <c r="A88" s="2"/>
      <c r="B88" s="18"/>
      <c r="C88" s="7">
        <v>26.11</v>
      </c>
      <c r="D88" s="7">
        <v>25.64</v>
      </c>
      <c r="E88" s="7">
        <v>24.04</v>
      </c>
      <c r="F88" s="7">
        <v>24.21</v>
      </c>
      <c r="G88" s="7"/>
    </row>
    <row r="89" spans="1:17" x14ac:dyDescent="0.3">
      <c r="A89" s="2"/>
      <c r="B89" s="18"/>
      <c r="C89" s="7">
        <v>29.81</v>
      </c>
      <c r="D89" s="7">
        <v>29.26</v>
      </c>
      <c r="E89" s="7">
        <v>27.44</v>
      </c>
      <c r="F89" s="7">
        <v>27.64</v>
      </c>
      <c r="G89" s="7"/>
    </row>
    <row r="90" spans="1:17" x14ac:dyDescent="0.3">
      <c r="A90" s="2"/>
      <c r="B90" s="18">
        <v>4</v>
      </c>
      <c r="C90" s="7">
        <v>5946</v>
      </c>
      <c r="D90" s="7">
        <v>5236</v>
      </c>
      <c r="E90" s="7">
        <v>4904</v>
      </c>
      <c r="F90" s="7">
        <v>4864</v>
      </c>
      <c r="G90" s="7">
        <v>20950</v>
      </c>
    </row>
    <row r="91" spans="1:17" x14ac:dyDescent="0.3">
      <c r="A91" s="2"/>
      <c r="B91" s="18"/>
      <c r="C91" s="7">
        <v>8.66</v>
      </c>
      <c r="D91" s="7">
        <v>7.63</v>
      </c>
      <c r="E91" s="7">
        <v>7.15</v>
      </c>
      <c r="F91" s="7">
        <v>7.09</v>
      </c>
      <c r="G91" s="7">
        <v>30.52</v>
      </c>
    </row>
    <row r="92" spans="1:17" x14ac:dyDescent="0.3">
      <c r="A92" s="2"/>
      <c r="B92" s="18"/>
      <c r="C92" s="7">
        <v>28.38</v>
      </c>
      <c r="D92" s="7">
        <v>24.99</v>
      </c>
      <c r="E92" s="7">
        <v>23.41</v>
      </c>
      <c r="F92" s="7">
        <v>23.22</v>
      </c>
      <c r="G92" s="7"/>
    </row>
    <row r="93" spans="1:17" x14ac:dyDescent="0.3">
      <c r="A93" s="2"/>
      <c r="B93" s="18"/>
      <c r="C93" s="7">
        <v>34.659999999999997</v>
      </c>
      <c r="D93" s="7">
        <v>30.51</v>
      </c>
      <c r="E93" s="7">
        <v>28.58</v>
      </c>
      <c r="F93" s="7">
        <v>28.35</v>
      </c>
      <c r="G93" s="7"/>
    </row>
    <row r="94" spans="1:17" x14ac:dyDescent="0.3">
      <c r="A94" s="2"/>
      <c r="B94" s="18" t="s">
        <v>24</v>
      </c>
      <c r="C94" s="7">
        <v>17157</v>
      </c>
      <c r="D94" s="7">
        <v>17160</v>
      </c>
      <c r="E94" s="7">
        <v>17158</v>
      </c>
      <c r="F94" s="7">
        <v>17159</v>
      </c>
      <c r="G94" s="7">
        <v>68634</v>
      </c>
    </row>
    <row r="95" spans="1:17" x14ac:dyDescent="0.3">
      <c r="A95" s="2"/>
      <c r="B95" s="18"/>
      <c r="C95" s="7">
        <v>25</v>
      </c>
      <c r="D95" s="7">
        <v>25</v>
      </c>
      <c r="E95" s="7">
        <v>25</v>
      </c>
      <c r="F95" s="7">
        <v>25</v>
      </c>
      <c r="G95" s="7">
        <v>100</v>
      </c>
    </row>
    <row r="96" spans="1:17" x14ac:dyDescent="0.3">
      <c r="A96" s="2"/>
      <c r="B96" s="21"/>
      <c r="C96" s="21"/>
      <c r="D96" s="21"/>
      <c r="E96" s="21"/>
      <c r="F96" s="21"/>
      <c r="G96" s="21"/>
    </row>
    <row r="97" spans="1:17" ht="17.25" thickBot="1" x14ac:dyDescent="0.35"/>
    <row r="98" spans="1:17" ht="16.5" customHeight="1" x14ac:dyDescent="0.3">
      <c r="A98" s="4" t="s">
        <v>2</v>
      </c>
      <c r="B98" s="17" t="s">
        <v>63</v>
      </c>
      <c r="C98" s="19"/>
      <c r="D98" s="19"/>
      <c r="E98" s="19"/>
      <c r="F98" s="19"/>
      <c r="G98" s="19"/>
    </row>
    <row r="99" spans="1:17" ht="16.5" customHeight="1" x14ac:dyDescent="0.3">
      <c r="A99" s="6" t="s">
        <v>3</v>
      </c>
      <c r="B99" s="18" t="s">
        <v>9</v>
      </c>
      <c r="C99" s="20" t="s">
        <v>58</v>
      </c>
      <c r="D99" s="20"/>
      <c r="E99" s="20"/>
      <c r="F99" s="20"/>
      <c r="G99" s="20"/>
    </row>
    <row r="100" spans="1:17" x14ac:dyDescent="0.3">
      <c r="A100" s="6" t="s">
        <v>20</v>
      </c>
      <c r="B100" s="1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18">
        <v>1</v>
      </c>
      <c r="C101" s="7">
        <v>1564</v>
      </c>
      <c r="D101" s="7">
        <v>787</v>
      </c>
      <c r="E101" s="7">
        <v>302</v>
      </c>
      <c r="F101" s="7">
        <v>124</v>
      </c>
      <c r="G101" s="7">
        <v>2777</v>
      </c>
      <c r="I101">
        <f>C101</f>
        <v>1564</v>
      </c>
      <c r="J101">
        <f t="shared" ref="J101:L101" si="45">D101</f>
        <v>787</v>
      </c>
      <c r="K101">
        <f t="shared" si="45"/>
        <v>302</v>
      </c>
      <c r="L101">
        <f t="shared" si="45"/>
        <v>124</v>
      </c>
      <c r="N101" t="str">
        <f>TEXT(I101,"#,##0")&amp;" ("&amp;TEXT(I102,"0.00")&amp;")"</f>
        <v>1,564 (9.12)</v>
      </c>
      <c r="O101" t="str">
        <f t="shared" ref="O101:Q101" si="46">TEXT(J101,"#,##0")&amp;" ("&amp;TEXT(J102,"0.00")&amp;")"</f>
        <v>787 (4.59)</v>
      </c>
      <c r="P101" t="str">
        <f t="shared" si="46"/>
        <v>302 (1.76)</v>
      </c>
      <c r="Q101" t="str">
        <f t="shared" si="46"/>
        <v>124 (0.72)</v>
      </c>
    </row>
    <row r="102" spans="1:17" x14ac:dyDescent="0.3">
      <c r="A102" s="2"/>
      <c r="B102" s="18"/>
      <c r="C102" s="7">
        <v>2.2799999999999998</v>
      </c>
      <c r="D102" s="7">
        <v>1.1499999999999999</v>
      </c>
      <c r="E102" s="7">
        <v>0.44</v>
      </c>
      <c r="F102" s="7">
        <v>0.18</v>
      </c>
      <c r="G102" s="7">
        <v>4.05</v>
      </c>
      <c r="I102">
        <f>C104</f>
        <v>9.1199999999999992</v>
      </c>
      <c r="J102">
        <f t="shared" ref="J102:L103" si="47">D104</f>
        <v>4.59</v>
      </c>
      <c r="K102">
        <f t="shared" si="47"/>
        <v>1.76</v>
      </c>
      <c r="L102">
        <f t="shared" si="47"/>
        <v>0.72</v>
      </c>
      <c r="N102" t="str">
        <f>TEXT(I103,"#,##0")&amp;" ("&amp;TEXT(I104,"0.00")&amp;")"</f>
        <v>9,751 (56.83)</v>
      </c>
      <c r="O102" t="str">
        <f t="shared" ref="O102:Q102" si="48">TEXT(J103,"#,##0")&amp;" ("&amp;TEXT(J104,"0.00")&amp;")"</f>
        <v>7,529 (43.88)</v>
      </c>
      <c r="P102" t="str">
        <f t="shared" si="48"/>
        <v>5,486 (31.97)</v>
      </c>
      <c r="Q102" t="str">
        <f t="shared" si="48"/>
        <v>3,669 (21.38)</v>
      </c>
    </row>
    <row r="103" spans="1:17" x14ac:dyDescent="0.3">
      <c r="A103" s="2"/>
      <c r="B103" s="18"/>
      <c r="C103" s="7">
        <v>56.32</v>
      </c>
      <c r="D103" s="7">
        <v>28.34</v>
      </c>
      <c r="E103" s="7">
        <v>10.88</v>
      </c>
      <c r="F103" s="7">
        <v>4.47</v>
      </c>
      <c r="G103" s="7"/>
      <c r="I103">
        <f>C105</f>
        <v>9751</v>
      </c>
      <c r="J103">
        <f t="shared" si="47"/>
        <v>7529</v>
      </c>
      <c r="K103">
        <f t="shared" si="47"/>
        <v>5486</v>
      </c>
      <c r="L103">
        <f t="shared" si="47"/>
        <v>3669</v>
      </c>
      <c r="N103" t="str">
        <f>TEXT(I105,"#,##0")&amp;" ("&amp;TEXT(I106,"0.00")&amp;")"</f>
        <v>3,239 (18.88)</v>
      </c>
      <c r="O103" t="str">
        <f t="shared" ref="O103:Q103" si="49">TEXT(J105,"#,##0")&amp;" ("&amp;TEXT(J106,"0.00")&amp;")"</f>
        <v>4,066 (23.69)</v>
      </c>
      <c r="P103" t="str">
        <f t="shared" si="49"/>
        <v>4,589 (26.75)</v>
      </c>
      <c r="Q103" t="str">
        <f t="shared" si="49"/>
        <v>4,370 (25.47)</v>
      </c>
    </row>
    <row r="104" spans="1:17" x14ac:dyDescent="0.3">
      <c r="A104" s="2"/>
      <c r="B104" s="18"/>
      <c r="C104" s="7">
        <v>9.1199999999999992</v>
      </c>
      <c r="D104" s="7">
        <v>4.59</v>
      </c>
      <c r="E104" s="7">
        <v>1.76</v>
      </c>
      <c r="F104" s="7">
        <v>0.72</v>
      </c>
      <c r="G104" s="7"/>
      <c r="I104">
        <f>C108</f>
        <v>56.83</v>
      </c>
      <c r="J104">
        <f t="shared" ref="J104:L105" si="50">D108</f>
        <v>43.88</v>
      </c>
      <c r="K104">
        <f t="shared" si="50"/>
        <v>31.97</v>
      </c>
      <c r="L104">
        <f t="shared" si="50"/>
        <v>21.38</v>
      </c>
      <c r="N104" t="str">
        <f>TEXT(I107,"#,##0")&amp;" ("&amp;TEXT(I108,"0.00")&amp;")"</f>
        <v>2,603 (15.17)</v>
      </c>
      <c r="O104" t="str">
        <f t="shared" ref="O104:Q104" si="51">TEXT(J107,"#,##0")&amp;" ("&amp;TEXT(J108,"0.00")&amp;")"</f>
        <v>4,778 (27.84)</v>
      </c>
      <c r="P104" t="str">
        <f t="shared" si="51"/>
        <v>6,781 (39.52)</v>
      </c>
      <c r="Q104" t="str">
        <f t="shared" si="51"/>
        <v>8,996 (52.43)</v>
      </c>
    </row>
    <row r="105" spans="1:17" x14ac:dyDescent="0.3">
      <c r="A105" s="2"/>
      <c r="B105" s="18">
        <v>2</v>
      </c>
      <c r="C105" s="7">
        <v>9751</v>
      </c>
      <c r="D105" s="7">
        <v>7529</v>
      </c>
      <c r="E105" s="7">
        <v>5486</v>
      </c>
      <c r="F105" s="7">
        <v>3669</v>
      </c>
      <c r="G105" s="7">
        <v>26435</v>
      </c>
      <c r="I105">
        <f>C109</f>
        <v>3239</v>
      </c>
      <c r="J105">
        <f t="shared" si="50"/>
        <v>4066</v>
      </c>
      <c r="K105">
        <f t="shared" si="50"/>
        <v>4589</v>
      </c>
      <c r="L105">
        <f t="shared" si="50"/>
        <v>4370</v>
      </c>
    </row>
    <row r="106" spans="1:17" x14ac:dyDescent="0.3">
      <c r="A106" s="2"/>
      <c r="B106" s="18"/>
      <c r="C106" s="7">
        <v>14.21</v>
      </c>
      <c r="D106" s="7">
        <v>10.97</v>
      </c>
      <c r="E106" s="7">
        <v>7.99</v>
      </c>
      <c r="F106" s="7">
        <v>5.35</v>
      </c>
      <c r="G106" s="7">
        <v>38.520000000000003</v>
      </c>
      <c r="I106">
        <f>C112</f>
        <v>18.88</v>
      </c>
      <c r="J106">
        <f t="shared" ref="J106:L107" si="52">D112</f>
        <v>23.69</v>
      </c>
      <c r="K106">
        <f t="shared" si="52"/>
        <v>26.75</v>
      </c>
      <c r="L106">
        <f t="shared" si="52"/>
        <v>25.47</v>
      </c>
    </row>
    <row r="107" spans="1:17" x14ac:dyDescent="0.3">
      <c r="A107" s="2"/>
      <c r="B107" s="18"/>
      <c r="C107" s="7">
        <v>36.89</v>
      </c>
      <c r="D107" s="7">
        <v>28.48</v>
      </c>
      <c r="E107" s="7">
        <v>20.75</v>
      </c>
      <c r="F107" s="7">
        <v>13.88</v>
      </c>
      <c r="G107" s="7"/>
      <c r="I107">
        <f>C113</f>
        <v>2603</v>
      </c>
      <c r="J107">
        <f t="shared" si="52"/>
        <v>4778</v>
      </c>
      <c r="K107">
        <f t="shared" si="52"/>
        <v>6781</v>
      </c>
      <c r="L107">
        <f t="shared" si="52"/>
        <v>8996</v>
      </c>
    </row>
    <row r="108" spans="1:17" x14ac:dyDescent="0.3">
      <c r="A108" s="2"/>
      <c r="B108" s="18"/>
      <c r="C108" s="7">
        <v>56.83</v>
      </c>
      <c r="D108" s="7">
        <v>43.88</v>
      </c>
      <c r="E108" s="7">
        <v>31.97</v>
      </c>
      <c r="F108" s="7">
        <v>21.38</v>
      </c>
      <c r="G108" s="7"/>
      <c r="I108">
        <f>C116</f>
        <v>15.17</v>
      </c>
      <c r="J108">
        <f t="shared" ref="J108:L108" si="53">D116</f>
        <v>27.84</v>
      </c>
      <c r="K108">
        <f t="shared" si="53"/>
        <v>39.520000000000003</v>
      </c>
      <c r="L108">
        <f t="shared" si="53"/>
        <v>52.43</v>
      </c>
    </row>
    <row r="109" spans="1:17" x14ac:dyDescent="0.3">
      <c r="A109" s="2"/>
      <c r="B109" s="18">
        <v>3</v>
      </c>
      <c r="C109" s="7">
        <v>3239</v>
      </c>
      <c r="D109" s="7">
        <v>4066</v>
      </c>
      <c r="E109" s="7">
        <v>4589</v>
      </c>
      <c r="F109" s="7">
        <v>4370</v>
      </c>
      <c r="G109" s="7">
        <v>16264</v>
      </c>
    </row>
    <row r="110" spans="1:17" x14ac:dyDescent="0.3">
      <c r="A110" s="2"/>
      <c r="B110" s="18"/>
      <c r="C110" s="7">
        <v>4.72</v>
      </c>
      <c r="D110" s="7">
        <v>5.92</v>
      </c>
      <c r="E110" s="7">
        <v>6.69</v>
      </c>
      <c r="F110" s="7">
        <v>6.37</v>
      </c>
      <c r="G110" s="7">
        <v>23.7</v>
      </c>
    </row>
    <row r="111" spans="1:17" x14ac:dyDescent="0.3">
      <c r="A111" s="2"/>
      <c r="B111" s="18"/>
      <c r="C111" s="7">
        <v>19.920000000000002</v>
      </c>
      <c r="D111" s="7">
        <v>25</v>
      </c>
      <c r="E111" s="7">
        <v>28.22</v>
      </c>
      <c r="F111" s="7">
        <v>26.87</v>
      </c>
      <c r="G111" s="7"/>
    </row>
    <row r="112" spans="1:17" x14ac:dyDescent="0.3">
      <c r="A112" s="2"/>
      <c r="B112" s="18"/>
      <c r="C112" s="7">
        <v>18.88</v>
      </c>
      <c r="D112" s="7">
        <v>23.69</v>
      </c>
      <c r="E112" s="7">
        <v>26.75</v>
      </c>
      <c r="F112" s="7">
        <v>25.47</v>
      </c>
      <c r="G112" s="7"/>
    </row>
    <row r="113" spans="1:17" x14ac:dyDescent="0.3">
      <c r="A113" s="2"/>
      <c r="B113" s="18">
        <v>4</v>
      </c>
      <c r="C113" s="7">
        <v>2603</v>
      </c>
      <c r="D113" s="7">
        <v>4778</v>
      </c>
      <c r="E113" s="7">
        <v>6781</v>
      </c>
      <c r="F113" s="7">
        <v>8996</v>
      </c>
      <c r="G113" s="7">
        <v>23158</v>
      </c>
    </row>
    <row r="114" spans="1:17" x14ac:dyDescent="0.3">
      <c r="A114" s="2"/>
      <c r="B114" s="18"/>
      <c r="C114" s="7">
        <v>3.79</v>
      </c>
      <c r="D114" s="7">
        <v>6.96</v>
      </c>
      <c r="E114" s="7">
        <v>9.8800000000000008</v>
      </c>
      <c r="F114" s="7">
        <v>13.11</v>
      </c>
      <c r="G114" s="7">
        <v>33.74</v>
      </c>
    </row>
    <row r="115" spans="1:17" x14ac:dyDescent="0.3">
      <c r="A115" s="2"/>
      <c r="B115" s="18"/>
      <c r="C115" s="7">
        <v>11.24</v>
      </c>
      <c r="D115" s="7">
        <v>20.63</v>
      </c>
      <c r="E115" s="7">
        <v>29.28</v>
      </c>
      <c r="F115" s="7">
        <v>38.85</v>
      </c>
      <c r="G115" s="7"/>
    </row>
    <row r="116" spans="1:17" x14ac:dyDescent="0.3">
      <c r="A116" s="2"/>
      <c r="B116" s="18"/>
      <c r="C116" s="7">
        <v>15.17</v>
      </c>
      <c r="D116" s="7">
        <v>27.84</v>
      </c>
      <c r="E116" s="7">
        <v>39.520000000000003</v>
      </c>
      <c r="F116" s="7">
        <v>52.43</v>
      </c>
      <c r="G116" s="7"/>
    </row>
    <row r="117" spans="1:17" x14ac:dyDescent="0.3">
      <c r="A117" s="2"/>
      <c r="B117" s="18" t="s">
        <v>24</v>
      </c>
      <c r="C117" s="7">
        <v>17157</v>
      </c>
      <c r="D117" s="7">
        <v>17160</v>
      </c>
      <c r="E117" s="7">
        <v>17158</v>
      </c>
      <c r="F117" s="7">
        <v>17159</v>
      </c>
      <c r="G117" s="7">
        <v>68634</v>
      </c>
    </row>
    <row r="118" spans="1:17" x14ac:dyDescent="0.3">
      <c r="A118" s="2"/>
      <c r="B118" s="18"/>
      <c r="C118" s="7">
        <v>25</v>
      </c>
      <c r="D118" s="7">
        <v>25</v>
      </c>
      <c r="E118" s="7">
        <v>25</v>
      </c>
      <c r="F118" s="7">
        <v>25</v>
      </c>
      <c r="G118" s="7">
        <v>100</v>
      </c>
    </row>
    <row r="119" spans="1:17" x14ac:dyDescent="0.3">
      <c r="A119" s="2"/>
      <c r="B119" s="21"/>
      <c r="C119" s="21"/>
      <c r="D119" s="21"/>
      <c r="E119" s="21"/>
      <c r="F119" s="21"/>
      <c r="G119" s="21"/>
    </row>
    <row r="120" spans="1:17" ht="17.25" thickBot="1" x14ac:dyDescent="0.35"/>
    <row r="121" spans="1:17" ht="16.5" customHeight="1" x14ac:dyDescent="0.3">
      <c r="A121" s="4" t="s">
        <v>2</v>
      </c>
      <c r="B121" s="17" t="s">
        <v>64</v>
      </c>
      <c r="C121" s="19"/>
      <c r="D121" s="19"/>
      <c r="E121" s="19"/>
      <c r="F121" s="19"/>
      <c r="G121" s="19"/>
    </row>
    <row r="122" spans="1:17" ht="16.5" customHeight="1" x14ac:dyDescent="0.3">
      <c r="A122" s="6" t="s">
        <v>3</v>
      </c>
      <c r="B122" s="18" t="s">
        <v>10</v>
      </c>
      <c r="C122" s="20" t="s">
        <v>58</v>
      </c>
      <c r="D122" s="20"/>
      <c r="E122" s="20"/>
      <c r="F122" s="20"/>
      <c r="G122" s="20"/>
    </row>
    <row r="123" spans="1:17" x14ac:dyDescent="0.3">
      <c r="A123" s="6" t="s">
        <v>20</v>
      </c>
      <c r="B123" s="1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18">
        <v>1</v>
      </c>
      <c r="C124" s="7">
        <v>12809</v>
      </c>
      <c r="D124" s="7">
        <v>13996</v>
      </c>
      <c r="E124" s="7">
        <v>14880</v>
      </c>
      <c r="F124" s="7">
        <v>15128</v>
      </c>
      <c r="G124" s="7">
        <v>56813</v>
      </c>
      <c r="I124">
        <f>C124</f>
        <v>12809</v>
      </c>
      <c r="J124">
        <f t="shared" ref="J124:L124" si="54">D124</f>
        <v>13996</v>
      </c>
      <c r="K124">
        <f t="shared" si="54"/>
        <v>14880</v>
      </c>
      <c r="L124">
        <f t="shared" si="54"/>
        <v>15128</v>
      </c>
      <c r="N124" t="str">
        <f>TEXT(I124,"#,##0")&amp;" ("&amp;TEXT(I125,"0.00")&amp;")"</f>
        <v>12,809 (74.66)</v>
      </c>
      <c r="O124" t="str">
        <f t="shared" ref="O124:Q124" si="55">TEXT(J124,"#,##0")&amp;" ("&amp;TEXT(J125,"0.00")&amp;")"</f>
        <v>13,996 (81.56)</v>
      </c>
      <c r="P124" t="str">
        <f t="shared" si="55"/>
        <v>14,880 (86.72)</v>
      </c>
      <c r="Q124" t="str">
        <f t="shared" si="55"/>
        <v>15,128 (88.16)</v>
      </c>
    </row>
    <row r="125" spans="1:17" x14ac:dyDescent="0.3">
      <c r="A125" s="2"/>
      <c r="B125" s="18"/>
      <c r="C125" s="7">
        <v>18.66</v>
      </c>
      <c r="D125" s="7">
        <v>20.39</v>
      </c>
      <c r="E125" s="7">
        <v>21.68</v>
      </c>
      <c r="F125" s="7">
        <v>22.04</v>
      </c>
      <c r="G125" s="7">
        <v>82.78</v>
      </c>
      <c r="I125">
        <f>C127</f>
        <v>74.66</v>
      </c>
      <c r="J125">
        <f t="shared" ref="J125:L126" si="56">D127</f>
        <v>81.56</v>
      </c>
      <c r="K125">
        <f t="shared" si="56"/>
        <v>86.72</v>
      </c>
      <c r="L125">
        <f t="shared" si="56"/>
        <v>88.16</v>
      </c>
      <c r="N125" t="str">
        <f>TEXT(I126,"#,##0")&amp;" ("&amp;TEXT(I127,"0.00")&amp;")"</f>
        <v>4,348 (25.34)</v>
      </c>
      <c r="O125" t="str">
        <f t="shared" ref="O125:Q125" si="57">TEXT(J126,"#,##0")&amp;" ("&amp;TEXT(J127,"0.00")&amp;")"</f>
        <v>3,164 (18.44)</v>
      </c>
      <c r="P125" t="str">
        <f t="shared" si="57"/>
        <v>2,278 (13.28)</v>
      </c>
      <c r="Q125" t="str">
        <f t="shared" si="57"/>
        <v>2,031 (11.84)</v>
      </c>
    </row>
    <row r="126" spans="1:17" x14ac:dyDescent="0.3">
      <c r="A126" s="2"/>
      <c r="B126" s="18"/>
      <c r="C126" s="7">
        <v>22.55</v>
      </c>
      <c r="D126" s="7">
        <v>24.64</v>
      </c>
      <c r="E126" s="7">
        <v>26.19</v>
      </c>
      <c r="F126" s="7">
        <v>26.63</v>
      </c>
      <c r="G126" s="7"/>
      <c r="I126">
        <f>C128</f>
        <v>4348</v>
      </c>
      <c r="J126">
        <f t="shared" si="56"/>
        <v>3164</v>
      </c>
      <c r="K126">
        <f t="shared" si="56"/>
        <v>2278</v>
      </c>
      <c r="L126">
        <f t="shared" si="56"/>
        <v>2031</v>
      </c>
      <c r="N126" t="str">
        <f>TEXT(I128,"#,##0")&amp;" ("&amp;TEXT(I129,"0.00")&amp;")"</f>
        <v>17,157 (0.00)</v>
      </c>
      <c r="O126" t="str">
        <f t="shared" ref="O126:Q126" si="58">TEXT(J128,"#,##0")&amp;" ("&amp;TEXT(J129,"0.00")&amp;")"</f>
        <v>17,160 (0.00)</v>
      </c>
      <c r="P126" t="str">
        <f t="shared" si="58"/>
        <v>17,158 (0.00)</v>
      </c>
      <c r="Q126" t="str">
        <f t="shared" si="58"/>
        <v>17,159 (0.00)</v>
      </c>
    </row>
    <row r="127" spans="1:17" x14ac:dyDescent="0.3">
      <c r="A127" s="2"/>
      <c r="B127" s="18"/>
      <c r="C127" s="7">
        <v>74.66</v>
      </c>
      <c r="D127" s="7">
        <v>81.56</v>
      </c>
      <c r="E127" s="7">
        <v>86.72</v>
      </c>
      <c r="F127" s="7">
        <v>88.16</v>
      </c>
      <c r="G127" s="7"/>
      <c r="I127">
        <f>C131</f>
        <v>25.34</v>
      </c>
      <c r="J127">
        <f t="shared" ref="J127:L128" si="59">D131</f>
        <v>18.440000000000001</v>
      </c>
      <c r="K127">
        <f t="shared" si="59"/>
        <v>13.28</v>
      </c>
      <c r="L127">
        <f t="shared" si="59"/>
        <v>11.84</v>
      </c>
      <c r="N127" t="str">
        <f>TEXT(I130,"#,##0")&amp;" ("&amp;TEXT(I131,"0.00")&amp;")"</f>
        <v>0 (6568.00)</v>
      </c>
      <c r="O127" t="str">
        <f t="shared" ref="O127:Q127" si="60">TEXT(J130,"#,##0")&amp;" ("&amp;TEXT(J131,"0.00")&amp;")"</f>
        <v>0 (5823.00)</v>
      </c>
      <c r="P127" t="str">
        <f t="shared" si="60"/>
        <v>0 (5415.00)</v>
      </c>
      <c r="Q127" t="str">
        <f t="shared" si="60"/>
        <v>0 (5070.00)</v>
      </c>
    </row>
    <row r="128" spans="1:17" x14ac:dyDescent="0.3">
      <c r="A128" s="2"/>
      <c r="B128" s="18">
        <v>2</v>
      </c>
      <c r="C128" s="7">
        <v>4348</v>
      </c>
      <c r="D128" s="7">
        <v>3164</v>
      </c>
      <c r="E128" s="7">
        <v>2278</v>
      </c>
      <c r="F128" s="7">
        <v>2031</v>
      </c>
      <c r="G128" s="7">
        <v>11821</v>
      </c>
      <c r="I128">
        <f>C132</f>
        <v>17157</v>
      </c>
      <c r="J128">
        <f t="shared" si="59"/>
        <v>17160</v>
      </c>
      <c r="K128">
        <f t="shared" si="59"/>
        <v>17158</v>
      </c>
      <c r="L128">
        <f t="shared" si="59"/>
        <v>17159</v>
      </c>
    </row>
    <row r="129" spans="1:17" x14ac:dyDescent="0.3">
      <c r="A129" s="2"/>
      <c r="B129" s="18"/>
      <c r="C129" s="7">
        <v>6.34</v>
      </c>
      <c r="D129" s="7">
        <v>4.6100000000000003</v>
      </c>
      <c r="E129" s="7">
        <v>3.32</v>
      </c>
      <c r="F129" s="7">
        <v>2.96</v>
      </c>
      <c r="G129" s="7">
        <v>17.22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18"/>
      <c r="C130" s="7">
        <v>36.78</v>
      </c>
      <c r="D130" s="7">
        <v>26.77</v>
      </c>
      <c r="E130" s="7">
        <v>19.27</v>
      </c>
      <c r="F130" s="7">
        <v>17.18</v>
      </c>
      <c r="G130" s="7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18"/>
      <c r="C131" s="7">
        <v>25.34</v>
      </c>
      <c r="D131" s="7">
        <v>18.440000000000001</v>
      </c>
      <c r="E131" s="7">
        <v>13.28</v>
      </c>
      <c r="F131" s="7">
        <v>11.84</v>
      </c>
      <c r="G131" s="7"/>
      <c r="I131">
        <f>C139</f>
        <v>6568</v>
      </c>
      <c r="J131">
        <f t="shared" ref="J131:L131" si="62">D139</f>
        <v>5823</v>
      </c>
      <c r="K131">
        <f t="shared" si="62"/>
        <v>5415</v>
      </c>
      <c r="L131">
        <f t="shared" si="62"/>
        <v>5070</v>
      </c>
    </row>
    <row r="132" spans="1:17" x14ac:dyDescent="0.3">
      <c r="A132" s="2"/>
      <c r="B132" s="18" t="s">
        <v>24</v>
      </c>
      <c r="C132" s="7">
        <v>17157</v>
      </c>
      <c r="D132" s="7">
        <v>17160</v>
      </c>
      <c r="E132" s="7">
        <v>17158</v>
      </c>
      <c r="F132" s="7">
        <v>17159</v>
      </c>
      <c r="G132" s="7">
        <v>68634</v>
      </c>
    </row>
    <row r="133" spans="1:17" x14ac:dyDescent="0.3">
      <c r="A133" s="2"/>
      <c r="B133" s="18"/>
      <c r="C133" s="7">
        <v>25</v>
      </c>
      <c r="D133" s="7">
        <v>25</v>
      </c>
      <c r="E133" s="7">
        <v>25</v>
      </c>
      <c r="F133" s="7">
        <v>25</v>
      </c>
      <c r="G133" s="7">
        <v>100</v>
      </c>
    </row>
    <row r="134" spans="1:17" x14ac:dyDescent="0.3">
      <c r="A134" s="2"/>
      <c r="B134" s="21"/>
      <c r="C134" s="21"/>
      <c r="D134" s="21"/>
      <c r="E134" s="21"/>
      <c r="F134" s="21"/>
      <c r="G134" s="21"/>
    </row>
    <row r="135" spans="1:17" ht="17.25" thickBot="1" x14ac:dyDescent="0.35"/>
    <row r="136" spans="1:17" ht="16.5" customHeight="1" x14ac:dyDescent="0.3">
      <c r="A136" s="4" t="s">
        <v>2</v>
      </c>
      <c r="B136" s="17" t="s">
        <v>65</v>
      </c>
      <c r="C136" s="19"/>
      <c r="D136" s="19"/>
      <c r="E136" s="19"/>
      <c r="F136" s="19"/>
      <c r="G136" s="19"/>
    </row>
    <row r="137" spans="1:17" ht="16.5" customHeight="1" x14ac:dyDescent="0.3">
      <c r="A137" s="6" t="s">
        <v>3</v>
      </c>
      <c r="B137" s="18" t="s">
        <v>11</v>
      </c>
      <c r="C137" s="20" t="s">
        <v>58</v>
      </c>
      <c r="D137" s="20"/>
      <c r="E137" s="20"/>
      <c r="F137" s="20"/>
      <c r="G137" s="20"/>
    </row>
    <row r="138" spans="1:17" x14ac:dyDescent="0.3">
      <c r="A138" s="6" t="s">
        <v>20</v>
      </c>
      <c r="B138" s="1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18">
        <v>1</v>
      </c>
      <c r="C139" s="7">
        <v>6568</v>
      </c>
      <c r="D139" s="7">
        <v>5823</v>
      </c>
      <c r="E139" s="7">
        <v>5415</v>
      </c>
      <c r="F139" s="7">
        <v>5070</v>
      </c>
      <c r="G139" s="7">
        <v>22876</v>
      </c>
      <c r="I139">
        <f>C139</f>
        <v>6568</v>
      </c>
      <c r="J139">
        <f t="shared" ref="J139:L139" si="63">D139</f>
        <v>5823</v>
      </c>
      <c r="K139">
        <f t="shared" si="63"/>
        <v>5415</v>
      </c>
      <c r="L139">
        <f t="shared" si="63"/>
        <v>5070</v>
      </c>
      <c r="N139" t="str">
        <f>TEXT(I139,"#,##0")&amp;" ("&amp;TEXT(I140,"0.00")&amp;")"</f>
        <v>6,568 (38.28)</v>
      </c>
      <c r="O139" t="str">
        <f t="shared" ref="O139:Q139" si="64">TEXT(J139,"#,##0")&amp;" ("&amp;TEXT(J140,"0.00")&amp;")"</f>
        <v>5,823 (33.93)</v>
      </c>
      <c r="P139" t="str">
        <f t="shared" si="64"/>
        <v>5,415 (31.56)</v>
      </c>
      <c r="Q139" t="str">
        <f t="shared" si="64"/>
        <v>5,070 (29.55)</v>
      </c>
    </row>
    <row r="140" spans="1:17" x14ac:dyDescent="0.3">
      <c r="A140" s="2"/>
      <c r="B140" s="18"/>
      <c r="C140" s="7">
        <v>9.57</v>
      </c>
      <c r="D140" s="7">
        <v>8.48</v>
      </c>
      <c r="E140" s="7">
        <v>7.89</v>
      </c>
      <c r="F140" s="7">
        <v>7.39</v>
      </c>
      <c r="G140" s="7">
        <v>33.33</v>
      </c>
      <c r="I140">
        <f>C142</f>
        <v>38.28</v>
      </c>
      <c r="J140">
        <f t="shared" ref="J140:L141" si="65">D142</f>
        <v>33.93</v>
      </c>
      <c r="K140">
        <f t="shared" si="65"/>
        <v>31.56</v>
      </c>
      <c r="L140">
        <f t="shared" si="65"/>
        <v>29.55</v>
      </c>
      <c r="N140" t="str">
        <f>TEXT(I141,"#,##0")&amp;" ("&amp;TEXT(I142,"0.00")&amp;")"</f>
        <v>8,085 (47.12)</v>
      </c>
      <c r="O140" t="str">
        <f t="shared" ref="O140:Q140" si="66">TEXT(J141,"#,##0")&amp;" ("&amp;TEXT(J142,"0.00")&amp;")"</f>
        <v>8,359 (48.71)</v>
      </c>
      <c r="P140" t="str">
        <f t="shared" si="66"/>
        <v>8,328 (48.54)</v>
      </c>
      <c r="Q140" t="str">
        <f t="shared" si="66"/>
        <v>8,438 (49.18)</v>
      </c>
    </row>
    <row r="141" spans="1:17" x14ac:dyDescent="0.3">
      <c r="A141" s="2"/>
      <c r="B141" s="18"/>
      <c r="C141" s="7">
        <v>28.71</v>
      </c>
      <c r="D141" s="7">
        <v>25.45</v>
      </c>
      <c r="E141" s="7">
        <v>23.67</v>
      </c>
      <c r="F141" s="7">
        <v>22.16</v>
      </c>
      <c r="G141" s="7"/>
      <c r="I141">
        <f>C143</f>
        <v>8085</v>
      </c>
      <c r="J141">
        <f t="shared" si="65"/>
        <v>8359</v>
      </c>
      <c r="K141">
        <f t="shared" si="65"/>
        <v>8328</v>
      </c>
      <c r="L141">
        <f t="shared" si="65"/>
        <v>8438</v>
      </c>
      <c r="N141" t="str">
        <f>TEXT(I143,"#,##0")&amp;" ("&amp;TEXT(I144,"0.00")&amp;")"</f>
        <v>2,504 (14.59)</v>
      </c>
      <c r="O141" t="str">
        <f t="shared" ref="O141:Q141" si="67">TEXT(J143,"#,##0")&amp;" ("&amp;TEXT(J144,"0.00")&amp;")"</f>
        <v>2,978 (17.35)</v>
      </c>
      <c r="P141" t="str">
        <f t="shared" si="67"/>
        <v>3,415 (19.90)</v>
      </c>
      <c r="Q141" t="str">
        <f t="shared" si="67"/>
        <v>3,651 (21.28)</v>
      </c>
    </row>
    <row r="142" spans="1:17" x14ac:dyDescent="0.3">
      <c r="A142" s="2"/>
      <c r="B142" s="18"/>
      <c r="C142" s="7">
        <v>38.28</v>
      </c>
      <c r="D142" s="7">
        <v>33.93</v>
      </c>
      <c r="E142" s="7">
        <v>31.56</v>
      </c>
      <c r="F142" s="7">
        <v>29.55</v>
      </c>
      <c r="G142" s="7"/>
      <c r="I142">
        <f>C146</f>
        <v>47.12</v>
      </c>
      <c r="J142">
        <f t="shared" ref="J142:L143" si="68">D146</f>
        <v>48.71</v>
      </c>
      <c r="K142">
        <f t="shared" si="68"/>
        <v>48.54</v>
      </c>
      <c r="L142">
        <f t="shared" si="68"/>
        <v>49.18</v>
      </c>
      <c r="N142" t="str">
        <f>TEXT(I145,"#,##0")&amp;" ("&amp;TEXT(I146,"0.00")&amp;")"</f>
        <v>17,157 (0.00)</v>
      </c>
      <c r="O142" t="str">
        <f t="shared" ref="O142:Q142" si="69">TEXT(J145,"#,##0")&amp;" ("&amp;TEXT(J146,"0.00")&amp;")"</f>
        <v>17,160 (0.00)</v>
      </c>
      <c r="P142" t="str">
        <f t="shared" si="69"/>
        <v>17,158 (0.00)</v>
      </c>
      <c r="Q142" t="str">
        <f t="shared" si="69"/>
        <v>17,159 (0.00)</v>
      </c>
    </row>
    <row r="143" spans="1:17" x14ac:dyDescent="0.3">
      <c r="A143" s="2"/>
      <c r="B143" s="18">
        <v>2</v>
      </c>
      <c r="C143" s="7">
        <v>8085</v>
      </c>
      <c r="D143" s="7">
        <v>8359</v>
      </c>
      <c r="E143" s="7">
        <v>8328</v>
      </c>
      <c r="F143" s="7">
        <v>8438</v>
      </c>
      <c r="G143" s="7">
        <v>33210</v>
      </c>
      <c r="I143">
        <f>C147</f>
        <v>2504</v>
      </c>
      <c r="J143">
        <f t="shared" si="68"/>
        <v>2978</v>
      </c>
      <c r="K143">
        <f t="shared" si="68"/>
        <v>3415</v>
      </c>
      <c r="L143">
        <f t="shared" si="68"/>
        <v>3651</v>
      </c>
    </row>
    <row r="144" spans="1:17" x14ac:dyDescent="0.3">
      <c r="A144" s="2"/>
      <c r="B144" s="18"/>
      <c r="C144" s="7">
        <v>11.78</v>
      </c>
      <c r="D144" s="7">
        <v>12.18</v>
      </c>
      <c r="E144" s="7">
        <v>12.13</v>
      </c>
      <c r="F144" s="7">
        <v>12.29</v>
      </c>
      <c r="G144" s="7">
        <v>48.39</v>
      </c>
      <c r="I144">
        <f>C150</f>
        <v>14.59</v>
      </c>
      <c r="J144">
        <f t="shared" ref="J144:L145" si="70">D150</f>
        <v>17.350000000000001</v>
      </c>
      <c r="K144">
        <f t="shared" si="70"/>
        <v>19.899999999999999</v>
      </c>
      <c r="L144">
        <f t="shared" si="70"/>
        <v>21.28</v>
      </c>
    </row>
    <row r="145" spans="1:17" x14ac:dyDescent="0.3">
      <c r="A145" s="2"/>
      <c r="B145" s="18"/>
      <c r="C145" s="7">
        <v>24.35</v>
      </c>
      <c r="D145" s="7">
        <v>25.17</v>
      </c>
      <c r="E145" s="7">
        <v>25.08</v>
      </c>
      <c r="F145" s="7">
        <v>25.41</v>
      </c>
      <c r="G145" s="7"/>
      <c r="I145">
        <f>C151</f>
        <v>17157</v>
      </c>
      <c r="J145">
        <f t="shared" si="70"/>
        <v>17160</v>
      </c>
      <c r="K145">
        <f t="shared" si="70"/>
        <v>17158</v>
      </c>
      <c r="L145">
        <f t="shared" si="70"/>
        <v>17159</v>
      </c>
    </row>
    <row r="146" spans="1:17" x14ac:dyDescent="0.3">
      <c r="A146" s="2"/>
      <c r="B146" s="18"/>
      <c r="C146" s="7">
        <v>47.12</v>
      </c>
      <c r="D146" s="7">
        <v>48.71</v>
      </c>
      <c r="E146" s="7">
        <v>48.54</v>
      </c>
      <c r="F146" s="7">
        <v>49.18</v>
      </c>
      <c r="G146" s="7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18">
        <v>3</v>
      </c>
      <c r="C147" s="7">
        <v>2504</v>
      </c>
      <c r="D147" s="7">
        <v>2978</v>
      </c>
      <c r="E147" s="7">
        <v>3415</v>
      </c>
      <c r="F147" s="7">
        <v>3651</v>
      </c>
      <c r="G147" s="7">
        <v>12548</v>
      </c>
    </row>
    <row r="148" spans="1:17" x14ac:dyDescent="0.3">
      <c r="A148" s="2"/>
      <c r="B148" s="18"/>
      <c r="C148" s="7">
        <v>3.65</v>
      </c>
      <c r="D148" s="7">
        <v>4.34</v>
      </c>
      <c r="E148" s="7">
        <v>4.9800000000000004</v>
      </c>
      <c r="F148" s="7">
        <v>5.32</v>
      </c>
      <c r="G148" s="7">
        <v>18.28</v>
      </c>
    </row>
    <row r="149" spans="1:17" x14ac:dyDescent="0.3">
      <c r="A149" s="2"/>
      <c r="B149" s="18"/>
      <c r="C149" s="7">
        <v>19.96</v>
      </c>
      <c r="D149" s="7">
        <v>23.73</v>
      </c>
      <c r="E149" s="7">
        <v>27.22</v>
      </c>
      <c r="F149" s="7">
        <v>29.1</v>
      </c>
      <c r="G149" s="7"/>
    </row>
    <row r="150" spans="1:17" x14ac:dyDescent="0.3">
      <c r="A150" s="2"/>
      <c r="B150" s="18"/>
      <c r="C150" s="7">
        <v>14.59</v>
      </c>
      <c r="D150" s="7">
        <v>17.350000000000001</v>
      </c>
      <c r="E150" s="7">
        <v>19.899999999999999</v>
      </c>
      <c r="F150" s="7">
        <v>21.28</v>
      </c>
      <c r="G150" s="7"/>
    </row>
    <row r="151" spans="1:17" x14ac:dyDescent="0.3">
      <c r="A151" s="2"/>
      <c r="B151" s="18" t="s">
        <v>24</v>
      </c>
      <c r="C151" s="7">
        <v>17157</v>
      </c>
      <c r="D151" s="7">
        <v>17160</v>
      </c>
      <c r="E151" s="7">
        <v>17158</v>
      </c>
      <c r="F151" s="7">
        <v>17159</v>
      </c>
      <c r="G151" s="7">
        <v>68634</v>
      </c>
    </row>
    <row r="152" spans="1:17" x14ac:dyDescent="0.3">
      <c r="A152" s="2"/>
      <c r="B152" s="18"/>
      <c r="C152" s="7">
        <v>25</v>
      </c>
      <c r="D152" s="7">
        <v>25</v>
      </c>
      <c r="E152" s="7">
        <v>25</v>
      </c>
      <c r="F152" s="7">
        <v>25</v>
      </c>
      <c r="G152" s="7">
        <v>100</v>
      </c>
    </row>
    <row r="153" spans="1:17" x14ac:dyDescent="0.3">
      <c r="A153" s="2"/>
      <c r="B153" s="21"/>
      <c r="C153" s="21"/>
      <c r="D153" s="21"/>
      <c r="E153" s="21"/>
      <c r="F153" s="21"/>
      <c r="G153" s="21"/>
    </row>
    <row r="154" spans="1:17" ht="17.25" thickBot="1" x14ac:dyDescent="0.35"/>
    <row r="155" spans="1:17" ht="16.5" customHeight="1" x14ac:dyDescent="0.3">
      <c r="A155" s="4" t="s">
        <v>2</v>
      </c>
      <c r="B155" s="17" t="s">
        <v>66</v>
      </c>
      <c r="C155" s="19"/>
      <c r="D155" s="19"/>
      <c r="E155" s="19"/>
      <c r="F155" s="19"/>
      <c r="G155" s="19"/>
    </row>
    <row r="156" spans="1:17" ht="16.5" customHeight="1" x14ac:dyDescent="0.3">
      <c r="A156" s="6" t="s">
        <v>3</v>
      </c>
      <c r="B156" s="18" t="s">
        <v>12</v>
      </c>
      <c r="C156" s="20" t="s">
        <v>58</v>
      </c>
      <c r="D156" s="20"/>
      <c r="E156" s="20"/>
      <c r="F156" s="20"/>
      <c r="G156" s="20"/>
    </row>
    <row r="157" spans="1:17" x14ac:dyDescent="0.3">
      <c r="A157" s="6" t="s">
        <v>20</v>
      </c>
      <c r="B157" s="1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18">
        <v>1</v>
      </c>
      <c r="C158" s="7">
        <v>4651</v>
      </c>
      <c r="D158" s="7">
        <v>4495</v>
      </c>
      <c r="E158" s="7">
        <v>4459</v>
      </c>
      <c r="F158" s="7">
        <v>4652</v>
      </c>
      <c r="G158" s="7">
        <v>18257</v>
      </c>
      <c r="I158">
        <f>C158</f>
        <v>4651</v>
      </c>
      <c r="J158">
        <f t="shared" ref="J158:L158" si="72">D158</f>
        <v>4495</v>
      </c>
      <c r="K158">
        <f t="shared" si="72"/>
        <v>4459</v>
      </c>
      <c r="L158">
        <f t="shared" si="72"/>
        <v>4652</v>
      </c>
      <c r="N158" t="str">
        <f>TEXT(I158,"#,##0")&amp;" ("&amp;TEXT(I159,"0.00")&amp;")"</f>
        <v>4,651 (27.11)</v>
      </c>
      <c r="O158" t="str">
        <f t="shared" ref="O158:Q158" si="73">TEXT(J158,"#,##0")&amp;" ("&amp;TEXT(J159,"0.00")&amp;")"</f>
        <v>4,495 (26.19)</v>
      </c>
      <c r="P158" t="str">
        <f t="shared" si="73"/>
        <v>4,459 (25.99)</v>
      </c>
      <c r="Q158" t="str">
        <f t="shared" si="73"/>
        <v>4,652 (27.11)</v>
      </c>
    </row>
    <row r="159" spans="1:17" x14ac:dyDescent="0.3">
      <c r="A159" s="2"/>
      <c r="B159" s="18"/>
      <c r="C159" s="7">
        <v>6.78</v>
      </c>
      <c r="D159" s="7">
        <v>6.55</v>
      </c>
      <c r="E159" s="7">
        <v>6.5</v>
      </c>
      <c r="F159" s="7">
        <v>6.78</v>
      </c>
      <c r="G159" s="7">
        <v>26.6</v>
      </c>
      <c r="I159">
        <f>C161</f>
        <v>27.11</v>
      </c>
      <c r="J159">
        <f t="shared" ref="J159:L160" si="74">D161</f>
        <v>26.19</v>
      </c>
      <c r="K159">
        <f t="shared" si="74"/>
        <v>25.99</v>
      </c>
      <c r="L159">
        <f t="shared" si="74"/>
        <v>27.11</v>
      </c>
      <c r="N159" t="str">
        <f>TEXT(I160,"#,##0")&amp;" ("&amp;TEXT(I161,"0.00")&amp;")"</f>
        <v>10,097 (58.85)</v>
      </c>
      <c r="O159" t="str">
        <f t="shared" ref="O159:Q159" si="75">TEXT(J160,"#,##0")&amp;" ("&amp;TEXT(J161,"0.00")&amp;")"</f>
        <v>10,044 (58.53)</v>
      </c>
      <c r="P159" t="str">
        <f t="shared" si="75"/>
        <v>9,766 (56.92)</v>
      </c>
      <c r="Q159" t="str">
        <f t="shared" si="75"/>
        <v>9,644 (56.20)</v>
      </c>
    </row>
    <row r="160" spans="1:17" x14ac:dyDescent="0.3">
      <c r="A160" s="2"/>
      <c r="B160" s="18"/>
      <c r="C160" s="7">
        <v>25.48</v>
      </c>
      <c r="D160" s="7">
        <v>24.62</v>
      </c>
      <c r="E160" s="7">
        <v>24.42</v>
      </c>
      <c r="F160" s="7">
        <v>25.48</v>
      </c>
      <c r="G160" s="7"/>
      <c r="I160">
        <f>C162</f>
        <v>10097</v>
      </c>
      <c r="J160">
        <f t="shared" si="74"/>
        <v>10044</v>
      </c>
      <c r="K160">
        <f t="shared" si="74"/>
        <v>9766</v>
      </c>
      <c r="L160">
        <f t="shared" si="74"/>
        <v>9644</v>
      </c>
      <c r="N160" t="str">
        <f>TEXT(I162,"#,##0")&amp;" ("&amp;TEXT(I163,"0.00")&amp;")"</f>
        <v>2,409 (14.04)</v>
      </c>
      <c r="O160" t="str">
        <f t="shared" ref="O160:Q160" si="76">TEXT(J162,"#,##0")&amp;" ("&amp;TEXT(J163,"0.00")&amp;")"</f>
        <v>2,621 (15.27)</v>
      </c>
      <c r="P160" t="str">
        <f t="shared" si="76"/>
        <v>2,933 (17.09)</v>
      </c>
      <c r="Q160" t="str">
        <f t="shared" si="76"/>
        <v>2,863 (16.69)</v>
      </c>
    </row>
    <row r="161" spans="1:17" x14ac:dyDescent="0.3">
      <c r="A161" s="2"/>
      <c r="B161" s="18"/>
      <c r="C161" s="7">
        <v>27.11</v>
      </c>
      <c r="D161" s="7">
        <v>26.19</v>
      </c>
      <c r="E161" s="7">
        <v>25.99</v>
      </c>
      <c r="F161" s="7">
        <v>27.11</v>
      </c>
      <c r="G161" s="7"/>
      <c r="I161">
        <f>C165</f>
        <v>58.85</v>
      </c>
      <c r="J161">
        <f t="shared" ref="J161:L162" si="77">D165</f>
        <v>58.53</v>
      </c>
      <c r="K161">
        <f t="shared" si="77"/>
        <v>56.92</v>
      </c>
      <c r="L161">
        <f t="shared" si="77"/>
        <v>56.2</v>
      </c>
      <c r="N161" t="str">
        <f>TEXT(I164,"#,##0")&amp;" ("&amp;TEXT(I165,"0.00")&amp;")"</f>
        <v>17,157 (0.00)</v>
      </c>
      <c r="O161" t="str">
        <f t="shared" ref="O161:Q161" si="78">TEXT(J164,"#,##0")&amp;" ("&amp;TEXT(J165,"0.00")&amp;")"</f>
        <v>17,160 (0.00)</v>
      </c>
      <c r="P161" t="str">
        <f t="shared" si="78"/>
        <v>17,158 (0.00)</v>
      </c>
      <c r="Q161" t="str">
        <f t="shared" si="78"/>
        <v>17,159 (0.00)</v>
      </c>
    </row>
    <row r="162" spans="1:17" x14ac:dyDescent="0.3">
      <c r="A162" s="2"/>
      <c r="B162" s="18">
        <v>2</v>
      </c>
      <c r="C162" s="7">
        <v>10097</v>
      </c>
      <c r="D162" s="7">
        <v>10044</v>
      </c>
      <c r="E162" s="7">
        <v>9766</v>
      </c>
      <c r="F162" s="7">
        <v>9644</v>
      </c>
      <c r="G162" s="7">
        <v>39551</v>
      </c>
      <c r="I162">
        <f>C166</f>
        <v>2409</v>
      </c>
      <c r="J162">
        <f t="shared" si="77"/>
        <v>2621</v>
      </c>
      <c r="K162">
        <f t="shared" si="77"/>
        <v>2933</v>
      </c>
      <c r="L162">
        <f t="shared" si="77"/>
        <v>2863</v>
      </c>
    </row>
    <row r="163" spans="1:17" x14ac:dyDescent="0.3">
      <c r="A163" s="2"/>
      <c r="B163" s="18"/>
      <c r="C163" s="7">
        <v>14.71</v>
      </c>
      <c r="D163" s="7">
        <v>14.63</v>
      </c>
      <c r="E163" s="7">
        <v>14.23</v>
      </c>
      <c r="F163" s="7">
        <v>14.05</v>
      </c>
      <c r="G163" s="7">
        <v>57.63</v>
      </c>
      <c r="I163">
        <f>C169</f>
        <v>14.04</v>
      </c>
      <c r="J163">
        <f t="shared" ref="J163:L164" si="79">D169</f>
        <v>15.27</v>
      </c>
      <c r="K163">
        <f t="shared" si="79"/>
        <v>17.09</v>
      </c>
      <c r="L163">
        <f t="shared" si="79"/>
        <v>16.690000000000001</v>
      </c>
    </row>
    <row r="164" spans="1:17" x14ac:dyDescent="0.3">
      <c r="A164" s="2"/>
      <c r="B164" s="18"/>
      <c r="C164" s="7">
        <v>25.53</v>
      </c>
      <c r="D164" s="7">
        <v>25.4</v>
      </c>
      <c r="E164" s="7">
        <v>24.69</v>
      </c>
      <c r="F164" s="7">
        <v>24.38</v>
      </c>
      <c r="G164" s="7"/>
      <c r="I164">
        <f>C170</f>
        <v>17157</v>
      </c>
      <c r="J164">
        <f t="shared" si="79"/>
        <v>17160</v>
      </c>
      <c r="K164">
        <f t="shared" si="79"/>
        <v>17158</v>
      </c>
      <c r="L164">
        <f t="shared" si="79"/>
        <v>17159</v>
      </c>
    </row>
    <row r="165" spans="1:17" x14ac:dyDescent="0.3">
      <c r="A165" s="2"/>
      <c r="B165" s="18"/>
      <c r="C165" s="7">
        <v>58.85</v>
      </c>
      <c r="D165" s="7">
        <v>58.53</v>
      </c>
      <c r="E165" s="7">
        <v>56.92</v>
      </c>
      <c r="F165" s="7">
        <v>56.2</v>
      </c>
      <c r="G165" s="7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18">
        <v>3</v>
      </c>
      <c r="C166" s="7">
        <v>2409</v>
      </c>
      <c r="D166" s="7">
        <v>2621</v>
      </c>
      <c r="E166" s="7">
        <v>2933</v>
      </c>
      <c r="F166" s="7">
        <v>2863</v>
      </c>
      <c r="G166" s="7">
        <v>10826</v>
      </c>
    </row>
    <row r="167" spans="1:17" x14ac:dyDescent="0.3">
      <c r="A167" s="2"/>
      <c r="B167" s="18"/>
      <c r="C167" s="7">
        <v>3.51</v>
      </c>
      <c r="D167" s="7">
        <v>3.82</v>
      </c>
      <c r="E167" s="7">
        <v>4.2699999999999996</v>
      </c>
      <c r="F167" s="7">
        <v>4.17</v>
      </c>
      <c r="G167" s="7">
        <v>15.77</v>
      </c>
    </row>
    <row r="168" spans="1:17" x14ac:dyDescent="0.3">
      <c r="A168" s="2"/>
      <c r="B168" s="18"/>
      <c r="C168" s="7">
        <v>22.25</v>
      </c>
      <c r="D168" s="7">
        <v>24.21</v>
      </c>
      <c r="E168" s="7">
        <v>27.09</v>
      </c>
      <c r="F168" s="7">
        <v>26.45</v>
      </c>
      <c r="G168" s="7"/>
    </row>
    <row r="169" spans="1:17" x14ac:dyDescent="0.3">
      <c r="A169" s="2"/>
      <c r="B169" s="18"/>
      <c r="C169" s="7">
        <v>14.04</v>
      </c>
      <c r="D169" s="7">
        <v>15.27</v>
      </c>
      <c r="E169" s="7">
        <v>17.09</v>
      </c>
      <c r="F169" s="7">
        <v>16.690000000000001</v>
      </c>
      <c r="G169" s="7"/>
    </row>
    <row r="170" spans="1:17" x14ac:dyDescent="0.3">
      <c r="A170" s="2"/>
      <c r="B170" s="18" t="s">
        <v>24</v>
      </c>
      <c r="C170" s="7">
        <v>17157</v>
      </c>
      <c r="D170" s="7">
        <v>17160</v>
      </c>
      <c r="E170" s="7">
        <v>17158</v>
      </c>
      <c r="F170" s="7">
        <v>17159</v>
      </c>
      <c r="G170" s="7">
        <v>68634</v>
      </c>
    </row>
    <row r="171" spans="1:17" x14ac:dyDescent="0.3">
      <c r="A171" s="2"/>
      <c r="B171" s="18"/>
      <c r="C171" s="7">
        <v>25</v>
      </c>
      <c r="D171" s="7">
        <v>25</v>
      </c>
      <c r="E171" s="7">
        <v>25</v>
      </c>
      <c r="F171" s="7">
        <v>25</v>
      </c>
      <c r="G171" s="7">
        <v>100</v>
      </c>
    </row>
    <row r="172" spans="1:17" x14ac:dyDescent="0.3">
      <c r="A172" s="2"/>
      <c r="B172" s="21"/>
      <c r="C172" s="21"/>
      <c r="D172" s="21"/>
      <c r="E172" s="21"/>
      <c r="F172" s="21"/>
      <c r="G172" s="21"/>
    </row>
    <row r="173" spans="1:17" ht="17.25" thickBot="1" x14ac:dyDescent="0.35"/>
    <row r="174" spans="1:17" ht="16.5" customHeight="1" x14ac:dyDescent="0.3">
      <c r="A174" s="4" t="s">
        <v>2</v>
      </c>
      <c r="B174" s="17" t="s">
        <v>67</v>
      </c>
      <c r="C174" s="19"/>
      <c r="D174" s="19"/>
      <c r="E174" s="19"/>
      <c r="F174" s="19"/>
      <c r="G174" s="19"/>
    </row>
    <row r="175" spans="1:17" ht="16.5" customHeight="1" x14ac:dyDescent="0.3">
      <c r="A175" s="6" t="s">
        <v>3</v>
      </c>
      <c r="B175" s="18" t="s">
        <v>13</v>
      </c>
      <c r="C175" s="20" t="s">
        <v>58</v>
      </c>
      <c r="D175" s="20"/>
      <c r="E175" s="20"/>
      <c r="F175" s="20"/>
      <c r="G175" s="20"/>
    </row>
    <row r="176" spans="1:17" x14ac:dyDescent="0.3">
      <c r="A176" s="6" t="s">
        <v>20</v>
      </c>
      <c r="B176" s="1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18">
        <v>1</v>
      </c>
      <c r="C177" s="7">
        <v>6873</v>
      </c>
      <c r="D177" s="7">
        <v>7057</v>
      </c>
      <c r="E177" s="7">
        <v>6858</v>
      </c>
      <c r="F177" s="7">
        <v>6120</v>
      </c>
      <c r="G177" s="7">
        <v>26908</v>
      </c>
      <c r="I177">
        <f>C177</f>
        <v>6873</v>
      </c>
      <c r="J177">
        <f t="shared" ref="J177:L177" si="81">D177</f>
        <v>7057</v>
      </c>
      <c r="K177">
        <f t="shared" si="81"/>
        <v>6858</v>
      </c>
      <c r="L177">
        <f t="shared" si="81"/>
        <v>6120</v>
      </c>
      <c r="N177" t="str">
        <f>TEXT(I177,"#,##0")&amp;" ("&amp;TEXT(I178,"0.00")&amp;")"</f>
        <v>6,873 (40.06)</v>
      </c>
      <c r="O177" t="str">
        <f t="shared" ref="O177:Q177" si="82">TEXT(J177,"#,##0")&amp;" ("&amp;TEXT(J178,"0.00")&amp;")"</f>
        <v>7,057 (41.12)</v>
      </c>
      <c r="P177" t="str">
        <f t="shared" si="82"/>
        <v>6,858 (39.97)</v>
      </c>
      <c r="Q177" t="str">
        <f t="shared" si="82"/>
        <v>6,120 (35.67)</v>
      </c>
    </row>
    <row r="178" spans="1:17" x14ac:dyDescent="0.3">
      <c r="A178" s="2"/>
      <c r="B178" s="18"/>
      <c r="C178" s="7">
        <v>10.01</v>
      </c>
      <c r="D178" s="7">
        <v>10.28</v>
      </c>
      <c r="E178" s="7">
        <v>9.99</v>
      </c>
      <c r="F178" s="7">
        <v>8.92</v>
      </c>
      <c r="G178" s="7">
        <v>39.21</v>
      </c>
      <c r="I178">
        <f>C180</f>
        <v>40.06</v>
      </c>
      <c r="J178">
        <f t="shared" ref="J178:L179" si="83">D180</f>
        <v>41.12</v>
      </c>
      <c r="K178">
        <f t="shared" si="83"/>
        <v>39.97</v>
      </c>
      <c r="L178">
        <f t="shared" si="83"/>
        <v>35.67</v>
      </c>
      <c r="N178" t="str">
        <f>TEXT(I179,"#,##0")&amp;" ("&amp;TEXT(I180,"0.00")&amp;")"</f>
        <v>6,835 (39.84)</v>
      </c>
      <c r="O178" t="str">
        <f t="shared" ref="O178:Q178" si="84">TEXT(J179,"#,##0")&amp;" ("&amp;TEXT(J180,"0.00")&amp;")"</f>
        <v>6,397 (37.28)</v>
      </c>
      <c r="P178" t="str">
        <f t="shared" si="84"/>
        <v>6,004 (34.99)</v>
      </c>
      <c r="Q178" t="str">
        <f t="shared" si="84"/>
        <v>5,762 (33.58)</v>
      </c>
    </row>
    <row r="179" spans="1:17" x14ac:dyDescent="0.3">
      <c r="A179" s="2"/>
      <c r="B179" s="18"/>
      <c r="C179" s="7">
        <v>25.54</v>
      </c>
      <c r="D179" s="7">
        <v>26.23</v>
      </c>
      <c r="E179" s="7">
        <v>25.49</v>
      </c>
      <c r="F179" s="7">
        <v>22.74</v>
      </c>
      <c r="G179" s="7"/>
      <c r="I179">
        <f>C181</f>
        <v>6835</v>
      </c>
      <c r="J179">
        <f t="shared" si="83"/>
        <v>6397</v>
      </c>
      <c r="K179">
        <f t="shared" si="83"/>
        <v>6004</v>
      </c>
      <c r="L179">
        <f t="shared" si="83"/>
        <v>5762</v>
      </c>
      <c r="N179" t="str">
        <f>TEXT(I181,"#,##0")&amp;" ("&amp;TEXT(I182,"0.00")&amp;")"</f>
        <v>3,449 (20.10)</v>
      </c>
      <c r="O179" t="str">
        <f t="shared" ref="O179:Q179" si="85">TEXT(J181,"#,##0")&amp;" ("&amp;TEXT(J182,"0.00")&amp;")"</f>
        <v>3,706 (21.60)</v>
      </c>
      <c r="P179" t="str">
        <f t="shared" si="85"/>
        <v>4,296 (25.04)</v>
      </c>
      <c r="Q179" t="str">
        <f t="shared" si="85"/>
        <v>5,277 (30.75)</v>
      </c>
    </row>
    <row r="180" spans="1:17" x14ac:dyDescent="0.3">
      <c r="A180" s="2"/>
      <c r="B180" s="18"/>
      <c r="C180" s="7">
        <v>40.06</v>
      </c>
      <c r="D180" s="7">
        <v>41.12</v>
      </c>
      <c r="E180" s="7">
        <v>39.97</v>
      </c>
      <c r="F180" s="7">
        <v>35.67</v>
      </c>
      <c r="G180" s="7"/>
      <c r="I180">
        <f>C184</f>
        <v>39.840000000000003</v>
      </c>
      <c r="J180">
        <f t="shared" ref="J180:L181" si="86">D184</f>
        <v>37.28</v>
      </c>
      <c r="K180">
        <f t="shared" si="86"/>
        <v>34.99</v>
      </c>
      <c r="L180">
        <f t="shared" si="86"/>
        <v>33.58</v>
      </c>
      <c r="N180" t="str">
        <f>TEXT(I183,"#,##0")&amp;" ("&amp;TEXT(I184,"0.00")&amp;")"</f>
        <v>17,157 (0.00)</v>
      </c>
      <c r="O180" t="str">
        <f t="shared" ref="O180:Q180" si="87">TEXT(J183,"#,##0")&amp;" ("&amp;TEXT(J184,"0.00")&amp;")"</f>
        <v>17,160 (0.00)</v>
      </c>
      <c r="P180" t="str">
        <f t="shared" si="87"/>
        <v>17,158 (0.00)</v>
      </c>
      <c r="Q180" t="str">
        <f t="shared" si="87"/>
        <v>17,159 (0.00)</v>
      </c>
    </row>
    <row r="181" spans="1:17" x14ac:dyDescent="0.3">
      <c r="A181" s="2"/>
      <c r="B181" s="18">
        <v>2</v>
      </c>
      <c r="C181" s="7">
        <v>6835</v>
      </c>
      <c r="D181" s="7">
        <v>6397</v>
      </c>
      <c r="E181" s="7">
        <v>6004</v>
      </c>
      <c r="F181" s="7">
        <v>5762</v>
      </c>
      <c r="G181" s="7">
        <v>24998</v>
      </c>
      <c r="I181">
        <f>C185</f>
        <v>3449</v>
      </c>
      <c r="J181">
        <f t="shared" si="86"/>
        <v>3706</v>
      </c>
      <c r="K181">
        <f t="shared" si="86"/>
        <v>4296</v>
      </c>
      <c r="L181">
        <f t="shared" si="86"/>
        <v>5277</v>
      </c>
    </row>
    <row r="182" spans="1:17" x14ac:dyDescent="0.3">
      <c r="A182" s="2"/>
      <c r="B182" s="18"/>
      <c r="C182" s="7">
        <v>9.9600000000000009</v>
      </c>
      <c r="D182" s="7">
        <v>9.32</v>
      </c>
      <c r="E182" s="7">
        <v>8.75</v>
      </c>
      <c r="F182" s="7">
        <v>8.4</v>
      </c>
      <c r="G182" s="7">
        <v>36.42</v>
      </c>
      <c r="I182">
        <f>C188</f>
        <v>20.100000000000001</v>
      </c>
      <c r="J182">
        <f t="shared" ref="J182:L183" si="88">D188</f>
        <v>21.6</v>
      </c>
      <c r="K182">
        <f t="shared" si="88"/>
        <v>25.04</v>
      </c>
      <c r="L182">
        <f t="shared" si="88"/>
        <v>30.75</v>
      </c>
    </row>
    <row r="183" spans="1:17" x14ac:dyDescent="0.3">
      <c r="A183" s="2"/>
      <c r="B183" s="18"/>
      <c r="C183" s="7">
        <v>27.34</v>
      </c>
      <c r="D183" s="7">
        <v>25.59</v>
      </c>
      <c r="E183" s="7">
        <v>24.02</v>
      </c>
      <c r="F183" s="7">
        <v>23.05</v>
      </c>
      <c r="G183" s="7"/>
      <c r="I183">
        <f>C189</f>
        <v>17157</v>
      </c>
      <c r="J183">
        <f t="shared" si="88"/>
        <v>17160</v>
      </c>
      <c r="K183">
        <f t="shared" si="88"/>
        <v>17158</v>
      </c>
      <c r="L183">
        <f t="shared" si="88"/>
        <v>17159</v>
      </c>
    </row>
    <row r="184" spans="1:17" x14ac:dyDescent="0.3">
      <c r="A184" s="2"/>
      <c r="B184" s="18"/>
      <c r="C184" s="7">
        <v>39.840000000000003</v>
      </c>
      <c r="D184" s="7">
        <v>37.28</v>
      </c>
      <c r="E184" s="7">
        <v>34.99</v>
      </c>
      <c r="F184" s="7">
        <v>33.58</v>
      </c>
      <c r="G184" s="7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18">
        <v>3</v>
      </c>
      <c r="C185" s="7">
        <v>3449</v>
      </c>
      <c r="D185" s="7">
        <v>3706</v>
      </c>
      <c r="E185" s="7">
        <v>4296</v>
      </c>
      <c r="F185" s="7">
        <v>5277</v>
      </c>
      <c r="G185" s="7">
        <v>16728</v>
      </c>
    </row>
    <row r="186" spans="1:17" x14ac:dyDescent="0.3">
      <c r="A186" s="2"/>
      <c r="B186" s="18"/>
      <c r="C186" s="7">
        <v>5.03</v>
      </c>
      <c r="D186" s="7">
        <v>5.4</v>
      </c>
      <c r="E186" s="7">
        <v>6.26</v>
      </c>
      <c r="F186" s="7">
        <v>7.69</v>
      </c>
      <c r="G186" s="7">
        <v>24.37</v>
      </c>
    </row>
    <row r="187" spans="1:17" x14ac:dyDescent="0.3">
      <c r="A187" s="2"/>
      <c r="B187" s="18"/>
      <c r="C187" s="7">
        <v>20.62</v>
      </c>
      <c r="D187" s="7">
        <v>22.15</v>
      </c>
      <c r="E187" s="7">
        <v>25.68</v>
      </c>
      <c r="F187" s="7">
        <v>31.55</v>
      </c>
      <c r="G187" s="7"/>
    </row>
    <row r="188" spans="1:17" x14ac:dyDescent="0.3">
      <c r="A188" s="2"/>
      <c r="B188" s="18"/>
      <c r="C188" s="7">
        <v>20.100000000000001</v>
      </c>
      <c r="D188" s="7">
        <v>21.6</v>
      </c>
      <c r="E188" s="7">
        <v>25.04</v>
      </c>
      <c r="F188" s="7">
        <v>30.75</v>
      </c>
      <c r="G188" s="7"/>
    </row>
    <row r="189" spans="1:17" x14ac:dyDescent="0.3">
      <c r="A189" s="2"/>
      <c r="B189" s="18" t="s">
        <v>24</v>
      </c>
      <c r="C189" s="7">
        <v>17157</v>
      </c>
      <c r="D189" s="7">
        <v>17160</v>
      </c>
      <c r="E189" s="7">
        <v>17158</v>
      </c>
      <c r="F189" s="7">
        <v>17159</v>
      </c>
      <c r="G189" s="7">
        <v>68634</v>
      </c>
    </row>
    <row r="190" spans="1:17" x14ac:dyDescent="0.3">
      <c r="A190" s="2"/>
      <c r="B190" s="18"/>
      <c r="C190" s="7">
        <v>25</v>
      </c>
      <c r="D190" s="7">
        <v>25</v>
      </c>
      <c r="E190" s="7">
        <v>25</v>
      </c>
      <c r="F190" s="7">
        <v>25</v>
      </c>
      <c r="G190" s="7">
        <v>100</v>
      </c>
    </row>
    <row r="191" spans="1:17" x14ac:dyDescent="0.3">
      <c r="A191" s="2"/>
      <c r="B191" s="21"/>
      <c r="C191" s="21"/>
      <c r="D191" s="21"/>
      <c r="E191" s="21"/>
      <c r="F191" s="21"/>
      <c r="G191" s="21"/>
    </row>
    <row r="192" spans="1:17" ht="17.25" thickBot="1" x14ac:dyDescent="0.35"/>
    <row r="193" spans="1:17" ht="16.5" customHeight="1" x14ac:dyDescent="0.3">
      <c r="A193" s="4" t="s">
        <v>2</v>
      </c>
      <c r="B193" s="17" t="s">
        <v>68</v>
      </c>
      <c r="C193" s="19"/>
      <c r="D193" s="19"/>
      <c r="E193" s="19"/>
      <c r="F193" s="19"/>
      <c r="G193" s="19"/>
    </row>
    <row r="194" spans="1:17" ht="16.5" customHeight="1" x14ac:dyDescent="0.3">
      <c r="A194" s="6" t="s">
        <v>3</v>
      </c>
      <c r="B194" s="18" t="s">
        <v>14</v>
      </c>
      <c r="C194" s="20" t="s">
        <v>58</v>
      </c>
      <c r="D194" s="20"/>
      <c r="E194" s="20"/>
      <c r="F194" s="20"/>
      <c r="G194" s="20"/>
    </row>
    <row r="195" spans="1:17" x14ac:dyDescent="0.3">
      <c r="A195" s="6" t="s">
        <v>20</v>
      </c>
      <c r="B195" s="1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18">
        <v>0</v>
      </c>
      <c r="C196" s="7">
        <v>14867</v>
      </c>
      <c r="D196" s="7">
        <v>13680</v>
      </c>
      <c r="E196" s="7">
        <v>12704</v>
      </c>
      <c r="F196" s="7">
        <v>10812</v>
      </c>
      <c r="G196" s="7">
        <v>52063</v>
      </c>
      <c r="I196">
        <f>C196</f>
        <v>14867</v>
      </c>
      <c r="J196">
        <f t="shared" ref="J196:L196" si="90">D196</f>
        <v>13680</v>
      </c>
      <c r="K196">
        <f t="shared" si="90"/>
        <v>12704</v>
      </c>
      <c r="L196">
        <f t="shared" si="90"/>
        <v>10812</v>
      </c>
      <c r="N196" t="str">
        <f>TEXT(I196,"#,##0")&amp;" ("&amp;TEXT(I197,"0.00")&amp;")"</f>
        <v>14,867 (86.65)</v>
      </c>
      <c r="O196" t="str">
        <f t="shared" ref="O196:Q196" si="91">TEXT(J196,"#,##0")&amp;" ("&amp;TEXT(J197,"0.00")&amp;")"</f>
        <v>13,680 (79.72)</v>
      </c>
      <c r="P196" t="str">
        <f t="shared" si="91"/>
        <v>12,704 (74.04)</v>
      </c>
      <c r="Q196" t="str">
        <f t="shared" si="91"/>
        <v>10,812 (63.01)</v>
      </c>
    </row>
    <row r="197" spans="1:17" x14ac:dyDescent="0.3">
      <c r="A197" s="2"/>
      <c r="B197" s="18"/>
      <c r="C197" s="7">
        <v>21.66</v>
      </c>
      <c r="D197" s="7">
        <v>19.93</v>
      </c>
      <c r="E197" s="7">
        <v>18.510000000000002</v>
      </c>
      <c r="F197" s="7">
        <v>15.75</v>
      </c>
      <c r="G197" s="7">
        <v>75.86</v>
      </c>
      <c r="I197">
        <f>C199</f>
        <v>86.65</v>
      </c>
      <c r="J197">
        <f t="shared" ref="J197:L198" si="92">D199</f>
        <v>79.72</v>
      </c>
      <c r="K197">
        <f t="shared" si="92"/>
        <v>74.040000000000006</v>
      </c>
      <c r="L197">
        <f t="shared" si="92"/>
        <v>63.01</v>
      </c>
      <c r="N197" t="str">
        <f>TEXT(I198,"#,##0")&amp;" ("&amp;TEXT(I199,"0.00")&amp;")"</f>
        <v>2,290 (13.35)</v>
      </c>
      <c r="O197" t="str">
        <f t="shared" ref="O197:Q197" si="93">TEXT(J198,"#,##0")&amp;" ("&amp;TEXT(J199,"0.00")&amp;")"</f>
        <v>3,480 (20.28)</v>
      </c>
      <c r="P197" t="str">
        <f t="shared" si="93"/>
        <v>4,454 (25.96)</v>
      </c>
      <c r="Q197" t="str">
        <f t="shared" si="93"/>
        <v>6,347 (36.99)</v>
      </c>
    </row>
    <row r="198" spans="1:17" x14ac:dyDescent="0.3">
      <c r="A198" s="2"/>
      <c r="B198" s="18"/>
      <c r="C198" s="7">
        <v>28.56</v>
      </c>
      <c r="D198" s="7">
        <v>26.28</v>
      </c>
      <c r="E198" s="7">
        <v>24.4</v>
      </c>
      <c r="F198" s="7">
        <v>20.77</v>
      </c>
      <c r="G198" s="7"/>
      <c r="I198">
        <f>C200</f>
        <v>2290</v>
      </c>
      <c r="J198">
        <f t="shared" si="92"/>
        <v>3480</v>
      </c>
      <c r="K198">
        <f t="shared" si="92"/>
        <v>4454</v>
      </c>
      <c r="L198">
        <f t="shared" si="92"/>
        <v>6347</v>
      </c>
      <c r="N198" t="str">
        <f>TEXT(I200,"#,##0")&amp;" ("&amp;TEXT(I201,"0.00")&amp;")"</f>
        <v>17,157 (0.00)</v>
      </c>
      <c r="O198" t="str">
        <f t="shared" ref="O198:Q198" si="94">TEXT(J200,"#,##0")&amp;" ("&amp;TEXT(J201,"0.00")&amp;")"</f>
        <v>17,160 (0.00)</v>
      </c>
      <c r="P198" t="str">
        <f t="shared" si="94"/>
        <v>17,158 (0.00)</v>
      </c>
      <c r="Q198" t="str">
        <f t="shared" si="94"/>
        <v>17,159 (0.00)</v>
      </c>
    </row>
    <row r="199" spans="1:17" x14ac:dyDescent="0.3">
      <c r="A199" s="2"/>
      <c r="B199" s="18"/>
      <c r="C199" s="7">
        <v>86.65</v>
      </c>
      <c r="D199" s="7">
        <v>79.72</v>
      </c>
      <c r="E199" s="7">
        <v>74.040000000000006</v>
      </c>
      <c r="F199" s="7">
        <v>63.01</v>
      </c>
      <c r="G199" s="7"/>
      <c r="I199">
        <f>C203</f>
        <v>13.35</v>
      </c>
      <c r="J199">
        <f t="shared" ref="J199:L200" si="95">D203</f>
        <v>20.28</v>
      </c>
      <c r="K199">
        <f t="shared" si="95"/>
        <v>25.96</v>
      </c>
      <c r="L199">
        <f t="shared" si="95"/>
        <v>36.99</v>
      </c>
      <c r="N199" t="str">
        <f>TEXT(I202,"#,##0")&amp;" ("&amp;TEXT(I203,"0.00")&amp;")"</f>
        <v>0 (15100.00)</v>
      </c>
      <c r="O199" t="str">
        <f t="shared" ref="O199:Q199" si="96">TEXT(J202,"#,##0")&amp;" ("&amp;TEXT(J203,"0.00")&amp;")"</f>
        <v>0 (13883.00)</v>
      </c>
      <c r="P199" t="str">
        <f t="shared" si="96"/>
        <v>0 (12726.00)</v>
      </c>
      <c r="Q199" t="str">
        <f t="shared" si="96"/>
        <v>0 (12201.00)</v>
      </c>
    </row>
    <row r="200" spans="1:17" x14ac:dyDescent="0.3">
      <c r="A200" s="2"/>
      <c r="B200" s="18">
        <v>1</v>
      </c>
      <c r="C200" s="7">
        <v>2290</v>
      </c>
      <c r="D200" s="7">
        <v>3480</v>
      </c>
      <c r="E200" s="7">
        <v>4454</v>
      </c>
      <c r="F200" s="7">
        <v>6347</v>
      </c>
      <c r="G200" s="7">
        <v>16571</v>
      </c>
      <c r="I200">
        <f>C204</f>
        <v>17157</v>
      </c>
      <c r="J200">
        <f t="shared" si="95"/>
        <v>17160</v>
      </c>
      <c r="K200">
        <f t="shared" si="95"/>
        <v>17158</v>
      </c>
      <c r="L200">
        <f t="shared" si="95"/>
        <v>17159</v>
      </c>
    </row>
    <row r="201" spans="1:17" x14ac:dyDescent="0.3">
      <c r="A201" s="2"/>
      <c r="B201" s="18"/>
      <c r="C201" s="7">
        <v>3.34</v>
      </c>
      <c r="D201" s="7">
        <v>5.07</v>
      </c>
      <c r="E201" s="7">
        <v>6.49</v>
      </c>
      <c r="F201" s="7">
        <v>9.25</v>
      </c>
      <c r="G201" s="7">
        <v>24.14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18"/>
      <c r="C202" s="7">
        <v>13.82</v>
      </c>
      <c r="D202" s="7">
        <v>21</v>
      </c>
      <c r="E202" s="7">
        <v>26.88</v>
      </c>
      <c r="F202" s="7">
        <v>38.299999999999997</v>
      </c>
      <c r="G202" s="7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18"/>
      <c r="C203" s="7">
        <v>13.35</v>
      </c>
      <c r="D203" s="7">
        <v>20.28</v>
      </c>
      <c r="E203" s="7">
        <v>25.96</v>
      </c>
      <c r="F203" s="7">
        <v>36.99</v>
      </c>
      <c r="G203" s="7"/>
      <c r="I203">
        <f>C211</f>
        <v>15100</v>
      </c>
      <c r="J203">
        <f t="shared" ref="J203:L203" si="98">D211</f>
        <v>13883</v>
      </c>
      <c r="K203">
        <f t="shared" si="98"/>
        <v>12726</v>
      </c>
      <c r="L203">
        <f t="shared" si="98"/>
        <v>12201</v>
      </c>
    </row>
    <row r="204" spans="1:17" x14ac:dyDescent="0.3">
      <c r="A204" s="2"/>
      <c r="B204" s="18" t="s">
        <v>24</v>
      </c>
      <c r="C204" s="7">
        <v>17157</v>
      </c>
      <c r="D204" s="7">
        <v>17160</v>
      </c>
      <c r="E204" s="7">
        <v>17158</v>
      </c>
      <c r="F204" s="7">
        <v>17159</v>
      </c>
      <c r="G204" s="7">
        <v>68634</v>
      </c>
    </row>
    <row r="205" spans="1:17" x14ac:dyDescent="0.3">
      <c r="A205" s="2"/>
      <c r="B205" s="18"/>
      <c r="C205" s="7">
        <v>25</v>
      </c>
      <c r="D205" s="7">
        <v>25</v>
      </c>
      <c r="E205" s="7">
        <v>25</v>
      </c>
      <c r="F205" s="7">
        <v>25</v>
      </c>
      <c r="G205" s="7">
        <v>100</v>
      </c>
    </row>
    <row r="206" spans="1:17" x14ac:dyDescent="0.3">
      <c r="A206" s="2"/>
      <c r="B206" s="21"/>
      <c r="C206" s="21"/>
      <c r="D206" s="21"/>
      <c r="E206" s="21"/>
      <c r="F206" s="21"/>
      <c r="G206" s="21"/>
    </row>
    <row r="207" spans="1:17" ht="17.25" thickBot="1" x14ac:dyDescent="0.35"/>
    <row r="208" spans="1:17" ht="16.5" customHeight="1" x14ac:dyDescent="0.3">
      <c r="A208" s="4" t="s">
        <v>2</v>
      </c>
      <c r="B208" s="17" t="s">
        <v>69</v>
      </c>
      <c r="C208" s="19"/>
      <c r="D208" s="19"/>
      <c r="E208" s="19"/>
      <c r="F208" s="19"/>
      <c r="G208" s="19"/>
    </row>
    <row r="209" spans="1:17" ht="16.5" customHeight="1" x14ac:dyDescent="0.3">
      <c r="A209" s="6" t="s">
        <v>3</v>
      </c>
      <c r="B209" s="18" t="s">
        <v>15</v>
      </c>
      <c r="C209" s="20" t="s">
        <v>58</v>
      </c>
      <c r="D209" s="20"/>
      <c r="E209" s="20"/>
      <c r="F209" s="20"/>
      <c r="G209" s="20"/>
    </row>
    <row r="210" spans="1:17" x14ac:dyDescent="0.3">
      <c r="A210" s="6" t="s">
        <v>20</v>
      </c>
      <c r="B210" s="1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18">
        <v>0</v>
      </c>
      <c r="C211" s="7">
        <v>15100</v>
      </c>
      <c r="D211" s="7">
        <v>13883</v>
      </c>
      <c r="E211" s="7">
        <v>12726</v>
      </c>
      <c r="F211" s="7">
        <v>12201</v>
      </c>
      <c r="G211" s="7">
        <v>53910</v>
      </c>
      <c r="I211">
        <f>C211</f>
        <v>15100</v>
      </c>
      <c r="J211">
        <f t="shared" ref="J211:L211" si="99">D211</f>
        <v>13883</v>
      </c>
      <c r="K211">
        <f t="shared" si="99"/>
        <v>12726</v>
      </c>
      <c r="L211">
        <f t="shared" si="99"/>
        <v>12201</v>
      </c>
      <c r="N211" t="str">
        <f>TEXT(I211,"#,##0")&amp;" ("&amp;TEXT(I212,"0.00")&amp;")"</f>
        <v>15,100 (88.01)</v>
      </c>
      <c r="O211" t="str">
        <f t="shared" ref="O211:Q211" si="100">TEXT(J211,"#,##0")&amp;" ("&amp;TEXT(J212,"0.00")&amp;")"</f>
        <v>13,883 (80.90)</v>
      </c>
      <c r="P211" t="str">
        <f t="shared" si="100"/>
        <v>12,726 (74.17)</v>
      </c>
      <c r="Q211" t="str">
        <f t="shared" si="100"/>
        <v>12,201 (71.11)</v>
      </c>
    </row>
    <row r="212" spans="1:17" x14ac:dyDescent="0.3">
      <c r="A212" s="2"/>
      <c r="B212" s="18"/>
      <c r="C212" s="7">
        <v>22</v>
      </c>
      <c r="D212" s="7">
        <v>20.23</v>
      </c>
      <c r="E212" s="7">
        <v>18.54</v>
      </c>
      <c r="F212" s="7">
        <v>17.78</v>
      </c>
      <c r="G212" s="7">
        <v>78.55</v>
      </c>
      <c r="I212">
        <f>C214</f>
        <v>88.01</v>
      </c>
      <c r="J212">
        <f t="shared" ref="J212:L213" si="101">D214</f>
        <v>80.900000000000006</v>
      </c>
      <c r="K212">
        <f t="shared" si="101"/>
        <v>74.17</v>
      </c>
      <c r="L212">
        <f t="shared" si="101"/>
        <v>71.11</v>
      </c>
      <c r="N212" t="str">
        <f>TEXT(I213,"#,##0")&amp;" ("&amp;TEXT(I214,"0.00")&amp;")"</f>
        <v>2,057 (11.99)</v>
      </c>
      <c r="O212" t="str">
        <f t="shared" ref="O212:Q212" si="102">TEXT(J213,"#,##0")&amp;" ("&amp;TEXT(J214,"0.00")&amp;")"</f>
        <v>3,277 (19.10)</v>
      </c>
      <c r="P212" t="str">
        <f t="shared" si="102"/>
        <v>4,432 (25.83)</v>
      </c>
      <c r="Q212" t="str">
        <f t="shared" si="102"/>
        <v>4,958 (28.89)</v>
      </c>
    </row>
    <row r="213" spans="1:17" x14ac:dyDescent="0.3">
      <c r="A213" s="2"/>
      <c r="B213" s="18"/>
      <c r="C213" s="7">
        <v>28.01</v>
      </c>
      <c r="D213" s="7">
        <v>25.75</v>
      </c>
      <c r="E213" s="7">
        <v>23.61</v>
      </c>
      <c r="F213" s="7">
        <v>22.63</v>
      </c>
      <c r="G213" s="7"/>
      <c r="I213">
        <f>C215</f>
        <v>2057</v>
      </c>
      <c r="J213">
        <f t="shared" si="101"/>
        <v>3277</v>
      </c>
      <c r="K213">
        <f t="shared" si="101"/>
        <v>4432</v>
      </c>
      <c r="L213">
        <f t="shared" si="101"/>
        <v>4958</v>
      </c>
      <c r="N213" t="str">
        <f>TEXT(I215,"#,##0")&amp;" ("&amp;TEXT(I216,"0.00")&amp;")"</f>
        <v>17,157 (0.00)</v>
      </c>
      <c r="O213" t="str">
        <f t="shared" ref="O213:Q213" si="103">TEXT(J215,"#,##0")&amp;" ("&amp;TEXT(J216,"0.00")&amp;")"</f>
        <v>17,160 (0.00)</v>
      </c>
      <c r="P213" t="str">
        <f t="shared" si="103"/>
        <v>17,158 (0.00)</v>
      </c>
      <c r="Q213" t="str">
        <f t="shared" si="103"/>
        <v>17,159 (0.00)</v>
      </c>
    </row>
    <row r="214" spans="1:17" x14ac:dyDescent="0.3">
      <c r="A214" s="2"/>
      <c r="B214" s="18"/>
      <c r="C214" s="7">
        <v>88.01</v>
      </c>
      <c r="D214" s="7">
        <v>80.900000000000006</v>
      </c>
      <c r="E214" s="7">
        <v>74.17</v>
      </c>
      <c r="F214" s="7">
        <v>71.11</v>
      </c>
      <c r="G214" s="7"/>
      <c r="I214">
        <f>C218</f>
        <v>11.99</v>
      </c>
      <c r="J214">
        <f t="shared" ref="J214:L215" si="104">D218</f>
        <v>19.100000000000001</v>
      </c>
      <c r="K214">
        <f t="shared" si="104"/>
        <v>25.83</v>
      </c>
      <c r="L214">
        <f t="shared" si="104"/>
        <v>28.89</v>
      </c>
      <c r="N214" t="str">
        <f>TEXT(I217,"#,##0")&amp;" ("&amp;TEXT(I218,"0.00")&amp;")"</f>
        <v>0 (15625.00)</v>
      </c>
      <c r="O214" t="str">
        <f t="shared" ref="O214:Q214" si="105">TEXT(J217,"#,##0")&amp;" ("&amp;TEXT(J218,"0.00")&amp;")"</f>
        <v>0 (14816.00)</v>
      </c>
      <c r="P214" t="str">
        <f t="shared" si="105"/>
        <v>0 (14108.00)</v>
      </c>
      <c r="Q214" t="str">
        <f t="shared" si="105"/>
        <v>0 (13917.00)</v>
      </c>
    </row>
    <row r="215" spans="1:17" x14ac:dyDescent="0.3">
      <c r="A215" s="2"/>
      <c r="B215" s="18">
        <v>1</v>
      </c>
      <c r="C215" s="7">
        <v>2057</v>
      </c>
      <c r="D215" s="7">
        <v>3277</v>
      </c>
      <c r="E215" s="7">
        <v>4432</v>
      </c>
      <c r="F215" s="7">
        <v>4958</v>
      </c>
      <c r="G215" s="7">
        <v>14724</v>
      </c>
      <c r="I215">
        <f>C219</f>
        <v>17157</v>
      </c>
      <c r="J215">
        <f t="shared" si="104"/>
        <v>17160</v>
      </c>
      <c r="K215">
        <f t="shared" si="104"/>
        <v>17158</v>
      </c>
      <c r="L215">
        <f t="shared" si="104"/>
        <v>17159</v>
      </c>
    </row>
    <row r="216" spans="1:17" x14ac:dyDescent="0.3">
      <c r="A216" s="2"/>
      <c r="B216" s="18"/>
      <c r="C216" s="7">
        <v>3</v>
      </c>
      <c r="D216" s="7">
        <v>4.7699999999999996</v>
      </c>
      <c r="E216" s="7">
        <v>6.46</v>
      </c>
      <c r="F216" s="7">
        <v>7.22</v>
      </c>
      <c r="G216" s="7">
        <v>21.45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18"/>
      <c r="C217" s="7">
        <v>13.97</v>
      </c>
      <c r="D217" s="7">
        <v>22.26</v>
      </c>
      <c r="E217" s="7">
        <v>30.1</v>
      </c>
      <c r="F217" s="7">
        <v>33.67</v>
      </c>
      <c r="G217" s="7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18"/>
      <c r="C218" s="7">
        <v>11.99</v>
      </c>
      <c r="D218" s="7">
        <v>19.100000000000001</v>
      </c>
      <c r="E218" s="7">
        <v>25.83</v>
      </c>
      <c r="F218" s="7">
        <v>28.89</v>
      </c>
      <c r="G218" s="7"/>
      <c r="I218">
        <f>C226</f>
        <v>15625</v>
      </c>
      <c r="J218">
        <f t="shared" ref="J218:L218" si="107">D226</f>
        <v>14816</v>
      </c>
      <c r="K218">
        <f t="shared" si="107"/>
        <v>14108</v>
      </c>
      <c r="L218">
        <f t="shared" si="107"/>
        <v>13917</v>
      </c>
    </row>
    <row r="219" spans="1:17" x14ac:dyDescent="0.3">
      <c r="A219" s="2"/>
      <c r="B219" s="18" t="s">
        <v>24</v>
      </c>
      <c r="C219" s="7">
        <v>17157</v>
      </c>
      <c r="D219" s="7">
        <v>17160</v>
      </c>
      <c r="E219" s="7">
        <v>17158</v>
      </c>
      <c r="F219" s="7">
        <v>17159</v>
      </c>
      <c r="G219" s="7">
        <v>68634</v>
      </c>
    </row>
    <row r="220" spans="1:17" x14ac:dyDescent="0.3">
      <c r="A220" s="2"/>
      <c r="B220" s="18"/>
      <c r="C220" s="7">
        <v>25</v>
      </c>
      <c r="D220" s="7">
        <v>25</v>
      </c>
      <c r="E220" s="7">
        <v>25</v>
      </c>
      <c r="F220" s="7">
        <v>25</v>
      </c>
      <c r="G220" s="7">
        <v>100</v>
      </c>
    </row>
    <row r="221" spans="1:17" x14ac:dyDescent="0.3">
      <c r="A221" s="2"/>
      <c r="B221" s="21"/>
      <c r="C221" s="21"/>
      <c r="D221" s="21"/>
      <c r="E221" s="21"/>
      <c r="F221" s="21"/>
      <c r="G221" s="21"/>
    </row>
    <row r="222" spans="1:17" ht="17.25" thickBot="1" x14ac:dyDescent="0.35"/>
    <row r="223" spans="1:17" ht="16.5" customHeight="1" x14ac:dyDescent="0.3">
      <c r="A223" s="4" t="s">
        <v>2</v>
      </c>
      <c r="B223" s="17" t="s">
        <v>70</v>
      </c>
      <c r="C223" s="19"/>
      <c r="D223" s="19"/>
      <c r="E223" s="19"/>
      <c r="F223" s="19"/>
      <c r="G223" s="19"/>
    </row>
    <row r="224" spans="1:17" ht="16.5" customHeight="1" x14ac:dyDescent="0.3">
      <c r="A224" s="6" t="s">
        <v>3</v>
      </c>
      <c r="B224" s="18" t="s">
        <v>16</v>
      </c>
      <c r="C224" s="20" t="s">
        <v>58</v>
      </c>
      <c r="D224" s="20"/>
      <c r="E224" s="20"/>
      <c r="F224" s="20"/>
      <c r="G224" s="20"/>
    </row>
    <row r="225" spans="1:17" x14ac:dyDescent="0.3">
      <c r="A225" s="6" t="s">
        <v>20</v>
      </c>
      <c r="B225" s="1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18">
        <v>0</v>
      </c>
      <c r="C226" s="7">
        <v>15625</v>
      </c>
      <c r="D226" s="7">
        <v>14816</v>
      </c>
      <c r="E226" s="7">
        <v>14108</v>
      </c>
      <c r="F226" s="7">
        <v>13917</v>
      </c>
      <c r="G226" s="7">
        <v>58466</v>
      </c>
      <c r="I226">
        <f>C226</f>
        <v>15625</v>
      </c>
      <c r="J226">
        <f t="shared" ref="J226:L226" si="108">D226</f>
        <v>14816</v>
      </c>
      <c r="K226">
        <f t="shared" si="108"/>
        <v>14108</v>
      </c>
      <c r="L226">
        <f t="shared" si="108"/>
        <v>13917</v>
      </c>
      <c r="N226" t="str">
        <f>TEXT(I226,"#,##0")&amp;" ("&amp;TEXT(I227,"0.00")&amp;")"</f>
        <v>15,625 (91.07)</v>
      </c>
      <c r="O226" t="str">
        <f t="shared" ref="O226:Q226" si="109">TEXT(J226,"#,##0")&amp;" ("&amp;TEXT(J227,"0.00")&amp;")"</f>
        <v>14,816 (86.34)</v>
      </c>
      <c r="P226" t="str">
        <f t="shared" si="109"/>
        <v>14,108 (82.22)</v>
      </c>
      <c r="Q226" t="str">
        <f t="shared" si="109"/>
        <v>13,917 (81.11)</v>
      </c>
    </row>
    <row r="227" spans="1:17" x14ac:dyDescent="0.3">
      <c r="A227" s="2"/>
      <c r="B227" s="18"/>
      <c r="C227" s="7">
        <v>22.77</v>
      </c>
      <c r="D227" s="7">
        <v>21.59</v>
      </c>
      <c r="E227" s="7">
        <v>20.56</v>
      </c>
      <c r="F227" s="7">
        <v>20.28</v>
      </c>
      <c r="G227" s="7">
        <v>85.19</v>
      </c>
      <c r="I227">
        <f>C229</f>
        <v>91.07</v>
      </c>
      <c r="J227">
        <f t="shared" ref="J227:L228" si="110">D229</f>
        <v>86.34</v>
      </c>
      <c r="K227">
        <f t="shared" si="110"/>
        <v>82.22</v>
      </c>
      <c r="L227">
        <f t="shared" si="110"/>
        <v>81.11</v>
      </c>
      <c r="N227" t="str">
        <f>TEXT(I228,"#,##0")&amp;" ("&amp;TEXT(I229,"0.00")&amp;")"</f>
        <v>1,532 (8.93)</v>
      </c>
      <c r="O227" t="str">
        <f t="shared" ref="O227:Q227" si="111">TEXT(J228,"#,##0")&amp;" ("&amp;TEXT(J229,"0.00")&amp;")"</f>
        <v>2,344 (13.66)</v>
      </c>
      <c r="P227" t="str">
        <f t="shared" si="111"/>
        <v>3,050 (17.78)</v>
      </c>
      <c r="Q227" t="str">
        <f t="shared" si="111"/>
        <v>3,242 (18.89)</v>
      </c>
    </row>
    <row r="228" spans="1:17" x14ac:dyDescent="0.3">
      <c r="A228" s="2"/>
      <c r="B228" s="18"/>
      <c r="C228" s="7">
        <v>26.72</v>
      </c>
      <c r="D228" s="7">
        <v>25.34</v>
      </c>
      <c r="E228" s="7">
        <v>24.13</v>
      </c>
      <c r="F228" s="7">
        <v>23.8</v>
      </c>
      <c r="G228" s="7"/>
      <c r="I228">
        <f>C230</f>
        <v>1532</v>
      </c>
      <c r="J228">
        <f t="shared" si="110"/>
        <v>2344</v>
      </c>
      <c r="K228">
        <f t="shared" si="110"/>
        <v>3050</v>
      </c>
      <c r="L228">
        <f t="shared" si="110"/>
        <v>3242</v>
      </c>
      <c r="N228" t="str">
        <f>TEXT(I230,"#,##0")&amp;" ("&amp;TEXT(I231,"0.00")&amp;")"</f>
        <v>17,157 (0.00)</v>
      </c>
      <c r="O228" t="str">
        <f t="shared" ref="O228:Q228" si="112">TEXT(J230,"#,##0")&amp;" ("&amp;TEXT(J231,"0.00")&amp;")"</f>
        <v>17,160 (0.00)</v>
      </c>
      <c r="P228" t="str">
        <f t="shared" si="112"/>
        <v>17,158 (0.00)</v>
      </c>
      <c r="Q228" t="str">
        <f t="shared" si="112"/>
        <v>17,159 (0.00)</v>
      </c>
    </row>
    <row r="229" spans="1:17" x14ac:dyDescent="0.3">
      <c r="A229" s="2"/>
      <c r="B229" s="18"/>
      <c r="C229" s="7">
        <v>91.07</v>
      </c>
      <c r="D229" s="7">
        <v>86.34</v>
      </c>
      <c r="E229" s="7">
        <v>82.22</v>
      </c>
      <c r="F229" s="7">
        <v>81.11</v>
      </c>
      <c r="G229" s="7"/>
      <c r="I229">
        <f>C233</f>
        <v>8.93</v>
      </c>
      <c r="J229">
        <f t="shared" ref="J229:L230" si="113">D233</f>
        <v>13.66</v>
      </c>
      <c r="K229">
        <f t="shared" si="113"/>
        <v>17.78</v>
      </c>
      <c r="L229">
        <f t="shared" si="113"/>
        <v>18.89</v>
      </c>
      <c r="N229" t="str">
        <f>TEXT(I232,"#,##0")&amp;" ("&amp;TEXT(I233,"0.00")&amp;")"</f>
        <v>0 (16992.00)</v>
      </c>
      <c r="O229" t="str">
        <f t="shared" ref="O229:Q229" si="114">TEXT(J232,"#,##0")&amp;" ("&amp;TEXT(J233,"0.00")&amp;")"</f>
        <v>0 (16879.00)</v>
      </c>
      <c r="P229" t="str">
        <f t="shared" si="114"/>
        <v>0 (16730.00)</v>
      </c>
      <c r="Q229" t="str">
        <f t="shared" si="114"/>
        <v>0 (16742.00)</v>
      </c>
    </row>
    <row r="230" spans="1:17" x14ac:dyDescent="0.3">
      <c r="A230" s="2"/>
      <c r="B230" s="18">
        <v>1</v>
      </c>
      <c r="C230" s="7">
        <v>1532</v>
      </c>
      <c r="D230" s="7">
        <v>2344</v>
      </c>
      <c r="E230" s="7">
        <v>3050</v>
      </c>
      <c r="F230" s="7">
        <v>3242</v>
      </c>
      <c r="G230" s="7">
        <v>10168</v>
      </c>
      <c r="I230">
        <f>C234</f>
        <v>17157</v>
      </c>
      <c r="J230">
        <f t="shared" si="113"/>
        <v>17160</v>
      </c>
      <c r="K230">
        <f t="shared" si="113"/>
        <v>17158</v>
      </c>
      <c r="L230">
        <f t="shared" si="113"/>
        <v>17159</v>
      </c>
    </row>
    <row r="231" spans="1:17" x14ac:dyDescent="0.3">
      <c r="A231" s="2"/>
      <c r="B231" s="18"/>
      <c r="C231" s="7">
        <v>2.23</v>
      </c>
      <c r="D231" s="7">
        <v>3.42</v>
      </c>
      <c r="E231" s="7">
        <v>4.4400000000000004</v>
      </c>
      <c r="F231" s="7">
        <v>4.72</v>
      </c>
      <c r="G231" s="7">
        <v>14.81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18"/>
      <c r="C232" s="7">
        <v>15.07</v>
      </c>
      <c r="D232" s="7">
        <v>23.05</v>
      </c>
      <c r="E232" s="7">
        <v>30</v>
      </c>
      <c r="F232" s="7">
        <v>31.88</v>
      </c>
      <c r="G232" s="7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18"/>
      <c r="C233" s="7">
        <v>8.93</v>
      </c>
      <c r="D233" s="7">
        <v>13.66</v>
      </c>
      <c r="E233" s="7">
        <v>17.78</v>
      </c>
      <c r="F233" s="7">
        <v>18.89</v>
      </c>
      <c r="G233" s="7"/>
      <c r="I233">
        <f>C241</f>
        <v>16992</v>
      </c>
      <c r="J233">
        <f t="shared" ref="J233:L233" si="116">D241</f>
        <v>16879</v>
      </c>
      <c r="K233">
        <f t="shared" si="116"/>
        <v>16730</v>
      </c>
      <c r="L233">
        <f t="shared" si="116"/>
        <v>16742</v>
      </c>
    </row>
    <row r="234" spans="1:17" x14ac:dyDescent="0.3">
      <c r="A234" s="2"/>
      <c r="B234" s="18" t="s">
        <v>24</v>
      </c>
      <c r="C234" s="7">
        <v>17157</v>
      </c>
      <c r="D234" s="7">
        <v>17160</v>
      </c>
      <c r="E234" s="7">
        <v>17158</v>
      </c>
      <c r="F234" s="7">
        <v>17159</v>
      </c>
      <c r="G234" s="7">
        <v>68634</v>
      </c>
    </row>
    <row r="235" spans="1:17" x14ac:dyDescent="0.3">
      <c r="A235" s="2"/>
      <c r="B235" s="18"/>
      <c r="C235" s="7">
        <v>25</v>
      </c>
      <c r="D235" s="7">
        <v>25</v>
      </c>
      <c r="E235" s="7">
        <v>25</v>
      </c>
      <c r="F235" s="7">
        <v>25</v>
      </c>
      <c r="G235" s="7">
        <v>100</v>
      </c>
    </row>
    <row r="236" spans="1:17" x14ac:dyDescent="0.3">
      <c r="A236" s="2"/>
      <c r="B236" s="21"/>
      <c r="C236" s="21"/>
      <c r="D236" s="21"/>
      <c r="E236" s="21"/>
      <c r="F236" s="21"/>
      <c r="G236" s="21"/>
    </row>
    <row r="237" spans="1:17" ht="17.25" thickBot="1" x14ac:dyDescent="0.35"/>
    <row r="238" spans="1:17" ht="16.5" customHeight="1" x14ac:dyDescent="0.3">
      <c r="A238" s="4" t="s">
        <v>2</v>
      </c>
      <c r="B238" s="17" t="s">
        <v>71</v>
      </c>
      <c r="C238" s="19"/>
      <c r="D238" s="19"/>
      <c r="E238" s="19"/>
      <c r="F238" s="19"/>
      <c r="G238" s="19"/>
    </row>
    <row r="239" spans="1:17" ht="16.5" customHeight="1" x14ac:dyDescent="0.3">
      <c r="A239" s="6" t="s">
        <v>3</v>
      </c>
      <c r="B239" s="18" t="s">
        <v>17</v>
      </c>
      <c r="C239" s="20" t="s">
        <v>58</v>
      </c>
      <c r="D239" s="20"/>
      <c r="E239" s="20"/>
      <c r="F239" s="20"/>
      <c r="G239" s="20"/>
    </row>
    <row r="240" spans="1:17" x14ac:dyDescent="0.3">
      <c r="A240" s="6" t="s">
        <v>20</v>
      </c>
      <c r="B240" s="1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18">
        <v>0</v>
      </c>
      <c r="C241" s="7">
        <v>16992</v>
      </c>
      <c r="D241" s="7">
        <v>16879</v>
      </c>
      <c r="E241" s="7">
        <v>16730</v>
      </c>
      <c r="F241" s="7">
        <v>16742</v>
      </c>
      <c r="G241" s="7">
        <v>67343</v>
      </c>
      <c r="I241">
        <f>C241</f>
        <v>16992</v>
      </c>
      <c r="J241">
        <f t="shared" ref="J241:L241" si="117">D241</f>
        <v>16879</v>
      </c>
      <c r="K241">
        <f t="shared" si="117"/>
        <v>16730</v>
      </c>
      <c r="L241">
        <f t="shared" si="117"/>
        <v>16742</v>
      </c>
      <c r="N241" t="str">
        <f>TEXT(I241,"#,##0")&amp;" ("&amp;TEXT(I242,"0.00")&amp;")"</f>
        <v>16,992 (99.04)</v>
      </c>
      <c r="O241" t="str">
        <f t="shared" ref="O241:Q241" si="118">TEXT(J241,"#,##0")&amp;" ("&amp;TEXT(J242,"0.00")&amp;")"</f>
        <v>16,879 (98.36)</v>
      </c>
      <c r="P241" t="str">
        <f t="shared" si="118"/>
        <v>16,730 (97.51)</v>
      </c>
      <c r="Q241" t="str">
        <f t="shared" si="118"/>
        <v>16,742 (97.57)</v>
      </c>
    </row>
    <row r="242" spans="1:17" x14ac:dyDescent="0.3">
      <c r="A242" s="2"/>
      <c r="B242" s="18"/>
      <c r="C242" s="7">
        <v>24.76</v>
      </c>
      <c r="D242" s="7">
        <v>24.59</v>
      </c>
      <c r="E242" s="7">
        <v>24.38</v>
      </c>
      <c r="F242" s="7">
        <v>24.39</v>
      </c>
      <c r="G242" s="7">
        <v>98.12</v>
      </c>
      <c r="I242">
        <f>C244</f>
        <v>99.04</v>
      </c>
      <c r="J242">
        <f t="shared" ref="J242:L243" si="119">D244</f>
        <v>98.36</v>
      </c>
      <c r="K242">
        <f t="shared" si="119"/>
        <v>97.51</v>
      </c>
      <c r="L242">
        <f t="shared" si="119"/>
        <v>97.57</v>
      </c>
      <c r="N242" t="str">
        <f>TEXT(I243,"#,##0")&amp;" ("&amp;TEXT(I244,"0.00")&amp;")"</f>
        <v>165 (0.96)</v>
      </c>
      <c r="O242" t="str">
        <f t="shared" ref="O242:Q242" si="120">TEXT(J243,"#,##0")&amp;" ("&amp;TEXT(J244,"0.00")&amp;")"</f>
        <v>281 (1.64)</v>
      </c>
      <c r="P242" t="str">
        <f t="shared" si="120"/>
        <v>428 (2.49)</v>
      </c>
      <c r="Q242" t="str">
        <f t="shared" si="120"/>
        <v>417 (2.43)</v>
      </c>
    </row>
    <row r="243" spans="1:17" x14ac:dyDescent="0.3">
      <c r="A243" s="2"/>
      <c r="B243" s="18"/>
      <c r="C243" s="7">
        <v>25.23</v>
      </c>
      <c r="D243" s="7">
        <v>25.06</v>
      </c>
      <c r="E243" s="7">
        <v>24.84</v>
      </c>
      <c r="F243" s="7">
        <v>24.86</v>
      </c>
      <c r="G243" s="7"/>
      <c r="I243">
        <f>C245</f>
        <v>165</v>
      </c>
      <c r="J243">
        <f t="shared" si="119"/>
        <v>281</v>
      </c>
      <c r="K243">
        <f t="shared" si="119"/>
        <v>428</v>
      </c>
      <c r="L243">
        <f t="shared" si="119"/>
        <v>417</v>
      </c>
      <c r="N243" t="str">
        <f>TEXT(I245,"#,##0")&amp;" ("&amp;TEXT(I246,"0.00")&amp;")"</f>
        <v>17,157 (0.00)</v>
      </c>
      <c r="O243" t="str">
        <f t="shared" ref="O243:Q243" si="121">TEXT(J245,"#,##0")&amp;" ("&amp;TEXT(J246,"0.00")&amp;")"</f>
        <v>17,160 (0.00)</v>
      </c>
      <c r="P243" t="str">
        <f t="shared" si="121"/>
        <v>17,158 (0.00)</v>
      </c>
      <c r="Q243" t="str">
        <f t="shared" si="121"/>
        <v>17,159 (0.00)</v>
      </c>
    </row>
    <row r="244" spans="1:17" x14ac:dyDescent="0.3">
      <c r="A244" s="2"/>
      <c r="B244" s="18"/>
      <c r="C244" s="7">
        <v>99.04</v>
      </c>
      <c r="D244" s="7">
        <v>98.36</v>
      </c>
      <c r="E244" s="7">
        <v>97.51</v>
      </c>
      <c r="F244" s="7">
        <v>97.57</v>
      </c>
      <c r="G244" s="7"/>
      <c r="I244">
        <f>C248</f>
        <v>0.96</v>
      </c>
      <c r="J244">
        <f t="shared" ref="J244:L245" si="122">D248</f>
        <v>1.64</v>
      </c>
      <c r="K244">
        <f t="shared" si="122"/>
        <v>2.4900000000000002</v>
      </c>
      <c r="L244">
        <f t="shared" si="122"/>
        <v>2.4300000000000002</v>
      </c>
      <c r="N244" t="str">
        <f>TEXT(I247,"#,##0")&amp;" ("&amp;TEXT(I248,"0.00")&amp;")"</f>
        <v>0 (17069.00)</v>
      </c>
      <c r="O244" t="str">
        <f t="shared" ref="O244:Q244" si="123">TEXT(J247,"#,##0")&amp;" ("&amp;TEXT(J248,"0.00")&amp;")"</f>
        <v>0 (17001.00)</v>
      </c>
      <c r="P244" t="str">
        <f t="shared" si="123"/>
        <v>0 (16974.00)</v>
      </c>
      <c r="Q244" t="str">
        <f t="shared" si="123"/>
        <v>0 (16953.00)</v>
      </c>
    </row>
    <row r="245" spans="1:17" x14ac:dyDescent="0.3">
      <c r="A245" s="2"/>
      <c r="B245" s="18">
        <v>1</v>
      </c>
      <c r="C245" s="7">
        <v>165</v>
      </c>
      <c r="D245" s="7">
        <v>281</v>
      </c>
      <c r="E245" s="7">
        <v>428</v>
      </c>
      <c r="F245" s="7">
        <v>417</v>
      </c>
      <c r="G245" s="7">
        <v>1291</v>
      </c>
      <c r="I245">
        <f>C249</f>
        <v>17157</v>
      </c>
      <c r="J245">
        <f t="shared" si="122"/>
        <v>17160</v>
      </c>
      <c r="K245">
        <f t="shared" si="122"/>
        <v>17158</v>
      </c>
      <c r="L245">
        <f t="shared" si="122"/>
        <v>17159</v>
      </c>
    </row>
    <row r="246" spans="1:17" x14ac:dyDescent="0.3">
      <c r="A246" s="2"/>
      <c r="B246" s="18"/>
      <c r="C246" s="7">
        <v>0.24</v>
      </c>
      <c r="D246" s="7">
        <v>0.41</v>
      </c>
      <c r="E246" s="7">
        <v>0.62</v>
      </c>
      <c r="F246" s="7">
        <v>0.61</v>
      </c>
      <c r="G246" s="7">
        <v>1.88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18"/>
      <c r="C247" s="7">
        <v>12.78</v>
      </c>
      <c r="D247" s="7">
        <v>21.77</v>
      </c>
      <c r="E247" s="7">
        <v>33.15</v>
      </c>
      <c r="F247" s="7">
        <v>32.299999999999997</v>
      </c>
      <c r="G247" s="7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18"/>
      <c r="C248" s="7">
        <v>0.96</v>
      </c>
      <c r="D248" s="7">
        <v>1.64</v>
      </c>
      <c r="E248" s="7">
        <v>2.4900000000000002</v>
      </c>
      <c r="F248" s="7">
        <v>2.4300000000000002</v>
      </c>
      <c r="G248" s="7"/>
      <c r="I248">
        <f>C256</f>
        <v>17069</v>
      </c>
      <c r="J248">
        <f t="shared" ref="J248:L248" si="125">D256</f>
        <v>17001</v>
      </c>
      <c r="K248">
        <f t="shared" si="125"/>
        <v>16974</v>
      </c>
      <c r="L248">
        <f t="shared" si="125"/>
        <v>16953</v>
      </c>
    </row>
    <row r="249" spans="1:17" x14ac:dyDescent="0.3">
      <c r="A249" s="2"/>
      <c r="B249" s="18" t="s">
        <v>24</v>
      </c>
      <c r="C249" s="7">
        <v>17157</v>
      </c>
      <c r="D249" s="7">
        <v>17160</v>
      </c>
      <c r="E249" s="7">
        <v>17158</v>
      </c>
      <c r="F249" s="7">
        <v>17159</v>
      </c>
      <c r="G249" s="7">
        <v>68634</v>
      </c>
    </row>
    <row r="250" spans="1:17" x14ac:dyDescent="0.3">
      <c r="A250" s="2"/>
      <c r="B250" s="18"/>
      <c r="C250" s="7">
        <v>25</v>
      </c>
      <c r="D250" s="7">
        <v>25</v>
      </c>
      <c r="E250" s="7">
        <v>25</v>
      </c>
      <c r="F250" s="7">
        <v>25</v>
      </c>
      <c r="G250" s="7">
        <v>100</v>
      </c>
    </row>
    <row r="251" spans="1:17" x14ac:dyDescent="0.3">
      <c r="A251" s="2"/>
      <c r="B251" s="21"/>
      <c r="C251" s="21"/>
      <c r="D251" s="21"/>
      <c r="E251" s="21"/>
      <c r="F251" s="21"/>
      <c r="G251" s="21"/>
    </row>
    <row r="252" spans="1:17" ht="17.25" thickBot="1" x14ac:dyDescent="0.35"/>
    <row r="253" spans="1:17" ht="16.5" customHeight="1" x14ac:dyDescent="0.3">
      <c r="A253" s="4" t="s">
        <v>2</v>
      </c>
      <c r="B253" s="17" t="s">
        <v>72</v>
      </c>
      <c r="C253" s="19"/>
      <c r="D253" s="19"/>
      <c r="E253" s="19"/>
      <c r="F253" s="19"/>
      <c r="G253" s="19"/>
    </row>
    <row r="254" spans="1:17" ht="16.5" customHeight="1" x14ac:dyDescent="0.3">
      <c r="A254" s="6" t="s">
        <v>3</v>
      </c>
      <c r="B254" s="18" t="s">
        <v>18</v>
      </c>
      <c r="C254" s="20" t="s">
        <v>58</v>
      </c>
      <c r="D254" s="20"/>
      <c r="E254" s="20"/>
      <c r="F254" s="20"/>
      <c r="G254" s="20"/>
    </row>
    <row r="255" spans="1:17" x14ac:dyDescent="0.3">
      <c r="A255" s="6" t="s">
        <v>20</v>
      </c>
      <c r="B255" s="1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18">
        <v>0</v>
      </c>
      <c r="C256" s="7">
        <v>17069</v>
      </c>
      <c r="D256" s="7">
        <v>17001</v>
      </c>
      <c r="E256" s="7">
        <v>16974</v>
      </c>
      <c r="F256" s="7">
        <v>16953</v>
      </c>
      <c r="G256" s="7">
        <v>67997</v>
      </c>
      <c r="I256">
        <f>C256</f>
        <v>17069</v>
      </c>
      <c r="J256">
        <f t="shared" ref="J256:L256" si="126">D256</f>
        <v>17001</v>
      </c>
      <c r="K256">
        <f t="shared" si="126"/>
        <v>16974</v>
      </c>
      <c r="L256">
        <f t="shared" si="126"/>
        <v>16953</v>
      </c>
      <c r="N256" t="str">
        <f>TEXT(I256,"#,##0")&amp;" ("&amp;TEXT(I257,"0.00")&amp;")"</f>
        <v>17,069 (99.49)</v>
      </c>
      <c r="O256" t="str">
        <f t="shared" ref="O256:Q256" si="127">TEXT(J256,"#,##0")&amp;" ("&amp;TEXT(J257,"0.00")&amp;")"</f>
        <v>17,001 (99.07)</v>
      </c>
      <c r="P256" t="str">
        <f t="shared" si="127"/>
        <v>16,974 (98.93)</v>
      </c>
      <c r="Q256" t="str">
        <f t="shared" si="127"/>
        <v>16,953 (98.80)</v>
      </c>
    </row>
    <row r="257" spans="1:17" x14ac:dyDescent="0.3">
      <c r="A257" s="2"/>
      <c r="B257" s="18"/>
      <c r="C257" s="7">
        <v>24.87</v>
      </c>
      <c r="D257" s="7">
        <v>24.77</v>
      </c>
      <c r="E257" s="7">
        <v>24.73</v>
      </c>
      <c r="F257" s="7">
        <v>24.7</v>
      </c>
      <c r="G257" s="7">
        <v>99.07</v>
      </c>
      <c r="I257">
        <f>C259</f>
        <v>99.49</v>
      </c>
      <c r="J257">
        <f t="shared" ref="J257:L258" si="128">D259</f>
        <v>99.07</v>
      </c>
      <c r="K257">
        <f t="shared" si="128"/>
        <v>98.93</v>
      </c>
      <c r="L257">
        <f t="shared" si="128"/>
        <v>98.8</v>
      </c>
      <c r="N257" t="str">
        <f>TEXT(I258,"#,##0")&amp;" ("&amp;TEXT(I259,"0.00")&amp;")"</f>
        <v>88 (0.51)</v>
      </c>
      <c r="O257" t="str">
        <f t="shared" ref="O257:Q257" si="129">TEXT(J258,"#,##0")&amp;" ("&amp;TEXT(J259,"0.00")&amp;")"</f>
        <v>159 (0.93)</v>
      </c>
      <c r="P257" t="str">
        <f t="shared" si="129"/>
        <v>184 (1.07)</v>
      </c>
      <c r="Q257" t="str">
        <f t="shared" si="129"/>
        <v>206 (1.20)</v>
      </c>
    </row>
    <row r="258" spans="1:17" x14ac:dyDescent="0.3">
      <c r="A258" s="2"/>
      <c r="B258" s="18"/>
      <c r="C258" s="7">
        <v>25.1</v>
      </c>
      <c r="D258" s="7">
        <v>25</v>
      </c>
      <c r="E258" s="7">
        <v>24.96</v>
      </c>
      <c r="F258" s="7">
        <v>24.93</v>
      </c>
      <c r="G258" s="7"/>
      <c r="I258">
        <f>C260</f>
        <v>88</v>
      </c>
      <c r="J258">
        <f t="shared" si="128"/>
        <v>159</v>
      </c>
      <c r="K258">
        <f t="shared" si="128"/>
        <v>184</v>
      </c>
      <c r="L258">
        <f t="shared" si="128"/>
        <v>206</v>
      </c>
      <c r="N258" t="str">
        <f>TEXT(I260,"#,##0")&amp;" ("&amp;TEXT(I261,"0.00")&amp;")"</f>
        <v>17,157 (0.00)</v>
      </c>
      <c r="O258" t="str">
        <f t="shared" ref="O258:Q258" si="130">TEXT(J260,"#,##0")&amp;" ("&amp;TEXT(J261,"0.00")&amp;")"</f>
        <v>17,160 (0.00)</v>
      </c>
      <c r="P258" t="str">
        <f t="shared" si="130"/>
        <v>17,158 (0.00)</v>
      </c>
      <c r="Q258" t="str">
        <f t="shared" si="130"/>
        <v>17,159 (0.00)</v>
      </c>
    </row>
    <row r="259" spans="1:17" x14ac:dyDescent="0.3">
      <c r="A259" s="2"/>
      <c r="B259" s="18"/>
      <c r="C259" s="7">
        <v>99.49</v>
      </c>
      <c r="D259" s="7">
        <v>99.07</v>
      </c>
      <c r="E259" s="7">
        <v>98.93</v>
      </c>
      <c r="F259" s="7">
        <v>98.8</v>
      </c>
      <c r="G259" s="7"/>
      <c r="I259">
        <f>C263</f>
        <v>0.51</v>
      </c>
      <c r="J259">
        <f t="shared" ref="J259:L260" si="131">D263</f>
        <v>0.93</v>
      </c>
      <c r="K259">
        <f t="shared" si="131"/>
        <v>1.07</v>
      </c>
      <c r="L259">
        <f t="shared" si="131"/>
        <v>1.2</v>
      </c>
      <c r="N259" t="str">
        <f>TEXT(I262,"#,##0")&amp;" ("&amp;TEXT(I263,"0.00")&amp;")"</f>
        <v>0 (16967.00)</v>
      </c>
      <c r="O259" t="str">
        <f t="shared" ref="O259:Q259" si="132">TEXT(J262,"#,##0")&amp;" ("&amp;TEXT(J263,"0.00")&amp;")"</f>
        <v>0 (16862.00)</v>
      </c>
      <c r="P259" t="str">
        <f t="shared" si="132"/>
        <v>0 (16798.00)</v>
      </c>
      <c r="Q259" t="str">
        <f t="shared" si="132"/>
        <v>0 (16806.00)</v>
      </c>
    </row>
    <row r="260" spans="1:17" x14ac:dyDescent="0.3">
      <c r="A260" s="2"/>
      <c r="B260" s="18">
        <v>1</v>
      </c>
      <c r="C260" s="7">
        <v>88</v>
      </c>
      <c r="D260" s="7">
        <v>159</v>
      </c>
      <c r="E260" s="7">
        <v>184</v>
      </c>
      <c r="F260" s="7">
        <v>206</v>
      </c>
      <c r="G260" s="7">
        <v>637</v>
      </c>
      <c r="I260">
        <f>C264</f>
        <v>17157</v>
      </c>
      <c r="J260">
        <f t="shared" si="131"/>
        <v>17160</v>
      </c>
      <c r="K260">
        <f t="shared" si="131"/>
        <v>17158</v>
      </c>
      <c r="L260">
        <f t="shared" si="131"/>
        <v>17159</v>
      </c>
    </row>
    <row r="261" spans="1:17" x14ac:dyDescent="0.3">
      <c r="A261" s="2"/>
      <c r="B261" s="18"/>
      <c r="C261" s="7">
        <v>0.13</v>
      </c>
      <c r="D261" s="7">
        <v>0.23</v>
      </c>
      <c r="E261" s="7">
        <v>0.27</v>
      </c>
      <c r="F261" s="7">
        <v>0.3</v>
      </c>
      <c r="G261" s="7">
        <v>0.93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18"/>
      <c r="C262" s="7">
        <v>13.81</v>
      </c>
      <c r="D262" s="7">
        <v>24.96</v>
      </c>
      <c r="E262" s="7">
        <v>28.89</v>
      </c>
      <c r="F262" s="7">
        <v>32.340000000000003</v>
      </c>
      <c r="G262" s="7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18"/>
      <c r="C263" s="7">
        <v>0.51</v>
      </c>
      <c r="D263" s="7">
        <v>0.93</v>
      </c>
      <c r="E263" s="7">
        <v>1.07</v>
      </c>
      <c r="F263" s="7">
        <v>1.2</v>
      </c>
      <c r="G263" s="7"/>
      <c r="I263">
        <f>C271</f>
        <v>16967</v>
      </c>
      <c r="J263">
        <f t="shared" ref="J263:L263" si="134">D271</f>
        <v>16862</v>
      </c>
      <c r="K263">
        <f t="shared" si="134"/>
        <v>16798</v>
      </c>
      <c r="L263">
        <f t="shared" si="134"/>
        <v>16806</v>
      </c>
    </row>
    <row r="264" spans="1:17" x14ac:dyDescent="0.3">
      <c r="A264" s="2"/>
      <c r="B264" s="18" t="s">
        <v>24</v>
      </c>
      <c r="C264" s="7">
        <v>17157</v>
      </c>
      <c r="D264" s="7">
        <v>17160</v>
      </c>
      <c r="E264" s="7">
        <v>17158</v>
      </c>
      <c r="F264" s="7">
        <v>17159</v>
      </c>
      <c r="G264" s="7">
        <v>68634</v>
      </c>
    </row>
    <row r="265" spans="1:17" x14ac:dyDescent="0.3">
      <c r="A265" s="2"/>
      <c r="B265" s="18"/>
      <c r="C265" s="7">
        <v>25</v>
      </c>
      <c r="D265" s="7">
        <v>25</v>
      </c>
      <c r="E265" s="7">
        <v>25</v>
      </c>
      <c r="F265" s="7">
        <v>25</v>
      </c>
      <c r="G265" s="7">
        <v>100</v>
      </c>
    </row>
    <row r="266" spans="1:17" x14ac:dyDescent="0.3">
      <c r="A266" s="2"/>
      <c r="B266" s="21"/>
      <c r="C266" s="21"/>
      <c r="D266" s="21"/>
      <c r="E266" s="21"/>
      <c r="F266" s="21"/>
      <c r="G266" s="21"/>
    </row>
    <row r="267" spans="1:17" ht="17.25" thickBot="1" x14ac:dyDescent="0.35"/>
    <row r="268" spans="1:17" ht="16.5" customHeight="1" x14ac:dyDescent="0.3">
      <c r="A268" s="4" t="s">
        <v>2</v>
      </c>
      <c r="B268" s="17" t="s">
        <v>73</v>
      </c>
      <c r="C268" s="19"/>
      <c r="D268" s="19"/>
      <c r="E268" s="19"/>
      <c r="F268" s="19"/>
      <c r="G268" s="19"/>
    </row>
    <row r="269" spans="1:17" ht="16.5" customHeight="1" x14ac:dyDescent="0.3">
      <c r="A269" s="6" t="s">
        <v>3</v>
      </c>
      <c r="B269" s="18" t="s">
        <v>19</v>
      </c>
      <c r="C269" s="20" t="s">
        <v>58</v>
      </c>
      <c r="D269" s="20"/>
      <c r="E269" s="20"/>
      <c r="F269" s="20"/>
      <c r="G269" s="20"/>
    </row>
    <row r="270" spans="1:17" x14ac:dyDescent="0.3">
      <c r="A270" s="6" t="s">
        <v>20</v>
      </c>
      <c r="B270" s="1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18">
        <v>0</v>
      </c>
      <c r="C271" s="7">
        <v>16967</v>
      </c>
      <c r="D271" s="7">
        <v>16862</v>
      </c>
      <c r="E271" s="7">
        <v>16798</v>
      </c>
      <c r="F271" s="7">
        <v>16806</v>
      </c>
      <c r="G271" s="7">
        <v>67433</v>
      </c>
      <c r="I271">
        <f>C271</f>
        <v>16967</v>
      </c>
      <c r="J271">
        <f t="shared" ref="J271:L271" si="135">D271</f>
        <v>16862</v>
      </c>
      <c r="K271">
        <f t="shared" si="135"/>
        <v>16798</v>
      </c>
      <c r="L271">
        <f t="shared" si="135"/>
        <v>16806</v>
      </c>
      <c r="N271" t="str">
        <f>TEXT(I271,"#,##0")&amp;" ("&amp;TEXT(I272,"0.00")&amp;")"</f>
        <v>16,967 (98.89)</v>
      </c>
      <c r="O271" t="str">
        <f t="shared" ref="O271:Q271" si="136">TEXT(J271,"#,##0")&amp;" ("&amp;TEXT(J272,"0.00")&amp;")"</f>
        <v>16,862 (98.26)</v>
      </c>
      <c r="P271" t="str">
        <f t="shared" si="136"/>
        <v>16,798 (97.90)</v>
      </c>
      <c r="Q271" t="str">
        <f t="shared" si="136"/>
        <v>16,806 (97.94)</v>
      </c>
    </row>
    <row r="272" spans="1:17" x14ac:dyDescent="0.3">
      <c r="A272" s="2"/>
      <c r="B272" s="18"/>
      <c r="C272" s="7">
        <v>24.72</v>
      </c>
      <c r="D272" s="7">
        <v>24.57</v>
      </c>
      <c r="E272" s="7">
        <v>24.47</v>
      </c>
      <c r="F272" s="7">
        <v>24.49</v>
      </c>
      <c r="G272" s="7">
        <v>98.25</v>
      </c>
      <c r="I272">
        <f>C274</f>
        <v>98.89</v>
      </c>
      <c r="J272">
        <f t="shared" ref="J272:L273" si="137">D274</f>
        <v>98.26</v>
      </c>
      <c r="K272">
        <f t="shared" si="137"/>
        <v>97.9</v>
      </c>
      <c r="L272">
        <f t="shared" si="137"/>
        <v>97.94</v>
      </c>
      <c r="N272" t="str">
        <f>TEXT(I273,"#,##0")&amp;" ("&amp;TEXT(I274,"0.00")&amp;")"</f>
        <v>190 (1.11)</v>
      </c>
      <c r="O272" t="str">
        <f t="shared" ref="O272:Q272" si="138">TEXT(J273,"#,##0")&amp;" ("&amp;TEXT(J274,"0.00")&amp;")"</f>
        <v>298 (1.74)</v>
      </c>
      <c r="P272" t="str">
        <f t="shared" si="138"/>
        <v>360 (2.10)</v>
      </c>
      <c r="Q272" t="str">
        <f t="shared" si="138"/>
        <v>353 (2.06)</v>
      </c>
    </row>
    <row r="273" spans="1:17" x14ac:dyDescent="0.3">
      <c r="A273" s="2"/>
      <c r="B273" s="18"/>
      <c r="C273" s="7">
        <v>25.16</v>
      </c>
      <c r="D273" s="7">
        <v>25.01</v>
      </c>
      <c r="E273" s="7">
        <v>24.91</v>
      </c>
      <c r="F273" s="7">
        <v>24.92</v>
      </c>
      <c r="G273" s="7"/>
      <c r="I273">
        <f>C275</f>
        <v>190</v>
      </c>
      <c r="J273">
        <f t="shared" si="137"/>
        <v>298</v>
      </c>
      <c r="K273">
        <f t="shared" si="137"/>
        <v>360</v>
      </c>
      <c r="L273">
        <f t="shared" si="137"/>
        <v>353</v>
      </c>
      <c r="N273" t="str">
        <f>TEXT(I275,"#,##0")&amp;" ("&amp;TEXT(I276,"0.00")&amp;")"</f>
        <v>17,157 (0.00)</v>
      </c>
      <c r="O273" t="str">
        <f t="shared" ref="O273:Q273" si="139">TEXT(J275,"#,##0")&amp;" ("&amp;TEXT(J276,"0.00")&amp;")"</f>
        <v>17,160 (0.00)</v>
      </c>
      <c r="P273" t="str">
        <f t="shared" si="139"/>
        <v>17,158 (0.00)</v>
      </c>
      <c r="Q273" t="str">
        <f t="shared" si="139"/>
        <v>17,159 (0.00)</v>
      </c>
    </row>
    <row r="274" spans="1:17" x14ac:dyDescent="0.3">
      <c r="A274" s="2"/>
      <c r="B274" s="18"/>
      <c r="C274" s="7">
        <v>98.89</v>
      </c>
      <c r="D274" s="7">
        <v>98.26</v>
      </c>
      <c r="E274" s="7">
        <v>97.9</v>
      </c>
      <c r="F274" s="7">
        <v>97.94</v>
      </c>
      <c r="G274" s="7"/>
      <c r="I274">
        <f>C278</f>
        <v>1.1100000000000001</v>
      </c>
      <c r="J274">
        <f t="shared" ref="J274:L275" si="140">D278</f>
        <v>1.74</v>
      </c>
      <c r="K274">
        <f t="shared" si="140"/>
        <v>2.1</v>
      </c>
      <c r="L274">
        <f t="shared" si="140"/>
        <v>2.06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18">
        <v>1</v>
      </c>
      <c r="C275" s="7">
        <v>190</v>
      </c>
      <c r="D275" s="7">
        <v>298</v>
      </c>
      <c r="E275" s="7">
        <v>360</v>
      </c>
      <c r="F275" s="7">
        <v>353</v>
      </c>
      <c r="G275" s="7">
        <v>1201</v>
      </c>
      <c r="I275">
        <f>C279</f>
        <v>17157</v>
      </c>
      <c r="J275">
        <f t="shared" si="140"/>
        <v>17160</v>
      </c>
      <c r="K275">
        <f t="shared" si="140"/>
        <v>17158</v>
      </c>
      <c r="L275">
        <f t="shared" si="140"/>
        <v>17159</v>
      </c>
    </row>
    <row r="276" spans="1:17" x14ac:dyDescent="0.3">
      <c r="A276" s="2"/>
      <c r="B276" s="18"/>
      <c r="C276" s="7">
        <v>0.28000000000000003</v>
      </c>
      <c r="D276" s="7">
        <v>0.43</v>
      </c>
      <c r="E276" s="7">
        <v>0.52</v>
      </c>
      <c r="F276" s="7">
        <v>0.51</v>
      </c>
      <c r="G276" s="7">
        <v>1.75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18"/>
      <c r="C277" s="7">
        <v>15.82</v>
      </c>
      <c r="D277" s="7">
        <v>24.81</v>
      </c>
      <c r="E277" s="7">
        <v>29.98</v>
      </c>
      <c r="F277" s="7">
        <v>29.39</v>
      </c>
      <c r="G277" s="7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18"/>
      <c r="C278" s="7">
        <v>1.1100000000000001</v>
      </c>
      <c r="D278" s="7">
        <v>1.74</v>
      </c>
      <c r="E278" s="7">
        <v>2.1</v>
      </c>
      <c r="F278" s="7">
        <v>2.06</v>
      </c>
      <c r="G278" s="7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18" t="s">
        <v>24</v>
      </c>
      <c r="C279" s="7">
        <v>17157</v>
      </c>
      <c r="D279" s="7">
        <v>17160</v>
      </c>
      <c r="E279" s="7">
        <v>17158</v>
      </c>
      <c r="F279" s="7">
        <v>17159</v>
      </c>
      <c r="G279" s="7">
        <v>68634</v>
      </c>
    </row>
    <row r="280" spans="1:17" x14ac:dyDescent="0.3">
      <c r="A280" s="2"/>
      <c r="B280" s="18"/>
      <c r="C280" s="7">
        <v>25</v>
      </c>
      <c r="D280" s="7">
        <v>25</v>
      </c>
      <c r="E280" s="7">
        <v>25</v>
      </c>
      <c r="F280" s="7">
        <v>25</v>
      </c>
      <c r="G280" s="7">
        <v>100</v>
      </c>
    </row>
    <row r="281" spans="1:17" x14ac:dyDescent="0.3">
      <c r="A281" s="2"/>
      <c r="B281" s="21"/>
      <c r="C281" s="21"/>
      <c r="D281" s="21"/>
      <c r="E281" s="21"/>
      <c r="F281" s="21"/>
      <c r="G281" s="21"/>
    </row>
  </sheetData>
  <mergeCells count="122"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DF1-6259-4E06-91F4-931C4C9D3E00}">
  <dimension ref="A1:Q281"/>
  <sheetViews>
    <sheetView workbookViewId="0">
      <selection activeCell="C18" sqref="C18:F18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17" t="s">
        <v>74</v>
      </c>
      <c r="C3" s="19"/>
      <c r="D3" s="19"/>
      <c r="E3" s="19"/>
      <c r="F3" s="19"/>
      <c r="G3" s="19"/>
    </row>
    <row r="4" spans="1:17" ht="16.5" customHeight="1" x14ac:dyDescent="0.3">
      <c r="A4" s="6" t="s">
        <v>3</v>
      </c>
      <c r="B4" s="18" t="s">
        <v>1</v>
      </c>
      <c r="C4" s="20" t="s">
        <v>75</v>
      </c>
      <c r="D4" s="20"/>
      <c r="E4" s="20"/>
      <c r="F4" s="20"/>
      <c r="G4" s="20"/>
    </row>
    <row r="5" spans="1:17" x14ac:dyDescent="0.3">
      <c r="A5" s="6" t="s">
        <v>20</v>
      </c>
      <c r="B5" s="1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18">
        <v>1</v>
      </c>
      <c r="C6" s="7">
        <v>8096</v>
      </c>
      <c r="D6" s="7">
        <v>5098</v>
      </c>
      <c r="E6" s="7">
        <v>3738</v>
      </c>
      <c r="F6" s="7">
        <v>4147</v>
      </c>
      <c r="G6" s="7">
        <v>21079</v>
      </c>
      <c r="I6">
        <f>C6</f>
        <v>8096</v>
      </c>
      <c r="J6">
        <f t="shared" ref="J6:L6" si="0">D6</f>
        <v>5098</v>
      </c>
      <c r="K6">
        <f t="shared" si="0"/>
        <v>3738</v>
      </c>
      <c r="L6">
        <f t="shared" si="0"/>
        <v>4147</v>
      </c>
      <c r="N6" t="str">
        <f>TEXT(I6,"#,##0")&amp;" ("&amp;TEXT(I7,"0.00")&amp;")"</f>
        <v>8,096 (47.18)</v>
      </c>
      <c r="O6" t="str">
        <f t="shared" ref="O6:Q6" si="1">TEXT(J6,"#,##0")&amp;" ("&amp;TEXT(J7,"0.00")&amp;")"</f>
        <v>5,098 (29.71)</v>
      </c>
      <c r="P6" t="str">
        <f t="shared" si="1"/>
        <v>3,738 (21.78)</v>
      </c>
      <c r="Q6" t="str">
        <f t="shared" si="1"/>
        <v>4,147 (24.17)</v>
      </c>
    </row>
    <row r="7" spans="1:17" x14ac:dyDescent="0.3">
      <c r="A7" s="2"/>
      <c r="B7" s="18"/>
      <c r="C7" s="7">
        <v>11.8</v>
      </c>
      <c r="D7" s="7">
        <v>7.43</v>
      </c>
      <c r="E7" s="7">
        <v>5.45</v>
      </c>
      <c r="F7" s="7">
        <v>6.04</v>
      </c>
      <c r="G7" s="7">
        <v>30.71</v>
      </c>
      <c r="I7">
        <f>C9</f>
        <v>47.18</v>
      </c>
      <c r="J7">
        <f t="shared" ref="J7:L8" si="2">D9</f>
        <v>29.71</v>
      </c>
      <c r="K7">
        <f t="shared" si="2"/>
        <v>21.78</v>
      </c>
      <c r="L7">
        <f t="shared" si="2"/>
        <v>24.17</v>
      </c>
      <c r="N7" t="str">
        <f>TEXT(I8,"#,##0")&amp;" ("&amp;TEXT(I9,"0.00")&amp;")"</f>
        <v>6,822 (39.76)</v>
      </c>
      <c r="O7" t="str">
        <f t="shared" ref="O7:Q7" si="3">TEXT(J8,"#,##0")&amp;" ("&amp;TEXT(J9,"0.00")&amp;")"</f>
        <v>8,472 (49.38)</v>
      </c>
      <c r="P7" t="str">
        <f t="shared" si="3"/>
        <v>8,940 (52.10)</v>
      </c>
      <c r="Q7" t="str">
        <f t="shared" si="3"/>
        <v>9,236 (53.83)</v>
      </c>
    </row>
    <row r="8" spans="1:17" x14ac:dyDescent="0.3">
      <c r="A8" s="2"/>
      <c r="B8" s="18"/>
      <c r="C8" s="7">
        <v>38.409999999999997</v>
      </c>
      <c r="D8" s="7">
        <v>24.19</v>
      </c>
      <c r="E8" s="7">
        <v>17.73</v>
      </c>
      <c r="F8" s="7">
        <v>19.670000000000002</v>
      </c>
      <c r="G8" s="7"/>
      <c r="I8">
        <f>C10</f>
        <v>6822</v>
      </c>
      <c r="J8">
        <f t="shared" si="2"/>
        <v>8472</v>
      </c>
      <c r="K8">
        <f t="shared" si="2"/>
        <v>8940</v>
      </c>
      <c r="L8">
        <f t="shared" si="2"/>
        <v>9236</v>
      </c>
      <c r="N8" t="str">
        <f>TEXT(I10,"#,##0")&amp;" ("&amp;TEXT(I11,"0.00")&amp;")"</f>
        <v>2,241 (13.06)</v>
      </c>
      <c r="O8" t="str">
        <f t="shared" ref="O8:Q8" si="4">TEXT(J10,"#,##0")&amp;" ("&amp;TEXT(J11,"0.00")&amp;")"</f>
        <v>3,588 (20.91)</v>
      </c>
      <c r="P8" t="str">
        <f t="shared" si="4"/>
        <v>4,481 (26.11)</v>
      </c>
      <c r="Q8" t="str">
        <f t="shared" si="4"/>
        <v>3,775 (22.00)</v>
      </c>
    </row>
    <row r="9" spans="1:17" x14ac:dyDescent="0.3">
      <c r="A9" s="2"/>
      <c r="B9" s="18"/>
      <c r="C9" s="7">
        <v>47.18</v>
      </c>
      <c r="D9" s="7">
        <v>29.71</v>
      </c>
      <c r="E9" s="7">
        <v>21.78</v>
      </c>
      <c r="F9" s="7">
        <v>24.17</v>
      </c>
      <c r="G9" s="7"/>
      <c r="I9">
        <f>C13</f>
        <v>39.76</v>
      </c>
      <c r="J9">
        <f t="shared" ref="J9:L10" si="5">D13</f>
        <v>49.38</v>
      </c>
      <c r="K9">
        <f t="shared" si="5"/>
        <v>52.1</v>
      </c>
      <c r="L9">
        <f t="shared" si="5"/>
        <v>53.83</v>
      </c>
      <c r="N9" t="str">
        <f>TEXT(I12,"#,##0")&amp;" ("&amp;TEXT(I13,"0.00")&amp;")"</f>
        <v>17,159 (0.00)</v>
      </c>
      <c r="O9" t="str">
        <f t="shared" ref="O9:Q9" si="6">TEXT(J12,"#,##0")&amp;" ("&amp;TEXT(J13,"0.00")&amp;")"</f>
        <v>17,158 (0.00)</v>
      </c>
      <c r="P9" t="str">
        <f t="shared" si="6"/>
        <v>17,159 (0.00)</v>
      </c>
      <c r="Q9" t="str">
        <f t="shared" si="6"/>
        <v>17,158 (0.00)</v>
      </c>
    </row>
    <row r="10" spans="1:17" x14ac:dyDescent="0.3">
      <c r="A10" s="2"/>
      <c r="B10" s="18">
        <v>2</v>
      </c>
      <c r="C10" s="7">
        <v>6822</v>
      </c>
      <c r="D10" s="7">
        <v>8472</v>
      </c>
      <c r="E10" s="7">
        <v>8940</v>
      </c>
      <c r="F10" s="7">
        <v>9236</v>
      </c>
      <c r="G10" s="7">
        <v>33470</v>
      </c>
      <c r="I10">
        <f>C14</f>
        <v>2241</v>
      </c>
      <c r="J10">
        <f t="shared" si="5"/>
        <v>3588</v>
      </c>
      <c r="K10">
        <f t="shared" si="5"/>
        <v>4481</v>
      </c>
      <c r="L10">
        <f t="shared" si="5"/>
        <v>3775</v>
      </c>
    </row>
    <row r="11" spans="1:17" x14ac:dyDescent="0.3">
      <c r="A11" s="2"/>
      <c r="B11" s="18"/>
      <c r="C11" s="7">
        <v>9.94</v>
      </c>
      <c r="D11" s="7">
        <v>12.34</v>
      </c>
      <c r="E11" s="7">
        <v>13.03</v>
      </c>
      <c r="F11" s="7">
        <v>13.46</v>
      </c>
      <c r="G11" s="7">
        <v>48.77</v>
      </c>
      <c r="I11">
        <f>C17</f>
        <v>13.06</v>
      </c>
      <c r="J11">
        <f t="shared" ref="J11:L12" si="7">D17</f>
        <v>20.91</v>
      </c>
      <c r="K11">
        <f t="shared" si="7"/>
        <v>26.11</v>
      </c>
      <c r="L11">
        <f t="shared" si="7"/>
        <v>22</v>
      </c>
    </row>
    <row r="12" spans="1:17" x14ac:dyDescent="0.3">
      <c r="A12" s="2"/>
      <c r="B12" s="18"/>
      <c r="C12" s="7">
        <v>20.38</v>
      </c>
      <c r="D12" s="7">
        <v>25.31</v>
      </c>
      <c r="E12" s="7">
        <v>26.71</v>
      </c>
      <c r="F12" s="7">
        <v>27.59</v>
      </c>
      <c r="G12" s="7"/>
      <c r="I12">
        <f>C18</f>
        <v>17159</v>
      </c>
      <c r="J12">
        <f t="shared" si="7"/>
        <v>17158</v>
      </c>
      <c r="K12">
        <f t="shared" si="7"/>
        <v>17159</v>
      </c>
      <c r="L12">
        <f t="shared" si="7"/>
        <v>17158</v>
      </c>
    </row>
    <row r="13" spans="1:17" x14ac:dyDescent="0.3">
      <c r="A13" s="2"/>
      <c r="B13" s="18"/>
      <c r="C13" s="7">
        <v>39.76</v>
      </c>
      <c r="D13" s="7">
        <v>49.38</v>
      </c>
      <c r="E13" s="7">
        <v>52.1</v>
      </c>
      <c r="F13" s="7">
        <v>53.83</v>
      </c>
      <c r="G13" s="7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18">
        <v>3</v>
      </c>
      <c r="C14" s="7">
        <v>2241</v>
      </c>
      <c r="D14" s="7">
        <v>3588</v>
      </c>
      <c r="E14" s="7">
        <v>4481</v>
      </c>
      <c r="F14" s="7">
        <v>3775</v>
      </c>
      <c r="G14" s="7">
        <v>14085</v>
      </c>
    </row>
    <row r="15" spans="1:17" x14ac:dyDescent="0.3">
      <c r="A15" s="2"/>
      <c r="B15" s="18"/>
      <c r="C15" s="7">
        <v>3.27</v>
      </c>
      <c r="D15" s="7">
        <v>5.23</v>
      </c>
      <c r="E15" s="7">
        <v>6.53</v>
      </c>
      <c r="F15" s="7">
        <v>5.5</v>
      </c>
      <c r="G15" s="7">
        <v>20.52</v>
      </c>
    </row>
    <row r="16" spans="1:17" x14ac:dyDescent="0.3">
      <c r="A16" s="2"/>
      <c r="B16" s="18"/>
      <c r="C16" s="7">
        <v>15.91</v>
      </c>
      <c r="D16" s="7">
        <v>25.47</v>
      </c>
      <c r="E16" s="7">
        <v>31.81</v>
      </c>
      <c r="F16" s="7">
        <v>26.8</v>
      </c>
      <c r="G16" s="7"/>
    </row>
    <row r="17" spans="1:17" x14ac:dyDescent="0.3">
      <c r="A17" s="2"/>
      <c r="B17" s="18"/>
      <c r="C17" s="7">
        <v>13.06</v>
      </c>
      <c r="D17" s="7">
        <v>20.91</v>
      </c>
      <c r="E17" s="7">
        <v>26.11</v>
      </c>
      <c r="F17" s="7">
        <v>22</v>
      </c>
      <c r="G17" s="7"/>
    </row>
    <row r="18" spans="1:17" x14ac:dyDescent="0.3">
      <c r="A18" s="2"/>
      <c r="B18" s="18" t="s">
        <v>24</v>
      </c>
      <c r="C18" s="7">
        <v>17159</v>
      </c>
      <c r="D18" s="7">
        <v>17158</v>
      </c>
      <c r="E18" s="7">
        <v>17159</v>
      </c>
      <c r="F18" s="7">
        <v>17158</v>
      </c>
      <c r="G18" s="7">
        <v>68634</v>
      </c>
    </row>
    <row r="19" spans="1:17" x14ac:dyDescent="0.3">
      <c r="A19" s="2"/>
      <c r="B19" s="18"/>
      <c r="C19" s="7">
        <v>25</v>
      </c>
      <c r="D19" s="7">
        <v>25</v>
      </c>
      <c r="E19" s="7">
        <v>25</v>
      </c>
      <c r="F19" s="7">
        <v>25</v>
      </c>
      <c r="G19" s="7">
        <v>100</v>
      </c>
    </row>
    <row r="20" spans="1:17" x14ac:dyDescent="0.3">
      <c r="A20" s="2"/>
      <c r="B20" s="21"/>
      <c r="C20" s="21"/>
      <c r="D20" s="21"/>
      <c r="E20" s="21"/>
      <c r="F20" s="21"/>
      <c r="G20" s="21"/>
    </row>
    <row r="21" spans="1:17" ht="17.25" thickBot="1" x14ac:dyDescent="0.35"/>
    <row r="22" spans="1:17" ht="16.5" customHeight="1" x14ac:dyDescent="0.3">
      <c r="A22" s="4" t="s">
        <v>2</v>
      </c>
      <c r="B22" s="17" t="s">
        <v>76</v>
      </c>
      <c r="C22" s="19"/>
      <c r="D22" s="19"/>
      <c r="E22" s="19"/>
      <c r="F22" s="19"/>
      <c r="G22" s="19"/>
    </row>
    <row r="23" spans="1:17" ht="16.5" customHeight="1" x14ac:dyDescent="0.3">
      <c r="A23" s="6" t="s">
        <v>3</v>
      </c>
      <c r="B23" s="18" t="s">
        <v>5</v>
      </c>
      <c r="C23" s="20" t="s">
        <v>75</v>
      </c>
      <c r="D23" s="20"/>
      <c r="E23" s="20"/>
      <c r="F23" s="20"/>
      <c r="G23" s="20"/>
    </row>
    <row r="24" spans="1:17" x14ac:dyDescent="0.3">
      <c r="A24" s="6" t="s">
        <v>20</v>
      </c>
      <c r="B24" s="1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18">
        <v>1</v>
      </c>
      <c r="C25" s="7">
        <v>4964</v>
      </c>
      <c r="D25" s="7">
        <v>7769</v>
      </c>
      <c r="E25" s="7">
        <v>9655</v>
      </c>
      <c r="F25" s="7">
        <v>10812</v>
      </c>
      <c r="G25" s="7">
        <v>33200</v>
      </c>
      <c r="I25">
        <f>C25</f>
        <v>4964</v>
      </c>
      <c r="J25">
        <f t="shared" ref="J25:L25" si="9">D25</f>
        <v>7769</v>
      </c>
      <c r="K25">
        <f t="shared" si="9"/>
        <v>9655</v>
      </c>
      <c r="L25">
        <f t="shared" si="9"/>
        <v>10812</v>
      </c>
      <c r="N25" t="str">
        <f>TEXT(I25,"#,##0")&amp;" ("&amp;TEXT(I26,"0.00")&amp;")"</f>
        <v>4,964 (28.93)</v>
      </c>
      <c r="O25" t="str">
        <f t="shared" ref="O25:Q25" si="10">TEXT(J25,"#,##0")&amp;" ("&amp;TEXT(J26,"0.00")&amp;")"</f>
        <v>7,769 (45.28)</v>
      </c>
      <c r="P25" t="str">
        <f t="shared" si="10"/>
        <v>9,655 (56.27)</v>
      </c>
      <c r="Q25" t="str">
        <f t="shared" si="10"/>
        <v>10,812 (63.01)</v>
      </c>
    </row>
    <row r="26" spans="1:17" x14ac:dyDescent="0.3">
      <c r="A26" s="2"/>
      <c r="B26" s="18"/>
      <c r="C26" s="7">
        <v>7.23</v>
      </c>
      <c r="D26" s="7">
        <v>11.32</v>
      </c>
      <c r="E26" s="7">
        <v>14.07</v>
      </c>
      <c r="F26" s="7">
        <v>15.75</v>
      </c>
      <c r="G26" s="7">
        <v>48.37</v>
      </c>
      <c r="I26">
        <f>C28</f>
        <v>28.93</v>
      </c>
      <c r="J26">
        <f t="shared" ref="J26:L27" si="11">D28</f>
        <v>45.28</v>
      </c>
      <c r="K26">
        <f t="shared" si="11"/>
        <v>56.27</v>
      </c>
      <c r="L26">
        <f t="shared" si="11"/>
        <v>63.01</v>
      </c>
      <c r="N26" t="str">
        <f>TEXT(I27,"#,##0")&amp;" ("&amp;TEXT(I28,"0.00")&amp;")"</f>
        <v>12,195 (71.07)</v>
      </c>
      <c r="O26" t="str">
        <f t="shared" ref="O26:Q26" si="12">TEXT(J27,"#,##0")&amp;" ("&amp;TEXT(J28,"0.00")&amp;")"</f>
        <v>9,389 (54.72)</v>
      </c>
      <c r="P26" t="str">
        <f t="shared" si="12"/>
        <v>7,504 (43.73)</v>
      </c>
      <c r="Q26" t="str">
        <f t="shared" si="12"/>
        <v>6,346 (36.99)</v>
      </c>
    </row>
    <row r="27" spans="1:17" x14ac:dyDescent="0.3">
      <c r="A27" s="2"/>
      <c r="B27" s="18"/>
      <c r="C27" s="7">
        <v>14.95</v>
      </c>
      <c r="D27" s="7">
        <v>23.4</v>
      </c>
      <c r="E27" s="7">
        <v>29.08</v>
      </c>
      <c r="F27" s="7">
        <v>32.57</v>
      </c>
      <c r="G27" s="7"/>
      <c r="I27">
        <f>C29</f>
        <v>12195</v>
      </c>
      <c r="J27">
        <f t="shared" si="11"/>
        <v>9389</v>
      </c>
      <c r="K27">
        <f t="shared" si="11"/>
        <v>7504</v>
      </c>
      <c r="L27">
        <f t="shared" si="11"/>
        <v>6346</v>
      </c>
      <c r="N27" t="str">
        <f>TEXT(I29,"#,##0")&amp;" ("&amp;TEXT(I30,"0.00")&amp;")"</f>
        <v>17,159 (0.00)</v>
      </c>
      <c r="O27" t="str">
        <f t="shared" ref="O27:Q27" si="13">TEXT(J29,"#,##0")&amp;" ("&amp;TEXT(J30,"0.00")&amp;")"</f>
        <v>17,158 (0.00)</v>
      </c>
      <c r="P27" t="str">
        <f t="shared" si="13"/>
        <v>17,159 (0.00)</v>
      </c>
      <c r="Q27" t="str">
        <f t="shared" si="13"/>
        <v>17,158 (0.00)</v>
      </c>
    </row>
    <row r="28" spans="1:17" x14ac:dyDescent="0.3">
      <c r="A28" s="2"/>
      <c r="B28" s="18"/>
      <c r="C28" s="7">
        <v>28.93</v>
      </c>
      <c r="D28" s="7">
        <v>45.28</v>
      </c>
      <c r="E28" s="7">
        <v>56.27</v>
      </c>
      <c r="F28" s="7">
        <v>63.01</v>
      </c>
      <c r="G28" s="7"/>
      <c r="I28">
        <f>C32</f>
        <v>71.069999999999993</v>
      </c>
      <c r="J28">
        <f t="shared" ref="J28:L29" si="14">D32</f>
        <v>54.72</v>
      </c>
      <c r="K28">
        <f t="shared" si="14"/>
        <v>43.73</v>
      </c>
      <c r="L28">
        <f t="shared" si="14"/>
        <v>36.99</v>
      </c>
      <c r="N28" t="str">
        <f>TEXT(I31,"#,##0")&amp;" ("&amp;TEXT(I32,"0.00")&amp;")"</f>
        <v>0 (14439.00)</v>
      </c>
      <c r="O28" t="str">
        <f t="shared" ref="O28:Q28" si="15">TEXT(J31,"#,##0")&amp;" ("&amp;TEXT(J32,"0.00")&amp;")"</f>
        <v>0 (13795.00)</v>
      </c>
      <c r="P28" t="str">
        <f t="shared" si="15"/>
        <v>0 (13574.00)</v>
      </c>
      <c r="Q28" t="str">
        <f t="shared" si="15"/>
        <v>0 (13368.00)</v>
      </c>
    </row>
    <row r="29" spans="1:17" x14ac:dyDescent="0.3">
      <c r="A29" s="2"/>
      <c r="B29" s="18">
        <v>2</v>
      </c>
      <c r="C29" s="7">
        <v>12195</v>
      </c>
      <c r="D29" s="7">
        <v>9389</v>
      </c>
      <c r="E29" s="7">
        <v>7504</v>
      </c>
      <c r="F29" s="7">
        <v>6346</v>
      </c>
      <c r="G29" s="7">
        <v>35434</v>
      </c>
      <c r="I29">
        <f>C33</f>
        <v>17159</v>
      </c>
      <c r="J29">
        <f t="shared" si="14"/>
        <v>17158</v>
      </c>
      <c r="K29">
        <f t="shared" si="14"/>
        <v>17159</v>
      </c>
      <c r="L29">
        <f t="shared" si="14"/>
        <v>17158</v>
      </c>
    </row>
    <row r="30" spans="1:17" x14ac:dyDescent="0.3">
      <c r="A30" s="2"/>
      <c r="B30" s="18"/>
      <c r="C30" s="7">
        <v>17.77</v>
      </c>
      <c r="D30" s="7">
        <v>13.68</v>
      </c>
      <c r="E30" s="7">
        <v>10.93</v>
      </c>
      <c r="F30" s="7">
        <v>9.25</v>
      </c>
      <c r="G30" s="7">
        <v>51.63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18"/>
      <c r="C31" s="7">
        <v>34.42</v>
      </c>
      <c r="D31" s="7">
        <v>26.5</v>
      </c>
      <c r="E31" s="7">
        <v>21.18</v>
      </c>
      <c r="F31" s="7">
        <v>17.91</v>
      </c>
      <c r="G31" s="7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18"/>
      <c r="C32" s="7">
        <v>71.069999999999993</v>
      </c>
      <c r="D32" s="7">
        <v>54.72</v>
      </c>
      <c r="E32" s="7">
        <v>43.73</v>
      </c>
      <c r="F32" s="7">
        <v>36.99</v>
      </c>
      <c r="G32" s="7"/>
      <c r="I32">
        <f>C40</f>
        <v>14439</v>
      </c>
      <c r="J32">
        <f t="shared" ref="J32:L32" si="17">D40</f>
        <v>13795</v>
      </c>
      <c r="K32">
        <f t="shared" si="17"/>
        <v>13574</v>
      </c>
      <c r="L32">
        <f t="shared" si="17"/>
        <v>13368</v>
      </c>
    </row>
    <row r="33" spans="1:17" x14ac:dyDescent="0.3">
      <c r="A33" s="2"/>
      <c r="B33" s="18" t="s">
        <v>24</v>
      </c>
      <c r="C33" s="7">
        <v>17159</v>
      </c>
      <c r="D33" s="7">
        <v>17158</v>
      </c>
      <c r="E33" s="7">
        <v>17159</v>
      </c>
      <c r="F33" s="7">
        <v>17158</v>
      </c>
      <c r="G33" s="7">
        <v>68634</v>
      </c>
    </row>
    <row r="34" spans="1:17" x14ac:dyDescent="0.3">
      <c r="A34" s="2"/>
      <c r="B34" s="18"/>
      <c r="C34" s="7">
        <v>25</v>
      </c>
      <c r="D34" s="7">
        <v>25</v>
      </c>
      <c r="E34" s="7">
        <v>25</v>
      </c>
      <c r="F34" s="7">
        <v>25</v>
      </c>
      <c r="G34" s="7">
        <v>100</v>
      </c>
    </row>
    <row r="35" spans="1:17" x14ac:dyDescent="0.3">
      <c r="A35" s="2"/>
      <c r="B35" s="21"/>
      <c r="C35" s="21"/>
      <c r="D35" s="21"/>
      <c r="E35" s="21"/>
      <c r="F35" s="21"/>
      <c r="G35" s="21"/>
    </row>
    <row r="36" spans="1:17" ht="17.25" thickBot="1" x14ac:dyDescent="0.35"/>
    <row r="37" spans="1:17" ht="16.5" customHeight="1" x14ac:dyDescent="0.3">
      <c r="A37" s="4" t="s">
        <v>2</v>
      </c>
      <c r="B37" s="17" t="s">
        <v>77</v>
      </c>
      <c r="C37" s="19"/>
      <c r="D37" s="19"/>
      <c r="E37" s="19"/>
      <c r="F37" s="19"/>
      <c r="G37" s="19"/>
    </row>
    <row r="38" spans="1:17" ht="16.5" customHeight="1" x14ac:dyDescent="0.3">
      <c r="A38" s="6" t="s">
        <v>3</v>
      </c>
      <c r="B38" s="18" t="s">
        <v>6</v>
      </c>
      <c r="C38" s="20" t="s">
        <v>75</v>
      </c>
      <c r="D38" s="20"/>
      <c r="E38" s="20"/>
      <c r="F38" s="20"/>
      <c r="G38" s="20"/>
    </row>
    <row r="39" spans="1:17" x14ac:dyDescent="0.3">
      <c r="A39" s="6" t="s">
        <v>20</v>
      </c>
      <c r="B39" s="1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18">
        <v>1</v>
      </c>
      <c r="C40" s="7">
        <v>14439</v>
      </c>
      <c r="D40" s="7">
        <v>13795</v>
      </c>
      <c r="E40" s="7">
        <v>13574</v>
      </c>
      <c r="F40" s="7">
        <v>13368</v>
      </c>
      <c r="G40" s="7">
        <v>55176</v>
      </c>
      <c r="I40">
        <f>C40</f>
        <v>14439</v>
      </c>
      <c r="J40">
        <f t="shared" ref="J40:L40" si="18">D40</f>
        <v>13795</v>
      </c>
      <c r="K40">
        <f t="shared" si="18"/>
        <v>13574</v>
      </c>
      <c r="L40">
        <f t="shared" si="18"/>
        <v>13368</v>
      </c>
      <c r="N40" t="str">
        <f>TEXT(I40,"#,##0")&amp;" ("&amp;TEXT(I41,"0.00")&amp;")"</f>
        <v>14,439 (84.15)</v>
      </c>
      <c r="O40" t="str">
        <f t="shared" ref="O40:Q40" si="19">TEXT(J40,"#,##0")&amp;" ("&amp;TEXT(J41,"0.00")&amp;")"</f>
        <v>13,795 (80.40)</v>
      </c>
      <c r="P40" t="str">
        <f t="shared" si="19"/>
        <v>13,574 (79.11)</v>
      </c>
      <c r="Q40" t="str">
        <f t="shared" si="19"/>
        <v>13,368 (77.91)</v>
      </c>
    </row>
    <row r="41" spans="1:17" x14ac:dyDescent="0.3">
      <c r="A41" s="2"/>
      <c r="B41" s="18"/>
      <c r="C41" s="7">
        <v>21.04</v>
      </c>
      <c r="D41" s="7">
        <v>20.100000000000001</v>
      </c>
      <c r="E41" s="7">
        <v>19.78</v>
      </c>
      <c r="F41" s="7">
        <v>19.48</v>
      </c>
      <c r="G41" s="7">
        <v>80.39</v>
      </c>
      <c r="I41">
        <f>C43</f>
        <v>84.15</v>
      </c>
      <c r="J41">
        <f t="shared" ref="J41:L42" si="20">D43</f>
        <v>80.400000000000006</v>
      </c>
      <c r="K41">
        <f t="shared" si="20"/>
        <v>79.11</v>
      </c>
      <c r="L41">
        <f t="shared" si="20"/>
        <v>77.91</v>
      </c>
      <c r="N41" t="str">
        <f>TEXT(I42,"#,##0")&amp;" ("&amp;TEXT(I43,"0.00")&amp;")"</f>
        <v>2,720 (15.85)</v>
      </c>
      <c r="O41" t="str">
        <f t="shared" ref="O41:Q41" si="21">TEXT(J42,"#,##0")&amp;" ("&amp;TEXT(J43,"0.00")&amp;")"</f>
        <v>3,363 (19.60)</v>
      </c>
      <c r="P41" t="str">
        <f t="shared" si="21"/>
        <v>3,585 (20.89)</v>
      </c>
      <c r="Q41" t="str">
        <f t="shared" si="21"/>
        <v>3,790 (22.09)</v>
      </c>
    </row>
    <row r="42" spans="1:17" x14ac:dyDescent="0.3">
      <c r="A42" s="2"/>
      <c r="B42" s="18"/>
      <c r="C42" s="7">
        <v>26.17</v>
      </c>
      <c r="D42" s="7">
        <v>25</v>
      </c>
      <c r="E42" s="7">
        <v>24.6</v>
      </c>
      <c r="F42" s="7">
        <v>24.23</v>
      </c>
      <c r="G42" s="7"/>
      <c r="I42">
        <f>C44</f>
        <v>2720</v>
      </c>
      <c r="J42">
        <f t="shared" si="20"/>
        <v>3363</v>
      </c>
      <c r="K42">
        <f t="shared" si="20"/>
        <v>3585</v>
      </c>
      <c r="L42">
        <f t="shared" si="20"/>
        <v>3790</v>
      </c>
      <c r="N42" t="str">
        <f>TEXT(I44,"#,##0")&amp;" ("&amp;TEXT(I45,"0.00")&amp;")"</f>
        <v>17,159 (0.00)</v>
      </c>
      <c r="O42" t="str">
        <f t="shared" ref="O42:Q42" si="22">TEXT(J44,"#,##0")&amp;" ("&amp;TEXT(J45,"0.00")&amp;")"</f>
        <v>17,158 (0.00)</v>
      </c>
      <c r="P42" t="str">
        <f t="shared" si="22"/>
        <v>17,159 (0.00)</v>
      </c>
      <c r="Q42" t="str">
        <f t="shared" si="22"/>
        <v>17,158 (0.00)</v>
      </c>
    </row>
    <row r="43" spans="1:17" x14ac:dyDescent="0.3">
      <c r="A43" s="2"/>
      <c r="B43" s="18"/>
      <c r="C43" s="7">
        <v>84.15</v>
      </c>
      <c r="D43" s="7">
        <v>80.400000000000006</v>
      </c>
      <c r="E43" s="7">
        <v>79.11</v>
      </c>
      <c r="F43" s="7">
        <v>77.91</v>
      </c>
      <c r="G43" s="7"/>
      <c r="I43">
        <f>C47</f>
        <v>15.85</v>
      </c>
      <c r="J43">
        <f t="shared" ref="J43:L44" si="23">D47</f>
        <v>19.600000000000001</v>
      </c>
      <c r="K43">
        <f t="shared" si="23"/>
        <v>20.89</v>
      </c>
      <c r="L43">
        <f t="shared" si="23"/>
        <v>22.09</v>
      </c>
      <c r="N43" t="str">
        <f>TEXT(I46,"#,##0")&amp;" ("&amp;TEXT(I47,"0.00")&amp;")"</f>
        <v>0 (1337.00)</v>
      </c>
      <c r="O43" t="str">
        <f t="shared" ref="O43:Q43" si="24">TEXT(J46,"#,##0")&amp;" ("&amp;TEXT(J47,"0.00")&amp;")"</f>
        <v>0 (2289.00)</v>
      </c>
      <c r="P43" t="str">
        <f t="shared" si="24"/>
        <v>0 (2859.00)</v>
      </c>
      <c r="Q43" t="str">
        <f t="shared" si="24"/>
        <v>0 (2714.00)</v>
      </c>
    </row>
    <row r="44" spans="1:17" x14ac:dyDescent="0.3">
      <c r="A44" s="2"/>
      <c r="B44" s="18">
        <v>2</v>
      </c>
      <c r="C44" s="7">
        <v>2720</v>
      </c>
      <c r="D44" s="7">
        <v>3363</v>
      </c>
      <c r="E44" s="7">
        <v>3585</v>
      </c>
      <c r="F44" s="7">
        <v>3790</v>
      </c>
      <c r="G44" s="7">
        <v>13458</v>
      </c>
      <c r="I44">
        <f>C48</f>
        <v>17159</v>
      </c>
      <c r="J44">
        <f t="shared" si="23"/>
        <v>17158</v>
      </c>
      <c r="K44">
        <f t="shared" si="23"/>
        <v>17159</v>
      </c>
      <c r="L44">
        <f t="shared" si="23"/>
        <v>17158</v>
      </c>
    </row>
    <row r="45" spans="1:17" x14ac:dyDescent="0.3">
      <c r="A45" s="2"/>
      <c r="B45" s="18"/>
      <c r="C45" s="7">
        <v>3.96</v>
      </c>
      <c r="D45" s="7">
        <v>4.9000000000000004</v>
      </c>
      <c r="E45" s="7">
        <v>5.22</v>
      </c>
      <c r="F45" s="7">
        <v>5.52</v>
      </c>
      <c r="G45" s="7">
        <v>19.61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18"/>
      <c r="C46" s="7">
        <v>20.21</v>
      </c>
      <c r="D46" s="7">
        <v>24.99</v>
      </c>
      <c r="E46" s="7">
        <v>26.64</v>
      </c>
      <c r="F46" s="7">
        <v>28.16</v>
      </c>
      <c r="G46" s="7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18"/>
      <c r="C47" s="7">
        <v>15.85</v>
      </c>
      <c r="D47" s="7">
        <v>19.600000000000001</v>
      </c>
      <c r="E47" s="7">
        <v>20.89</v>
      </c>
      <c r="F47" s="7">
        <v>22.09</v>
      </c>
      <c r="G47" s="7"/>
      <c r="I47">
        <f>C55</f>
        <v>1337</v>
      </c>
      <c r="J47">
        <f t="shared" ref="J47:L47" si="26">D55</f>
        <v>2289</v>
      </c>
      <c r="K47">
        <f t="shared" si="26"/>
        <v>2859</v>
      </c>
      <c r="L47">
        <f t="shared" si="26"/>
        <v>2714</v>
      </c>
    </row>
    <row r="48" spans="1:17" x14ac:dyDescent="0.3">
      <c r="A48" s="2"/>
      <c r="B48" s="18" t="s">
        <v>24</v>
      </c>
      <c r="C48" s="7">
        <v>17159</v>
      </c>
      <c r="D48" s="7">
        <v>17158</v>
      </c>
      <c r="E48" s="7">
        <v>17159</v>
      </c>
      <c r="F48" s="7">
        <v>17158</v>
      </c>
      <c r="G48" s="7">
        <v>68634</v>
      </c>
    </row>
    <row r="49" spans="1:17" x14ac:dyDescent="0.3">
      <c r="A49" s="2"/>
      <c r="B49" s="18"/>
      <c r="C49" s="7">
        <v>25</v>
      </c>
      <c r="D49" s="7">
        <v>25</v>
      </c>
      <c r="E49" s="7">
        <v>25</v>
      </c>
      <c r="F49" s="7">
        <v>25</v>
      </c>
      <c r="G49" s="7">
        <v>100</v>
      </c>
    </row>
    <row r="50" spans="1:17" x14ac:dyDescent="0.3">
      <c r="A50" s="2"/>
      <c r="B50" s="21"/>
      <c r="C50" s="21"/>
      <c r="D50" s="21"/>
      <c r="E50" s="21"/>
      <c r="F50" s="21"/>
      <c r="G50" s="21"/>
    </row>
    <row r="51" spans="1:17" ht="17.25" thickBot="1" x14ac:dyDescent="0.35"/>
    <row r="52" spans="1:17" ht="16.5" customHeight="1" x14ac:dyDescent="0.3">
      <c r="A52" s="4" t="s">
        <v>2</v>
      </c>
      <c r="B52" s="17" t="s">
        <v>78</v>
      </c>
      <c r="C52" s="19"/>
      <c r="D52" s="19"/>
      <c r="E52" s="19"/>
      <c r="F52" s="19"/>
      <c r="G52" s="19"/>
    </row>
    <row r="53" spans="1:17" ht="16.5" customHeight="1" x14ac:dyDescent="0.3">
      <c r="A53" s="6" t="s">
        <v>3</v>
      </c>
      <c r="B53" s="18" t="s">
        <v>7</v>
      </c>
      <c r="C53" s="20" t="s">
        <v>75</v>
      </c>
      <c r="D53" s="20"/>
      <c r="E53" s="20"/>
      <c r="F53" s="20"/>
      <c r="G53" s="20"/>
    </row>
    <row r="54" spans="1:17" x14ac:dyDescent="0.3">
      <c r="A54" s="6" t="s">
        <v>20</v>
      </c>
      <c r="B54" s="1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18">
        <v>1</v>
      </c>
      <c r="C55" s="7">
        <v>1337</v>
      </c>
      <c r="D55" s="7">
        <v>2289</v>
      </c>
      <c r="E55" s="7">
        <v>2859</v>
      </c>
      <c r="F55" s="7">
        <v>2714</v>
      </c>
      <c r="G55" s="7">
        <v>9199</v>
      </c>
      <c r="I55">
        <f>C55</f>
        <v>1337</v>
      </c>
      <c r="J55">
        <f t="shared" ref="J55:L55" si="27">D55</f>
        <v>2289</v>
      </c>
      <c r="K55">
        <f t="shared" si="27"/>
        <v>2859</v>
      </c>
      <c r="L55">
        <f t="shared" si="27"/>
        <v>2714</v>
      </c>
      <c r="N55" t="str">
        <f>TEXT(I55,"#,##0")&amp;" ("&amp;TEXT(I56,"0.00")&amp;")"</f>
        <v>1,337 (7.79)</v>
      </c>
      <c r="O55" t="str">
        <f t="shared" ref="O55:Q55" si="28">TEXT(J55,"#,##0")&amp;" ("&amp;TEXT(J56,"0.00")&amp;")"</f>
        <v>2,289 (13.34)</v>
      </c>
      <c r="P55" t="str">
        <f t="shared" si="28"/>
        <v>2,859 (16.66)</v>
      </c>
      <c r="Q55" t="str">
        <f t="shared" si="28"/>
        <v>2,714 (15.82)</v>
      </c>
    </row>
    <row r="56" spans="1:17" x14ac:dyDescent="0.3">
      <c r="A56" s="2"/>
      <c r="B56" s="18"/>
      <c r="C56" s="7">
        <v>1.95</v>
      </c>
      <c r="D56" s="7">
        <v>3.34</v>
      </c>
      <c r="E56" s="7">
        <v>4.17</v>
      </c>
      <c r="F56" s="7">
        <v>3.95</v>
      </c>
      <c r="G56" s="7">
        <v>13.4</v>
      </c>
      <c r="I56">
        <f>C58</f>
        <v>7.79</v>
      </c>
      <c r="J56">
        <f t="shared" ref="J56:L57" si="29">D58</f>
        <v>13.34</v>
      </c>
      <c r="K56">
        <f t="shared" si="29"/>
        <v>16.66</v>
      </c>
      <c r="L56">
        <f t="shared" si="29"/>
        <v>15.82</v>
      </c>
      <c r="N56" t="str">
        <f>TEXT(I57,"#,##0")&amp;" ("&amp;TEXT(I58,"0.00")&amp;")"</f>
        <v>1,259 (7.34)</v>
      </c>
      <c r="O56" t="str">
        <f t="shared" ref="O56:Q56" si="30">TEXT(J57,"#,##0")&amp;" ("&amp;TEXT(J58,"0.00")&amp;")"</f>
        <v>1,968 (11.47)</v>
      </c>
      <c r="P56" t="str">
        <f t="shared" si="30"/>
        <v>2,417 (14.09)</v>
      </c>
      <c r="Q56" t="str">
        <f t="shared" si="30"/>
        <v>2,292 (13.36)</v>
      </c>
    </row>
    <row r="57" spans="1:17" x14ac:dyDescent="0.3">
      <c r="A57" s="2"/>
      <c r="B57" s="18"/>
      <c r="C57" s="7">
        <v>14.53</v>
      </c>
      <c r="D57" s="7">
        <v>24.88</v>
      </c>
      <c r="E57" s="7">
        <v>31.08</v>
      </c>
      <c r="F57" s="7">
        <v>29.5</v>
      </c>
      <c r="G57" s="7"/>
      <c r="I57">
        <f>C59</f>
        <v>1259</v>
      </c>
      <c r="J57">
        <f t="shared" si="29"/>
        <v>1968</v>
      </c>
      <c r="K57">
        <f t="shared" si="29"/>
        <v>2417</v>
      </c>
      <c r="L57">
        <f t="shared" si="29"/>
        <v>2292</v>
      </c>
      <c r="N57" t="str">
        <f>TEXT(I59,"#,##0")&amp;" ("&amp;TEXT(I60,"0.00")&amp;")"</f>
        <v>3,978 (23.18)</v>
      </c>
      <c r="O57" t="str">
        <f t="shared" ref="O57:Q57" si="31">TEXT(J59,"#,##0")&amp;" ("&amp;TEXT(J60,"0.00")&amp;")"</f>
        <v>4,511 (26.29)</v>
      </c>
      <c r="P57" t="str">
        <f t="shared" si="31"/>
        <v>4,644 (27.06)</v>
      </c>
      <c r="Q57" t="str">
        <f t="shared" si="31"/>
        <v>4,625 (26.96)</v>
      </c>
    </row>
    <row r="58" spans="1:17" x14ac:dyDescent="0.3">
      <c r="A58" s="2"/>
      <c r="B58" s="18"/>
      <c r="C58" s="7">
        <v>7.79</v>
      </c>
      <c r="D58" s="7">
        <v>13.34</v>
      </c>
      <c r="E58" s="7">
        <v>16.66</v>
      </c>
      <c r="F58" s="7">
        <v>15.82</v>
      </c>
      <c r="G58" s="7"/>
      <c r="I58">
        <f>C62</f>
        <v>7.34</v>
      </c>
      <c r="J58">
        <f t="shared" ref="J58:L59" si="32">D62</f>
        <v>11.47</v>
      </c>
      <c r="K58">
        <f t="shared" si="32"/>
        <v>14.09</v>
      </c>
      <c r="L58">
        <f t="shared" si="32"/>
        <v>13.36</v>
      </c>
      <c r="N58" t="str">
        <f>TEXT(I61,"#,##0")&amp;" ("&amp;TEXT(I62,"0.00")&amp;")"</f>
        <v>10,585 (61.69)</v>
      </c>
      <c r="O58" t="str">
        <f t="shared" ref="O58:Q58" si="33">TEXT(J61,"#,##0")&amp;" ("&amp;TEXT(J62,"0.00")&amp;")"</f>
        <v>8,390 (48.90)</v>
      </c>
      <c r="P58" t="str">
        <f t="shared" si="33"/>
        <v>7,239 (42.19)</v>
      </c>
      <c r="Q58" t="str">
        <f t="shared" si="33"/>
        <v>7,527 (43.87)</v>
      </c>
    </row>
    <row r="59" spans="1:17" x14ac:dyDescent="0.3">
      <c r="A59" s="2"/>
      <c r="B59" s="18">
        <v>2</v>
      </c>
      <c r="C59" s="7">
        <v>1259</v>
      </c>
      <c r="D59" s="7">
        <v>1968</v>
      </c>
      <c r="E59" s="7">
        <v>2417</v>
      </c>
      <c r="F59" s="7">
        <v>2292</v>
      </c>
      <c r="G59" s="7">
        <v>7936</v>
      </c>
      <c r="I59">
        <f>C63</f>
        <v>3978</v>
      </c>
      <c r="J59">
        <f t="shared" si="32"/>
        <v>4511</v>
      </c>
      <c r="K59">
        <f t="shared" si="32"/>
        <v>4644</v>
      </c>
      <c r="L59">
        <f t="shared" si="32"/>
        <v>4625</v>
      </c>
    </row>
    <row r="60" spans="1:17" x14ac:dyDescent="0.3">
      <c r="A60" s="2"/>
      <c r="B60" s="18"/>
      <c r="C60" s="7">
        <v>1.83</v>
      </c>
      <c r="D60" s="7">
        <v>2.87</v>
      </c>
      <c r="E60" s="7">
        <v>3.52</v>
      </c>
      <c r="F60" s="7">
        <v>3.34</v>
      </c>
      <c r="G60" s="7">
        <v>11.56</v>
      </c>
      <c r="I60">
        <f>C66</f>
        <v>23.18</v>
      </c>
      <c r="J60">
        <f t="shared" ref="J60:L61" si="34">D66</f>
        <v>26.29</v>
      </c>
      <c r="K60">
        <f t="shared" si="34"/>
        <v>27.06</v>
      </c>
      <c r="L60">
        <f t="shared" si="34"/>
        <v>26.96</v>
      </c>
    </row>
    <row r="61" spans="1:17" x14ac:dyDescent="0.3">
      <c r="A61" s="2"/>
      <c r="B61" s="18"/>
      <c r="C61" s="7">
        <v>15.86</v>
      </c>
      <c r="D61" s="7">
        <v>24.8</v>
      </c>
      <c r="E61" s="7">
        <v>30.46</v>
      </c>
      <c r="F61" s="7">
        <v>28.88</v>
      </c>
      <c r="G61" s="7"/>
      <c r="I61">
        <f>C67</f>
        <v>10585</v>
      </c>
      <c r="J61">
        <f t="shared" si="34"/>
        <v>8390</v>
      </c>
      <c r="K61">
        <f t="shared" si="34"/>
        <v>7239</v>
      </c>
      <c r="L61">
        <f t="shared" si="34"/>
        <v>7527</v>
      </c>
    </row>
    <row r="62" spans="1:17" x14ac:dyDescent="0.3">
      <c r="A62" s="2"/>
      <c r="B62" s="18"/>
      <c r="C62" s="7">
        <v>7.34</v>
      </c>
      <c r="D62" s="7">
        <v>11.47</v>
      </c>
      <c r="E62" s="7">
        <v>14.09</v>
      </c>
      <c r="F62" s="7">
        <v>13.36</v>
      </c>
      <c r="G62" s="7"/>
      <c r="I62">
        <f>C70</f>
        <v>61.69</v>
      </c>
      <c r="J62">
        <f t="shared" ref="J62:L62" si="35">D70</f>
        <v>48.9</v>
      </c>
      <c r="K62">
        <f t="shared" si="35"/>
        <v>42.19</v>
      </c>
      <c r="L62">
        <f t="shared" si="35"/>
        <v>43.87</v>
      </c>
    </row>
    <row r="63" spans="1:17" x14ac:dyDescent="0.3">
      <c r="A63" s="2"/>
      <c r="B63" s="18">
        <v>3</v>
      </c>
      <c r="C63" s="7">
        <v>3978</v>
      </c>
      <c r="D63" s="7">
        <v>4511</v>
      </c>
      <c r="E63" s="7">
        <v>4644</v>
      </c>
      <c r="F63" s="7">
        <v>4625</v>
      </c>
      <c r="G63" s="7">
        <v>17758</v>
      </c>
    </row>
    <row r="64" spans="1:17" x14ac:dyDescent="0.3">
      <c r="A64" s="2"/>
      <c r="B64" s="18"/>
      <c r="C64" s="7">
        <v>5.8</v>
      </c>
      <c r="D64" s="7">
        <v>6.57</v>
      </c>
      <c r="E64" s="7">
        <v>6.77</v>
      </c>
      <c r="F64" s="7">
        <v>6.74</v>
      </c>
      <c r="G64" s="7">
        <v>25.87</v>
      </c>
    </row>
    <row r="65" spans="1:17" x14ac:dyDescent="0.3">
      <c r="A65" s="2"/>
      <c r="B65" s="18"/>
      <c r="C65" s="7">
        <v>22.4</v>
      </c>
      <c r="D65" s="7">
        <v>25.4</v>
      </c>
      <c r="E65" s="7">
        <v>26.15</v>
      </c>
      <c r="F65" s="7">
        <v>26.04</v>
      </c>
      <c r="G65" s="7"/>
    </row>
    <row r="66" spans="1:17" x14ac:dyDescent="0.3">
      <c r="A66" s="2"/>
      <c r="B66" s="18"/>
      <c r="C66" s="7">
        <v>23.18</v>
      </c>
      <c r="D66" s="7">
        <v>26.29</v>
      </c>
      <c r="E66" s="7">
        <v>27.06</v>
      </c>
      <c r="F66" s="7">
        <v>26.96</v>
      </c>
      <c r="G66" s="7"/>
    </row>
    <row r="67" spans="1:17" x14ac:dyDescent="0.3">
      <c r="A67" s="2"/>
      <c r="B67" s="18">
        <v>4</v>
      </c>
      <c r="C67" s="7">
        <v>10585</v>
      </c>
      <c r="D67" s="7">
        <v>8390</v>
      </c>
      <c r="E67" s="7">
        <v>7239</v>
      </c>
      <c r="F67" s="7">
        <v>7527</v>
      </c>
      <c r="G67" s="7">
        <v>33741</v>
      </c>
    </row>
    <row r="68" spans="1:17" x14ac:dyDescent="0.3">
      <c r="A68" s="2"/>
      <c r="B68" s="18"/>
      <c r="C68" s="7">
        <v>15.42</v>
      </c>
      <c r="D68" s="7">
        <v>12.22</v>
      </c>
      <c r="E68" s="7">
        <v>10.55</v>
      </c>
      <c r="F68" s="7">
        <v>10.97</v>
      </c>
      <c r="G68" s="7">
        <v>49.16</v>
      </c>
    </row>
    <row r="69" spans="1:17" x14ac:dyDescent="0.3">
      <c r="A69" s="2"/>
      <c r="B69" s="18"/>
      <c r="C69" s="7">
        <v>31.37</v>
      </c>
      <c r="D69" s="7">
        <v>24.87</v>
      </c>
      <c r="E69" s="7">
        <v>21.45</v>
      </c>
      <c r="F69" s="7">
        <v>22.31</v>
      </c>
      <c r="G69" s="7"/>
    </row>
    <row r="70" spans="1:17" x14ac:dyDescent="0.3">
      <c r="A70" s="2"/>
      <c r="B70" s="18"/>
      <c r="C70" s="7">
        <v>61.69</v>
      </c>
      <c r="D70" s="7">
        <v>48.9</v>
      </c>
      <c r="E70" s="7">
        <v>42.19</v>
      </c>
      <c r="F70" s="7">
        <v>43.87</v>
      </c>
      <c r="G70" s="7"/>
    </row>
    <row r="71" spans="1:17" x14ac:dyDescent="0.3">
      <c r="A71" s="2"/>
      <c r="B71" s="18" t="s">
        <v>24</v>
      </c>
      <c r="C71" s="7">
        <v>17159</v>
      </c>
      <c r="D71" s="7">
        <v>17158</v>
      </c>
      <c r="E71" s="7">
        <v>17159</v>
      </c>
      <c r="F71" s="7">
        <v>17158</v>
      </c>
      <c r="G71" s="7">
        <v>68634</v>
      </c>
    </row>
    <row r="72" spans="1:17" x14ac:dyDescent="0.3">
      <c r="A72" s="2"/>
      <c r="B72" s="18"/>
      <c r="C72" s="7">
        <v>25</v>
      </c>
      <c r="D72" s="7">
        <v>25</v>
      </c>
      <c r="E72" s="7">
        <v>25</v>
      </c>
      <c r="F72" s="7">
        <v>25</v>
      </c>
      <c r="G72" s="7">
        <v>100</v>
      </c>
    </row>
    <row r="73" spans="1:17" x14ac:dyDescent="0.3">
      <c r="A73" s="2"/>
      <c r="B73" s="21"/>
      <c r="C73" s="21"/>
      <c r="D73" s="21"/>
      <c r="E73" s="21"/>
      <c r="F73" s="21"/>
      <c r="G73" s="21"/>
    </row>
    <row r="74" spans="1:17" ht="17.25" thickBot="1" x14ac:dyDescent="0.35"/>
    <row r="75" spans="1:17" ht="16.5" customHeight="1" x14ac:dyDescent="0.3">
      <c r="A75" s="4" t="s">
        <v>2</v>
      </c>
      <c r="B75" s="17" t="s">
        <v>79</v>
      </c>
      <c r="C75" s="19"/>
      <c r="D75" s="19"/>
      <c r="E75" s="19"/>
      <c r="F75" s="19"/>
      <c r="G75" s="19"/>
    </row>
    <row r="76" spans="1:17" ht="16.5" customHeight="1" x14ac:dyDescent="0.3">
      <c r="A76" s="6" t="s">
        <v>3</v>
      </c>
      <c r="B76" s="18" t="s">
        <v>8</v>
      </c>
      <c r="C76" s="20" t="s">
        <v>75</v>
      </c>
      <c r="D76" s="20"/>
      <c r="E76" s="20"/>
      <c r="F76" s="20"/>
      <c r="G76" s="20"/>
    </row>
    <row r="77" spans="1:17" x14ac:dyDescent="0.3">
      <c r="A77" s="6" t="s">
        <v>20</v>
      </c>
      <c r="B77" s="1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18">
        <v>1</v>
      </c>
      <c r="C78" s="7">
        <v>2315</v>
      </c>
      <c r="D78" s="7">
        <v>2748</v>
      </c>
      <c r="E78" s="7">
        <v>3051</v>
      </c>
      <c r="F78" s="7">
        <v>3151</v>
      </c>
      <c r="G78" s="7">
        <v>11265</v>
      </c>
      <c r="I78">
        <f>C78</f>
        <v>2315</v>
      </c>
      <c r="J78">
        <f t="shared" ref="J78:L78" si="36">D78</f>
        <v>2748</v>
      </c>
      <c r="K78">
        <f t="shared" si="36"/>
        <v>3051</v>
      </c>
      <c r="L78">
        <f t="shared" si="36"/>
        <v>3151</v>
      </c>
      <c r="N78" t="str">
        <f>TEXT(I78,"#,##0")&amp;" ("&amp;TEXT(I79,"0.00")&amp;")"</f>
        <v>2,315 (13.49)</v>
      </c>
      <c r="O78" t="str">
        <f t="shared" ref="O78:Q78" si="37">TEXT(J78,"#,##0")&amp;" ("&amp;TEXT(J79,"0.00")&amp;")"</f>
        <v>2,748 (16.02)</v>
      </c>
      <c r="P78" t="str">
        <f t="shared" si="37"/>
        <v>3,051 (17.78)</v>
      </c>
      <c r="Q78" t="str">
        <f t="shared" si="37"/>
        <v>3,151 (18.36)</v>
      </c>
    </row>
    <row r="79" spans="1:17" x14ac:dyDescent="0.3">
      <c r="A79" s="2"/>
      <c r="B79" s="18"/>
      <c r="C79" s="7">
        <v>3.37</v>
      </c>
      <c r="D79" s="7">
        <v>4</v>
      </c>
      <c r="E79" s="7">
        <v>4.45</v>
      </c>
      <c r="F79" s="7">
        <v>4.59</v>
      </c>
      <c r="G79" s="7">
        <v>16.41</v>
      </c>
      <c r="I79">
        <f>C81</f>
        <v>13.49</v>
      </c>
      <c r="J79">
        <f t="shared" ref="J79:L80" si="38">D81</f>
        <v>16.02</v>
      </c>
      <c r="K79">
        <f t="shared" si="38"/>
        <v>17.78</v>
      </c>
      <c r="L79">
        <f t="shared" si="38"/>
        <v>18.36</v>
      </c>
      <c r="N79" t="str">
        <f>TEXT(I80,"#,##0")&amp;" ("&amp;TEXT(I81,"0.00")&amp;")"</f>
        <v>3,888 (22.66)</v>
      </c>
      <c r="O79" t="str">
        <f t="shared" ref="O79:Q79" si="39">TEXT(J80,"#,##0")&amp;" ("&amp;TEXT(J81,"0.00")&amp;")"</f>
        <v>4,110 (23.95)</v>
      </c>
      <c r="P79" t="str">
        <f t="shared" si="39"/>
        <v>4,388 (25.57)</v>
      </c>
      <c r="Q79" t="str">
        <f t="shared" si="39"/>
        <v>4,448 (25.92)</v>
      </c>
    </row>
    <row r="80" spans="1:17" x14ac:dyDescent="0.3">
      <c r="A80" s="2"/>
      <c r="B80" s="18"/>
      <c r="C80" s="7">
        <v>20.55</v>
      </c>
      <c r="D80" s="7">
        <v>24.39</v>
      </c>
      <c r="E80" s="7">
        <v>27.08</v>
      </c>
      <c r="F80" s="7">
        <v>27.97</v>
      </c>
      <c r="G80" s="7"/>
      <c r="I80">
        <f>C82</f>
        <v>3888</v>
      </c>
      <c r="J80">
        <f t="shared" si="38"/>
        <v>4110</v>
      </c>
      <c r="K80">
        <f t="shared" si="38"/>
        <v>4388</v>
      </c>
      <c r="L80">
        <f t="shared" si="38"/>
        <v>4448</v>
      </c>
      <c r="N80" t="str">
        <f>TEXT(I82,"#,##0")&amp;" ("&amp;TEXT(I83,"0.00")&amp;")"</f>
        <v>5,092 (29.68)</v>
      </c>
      <c r="O80" t="str">
        <f t="shared" ref="O80:Q80" si="40">TEXT(J82,"#,##0")&amp;" ("&amp;TEXT(J83,"0.00")&amp;")"</f>
        <v>4,916 (28.65)</v>
      </c>
      <c r="P80" t="str">
        <f t="shared" si="40"/>
        <v>4,740 (27.62)</v>
      </c>
      <c r="Q80" t="str">
        <f t="shared" si="40"/>
        <v>4,837 (28.19)</v>
      </c>
    </row>
    <row r="81" spans="1:17" x14ac:dyDescent="0.3">
      <c r="A81" s="2"/>
      <c r="B81" s="18"/>
      <c r="C81" s="7">
        <v>13.49</v>
      </c>
      <c r="D81" s="7">
        <v>16.02</v>
      </c>
      <c r="E81" s="7">
        <v>17.78</v>
      </c>
      <c r="F81" s="7">
        <v>18.36</v>
      </c>
      <c r="G81" s="7"/>
      <c r="I81">
        <f>C85</f>
        <v>22.66</v>
      </c>
      <c r="J81">
        <f t="shared" ref="J81:L82" si="41">D85</f>
        <v>23.95</v>
      </c>
      <c r="K81">
        <f t="shared" si="41"/>
        <v>25.57</v>
      </c>
      <c r="L81">
        <f t="shared" si="41"/>
        <v>25.92</v>
      </c>
      <c r="N81" t="str">
        <f>TEXT(I84,"#,##0")&amp;" ("&amp;TEXT(I85,"0.00")&amp;")"</f>
        <v>5,864 (34.17)</v>
      </c>
      <c r="O81" t="str">
        <f t="shared" ref="O81:Q81" si="42">TEXT(J84,"#,##0")&amp;" ("&amp;TEXT(J85,"0.00")&amp;")"</f>
        <v>5,384 (31.38)</v>
      </c>
      <c r="P81" t="str">
        <f t="shared" si="42"/>
        <v>4,980 (29.02)</v>
      </c>
      <c r="Q81" t="str">
        <f t="shared" si="42"/>
        <v>4,722 (27.52)</v>
      </c>
    </row>
    <row r="82" spans="1:17" x14ac:dyDescent="0.3">
      <c r="A82" s="2"/>
      <c r="B82" s="18">
        <v>2</v>
      </c>
      <c r="C82" s="7">
        <v>3888</v>
      </c>
      <c r="D82" s="7">
        <v>4110</v>
      </c>
      <c r="E82" s="7">
        <v>4388</v>
      </c>
      <c r="F82" s="7">
        <v>4448</v>
      </c>
      <c r="G82" s="7">
        <v>16834</v>
      </c>
      <c r="I82">
        <f>C86</f>
        <v>5092</v>
      </c>
      <c r="J82">
        <f t="shared" si="41"/>
        <v>4916</v>
      </c>
      <c r="K82">
        <f t="shared" si="41"/>
        <v>4740</v>
      </c>
      <c r="L82">
        <f t="shared" si="41"/>
        <v>4837</v>
      </c>
    </row>
    <row r="83" spans="1:17" x14ac:dyDescent="0.3">
      <c r="A83" s="2"/>
      <c r="B83" s="18"/>
      <c r="C83" s="7">
        <v>5.66</v>
      </c>
      <c r="D83" s="7">
        <v>5.99</v>
      </c>
      <c r="E83" s="7">
        <v>6.39</v>
      </c>
      <c r="F83" s="7">
        <v>6.48</v>
      </c>
      <c r="G83" s="7">
        <v>24.53</v>
      </c>
      <c r="I83">
        <f>C89</f>
        <v>29.68</v>
      </c>
      <c r="J83">
        <f t="shared" ref="J83:L84" si="43">D89</f>
        <v>28.65</v>
      </c>
      <c r="K83">
        <f t="shared" si="43"/>
        <v>27.62</v>
      </c>
      <c r="L83">
        <f t="shared" si="43"/>
        <v>28.19</v>
      </c>
    </row>
    <row r="84" spans="1:17" x14ac:dyDescent="0.3">
      <c r="A84" s="2"/>
      <c r="B84" s="18"/>
      <c r="C84" s="7">
        <v>23.1</v>
      </c>
      <c r="D84" s="7">
        <v>24.41</v>
      </c>
      <c r="E84" s="7">
        <v>26.07</v>
      </c>
      <c r="F84" s="7">
        <v>26.42</v>
      </c>
      <c r="G84" s="7"/>
      <c r="I84">
        <f>C90</f>
        <v>5864</v>
      </c>
      <c r="J84">
        <f t="shared" si="43"/>
        <v>5384</v>
      </c>
      <c r="K84">
        <f t="shared" si="43"/>
        <v>4980</v>
      </c>
      <c r="L84">
        <f t="shared" si="43"/>
        <v>4722</v>
      </c>
    </row>
    <row r="85" spans="1:17" x14ac:dyDescent="0.3">
      <c r="A85" s="2"/>
      <c r="B85" s="18"/>
      <c r="C85" s="7">
        <v>22.66</v>
      </c>
      <c r="D85" s="7">
        <v>23.95</v>
      </c>
      <c r="E85" s="7">
        <v>25.57</v>
      </c>
      <c r="F85" s="7">
        <v>25.92</v>
      </c>
      <c r="G85" s="7"/>
      <c r="I85">
        <f>C93</f>
        <v>34.17</v>
      </c>
      <c r="J85">
        <f t="shared" ref="J85:L85" si="44">D93</f>
        <v>31.38</v>
      </c>
      <c r="K85">
        <f t="shared" si="44"/>
        <v>29.02</v>
      </c>
      <c r="L85">
        <f t="shared" si="44"/>
        <v>27.52</v>
      </c>
    </row>
    <row r="86" spans="1:17" x14ac:dyDescent="0.3">
      <c r="A86" s="2"/>
      <c r="B86" s="18">
        <v>3</v>
      </c>
      <c r="C86" s="7">
        <v>5092</v>
      </c>
      <c r="D86" s="7">
        <v>4916</v>
      </c>
      <c r="E86" s="7">
        <v>4740</v>
      </c>
      <c r="F86" s="7">
        <v>4837</v>
      </c>
      <c r="G86" s="7">
        <v>19585</v>
      </c>
    </row>
    <row r="87" spans="1:17" x14ac:dyDescent="0.3">
      <c r="A87" s="2"/>
      <c r="B87" s="18"/>
      <c r="C87" s="7">
        <v>7.42</v>
      </c>
      <c r="D87" s="7">
        <v>7.16</v>
      </c>
      <c r="E87" s="7">
        <v>6.91</v>
      </c>
      <c r="F87" s="7">
        <v>7.05</v>
      </c>
      <c r="G87" s="7">
        <v>28.54</v>
      </c>
    </row>
    <row r="88" spans="1:17" x14ac:dyDescent="0.3">
      <c r="A88" s="2"/>
      <c r="B88" s="18"/>
      <c r="C88" s="7">
        <v>26</v>
      </c>
      <c r="D88" s="7">
        <v>25.1</v>
      </c>
      <c r="E88" s="7">
        <v>24.2</v>
      </c>
      <c r="F88" s="7">
        <v>24.7</v>
      </c>
      <c r="G88" s="7"/>
    </row>
    <row r="89" spans="1:17" x14ac:dyDescent="0.3">
      <c r="A89" s="2"/>
      <c r="B89" s="18"/>
      <c r="C89" s="7">
        <v>29.68</v>
      </c>
      <c r="D89" s="7">
        <v>28.65</v>
      </c>
      <c r="E89" s="7">
        <v>27.62</v>
      </c>
      <c r="F89" s="7">
        <v>28.19</v>
      </c>
      <c r="G89" s="7"/>
    </row>
    <row r="90" spans="1:17" x14ac:dyDescent="0.3">
      <c r="A90" s="2"/>
      <c r="B90" s="18">
        <v>4</v>
      </c>
      <c r="C90" s="7">
        <v>5864</v>
      </c>
      <c r="D90" s="7">
        <v>5384</v>
      </c>
      <c r="E90" s="7">
        <v>4980</v>
      </c>
      <c r="F90" s="7">
        <v>4722</v>
      </c>
      <c r="G90" s="7">
        <v>20950</v>
      </c>
    </row>
    <row r="91" spans="1:17" x14ac:dyDescent="0.3">
      <c r="A91" s="2"/>
      <c r="B91" s="18"/>
      <c r="C91" s="7">
        <v>8.5399999999999991</v>
      </c>
      <c r="D91" s="7">
        <v>7.84</v>
      </c>
      <c r="E91" s="7">
        <v>7.26</v>
      </c>
      <c r="F91" s="7">
        <v>6.88</v>
      </c>
      <c r="G91" s="7">
        <v>30.52</v>
      </c>
    </row>
    <row r="92" spans="1:17" x14ac:dyDescent="0.3">
      <c r="A92" s="2"/>
      <c r="B92" s="18"/>
      <c r="C92" s="7">
        <v>27.99</v>
      </c>
      <c r="D92" s="7">
        <v>25.7</v>
      </c>
      <c r="E92" s="7">
        <v>23.77</v>
      </c>
      <c r="F92" s="7">
        <v>22.54</v>
      </c>
      <c r="G92" s="7"/>
    </row>
    <row r="93" spans="1:17" x14ac:dyDescent="0.3">
      <c r="A93" s="2"/>
      <c r="B93" s="18"/>
      <c r="C93" s="7">
        <v>34.17</v>
      </c>
      <c r="D93" s="7">
        <v>31.38</v>
      </c>
      <c r="E93" s="7">
        <v>29.02</v>
      </c>
      <c r="F93" s="7">
        <v>27.52</v>
      </c>
      <c r="G93" s="7"/>
    </row>
    <row r="94" spans="1:17" x14ac:dyDescent="0.3">
      <c r="A94" s="2"/>
      <c r="B94" s="18" t="s">
        <v>24</v>
      </c>
      <c r="C94" s="7">
        <v>17159</v>
      </c>
      <c r="D94" s="7">
        <v>17158</v>
      </c>
      <c r="E94" s="7">
        <v>17159</v>
      </c>
      <c r="F94" s="7">
        <v>17158</v>
      </c>
      <c r="G94" s="7">
        <v>68634</v>
      </c>
    </row>
    <row r="95" spans="1:17" x14ac:dyDescent="0.3">
      <c r="A95" s="2"/>
      <c r="B95" s="18"/>
      <c r="C95" s="7">
        <v>25</v>
      </c>
      <c r="D95" s="7">
        <v>25</v>
      </c>
      <c r="E95" s="7">
        <v>25</v>
      </c>
      <c r="F95" s="7">
        <v>25</v>
      </c>
      <c r="G95" s="7">
        <v>100</v>
      </c>
    </row>
    <row r="96" spans="1:17" x14ac:dyDescent="0.3">
      <c r="A96" s="2"/>
      <c r="B96" s="21"/>
      <c r="C96" s="21"/>
      <c r="D96" s="21"/>
      <c r="E96" s="21"/>
      <c r="F96" s="21"/>
      <c r="G96" s="21"/>
    </row>
    <row r="97" spans="1:17" ht="17.25" thickBot="1" x14ac:dyDescent="0.35"/>
    <row r="98" spans="1:17" ht="16.5" customHeight="1" x14ac:dyDescent="0.3">
      <c r="A98" s="4" t="s">
        <v>2</v>
      </c>
      <c r="B98" s="17" t="s">
        <v>80</v>
      </c>
      <c r="C98" s="19"/>
      <c r="D98" s="19"/>
      <c r="E98" s="19"/>
      <c r="F98" s="19"/>
      <c r="G98" s="19"/>
    </row>
    <row r="99" spans="1:17" ht="16.5" customHeight="1" x14ac:dyDescent="0.3">
      <c r="A99" s="6" t="s">
        <v>3</v>
      </c>
      <c r="B99" s="18" t="s">
        <v>9</v>
      </c>
      <c r="C99" s="20" t="s">
        <v>75</v>
      </c>
      <c r="D99" s="20"/>
      <c r="E99" s="20"/>
      <c r="F99" s="20"/>
      <c r="G99" s="20"/>
    </row>
    <row r="100" spans="1:17" x14ac:dyDescent="0.3">
      <c r="A100" s="6" t="s">
        <v>20</v>
      </c>
      <c r="B100" s="1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18">
        <v>1</v>
      </c>
      <c r="C101" s="7">
        <v>2755</v>
      </c>
      <c r="D101" s="7">
        <v>21</v>
      </c>
      <c r="E101" s="7">
        <v>1</v>
      </c>
      <c r="F101" s="7">
        <v>0</v>
      </c>
      <c r="G101" s="7">
        <v>2777</v>
      </c>
      <c r="I101">
        <f>C101</f>
        <v>2755</v>
      </c>
      <c r="J101">
        <f t="shared" ref="J101:L101" si="45">D101</f>
        <v>21</v>
      </c>
      <c r="K101">
        <f t="shared" si="45"/>
        <v>1</v>
      </c>
      <c r="L101">
        <f t="shared" si="45"/>
        <v>0</v>
      </c>
      <c r="N101" t="str">
        <f>TEXT(I101,"#,##0")&amp;" ("&amp;TEXT(I102,"0.00")&amp;")"</f>
        <v>2,755 (16.06)</v>
      </c>
      <c r="O101" t="str">
        <f t="shared" ref="O101:Q101" si="46">TEXT(J101,"#,##0")&amp;" ("&amp;TEXT(J102,"0.00")&amp;")"</f>
        <v>21 (0.12)</v>
      </c>
      <c r="P101" t="str">
        <f t="shared" si="46"/>
        <v>1 (0.01)</v>
      </c>
      <c r="Q101" t="str">
        <f t="shared" si="46"/>
        <v>0 (0.00)</v>
      </c>
    </row>
    <row r="102" spans="1:17" x14ac:dyDescent="0.3">
      <c r="A102" s="2"/>
      <c r="B102" s="18"/>
      <c r="C102" s="7">
        <v>4.01</v>
      </c>
      <c r="D102" s="7">
        <v>0.03</v>
      </c>
      <c r="E102" s="7">
        <v>0</v>
      </c>
      <c r="F102" s="7">
        <v>0</v>
      </c>
      <c r="G102" s="7">
        <v>4.05</v>
      </c>
      <c r="I102">
        <f>C104</f>
        <v>16.059999999999999</v>
      </c>
      <c r="J102">
        <f t="shared" ref="J102:L103" si="47">D104</f>
        <v>0.12</v>
      </c>
      <c r="K102">
        <f t="shared" si="47"/>
        <v>0.01</v>
      </c>
      <c r="L102">
        <f t="shared" si="47"/>
        <v>0</v>
      </c>
      <c r="N102" t="str">
        <f>TEXT(I103,"#,##0")&amp;" ("&amp;TEXT(I104,"0.00")&amp;")"</f>
        <v>13,948 (81.29)</v>
      </c>
      <c r="O102" t="str">
        <f t="shared" ref="O102:Q102" si="48">TEXT(J103,"#,##0")&amp;" ("&amp;TEXT(J104,"0.00")&amp;")"</f>
        <v>9,759 (56.88)</v>
      </c>
      <c r="P102" t="str">
        <f t="shared" si="48"/>
        <v>2,468 (14.38)</v>
      </c>
      <c r="Q102" t="str">
        <f t="shared" si="48"/>
        <v>260 (1.52)</v>
      </c>
    </row>
    <row r="103" spans="1:17" x14ac:dyDescent="0.3">
      <c r="A103" s="2"/>
      <c r="B103" s="18"/>
      <c r="C103" s="7">
        <v>99.21</v>
      </c>
      <c r="D103" s="7">
        <v>0.76</v>
      </c>
      <c r="E103" s="7">
        <v>0.04</v>
      </c>
      <c r="F103" s="7">
        <v>0</v>
      </c>
      <c r="G103" s="7"/>
      <c r="I103">
        <f>C105</f>
        <v>13948</v>
      </c>
      <c r="J103">
        <f t="shared" si="47"/>
        <v>9759</v>
      </c>
      <c r="K103">
        <f t="shared" si="47"/>
        <v>2468</v>
      </c>
      <c r="L103">
        <f t="shared" si="47"/>
        <v>260</v>
      </c>
      <c r="N103" t="str">
        <f>TEXT(I105,"#,##0")&amp;" ("&amp;TEXT(I106,"0.00")&amp;")"</f>
        <v>452 (2.63)</v>
      </c>
      <c r="O103" t="str">
        <f t="shared" ref="O103:Q103" si="49">TEXT(J105,"#,##0")&amp;" ("&amp;TEXT(J106,"0.00")&amp;")"</f>
        <v>6,333 (36.91)</v>
      </c>
      <c r="P103" t="str">
        <f t="shared" si="49"/>
        <v>7,473 (43.55)</v>
      </c>
      <c r="Q103" t="str">
        <f t="shared" si="49"/>
        <v>2,006 (11.69)</v>
      </c>
    </row>
    <row r="104" spans="1:17" x14ac:dyDescent="0.3">
      <c r="A104" s="2"/>
      <c r="B104" s="18"/>
      <c r="C104" s="7">
        <v>16.059999999999999</v>
      </c>
      <c r="D104" s="7">
        <v>0.12</v>
      </c>
      <c r="E104" s="7">
        <v>0.01</v>
      </c>
      <c r="F104" s="7">
        <v>0</v>
      </c>
      <c r="G104" s="7"/>
      <c r="I104">
        <f>C108</f>
        <v>81.290000000000006</v>
      </c>
      <c r="J104">
        <f t="shared" ref="J104:L105" si="50">D108</f>
        <v>56.88</v>
      </c>
      <c r="K104">
        <f t="shared" si="50"/>
        <v>14.38</v>
      </c>
      <c r="L104">
        <f t="shared" si="50"/>
        <v>1.52</v>
      </c>
      <c r="N104" t="str">
        <f>TEXT(I107,"#,##0")&amp;" ("&amp;TEXT(I108,"0.00")&amp;")"</f>
        <v>4 (0.02)</v>
      </c>
      <c r="O104" t="str">
        <f t="shared" ref="O104:Q104" si="51">TEXT(J107,"#,##0")&amp;" ("&amp;TEXT(J108,"0.00")&amp;")"</f>
        <v>1,045 (6.09)</v>
      </c>
      <c r="P104" t="str">
        <f t="shared" si="51"/>
        <v>7,217 (42.06)</v>
      </c>
      <c r="Q104" t="str">
        <f t="shared" si="51"/>
        <v>14,892 (86.79)</v>
      </c>
    </row>
    <row r="105" spans="1:17" x14ac:dyDescent="0.3">
      <c r="A105" s="2"/>
      <c r="B105" s="18">
        <v>2</v>
      </c>
      <c r="C105" s="7">
        <v>13948</v>
      </c>
      <c r="D105" s="7">
        <v>9759</v>
      </c>
      <c r="E105" s="7">
        <v>2468</v>
      </c>
      <c r="F105" s="7">
        <v>260</v>
      </c>
      <c r="G105" s="7">
        <v>26435</v>
      </c>
      <c r="I105">
        <f>C109</f>
        <v>452</v>
      </c>
      <c r="J105">
        <f t="shared" si="50"/>
        <v>6333</v>
      </c>
      <c r="K105">
        <f t="shared" si="50"/>
        <v>7473</v>
      </c>
      <c r="L105">
        <f t="shared" si="50"/>
        <v>2006</v>
      </c>
    </row>
    <row r="106" spans="1:17" x14ac:dyDescent="0.3">
      <c r="A106" s="2"/>
      <c r="B106" s="18"/>
      <c r="C106" s="7">
        <v>20.32</v>
      </c>
      <c r="D106" s="7">
        <v>14.22</v>
      </c>
      <c r="E106" s="7">
        <v>3.6</v>
      </c>
      <c r="F106" s="7">
        <v>0.38</v>
      </c>
      <c r="G106" s="7">
        <v>38.520000000000003</v>
      </c>
      <c r="I106">
        <f>C112</f>
        <v>2.63</v>
      </c>
      <c r="J106">
        <f t="shared" ref="J106:L107" si="52">D112</f>
        <v>36.909999999999997</v>
      </c>
      <c r="K106">
        <f t="shared" si="52"/>
        <v>43.55</v>
      </c>
      <c r="L106">
        <f t="shared" si="52"/>
        <v>11.69</v>
      </c>
    </row>
    <row r="107" spans="1:17" x14ac:dyDescent="0.3">
      <c r="A107" s="2"/>
      <c r="B107" s="18"/>
      <c r="C107" s="7">
        <v>52.76</v>
      </c>
      <c r="D107" s="7">
        <v>36.92</v>
      </c>
      <c r="E107" s="7">
        <v>9.34</v>
      </c>
      <c r="F107" s="7">
        <v>0.98</v>
      </c>
      <c r="G107" s="7"/>
      <c r="I107">
        <f>C113</f>
        <v>4</v>
      </c>
      <c r="J107">
        <f t="shared" si="52"/>
        <v>1045</v>
      </c>
      <c r="K107">
        <f t="shared" si="52"/>
        <v>7217</v>
      </c>
      <c r="L107">
        <f t="shared" si="52"/>
        <v>14892</v>
      </c>
    </row>
    <row r="108" spans="1:17" x14ac:dyDescent="0.3">
      <c r="A108" s="2"/>
      <c r="B108" s="18"/>
      <c r="C108" s="7">
        <v>81.290000000000006</v>
      </c>
      <c r="D108" s="7">
        <v>56.88</v>
      </c>
      <c r="E108" s="7">
        <v>14.38</v>
      </c>
      <c r="F108" s="7">
        <v>1.52</v>
      </c>
      <c r="G108" s="7"/>
      <c r="I108">
        <f>C116</f>
        <v>0.02</v>
      </c>
      <c r="J108">
        <f t="shared" ref="J108:L108" si="53">D116</f>
        <v>6.09</v>
      </c>
      <c r="K108">
        <f t="shared" si="53"/>
        <v>42.06</v>
      </c>
      <c r="L108">
        <f t="shared" si="53"/>
        <v>86.79</v>
      </c>
    </row>
    <row r="109" spans="1:17" x14ac:dyDescent="0.3">
      <c r="A109" s="2"/>
      <c r="B109" s="18">
        <v>3</v>
      </c>
      <c r="C109" s="7">
        <v>452</v>
      </c>
      <c r="D109" s="7">
        <v>6333</v>
      </c>
      <c r="E109" s="7">
        <v>7473</v>
      </c>
      <c r="F109" s="7">
        <v>2006</v>
      </c>
      <c r="G109" s="7">
        <v>16264</v>
      </c>
    </row>
    <row r="110" spans="1:17" x14ac:dyDescent="0.3">
      <c r="A110" s="2"/>
      <c r="B110" s="18"/>
      <c r="C110" s="7">
        <v>0.66</v>
      </c>
      <c r="D110" s="7">
        <v>9.23</v>
      </c>
      <c r="E110" s="7">
        <v>10.89</v>
      </c>
      <c r="F110" s="7">
        <v>2.92</v>
      </c>
      <c r="G110" s="7">
        <v>23.7</v>
      </c>
    </row>
    <row r="111" spans="1:17" x14ac:dyDescent="0.3">
      <c r="A111" s="2"/>
      <c r="B111" s="18"/>
      <c r="C111" s="7">
        <v>2.78</v>
      </c>
      <c r="D111" s="7">
        <v>38.94</v>
      </c>
      <c r="E111" s="7">
        <v>45.95</v>
      </c>
      <c r="F111" s="7">
        <v>12.33</v>
      </c>
      <c r="G111" s="7"/>
    </row>
    <row r="112" spans="1:17" x14ac:dyDescent="0.3">
      <c r="A112" s="2"/>
      <c r="B112" s="18"/>
      <c r="C112" s="7">
        <v>2.63</v>
      </c>
      <c r="D112" s="7">
        <v>36.909999999999997</v>
      </c>
      <c r="E112" s="7">
        <v>43.55</v>
      </c>
      <c r="F112" s="7">
        <v>11.69</v>
      </c>
      <c r="G112" s="7"/>
    </row>
    <row r="113" spans="1:17" x14ac:dyDescent="0.3">
      <c r="A113" s="2"/>
      <c r="B113" s="18">
        <v>4</v>
      </c>
      <c r="C113" s="7">
        <v>4</v>
      </c>
      <c r="D113" s="7">
        <v>1045</v>
      </c>
      <c r="E113" s="7">
        <v>7217</v>
      </c>
      <c r="F113" s="7">
        <v>14892</v>
      </c>
      <c r="G113" s="7">
        <v>23158</v>
      </c>
    </row>
    <row r="114" spans="1:17" x14ac:dyDescent="0.3">
      <c r="A114" s="2"/>
      <c r="B114" s="18"/>
      <c r="C114" s="7">
        <v>0.01</v>
      </c>
      <c r="D114" s="7">
        <v>1.52</v>
      </c>
      <c r="E114" s="7">
        <v>10.52</v>
      </c>
      <c r="F114" s="7">
        <v>21.7</v>
      </c>
      <c r="G114" s="7">
        <v>33.74</v>
      </c>
    </row>
    <row r="115" spans="1:17" x14ac:dyDescent="0.3">
      <c r="A115" s="2"/>
      <c r="B115" s="18"/>
      <c r="C115" s="7">
        <v>0.02</v>
      </c>
      <c r="D115" s="7">
        <v>4.51</v>
      </c>
      <c r="E115" s="7">
        <v>31.16</v>
      </c>
      <c r="F115" s="7">
        <v>64.31</v>
      </c>
      <c r="G115" s="7"/>
    </row>
    <row r="116" spans="1:17" x14ac:dyDescent="0.3">
      <c r="A116" s="2"/>
      <c r="B116" s="18"/>
      <c r="C116" s="7">
        <v>0.02</v>
      </c>
      <c r="D116" s="7">
        <v>6.09</v>
      </c>
      <c r="E116" s="7">
        <v>42.06</v>
      </c>
      <c r="F116" s="7">
        <v>86.79</v>
      </c>
      <c r="G116" s="7"/>
    </row>
    <row r="117" spans="1:17" x14ac:dyDescent="0.3">
      <c r="A117" s="2"/>
      <c r="B117" s="18" t="s">
        <v>24</v>
      </c>
      <c r="C117" s="7">
        <v>17159</v>
      </c>
      <c r="D117" s="7">
        <v>17158</v>
      </c>
      <c r="E117" s="7">
        <v>17159</v>
      </c>
      <c r="F117" s="7">
        <v>17158</v>
      </c>
      <c r="G117" s="7">
        <v>68634</v>
      </c>
    </row>
    <row r="118" spans="1:17" x14ac:dyDescent="0.3">
      <c r="A118" s="2"/>
      <c r="B118" s="18"/>
      <c r="C118" s="7">
        <v>25</v>
      </c>
      <c r="D118" s="7">
        <v>25</v>
      </c>
      <c r="E118" s="7">
        <v>25</v>
      </c>
      <c r="F118" s="7">
        <v>25</v>
      </c>
      <c r="G118" s="7">
        <v>100</v>
      </c>
    </row>
    <row r="119" spans="1:17" x14ac:dyDescent="0.3">
      <c r="A119" s="2"/>
      <c r="B119" s="21"/>
      <c r="C119" s="21"/>
      <c r="D119" s="21"/>
      <c r="E119" s="21"/>
      <c r="F119" s="21"/>
      <c r="G119" s="21"/>
    </row>
    <row r="120" spans="1:17" ht="17.25" thickBot="1" x14ac:dyDescent="0.35"/>
    <row r="121" spans="1:17" ht="16.5" customHeight="1" x14ac:dyDescent="0.3">
      <c r="A121" s="4" t="s">
        <v>2</v>
      </c>
      <c r="B121" s="17" t="s">
        <v>81</v>
      </c>
      <c r="C121" s="19"/>
      <c r="D121" s="19"/>
      <c r="E121" s="19"/>
      <c r="F121" s="19"/>
      <c r="G121" s="19"/>
    </row>
    <row r="122" spans="1:17" ht="16.5" customHeight="1" x14ac:dyDescent="0.3">
      <c r="A122" s="6" t="s">
        <v>3</v>
      </c>
      <c r="B122" s="18" t="s">
        <v>10</v>
      </c>
      <c r="C122" s="20" t="s">
        <v>75</v>
      </c>
      <c r="D122" s="20"/>
      <c r="E122" s="20"/>
      <c r="F122" s="20"/>
      <c r="G122" s="20"/>
    </row>
    <row r="123" spans="1:17" x14ac:dyDescent="0.3">
      <c r="A123" s="6" t="s">
        <v>20</v>
      </c>
      <c r="B123" s="1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18">
        <v>1</v>
      </c>
      <c r="C124" s="7">
        <v>12332</v>
      </c>
      <c r="D124" s="7">
        <v>14397</v>
      </c>
      <c r="E124" s="7">
        <v>15156</v>
      </c>
      <c r="F124" s="7">
        <v>14928</v>
      </c>
      <c r="G124" s="7">
        <v>56813</v>
      </c>
      <c r="I124">
        <f>C124</f>
        <v>12332</v>
      </c>
      <c r="J124">
        <f t="shared" ref="J124:L124" si="54">D124</f>
        <v>14397</v>
      </c>
      <c r="K124">
        <f t="shared" si="54"/>
        <v>15156</v>
      </c>
      <c r="L124">
        <f t="shared" si="54"/>
        <v>14928</v>
      </c>
      <c r="N124" t="str">
        <f>TEXT(I124,"#,##0")&amp;" ("&amp;TEXT(I125,"0.00")&amp;")"</f>
        <v>12,332 (71.87)</v>
      </c>
      <c r="O124" t="str">
        <f t="shared" ref="O124:Q124" si="55">TEXT(J124,"#,##0")&amp;" ("&amp;TEXT(J125,"0.00")&amp;")"</f>
        <v>14,397 (83.91)</v>
      </c>
      <c r="P124" t="str">
        <f t="shared" si="55"/>
        <v>15,156 (88.33)</v>
      </c>
      <c r="Q124" t="str">
        <f t="shared" si="55"/>
        <v>14,928 (87.00)</v>
      </c>
    </row>
    <row r="125" spans="1:17" x14ac:dyDescent="0.3">
      <c r="A125" s="2"/>
      <c r="B125" s="18"/>
      <c r="C125" s="7">
        <v>17.97</v>
      </c>
      <c r="D125" s="7">
        <v>20.98</v>
      </c>
      <c r="E125" s="7">
        <v>22.08</v>
      </c>
      <c r="F125" s="7">
        <v>21.75</v>
      </c>
      <c r="G125" s="7">
        <v>82.78</v>
      </c>
      <c r="I125">
        <f>C127</f>
        <v>71.87</v>
      </c>
      <c r="J125">
        <f t="shared" ref="J125:L126" si="56">D127</f>
        <v>83.91</v>
      </c>
      <c r="K125">
        <f t="shared" si="56"/>
        <v>88.33</v>
      </c>
      <c r="L125">
        <f t="shared" si="56"/>
        <v>87</v>
      </c>
      <c r="N125" t="str">
        <f>TEXT(I126,"#,##0")&amp;" ("&amp;TEXT(I127,"0.00")&amp;")"</f>
        <v>4,827 (28.13)</v>
      </c>
      <c r="O125" t="str">
        <f t="shared" ref="O125:Q125" si="57">TEXT(J126,"#,##0")&amp;" ("&amp;TEXT(J127,"0.00")&amp;")"</f>
        <v>2,761 (16.09)</v>
      </c>
      <c r="P125" t="str">
        <f t="shared" si="57"/>
        <v>2,003 (11.67)</v>
      </c>
      <c r="Q125" t="str">
        <f t="shared" si="57"/>
        <v>2,230 (13.00)</v>
      </c>
    </row>
    <row r="126" spans="1:17" x14ac:dyDescent="0.3">
      <c r="A126" s="2"/>
      <c r="B126" s="18"/>
      <c r="C126" s="7">
        <v>21.71</v>
      </c>
      <c r="D126" s="7">
        <v>25.34</v>
      </c>
      <c r="E126" s="7">
        <v>26.68</v>
      </c>
      <c r="F126" s="7">
        <v>26.28</v>
      </c>
      <c r="G126" s="7"/>
      <c r="I126">
        <f>C128</f>
        <v>4827</v>
      </c>
      <c r="J126">
        <f t="shared" si="56"/>
        <v>2761</v>
      </c>
      <c r="K126">
        <f t="shared" si="56"/>
        <v>2003</v>
      </c>
      <c r="L126">
        <f t="shared" si="56"/>
        <v>2230</v>
      </c>
      <c r="N126" t="str">
        <f>TEXT(I128,"#,##0")&amp;" ("&amp;TEXT(I129,"0.00")&amp;")"</f>
        <v>17,159 (0.00)</v>
      </c>
      <c r="O126" t="str">
        <f t="shared" ref="O126:Q126" si="58">TEXT(J128,"#,##0")&amp;" ("&amp;TEXT(J129,"0.00")&amp;")"</f>
        <v>17,158 (0.00)</v>
      </c>
      <c r="P126" t="str">
        <f t="shared" si="58"/>
        <v>17,159 (0.00)</v>
      </c>
      <c r="Q126" t="str">
        <f t="shared" si="58"/>
        <v>17,158 (0.00)</v>
      </c>
    </row>
    <row r="127" spans="1:17" x14ac:dyDescent="0.3">
      <c r="A127" s="2"/>
      <c r="B127" s="18"/>
      <c r="C127" s="7">
        <v>71.87</v>
      </c>
      <c r="D127" s="7">
        <v>83.91</v>
      </c>
      <c r="E127" s="7">
        <v>88.33</v>
      </c>
      <c r="F127" s="7">
        <v>87</v>
      </c>
      <c r="G127" s="7"/>
      <c r="I127">
        <f>C131</f>
        <v>28.13</v>
      </c>
      <c r="J127">
        <f t="shared" ref="J127:L128" si="59">D131</f>
        <v>16.09</v>
      </c>
      <c r="K127">
        <f t="shared" si="59"/>
        <v>11.67</v>
      </c>
      <c r="L127">
        <f t="shared" si="59"/>
        <v>13</v>
      </c>
      <c r="N127" t="str">
        <f>TEXT(I130,"#,##0")&amp;" ("&amp;TEXT(I131,"0.00")&amp;")"</f>
        <v>0 (6180.00)</v>
      </c>
      <c r="O127" t="str">
        <f t="shared" ref="O127:Q127" si="60">TEXT(J130,"#,##0")&amp;" ("&amp;TEXT(J131,"0.00")&amp;")"</f>
        <v>0 (6231.00)</v>
      </c>
      <c r="P127" t="str">
        <f t="shared" si="60"/>
        <v>0 (5699.00)</v>
      </c>
      <c r="Q127" t="str">
        <f t="shared" si="60"/>
        <v>0 (4766.00)</v>
      </c>
    </row>
    <row r="128" spans="1:17" x14ac:dyDescent="0.3">
      <c r="A128" s="2"/>
      <c r="B128" s="18">
        <v>2</v>
      </c>
      <c r="C128" s="7">
        <v>4827</v>
      </c>
      <c r="D128" s="7">
        <v>2761</v>
      </c>
      <c r="E128" s="7">
        <v>2003</v>
      </c>
      <c r="F128" s="7">
        <v>2230</v>
      </c>
      <c r="G128" s="7">
        <v>11821</v>
      </c>
      <c r="I128">
        <f>C132</f>
        <v>17159</v>
      </c>
      <c r="J128">
        <f t="shared" si="59"/>
        <v>17158</v>
      </c>
      <c r="K128">
        <f t="shared" si="59"/>
        <v>17159</v>
      </c>
      <c r="L128">
        <f t="shared" si="59"/>
        <v>17158</v>
      </c>
    </row>
    <row r="129" spans="1:17" x14ac:dyDescent="0.3">
      <c r="A129" s="2"/>
      <c r="B129" s="18"/>
      <c r="C129" s="7">
        <v>7.03</v>
      </c>
      <c r="D129" s="7">
        <v>4.0199999999999996</v>
      </c>
      <c r="E129" s="7">
        <v>2.92</v>
      </c>
      <c r="F129" s="7">
        <v>3.25</v>
      </c>
      <c r="G129" s="7">
        <v>17.22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18"/>
      <c r="C130" s="7">
        <v>40.83</v>
      </c>
      <c r="D130" s="7">
        <v>23.36</v>
      </c>
      <c r="E130" s="7">
        <v>16.940000000000001</v>
      </c>
      <c r="F130" s="7">
        <v>18.86</v>
      </c>
      <c r="G130" s="7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18"/>
      <c r="C131" s="7">
        <v>28.13</v>
      </c>
      <c r="D131" s="7">
        <v>16.09</v>
      </c>
      <c r="E131" s="7">
        <v>11.67</v>
      </c>
      <c r="F131" s="7">
        <v>13</v>
      </c>
      <c r="G131" s="7"/>
      <c r="I131">
        <f>C139</f>
        <v>6180</v>
      </c>
      <c r="J131">
        <f t="shared" ref="J131:L131" si="62">D139</f>
        <v>6231</v>
      </c>
      <c r="K131">
        <f t="shared" si="62"/>
        <v>5699</v>
      </c>
      <c r="L131">
        <f t="shared" si="62"/>
        <v>4766</v>
      </c>
    </row>
    <row r="132" spans="1:17" x14ac:dyDescent="0.3">
      <c r="A132" s="2"/>
      <c r="B132" s="18" t="s">
        <v>24</v>
      </c>
      <c r="C132" s="7">
        <v>17159</v>
      </c>
      <c r="D132" s="7">
        <v>17158</v>
      </c>
      <c r="E132" s="7">
        <v>17159</v>
      </c>
      <c r="F132" s="7">
        <v>17158</v>
      </c>
      <c r="G132" s="7">
        <v>68634</v>
      </c>
    </row>
    <row r="133" spans="1:17" x14ac:dyDescent="0.3">
      <c r="A133" s="2"/>
      <c r="B133" s="18"/>
      <c r="C133" s="7">
        <v>25</v>
      </c>
      <c r="D133" s="7">
        <v>25</v>
      </c>
      <c r="E133" s="7">
        <v>25</v>
      </c>
      <c r="F133" s="7">
        <v>25</v>
      </c>
      <c r="G133" s="7">
        <v>100</v>
      </c>
    </row>
    <row r="134" spans="1:17" x14ac:dyDescent="0.3">
      <c r="A134" s="2"/>
      <c r="B134" s="21"/>
      <c r="C134" s="21"/>
      <c r="D134" s="21"/>
      <c r="E134" s="21"/>
      <c r="F134" s="21"/>
      <c r="G134" s="21"/>
    </row>
    <row r="135" spans="1:17" ht="17.25" thickBot="1" x14ac:dyDescent="0.35"/>
    <row r="136" spans="1:17" ht="16.5" customHeight="1" x14ac:dyDescent="0.3">
      <c r="A136" s="4" t="s">
        <v>2</v>
      </c>
      <c r="B136" s="17" t="s">
        <v>82</v>
      </c>
      <c r="C136" s="19"/>
      <c r="D136" s="19"/>
      <c r="E136" s="19"/>
      <c r="F136" s="19"/>
      <c r="G136" s="19"/>
    </row>
    <row r="137" spans="1:17" ht="16.5" customHeight="1" x14ac:dyDescent="0.3">
      <c r="A137" s="6" t="s">
        <v>3</v>
      </c>
      <c r="B137" s="18" t="s">
        <v>11</v>
      </c>
      <c r="C137" s="20" t="s">
        <v>75</v>
      </c>
      <c r="D137" s="20"/>
      <c r="E137" s="20"/>
      <c r="F137" s="20"/>
      <c r="G137" s="20"/>
    </row>
    <row r="138" spans="1:17" x14ac:dyDescent="0.3">
      <c r="A138" s="6" t="s">
        <v>20</v>
      </c>
      <c r="B138" s="1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18">
        <v>1</v>
      </c>
      <c r="C139" s="7">
        <v>6180</v>
      </c>
      <c r="D139" s="7">
        <v>6231</v>
      </c>
      <c r="E139" s="7">
        <v>5699</v>
      </c>
      <c r="F139" s="7">
        <v>4766</v>
      </c>
      <c r="G139" s="7">
        <v>22876</v>
      </c>
      <c r="I139">
        <f>C139</f>
        <v>6180</v>
      </c>
      <c r="J139">
        <f t="shared" ref="J139:L139" si="63">D139</f>
        <v>6231</v>
      </c>
      <c r="K139">
        <f t="shared" si="63"/>
        <v>5699</v>
      </c>
      <c r="L139">
        <f t="shared" si="63"/>
        <v>4766</v>
      </c>
      <c r="N139" t="str">
        <f>TEXT(I139,"#,##0")&amp;" ("&amp;TEXT(I140,"0.00")&amp;")"</f>
        <v>6,180 (36.02)</v>
      </c>
      <c r="O139" t="str">
        <f t="shared" ref="O139:Q139" si="64">TEXT(J139,"#,##0")&amp;" ("&amp;TEXT(J140,"0.00")&amp;")"</f>
        <v>6,231 (36.32)</v>
      </c>
      <c r="P139" t="str">
        <f t="shared" si="64"/>
        <v>5,699 (33.21)</v>
      </c>
      <c r="Q139" t="str">
        <f t="shared" si="64"/>
        <v>4,766 (27.78)</v>
      </c>
    </row>
    <row r="140" spans="1:17" x14ac:dyDescent="0.3">
      <c r="A140" s="2"/>
      <c r="B140" s="18"/>
      <c r="C140" s="7">
        <v>9</v>
      </c>
      <c r="D140" s="7">
        <v>9.08</v>
      </c>
      <c r="E140" s="7">
        <v>8.3000000000000007</v>
      </c>
      <c r="F140" s="7">
        <v>6.94</v>
      </c>
      <c r="G140" s="7">
        <v>33.33</v>
      </c>
      <c r="I140">
        <f>C142</f>
        <v>36.020000000000003</v>
      </c>
      <c r="J140">
        <f t="shared" ref="J140:L141" si="65">D142</f>
        <v>36.32</v>
      </c>
      <c r="K140">
        <f t="shared" si="65"/>
        <v>33.21</v>
      </c>
      <c r="L140">
        <f t="shared" si="65"/>
        <v>27.78</v>
      </c>
      <c r="N140" t="str">
        <f>TEXT(I141,"#,##0")&amp;" ("&amp;TEXT(I142,"0.00")&amp;")"</f>
        <v>8,334 (48.57)</v>
      </c>
      <c r="O140" t="str">
        <f t="shared" ref="O140:Q140" si="66">TEXT(J141,"#,##0")&amp;" ("&amp;TEXT(J142,"0.00")&amp;")"</f>
        <v>8,143 (47.46)</v>
      </c>
      <c r="P140" t="str">
        <f t="shared" si="66"/>
        <v>8,298 (48.36)</v>
      </c>
      <c r="Q140" t="str">
        <f t="shared" si="66"/>
        <v>8,435 (49.16)</v>
      </c>
    </row>
    <row r="141" spans="1:17" x14ac:dyDescent="0.3">
      <c r="A141" s="2"/>
      <c r="B141" s="18"/>
      <c r="C141" s="7">
        <v>27.02</v>
      </c>
      <c r="D141" s="7">
        <v>27.24</v>
      </c>
      <c r="E141" s="7">
        <v>24.91</v>
      </c>
      <c r="F141" s="7">
        <v>20.83</v>
      </c>
      <c r="G141" s="7"/>
      <c r="I141">
        <f>C143</f>
        <v>8334</v>
      </c>
      <c r="J141">
        <f t="shared" si="65"/>
        <v>8143</v>
      </c>
      <c r="K141">
        <f t="shared" si="65"/>
        <v>8298</v>
      </c>
      <c r="L141">
        <f t="shared" si="65"/>
        <v>8435</v>
      </c>
      <c r="N141" t="str">
        <f>TEXT(I143,"#,##0")&amp;" ("&amp;TEXT(I144,"0.00")&amp;")"</f>
        <v>2,645 (15.41)</v>
      </c>
      <c r="O141" t="str">
        <f t="shared" ref="O141:Q141" si="67">TEXT(J143,"#,##0")&amp;" ("&amp;TEXT(J144,"0.00")&amp;")"</f>
        <v>2,784 (16.23)</v>
      </c>
      <c r="P141" t="str">
        <f t="shared" si="67"/>
        <v>3,162 (18.43)</v>
      </c>
      <c r="Q141" t="str">
        <f t="shared" si="67"/>
        <v>3,957 (23.06)</v>
      </c>
    </row>
    <row r="142" spans="1:17" x14ac:dyDescent="0.3">
      <c r="A142" s="2"/>
      <c r="B142" s="18"/>
      <c r="C142" s="7">
        <v>36.020000000000003</v>
      </c>
      <c r="D142" s="7">
        <v>36.32</v>
      </c>
      <c r="E142" s="7">
        <v>33.21</v>
      </c>
      <c r="F142" s="7">
        <v>27.78</v>
      </c>
      <c r="G142" s="7"/>
      <c r="I142">
        <f>C146</f>
        <v>48.57</v>
      </c>
      <c r="J142">
        <f t="shared" ref="J142:L143" si="68">D146</f>
        <v>47.46</v>
      </c>
      <c r="K142">
        <f t="shared" si="68"/>
        <v>48.36</v>
      </c>
      <c r="L142">
        <f t="shared" si="68"/>
        <v>49.16</v>
      </c>
      <c r="N142" t="str">
        <f>TEXT(I145,"#,##0")&amp;" ("&amp;TEXT(I146,"0.00")&amp;")"</f>
        <v>17,159 (0.00)</v>
      </c>
      <c r="O142" t="str">
        <f t="shared" ref="O142:Q142" si="69">TEXT(J145,"#,##0")&amp;" ("&amp;TEXT(J146,"0.00")&amp;")"</f>
        <v>17,158 (0.00)</v>
      </c>
      <c r="P142" t="str">
        <f t="shared" si="69"/>
        <v>17,159 (0.00)</v>
      </c>
      <c r="Q142" t="str">
        <f t="shared" si="69"/>
        <v>17,158 (0.00)</v>
      </c>
    </row>
    <row r="143" spans="1:17" x14ac:dyDescent="0.3">
      <c r="A143" s="2"/>
      <c r="B143" s="18">
        <v>2</v>
      </c>
      <c r="C143" s="7">
        <v>8334</v>
      </c>
      <c r="D143" s="7">
        <v>8143</v>
      </c>
      <c r="E143" s="7">
        <v>8298</v>
      </c>
      <c r="F143" s="7">
        <v>8435</v>
      </c>
      <c r="G143" s="7">
        <v>33210</v>
      </c>
      <c r="I143">
        <f>C147</f>
        <v>2645</v>
      </c>
      <c r="J143">
        <f t="shared" si="68"/>
        <v>2784</v>
      </c>
      <c r="K143">
        <f t="shared" si="68"/>
        <v>3162</v>
      </c>
      <c r="L143">
        <f t="shared" si="68"/>
        <v>3957</v>
      </c>
    </row>
    <row r="144" spans="1:17" x14ac:dyDescent="0.3">
      <c r="A144" s="2"/>
      <c r="B144" s="18"/>
      <c r="C144" s="7">
        <v>12.14</v>
      </c>
      <c r="D144" s="7">
        <v>11.86</v>
      </c>
      <c r="E144" s="7">
        <v>12.09</v>
      </c>
      <c r="F144" s="7">
        <v>12.29</v>
      </c>
      <c r="G144" s="7">
        <v>48.39</v>
      </c>
      <c r="I144">
        <f>C150</f>
        <v>15.41</v>
      </c>
      <c r="J144">
        <f t="shared" ref="J144:L145" si="70">D150</f>
        <v>16.23</v>
      </c>
      <c r="K144">
        <f t="shared" si="70"/>
        <v>18.43</v>
      </c>
      <c r="L144">
        <f t="shared" si="70"/>
        <v>23.06</v>
      </c>
    </row>
    <row r="145" spans="1:17" x14ac:dyDescent="0.3">
      <c r="A145" s="2"/>
      <c r="B145" s="18"/>
      <c r="C145" s="7">
        <v>25.09</v>
      </c>
      <c r="D145" s="7">
        <v>24.52</v>
      </c>
      <c r="E145" s="7">
        <v>24.99</v>
      </c>
      <c r="F145" s="7">
        <v>25.4</v>
      </c>
      <c r="G145" s="7"/>
      <c r="I145">
        <f>C151</f>
        <v>17159</v>
      </c>
      <c r="J145">
        <f t="shared" si="70"/>
        <v>17158</v>
      </c>
      <c r="K145">
        <f t="shared" si="70"/>
        <v>17159</v>
      </c>
      <c r="L145">
        <f t="shared" si="70"/>
        <v>17158</v>
      </c>
    </row>
    <row r="146" spans="1:17" x14ac:dyDescent="0.3">
      <c r="A146" s="2"/>
      <c r="B146" s="18"/>
      <c r="C146" s="7">
        <v>48.57</v>
      </c>
      <c r="D146" s="7">
        <v>47.46</v>
      </c>
      <c r="E146" s="7">
        <v>48.36</v>
      </c>
      <c r="F146" s="7">
        <v>49.16</v>
      </c>
      <c r="G146" s="7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18">
        <v>3</v>
      </c>
      <c r="C147" s="7">
        <v>2645</v>
      </c>
      <c r="D147" s="7">
        <v>2784</v>
      </c>
      <c r="E147" s="7">
        <v>3162</v>
      </c>
      <c r="F147" s="7">
        <v>3957</v>
      </c>
      <c r="G147" s="7">
        <v>12548</v>
      </c>
    </row>
    <row r="148" spans="1:17" x14ac:dyDescent="0.3">
      <c r="A148" s="2"/>
      <c r="B148" s="18"/>
      <c r="C148" s="7">
        <v>3.85</v>
      </c>
      <c r="D148" s="7">
        <v>4.0599999999999996</v>
      </c>
      <c r="E148" s="7">
        <v>4.6100000000000003</v>
      </c>
      <c r="F148" s="7">
        <v>5.77</v>
      </c>
      <c r="G148" s="7">
        <v>18.28</v>
      </c>
    </row>
    <row r="149" spans="1:17" x14ac:dyDescent="0.3">
      <c r="A149" s="2"/>
      <c r="B149" s="18"/>
      <c r="C149" s="7">
        <v>21.08</v>
      </c>
      <c r="D149" s="7">
        <v>22.19</v>
      </c>
      <c r="E149" s="7">
        <v>25.2</v>
      </c>
      <c r="F149" s="7">
        <v>31.53</v>
      </c>
      <c r="G149" s="7"/>
    </row>
    <row r="150" spans="1:17" x14ac:dyDescent="0.3">
      <c r="A150" s="2"/>
      <c r="B150" s="18"/>
      <c r="C150" s="7">
        <v>15.41</v>
      </c>
      <c r="D150" s="7">
        <v>16.23</v>
      </c>
      <c r="E150" s="7">
        <v>18.43</v>
      </c>
      <c r="F150" s="7">
        <v>23.06</v>
      </c>
      <c r="G150" s="7"/>
    </row>
    <row r="151" spans="1:17" x14ac:dyDescent="0.3">
      <c r="A151" s="2"/>
      <c r="B151" s="18" t="s">
        <v>24</v>
      </c>
      <c r="C151" s="7">
        <v>17159</v>
      </c>
      <c r="D151" s="7">
        <v>17158</v>
      </c>
      <c r="E151" s="7">
        <v>17159</v>
      </c>
      <c r="F151" s="7">
        <v>17158</v>
      </c>
      <c r="G151" s="7">
        <v>68634</v>
      </c>
    </row>
    <row r="152" spans="1:17" x14ac:dyDescent="0.3">
      <c r="A152" s="2"/>
      <c r="B152" s="18"/>
      <c r="C152" s="7">
        <v>25</v>
      </c>
      <c r="D152" s="7">
        <v>25</v>
      </c>
      <c r="E152" s="7">
        <v>25</v>
      </c>
      <c r="F152" s="7">
        <v>25</v>
      </c>
      <c r="G152" s="7">
        <v>100</v>
      </c>
    </row>
    <row r="153" spans="1:17" x14ac:dyDescent="0.3">
      <c r="A153" s="2"/>
      <c r="B153" s="21"/>
      <c r="C153" s="21"/>
      <c r="D153" s="21"/>
      <c r="E153" s="21"/>
      <c r="F153" s="21"/>
      <c r="G153" s="21"/>
    </row>
    <row r="154" spans="1:17" ht="17.25" thickBot="1" x14ac:dyDescent="0.35"/>
    <row r="155" spans="1:17" ht="16.5" customHeight="1" x14ac:dyDescent="0.3">
      <c r="A155" s="4" t="s">
        <v>2</v>
      </c>
      <c r="B155" s="17" t="s">
        <v>83</v>
      </c>
      <c r="C155" s="19"/>
      <c r="D155" s="19"/>
      <c r="E155" s="19"/>
      <c r="F155" s="19"/>
      <c r="G155" s="19"/>
    </row>
    <row r="156" spans="1:17" ht="16.5" customHeight="1" x14ac:dyDescent="0.3">
      <c r="A156" s="6" t="s">
        <v>3</v>
      </c>
      <c r="B156" s="18" t="s">
        <v>12</v>
      </c>
      <c r="C156" s="20" t="s">
        <v>75</v>
      </c>
      <c r="D156" s="20"/>
      <c r="E156" s="20"/>
      <c r="F156" s="20"/>
      <c r="G156" s="20"/>
    </row>
    <row r="157" spans="1:17" x14ac:dyDescent="0.3">
      <c r="A157" s="6" t="s">
        <v>20</v>
      </c>
      <c r="B157" s="1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18">
        <v>1</v>
      </c>
      <c r="C158" s="7">
        <v>4882</v>
      </c>
      <c r="D158" s="7">
        <v>4345</v>
      </c>
      <c r="E158" s="7">
        <v>4207</v>
      </c>
      <c r="F158" s="7">
        <v>4823</v>
      </c>
      <c r="G158" s="7">
        <v>18257</v>
      </c>
      <c r="I158">
        <f>C158</f>
        <v>4882</v>
      </c>
      <c r="J158">
        <f t="shared" ref="J158:L158" si="72">D158</f>
        <v>4345</v>
      </c>
      <c r="K158">
        <f t="shared" si="72"/>
        <v>4207</v>
      </c>
      <c r="L158">
        <f t="shared" si="72"/>
        <v>4823</v>
      </c>
      <c r="N158" t="str">
        <f>TEXT(I158,"#,##0")&amp;" ("&amp;TEXT(I159,"0.00")&amp;")"</f>
        <v>4,882 (28.45)</v>
      </c>
      <c r="O158" t="str">
        <f t="shared" ref="O158:Q158" si="73">TEXT(J158,"#,##0")&amp;" ("&amp;TEXT(J159,"0.00")&amp;")"</f>
        <v>4,345 (25.32)</v>
      </c>
      <c r="P158" t="str">
        <f t="shared" si="73"/>
        <v>4,207 (24.52)</v>
      </c>
      <c r="Q158" t="str">
        <f t="shared" si="73"/>
        <v>4,823 (28.11)</v>
      </c>
    </row>
    <row r="159" spans="1:17" x14ac:dyDescent="0.3">
      <c r="A159" s="2"/>
      <c r="B159" s="18"/>
      <c r="C159" s="7">
        <v>7.11</v>
      </c>
      <c r="D159" s="7">
        <v>6.33</v>
      </c>
      <c r="E159" s="7">
        <v>6.13</v>
      </c>
      <c r="F159" s="7">
        <v>7.03</v>
      </c>
      <c r="G159" s="7">
        <v>26.6</v>
      </c>
      <c r="I159">
        <f>C161</f>
        <v>28.45</v>
      </c>
      <c r="J159">
        <f t="shared" ref="J159:L160" si="74">D161</f>
        <v>25.32</v>
      </c>
      <c r="K159">
        <f t="shared" si="74"/>
        <v>24.52</v>
      </c>
      <c r="L159">
        <f t="shared" si="74"/>
        <v>28.11</v>
      </c>
      <c r="N159" t="str">
        <f>TEXT(I160,"#,##0")&amp;" ("&amp;TEXT(I161,"0.00")&amp;")"</f>
        <v>10,058 (58.62)</v>
      </c>
      <c r="O159" t="str">
        <f t="shared" ref="O159:Q159" si="75">TEXT(J160,"#,##0")&amp;" ("&amp;TEXT(J161,"0.00")&amp;")"</f>
        <v>10,042 (58.53)</v>
      </c>
      <c r="P159" t="str">
        <f t="shared" si="75"/>
        <v>9,920 (57.81)</v>
      </c>
      <c r="Q159" t="str">
        <f t="shared" si="75"/>
        <v>9,531 (55.55)</v>
      </c>
    </row>
    <row r="160" spans="1:17" x14ac:dyDescent="0.3">
      <c r="A160" s="2"/>
      <c r="B160" s="18"/>
      <c r="C160" s="7">
        <v>26.74</v>
      </c>
      <c r="D160" s="7">
        <v>23.8</v>
      </c>
      <c r="E160" s="7">
        <v>23.04</v>
      </c>
      <c r="F160" s="7">
        <v>26.42</v>
      </c>
      <c r="G160" s="7"/>
      <c r="I160">
        <f>C162</f>
        <v>10058</v>
      </c>
      <c r="J160">
        <f t="shared" si="74"/>
        <v>10042</v>
      </c>
      <c r="K160">
        <f t="shared" si="74"/>
        <v>9920</v>
      </c>
      <c r="L160">
        <f t="shared" si="74"/>
        <v>9531</v>
      </c>
      <c r="N160" t="str">
        <f>TEXT(I162,"#,##0")&amp;" ("&amp;TEXT(I163,"0.00")&amp;")"</f>
        <v>2,219 (12.93)</v>
      </c>
      <c r="O160" t="str">
        <f t="shared" ref="O160:Q160" si="76">TEXT(J162,"#,##0")&amp;" ("&amp;TEXT(J163,"0.00")&amp;")"</f>
        <v>2,771 (16.15)</v>
      </c>
      <c r="P160" t="str">
        <f t="shared" si="76"/>
        <v>3,032 (17.67)</v>
      </c>
      <c r="Q160" t="str">
        <f t="shared" si="76"/>
        <v>2,804 (16.34)</v>
      </c>
    </row>
    <row r="161" spans="1:17" x14ac:dyDescent="0.3">
      <c r="A161" s="2"/>
      <c r="B161" s="18"/>
      <c r="C161" s="7">
        <v>28.45</v>
      </c>
      <c r="D161" s="7">
        <v>25.32</v>
      </c>
      <c r="E161" s="7">
        <v>24.52</v>
      </c>
      <c r="F161" s="7">
        <v>28.11</v>
      </c>
      <c r="G161" s="7"/>
      <c r="I161">
        <f>C165</f>
        <v>58.62</v>
      </c>
      <c r="J161">
        <f t="shared" ref="J161:L162" si="77">D165</f>
        <v>58.53</v>
      </c>
      <c r="K161">
        <f t="shared" si="77"/>
        <v>57.81</v>
      </c>
      <c r="L161">
        <f t="shared" si="77"/>
        <v>55.55</v>
      </c>
      <c r="N161" t="str">
        <f>TEXT(I164,"#,##0")&amp;" ("&amp;TEXT(I165,"0.00")&amp;")"</f>
        <v>17,159 (0.00)</v>
      </c>
      <c r="O161" t="str">
        <f t="shared" ref="O161:Q161" si="78">TEXT(J164,"#,##0")&amp;" ("&amp;TEXT(J165,"0.00")&amp;")"</f>
        <v>17,158 (0.00)</v>
      </c>
      <c r="P161" t="str">
        <f t="shared" si="78"/>
        <v>17,159 (0.00)</v>
      </c>
      <c r="Q161" t="str">
        <f t="shared" si="78"/>
        <v>17,158 (0.00)</v>
      </c>
    </row>
    <row r="162" spans="1:17" x14ac:dyDescent="0.3">
      <c r="A162" s="2"/>
      <c r="B162" s="18">
        <v>2</v>
      </c>
      <c r="C162" s="7">
        <v>10058</v>
      </c>
      <c r="D162" s="7">
        <v>10042</v>
      </c>
      <c r="E162" s="7">
        <v>9920</v>
      </c>
      <c r="F162" s="7">
        <v>9531</v>
      </c>
      <c r="G162" s="7">
        <v>39551</v>
      </c>
      <c r="I162">
        <f>C166</f>
        <v>2219</v>
      </c>
      <c r="J162">
        <f t="shared" si="77"/>
        <v>2771</v>
      </c>
      <c r="K162">
        <f t="shared" si="77"/>
        <v>3032</v>
      </c>
      <c r="L162">
        <f t="shared" si="77"/>
        <v>2804</v>
      </c>
    </row>
    <row r="163" spans="1:17" x14ac:dyDescent="0.3">
      <c r="A163" s="2"/>
      <c r="B163" s="18"/>
      <c r="C163" s="7">
        <v>14.65</v>
      </c>
      <c r="D163" s="7">
        <v>14.63</v>
      </c>
      <c r="E163" s="7">
        <v>14.45</v>
      </c>
      <c r="F163" s="7">
        <v>13.89</v>
      </c>
      <c r="G163" s="7">
        <v>57.63</v>
      </c>
      <c r="I163">
        <f>C169</f>
        <v>12.93</v>
      </c>
      <c r="J163">
        <f t="shared" ref="J163:L164" si="79">D169</f>
        <v>16.149999999999999</v>
      </c>
      <c r="K163">
        <f t="shared" si="79"/>
        <v>17.670000000000002</v>
      </c>
      <c r="L163">
        <f t="shared" si="79"/>
        <v>16.34</v>
      </c>
    </row>
    <row r="164" spans="1:17" x14ac:dyDescent="0.3">
      <c r="A164" s="2"/>
      <c r="B164" s="18"/>
      <c r="C164" s="7">
        <v>25.43</v>
      </c>
      <c r="D164" s="7">
        <v>25.39</v>
      </c>
      <c r="E164" s="7">
        <v>25.08</v>
      </c>
      <c r="F164" s="7">
        <v>24.1</v>
      </c>
      <c r="G164" s="7"/>
      <c r="I164">
        <f>C170</f>
        <v>17159</v>
      </c>
      <c r="J164">
        <f t="shared" si="79"/>
        <v>17158</v>
      </c>
      <c r="K164">
        <f t="shared" si="79"/>
        <v>17159</v>
      </c>
      <c r="L164">
        <f t="shared" si="79"/>
        <v>17158</v>
      </c>
    </row>
    <row r="165" spans="1:17" x14ac:dyDescent="0.3">
      <c r="A165" s="2"/>
      <c r="B165" s="18"/>
      <c r="C165" s="7">
        <v>58.62</v>
      </c>
      <c r="D165" s="7">
        <v>58.53</v>
      </c>
      <c r="E165" s="7">
        <v>57.81</v>
      </c>
      <c r="F165" s="7">
        <v>55.55</v>
      </c>
      <c r="G165" s="7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18">
        <v>3</v>
      </c>
      <c r="C166" s="7">
        <v>2219</v>
      </c>
      <c r="D166" s="7">
        <v>2771</v>
      </c>
      <c r="E166" s="7">
        <v>3032</v>
      </c>
      <c r="F166" s="7">
        <v>2804</v>
      </c>
      <c r="G166" s="7">
        <v>10826</v>
      </c>
    </row>
    <row r="167" spans="1:17" x14ac:dyDescent="0.3">
      <c r="A167" s="2"/>
      <c r="B167" s="18"/>
      <c r="C167" s="7">
        <v>3.23</v>
      </c>
      <c r="D167" s="7">
        <v>4.04</v>
      </c>
      <c r="E167" s="7">
        <v>4.42</v>
      </c>
      <c r="F167" s="7">
        <v>4.09</v>
      </c>
      <c r="G167" s="7">
        <v>15.77</v>
      </c>
    </row>
    <row r="168" spans="1:17" x14ac:dyDescent="0.3">
      <c r="A168" s="2"/>
      <c r="B168" s="18"/>
      <c r="C168" s="7">
        <v>20.5</v>
      </c>
      <c r="D168" s="7">
        <v>25.6</v>
      </c>
      <c r="E168" s="7">
        <v>28.01</v>
      </c>
      <c r="F168" s="7">
        <v>25.9</v>
      </c>
      <c r="G168" s="7"/>
    </row>
    <row r="169" spans="1:17" x14ac:dyDescent="0.3">
      <c r="A169" s="2"/>
      <c r="B169" s="18"/>
      <c r="C169" s="7">
        <v>12.93</v>
      </c>
      <c r="D169" s="7">
        <v>16.149999999999999</v>
      </c>
      <c r="E169" s="7">
        <v>17.670000000000002</v>
      </c>
      <c r="F169" s="7">
        <v>16.34</v>
      </c>
      <c r="G169" s="7"/>
    </row>
    <row r="170" spans="1:17" x14ac:dyDescent="0.3">
      <c r="A170" s="2"/>
      <c r="B170" s="18" t="s">
        <v>24</v>
      </c>
      <c r="C170" s="7">
        <v>17159</v>
      </c>
      <c r="D170" s="7">
        <v>17158</v>
      </c>
      <c r="E170" s="7">
        <v>17159</v>
      </c>
      <c r="F170" s="7">
        <v>17158</v>
      </c>
      <c r="G170" s="7">
        <v>68634</v>
      </c>
    </row>
    <row r="171" spans="1:17" x14ac:dyDescent="0.3">
      <c r="A171" s="2"/>
      <c r="B171" s="18"/>
      <c r="C171" s="7">
        <v>25</v>
      </c>
      <c r="D171" s="7">
        <v>25</v>
      </c>
      <c r="E171" s="7">
        <v>25</v>
      </c>
      <c r="F171" s="7">
        <v>25</v>
      </c>
      <c r="G171" s="7">
        <v>100</v>
      </c>
    </row>
    <row r="172" spans="1:17" x14ac:dyDescent="0.3">
      <c r="A172" s="2"/>
      <c r="B172" s="21"/>
      <c r="C172" s="21"/>
      <c r="D172" s="21"/>
      <c r="E172" s="21"/>
      <c r="F172" s="21"/>
      <c r="G172" s="21"/>
    </row>
    <row r="173" spans="1:17" ht="17.25" thickBot="1" x14ac:dyDescent="0.35"/>
    <row r="174" spans="1:17" ht="16.5" customHeight="1" x14ac:dyDescent="0.3">
      <c r="A174" s="4" t="s">
        <v>2</v>
      </c>
      <c r="B174" s="17" t="s">
        <v>84</v>
      </c>
      <c r="C174" s="19"/>
      <c r="D174" s="19"/>
      <c r="E174" s="19"/>
      <c r="F174" s="19"/>
      <c r="G174" s="19"/>
    </row>
    <row r="175" spans="1:17" ht="16.5" customHeight="1" x14ac:dyDescent="0.3">
      <c r="A175" s="6" t="s">
        <v>3</v>
      </c>
      <c r="B175" s="18" t="s">
        <v>13</v>
      </c>
      <c r="C175" s="20" t="s">
        <v>75</v>
      </c>
      <c r="D175" s="20"/>
      <c r="E175" s="20"/>
      <c r="F175" s="20"/>
      <c r="G175" s="20"/>
    </row>
    <row r="176" spans="1:17" x14ac:dyDescent="0.3">
      <c r="A176" s="6" t="s">
        <v>20</v>
      </c>
      <c r="B176" s="1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18">
        <v>1</v>
      </c>
      <c r="C177" s="7">
        <v>6918</v>
      </c>
      <c r="D177" s="7">
        <v>6820</v>
      </c>
      <c r="E177" s="7">
        <v>6642</v>
      </c>
      <c r="F177" s="7">
        <v>6528</v>
      </c>
      <c r="G177" s="7">
        <v>26908</v>
      </c>
      <c r="I177">
        <f>C177</f>
        <v>6918</v>
      </c>
      <c r="J177">
        <f t="shared" ref="J177:L177" si="81">D177</f>
        <v>6820</v>
      </c>
      <c r="K177">
        <f t="shared" si="81"/>
        <v>6642</v>
      </c>
      <c r="L177">
        <f t="shared" si="81"/>
        <v>6528</v>
      </c>
      <c r="N177" t="str">
        <f>TEXT(I177,"#,##0")&amp;" ("&amp;TEXT(I178,"0.00")&amp;")"</f>
        <v>6,918 (40.32)</v>
      </c>
      <c r="O177" t="str">
        <f t="shared" ref="O177:Q177" si="82">TEXT(J177,"#,##0")&amp;" ("&amp;TEXT(J178,"0.00")&amp;")"</f>
        <v>6,820 (39.75)</v>
      </c>
      <c r="P177" t="str">
        <f t="shared" si="82"/>
        <v>6,642 (38.71)</v>
      </c>
      <c r="Q177" t="str">
        <f t="shared" si="82"/>
        <v>6,528 (38.05)</v>
      </c>
    </row>
    <row r="178" spans="1:17" x14ac:dyDescent="0.3">
      <c r="A178" s="2"/>
      <c r="B178" s="18"/>
      <c r="C178" s="7">
        <v>10.08</v>
      </c>
      <c r="D178" s="7">
        <v>9.94</v>
      </c>
      <c r="E178" s="7">
        <v>9.68</v>
      </c>
      <c r="F178" s="7">
        <v>9.51</v>
      </c>
      <c r="G178" s="7">
        <v>39.21</v>
      </c>
      <c r="I178">
        <f>C180</f>
        <v>40.32</v>
      </c>
      <c r="J178">
        <f t="shared" ref="J178:L179" si="83">D180</f>
        <v>39.75</v>
      </c>
      <c r="K178">
        <f t="shared" si="83"/>
        <v>38.71</v>
      </c>
      <c r="L178">
        <f t="shared" si="83"/>
        <v>38.049999999999997</v>
      </c>
      <c r="N178" t="str">
        <f>TEXT(I179,"#,##0")&amp;" ("&amp;TEXT(I180,"0.00")&amp;")"</f>
        <v>6,634 (38.66)</v>
      </c>
      <c r="O178" t="str">
        <f t="shared" ref="O178:Q178" si="84">TEXT(J179,"#,##0")&amp;" ("&amp;TEXT(J180,"0.00")&amp;")"</f>
        <v>6,393 (37.26)</v>
      </c>
      <c r="P178" t="str">
        <f t="shared" si="84"/>
        <v>6,018 (35.07)</v>
      </c>
      <c r="Q178" t="str">
        <f t="shared" si="84"/>
        <v>5,953 (34.70)</v>
      </c>
    </row>
    <row r="179" spans="1:17" x14ac:dyDescent="0.3">
      <c r="A179" s="2"/>
      <c r="B179" s="18"/>
      <c r="C179" s="7">
        <v>25.71</v>
      </c>
      <c r="D179" s="7">
        <v>25.35</v>
      </c>
      <c r="E179" s="7">
        <v>24.68</v>
      </c>
      <c r="F179" s="7">
        <v>24.26</v>
      </c>
      <c r="G179" s="7"/>
      <c r="I179">
        <f>C181</f>
        <v>6634</v>
      </c>
      <c r="J179">
        <f t="shared" si="83"/>
        <v>6393</v>
      </c>
      <c r="K179">
        <f t="shared" si="83"/>
        <v>6018</v>
      </c>
      <c r="L179">
        <f t="shared" si="83"/>
        <v>5953</v>
      </c>
      <c r="N179" t="str">
        <f>TEXT(I181,"#,##0")&amp;" ("&amp;TEXT(I182,"0.00")&amp;")"</f>
        <v>3,607 (21.02)</v>
      </c>
      <c r="O179" t="str">
        <f t="shared" ref="O179:Q179" si="85">TEXT(J181,"#,##0")&amp;" ("&amp;TEXT(J182,"0.00")&amp;")"</f>
        <v>3,945 (22.99)</v>
      </c>
      <c r="P179" t="str">
        <f t="shared" si="85"/>
        <v>4,499 (26.22)</v>
      </c>
      <c r="Q179" t="str">
        <f t="shared" si="85"/>
        <v>4,677 (27.26)</v>
      </c>
    </row>
    <row r="180" spans="1:17" x14ac:dyDescent="0.3">
      <c r="A180" s="2"/>
      <c r="B180" s="18"/>
      <c r="C180" s="7">
        <v>40.32</v>
      </c>
      <c r="D180" s="7">
        <v>39.75</v>
      </c>
      <c r="E180" s="7">
        <v>38.71</v>
      </c>
      <c r="F180" s="7">
        <v>38.049999999999997</v>
      </c>
      <c r="G180" s="7"/>
      <c r="I180">
        <f>C184</f>
        <v>38.659999999999997</v>
      </c>
      <c r="J180">
        <f t="shared" ref="J180:L181" si="86">D184</f>
        <v>37.26</v>
      </c>
      <c r="K180">
        <f t="shared" si="86"/>
        <v>35.07</v>
      </c>
      <c r="L180">
        <f t="shared" si="86"/>
        <v>34.700000000000003</v>
      </c>
      <c r="N180" t="str">
        <f>TEXT(I183,"#,##0")&amp;" ("&amp;TEXT(I184,"0.00")&amp;")"</f>
        <v>17,159 (0.00)</v>
      </c>
      <c r="O180" t="str">
        <f t="shared" ref="O180:Q180" si="87">TEXT(J183,"#,##0")&amp;" ("&amp;TEXT(J184,"0.00")&amp;")"</f>
        <v>17,158 (0.00)</v>
      </c>
      <c r="P180" t="str">
        <f t="shared" si="87"/>
        <v>17,159 (0.00)</v>
      </c>
      <c r="Q180" t="str">
        <f t="shared" si="87"/>
        <v>17,158 (0.00)</v>
      </c>
    </row>
    <row r="181" spans="1:17" x14ac:dyDescent="0.3">
      <c r="A181" s="2"/>
      <c r="B181" s="18">
        <v>2</v>
      </c>
      <c r="C181" s="7">
        <v>6634</v>
      </c>
      <c r="D181" s="7">
        <v>6393</v>
      </c>
      <c r="E181" s="7">
        <v>6018</v>
      </c>
      <c r="F181" s="7">
        <v>5953</v>
      </c>
      <c r="G181" s="7">
        <v>24998</v>
      </c>
      <c r="I181">
        <f>C185</f>
        <v>3607</v>
      </c>
      <c r="J181">
        <f t="shared" si="86"/>
        <v>3945</v>
      </c>
      <c r="K181">
        <f t="shared" si="86"/>
        <v>4499</v>
      </c>
      <c r="L181">
        <f t="shared" si="86"/>
        <v>4677</v>
      </c>
    </row>
    <row r="182" spans="1:17" x14ac:dyDescent="0.3">
      <c r="A182" s="2"/>
      <c r="B182" s="18"/>
      <c r="C182" s="7">
        <v>9.67</v>
      </c>
      <c r="D182" s="7">
        <v>9.31</v>
      </c>
      <c r="E182" s="7">
        <v>8.77</v>
      </c>
      <c r="F182" s="7">
        <v>8.67</v>
      </c>
      <c r="G182" s="7">
        <v>36.42</v>
      </c>
      <c r="I182">
        <f>C188</f>
        <v>21.02</v>
      </c>
      <c r="J182">
        <f t="shared" ref="J182:L183" si="88">D188</f>
        <v>22.99</v>
      </c>
      <c r="K182">
        <f t="shared" si="88"/>
        <v>26.22</v>
      </c>
      <c r="L182">
        <f t="shared" si="88"/>
        <v>27.26</v>
      </c>
    </row>
    <row r="183" spans="1:17" x14ac:dyDescent="0.3">
      <c r="A183" s="2"/>
      <c r="B183" s="18"/>
      <c r="C183" s="7">
        <v>26.54</v>
      </c>
      <c r="D183" s="7">
        <v>25.57</v>
      </c>
      <c r="E183" s="7">
        <v>24.07</v>
      </c>
      <c r="F183" s="7">
        <v>23.81</v>
      </c>
      <c r="G183" s="7"/>
      <c r="I183">
        <f>C189</f>
        <v>17159</v>
      </c>
      <c r="J183">
        <f t="shared" si="88"/>
        <v>17158</v>
      </c>
      <c r="K183">
        <f t="shared" si="88"/>
        <v>17159</v>
      </c>
      <c r="L183">
        <f t="shared" si="88"/>
        <v>17158</v>
      </c>
    </row>
    <row r="184" spans="1:17" x14ac:dyDescent="0.3">
      <c r="A184" s="2"/>
      <c r="B184" s="18"/>
      <c r="C184" s="7">
        <v>38.659999999999997</v>
      </c>
      <c r="D184" s="7">
        <v>37.26</v>
      </c>
      <c r="E184" s="7">
        <v>35.07</v>
      </c>
      <c r="F184" s="7">
        <v>34.700000000000003</v>
      </c>
      <c r="G184" s="7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18">
        <v>3</v>
      </c>
      <c r="C185" s="7">
        <v>3607</v>
      </c>
      <c r="D185" s="7">
        <v>3945</v>
      </c>
      <c r="E185" s="7">
        <v>4499</v>
      </c>
      <c r="F185" s="7">
        <v>4677</v>
      </c>
      <c r="G185" s="7">
        <v>16728</v>
      </c>
    </row>
    <row r="186" spans="1:17" x14ac:dyDescent="0.3">
      <c r="A186" s="2"/>
      <c r="B186" s="18"/>
      <c r="C186" s="7">
        <v>5.26</v>
      </c>
      <c r="D186" s="7">
        <v>5.75</v>
      </c>
      <c r="E186" s="7">
        <v>6.56</v>
      </c>
      <c r="F186" s="7">
        <v>6.81</v>
      </c>
      <c r="G186" s="7">
        <v>24.37</v>
      </c>
    </row>
    <row r="187" spans="1:17" x14ac:dyDescent="0.3">
      <c r="A187" s="2"/>
      <c r="B187" s="18"/>
      <c r="C187" s="7">
        <v>21.56</v>
      </c>
      <c r="D187" s="7">
        <v>23.58</v>
      </c>
      <c r="E187" s="7">
        <v>26.9</v>
      </c>
      <c r="F187" s="7">
        <v>27.96</v>
      </c>
      <c r="G187" s="7"/>
    </row>
    <row r="188" spans="1:17" x14ac:dyDescent="0.3">
      <c r="A188" s="2"/>
      <c r="B188" s="18"/>
      <c r="C188" s="7">
        <v>21.02</v>
      </c>
      <c r="D188" s="7">
        <v>22.99</v>
      </c>
      <c r="E188" s="7">
        <v>26.22</v>
      </c>
      <c r="F188" s="7">
        <v>27.26</v>
      </c>
      <c r="G188" s="7"/>
    </row>
    <row r="189" spans="1:17" x14ac:dyDescent="0.3">
      <c r="A189" s="2"/>
      <c r="B189" s="18" t="s">
        <v>24</v>
      </c>
      <c r="C189" s="7">
        <v>17159</v>
      </c>
      <c r="D189" s="7">
        <v>17158</v>
      </c>
      <c r="E189" s="7">
        <v>17159</v>
      </c>
      <c r="F189" s="7">
        <v>17158</v>
      </c>
      <c r="G189" s="7">
        <v>68634</v>
      </c>
    </row>
    <row r="190" spans="1:17" x14ac:dyDescent="0.3">
      <c r="A190" s="2"/>
      <c r="B190" s="18"/>
      <c r="C190" s="7">
        <v>25</v>
      </c>
      <c r="D190" s="7">
        <v>25</v>
      </c>
      <c r="E190" s="7">
        <v>25</v>
      </c>
      <c r="F190" s="7">
        <v>25</v>
      </c>
      <c r="G190" s="7">
        <v>100</v>
      </c>
    </row>
    <row r="191" spans="1:17" x14ac:dyDescent="0.3">
      <c r="A191" s="2"/>
      <c r="B191" s="21"/>
      <c r="C191" s="21"/>
      <c r="D191" s="21"/>
      <c r="E191" s="21"/>
      <c r="F191" s="21"/>
      <c r="G191" s="21"/>
    </row>
    <row r="192" spans="1:17" ht="17.25" thickBot="1" x14ac:dyDescent="0.35"/>
    <row r="193" spans="1:17" ht="16.5" customHeight="1" x14ac:dyDescent="0.3">
      <c r="A193" s="4" t="s">
        <v>2</v>
      </c>
      <c r="B193" s="17" t="s">
        <v>85</v>
      </c>
      <c r="C193" s="19"/>
      <c r="D193" s="19"/>
      <c r="E193" s="19"/>
      <c r="F193" s="19"/>
      <c r="G193" s="19"/>
    </row>
    <row r="194" spans="1:17" ht="16.5" customHeight="1" x14ac:dyDescent="0.3">
      <c r="A194" s="6" t="s">
        <v>3</v>
      </c>
      <c r="B194" s="18" t="s">
        <v>14</v>
      </c>
      <c r="C194" s="20" t="s">
        <v>75</v>
      </c>
      <c r="D194" s="20"/>
      <c r="E194" s="20"/>
      <c r="F194" s="20"/>
      <c r="G194" s="20"/>
    </row>
    <row r="195" spans="1:17" x14ac:dyDescent="0.3">
      <c r="A195" s="6" t="s">
        <v>20</v>
      </c>
      <c r="B195" s="1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18">
        <v>0</v>
      </c>
      <c r="C196" s="7">
        <v>14140</v>
      </c>
      <c r="D196" s="7">
        <v>13440</v>
      </c>
      <c r="E196" s="7">
        <v>12726</v>
      </c>
      <c r="F196" s="7">
        <v>11757</v>
      </c>
      <c r="G196" s="7">
        <v>52063</v>
      </c>
      <c r="I196">
        <f>C196</f>
        <v>14140</v>
      </c>
      <c r="J196">
        <f t="shared" ref="J196:L196" si="90">D196</f>
        <v>13440</v>
      </c>
      <c r="K196">
        <f t="shared" si="90"/>
        <v>12726</v>
      </c>
      <c r="L196">
        <f t="shared" si="90"/>
        <v>11757</v>
      </c>
      <c r="N196" t="str">
        <f>TEXT(I196,"#,##0")&amp;" ("&amp;TEXT(I197,"0.00")&amp;")"</f>
        <v>14,140 (82.41)</v>
      </c>
      <c r="O196" t="str">
        <f t="shared" ref="O196:Q196" si="91">TEXT(J196,"#,##0")&amp;" ("&amp;TEXT(J197,"0.00")&amp;")"</f>
        <v>13,440 (78.33)</v>
      </c>
      <c r="P196" t="str">
        <f t="shared" si="91"/>
        <v>12,726 (74.17)</v>
      </c>
      <c r="Q196" t="str">
        <f t="shared" si="91"/>
        <v>11,757 (68.52)</v>
      </c>
    </row>
    <row r="197" spans="1:17" x14ac:dyDescent="0.3">
      <c r="A197" s="2"/>
      <c r="B197" s="18"/>
      <c r="C197" s="7">
        <v>20.6</v>
      </c>
      <c r="D197" s="7">
        <v>19.579999999999998</v>
      </c>
      <c r="E197" s="7">
        <v>18.54</v>
      </c>
      <c r="F197" s="7">
        <v>17.13</v>
      </c>
      <c r="G197" s="7">
        <v>75.86</v>
      </c>
      <c r="I197">
        <f>C199</f>
        <v>82.41</v>
      </c>
      <c r="J197">
        <f t="shared" ref="J197:L198" si="92">D199</f>
        <v>78.33</v>
      </c>
      <c r="K197">
        <f t="shared" si="92"/>
        <v>74.17</v>
      </c>
      <c r="L197">
        <f t="shared" si="92"/>
        <v>68.52</v>
      </c>
      <c r="N197" t="str">
        <f>TEXT(I198,"#,##0")&amp;" ("&amp;TEXT(I199,"0.00")&amp;")"</f>
        <v>3,019 (17.59)</v>
      </c>
      <c r="O197" t="str">
        <f t="shared" ref="O197:Q197" si="93">TEXT(J198,"#,##0")&amp;" ("&amp;TEXT(J199,"0.00")&amp;")"</f>
        <v>3,718 (21.67)</v>
      </c>
      <c r="P197" t="str">
        <f t="shared" si="93"/>
        <v>4,433 (25.83)</v>
      </c>
      <c r="Q197" t="str">
        <f t="shared" si="93"/>
        <v>5,401 (31.48)</v>
      </c>
    </row>
    <row r="198" spans="1:17" x14ac:dyDescent="0.3">
      <c r="A198" s="2"/>
      <c r="B198" s="18"/>
      <c r="C198" s="7">
        <v>27.16</v>
      </c>
      <c r="D198" s="7">
        <v>25.81</v>
      </c>
      <c r="E198" s="7">
        <v>24.44</v>
      </c>
      <c r="F198" s="7">
        <v>22.58</v>
      </c>
      <c r="G198" s="7"/>
      <c r="I198">
        <f>C200</f>
        <v>3019</v>
      </c>
      <c r="J198">
        <f t="shared" si="92"/>
        <v>3718</v>
      </c>
      <c r="K198">
        <f t="shared" si="92"/>
        <v>4433</v>
      </c>
      <c r="L198">
        <f t="shared" si="92"/>
        <v>5401</v>
      </c>
      <c r="N198" t="str">
        <f>TEXT(I200,"#,##0")&amp;" ("&amp;TEXT(I201,"0.00")&amp;")"</f>
        <v>17,159 (0.00)</v>
      </c>
      <c r="O198" t="str">
        <f t="shared" ref="O198:Q198" si="94">TEXT(J200,"#,##0")&amp;" ("&amp;TEXT(J201,"0.00")&amp;")"</f>
        <v>17,158 (0.00)</v>
      </c>
      <c r="P198" t="str">
        <f t="shared" si="94"/>
        <v>17,159 (0.00)</v>
      </c>
      <c r="Q198" t="str">
        <f t="shared" si="94"/>
        <v>17,158 (0.00)</v>
      </c>
    </row>
    <row r="199" spans="1:17" x14ac:dyDescent="0.3">
      <c r="A199" s="2"/>
      <c r="B199" s="18"/>
      <c r="C199" s="7">
        <v>82.41</v>
      </c>
      <c r="D199" s="7">
        <v>78.33</v>
      </c>
      <c r="E199" s="7">
        <v>74.17</v>
      </c>
      <c r="F199" s="7">
        <v>68.52</v>
      </c>
      <c r="G199" s="7"/>
      <c r="I199">
        <f>C203</f>
        <v>17.59</v>
      </c>
      <c r="J199">
        <f t="shared" ref="J199:L200" si="95">D203</f>
        <v>21.67</v>
      </c>
      <c r="K199">
        <f t="shared" si="95"/>
        <v>25.83</v>
      </c>
      <c r="L199">
        <f t="shared" si="95"/>
        <v>31.48</v>
      </c>
      <c r="N199" t="str">
        <f>TEXT(I202,"#,##0")&amp;" ("&amp;TEXT(I203,"0.00")&amp;")"</f>
        <v>0 (15772.00)</v>
      </c>
      <c r="O199" t="str">
        <f t="shared" ref="O199:Q199" si="96">TEXT(J202,"#,##0")&amp;" ("&amp;TEXT(J203,"0.00")&amp;")"</f>
        <v>0 (14259.00)</v>
      </c>
      <c r="P199" t="str">
        <f t="shared" si="96"/>
        <v>0 (12574.00)</v>
      </c>
      <c r="Q199" t="str">
        <f t="shared" si="96"/>
        <v>0 (11305.00)</v>
      </c>
    </row>
    <row r="200" spans="1:17" x14ac:dyDescent="0.3">
      <c r="A200" s="2"/>
      <c r="B200" s="18">
        <v>1</v>
      </c>
      <c r="C200" s="7">
        <v>3019</v>
      </c>
      <c r="D200" s="7">
        <v>3718</v>
      </c>
      <c r="E200" s="7">
        <v>4433</v>
      </c>
      <c r="F200" s="7">
        <v>5401</v>
      </c>
      <c r="G200" s="7">
        <v>16571</v>
      </c>
      <c r="I200">
        <f>C204</f>
        <v>17159</v>
      </c>
      <c r="J200">
        <f t="shared" si="95"/>
        <v>17158</v>
      </c>
      <c r="K200">
        <f t="shared" si="95"/>
        <v>17159</v>
      </c>
      <c r="L200">
        <f t="shared" si="95"/>
        <v>17158</v>
      </c>
    </row>
    <row r="201" spans="1:17" x14ac:dyDescent="0.3">
      <c r="A201" s="2"/>
      <c r="B201" s="18"/>
      <c r="C201" s="7">
        <v>4.4000000000000004</v>
      </c>
      <c r="D201" s="7">
        <v>5.42</v>
      </c>
      <c r="E201" s="7">
        <v>6.46</v>
      </c>
      <c r="F201" s="7">
        <v>7.87</v>
      </c>
      <c r="G201" s="7">
        <v>24.14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18"/>
      <c r="C202" s="7">
        <v>18.22</v>
      </c>
      <c r="D202" s="7">
        <v>22.44</v>
      </c>
      <c r="E202" s="7">
        <v>26.75</v>
      </c>
      <c r="F202" s="7">
        <v>32.590000000000003</v>
      </c>
      <c r="G202" s="7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18"/>
      <c r="C203" s="7">
        <v>17.59</v>
      </c>
      <c r="D203" s="7">
        <v>21.67</v>
      </c>
      <c r="E203" s="7">
        <v>25.83</v>
      </c>
      <c r="F203" s="7">
        <v>31.48</v>
      </c>
      <c r="G203" s="7"/>
      <c r="I203">
        <f>C211</f>
        <v>15772</v>
      </c>
      <c r="J203">
        <f t="shared" ref="J203:L203" si="98">D211</f>
        <v>14259</v>
      </c>
      <c r="K203">
        <f t="shared" si="98"/>
        <v>12574</v>
      </c>
      <c r="L203">
        <f t="shared" si="98"/>
        <v>11305</v>
      </c>
    </row>
    <row r="204" spans="1:17" x14ac:dyDescent="0.3">
      <c r="A204" s="2"/>
      <c r="B204" s="18" t="s">
        <v>24</v>
      </c>
      <c r="C204" s="7">
        <v>17159</v>
      </c>
      <c r="D204" s="7">
        <v>17158</v>
      </c>
      <c r="E204" s="7">
        <v>17159</v>
      </c>
      <c r="F204" s="7">
        <v>17158</v>
      </c>
      <c r="G204" s="7">
        <v>68634</v>
      </c>
    </row>
    <row r="205" spans="1:17" x14ac:dyDescent="0.3">
      <c r="A205" s="2"/>
      <c r="B205" s="18"/>
      <c r="C205" s="7">
        <v>25</v>
      </c>
      <c r="D205" s="7">
        <v>25</v>
      </c>
      <c r="E205" s="7">
        <v>25</v>
      </c>
      <c r="F205" s="7">
        <v>25</v>
      </c>
      <c r="G205" s="7">
        <v>100</v>
      </c>
    </row>
    <row r="206" spans="1:17" x14ac:dyDescent="0.3">
      <c r="A206" s="2"/>
      <c r="B206" s="21"/>
      <c r="C206" s="21"/>
      <c r="D206" s="21"/>
      <c r="E206" s="21"/>
      <c r="F206" s="21"/>
      <c r="G206" s="21"/>
    </row>
    <row r="207" spans="1:17" ht="17.25" thickBot="1" x14ac:dyDescent="0.35"/>
    <row r="208" spans="1:17" ht="16.5" customHeight="1" x14ac:dyDescent="0.3">
      <c r="A208" s="4" t="s">
        <v>2</v>
      </c>
      <c r="B208" s="17" t="s">
        <v>86</v>
      </c>
      <c r="C208" s="19"/>
      <c r="D208" s="19"/>
      <c r="E208" s="19"/>
      <c r="F208" s="19"/>
      <c r="G208" s="19"/>
    </row>
    <row r="209" spans="1:17" ht="16.5" customHeight="1" x14ac:dyDescent="0.3">
      <c r="A209" s="6" t="s">
        <v>3</v>
      </c>
      <c r="B209" s="18" t="s">
        <v>15</v>
      </c>
      <c r="C209" s="20" t="s">
        <v>75</v>
      </c>
      <c r="D209" s="20"/>
      <c r="E209" s="20"/>
      <c r="F209" s="20"/>
      <c r="G209" s="20"/>
    </row>
    <row r="210" spans="1:17" x14ac:dyDescent="0.3">
      <c r="A210" s="6" t="s">
        <v>20</v>
      </c>
      <c r="B210" s="1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18">
        <v>0</v>
      </c>
      <c r="C211" s="7">
        <v>15772</v>
      </c>
      <c r="D211" s="7">
        <v>14259</v>
      </c>
      <c r="E211" s="7">
        <v>12574</v>
      </c>
      <c r="F211" s="7">
        <v>11305</v>
      </c>
      <c r="G211" s="7">
        <v>53910</v>
      </c>
      <c r="I211">
        <f>C211</f>
        <v>15772</v>
      </c>
      <c r="J211">
        <f t="shared" ref="J211:L211" si="99">D211</f>
        <v>14259</v>
      </c>
      <c r="K211">
        <f t="shared" si="99"/>
        <v>12574</v>
      </c>
      <c r="L211">
        <f t="shared" si="99"/>
        <v>11305</v>
      </c>
      <c r="N211" t="str">
        <f>TEXT(I211,"#,##0")&amp;" ("&amp;TEXT(I212,"0.00")&amp;")"</f>
        <v>15,772 (91.92)</v>
      </c>
      <c r="O211" t="str">
        <f t="shared" ref="O211:Q211" si="100">TEXT(J211,"#,##0")&amp;" ("&amp;TEXT(J212,"0.00")&amp;")"</f>
        <v>14,259 (83.10)</v>
      </c>
      <c r="P211" t="str">
        <f t="shared" si="100"/>
        <v>12,574 (73.28)</v>
      </c>
      <c r="Q211" t="str">
        <f t="shared" si="100"/>
        <v>11,305 (65.89)</v>
      </c>
    </row>
    <row r="212" spans="1:17" x14ac:dyDescent="0.3">
      <c r="A212" s="2"/>
      <c r="B212" s="18"/>
      <c r="C212" s="7">
        <v>22.98</v>
      </c>
      <c r="D212" s="7">
        <v>20.78</v>
      </c>
      <c r="E212" s="7">
        <v>18.32</v>
      </c>
      <c r="F212" s="7">
        <v>16.47</v>
      </c>
      <c r="G212" s="7">
        <v>78.55</v>
      </c>
      <c r="I212">
        <f>C214</f>
        <v>91.92</v>
      </c>
      <c r="J212">
        <f t="shared" ref="J212:L213" si="101">D214</f>
        <v>83.1</v>
      </c>
      <c r="K212">
        <f t="shared" si="101"/>
        <v>73.28</v>
      </c>
      <c r="L212">
        <f t="shared" si="101"/>
        <v>65.89</v>
      </c>
      <c r="N212" t="str">
        <f>TEXT(I213,"#,##0")&amp;" ("&amp;TEXT(I214,"0.00")&amp;")"</f>
        <v>1,387 (8.08)</v>
      </c>
      <c r="O212" t="str">
        <f t="shared" ref="O212:Q212" si="102">TEXT(J213,"#,##0")&amp;" ("&amp;TEXT(J214,"0.00")&amp;")"</f>
        <v>2,899 (16.90)</v>
      </c>
      <c r="P212" t="str">
        <f t="shared" si="102"/>
        <v>4,585 (26.72)</v>
      </c>
      <c r="Q212" t="str">
        <f t="shared" si="102"/>
        <v>5,853 (34.11)</v>
      </c>
    </row>
    <row r="213" spans="1:17" x14ac:dyDescent="0.3">
      <c r="A213" s="2"/>
      <c r="B213" s="18"/>
      <c r="C213" s="7">
        <v>29.26</v>
      </c>
      <c r="D213" s="7">
        <v>26.45</v>
      </c>
      <c r="E213" s="7">
        <v>23.32</v>
      </c>
      <c r="F213" s="7">
        <v>20.97</v>
      </c>
      <c r="G213" s="7"/>
      <c r="I213">
        <f>C215</f>
        <v>1387</v>
      </c>
      <c r="J213">
        <f t="shared" si="101"/>
        <v>2899</v>
      </c>
      <c r="K213">
        <f t="shared" si="101"/>
        <v>4585</v>
      </c>
      <c r="L213">
        <f t="shared" si="101"/>
        <v>5853</v>
      </c>
      <c r="N213" t="str">
        <f>TEXT(I215,"#,##0")&amp;" ("&amp;TEXT(I216,"0.00")&amp;")"</f>
        <v>17,159 (0.00)</v>
      </c>
      <c r="O213" t="str">
        <f t="shared" ref="O213:Q213" si="103">TEXT(J215,"#,##0")&amp;" ("&amp;TEXT(J216,"0.00")&amp;")"</f>
        <v>17,158 (0.00)</v>
      </c>
      <c r="P213" t="str">
        <f t="shared" si="103"/>
        <v>17,159 (0.00)</v>
      </c>
      <c r="Q213" t="str">
        <f t="shared" si="103"/>
        <v>17,158 (0.00)</v>
      </c>
    </row>
    <row r="214" spans="1:17" x14ac:dyDescent="0.3">
      <c r="A214" s="2"/>
      <c r="B214" s="18"/>
      <c r="C214" s="7">
        <v>91.92</v>
      </c>
      <c r="D214" s="7">
        <v>83.1</v>
      </c>
      <c r="E214" s="7">
        <v>73.28</v>
      </c>
      <c r="F214" s="7">
        <v>65.89</v>
      </c>
      <c r="G214" s="7"/>
      <c r="I214">
        <f>C218</f>
        <v>8.08</v>
      </c>
      <c r="J214">
        <f t="shared" ref="J214:L215" si="104">D218</f>
        <v>16.899999999999999</v>
      </c>
      <c r="K214">
        <f t="shared" si="104"/>
        <v>26.72</v>
      </c>
      <c r="L214">
        <f t="shared" si="104"/>
        <v>34.11</v>
      </c>
      <c r="N214" t="str">
        <f>TEXT(I217,"#,##0")&amp;" ("&amp;TEXT(I218,"0.00")&amp;")"</f>
        <v>0 (16039.00)</v>
      </c>
      <c r="O214" t="str">
        <f t="shared" ref="O214:Q214" si="105">TEXT(J217,"#,##0")&amp;" ("&amp;TEXT(J218,"0.00")&amp;")"</f>
        <v>0 (14912.00)</v>
      </c>
      <c r="P214" t="str">
        <f t="shared" si="105"/>
        <v>0 (14017.00)</v>
      </c>
      <c r="Q214" t="str">
        <f t="shared" si="105"/>
        <v>0 (13498.00)</v>
      </c>
    </row>
    <row r="215" spans="1:17" x14ac:dyDescent="0.3">
      <c r="A215" s="2"/>
      <c r="B215" s="18">
        <v>1</v>
      </c>
      <c r="C215" s="7">
        <v>1387</v>
      </c>
      <c r="D215" s="7">
        <v>2899</v>
      </c>
      <c r="E215" s="7">
        <v>4585</v>
      </c>
      <c r="F215" s="7">
        <v>5853</v>
      </c>
      <c r="G215" s="7">
        <v>14724</v>
      </c>
      <c r="I215">
        <f>C219</f>
        <v>17159</v>
      </c>
      <c r="J215">
        <f t="shared" si="104"/>
        <v>17158</v>
      </c>
      <c r="K215">
        <f t="shared" si="104"/>
        <v>17159</v>
      </c>
      <c r="L215">
        <f t="shared" si="104"/>
        <v>17158</v>
      </c>
    </row>
    <row r="216" spans="1:17" x14ac:dyDescent="0.3">
      <c r="A216" s="2"/>
      <c r="B216" s="18"/>
      <c r="C216" s="7">
        <v>2.02</v>
      </c>
      <c r="D216" s="7">
        <v>4.22</v>
      </c>
      <c r="E216" s="7">
        <v>6.68</v>
      </c>
      <c r="F216" s="7">
        <v>8.5299999999999994</v>
      </c>
      <c r="G216" s="7">
        <v>21.45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18"/>
      <c r="C217" s="7">
        <v>9.42</v>
      </c>
      <c r="D217" s="7">
        <v>19.690000000000001</v>
      </c>
      <c r="E217" s="7">
        <v>31.14</v>
      </c>
      <c r="F217" s="7">
        <v>39.75</v>
      </c>
      <c r="G217" s="7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18"/>
      <c r="C218" s="7">
        <v>8.08</v>
      </c>
      <c r="D218" s="7">
        <v>16.899999999999999</v>
      </c>
      <c r="E218" s="7">
        <v>26.72</v>
      </c>
      <c r="F218" s="7">
        <v>34.11</v>
      </c>
      <c r="G218" s="7"/>
      <c r="I218">
        <f>C226</f>
        <v>16039</v>
      </c>
      <c r="J218">
        <f t="shared" ref="J218:L218" si="107">D226</f>
        <v>14912</v>
      </c>
      <c r="K218">
        <f t="shared" si="107"/>
        <v>14017</v>
      </c>
      <c r="L218">
        <f t="shared" si="107"/>
        <v>13498</v>
      </c>
    </row>
    <row r="219" spans="1:17" x14ac:dyDescent="0.3">
      <c r="A219" s="2"/>
      <c r="B219" s="18" t="s">
        <v>24</v>
      </c>
      <c r="C219" s="7">
        <v>17159</v>
      </c>
      <c r="D219" s="7">
        <v>17158</v>
      </c>
      <c r="E219" s="7">
        <v>17159</v>
      </c>
      <c r="F219" s="7">
        <v>17158</v>
      </c>
      <c r="G219" s="7">
        <v>68634</v>
      </c>
    </row>
    <row r="220" spans="1:17" x14ac:dyDescent="0.3">
      <c r="A220" s="2"/>
      <c r="B220" s="18"/>
      <c r="C220" s="7">
        <v>25</v>
      </c>
      <c r="D220" s="7">
        <v>25</v>
      </c>
      <c r="E220" s="7">
        <v>25</v>
      </c>
      <c r="F220" s="7">
        <v>25</v>
      </c>
      <c r="G220" s="7">
        <v>100</v>
      </c>
    </row>
    <row r="221" spans="1:17" x14ac:dyDescent="0.3">
      <c r="A221" s="2"/>
      <c r="B221" s="21"/>
      <c r="C221" s="21"/>
      <c r="D221" s="21"/>
      <c r="E221" s="21"/>
      <c r="F221" s="21"/>
      <c r="G221" s="21"/>
    </row>
    <row r="222" spans="1:17" ht="17.25" thickBot="1" x14ac:dyDescent="0.35"/>
    <row r="223" spans="1:17" ht="16.5" customHeight="1" x14ac:dyDescent="0.3">
      <c r="A223" s="4" t="s">
        <v>2</v>
      </c>
      <c r="B223" s="17" t="s">
        <v>87</v>
      </c>
      <c r="C223" s="19"/>
      <c r="D223" s="19"/>
      <c r="E223" s="19"/>
      <c r="F223" s="19"/>
      <c r="G223" s="19"/>
    </row>
    <row r="224" spans="1:17" ht="16.5" customHeight="1" x14ac:dyDescent="0.3">
      <c r="A224" s="6" t="s">
        <v>3</v>
      </c>
      <c r="B224" s="18" t="s">
        <v>16</v>
      </c>
      <c r="C224" s="20" t="s">
        <v>75</v>
      </c>
      <c r="D224" s="20"/>
      <c r="E224" s="20"/>
      <c r="F224" s="20"/>
      <c r="G224" s="20"/>
    </row>
    <row r="225" spans="1:17" x14ac:dyDescent="0.3">
      <c r="A225" s="6" t="s">
        <v>20</v>
      </c>
      <c r="B225" s="1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18">
        <v>0</v>
      </c>
      <c r="C226" s="7">
        <v>16039</v>
      </c>
      <c r="D226" s="7">
        <v>14912</v>
      </c>
      <c r="E226" s="7">
        <v>14017</v>
      </c>
      <c r="F226" s="7">
        <v>13498</v>
      </c>
      <c r="G226" s="7">
        <v>58466</v>
      </c>
      <c r="I226">
        <f>C226</f>
        <v>16039</v>
      </c>
      <c r="J226">
        <f t="shared" ref="J226:L226" si="108">D226</f>
        <v>14912</v>
      </c>
      <c r="K226">
        <f t="shared" si="108"/>
        <v>14017</v>
      </c>
      <c r="L226">
        <f t="shared" si="108"/>
        <v>13498</v>
      </c>
      <c r="N226" t="str">
        <f>TEXT(I226,"#,##0")&amp;" ("&amp;TEXT(I227,"0.00")&amp;")"</f>
        <v>16,039 (93.47)</v>
      </c>
      <c r="O226" t="str">
        <f t="shared" ref="O226:Q226" si="109">TEXT(J226,"#,##0")&amp;" ("&amp;TEXT(J227,"0.00")&amp;")"</f>
        <v>14,912 (86.91)</v>
      </c>
      <c r="P226" t="str">
        <f t="shared" si="109"/>
        <v>14,017 (81.69)</v>
      </c>
      <c r="Q226" t="str">
        <f t="shared" si="109"/>
        <v>13,498 (78.67)</v>
      </c>
    </row>
    <row r="227" spans="1:17" x14ac:dyDescent="0.3">
      <c r="A227" s="2"/>
      <c r="B227" s="18"/>
      <c r="C227" s="7">
        <v>23.37</v>
      </c>
      <c r="D227" s="7">
        <v>21.73</v>
      </c>
      <c r="E227" s="7">
        <v>20.420000000000002</v>
      </c>
      <c r="F227" s="7">
        <v>19.670000000000002</v>
      </c>
      <c r="G227" s="7">
        <v>85.19</v>
      </c>
      <c r="I227">
        <f>C229</f>
        <v>93.47</v>
      </c>
      <c r="J227">
        <f t="shared" ref="J227:L228" si="110">D229</f>
        <v>86.91</v>
      </c>
      <c r="K227">
        <f t="shared" si="110"/>
        <v>81.69</v>
      </c>
      <c r="L227">
        <f t="shared" si="110"/>
        <v>78.67</v>
      </c>
      <c r="N227" t="str">
        <f>TEXT(I228,"#,##0")&amp;" ("&amp;TEXT(I229,"0.00")&amp;")"</f>
        <v>1,120 (6.53)</v>
      </c>
      <c r="O227" t="str">
        <f t="shared" ref="O227:Q227" si="111">TEXT(J228,"#,##0")&amp;" ("&amp;TEXT(J229,"0.00")&amp;")"</f>
        <v>2,246 (13.09)</v>
      </c>
      <c r="P227" t="str">
        <f t="shared" si="111"/>
        <v>3,142 (18.31)</v>
      </c>
      <c r="Q227" t="str">
        <f t="shared" si="111"/>
        <v>3,660 (21.33)</v>
      </c>
    </row>
    <row r="228" spans="1:17" x14ac:dyDescent="0.3">
      <c r="A228" s="2"/>
      <c r="B228" s="18"/>
      <c r="C228" s="7">
        <v>27.43</v>
      </c>
      <c r="D228" s="7">
        <v>25.51</v>
      </c>
      <c r="E228" s="7">
        <v>23.97</v>
      </c>
      <c r="F228" s="7">
        <v>23.09</v>
      </c>
      <c r="G228" s="7"/>
      <c r="I228">
        <f>C230</f>
        <v>1120</v>
      </c>
      <c r="J228">
        <f t="shared" si="110"/>
        <v>2246</v>
      </c>
      <c r="K228">
        <f t="shared" si="110"/>
        <v>3142</v>
      </c>
      <c r="L228">
        <f t="shared" si="110"/>
        <v>3660</v>
      </c>
      <c r="N228" t="str">
        <f>TEXT(I230,"#,##0")&amp;" ("&amp;TEXT(I231,"0.00")&amp;")"</f>
        <v>17,159 (0.00)</v>
      </c>
      <c r="O228" t="str">
        <f t="shared" ref="O228:Q228" si="112">TEXT(J230,"#,##0")&amp;" ("&amp;TEXT(J231,"0.00")&amp;")"</f>
        <v>17,158 (0.00)</v>
      </c>
      <c r="P228" t="str">
        <f t="shared" si="112"/>
        <v>17,159 (0.00)</v>
      </c>
      <c r="Q228" t="str">
        <f t="shared" si="112"/>
        <v>17,158 (0.00)</v>
      </c>
    </row>
    <row r="229" spans="1:17" x14ac:dyDescent="0.3">
      <c r="A229" s="2"/>
      <c r="B229" s="18"/>
      <c r="C229" s="7">
        <v>93.47</v>
      </c>
      <c r="D229" s="7">
        <v>86.91</v>
      </c>
      <c r="E229" s="7">
        <v>81.69</v>
      </c>
      <c r="F229" s="7">
        <v>78.67</v>
      </c>
      <c r="G229" s="7"/>
      <c r="I229">
        <f>C233</f>
        <v>6.53</v>
      </c>
      <c r="J229">
        <f t="shared" ref="J229:L230" si="113">D233</f>
        <v>13.09</v>
      </c>
      <c r="K229">
        <f t="shared" si="113"/>
        <v>18.309999999999999</v>
      </c>
      <c r="L229">
        <f t="shared" si="113"/>
        <v>21.33</v>
      </c>
      <c r="N229" t="str">
        <f>TEXT(I232,"#,##0")&amp;" ("&amp;TEXT(I233,"0.00")&amp;")"</f>
        <v>0 (17026.00)</v>
      </c>
      <c r="O229" t="str">
        <f t="shared" ref="O229:Q229" si="114">TEXT(J232,"#,##0")&amp;" ("&amp;TEXT(J233,"0.00")&amp;")"</f>
        <v>0 (16860.00)</v>
      </c>
      <c r="P229" t="str">
        <f t="shared" si="114"/>
        <v>0 (16742.00)</v>
      </c>
      <c r="Q229" t="str">
        <f t="shared" si="114"/>
        <v>0 (16715.00)</v>
      </c>
    </row>
    <row r="230" spans="1:17" x14ac:dyDescent="0.3">
      <c r="A230" s="2"/>
      <c r="B230" s="18">
        <v>1</v>
      </c>
      <c r="C230" s="7">
        <v>1120</v>
      </c>
      <c r="D230" s="7">
        <v>2246</v>
      </c>
      <c r="E230" s="7">
        <v>3142</v>
      </c>
      <c r="F230" s="7">
        <v>3660</v>
      </c>
      <c r="G230" s="7">
        <v>10168</v>
      </c>
      <c r="I230">
        <f>C234</f>
        <v>17159</v>
      </c>
      <c r="J230">
        <f t="shared" si="113"/>
        <v>17158</v>
      </c>
      <c r="K230">
        <f t="shared" si="113"/>
        <v>17159</v>
      </c>
      <c r="L230">
        <f t="shared" si="113"/>
        <v>17158</v>
      </c>
    </row>
    <row r="231" spans="1:17" x14ac:dyDescent="0.3">
      <c r="A231" s="2"/>
      <c r="B231" s="18"/>
      <c r="C231" s="7">
        <v>1.63</v>
      </c>
      <c r="D231" s="7">
        <v>3.27</v>
      </c>
      <c r="E231" s="7">
        <v>4.58</v>
      </c>
      <c r="F231" s="7">
        <v>5.33</v>
      </c>
      <c r="G231" s="7">
        <v>14.81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18"/>
      <c r="C232" s="7">
        <v>11.01</v>
      </c>
      <c r="D232" s="7">
        <v>22.09</v>
      </c>
      <c r="E232" s="7">
        <v>30.9</v>
      </c>
      <c r="F232" s="7">
        <v>36</v>
      </c>
      <c r="G232" s="7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18"/>
      <c r="C233" s="7">
        <v>6.53</v>
      </c>
      <c r="D233" s="7">
        <v>13.09</v>
      </c>
      <c r="E233" s="7">
        <v>18.309999999999999</v>
      </c>
      <c r="F233" s="7">
        <v>21.33</v>
      </c>
      <c r="G233" s="7"/>
      <c r="I233">
        <f>C241</f>
        <v>17026</v>
      </c>
      <c r="J233">
        <f t="shared" ref="J233:L233" si="116">D241</f>
        <v>16860</v>
      </c>
      <c r="K233">
        <f t="shared" si="116"/>
        <v>16742</v>
      </c>
      <c r="L233">
        <f t="shared" si="116"/>
        <v>16715</v>
      </c>
    </row>
    <row r="234" spans="1:17" x14ac:dyDescent="0.3">
      <c r="A234" s="2"/>
      <c r="B234" s="18" t="s">
        <v>24</v>
      </c>
      <c r="C234" s="7">
        <v>17159</v>
      </c>
      <c r="D234" s="7">
        <v>17158</v>
      </c>
      <c r="E234" s="7">
        <v>17159</v>
      </c>
      <c r="F234" s="7">
        <v>17158</v>
      </c>
      <c r="G234" s="7">
        <v>68634</v>
      </c>
    </row>
    <row r="235" spans="1:17" x14ac:dyDescent="0.3">
      <c r="A235" s="2"/>
      <c r="B235" s="18"/>
      <c r="C235" s="7">
        <v>25</v>
      </c>
      <c r="D235" s="7">
        <v>25</v>
      </c>
      <c r="E235" s="7">
        <v>25</v>
      </c>
      <c r="F235" s="7">
        <v>25</v>
      </c>
      <c r="G235" s="7">
        <v>100</v>
      </c>
    </row>
    <row r="236" spans="1:17" x14ac:dyDescent="0.3">
      <c r="A236" s="2"/>
      <c r="B236" s="21"/>
      <c r="C236" s="21"/>
      <c r="D236" s="21"/>
      <c r="E236" s="21"/>
      <c r="F236" s="21"/>
      <c r="G236" s="21"/>
    </row>
    <row r="237" spans="1:17" ht="17.25" thickBot="1" x14ac:dyDescent="0.35"/>
    <row r="238" spans="1:17" ht="16.5" customHeight="1" x14ac:dyDescent="0.3">
      <c r="A238" s="4" t="s">
        <v>2</v>
      </c>
      <c r="B238" s="17" t="s">
        <v>88</v>
      </c>
      <c r="C238" s="19"/>
      <c r="D238" s="19"/>
      <c r="E238" s="19"/>
      <c r="F238" s="19"/>
      <c r="G238" s="19"/>
    </row>
    <row r="239" spans="1:17" ht="16.5" customHeight="1" x14ac:dyDescent="0.3">
      <c r="A239" s="6" t="s">
        <v>3</v>
      </c>
      <c r="B239" s="18" t="s">
        <v>17</v>
      </c>
      <c r="C239" s="20" t="s">
        <v>75</v>
      </c>
      <c r="D239" s="20"/>
      <c r="E239" s="20"/>
      <c r="F239" s="20"/>
      <c r="G239" s="20"/>
    </row>
    <row r="240" spans="1:17" x14ac:dyDescent="0.3">
      <c r="A240" s="6" t="s">
        <v>20</v>
      </c>
      <c r="B240" s="1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18">
        <v>0</v>
      </c>
      <c r="C241" s="7">
        <v>17026</v>
      </c>
      <c r="D241" s="7">
        <v>16860</v>
      </c>
      <c r="E241" s="7">
        <v>16742</v>
      </c>
      <c r="F241" s="7">
        <v>16715</v>
      </c>
      <c r="G241" s="7">
        <v>67343</v>
      </c>
      <c r="I241">
        <f>C241</f>
        <v>17026</v>
      </c>
      <c r="J241">
        <f t="shared" ref="J241:L241" si="117">D241</f>
        <v>16860</v>
      </c>
      <c r="K241">
        <f t="shared" si="117"/>
        <v>16742</v>
      </c>
      <c r="L241">
        <f t="shared" si="117"/>
        <v>16715</v>
      </c>
      <c r="N241" t="str">
        <f>TEXT(I241,"#,##0")&amp;" ("&amp;TEXT(I242,"0.00")&amp;")"</f>
        <v>17,026 (99.22)</v>
      </c>
      <c r="O241" t="str">
        <f t="shared" ref="O241:Q241" si="118">TEXT(J241,"#,##0")&amp;" ("&amp;TEXT(J242,"0.00")&amp;")"</f>
        <v>16,860 (98.26)</v>
      </c>
      <c r="P241" t="str">
        <f t="shared" si="118"/>
        <v>16,742 (97.57)</v>
      </c>
      <c r="Q241" t="str">
        <f t="shared" si="118"/>
        <v>16,715 (97.42)</v>
      </c>
    </row>
    <row r="242" spans="1:17" x14ac:dyDescent="0.3">
      <c r="A242" s="2"/>
      <c r="B242" s="18"/>
      <c r="C242" s="7">
        <v>24.81</v>
      </c>
      <c r="D242" s="7">
        <v>24.57</v>
      </c>
      <c r="E242" s="7">
        <v>24.39</v>
      </c>
      <c r="F242" s="7">
        <v>24.35</v>
      </c>
      <c r="G242" s="7">
        <v>98.12</v>
      </c>
      <c r="I242">
        <f>C244</f>
        <v>99.22</v>
      </c>
      <c r="J242">
        <f t="shared" ref="J242:L243" si="119">D244</f>
        <v>98.26</v>
      </c>
      <c r="K242">
        <f t="shared" si="119"/>
        <v>97.57</v>
      </c>
      <c r="L242">
        <f t="shared" si="119"/>
        <v>97.42</v>
      </c>
      <c r="N242" t="str">
        <f>TEXT(I243,"#,##0")&amp;" ("&amp;TEXT(I244,"0.00")&amp;")"</f>
        <v>133 (0.78)</v>
      </c>
      <c r="O242" t="str">
        <f t="shared" ref="O242:Q242" si="120">TEXT(J243,"#,##0")&amp;" ("&amp;TEXT(J244,"0.00")&amp;")"</f>
        <v>298 (1.74)</v>
      </c>
      <c r="P242" t="str">
        <f t="shared" si="120"/>
        <v>417 (2.43)</v>
      </c>
      <c r="Q242" t="str">
        <f t="shared" si="120"/>
        <v>443 (2.58)</v>
      </c>
    </row>
    <row r="243" spans="1:17" x14ac:dyDescent="0.3">
      <c r="A243" s="2"/>
      <c r="B243" s="18"/>
      <c r="C243" s="7">
        <v>25.28</v>
      </c>
      <c r="D243" s="7">
        <v>25.04</v>
      </c>
      <c r="E243" s="7">
        <v>24.86</v>
      </c>
      <c r="F243" s="7">
        <v>24.82</v>
      </c>
      <c r="G243" s="7"/>
      <c r="I243">
        <f>C245</f>
        <v>133</v>
      </c>
      <c r="J243">
        <f t="shared" si="119"/>
        <v>298</v>
      </c>
      <c r="K243">
        <f t="shared" si="119"/>
        <v>417</v>
      </c>
      <c r="L243">
        <f t="shared" si="119"/>
        <v>443</v>
      </c>
      <c r="N243" t="str">
        <f>TEXT(I245,"#,##0")&amp;" ("&amp;TEXT(I246,"0.00")&amp;")"</f>
        <v>17,159 (0.00)</v>
      </c>
      <c r="O243" t="str">
        <f t="shared" ref="O243:Q243" si="121">TEXT(J245,"#,##0")&amp;" ("&amp;TEXT(J246,"0.00")&amp;")"</f>
        <v>17,158 (0.00)</v>
      </c>
      <c r="P243" t="str">
        <f t="shared" si="121"/>
        <v>17,159 (0.00)</v>
      </c>
      <c r="Q243" t="str">
        <f t="shared" si="121"/>
        <v>17,158 (0.00)</v>
      </c>
    </row>
    <row r="244" spans="1:17" x14ac:dyDescent="0.3">
      <c r="A244" s="2"/>
      <c r="B244" s="18"/>
      <c r="C244" s="7">
        <v>99.22</v>
      </c>
      <c r="D244" s="7">
        <v>98.26</v>
      </c>
      <c r="E244" s="7">
        <v>97.57</v>
      </c>
      <c r="F244" s="7">
        <v>97.42</v>
      </c>
      <c r="G244" s="7"/>
      <c r="I244">
        <f>C248</f>
        <v>0.78</v>
      </c>
      <c r="J244">
        <f t="shared" ref="J244:L245" si="122">D248</f>
        <v>1.74</v>
      </c>
      <c r="K244">
        <f t="shared" si="122"/>
        <v>2.4300000000000002</v>
      </c>
      <c r="L244">
        <f t="shared" si="122"/>
        <v>2.58</v>
      </c>
      <c r="N244" t="str">
        <f>TEXT(I247,"#,##0")&amp;" ("&amp;TEXT(I248,"0.00")&amp;")"</f>
        <v>0 (17103.00)</v>
      </c>
      <c r="O244" t="str">
        <f t="shared" ref="O244:Q244" si="123">TEXT(J247,"#,##0")&amp;" ("&amp;TEXT(J248,"0.00")&amp;")"</f>
        <v>0 (17019.00)</v>
      </c>
      <c r="P244" t="str">
        <f t="shared" si="123"/>
        <v>0 (16955.00)</v>
      </c>
      <c r="Q244" t="str">
        <f t="shared" si="123"/>
        <v>0 (16920.00)</v>
      </c>
    </row>
    <row r="245" spans="1:17" x14ac:dyDescent="0.3">
      <c r="A245" s="2"/>
      <c r="B245" s="18">
        <v>1</v>
      </c>
      <c r="C245" s="7">
        <v>133</v>
      </c>
      <c r="D245" s="7">
        <v>298</v>
      </c>
      <c r="E245" s="7">
        <v>417</v>
      </c>
      <c r="F245" s="7">
        <v>443</v>
      </c>
      <c r="G245" s="7">
        <v>1291</v>
      </c>
      <c r="I245">
        <f>C249</f>
        <v>17159</v>
      </c>
      <c r="J245">
        <f t="shared" si="122"/>
        <v>17158</v>
      </c>
      <c r="K245">
        <f t="shared" si="122"/>
        <v>17159</v>
      </c>
      <c r="L245">
        <f t="shared" si="122"/>
        <v>17158</v>
      </c>
    </row>
    <row r="246" spans="1:17" x14ac:dyDescent="0.3">
      <c r="A246" s="2"/>
      <c r="B246" s="18"/>
      <c r="C246" s="7">
        <v>0.19</v>
      </c>
      <c r="D246" s="7">
        <v>0.43</v>
      </c>
      <c r="E246" s="7">
        <v>0.61</v>
      </c>
      <c r="F246" s="7">
        <v>0.65</v>
      </c>
      <c r="G246" s="7">
        <v>1.88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18"/>
      <c r="C247" s="7">
        <v>10.3</v>
      </c>
      <c r="D247" s="7">
        <v>23.08</v>
      </c>
      <c r="E247" s="7">
        <v>32.299999999999997</v>
      </c>
      <c r="F247" s="7">
        <v>34.31</v>
      </c>
      <c r="G247" s="7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18"/>
      <c r="C248" s="7">
        <v>0.78</v>
      </c>
      <c r="D248" s="7">
        <v>1.74</v>
      </c>
      <c r="E248" s="7">
        <v>2.4300000000000002</v>
      </c>
      <c r="F248" s="7">
        <v>2.58</v>
      </c>
      <c r="G248" s="7"/>
      <c r="I248">
        <f>C256</f>
        <v>17103</v>
      </c>
      <c r="J248">
        <f t="shared" ref="J248:L248" si="125">D256</f>
        <v>17019</v>
      </c>
      <c r="K248">
        <f t="shared" si="125"/>
        <v>16955</v>
      </c>
      <c r="L248">
        <f t="shared" si="125"/>
        <v>16920</v>
      </c>
    </row>
    <row r="249" spans="1:17" x14ac:dyDescent="0.3">
      <c r="A249" s="2"/>
      <c r="B249" s="18" t="s">
        <v>24</v>
      </c>
      <c r="C249" s="7">
        <v>17159</v>
      </c>
      <c r="D249" s="7">
        <v>17158</v>
      </c>
      <c r="E249" s="7">
        <v>17159</v>
      </c>
      <c r="F249" s="7">
        <v>17158</v>
      </c>
      <c r="G249" s="7">
        <v>68634</v>
      </c>
    </row>
    <row r="250" spans="1:17" x14ac:dyDescent="0.3">
      <c r="A250" s="2"/>
      <c r="B250" s="18"/>
      <c r="C250" s="7">
        <v>25</v>
      </c>
      <c r="D250" s="7">
        <v>25</v>
      </c>
      <c r="E250" s="7">
        <v>25</v>
      </c>
      <c r="F250" s="7">
        <v>25</v>
      </c>
      <c r="G250" s="7">
        <v>100</v>
      </c>
    </row>
    <row r="251" spans="1:17" x14ac:dyDescent="0.3">
      <c r="A251" s="2"/>
      <c r="B251" s="21"/>
      <c r="C251" s="21"/>
      <c r="D251" s="21"/>
      <c r="E251" s="21"/>
      <c r="F251" s="21"/>
      <c r="G251" s="21"/>
    </row>
    <row r="252" spans="1:17" ht="17.25" thickBot="1" x14ac:dyDescent="0.35"/>
    <row r="253" spans="1:17" ht="16.5" customHeight="1" x14ac:dyDescent="0.3">
      <c r="A253" s="4" t="s">
        <v>2</v>
      </c>
      <c r="B253" s="17" t="s">
        <v>89</v>
      </c>
      <c r="C253" s="19"/>
      <c r="D253" s="19"/>
      <c r="E253" s="19"/>
      <c r="F253" s="19"/>
      <c r="G253" s="19"/>
    </row>
    <row r="254" spans="1:17" ht="16.5" customHeight="1" x14ac:dyDescent="0.3">
      <c r="A254" s="6" t="s">
        <v>3</v>
      </c>
      <c r="B254" s="18" t="s">
        <v>18</v>
      </c>
      <c r="C254" s="20" t="s">
        <v>75</v>
      </c>
      <c r="D254" s="20"/>
      <c r="E254" s="20"/>
      <c r="F254" s="20"/>
      <c r="G254" s="20"/>
    </row>
    <row r="255" spans="1:17" x14ac:dyDescent="0.3">
      <c r="A255" s="6" t="s">
        <v>20</v>
      </c>
      <c r="B255" s="1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18">
        <v>0</v>
      </c>
      <c r="C256" s="7">
        <v>17103</v>
      </c>
      <c r="D256" s="7">
        <v>17019</v>
      </c>
      <c r="E256" s="7">
        <v>16955</v>
      </c>
      <c r="F256" s="7">
        <v>16920</v>
      </c>
      <c r="G256" s="7">
        <v>67997</v>
      </c>
      <c r="I256">
        <f>C256</f>
        <v>17103</v>
      </c>
      <c r="J256">
        <f t="shared" ref="J256:L256" si="126">D256</f>
        <v>17019</v>
      </c>
      <c r="K256">
        <f t="shared" si="126"/>
        <v>16955</v>
      </c>
      <c r="L256">
        <f t="shared" si="126"/>
        <v>16920</v>
      </c>
      <c r="N256" t="str">
        <f>TEXT(I256,"#,##0")&amp;" ("&amp;TEXT(I257,"0.00")&amp;")"</f>
        <v>17,103 (99.67)</v>
      </c>
      <c r="O256" t="str">
        <f t="shared" ref="O256:Q256" si="127">TEXT(J256,"#,##0")&amp;" ("&amp;TEXT(J257,"0.00")&amp;")"</f>
        <v>17,019 (99.19)</v>
      </c>
      <c r="P256" t="str">
        <f t="shared" si="127"/>
        <v>16,955 (98.81)</v>
      </c>
      <c r="Q256" t="str">
        <f t="shared" si="127"/>
        <v>16,920 (98.61)</v>
      </c>
    </row>
    <row r="257" spans="1:17" x14ac:dyDescent="0.3">
      <c r="A257" s="2"/>
      <c r="B257" s="18"/>
      <c r="C257" s="7">
        <v>24.92</v>
      </c>
      <c r="D257" s="7">
        <v>24.8</v>
      </c>
      <c r="E257" s="7">
        <v>24.7</v>
      </c>
      <c r="F257" s="7">
        <v>24.65</v>
      </c>
      <c r="G257" s="7">
        <v>99.07</v>
      </c>
      <c r="I257">
        <f>C259</f>
        <v>99.67</v>
      </c>
      <c r="J257">
        <f t="shared" ref="J257:L258" si="128">D259</f>
        <v>99.19</v>
      </c>
      <c r="K257">
        <f t="shared" si="128"/>
        <v>98.81</v>
      </c>
      <c r="L257">
        <f t="shared" si="128"/>
        <v>98.61</v>
      </c>
      <c r="N257" t="str">
        <f>TEXT(I258,"#,##0")&amp;" ("&amp;TEXT(I259,"0.00")&amp;")"</f>
        <v>56 (0.33)</v>
      </c>
      <c r="O257" t="str">
        <f t="shared" ref="O257:Q257" si="129">TEXT(J258,"#,##0")&amp;" ("&amp;TEXT(J259,"0.00")&amp;")"</f>
        <v>139 (0.81)</v>
      </c>
      <c r="P257" t="str">
        <f t="shared" si="129"/>
        <v>204 (1.19)</v>
      </c>
      <c r="Q257" t="str">
        <f t="shared" si="129"/>
        <v>238 (1.39)</v>
      </c>
    </row>
    <row r="258" spans="1:17" x14ac:dyDescent="0.3">
      <c r="A258" s="2"/>
      <c r="B258" s="18"/>
      <c r="C258" s="7">
        <v>25.15</v>
      </c>
      <c r="D258" s="7">
        <v>25.03</v>
      </c>
      <c r="E258" s="7">
        <v>24.93</v>
      </c>
      <c r="F258" s="7">
        <v>24.88</v>
      </c>
      <c r="G258" s="7"/>
      <c r="I258">
        <f>C260</f>
        <v>56</v>
      </c>
      <c r="J258">
        <f t="shared" si="128"/>
        <v>139</v>
      </c>
      <c r="K258">
        <f t="shared" si="128"/>
        <v>204</v>
      </c>
      <c r="L258">
        <f t="shared" si="128"/>
        <v>238</v>
      </c>
      <c r="N258" t="str">
        <f>TEXT(I260,"#,##0")&amp;" ("&amp;TEXT(I261,"0.00")&amp;")"</f>
        <v>17,159 (0.00)</v>
      </c>
      <c r="O258" t="str">
        <f t="shared" ref="O258:Q258" si="130">TEXT(J260,"#,##0")&amp;" ("&amp;TEXT(J261,"0.00")&amp;")"</f>
        <v>17,158 (0.00)</v>
      </c>
      <c r="P258" t="str">
        <f t="shared" si="130"/>
        <v>17,159 (0.00)</v>
      </c>
      <c r="Q258" t="str">
        <f t="shared" si="130"/>
        <v>17,158 (0.00)</v>
      </c>
    </row>
    <row r="259" spans="1:17" x14ac:dyDescent="0.3">
      <c r="A259" s="2"/>
      <c r="B259" s="18"/>
      <c r="C259" s="7">
        <v>99.67</v>
      </c>
      <c r="D259" s="7">
        <v>99.19</v>
      </c>
      <c r="E259" s="7">
        <v>98.81</v>
      </c>
      <c r="F259" s="7">
        <v>98.61</v>
      </c>
      <c r="G259" s="7"/>
      <c r="I259">
        <f>C263</f>
        <v>0.33</v>
      </c>
      <c r="J259">
        <f t="shared" ref="J259:L260" si="131">D263</f>
        <v>0.81</v>
      </c>
      <c r="K259">
        <f t="shared" si="131"/>
        <v>1.19</v>
      </c>
      <c r="L259">
        <f t="shared" si="131"/>
        <v>1.39</v>
      </c>
      <c r="N259" t="str">
        <f>TEXT(I262,"#,##0")&amp;" ("&amp;TEXT(I263,"0.00")&amp;")"</f>
        <v>0 (17029.00)</v>
      </c>
      <c r="O259" t="str">
        <f t="shared" ref="O259:Q259" si="132">TEXT(J262,"#,##0")&amp;" ("&amp;TEXT(J263,"0.00")&amp;")"</f>
        <v>0 (16893.00)</v>
      </c>
      <c r="P259" t="str">
        <f t="shared" si="132"/>
        <v>0 (16778.00)</v>
      </c>
      <c r="Q259" t="str">
        <f t="shared" si="132"/>
        <v>0 (16733.00)</v>
      </c>
    </row>
    <row r="260" spans="1:17" x14ac:dyDescent="0.3">
      <c r="A260" s="2"/>
      <c r="B260" s="18">
        <v>1</v>
      </c>
      <c r="C260" s="7">
        <v>56</v>
      </c>
      <c r="D260" s="7">
        <v>139</v>
      </c>
      <c r="E260" s="7">
        <v>204</v>
      </c>
      <c r="F260" s="7">
        <v>238</v>
      </c>
      <c r="G260" s="7">
        <v>637</v>
      </c>
      <c r="I260">
        <f>C264</f>
        <v>17159</v>
      </c>
      <c r="J260">
        <f t="shared" si="131"/>
        <v>17158</v>
      </c>
      <c r="K260">
        <f t="shared" si="131"/>
        <v>17159</v>
      </c>
      <c r="L260">
        <f t="shared" si="131"/>
        <v>17158</v>
      </c>
    </row>
    <row r="261" spans="1:17" x14ac:dyDescent="0.3">
      <c r="A261" s="2"/>
      <c r="B261" s="18"/>
      <c r="C261" s="7">
        <v>0.08</v>
      </c>
      <c r="D261" s="7">
        <v>0.2</v>
      </c>
      <c r="E261" s="7">
        <v>0.3</v>
      </c>
      <c r="F261" s="7">
        <v>0.35</v>
      </c>
      <c r="G261" s="7">
        <v>0.93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18"/>
      <c r="C262" s="7">
        <v>8.7899999999999991</v>
      </c>
      <c r="D262" s="7">
        <v>21.82</v>
      </c>
      <c r="E262" s="7">
        <v>32.03</v>
      </c>
      <c r="F262" s="7">
        <v>37.36</v>
      </c>
      <c r="G262" s="7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18"/>
      <c r="C263" s="7">
        <v>0.33</v>
      </c>
      <c r="D263" s="7">
        <v>0.81</v>
      </c>
      <c r="E263" s="7">
        <v>1.19</v>
      </c>
      <c r="F263" s="7">
        <v>1.39</v>
      </c>
      <c r="G263" s="7"/>
      <c r="I263">
        <f>C271</f>
        <v>17029</v>
      </c>
      <c r="J263">
        <f t="shared" ref="J263:L263" si="134">D271</f>
        <v>16893</v>
      </c>
      <c r="K263">
        <f t="shared" si="134"/>
        <v>16778</v>
      </c>
      <c r="L263">
        <f t="shared" si="134"/>
        <v>16733</v>
      </c>
    </row>
    <row r="264" spans="1:17" x14ac:dyDescent="0.3">
      <c r="A264" s="2"/>
      <c r="B264" s="18" t="s">
        <v>24</v>
      </c>
      <c r="C264" s="7">
        <v>17159</v>
      </c>
      <c r="D264" s="7">
        <v>17158</v>
      </c>
      <c r="E264" s="7">
        <v>17159</v>
      </c>
      <c r="F264" s="7">
        <v>17158</v>
      </c>
      <c r="G264" s="7">
        <v>68634</v>
      </c>
    </row>
    <row r="265" spans="1:17" x14ac:dyDescent="0.3">
      <c r="A265" s="2"/>
      <c r="B265" s="18"/>
      <c r="C265" s="7">
        <v>25</v>
      </c>
      <c r="D265" s="7">
        <v>25</v>
      </c>
      <c r="E265" s="7">
        <v>25</v>
      </c>
      <c r="F265" s="7">
        <v>25</v>
      </c>
      <c r="G265" s="7">
        <v>100</v>
      </c>
    </row>
    <row r="266" spans="1:17" x14ac:dyDescent="0.3">
      <c r="A266" s="2"/>
      <c r="B266" s="21"/>
      <c r="C266" s="21"/>
      <c r="D266" s="21"/>
      <c r="E266" s="21"/>
      <c r="F266" s="21"/>
      <c r="G266" s="21"/>
    </row>
    <row r="267" spans="1:17" ht="17.25" thickBot="1" x14ac:dyDescent="0.35"/>
    <row r="268" spans="1:17" ht="16.5" customHeight="1" x14ac:dyDescent="0.3">
      <c r="A268" s="4" t="s">
        <v>2</v>
      </c>
      <c r="B268" s="17" t="s">
        <v>90</v>
      </c>
      <c r="C268" s="19"/>
      <c r="D268" s="19"/>
      <c r="E268" s="19"/>
      <c r="F268" s="19"/>
      <c r="G268" s="19"/>
    </row>
    <row r="269" spans="1:17" ht="16.5" customHeight="1" x14ac:dyDescent="0.3">
      <c r="A269" s="6" t="s">
        <v>3</v>
      </c>
      <c r="B269" s="18" t="s">
        <v>19</v>
      </c>
      <c r="C269" s="20" t="s">
        <v>75</v>
      </c>
      <c r="D269" s="20"/>
      <c r="E269" s="20"/>
      <c r="F269" s="20"/>
      <c r="G269" s="20"/>
    </row>
    <row r="270" spans="1:17" x14ac:dyDescent="0.3">
      <c r="A270" s="6" t="s">
        <v>20</v>
      </c>
      <c r="B270" s="1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18">
        <v>0</v>
      </c>
      <c r="C271" s="7">
        <v>17029</v>
      </c>
      <c r="D271" s="7">
        <v>16893</v>
      </c>
      <c r="E271" s="7">
        <v>16778</v>
      </c>
      <c r="F271" s="7">
        <v>16733</v>
      </c>
      <c r="G271" s="7">
        <v>67433</v>
      </c>
      <c r="I271">
        <f>C271</f>
        <v>17029</v>
      </c>
      <c r="J271">
        <f t="shared" ref="J271:L271" si="135">D271</f>
        <v>16893</v>
      </c>
      <c r="K271">
        <f t="shared" si="135"/>
        <v>16778</v>
      </c>
      <c r="L271">
        <f t="shared" si="135"/>
        <v>16733</v>
      </c>
      <c r="N271" t="str">
        <f>TEXT(I271,"#,##0")&amp;" ("&amp;TEXT(I272,"0.00")&amp;")"</f>
        <v>17,029 (99.24)</v>
      </c>
      <c r="O271" t="str">
        <f t="shared" ref="O271:Q271" si="136">TEXT(J271,"#,##0")&amp;" ("&amp;TEXT(J272,"0.00")&amp;")"</f>
        <v>16,893 (98.46)</v>
      </c>
      <c r="P271" t="str">
        <f t="shared" si="136"/>
        <v>16,778 (97.78)</v>
      </c>
      <c r="Q271" t="str">
        <f t="shared" si="136"/>
        <v>16,733 (97.52)</v>
      </c>
    </row>
    <row r="272" spans="1:17" x14ac:dyDescent="0.3">
      <c r="A272" s="2"/>
      <c r="B272" s="18"/>
      <c r="C272" s="7">
        <v>24.81</v>
      </c>
      <c r="D272" s="7">
        <v>24.61</v>
      </c>
      <c r="E272" s="7">
        <v>24.45</v>
      </c>
      <c r="F272" s="7">
        <v>24.38</v>
      </c>
      <c r="G272" s="7">
        <v>98.25</v>
      </c>
      <c r="I272">
        <f>C274</f>
        <v>99.24</v>
      </c>
      <c r="J272">
        <f t="shared" ref="J272:L273" si="137">D274</f>
        <v>98.46</v>
      </c>
      <c r="K272">
        <f t="shared" si="137"/>
        <v>97.78</v>
      </c>
      <c r="L272">
        <f t="shared" si="137"/>
        <v>97.52</v>
      </c>
      <c r="N272" t="str">
        <f>TEXT(I273,"#,##0")&amp;" ("&amp;TEXT(I274,"0.00")&amp;")"</f>
        <v>130 (0.76)</v>
      </c>
      <c r="O272" t="str">
        <f t="shared" ref="O272:Q272" si="138">TEXT(J273,"#,##0")&amp;" ("&amp;TEXT(J274,"0.00")&amp;")"</f>
        <v>265 (1.54)</v>
      </c>
      <c r="P272" t="str">
        <f t="shared" si="138"/>
        <v>381 (2.22)</v>
      </c>
      <c r="Q272" t="str">
        <f t="shared" si="138"/>
        <v>425 (2.48)</v>
      </c>
    </row>
    <row r="273" spans="1:17" x14ac:dyDescent="0.3">
      <c r="A273" s="2"/>
      <c r="B273" s="18"/>
      <c r="C273" s="7">
        <v>25.25</v>
      </c>
      <c r="D273" s="7">
        <v>25.05</v>
      </c>
      <c r="E273" s="7">
        <v>24.88</v>
      </c>
      <c r="F273" s="7">
        <v>24.81</v>
      </c>
      <c r="G273" s="7"/>
      <c r="I273">
        <f>C275</f>
        <v>130</v>
      </c>
      <c r="J273">
        <f t="shared" si="137"/>
        <v>265</v>
      </c>
      <c r="K273">
        <f t="shared" si="137"/>
        <v>381</v>
      </c>
      <c r="L273">
        <f t="shared" si="137"/>
        <v>425</v>
      </c>
      <c r="N273" t="str">
        <f>TEXT(I275,"#,##0")&amp;" ("&amp;TEXT(I276,"0.00")&amp;")"</f>
        <v>17,159 (0.00)</v>
      </c>
      <c r="O273" t="str">
        <f t="shared" ref="O273:Q273" si="139">TEXT(J275,"#,##0")&amp;" ("&amp;TEXT(J276,"0.00")&amp;")"</f>
        <v>17,158 (0.00)</v>
      </c>
      <c r="P273" t="str">
        <f t="shared" si="139"/>
        <v>17,159 (0.00)</v>
      </c>
      <c r="Q273" t="str">
        <f t="shared" si="139"/>
        <v>17,158 (0.00)</v>
      </c>
    </row>
    <row r="274" spans="1:17" x14ac:dyDescent="0.3">
      <c r="A274" s="2"/>
      <c r="B274" s="18"/>
      <c r="C274" s="7">
        <v>99.24</v>
      </c>
      <c r="D274" s="7">
        <v>98.46</v>
      </c>
      <c r="E274" s="7">
        <v>97.78</v>
      </c>
      <c r="F274" s="7">
        <v>97.52</v>
      </c>
      <c r="G274" s="7"/>
      <c r="I274">
        <f>C278</f>
        <v>0.76</v>
      </c>
      <c r="J274">
        <f t="shared" ref="J274:L275" si="140">D278</f>
        <v>1.54</v>
      </c>
      <c r="K274">
        <f t="shared" si="140"/>
        <v>2.2200000000000002</v>
      </c>
      <c r="L274">
        <f t="shared" si="140"/>
        <v>2.48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18">
        <v>1</v>
      </c>
      <c r="C275" s="7">
        <v>130</v>
      </c>
      <c r="D275" s="7">
        <v>265</v>
      </c>
      <c r="E275" s="7">
        <v>381</v>
      </c>
      <c r="F275" s="7">
        <v>425</v>
      </c>
      <c r="G275" s="7">
        <v>1201</v>
      </c>
      <c r="I275">
        <f>C279</f>
        <v>17159</v>
      </c>
      <c r="J275">
        <f t="shared" si="140"/>
        <v>17158</v>
      </c>
      <c r="K275">
        <f t="shared" si="140"/>
        <v>17159</v>
      </c>
      <c r="L275">
        <f t="shared" si="140"/>
        <v>17158</v>
      </c>
    </row>
    <row r="276" spans="1:17" x14ac:dyDescent="0.3">
      <c r="A276" s="2"/>
      <c r="B276" s="18"/>
      <c r="C276" s="7">
        <v>0.19</v>
      </c>
      <c r="D276" s="7">
        <v>0.39</v>
      </c>
      <c r="E276" s="7">
        <v>0.56000000000000005</v>
      </c>
      <c r="F276" s="7">
        <v>0.62</v>
      </c>
      <c r="G276" s="7">
        <v>1.75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18"/>
      <c r="C277" s="7">
        <v>10.82</v>
      </c>
      <c r="D277" s="7">
        <v>22.06</v>
      </c>
      <c r="E277" s="7">
        <v>31.72</v>
      </c>
      <c r="F277" s="7">
        <v>35.39</v>
      </c>
      <c r="G277" s="7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18"/>
      <c r="C278" s="7">
        <v>0.76</v>
      </c>
      <c r="D278" s="7">
        <v>1.54</v>
      </c>
      <c r="E278" s="7">
        <v>2.2200000000000002</v>
      </c>
      <c r="F278" s="7">
        <v>2.48</v>
      </c>
      <c r="G278" s="7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18" t="s">
        <v>24</v>
      </c>
      <c r="C279" s="7">
        <v>17159</v>
      </c>
      <c r="D279" s="7">
        <v>17158</v>
      </c>
      <c r="E279" s="7">
        <v>17159</v>
      </c>
      <c r="F279" s="7">
        <v>17158</v>
      </c>
      <c r="G279" s="7">
        <v>68634</v>
      </c>
    </row>
    <row r="280" spans="1:17" x14ac:dyDescent="0.3">
      <c r="A280" s="2"/>
      <c r="B280" s="18"/>
      <c r="C280" s="7">
        <v>25</v>
      </c>
      <c r="D280" s="7">
        <v>25</v>
      </c>
      <c r="E280" s="7">
        <v>25</v>
      </c>
      <c r="F280" s="7">
        <v>25</v>
      </c>
      <c r="G280" s="7">
        <v>100</v>
      </c>
    </row>
    <row r="281" spans="1:17" x14ac:dyDescent="0.3">
      <c r="A281" s="2"/>
      <c r="B281" s="21"/>
      <c r="C281" s="21"/>
      <c r="D281" s="21"/>
      <c r="E281" s="21"/>
      <c r="F281" s="21"/>
      <c r="G281" s="21"/>
    </row>
  </sheetData>
  <mergeCells count="122"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BB94-B3D8-4B3C-BC5B-369DF8DEBB7B}">
  <dimension ref="A1:K22"/>
  <sheetViews>
    <sheetView workbookViewId="0">
      <selection activeCell="K4" sqref="K4:K22"/>
    </sheetView>
  </sheetViews>
  <sheetFormatPr defaultRowHeight="16.5" x14ac:dyDescent="0.3"/>
  <cols>
    <col min="11" max="11" width="14.625" bestFit="1" customWidth="1"/>
  </cols>
  <sheetData>
    <row r="1" spans="1:11" x14ac:dyDescent="0.3">
      <c r="A1" s="1" t="s">
        <v>91</v>
      </c>
    </row>
    <row r="2" spans="1:11" ht="17.25" thickBot="1" x14ac:dyDescent="0.35"/>
    <row r="3" spans="1:11" x14ac:dyDescent="0.3">
      <c r="A3" s="4" t="s">
        <v>92</v>
      </c>
      <c r="B3" s="5" t="s">
        <v>93</v>
      </c>
      <c r="C3" s="5" t="s">
        <v>94</v>
      </c>
      <c r="D3" s="5" t="s">
        <v>95</v>
      </c>
      <c r="E3" s="5" t="s">
        <v>96</v>
      </c>
      <c r="F3" s="5" t="s">
        <v>97</v>
      </c>
    </row>
    <row r="4" spans="1:11" x14ac:dyDescent="0.3">
      <c r="A4" s="12" t="s">
        <v>98</v>
      </c>
      <c r="B4" s="10">
        <v>68634</v>
      </c>
      <c r="C4" s="10">
        <v>49.344872799999997</v>
      </c>
      <c r="D4" s="10">
        <v>16.063231399999999</v>
      </c>
      <c r="E4" s="10">
        <v>19</v>
      </c>
      <c r="F4" s="10">
        <v>80</v>
      </c>
      <c r="H4">
        <f>C4</f>
        <v>49.344872799999997</v>
      </c>
      <c r="I4">
        <f>D4</f>
        <v>16.063231399999999</v>
      </c>
      <c r="K4" t="str">
        <f>TEXT(H4,"0.00")&amp;" ("&amp;TEXT(I4,"0.00")&amp;")"</f>
        <v>49.34 (16.06)</v>
      </c>
    </row>
    <row r="5" spans="1:11" x14ac:dyDescent="0.3">
      <c r="A5" s="12" t="s">
        <v>99</v>
      </c>
      <c r="B5" s="10">
        <v>68634</v>
      </c>
      <c r="C5" s="10">
        <v>23.867214199999999</v>
      </c>
      <c r="D5" s="10">
        <v>3.4832855</v>
      </c>
      <c r="E5" s="10">
        <v>13.1339583</v>
      </c>
      <c r="F5" s="10">
        <v>62.640542099999998</v>
      </c>
      <c r="H5">
        <f t="shared" ref="H5:H22" si="0">C5</f>
        <v>23.867214199999999</v>
      </c>
      <c r="I5">
        <f t="shared" ref="I5:I22" si="1">D5</f>
        <v>3.4832855</v>
      </c>
      <c r="K5" t="str">
        <f t="shared" ref="K5:K22" si="2">TEXT(H5,"0.00")&amp;" ("&amp;TEXT(I5,"0.00")&amp;")"</f>
        <v>23.87 (3.48)</v>
      </c>
    </row>
    <row r="6" spans="1:11" x14ac:dyDescent="0.3">
      <c r="A6" s="12" t="s">
        <v>100</v>
      </c>
      <c r="B6" s="10">
        <v>68634</v>
      </c>
      <c r="C6" s="10">
        <v>82.355386499999994</v>
      </c>
      <c r="D6" s="10">
        <v>10.2202377</v>
      </c>
      <c r="E6" s="10">
        <v>36.200000000000003</v>
      </c>
      <c r="F6" s="10">
        <v>166.1</v>
      </c>
      <c r="H6">
        <f t="shared" si="0"/>
        <v>82.355386499999994</v>
      </c>
      <c r="I6">
        <f t="shared" si="1"/>
        <v>10.2202377</v>
      </c>
      <c r="K6" t="str">
        <f t="shared" si="2"/>
        <v>82.36 (10.22)</v>
      </c>
    </row>
    <row r="7" spans="1:11" x14ac:dyDescent="0.3">
      <c r="A7" s="12" t="s">
        <v>101</v>
      </c>
      <c r="B7" s="10">
        <v>68634</v>
      </c>
      <c r="C7" s="10">
        <v>7.7756599999999995E-2</v>
      </c>
      <c r="D7" s="10">
        <v>4.6376999999999998E-3</v>
      </c>
      <c r="E7" s="10">
        <v>4.5616799999999999E-2</v>
      </c>
      <c r="F7" s="10">
        <v>0.15107219999999999</v>
      </c>
      <c r="H7">
        <f t="shared" si="0"/>
        <v>7.7756599999999995E-2</v>
      </c>
      <c r="I7">
        <f t="shared" si="1"/>
        <v>4.6376999999999998E-3</v>
      </c>
      <c r="K7" t="str">
        <f t="shared" si="2"/>
        <v>0.08 (0.00)</v>
      </c>
    </row>
    <row r="8" spans="1:11" x14ac:dyDescent="0.3">
      <c r="A8" s="12" t="s">
        <v>102</v>
      </c>
      <c r="B8" s="10">
        <v>68634</v>
      </c>
      <c r="C8" s="10">
        <v>118.5015808</v>
      </c>
      <c r="D8" s="10">
        <v>16.554759600000001</v>
      </c>
      <c r="E8" s="10">
        <v>70</v>
      </c>
      <c r="F8" s="10">
        <v>243</v>
      </c>
      <c r="H8">
        <f t="shared" si="0"/>
        <v>118.5015808</v>
      </c>
      <c r="I8">
        <f t="shared" si="1"/>
        <v>16.554759600000001</v>
      </c>
      <c r="K8" t="str">
        <f t="shared" si="2"/>
        <v>118.50 (16.55)</v>
      </c>
    </row>
    <row r="9" spans="1:11" x14ac:dyDescent="0.3">
      <c r="A9" s="12" t="s">
        <v>103</v>
      </c>
      <c r="B9" s="10">
        <v>68634</v>
      </c>
      <c r="C9" s="10">
        <v>99.443890800000005</v>
      </c>
      <c r="D9" s="10">
        <v>22.1598386</v>
      </c>
      <c r="E9" s="10">
        <v>40</v>
      </c>
      <c r="F9" s="10">
        <v>553</v>
      </c>
      <c r="H9">
        <f t="shared" si="0"/>
        <v>99.443890800000005</v>
      </c>
      <c r="I9">
        <f t="shared" si="1"/>
        <v>22.1598386</v>
      </c>
      <c r="K9" t="str">
        <f t="shared" si="2"/>
        <v>99.44 (22.16)</v>
      </c>
    </row>
    <row r="10" spans="1:11" x14ac:dyDescent="0.3">
      <c r="A10" s="12" t="s">
        <v>104</v>
      </c>
      <c r="B10" s="10">
        <v>68634</v>
      </c>
      <c r="C10" s="10">
        <v>189.82941400000001</v>
      </c>
      <c r="D10" s="10">
        <v>37.001665299999999</v>
      </c>
      <c r="E10" s="10">
        <v>66</v>
      </c>
      <c r="F10" s="10">
        <v>554</v>
      </c>
      <c r="H10">
        <f t="shared" si="0"/>
        <v>189.82941400000001</v>
      </c>
      <c r="I10">
        <f t="shared" si="1"/>
        <v>37.001665299999999</v>
      </c>
      <c r="K10" t="str">
        <f t="shared" si="2"/>
        <v>189.83 (37.00)</v>
      </c>
    </row>
    <row r="11" spans="1:11" ht="25.5" x14ac:dyDescent="0.3">
      <c r="A11" s="12" t="s">
        <v>105</v>
      </c>
      <c r="B11" s="10">
        <v>68634</v>
      </c>
      <c r="C11" s="10">
        <v>51.1641525</v>
      </c>
      <c r="D11" s="10">
        <v>12.771911899999999</v>
      </c>
      <c r="E11" s="10">
        <v>8</v>
      </c>
      <c r="F11" s="10">
        <v>145.298</v>
      </c>
      <c r="H11">
        <f t="shared" si="0"/>
        <v>51.1641525</v>
      </c>
      <c r="I11">
        <f t="shared" si="1"/>
        <v>12.771911899999999</v>
      </c>
      <c r="K11" t="str">
        <f t="shared" si="2"/>
        <v>51.16 (12.77)</v>
      </c>
    </row>
    <row r="12" spans="1:11" x14ac:dyDescent="0.3">
      <c r="A12" s="12" t="s">
        <v>106</v>
      </c>
      <c r="B12" s="10">
        <v>68634</v>
      </c>
      <c r="C12" s="10">
        <v>133.2314451</v>
      </c>
      <c r="D12" s="10">
        <v>108.10504830000001</v>
      </c>
      <c r="E12" s="10">
        <v>14</v>
      </c>
      <c r="F12" s="10">
        <v>2774</v>
      </c>
      <c r="H12">
        <f t="shared" si="0"/>
        <v>133.2314451</v>
      </c>
      <c r="I12">
        <f t="shared" si="1"/>
        <v>108.10504830000001</v>
      </c>
      <c r="K12" t="str">
        <f t="shared" si="2"/>
        <v>133.23 (108.11)</v>
      </c>
    </row>
    <row r="13" spans="1:11" x14ac:dyDescent="0.3">
      <c r="A13" s="12" t="s">
        <v>107</v>
      </c>
      <c r="B13" s="10">
        <v>68634</v>
      </c>
      <c r="C13" s="10">
        <v>23.276714200000001</v>
      </c>
      <c r="D13" s="10">
        <v>13.9186839</v>
      </c>
      <c r="E13" s="10">
        <v>6</v>
      </c>
      <c r="F13" s="10">
        <v>927</v>
      </c>
      <c r="H13">
        <f t="shared" si="0"/>
        <v>23.276714200000001</v>
      </c>
      <c r="I13">
        <f t="shared" si="1"/>
        <v>13.9186839</v>
      </c>
      <c r="K13" t="str">
        <f t="shared" si="2"/>
        <v>23.28 (13.92)</v>
      </c>
    </row>
    <row r="14" spans="1:11" x14ac:dyDescent="0.3">
      <c r="A14" s="12" t="s">
        <v>108</v>
      </c>
      <c r="B14" s="10">
        <v>68634</v>
      </c>
      <c r="C14" s="10">
        <v>22.570416999999999</v>
      </c>
      <c r="D14" s="10">
        <v>18.894747899999999</v>
      </c>
      <c r="E14" s="10">
        <v>1</v>
      </c>
      <c r="F14" s="10">
        <v>893</v>
      </c>
      <c r="H14">
        <f t="shared" si="0"/>
        <v>22.570416999999999</v>
      </c>
      <c r="I14">
        <f t="shared" si="1"/>
        <v>18.894747899999999</v>
      </c>
      <c r="K14" t="str">
        <f t="shared" si="2"/>
        <v>22.57 (18.89)</v>
      </c>
    </row>
    <row r="15" spans="1:11" x14ac:dyDescent="0.3">
      <c r="A15" s="12" t="s">
        <v>109</v>
      </c>
      <c r="B15" s="10">
        <v>68634</v>
      </c>
      <c r="C15" s="10">
        <v>14.0857039</v>
      </c>
      <c r="D15" s="10">
        <v>1.5735399000000001</v>
      </c>
      <c r="E15" s="10">
        <v>3.9</v>
      </c>
      <c r="F15" s="10">
        <v>21.3</v>
      </c>
      <c r="H15">
        <f t="shared" si="0"/>
        <v>14.0857039</v>
      </c>
      <c r="I15">
        <f t="shared" si="1"/>
        <v>1.5735399000000001</v>
      </c>
      <c r="K15" t="str">
        <f t="shared" si="2"/>
        <v>14.09 (1.57)</v>
      </c>
    </row>
    <row r="16" spans="1:11" x14ac:dyDescent="0.3">
      <c r="A16" s="12" t="s">
        <v>110</v>
      </c>
      <c r="B16" s="10">
        <v>68634</v>
      </c>
      <c r="C16" s="10">
        <v>14.5455095</v>
      </c>
      <c r="D16" s="10">
        <v>4.4851825999999999</v>
      </c>
      <c r="E16" s="10">
        <v>2</v>
      </c>
      <c r="F16" s="10">
        <v>140</v>
      </c>
      <c r="H16">
        <f t="shared" si="0"/>
        <v>14.5455095</v>
      </c>
      <c r="I16">
        <f t="shared" si="1"/>
        <v>4.4851825999999999</v>
      </c>
      <c r="K16" t="str">
        <f t="shared" si="2"/>
        <v>14.55 (4.49)</v>
      </c>
    </row>
    <row r="17" spans="1:11" x14ac:dyDescent="0.3">
      <c r="A17" s="12" t="s">
        <v>111</v>
      </c>
      <c r="B17" s="10">
        <v>68634</v>
      </c>
      <c r="C17" s="10">
        <v>0.83667290000000005</v>
      </c>
      <c r="D17" s="10">
        <v>0.2371055</v>
      </c>
      <c r="E17" s="10">
        <v>0.2</v>
      </c>
      <c r="F17" s="10">
        <v>14.38</v>
      </c>
      <c r="H17">
        <f t="shared" si="0"/>
        <v>0.83667290000000005</v>
      </c>
      <c r="I17">
        <f t="shared" si="1"/>
        <v>0.2371055</v>
      </c>
      <c r="K17" t="str">
        <f t="shared" si="2"/>
        <v>0.84 (0.24)</v>
      </c>
    </row>
    <row r="18" spans="1:11" x14ac:dyDescent="0.3">
      <c r="A18" s="12" t="s">
        <v>112</v>
      </c>
      <c r="B18" s="10">
        <v>68634</v>
      </c>
      <c r="C18" s="10">
        <v>5.7757525000000003</v>
      </c>
      <c r="D18" s="10">
        <v>0.80111920000000003</v>
      </c>
      <c r="E18" s="10">
        <v>5</v>
      </c>
      <c r="F18" s="10">
        <v>9</v>
      </c>
      <c r="H18">
        <f t="shared" si="0"/>
        <v>5.7757525000000003</v>
      </c>
      <c r="I18">
        <f t="shared" si="1"/>
        <v>0.80111920000000003</v>
      </c>
      <c r="K18" t="str">
        <f t="shared" si="2"/>
        <v>5.78 (0.80)</v>
      </c>
    </row>
    <row r="19" spans="1:11" x14ac:dyDescent="0.3">
      <c r="A19" s="12" t="s">
        <v>113</v>
      </c>
      <c r="B19" s="10">
        <v>68634</v>
      </c>
      <c r="C19" s="10">
        <v>8.5878367000000004</v>
      </c>
      <c r="D19" s="10">
        <v>0.66043580000000002</v>
      </c>
      <c r="E19" s="10">
        <v>6.4441312999999996</v>
      </c>
      <c r="F19" s="10">
        <v>12.7290689</v>
      </c>
      <c r="H19">
        <f t="shared" si="0"/>
        <v>8.5878367000000004</v>
      </c>
      <c r="I19">
        <f t="shared" si="1"/>
        <v>0.66043580000000002</v>
      </c>
      <c r="K19" t="str">
        <f t="shared" si="2"/>
        <v>8.59 (0.66)</v>
      </c>
    </row>
    <row r="20" spans="1:11" x14ac:dyDescent="0.3">
      <c r="A20" s="12" t="s">
        <v>114</v>
      </c>
      <c r="B20" s="10">
        <v>68634</v>
      </c>
      <c r="C20" s="10">
        <v>0.66871049999999999</v>
      </c>
      <c r="D20" s="10">
        <v>7.4023500000000006E-2</v>
      </c>
      <c r="E20" s="10">
        <v>0.40120869999999997</v>
      </c>
      <c r="F20" s="10">
        <v>1.3241700999999999</v>
      </c>
      <c r="H20">
        <f t="shared" si="0"/>
        <v>0.66871049999999999</v>
      </c>
      <c r="I20">
        <f t="shared" si="1"/>
        <v>7.4023500000000006E-2</v>
      </c>
      <c r="K20" t="str">
        <f t="shared" si="2"/>
        <v>0.67 (0.07)</v>
      </c>
    </row>
    <row r="21" spans="1:11" x14ac:dyDescent="0.3">
      <c r="A21" s="12" t="s">
        <v>115</v>
      </c>
      <c r="B21" s="10">
        <v>68634</v>
      </c>
      <c r="C21" s="10">
        <v>0.34480749999999999</v>
      </c>
      <c r="D21" s="10">
        <v>0.32153989999999999</v>
      </c>
      <c r="E21" s="11">
        <v>-0.69650619999999996</v>
      </c>
      <c r="F21" s="10">
        <v>2.1147776999999999</v>
      </c>
      <c r="H21">
        <f t="shared" si="0"/>
        <v>0.34480749999999999</v>
      </c>
      <c r="I21">
        <f t="shared" si="1"/>
        <v>0.32153989999999999</v>
      </c>
      <c r="K21" t="str">
        <f t="shared" si="2"/>
        <v>0.34 (0.32)</v>
      </c>
    </row>
    <row r="22" spans="1:11" x14ac:dyDescent="0.3">
      <c r="A22" s="12" t="s">
        <v>116</v>
      </c>
      <c r="B22" s="10">
        <v>68634</v>
      </c>
      <c r="C22" s="10">
        <v>35.570235199999999</v>
      </c>
      <c r="D22" s="10">
        <v>7.2824653000000001</v>
      </c>
      <c r="E22" s="10">
        <v>15.6032782</v>
      </c>
      <c r="F22" s="10">
        <v>93.063441699999998</v>
      </c>
      <c r="H22">
        <f t="shared" si="0"/>
        <v>35.570235199999999</v>
      </c>
      <c r="I22">
        <f t="shared" si="1"/>
        <v>7.2824653000000001</v>
      </c>
      <c r="K22" t="str">
        <f t="shared" si="2"/>
        <v>35.57 (7.28)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15E2E-748D-455B-9A2B-E8E55C92534B}">
  <dimension ref="A1:M79"/>
  <sheetViews>
    <sheetView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x14ac:dyDescent="0.3">
      <c r="A3" s="4" t="s">
        <v>23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18">
        <v>1</v>
      </c>
      <c r="B4" s="20">
        <v>17199</v>
      </c>
      <c r="C4" s="8" t="s">
        <v>98</v>
      </c>
      <c r="D4" s="10">
        <v>17199</v>
      </c>
      <c r="E4" s="10">
        <v>42.667713200000001</v>
      </c>
      <c r="F4" s="10">
        <v>16.017514200000001</v>
      </c>
      <c r="G4" s="10">
        <v>19</v>
      </c>
      <c r="H4" s="10">
        <v>80</v>
      </c>
      <c r="J4">
        <f>E4</f>
        <v>42.667713200000001</v>
      </c>
      <c r="K4">
        <f>F4</f>
        <v>16.017514200000001</v>
      </c>
      <c r="M4" t="str">
        <f>TEXT(J4,"0.00")&amp;" ("&amp;TEXT(K4,"0.00")&amp;")"</f>
        <v>42.67 (16.02)</v>
      </c>
    </row>
    <row r="5" spans="1:13" x14ac:dyDescent="0.3">
      <c r="A5" s="18"/>
      <c r="B5" s="20"/>
      <c r="C5" s="8" t="s">
        <v>99</v>
      </c>
      <c r="D5" s="10">
        <v>17199</v>
      </c>
      <c r="E5" s="10">
        <v>22.089147000000001</v>
      </c>
      <c r="F5" s="10">
        <v>2.9670464000000001</v>
      </c>
      <c r="G5" s="10">
        <v>13.512496799999999</v>
      </c>
      <c r="H5" s="10">
        <v>46.219893999999996</v>
      </c>
      <c r="J5">
        <f t="shared" ref="J5:J68" si="0">E5</f>
        <v>22.089147000000001</v>
      </c>
      <c r="K5">
        <f t="shared" ref="K5:K68" si="1">F5</f>
        <v>2.9670464000000001</v>
      </c>
      <c r="M5" t="str">
        <f t="shared" ref="M5:M68" si="2">TEXT(J5,"0.00")&amp;" ("&amp;TEXT(K5,"0.00")&amp;")"</f>
        <v>22.09 (2.97)</v>
      </c>
    </row>
    <row r="6" spans="1:13" x14ac:dyDescent="0.3">
      <c r="A6" s="18"/>
      <c r="B6" s="20"/>
      <c r="C6" s="8" t="s">
        <v>100</v>
      </c>
      <c r="D6" s="10">
        <v>17199</v>
      </c>
      <c r="E6" s="10">
        <v>75.826920200000004</v>
      </c>
      <c r="F6" s="10">
        <v>8.8524864999999995</v>
      </c>
      <c r="G6" s="10">
        <v>51.9</v>
      </c>
      <c r="H6" s="10">
        <v>137.1</v>
      </c>
      <c r="J6">
        <f t="shared" si="0"/>
        <v>75.826920200000004</v>
      </c>
      <c r="K6">
        <f t="shared" si="1"/>
        <v>8.8524864999999995</v>
      </c>
      <c r="M6" t="str">
        <f t="shared" si="2"/>
        <v>75.83 (8.85)</v>
      </c>
    </row>
    <row r="7" spans="1:13" x14ac:dyDescent="0.3">
      <c r="A7" s="18"/>
      <c r="B7" s="20"/>
      <c r="C7" s="8" t="s">
        <v>101</v>
      </c>
      <c r="D7" s="10">
        <v>17199</v>
      </c>
      <c r="E7" s="10">
        <v>7.5570499999999999E-2</v>
      </c>
      <c r="F7" s="10">
        <v>4.4558999999999996E-3</v>
      </c>
      <c r="G7" s="10">
        <v>5.6099799999999998E-2</v>
      </c>
      <c r="H7" s="10">
        <v>9.96866E-2</v>
      </c>
      <c r="J7">
        <f t="shared" si="0"/>
        <v>7.5570499999999999E-2</v>
      </c>
      <c r="K7">
        <f t="shared" si="1"/>
        <v>4.4558999999999996E-3</v>
      </c>
      <c r="M7" t="str">
        <f t="shared" si="2"/>
        <v>0.08 (0.00)</v>
      </c>
    </row>
    <row r="8" spans="1:13" x14ac:dyDescent="0.3">
      <c r="A8" s="18"/>
      <c r="B8" s="20"/>
      <c r="C8" s="8" t="s">
        <v>102</v>
      </c>
      <c r="D8" s="10">
        <v>17199</v>
      </c>
      <c r="E8" s="10">
        <v>111.38028370000001</v>
      </c>
      <c r="F8" s="10">
        <v>14.7585079</v>
      </c>
      <c r="G8" s="10">
        <v>75</v>
      </c>
      <c r="H8" s="10">
        <v>217</v>
      </c>
      <c r="J8">
        <f t="shared" si="0"/>
        <v>111.38028370000001</v>
      </c>
      <c r="K8">
        <f t="shared" si="1"/>
        <v>14.7585079</v>
      </c>
      <c r="M8" t="str">
        <f t="shared" si="2"/>
        <v>111.38 (14.76)</v>
      </c>
    </row>
    <row r="9" spans="1:13" x14ac:dyDescent="0.3">
      <c r="A9" s="18"/>
      <c r="B9" s="20"/>
      <c r="C9" s="8" t="s">
        <v>103</v>
      </c>
      <c r="D9" s="10">
        <v>17199</v>
      </c>
      <c r="E9" s="10">
        <v>89.450898300000006</v>
      </c>
      <c r="F9" s="10">
        <v>8.6632624000000007</v>
      </c>
      <c r="G9" s="10">
        <v>40</v>
      </c>
      <c r="H9" s="10">
        <v>197</v>
      </c>
      <c r="J9">
        <f t="shared" si="0"/>
        <v>89.450898300000006</v>
      </c>
      <c r="K9">
        <f t="shared" si="1"/>
        <v>8.6632624000000007</v>
      </c>
      <c r="M9" t="str">
        <f t="shared" si="2"/>
        <v>89.45 (8.66)</v>
      </c>
    </row>
    <row r="10" spans="1:13" x14ac:dyDescent="0.3">
      <c r="A10" s="18"/>
      <c r="B10" s="20"/>
      <c r="C10" s="8" t="s">
        <v>104</v>
      </c>
      <c r="D10" s="10">
        <v>17199</v>
      </c>
      <c r="E10" s="10">
        <v>177.10105239999999</v>
      </c>
      <c r="F10" s="10">
        <v>31.7424845</v>
      </c>
      <c r="G10" s="10">
        <v>71</v>
      </c>
      <c r="H10" s="10">
        <v>457</v>
      </c>
      <c r="J10">
        <f t="shared" si="0"/>
        <v>177.10105239999999</v>
      </c>
      <c r="K10">
        <f t="shared" si="1"/>
        <v>31.7424845</v>
      </c>
      <c r="M10" t="str">
        <f t="shared" si="2"/>
        <v>177.10 (31.74)</v>
      </c>
    </row>
    <row r="11" spans="1:13" ht="25.5" x14ac:dyDescent="0.3">
      <c r="A11" s="18"/>
      <c r="B11" s="20"/>
      <c r="C11" s="8" t="s">
        <v>105</v>
      </c>
      <c r="D11" s="10">
        <v>17199</v>
      </c>
      <c r="E11" s="10">
        <v>58.881796999999999</v>
      </c>
      <c r="F11" s="10">
        <v>12.7487365</v>
      </c>
      <c r="G11" s="10">
        <v>13.997999999999999</v>
      </c>
      <c r="H11" s="10">
        <v>135</v>
      </c>
      <c r="J11">
        <f t="shared" si="0"/>
        <v>58.881796999999999</v>
      </c>
      <c r="K11">
        <f t="shared" si="1"/>
        <v>12.7487365</v>
      </c>
      <c r="M11" t="str">
        <f t="shared" si="2"/>
        <v>58.88 (12.75)</v>
      </c>
    </row>
    <row r="12" spans="1:13" x14ac:dyDescent="0.3">
      <c r="A12" s="18"/>
      <c r="B12" s="20"/>
      <c r="C12" s="8" t="s">
        <v>106</v>
      </c>
      <c r="D12" s="10">
        <v>17199</v>
      </c>
      <c r="E12" s="10">
        <v>56.308855200000004</v>
      </c>
      <c r="F12" s="10">
        <v>12.5140539</v>
      </c>
      <c r="G12" s="10">
        <v>14</v>
      </c>
      <c r="H12" s="10">
        <v>126</v>
      </c>
      <c r="J12">
        <f t="shared" si="0"/>
        <v>56.308855200000004</v>
      </c>
      <c r="K12">
        <f t="shared" si="1"/>
        <v>12.5140539</v>
      </c>
      <c r="M12" t="str">
        <f t="shared" si="2"/>
        <v>56.31 (12.51)</v>
      </c>
    </row>
    <row r="13" spans="1:13" x14ac:dyDescent="0.3">
      <c r="A13" s="18"/>
      <c r="B13" s="20"/>
      <c r="C13" s="8" t="s">
        <v>107</v>
      </c>
      <c r="D13" s="10">
        <v>17199</v>
      </c>
      <c r="E13" s="10">
        <v>20.615559000000001</v>
      </c>
      <c r="F13" s="10">
        <v>11.212694000000001</v>
      </c>
      <c r="G13" s="10">
        <v>7</v>
      </c>
      <c r="H13" s="10">
        <v>415</v>
      </c>
      <c r="J13">
        <f t="shared" si="0"/>
        <v>20.615559000000001</v>
      </c>
      <c r="K13">
        <f t="shared" si="1"/>
        <v>11.212694000000001</v>
      </c>
      <c r="M13" t="str">
        <f t="shared" si="2"/>
        <v>20.62 (11.21)</v>
      </c>
    </row>
    <row r="14" spans="1:13" x14ac:dyDescent="0.3">
      <c r="A14" s="18"/>
      <c r="B14" s="20"/>
      <c r="C14" s="8" t="s">
        <v>108</v>
      </c>
      <c r="D14" s="10">
        <v>17199</v>
      </c>
      <c r="E14" s="10">
        <v>16.719111600000002</v>
      </c>
      <c r="F14" s="10">
        <v>12.7962738</v>
      </c>
      <c r="G14" s="10">
        <v>3</v>
      </c>
      <c r="H14" s="10">
        <v>544</v>
      </c>
      <c r="J14">
        <f t="shared" si="0"/>
        <v>16.719111600000002</v>
      </c>
      <c r="K14">
        <f t="shared" si="1"/>
        <v>12.7962738</v>
      </c>
      <c r="M14" t="str">
        <f t="shared" si="2"/>
        <v>16.72 (12.80)</v>
      </c>
    </row>
    <row r="15" spans="1:13" x14ac:dyDescent="0.3">
      <c r="A15" s="18"/>
      <c r="B15" s="20"/>
      <c r="C15" s="8" t="s">
        <v>109</v>
      </c>
      <c r="D15" s="10">
        <v>17199</v>
      </c>
      <c r="E15" s="10">
        <v>13.482778100000001</v>
      </c>
      <c r="F15" s="10">
        <v>1.4755526000000001</v>
      </c>
      <c r="G15" s="10">
        <v>5</v>
      </c>
      <c r="H15" s="10">
        <v>18.8</v>
      </c>
      <c r="J15">
        <f t="shared" si="0"/>
        <v>13.482778100000001</v>
      </c>
      <c r="K15">
        <f t="shared" si="1"/>
        <v>1.4755526000000001</v>
      </c>
      <c r="M15" t="str">
        <f t="shared" si="2"/>
        <v>13.48 (1.48)</v>
      </c>
    </row>
    <row r="16" spans="1:13" x14ac:dyDescent="0.3">
      <c r="A16" s="18"/>
      <c r="B16" s="20"/>
      <c r="C16" s="8" t="s">
        <v>110</v>
      </c>
      <c r="D16" s="10">
        <v>17199</v>
      </c>
      <c r="E16" s="10">
        <v>14.0442933</v>
      </c>
      <c r="F16" s="10">
        <v>4.3800784999999998</v>
      </c>
      <c r="G16" s="10">
        <v>2</v>
      </c>
      <c r="H16" s="10">
        <v>140</v>
      </c>
      <c r="J16">
        <f t="shared" si="0"/>
        <v>14.0442933</v>
      </c>
      <c r="K16">
        <f t="shared" si="1"/>
        <v>4.3800784999999998</v>
      </c>
      <c r="M16" t="str">
        <f t="shared" si="2"/>
        <v>14.04 (4.38)</v>
      </c>
    </row>
    <row r="17" spans="1:13" x14ac:dyDescent="0.3">
      <c r="A17" s="18"/>
      <c r="B17" s="20"/>
      <c r="C17" s="8" t="s">
        <v>111</v>
      </c>
      <c r="D17" s="10">
        <v>17199</v>
      </c>
      <c r="E17" s="10">
        <v>0.78207510000000002</v>
      </c>
      <c r="F17" s="10">
        <v>0.2035314</v>
      </c>
      <c r="G17" s="10">
        <v>0.36</v>
      </c>
      <c r="H17" s="10">
        <v>14.38</v>
      </c>
      <c r="J17">
        <f t="shared" si="0"/>
        <v>0.78207510000000002</v>
      </c>
      <c r="K17">
        <f t="shared" si="1"/>
        <v>0.2035314</v>
      </c>
      <c r="M17" t="str">
        <f t="shared" si="2"/>
        <v>0.78 (0.20)</v>
      </c>
    </row>
    <row r="18" spans="1:13" x14ac:dyDescent="0.3">
      <c r="A18" s="18"/>
      <c r="B18" s="20"/>
      <c r="C18" s="8" t="s">
        <v>112</v>
      </c>
      <c r="D18" s="10">
        <v>17199</v>
      </c>
      <c r="E18" s="10">
        <v>5.8299609999999999</v>
      </c>
      <c r="F18" s="10">
        <v>0.80594699999999997</v>
      </c>
      <c r="G18" s="10">
        <v>5</v>
      </c>
      <c r="H18" s="10">
        <v>9</v>
      </c>
      <c r="J18">
        <f t="shared" si="0"/>
        <v>5.8299609999999999</v>
      </c>
      <c r="K18">
        <f t="shared" si="1"/>
        <v>0.80594699999999997</v>
      </c>
      <c r="M18" t="str">
        <f t="shared" si="2"/>
        <v>5.83 (0.81)</v>
      </c>
    </row>
    <row r="19" spans="1:13" x14ac:dyDescent="0.3">
      <c r="A19" s="18"/>
      <c r="B19" s="20"/>
      <c r="C19" s="8" t="s">
        <v>113</v>
      </c>
      <c r="D19" s="10">
        <v>17199</v>
      </c>
      <c r="E19" s="10">
        <v>7.7995397999999998</v>
      </c>
      <c r="F19" s="10">
        <v>0.25031360000000002</v>
      </c>
      <c r="G19" s="10">
        <v>6.4441312999999996</v>
      </c>
      <c r="H19" s="10">
        <v>8.1196962999999993</v>
      </c>
      <c r="J19">
        <f t="shared" si="0"/>
        <v>7.7995397999999998</v>
      </c>
      <c r="K19">
        <f t="shared" si="1"/>
        <v>0.25031360000000002</v>
      </c>
      <c r="M19" t="str">
        <f t="shared" si="2"/>
        <v>7.80 (0.25)</v>
      </c>
    </row>
    <row r="20" spans="1:13" x14ac:dyDescent="0.3">
      <c r="A20" s="18"/>
      <c r="B20" s="20"/>
      <c r="C20" s="8" t="s">
        <v>114</v>
      </c>
      <c r="D20" s="10">
        <v>17199</v>
      </c>
      <c r="E20" s="10">
        <v>0.58960120000000005</v>
      </c>
      <c r="F20" s="10">
        <v>4.2203400000000002E-2</v>
      </c>
      <c r="G20" s="10">
        <v>0.43668079999999998</v>
      </c>
      <c r="H20" s="10">
        <v>0.75111479999999997</v>
      </c>
      <c r="J20">
        <f t="shared" si="0"/>
        <v>0.58960120000000005</v>
      </c>
      <c r="K20">
        <f t="shared" si="1"/>
        <v>4.2203400000000002E-2</v>
      </c>
      <c r="M20" t="str">
        <f t="shared" si="2"/>
        <v>0.59 (0.04)</v>
      </c>
    </row>
    <row r="21" spans="1:13" x14ac:dyDescent="0.3">
      <c r="A21" s="18"/>
      <c r="B21" s="20"/>
      <c r="C21" s="8" t="s">
        <v>115</v>
      </c>
      <c r="D21" s="10">
        <v>17199</v>
      </c>
      <c r="E21" s="11">
        <v>-2.1333299999999999E-2</v>
      </c>
      <c r="F21" s="10">
        <v>0.15117800000000001</v>
      </c>
      <c r="G21" s="11">
        <v>-0.69650619999999996</v>
      </c>
      <c r="H21" s="10">
        <v>0.51669180000000003</v>
      </c>
      <c r="J21">
        <f t="shared" si="0"/>
        <v>-2.1333299999999999E-2</v>
      </c>
      <c r="K21">
        <f t="shared" si="1"/>
        <v>0.15117800000000001</v>
      </c>
      <c r="M21" t="str">
        <f t="shared" si="2"/>
        <v>-0.02 (0.15)</v>
      </c>
    </row>
    <row r="22" spans="1:13" ht="17.25" thickBot="1" x14ac:dyDescent="0.35">
      <c r="A22" s="18"/>
      <c r="B22" s="20"/>
      <c r="C22" s="9" t="s">
        <v>116</v>
      </c>
      <c r="D22" s="10">
        <v>17199</v>
      </c>
      <c r="E22" s="10">
        <v>29.886738900000001</v>
      </c>
      <c r="F22" s="10">
        <v>4.7775673999999997</v>
      </c>
      <c r="G22" s="10">
        <v>15.6032782</v>
      </c>
      <c r="H22" s="10">
        <v>67.677062599999999</v>
      </c>
      <c r="J22">
        <f t="shared" si="0"/>
        <v>29.886738900000001</v>
      </c>
      <c r="K22">
        <f t="shared" si="1"/>
        <v>4.7775673999999997</v>
      </c>
      <c r="M22" t="str">
        <f t="shared" si="2"/>
        <v>29.89 (4.78)</v>
      </c>
    </row>
    <row r="23" spans="1:13" x14ac:dyDescent="0.3">
      <c r="A23" s="18">
        <v>2</v>
      </c>
      <c r="B23" s="20">
        <v>17099</v>
      </c>
      <c r="C23" s="8" t="s">
        <v>98</v>
      </c>
      <c r="D23" s="10">
        <v>17099</v>
      </c>
      <c r="E23" s="10">
        <v>49.170185400000001</v>
      </c>
      <c r="F23" s="10">
        <v>16.348520199999999</v>
      </c>
      <c r="G23" s="10">
        <v>19</v>
      </c>
      <c r="H23" s="10">
        <v>80</v>
      </c>
      <c r="J23">
        <f t="shared" si="0"/>
        <v>49.170185400000001</v>
      </c>
      <c r="K23">
        <f t="shared" si="1"/>
        <v>16.348520199999999</v>
      </c>
      <c r="M23" t="str">
        <f t="shared" si="2"/>
        <v>49.17 (16.35)</v>
      </c>
    </row>
    <row r="24" spans="1:13" x14ac:dyDescent="0.3">
      <c r="A24" s="18"/>
      <c r="B24" s="20"/>
      <c r="C24" s="8" t="s">
        <v>99</v>
      </c>
      <c r="D24" s="10">
        <v>17099</v>
      </c>
      <c r="E24" s="10">
        <v>23.342749600000001</v>
      </c>
      <c r="F24" s="10">
        <v>3.2540925999999999</v>
      </c>
      <c r="G24" s="10">
        <v>13.173742799999999</v>
      </c>
      <c r="H24" s="10">
        <v>62.640542099999998</v>
      </c>
      <c r="J24">
        <f t="shared" si="0"/>
        <v>23.342749600000001</v>
      </c>
      <c r="K24">
        <f t="shared" si="1"/>
        <v>3.2540925999999999</v>
      </c>
      <c r="M24" t="str">
        <f t="shared" si="2"/>
        <v>23.34 (3.25)</v>
      </c>
    </row>
    <row r="25" spans="1:13" x14ac:dyDescent="0.3">
      <c r="A25" s="18"/>
      <c r="B25" s="20"/>
      <c r="C25" s="8" t="s">
        <v>100</v>
      </c>
      <c r="D25" s="10">
        <v>17099</v>
      </c>
      <c r="E25" s="10">
        <v>80.657108600000001</v>
      </c>
      <c r="F25" s="10">
        <v>9.4383724000000004</v>
      </c>
      <c r="G25" s="10">
        <v>49.3</v>
      </c>
      <c r="H25" s="10">
        <v>139.19999999999999</v>
      </c>
      <c r="J25">
        <f t="shared" si="0"/>
        <v>80.657108600000001</v>
      </c>
      <c r="K25">
        <f t="shared" si="1"/>
        <v>9.4383724000000004</v>
      </c>
      <c r="M25" t="str">
        <f t="shared" si="2"/>
        <v>80.66 (9.44)</v>
      </c>
    </row>
    <row r="26" spans="1:13" x14ac:dyDescent="0.3">
      <c r="A26" s="18"/>
      <c r="B26" s="20"/>
      <c r="C26" s="8" t="s">
        <v>101</v>
      </c>
      <c r="D26" s="10">
        <v>17099</v>
      </c>
      <c r="E26" s="10">
        <v>7.7413899999999994E-2</v>
      </c>
      <c r="F26" s="10">
        <v>4.5260999999999999E-3</v>
      </c>
      <c r="G26" s="10">
        <v>5.4297199999999997E-2</v>
      </c>
      <c r="H26" s="10">
        <v>0.1121983</v>
      </c>
      <c r="J26">
        <f t="shared" si="0"/>
        <v>7.7413899999999994E-2</v>
      </c>
      <c r="K26">
        <f t="shared" si="1"/>
        <v>4.5260999999999999E-3</v>
      </c>
      <c r="M26" t="str">
        <f t="shared" si="2"/>
        <v>0.08 (0.00)</v>
      </c>
    </row>
    <row r="27" spans="1:13" x14ac:dyDescent="0.3">
      <c r="A27" s="18"/>
      <c r="B27" s="20"/>
      <c r="C27" s="8" t="s">
        <v>102</v>
      </c>
      <c r="D27" s="10">
        <v>17099</v>
      </c>
      <c r="E27" s="10">
        <v>117.12062109999999</v>
      </c>
      <c r="F27" s="10">
        <v>16.145354600000001</v>
      </c>
      <c r="G27" s="10">
        <v>76</v>
      </c>
      <c r="H27" s="10">
        <v>232</v>
      </c>
      <c r="J27">
        <f t="shared" si="0"/>
        <v>117.12062109999999</v>
      </c>
      <c r="K27">
        <f t="shared" si="1"/>
        <v>16.145354600000001</v>
      </c>
      <c r="M27" t="str">
        <f t="shared" si="2"/>
        <v>117.12 (16.15)</v>
      </c>
    </row>
    <row r="28" spans="1:13" x14ac:dyDescent="0.3">
      <c r="A28" s="18"/>
      <c r="B28" s="20"/>
      <c r="C28" s="8" t="s">
        <v>103</v>
      </c>
      <c r="D28" s="10">
        <v>17099</v>
      </c>
      <c r="E28" s="10">
        <v>94.612199500000003</v>
      </c>
      <c r="F28" s="10">
        <v>11.2205672</v>
      </c>
      <c r="G28" s="10">
        <v>46</v>
      </c>
      <c r="H28" s="10">
        <v>243</v>
      </c>
      <c r="J28">
        <f t="shared" si="0"/>
        <v>94.612199500000003</v>
      </c>
      <c r="K28">
        <f t="shared" si="1"/>
        <v>11.2205672</v>
      </c>
      <c r="M28" t="str">
        <f t="shared" si="2"/>
        <v>94.61 (11.22)</v>
      </c>
    </row>
    <row r="29" spans="1:13" x14ac:dyDescent="0.3">
      <c r="A29" s="18"/>
      <c r="B29" s="20"/>
      <c r="C29" s="8" t="s">
        <v>104</v>
      </c>
      <c r="D29" s="10">
        <v>17099</v>
      </c>
      <c r="E29" s="10">
        <v>186.02620039999999</v>
      </c>
      <c r="F29" s="10">
        <v>34.266127900000001</v>
      </c>
      <c r="G29" s="10">
        <v>66</v>
      </c>
      <c r="H29" s="10">
        <v>374</v>
      </c>
      <c r="J29">
        <f t="shared" si="0"/>
        <v>186.02620039999999</v>
      </c>
      <c r="K29">
        <f t="shared" si="1"/>
        <v>34.266127900000001</v>
      </c>
      <c r="M29" t="str">
        <f t="shared" si="2"/>
        <v>186.03 (34.27)</v>
      </c>
    </row>
    <row r="30" spans="1:13" ht="25.5" x14ac:dyDescent="0.3">
      <c r="A30" s="18"/>
      <c r="B30" s="20"/>
      <c r="C30" s="8" t="s">
        <v>105</v>
      </c>
      <c r="D30" s="10">
        <v>17099</v>
      </c>
      <c r="E30" s="10">
        <v>53.4930673</v>
      </c>
      <c r="F30" s="10">
        <v>11.971883</v>
      </c>
      <c r="G30" s="10">
        <v>15</v>
      </c>
      <c r="H30" s="10">
        <v>145.298</v>
      </c>
      <c r="J30">
        <f t="shared" si="0"/>
        <v>53.4930673</v>
      </c>
      <c r="K30">
        <f t="shared" si="1"/>
        <v>11.971883</v>
      </c>
      <c r="M30" t="str">
        <f t="shared" si="2"/>
        <v>53.49 (11.97)</v>
      </c>
    </row>
    <row r="31" spans="1:13" x14ac:dyDescent="0.3">
      <c r="A31" s="18"/>
      <c r="B31" s="20"/>
      <c r="C31" s="8" t="s">
        <v>106</v>
      </c>
      <c r="D31" s="10">
        <v>17099</v>
      </c>
      <c r="E31" s="10">
        <v>89.726475199999996</v>
      </c>
      <c r="F31" s="10">
        <v>13.5767612</v>
      </c>
      <c r="G31" s="10">
        <v>36</v>
      </c>
      <c r="H31" s="10">
        <v>153</v>
      </c>
      <c r="J31">
        <f t="shared" si="0"/>
        <v>89.726475199999996</v>
      </c>
      <c r="K31">
        <f t="shared" si="1"/>
        <v>13.5767612</v>
      </c>
      <c r="M31" t="str">
        <f t="shared" si="2"/>
        <v>89.73 (13.58)</v>
      </c>
    </row>
    <row r="32" spans="1:13" x14ac:dyDescent="0.3">
      <c r="A32" s="18"/>
      <c r="B32" s="20"/>
      <c r="C32" s="8" t="s">
        <v>107</v>
      </c>
      <c r="D32" s="10">
        <v>17099</v>
      </c>
      <c r="E32" s="10">
        <v>21.858120400000001</v>
      </c>
      <c r="F32" s="10">
        <v>11.0221594</v>
      </c>
      <c r="G32" s="10">
        <v>7</v>
      </c>
      <c r="H32" s="10">
        <v>430</v>
      </c>
      <c r="J32">
        <f t="shared" si="0"/>
        <v>21.858120400000001</v>
      </c>
      <c r="K32">
        <f t="shared" si="1"/>
        <v>11.0221594</v>
      </c>
      <c r="M32" t="str">
        <f t="shared" si="2"/>
        <v>21.86 (11.02)</v>
      </c>
    </row>
    <row r="33" spans="1:13" x14ac:dyDescent="0.3">
      <c r="A33" s="18"/>
      <c r="B33" s="20"/>
      <c r="C33" s="8" t="s">
        <v>108</v>
      </c>
      <c r="D33" s="10">
        <v>17099</v>
      </c>
      <c r="E33" s="10">
        <v>19.819989499999998</v>
      </c>
      <c r="F33" s="10">
        <v>18.143438100000001</v>
      </c>
      <c r="G33" s="10">
        <v>1</v>
      </c>
      <c r="H33" s="10">
        <v>893</v>
      </c>
      <c r="J33">
        <f t="shared" si="0"/>
        <v>19.819989499999998</v>
      </c>
      <c r="K33">
        <f t="shared" si="1"/>
        <v>18.143438100000001</v>
      </c>
      <c r="M33" t="str">
        <f t="shared" si="2"/>
        <v>19.82 (18.14)</v>
      </c>
    </row>
    <row r="34" spans="1:13" x14ac:dyDescent="0.3">
      <c r="A34" s="18"/>
      <c r="B34" s="20"/>
      <c r="C34" s="8" t="s">
        <v>109</v>
      </c>
      <c r="D34" s="10">
        <v>17099</v>
      </c>
      <c r="E34" s="10">
        <v>13.9053804</v>
      </c>
      <c r="F34" s="10">
        <v>1.5218271000000001</v>
      </c>
      <c r="G34" s="10">
        <v>3.9</v>
      </c>
      <c r="H34" s="10">
        <v>21.3</v>
      </c>
      <c r="J34">
        <f t="shared" si="0"/>
        <v>13.9053804</v>
      </c>
      <c r="K34">
        <f t="shared" si="1"/>
        <v>1.5218271000000001</v>
      </c>
      <c r="M34" t="str">
        <f t="shared" si="2"/>
        <v>13.91 (1.52)</v>
      </c>
    </row>
    <row r="35" spans="1:13" x14ac:dyDescent="0.3">
      <c r="A35" s="18"/>
      <c r="B35" s="20"/>
      <c r="C35" s="8" t="s">
        <v>110</v>
      </c>
      <c r="D35" s="10">
        <v>17099</v>
      </c>
      <c r="E35" s="10">
        <v>14.552044</v>
      </c>
      <c r="F35" s="10">
        <v>4.5025985999999998</v>
      </c>
      <c r="G35" s="10">
        <v>5</v>
      </c>
      <c r="H35" s="10">
        <v>87</v>
      </c>
      <c r="J35">
        <f t="shared" si="0"/>
        <v>14.552044</v>
      </c>
      <c r="K35">
        <f t="shared" si="1"/>
        <v>4.5025985999999998</v>
      </c>
      <c r="M35" t="str">
        <f t="shared" si="2"/>
        <v>14.55 (4.50)</v>
      </c>
    </row>
    <row r="36" spans="1:13" x14ac:dyDescent="0.3">
      <c r="A36" s="18"/>
      <c r="B36" s="20"/>
      <c r="C36" s="8" t="s">
        <v>111</v>
      </c>
      <c r="D36" s="10">
        <v>17099</v>
      </c>
      <c r="E36" s="10">
        <v>0.82268140000000001</v>
      </c>
      <c r="F36" s="10">
        <v>0.23431150000000001</v>
      </c>
      <c r="G36" s="10">
        <v>0.36</v>
      </c>
      <c r="H36" s="10">
        <v>11.33</v>
      </c>
      <c r="J36">
        <f t="shared" si="0"/>
        <v>0.82268140000000001</v>
      </c>
      <c r="K36">
        <f t="shared" si="1"/>
        <v>0.23431150000000001</v>
      </c>
      <c r="M36" t="str">
        <f t="shared" si="2"/>
        <v>0.82 (0.23)</v>
      </c>
    </row>
    <row r="37" spans="1:13" x14ac:dyDescent="0.3">
      <c r="A37" s="18"/>
      <c r="B37" s="20"/>
      <c r="C37" s="8" t="s">
        <v>112</v>
      </c>
      <c r="D37" s="10">
        <v>17099</v>
      </c>
      <c r="E37" s="10">
        <v>5.8363939</v>
      </c>
      <c r="F37" s="10">
        <v>0.81425130000000001</v>
      </c>
      <c r="G37" s="10">
        <v>5</v>
      </c>
      <c r="H37" s="10">
        <v>9</v>
      </c>
      <c r="J37">
        <f t="shared" si="0"/>
        <v>5.8363939</v>
      </c>
      <c r="K37">
        <f t="shared" si="1"/>
        <v>0.81425130000000001</v>
      </c>
      <c r="M37" t="str">
        <f t="shared" si="2"/>
        <v>5.84 (0.81)</v>
      </c>
    </row>
    <row r="38" spans="1:13" x14ac:dyDescent="0.3">
      <c r="A38" s="18"/>
      <c r="B38" s="20"/>
      <c r="C38" s="8" t="s">
        <v>113</v>
      </c>
      <c r="D38" s="10">
        <v>17099</v>
      </c>
      <c r="E38" s="10">
        <v>8.3354914999999998</v>
      </c>
      <c r="F38" s="10">
        <v>0.1209464</v>
      </c>
      <c r="G38" s="10">
        <v>8.1201425999999994</v>
      </c>
      <c r="H38" s="10">
        <v>8.5438351000000008</v>
      </c>
      <c r="J38">
        <f t="shared" si="0"/>
        <v>8.3354914999999998</v>
      </c>
      <c r="K38">
        <f t="shared" si="1"/>
        <v>0.1209464</v>
      </c>
      <c r="M38" t="str">
        <f t="shared" si="2"/>
        <v>8.34 (0.12)</v>
      </c>
    </row>
    <row r="39" spans="1:13" x14ac:dyDescent="0.3">
      <c r="A39" s="18"/>
      <c r="B39" s="20"/>
      <c r="C39" s="8" t="s">
        <v>114</v>
      </c>
      <c r="D39" s="10">
        <v>17099</v>
      </c>
      <c r="E39" s="10">
        <v>0.64533649999999998</v>
      </c>
      <c r="F39" s="10">
        <v>3.97606E-2</v>
      </c>
      <c r="G39" s="10">
        <v>0.44715719999999998</v>
      </c>
      <c r="H39" s="10">
        <v>0.92555880000000001</v>
      </c>
      <c r="J39">
        <f t="shared" si="0"/>
        <v>0.64533649999999998</v>
      </c>
      <c r="K39">
        <f t="shared" si="1"/>
        <v>3.97606E-2</v>
      </c>
      <c r="M39" t="str">
        <f t="shared" si="2"/>
        <v>0.65 (0.04)</v>
      </c>
    </row>
    <row r="40" spans="1:13" x14ac:dyDescent="0.3">
      <c r="A40" s="18"/>
      <c r="B40" s="20"/>
      <c r="C40" s="8" t="s">
        <v>115</v>
      </c>
      <c r="D40" s="10">
        <v>17099</v>
      </c>
      <c r="E40" s="10">
        <v>0.23007739999999999</v>
      </c>
      <c r="F40" s="10">
        <v>0.1231255</v>
      </c>
      <c r="G40" s="11">
        <v>-0.33996150000000003</v>
      </c>
      <c r="H40" s="10">
        <v>0.74656</v>
      </c>
      <c r="J40">
        <f t="shared" si="0"/>
        <v>0.23007739999999999</v>
      </c>
      <c r="K40">
        <f t="shared" si="1"/>
        <v>0.1231255</v>
      </c>
      <c r="M40" t="str">
        <f t="shared" si="2"/>
        <v>0.23 (0.12)</v>
      </c>
    </row>
    <row r="41" spans="1:13" ht="17.25" thickBot="1" x14ac:dyDescent="0.35">
      <c r="A41" s="18"/>
      <c r="B41" s="20"/>
      <c r="C41" s="9" t="s">
        <v>116</v>
      </c>
      <c r="D41" s="10">
        <v>17099</v>
      </c>
      <c r="E41" s="10">
        <v>33.376149599999998</v>
      </c>
      <c r="F41" s="10">
        <v>5.3727973999999996</v>
      </c>
      <c r="G41" s="10">
        <v>17.320489200000001</v>
      </c>
      <c r="H41" s="10">
        <v>93.063441699999998</v>
      </c>
      <c r="J41">
        <f t="shared" si="0"/>
        <v>33.376149599999998</v>
      </c>
      <c r="K41">
        <f t="shared" si="1"/>
        <v>5.3727973999999996</v>
      </c>
      <c r="M41" t="str">
        <f t="shared" si="2"/>
        <v>33.38 (5.37)</v>
      </c>
    </row>
    <row r="42" spans="1:13" x14ac:dyDescent="0.3">
      <c r="A42" s="18">
        <v>3</v>
      </c>
      <c r="B42" s="20">
        <v>17171</v>
      </c>
      <c r="C42" s="8" t="s">
        <v>98</v>
      </c>
      <c r="D42" s="10">
        <v>17171</v>
      </c>
      <c r="E42" s="10">
        <v>52.477898799999998</v>
      </c>
      <c r="F42" s="10">
        <v>15.584609199999999</v>
      </c>
      <c r="G42" s="10">
        <v>19</v>
      </c>
      <c r="H42" s="10">
        <v>80</v>
      </c>
      <c r="J42">
        <f t="shared" si="0"/>
        <v>52.477898799999998</v>
      </c>
      <c r="K42">
        <f t="shared" si="1"/>
        <v>15.584609199999999</v>
      </c>
      <c r="M42" t="str">
        <f t="shared" si="2"/>
        <v>52.48 (15.58)</v>
      </c>
    </row>
    <row r="43" spans="1:13" x14ac:dyDescent="0.3">
      <c r="A43" s="18"/>
      <c r="B43" s="20"/>
      <c r="C43" s="8" t="s">
        <v>99</v>
      </c>
      <c r="D43" s="10">
        <v>17171</v>
      </c>
      <c r="E43" s="10">
        <v>24.507680300000001</v>
      </c>
      <c r="F43" s="10">
        <v>3.3554252999999998</v>
      </c>
      <c r="G43" s="10">
        <v>13.1339583</v>
      </c>
      <c r="H43" s="10">
        <v>45.934737699999999</v>
      </c>
      <c r="J43">
        <f t="shared" si="0"/>
        <v>24.507680300000001</v>
      </c>
      <c r="K43">
        <f t="shared" si="1"/>
        <v>3.3554252999999998</v>
      </c>
      <c r="M43" t="str">
        <f t="shared" si="2"/>
        <v>24.51 (3.36)</v>
      </c>
    </row>
    <row r="44" spans="1:13" x14ac:dyDescent="0.3">
      <c r="A44" s="18"/>
      <c r="B44" s="20"/>
      <c r="C44" s="8" t="s">
        <v>100</v>
      </c>
      <c r="D44" s="10">
        <v>17171</v>
      </c>
      <c r="E44" s="10">
        <v>84.637772999999996</v>
      </c>
      <c r="F44" s="10">
        <v>9.3222278999999997</v>
      </c>
      <c r="G44" s="10">
        <v>36.200000000000003</v>
      </c>
      <c r="H44" s="10">
        <v>166.1</v>
      </c>
      <c r="J44">
        <f t="shared" si="0"/>
        <v>84.637772999999996</v>
      </c>
      <c r="K44">
        <f t="shared" si="1"/>
        <v>9.3222278999999997</v>
      </c>
      <c r="M44" t="str">
        <f t="shared" si="2"/>
        <v>84.64 (9.32)</v>
      </c>
    </row>
    <row r="45" spans="1:13" x14ac:dyDescent="0.3">
      <c r="A45" s="18"/>
      <c r="B45" s="20"/>
      <c r="C45" s="8" t="s">
        <v>101</v>
      </c>
      <c r="D45" s="10">
        <v>17171</v>
      </c>
      <c r="E45" s="10">
        <v>7.8578200000000001E-2</v>
      </c>
      <c r="F45" s="10">
        <v>4.4543999999999999E-3</v>
      </c>
      <c r="G45" s="10">
        <v>4.5616799999999999E-2</v>
      </c>
      <c r="H45" s="10">
        <v>0.15107219999999999</v>
      </c>
      <c r="J45">
        <f t="shared" si="0"/>
        <v>7.8578200000000001E-2</v>
      </c>
      <c r="K45">
        <f t="shared" si="1"/>
        <v>4.4543999999999999E-3</v>
      </c>
      <c r="M45" t="str">
        <f t="shared" si="2"/>
        <v>0.08 (0.00)</v>
      </c>
    </row>
    <row r="46" spans="1:13" x14ac:dyDescent="0.3">
      <c r="A46" s="18"/>
      <c r="B46" s="20"/>
      <c r="C46" s="8" t="s">
        <v>102</v>
      </c>
      <c r="D46" s="10">
        <v>17171</v>
      </c>
      <c r="E46" s="10">
        <v>120.8889989</v>
      </c>
      <c r="F46" s="10">
        <v>16.2425754</v>
      </c>
      <c r="G46" s="10">
        <v>70</v>
      </c>
      <c r="H46" s="10">
        <v>220</v>
      </c>
      <c r="J46">
        <f t="shared" si="0"/>
        <v>120.8889989</v>
      </c>
      <c r="K46">
        <f t="shared" si="1"/>
        <v>16.2425754</v>
      </c>
      <c r="M46" t="str">
        <f t="shared" si="2"/>
        <v>120.89 (16.24)</v>
      </c>
    </row>
    <row r="47" spans="1:13" x14ac:dyDescent="0.3">
      <c r="A47" s="18"/>
      <c r="B47" s="20"/>
      <c r="C47" s="8" t="s">
        <v>103</v>
      </c>
      <c r="D47" s="10">
        <v>17171</v>
      </c>
      <c r="E47" s="10">
        <v>99.726457400000001</v>
      </c>
      <c r="F47" s="10">
        <v>15.6947627</v>
      </c>
      <c r="G47" s="10">
        <v>61</v>
      </c>
      <c r="H47" s="10">
        <v>306</v>
      </c>
      <c r="J47">
        <f t="shared" si="0"/>
        <v>99.726457400000001</v>
      </c>
      <c r="K47">
        <f t="shared" si="1"/>
        <v>15.6947627</v>
      </c>
      <c r="M47" t="str">
        <f t="shared" si="2"/>
        <v>99.73 (15.69)</v>
      </c>
    </row>
    <row r="48" spans="1:13" x14ac:dyDescent="0.3">
      <c r="A48" s="18"/>
      <c r="B48" s="20"/>
      <c r="C48" s="8" t="s">
        <v>104</v>
      </c>
      <c r="D48" s="10">
        <v>17171</v>
      </c>
      <c r="E48" s="10">
        <v>193.16638520000001</v>
      </c>
      <c r="F48" s="10">
        <v>36.051801900000001</v>
      </c>
      <c r="G48" s="10">
        <v>68</v>
      </c>
      <c r="H48" s="10">
        <v>381</v>
      </c>
      <c r="J48">
        <f t="shared" si="0"/>
        <v>193.16638520000001</v>
      </c>
      <c r="K48">
        <f t="shared" si="1"/>
        <v>36.051801900000001</v>
      </c>
      <c r="M48" t="str">
        <f t="shared" si="2"/>
        <v>193.17 (36.05)</v>
      </c>
    </row>
    <row r="49" spans="1:13" ht="25.5" x14ac:dyDescent="0.3">
      <c r="A49" s="18"/>
      <c r="B49" s="20"/>
      <c r="C49" s="8" t="s">
        <v>105</v>
      </c>
      <c r="D49" s="10">
        <v>17171</v>
      </c>
      <c r="E49" s="10">
        <v>48.858399400000003</v>
      </c>
      <c r="F49" s="10">
        <v>10.9957843</v>
      </c>
      <c r="G49" s="10">
        <v>16</v>
      </c>
      <c r="H49" s="10">
        <v>128</v>
      </c>
      <c r="J49">
        <f t="shared" si="0"/>
        <v>48.858399400000003</v>
      </c>
      <c r="K49">
        <f t="shared" si="1"/>
        <v>10.9957843</v>
      </c>
      <c r="M49" t="str">
        <f t="shared" si="2"/>
        <v>48.86 (11.00)</v>
      </c>
    </row>
    <row r="50" spans="1:13" x14ac:dyDescent="0.3">
      <c r="A50" s="18"/>
      <c r="B50" s="20"/>
      <c r="C50" s="8" t="s">
        <v>106</v>
      </c>
      <c r="D50" s="10">
        <v>17171</v>
      </c>
      <c r="E50" s="10">
        <v>131.08601709999999</v>
      </c>
      <c r="F50" s="10">
        <v>22.7010091</v>
      </c>
      <c r="G50" s="10">
        <v>41</v>
      </c>
      <c r="H50" s="10">
        <v>220</v>
      </c>
      <c r="J50">
        <f t="shared" si="0"/>
        <v>131.08601709999999</v>
      </c>
      <c r="K50">
        <f t="shared" si="1"/>
        <v>22.7010091</v>
      </c>
      <c r="M50" t="str">
        <f t="shared" si="2"/>
        <v>131.09 (22.70)</v>
      </c>
    </row>
    <row r="51" spans="1:13" x14ac:dyDescent="0.3">
      <c r="A51" s="18"/>
      <c r="B51" s="20"/>
      <c r="C51" s="8" t="s">
        <v>107</v>
      </c>
      <c r="D51" s="10">
        <v>17171</v>
      </c>
      <c r="E51" s="10">
        <v>23.493448300000001</v>
      </c>
      <c r="F51" s="10">
        <v>11.840809800000001</v>
      </c>
      <c r="G51" s="10">
        <v>7</v>
      </c>
      <c r="H51" s="10">
        <v>491</v>
      </c>
      <c r="J51">
        <f t="shared" si="0"/>
        <v>23.493448300000001</v>
      </c>
      <c r="K51">
        <f t="shared" si="1"/>
        <v>11.840809800000001</v>
      </c>
      <c r="M51" t="str">
        <f t="shared" si="2"/>
        <v>23.49 (11.84)</v>
      </c>
    </row>
    <row r="52" spans="1:13" x14ac:dyDescent="0.3">
      <c r="A52" s="18"/>
      <c r="B52" s="20"/>
      <c r="C52" s="8" t="s">
        <v>108</v>
      </c>
      <c r="D52" s="10">
        <v>17171</v>
      </c>
      <c r="E52" s="10">
        <v>23.598858499999999</v>
      </c>
      <c r="F52" s="10">
        <v>18.316004</v>
      </c>
      <c r="G52" s="10">
        <v>3</v>
      </c>
      <c r="H52" s="10">
        <v>857</v>
      </c>
      <c r="J52">
        <f t="shared" si="0"/>
        <v>23.598858499999999</v>
      </c>
      <c r="K52">
        <f t="shared" si="1"/>
        <v>18.316004</v>
      </c>
      <c r="M52" t="str">
        <f t="shared" si="2"/>
        <v>23.60 (18.32)</v>
      </c>
    </row>
    <row r="53" spans="1:13" x14ac:dyDescent="0.3">
      <c r="A53" s="18"/>
      <c r="B53" s="20"/>
      <c r="C53" s="8" t="s">
        <v>109</v>
      </c>
      <c r="D53" s="10">
        <v>17171</v>
      </c>
      <c r="E53" s="10">
        <v>14.246374700000001</v>
      </c>
      <c r="F53" s="10">
        <v>1.5406112000000001</v>
      </c>
      <c r="G53" s="10">
        <v>5.7</v>
      </c>
      <c r="H53" s="10">
        <v>20.399999999999999</v>
      </c>
      <c r="J53">
        <f t="shared" si="0"/>
        <v>14.246374700000001</v>
      </c>
      <c r="K53">
        <f t="shared" si="1"/>
        <v>1.5406112000000001</v>
      </c>
      <c r="M53" t="str">
        <f t="shared" si="2"/>
        <v>14.25 (1.54)</v>
      </c>
    </row>
    <row r="54" spans="1:13" x14ac:dyDescent="0.3">
      <c r="A54" s="18"/>
      <c r="B54" s="20"/>
      <c r="C54" s="8" t="s">
        <v>110</v>
      </c>
      <c r="D54" s="10">
        <v>17171</v>
      </c>
      <c r="E54" s="10">
        <v>14.7736882</v>
      </c>
      <c r="F54" s="10">
        <v>4.6480022999999999</v>
      </c>
      <c r="G54" s="10">
        <v>4</v>
      </c>
      <c r="H54" s="10">
        <v>115</v>
      </c>
      <c r="J54">
        <f t="shared" si="0"/>
        <v>14.7736882</v>
      </c>
      <c r="K54">
        <f t="shared" si="1"/>
        <v>4.6480022999999999</v>
      </c>
      <c r="M54" t="str">
        <f t="shared" si="2"/>
        <v>14.77 (4.65)</v>
      </c>
    </row>
    <row r="55" spans="1:13" x14ac:dyDescent="0.3">
      <c r="A55" s="18"/>
      <c r="B55" s="20"/>
      <c r="C55" s="8" t="s">
        <v>111</v>
      </c>
      <c r="D55" s="10">
        <v>17171</v>
      </c>
      <c r="E55" s="10">
        <v>0.85690580000000005</v>
      </c>
      <c r="F55" s="10">
        <v>0.26413530000000002</v>
      </c>
      <c r="G55" s="10">
        <v>0.37</v>
      </c>
      <c r="H55" s="10">
        <v>10.48</v>
      </c>
      <c r="J55">
        <f t="shared" si="0"/>
        <v>0.85690580000000005</v>
      </c>
      <c r="K55">
        <f t="shared" si="1"/>
        <v>0.26413530000000002</v>
      </c>
      <c r="M55" t="str">
        <f t="shared" si="2"/>
        <v>0.86 (0.26)</v>
      </c>
    </row>
    <row r="56" spans="1:13" x14ac:dyDescent="0.3">
      <c r="A56" s="18"/>
      <c r="B56" s="20"/>
      <c r="C56" s="8" t="s">
        <v>112</v>
      </c>
      <c r="D56" s="10">
        <v>17171</v>
      </c>
      <c r="E56" s="10">
        <v>5.7817249999999998</v>
      </c>
      <c r="F56" s="10">
        <v>0.80542729999999996</v>
      </c>
      <c r="G56" s="10">
        <v>5</v>
      </c>
      <c r="H56" s="10">
        <v>9</v>
      </c>
      <c r="J56">
        <f t="shared" si="0"/>
        <v>5.7817249999999998</v>
      </c>
      <c r="K56">
        <f t="shared" si="1"/>
        <v>0.80542729999999996</v>
      </c>
      <c r="M56" t="str">
        <f t="shared" si="2"/>
        <v>5.78 (0.81)</v>
      </c>
    </row>
    <row r="57" spans="1:13" x14ac:dyDescent="0.3">
      <c r="A57" s="18"/>
      <c r="B57" s="20"/>
      <c r="C57" s="8" t="s">
        <v>113</v>
      </c>
      <c r="D57" s="10">
        <v>17171</v>
      </c>
      <c r="E57" s="10">
        <v>8.7593647000000008</v>
      </c>
      <c r="F57" s="10">
        <v>0.13118009999999999</v>
      </c>
      <c r="G57" s="10">
        <v>8.5440298000000006</v>
      </c>
      <c r="H57" s="10">
        <v>9.0007298000000002</v>
      </c>
      <c r="J57">
        <f t="shared" si="0"/>
        <v>8.7593647000000008</v>
      </c>
      <c r="K57">
        <f t="shared" si="1"/>
        <v>0.13118009999999999</v>
      </c>
      <c r="M57" t="str">
        <f t="shared" si="2"/>
        <v>8.76 (0.13)</v>
      </c>
    </row>
    <row r="58" spans="1:13" x14ac:dyDescent="0.3">
      <c r="A58" s="18"/>
      <c r="B58" s="20"/>
      <c r="C58" s="8" t="s">
        <v>114</v>
      </c>
      <c r="D58" s="10">
        <v>17171</v>
      </c>
      <c r="E58" s="10">
        <v>0.68833630000000001</v>
      </c>
      <c r="F58" s="10">
        <v>4.1054899999999998E-2</v>
      </c>
      <c r="G58" s="10">
        <v>0.40120869999999997</v>
      </c>
      <c r="H58" s="10">
        <v>1.3241700999999999</v>
      </c>
      <c r="J58">
        <f t="shared" si="0"/>
        <v>0.68833630000000001</v>
      </c>
      <c r="K58">
        <f t="shared" si="1"/>
        <v>4.1054899999999998E-2</v>
      </c>
      <c r="M58" t="str">
        <f t="shared" si="2"/>
        <v>0.69 (0.04)</v>
      </c>
    </row>
    <row r="59" spans="1:13" x14ac:dyDescent="0.3">
      <c r="A59" s="18"/>
      <c r="B59" s="20"/>
      <c r="C59" s="8" t="s">
        <v>115</v>
      </c>
      <c r="D59" s="10">
        <v>17171</v>
      </c>
      <c r="E59" s="10">
        <v>0.43240060000000002</v>
      </c>
      <c r="F59" s="10">
        <v>0.13059009999999999</v>
      </c>
      <c r="G59" s="11">
        <v>-0.25715840000000001</v>
      </c>
      <c r="H59" s="10">
        <v>1.0159880999999999</v>
      </c>
      <c r="J59">
        <f t="shared" si="0"/>
        <v>0.43240060000000002</v>
      </c>
      <c r="K59">
        <f t="shared" si="1"/>
        <v>0.13059009999999999</v>
      </c>
      <c r="M59" t="str">
        <f t="shared" si="2"/>
        <v>0.43 (0.13)</v>
      </c>
    </row>
    <row r="60" spans="1:13" ht="17.25" thickBot="1" x14ac:dyDescent="0.35">
      <c r="A60" s="18"/>
      <c r="B60" s="20"/>
      <c r="C60" s="9" t="s">
        <v>116</v>
      </c>
      <c r="D60" s="10">
        <v>17171</v>
      </c>
      <c r="E60" s="10">
        <v>36.934423700000004</v>
      </c>
      <c r="F60" s="10">
        <v>5.8065087999999996</v>
      </c>
      <c r="G60" s="10">
        <v>17.2447458</v>
      </c>
      <c r="H60" s="10">
        <v>77.268324699999994</v>
      </c>
      <c r="J60">
        <f t="shared" si="0"/>
        <v>36.934423700000004</v>
      </c>
      <c r="K60">
        <f t="shared" si="1"/>
        <v>5.8065087999999996</v>
      </c>
      <c r="M60" t="str">
        <f t="shared" si="2"/>
        <v>36.93 (5.81)</v>
      </c>
    </row>
    <row r="61" spans="1:13" x14ac:dyDescent="0.3">
      <c r="A61" s="18">
        <v>4</v>
      </c>
      <c r="B61" s="20">
        <v>17165</v>
      </c>
      <c r="C61" s="8" t="s">
        <v>98</v>
      </c>
      <c r="D61" s="10">
        <v>17165</v>
      </c>
      <c r="E61" s="10">
        <v>53.075152899999999</v>
      </c>
      <c r="F61" s="10">
        <v>14.0371694</v>
      </c>
      <c r="G61" s="10">
        <v>19</v>
      </c>
      <c r="H61" s="10">
        <v>80</v>
      </c>
      <c r="J61">
        <f t="shared" si="0"/>
        <v>53.075152899999999</v>
      </c>
      <c r="K61">
        <f t="shared" si="1"/>
        <v>14.0371694</v>
      </c>
      <c r="M61" t="str">
        <f t="shared" si="2"/>
        <v>53.08 (14.04)</v>
      </c>
    </row>
    <row r="62" spans="1:13" x14ac:dyDescent="0.3">
      <c r="A62" s="18"/>
      <c r="B62" s="20"/>
      <c r="C62" s="8" t="s">
        <v>99</v>
      </c>
      <c r="D62" s="10">
        <v>17165</v>
      </c>
      <c r="E62" s="10">
        <v>25.5305614</v>
      </c>
      <c r="F62" s="10">
        <v>3.3564257</v>
      </c>
      <c r="G62" s="10">
        <v>14.9232026</v>
      </c>
      <c r="H62" s="10">
        <v>50.898579099999999</v>
      </c>
      <c r="J62">
        <f t="shared" si="0"/>
        <v>25.5305614</v>
      </c>
      <c r="K62">
        <f t="shared" si="1"/>
        <v>3.3564257</v>
      </c>
      <c r="M62" t="str">
        <f t="shared" si="2"/>
        <v>25.53 (3.36)</v>
      </c>
    </row>
    <row r="63" spans="1:13" x14ac:dyDescent="0.3">
      <c r="A63" s="18"/>
      <c r="B63" s="20"/>
      <c r="C63" s="8" t="s">
        <v>100</v>
      </c>
      <c r="D63" s="10">
        <v>17165</v>
      </c>
      <c r="E63" s="10">
        <v>88.305348100000003</v>
      </c>
      <c r="F63" s="10">
        <v>8.7909126000000004</v>
      </c>
      <c r="G63" s="10">
        <v>52.3</v>
      </c>
      <c r="H63" s="10">
        <v>147.5</v>
      </c>
      <c r="J63">
        <f t="shared" si="0"/>
        <v>88.305348100000003</v>
      </c>
      <c r="K63">
        <f t="shared" si="1"/>
        <v>8.7909126000000004</v>
      </c>
      <c r="M63" t="str">
        <f t="shared" si="2"/>
        <v>88.31 (8.79)</v>
      </c>
    </row>
    <row r="64" spans="1:13" x14ac:dyDescent="0.3">
      <c r="A64" s="18"/>
      <c r="B64" s="20"/>
      <c r="C64" s="8" t="s">
        <v>101</v>
      </c>
      <c r="D64" s="10">
        <v>17165</v>
      </c>
      <c r="E64" s="10">
        <v>7.9466499999999995E-2</v>
      </c>
      <c r="F64" s="10">
        <v>4.1653000000000003E-3</v>
      </c>
      <c r="G64" s="10">
        <v>4.8055199999999999E-2</v>
      </c>
      <c r="H64" s="10">
        <v>0.1020525</v>
      </c>
      <c r="J64">
        <f t="shared" si="0"/>
        <v>7.9466499999999995E-2</v>
      </c>
      <c r="K64">
        <f t="shared" si="1"/>
        <v>4.1653000000000003E-3</v>
      </c>
      <c r="M64" t="str">
        <f t="shared" si="2"/>
        <v>0.08 (0.00)</v>
      </c>
    </row>
    <row r="65" spans="1:13" x14ac:dyDescent="0.3">
      <c r="A65" s="18"/>
      <c r="B65" s="20"/>
      <c r="C65" s="8" t="s">
        <v>102</v>
      </c>
      <c r="D65" s="10">
        <v>17165</v>
      </c>
      <c r="E65" s="10">
        <v>124.624381</v>
      </c>
      <c r="F65" s="10">
        <v>16.066590699999999</v>
      </c>
      <c r="G65" s="10">
        <v>77</v>
      </c>
      <c r="H65" s="10">
        <v>243</v>
      </c>
      <c r="J65">
        <f t="shared" si="0"/>
        <v>124.624381</v>
      </c>
      <c r="K65">
        <f t="shared" si="1"/>
        <v>16.066590699999999</v>
      </c>
      <c r="M65" t="str">
        <f t="shared" si="2"/>
        <v>124.62 (16.07)</v>
      </c>
    </row>
    <row r="66" spans="1:13" x14ac:dyDescent="0.3">
      <c r="A66" s="18"/>
      <c r="B66" s="20"/>
      <c r="C66" s="8" t="s">
        <v>103</v>
      </c>
      <c r="D66" s="10">
        <v>17165</v>
      </c>
      <c r="E66" s="10">
        <v>113.98712500000001</v>
      </c>
      <c r="F66" s="10">
        <v>34.374817299999997</v>
      </c>
      <c r="G66" s="10">
        <v>61</v>
      </c>
      <c r="H66" s="10">
        <v>553</v>
      </c>
      <c r="J66">
        <f t="shared" si="0"/>
        <v>113.98712500000001</v>
      </c>
      <c r="K66">
        <f t="shared" si="1"/>
        <v>34.374817299999997</v>
      </c>
      <c r="M66" t="str">
        <f t="shared" si="2"/>
        <v>113.99 (34.37)</v>
      </c>
    </row>
    <row r="67" spans="1:13" x14ac:dyDescent="0.3">
      <c r="A67" s="18"/>
      <c r="B67" s="20"/>
      <c r="C67" s="8" t="s">
        <v>104</v>
      </c>
      <c r="D67" s="10">
        <v>17165</v>
      </c>
      <c r="E67" s="10">
        <v>203.03344010000001</v>
      </c>
      <c r="F67" s="10">
        <v>40.4102727</v>
      </c>
      <c r="G67" s="10">
        <v>75</v>
      </c>
      <c r="H67" s="10">
        <v>554</v>
      </c>
      <c r="J67">
        <f t="shared" si="0"/>
        <v>203.03344010000001</v>
      </c>
      <c r="K67">
        <f t="shared" si="1"/>
        <v>40.4102727</v>
      </c>
      <c r="M67" t="str">
        <f t="shared" si="2"/>
        <v>203.03 (40.41)</v>
      </c>
    </row>
    <row r="68" spans="1:13" ht="25.5" x14ac:dyDescent="0.3">
      <c r="A68" s="18"/>
      <c r="B68" s="20"/>
      <c r="C68" s="8" t="s">
        <v>105</v>
      </c>
      <c r="D68" s="10">
        <v>17165</v>
      </c>
      <c r="E68" s="10">
        <v>43.4178201</v>
      </c>
      <c r="F68" s="10">
        <v>9.7609984999999995</v>
      </c>
      <c r="G68" s="10">
        <v>8</v>
      </c>
      <c r="H68" s="10">
        <v>126.76</v>
      </c>
      <c r="J68">
        <f t="shared" si="0"/>
        <v>43.4178201</v>
      </c>
      <c r="K68">
        <f t="shared" si="1"/>
        <v>9.7609984999999995</v>
      </c>
      <c r="M68" t="str">
        <f t="shared" si="2"/>
        <v>43.42 (9.76)</v>
      </c>
    </row>
    <row r="69" spans="1:13" x14ac:dyDescent="0.3">
      <c r="A69" s="18"/>
      <c r="B69" s="20"/>
      <c r="C69" s="8" t="s">
        <v>106</v>
      </c>
      <c r="D69" s="10">
        <v>17165</v>
      </c>
      <c r="E69" s="10">
        <v>255.7902709</v>
      </c>
      <c r="F69" s="10">
        <v>151.77050779999999</v>
      </c>
      <c r="G69" s="10">
        <v>57</v>
      </c>
      <c r="H69" s="10">
        <v>2774</v>
      </c>
      <c r="J69">
        <f t="shared" ref="J69:J79" si="3">E69</f>
        <v>255.7902709</v>
      </c>
      <c r="K69">
        <f t="shared" ref="K69:K79" si="4">F69</f>
        <v>151.77050779999999</v>
      </c>
      <c r="M69" t="str">
        <f t="shared" ref="M69:M79" si="5">TEXT(J69,"0.00")&amp;" ("&amp;TEXT(K69,"0.00")&amp;")"</f>
        <v>255.79 (151.77)</v>
      </c>
    </row>
    <row r="70" spans="1:13" x14ac:dyDescent="0.3">
      <c r="A70" s="18"/>
      <c r="B70" s="20"/>
      <c r="C70" s="8" t="s">
        <v>107</v>
      </c>
      <c r="D70" s="10">
        <v>17165</v>
      </c>
      <c r="E70" s="10">
        <v>27.139469900000002</v>
      </c>
      <c r="F70" s="10">
        <v>19.061519700000002</v>
      </c>
      <c r="G70" s="10">
        <v>6</v>
      </c>
      <c r="H70" s="10">
        <v>927</v>
      </c>
      <c r="J70">
        <f t="shared" si="3"/>
        <v>27.139469900000002</v>
      </c>
      <c r="K70">
        <f t="shared" si="4"/>
        <v>19.061519700000002</v>
      </c>
      <c r="M70" t="str">
        <f t="shared" si="5"/>
        <v>27.14 (19.06)</v>
      </c>
    </row>
    <row r="71" spans="1:13" x14ac:dyDescent="0.3">
      <c r="A71" s="18"/>
      <c r="B71" s="20"/>
      <c r="C71" s="8" t="s">
        <v>108</v>
      </c>
      <c r="D71" s="10">
        <v>17165</v>
      </c>
      <c r="E71" s="10">
        <v>30.144363500000001</v>
      </c>
      <c r="F71" s="10">
        <v>22.354347799999999</v>
      </c>
      <c r="G71" s="10">
        <v>4</v>
      </c>
      <c r="H71" s="10">
        <v>402</v>
      </c>
      <c r="J71">
        <f t="shared" si="3"/>
        <v>30.144363500000001</v>
      </c>
      <c r="K71">
        <f t="shared" si="4"/>
        <v>22.354347799999999</v>
      </c>
      <c r="M71" t="str">
        <f t="shared" si="5"/>
        <v>30.14 (22.35)</v>
      </c>
    </row>
    <row r="72" spans="1:13" x14ac:dyDescent="0.3">
      <c r="A72" s="18"/>
      <c r="B72" s="20"/>
      <c r="C72" s="8" t="s">
        <v>109</v>
      </c>
      <c r="D72" s="10">
        <v>17165</v>
      </c>
      <c r="E72" s="10">
        <v>14.708727100000001</v>
      </c>
      <c r="F72" s="10">
        <v>1.4923805000000001</v>
      </c>
      <c r="G72" s="10">
        <v>6.2</v>
      </c>
      <c r="H72" s="10">
        <v>20.399999999999999</v>
      </c>
      <c r="J72">
        <f t="shared" si="3"/>
        <v>14.708727100000001</v>
      </c>
      <c r="K72">
        <f t="shared" si="4"/>
        <v>1.4923805000000001</v>
      </c>
      <c r="M72" t="str">
        <f t="shared" si="5"/>
        <v>14.71 (1.49)</v>
      </c>
    </row>
    <row r="73" spans="1:13" x14ac:dyDescent="0.3">
      <c r="A73" s="18"/>
      <c r="B73" s="20"/>
      <c r="C73" s="8" t="s">
        <v>110</v>
      </c>
      <c r="D73" s="10">
        <v>17165</v>
      </c>
      <c r="E73" s="10">
        <v>14.812950799999999</v>
      </c>
      <c r="F73" s="10">
        <v>4.3629236000000002</v>
      </c>
      <c r="G73" s="10">
        <v>3</v>
      </c>
      <c r="H73" s="10">
        <v>71</v>
      </c>
      <c r="J73">
        <f t="shared" si="3"/>
        <v>14.812950799999999</v>
      </c>
      <c r="K73">
        <f t="shared" si="4"/>
        <v>4.3629236000000002</v>
      </c>
      <c r="M73" t="str">
        <f t="shared" si="5"/>
        <v>14.81 (4.36)</v>
      </c>
    </row>
    <row r="74" spans="1:13" x14ac:dyDescent="0.3">
      <c r="A74" s="18"/>
      <c r="B74" s="20"/>
      <c r="C74" s="8" t="s">
        <v>111</v>
      </c>
      <c r="D74" s="10">
        <v>17165</v>
      </c>
      <c r="E74" s="10">
        <v>0.88507659999999999</v>
      </c>
      <c r="F74" s="10">
        <v>0.22994890000000001</v>
      </c>
      <c r="G74" s="10">
        <v>0.2</v>
      </c>
      <c r="H74" s="10">
        <v>8.35</v>
      </c>
      <c r="J74">
        <f t="shared" si="3"/>
        <v>0.88507659999999999</v>
      </c>
      <c r="K74">
        <f t="shared" si="4"/>
        <v>0.22994890000000001</v>
      </c>
      <c r="M74" t="str">
        <f t="shared" si="5"/>
        <v>0.89 (0.23)</v>
      </c>
    </row>
    <row r="75" spans="1:13" x14ac:dyDescent="0.3">
      <c r="A75" s="18"/>
      <c r="B75" s="20"/>
      <c r="C75" s="8" t="s">
        <v>112</v>
      </c>
      <c r="D75" s="10">
        <v>17165</v>
      </c>
      <c r="E75" s="10">
        <v>5.6550539000000004</v>
      </c>
      <c r="F75" s="10">
        <v>0.76476279999999996</v>
      </c>
      <c r="G75" s="10">
        <v>5</v>
      </c>
      <c r="H75" s="10">
        <v>9</v>
      </c>
      <c r="J75">
        <f t="shared" si="3"/>
        <v>5.6550539000000004</v>
      </c>
      <c r="K75">
        <f t="shared" si="4"/>
        <v>0.76476279999999996</v>
      </c>
      <c r="M75" t="str">
        <f t="shared" si="5"/>
        <v>5.66 (0.76)</v>
      </c>
    </row>
    <row r="76" spans="1:13" x14ac:dyDescent="0.3">
      <c r="A76" s="18"/>
      <c r="B76" s="20"/>
      <c r="C76" s="8" t="s">
        <v>113</v>
      </c>
      <c r="D76" s="10">
        <v>17165</v>
      </c>
      <c r="E76" s="10">
        <v>9.4574818999999994</v>
      </c>
      <c r="F76" s="10">
        <v>0.42151339999999998</v>
      </c>
      <c r="G76" s="10">
        <v>9.0010996999999993</v>
      </c>
      <c r="H76" s="10">
        <v>12.7290689</v>
      </c>
      <c r="J76">
        <f t="shared" si="3"/>
        <v>9.4574818999999994</v>
      </c>
      <c r="K76">
        <f t="shared" si="4"/>
        <v>0.42151339999999998</v>
      </c>
      <c r="M76" t="str">
        <f t="shared" si="5"/>
        <v>9.46 (0.42)</v>
      </c>
    </row>
    <row r="77" spans="1:13" x14ac:dyDescent="0.3">
      <c r="A77" s="18"/>
      <c r="B77" s="20"/>
      <c r="C77" s="8" t="s">
        <v>114</v>
      </c>
      <c r="D77" s="10">
        <v>17165</v>
      </c>
      <c r="E77" s="10">
        <v>0.75162799999999996</v>
      </c>
      <c r="F77" s="10">
        <v>5.2807300000000001E-2</v>
      </c>
      <c r="G77" s="10">
        <v>0.45287640000000001</v>
      </c>
      <c r="H77" s="10">
        <v>1.0740016999999999</v>
      </c>
      <c r="J77">
        <f t="shared" si="3"/>
        <v>0.75162799999999996</v>
      </c>
      <c r="K77">
        <f t="shared" si="4"/>
        <v>5.2807300000000001E-2</v>
      </c>
      <c r="M77" t="str">
        <f t="shared" si="5"/>
        <v>0.75 (0.05)</v>
      </c>
    </row>
    <row r="78" spans="1:13" x14ac:dyDescent="0.3">
      <c r="A78" s="18"/>
      <c r="B78" s="20"/>
      <c r="C78" s="8" t="s">
        <v>115</v>
      </c>
      <c r="D78" s="10">
        <v>17165</v>
      </c>
      <c r="E78" s="10">
        <v>0.73833890000000002</v>
      </c>
      <c r="F78" s="10">
        <v>0.21989639999999999</v>
      </c>
      <c r="G78" s="11">
        <v>-6.8576399999999996E-2</v>
      </c>
      <c r="H78" s="10">
        <v>2.1147776999999999</v>
      </c>
      <c r="J78">
        <f t="shared" si="3"/>
        <v>0.73833890000000002</v>
      </c>
      <c r="K78">
        <f t="shared" si="4"/>
        <v>0.21989639999999999</v>
      </c>
      <c r="M78" t="str">
        <f t="shared" si="5"/>
        <v>0.74 (0.22)</v>
      </c>
    </row>
    <row r="79" spans="1:13" x14ac:dyDescent="0.3">
      <c r="A79" s="18"/>
      <c r="B79" s="20"/>
      <c r="C79" s="8" t="s">
        <v>116</v>
      </c>
      <c r="D79" s="10">
        <v>17165</v>
      </c>
      <c r="E79" s="10">
        <v>42.085973199999998</v>
      </c>
      <c r="F79" s="10">
        <v>6.7252974999999999</v>
      </c>
      <c r="G79" s="10">
        <v>22.639952900000001</v>
      </c>
      <c r="H79" s="10">
        <v>86.341505499999997</v>
      </c>
      <c r="J79">
        <f t="shared" si="3"/>
        <v>42.085973199999998</v>
      </c>
      <c r="K79">
        <f t="shared" si="4"/>
        <v>6.7252974999999999</v>
      </c>
      <c r="M79" t="str">
        <f t="shared" si="5"/>
        <v>42.09 (6.73)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784DD-D8BC-4EAE-82C8-41695A2831FA}">
  <dimension ref="A1:M79"/>
  <sheetViews>
    <sheetView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ht="33" x14ac:dyDescent="0.3">
      <c r="A3" s="4" t="s">
        <v>41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18">
        <v>1</v>
      </c>
      <c r="B4" s="20">
        <v>17159</v>
      </c>
      <c r="C4" s="8" t="s">
        <v>98</v>
      </c>
      <c r="D4" s="10">
        <v>17159</v>
      </c>
      <c r="E4" s="10">
        <v>38.708840799999997</v>
      </c>
      <c r="F4" s="10">
        <v>13.691762199999999</v>
      </c>
      <c r="G4" s="10">
        <v>19</v>
      </c>
      <c r="H4" s="10">
        <v>80</v>
      </c>
      <c r="J4">
        <f>E4</f>
        <v>38.708840799999997</v>
      </c>
      <c r="K4">
        <f>F4</f>
        <v>13.691762199999999</v>
      </c>
      <c r="M4" t="str">
        <f>TEXT(J4,"0.00")&amp;" ("&amp;TEXT(K4,"0.00")&amp;")"</f>
        <v>38.71 (13.69)</v>
      </c>
    </row>
    <row r="5" spans="1:13" x14ac:dyDescent="0.3">
      <c r="A5" s="18"/>
      <c r="B5" s="20"/>
      <c r="C5" s="8" t="s">
        <v>99</v>
      </c>
      <c r="D5" s="10">
        <v>17159</v>
      </c>
      <c r="E5" s="10">
        <v>22.056748800000001</v>
      </c>
      <c r="F5" s="10">
        <v>3.0012101000000002</v>
      </c>
      <c r="G5" s="10">
        <v>13.512496799999999</v>
      </c>
      <c r="H5" s="10">
        <v>62.640542099999998</v>
      </c>
      <c r="J5">
        <f t="shared" ref="J5:K68" si="0">E5</f>
        <v>22.056748800000001</v>
      </c>
      <c r="K5">
        <f t="shared" si="0"/>
        <v>3.0012101000000002</v>
      </c>
      <c r="M5" t="str">
        <f t="shared" ref="M5:M68" si="1">TEXT(J5,"0.00")&amp;" ("&amp;TEXT(K5,"0.00")&amp;")"</f>
        <v>22.06 (3.00)</v>
      </c>
    </row>
    <row r="6" spans="1:13" x14ac:dyDescent="0.3">
      <c r="A6" s="18"/>
      <c r="B6" s="20"/>
      <c r="C6" s="8" t="s">
        <v>100</v>
      </c>
      <c r="D6" s="10">
        <v>17159</v>
      </c>
      <c r="E6" s="10">
        <v>73.272492600000007</v>
      </c>
      <c r="F6" s="10">
        <v>7.4921321000000001</v>
      </c>
      <c r="G6" s="10">
        <v>36.200000000000003</v>
      </c>
      <c r="H6" s="10">
        <v>139.19999999999999</v>
      </c>
      <c r="J6">
        <f t="shared" si="0"/>
        <v>73.272492600000007</v>
      </c>
      <c r="K6">
        <f t="shared" si="0"/>
        <v>7.4921321000000001</v>
      </c>
      <c r="M6" t="str">
        <f t="shared" si="1"/>
        <v>73.27 (7.49)</v>
      </c>
    </row>
    <row r="7" spans="1:13" x14ac:dyDescent="0.3">
      <c r="A7" s="18"/>
      <c r="B7" s="20"/>
      <c r="C7" s="8" t="s">
        <v>101</v>
      </c>
      <c r="D7" s="10">
        <v>17159</v>
      </c>
      <c r="E7" s="10">
        <v>7.3095400000000005E-2</v>
      </c>
      <c r="F7" s="10">
        <v>3.1770000000000001E-3</v>
      </c>
      <c r="G7" s="10">
        <v>4.5616799999999999E-2</v>
      </c>
      <c r="H7" s="10">
        <v>8.6418499999999995E-2</v>
      </c>
      <c r="J7">
        <f t="shared" si="0"/>
        <v>7.3095400000000005E-2</v>
      </c>
      <c r="K7">
        <f t="shared" si="0"/>
        <v>3.1770000000000001E-3</v>
      </c>
      <c r="M7" t="str">
        <f t="shared" si="1"/>
        <v>0.07 (0.00)</v>
      </c>
    </row>
    <row r="8" spans="1:13" x14ac:dyDescent="0.3">
      <c r="A8" s="18"/>
      <c r="B8" s="20"/>
      <c r="C8" s="8" t="s">
        <v>102</v>
      </c>
      <c r="D8" s="10">
        <v>17159</v>
      </c>
      <c r="E8" s="10">
        <v>109.80907980000001</v>
      </c>
      <c r="F8" s="10">
        <v>13.375455799999999</v>
      </c>
      <c r="G8" s="10">
        <v>75</v>
      </c>
      <c r="H8" s="10">
        <v>217</v>
      </c>
      <c r="J8">
        <f t="shared" si="0"/>
        <v>109.80907980000001</v>
      </c>
      <c r="K8">
        <f t="shared" si="0"/>
        <v>13.375455799999999</v>
      </c>
      <c r="M8" t="str">
        <f t="shared" si="1"/>
        <v>109.81 (13.38)</v>
      </c>
    </row>
    <row r="9" spans="1:13" x14ac:dyDescent="0.3">
      <c r="A9" s="18"/>
      <c r="B9" s="20"/>
      <c r="C9" s="8" t="s">
        <v>103</v>
      </c>
      <c r="D9" s="10">
        <v>17159</v>
      </c>
      <c r="E9" s="10">
        <v>89.205956099999995</v>
      </c>
      <c r="F9" s="10">
        <v>8.1436147000000005</v>
      </c>
      <c r="G9" s="10">
        <v>40</v>
      </c>
      <c r="H9" s="10">
        <v>243</v>
      </c>
      <c r="J9">
        <f t="shared" si="0"/>
        <v>89.205956099999995</v>
      </c>
      <c r="K9">
        <f t="shared" si="0"/>
        <v>8.1436147000000005</v>
      </c>
      <c r="M9" t="str">
        <f t="shared" si="1"/>
        <v>89.21 (8.14)</v>
      </c>
    </row>
    <row r="10" spans="1:13" x14ac:dyDescent="0.3">
      <c r="A10" s="18"/>
      <c r="B10" s="20"/>
      <c r="C10" s="8" t="s">
        <v>104</v>
      </c>
      <c r="D10" s="10">
        <v>17159</v>
      </c>
      <c r="E10" s="10">
        <v>178.70033219999999</v>
      </c>
      <c r="F10" s="10">
        <v>31.380645399999999</v>
      </c>
      <c r="G10" s="10">
        <v>71</v>
      </c>
      <c r="H10" s="10">
        <v>457</v>
      </c>
      <c r="J10">
        <f t="shared" si="0"/>
        <v>178.70033219999999</v>
      </c>
      <c r="K10">
        <f t="shared" si="0"/>
        <v>31.380645399999999</v>
      </c>
      <c r="M10" t="str">
        <f t="shared" si="1"/>
        <v>178.70 (31.38)</v>
      </c>
    </row>
    <row r="11" spans="1:13" ht="25.5" x14ac:dyDescent="0.3">
      <c r="A11" s="18"/>
      <c r="B11" s="20"/>
      <c r="C11" s="8" t="s">
        <v>105</v>
      </c>
      <c r="D11" s="10">
        <v>17159</v>
      </c>
      <c r="E11" s="10">
        <v>58.6070785</v>
      </c>
      <c r="F11" s="10">
        <v>12.634667500000001</v>
      </c>
      <c r="G11" s="10">
        <v>17.027999999999999</v>
      </c>
      <c r="H11" s="10">
        <v>134</v>
      </c>
      <c r="J11">
        <f t="shared" si="0"/>
        <v>58.6070785</v>
      </c>
      <c r="K11">
        <f t="shared" si="0"/>
        <v>12.634667500000001</v>
      </c>
      <c r="M11" t="str">
        <f t="shared" si="1"/>
        <v>58.61 (12.63)</v>
      </c>
    </row>
    <row r="12" spans="1:13" x14ac:dyDescent="0.3">
      <c r="A12" s="18"/>
      <c r="B12" s="20"/>
      <c r="C12" s="8" t="s">
        <v>106</v>
      </c>
      <c r="D12" s="10">
        <v>17159</v>
      </c>
      <c r="E12" s="10">
        <v>64.223439600000006</v>
      </c>
      <c r="F12" s="10">
        <v>22.455158399999998</v>
      </c>
      <c r="G12" s="10">
        <v>14</v>
      </c>
      <c r="H12" s="10">
        <v>250</v>
      </c>
      <c r="J12">
        <f t="shared" si="0"/>
        <v>64.223439600000006</v>
      </c>
      <c r="K12">
        <f t="shared" si="0"/>
        <v>22.455158399999998</v>
      </c>
      <c r="M12" t="str">
        <f t="shared" si="1"/>
        <v>64.22 (22.46)</v>
      </c>
    </row>
    <row r="13" spans="1:13" x14ac:dyDescent="0.3">
      <c r="A13" s="18"/>
      <c r="B13" s="20"/>
      <c r="C13" s="8" t="s">
        <v>107</v>
      </c>
      <c r="D13" s="10">
        <v>17159</v>
      </c>
      <c r="E13" s="10">
        <v>19.795442600000001</v>
      </c>
      <c r="F13" s="10">
        <v>11.110902299999999</v>
      </c>
      <c r="G13" s="10">
        <v>7</v>
      </c>
      <c r="H13" s="10">
        <v>430</v>
      </c>
      <c r="J13">
        <f t="shared" si="0"/>
        <v>19.795442600000001</v>
      </c>
      <c r="K13">
        <f t="shared" si="0"/>
        <v>11.110902299999999</v>
      </c>
      <c r="M13" t="str">
        <f t="shared" si="1"/>
        <v>19.80 (11.11)</v>
      </c>
    </row>
    <row r="14" spans="1:13" x14ac:dyDescent="0.3">
      <c r="A14" s="18"/>
      <c r="B14" s="20"/>
      <c r="C14" s="8" t="s">
        <v>108</v>
      </c>
      <c r="D14" s="10">
        <v>17159</v>
      </c>
      <c r="E14" s="10">
        <v>16.1296696</v>
      </c>
      <c r="F14" s="10">
        <v>14.542621799999999</v>
      </c>
      <c r="G14" s="10">
        <v>3</v>
      </c>
      <c r="H14" s="10">
        <v>768</v>
      </c>
      <c r="J14">
        <f t="shared" si="0"/>
        <v>16.1296696</v>
      </c>
      <c r="K14">
        <f t="shared" si="0"/>
        <v>14.542621799999999</v>
      </c>
      <c r="M14" t="str">
        <f t="shared" si="1"/>
        <v>16.13 (14.54)</v>
      </c>
    </row>
    <row r="15" spans="1:13" x14ac:dyDescent="0.3">
      <c r="A15" s="18"/>
      <c r="B15" s="20"/>
      <c r="C15" s="8" t="s">
        <v>109</v>
      </c>
      <c r="D15" s="10">
        <v>17159</v>
      </c>
      <c r="E15" s="10">
        <v>13.507080800000001</v>
      </c>
      <c r="F15" s="10">
        <v>1.4879602000000001</v>
      </c>
      <c r="G15" s="10">
        <v>5.2</v>
      </c>
      <c r="H15" s="10">
        <v>19</v>
      </c>
      <c r="J15">
        <f t="shared" si="0"/>
        <v>13.507080800000001</v>
      </c>
      <c r="K15">
        <f t="shared" si="0"/>
        <v>1.4879602000000001</v>
      </c>
      <c r="M15" t="str">
        <f t="shared" si="1"/>
        <v>13.51 (1.49)</v>
      </c>
    </row>
    <row r="16" spans="1:13" x14ac:dyDescent="0.3">
      <c r="A16" s="18"/>
      <c r="B16" s="20"/>
      <c r="C16" s="8" t="s">
        <v>110</v>
      </c>
      <c r="D16" s="10">
        <v>17159</v>
      </c>
      <c r="E16" s="10">
        <v>13.4137129</v>
      </c>
      <c r="F16" s="10">
        <v>4.0464036999999999</v>
      </c>
      <c r="G16" s="10">
        <v>2</v>
      </c>
      <c r="H16" s="10">
        <v>140</v>
      </c>
      <c r="J16">
        <f t="shared" si="0"/>
        <v>13.4137129</v>
      </c>
      <c r="K16">
        <f t="shared" si="0"/>
        <v>4.0464036999999999</v>
      </c>
      <c r="M16" t="str">
        <f t="shared" si="1"/>
        <v>13.41 (4.05)</v>
      </c>
    </row>
    <row r="17" spans="1:13" x14ac:dyDescent="0.3">
      <c r="A17" s="18"/>
      <c r="B17" s="20"/>
      <c r="C17" s="8" t="s">
        <v>111</v>
      </c>
      <c r="D17" s="10">
        <v>17159</v>
      </c>
      <c r="E17" s="10">
        <v>0.77936530000000004</v>
      </c>
      <c r="F17" s="10">
        <v>0.20192189999999999</v>
      </c>
      <c r="G17" s="10">
        <v>0.36</v>
      </c>
      <c r="H17" s="10">
        <v>14.38</v>
      </c>
      <c r="J17">
        <f t="shared" si="0"/>
        <v>0.77936530000000004</v>
      </c>
      <c r="K17">
        <f t="shared" si="0"/>
        <v>0.20192189999999999</v>
      </c>
      <c r="M17" t="str">
        <f t="shared" si="1"/>
        <v>0.78 (0.20)</v>
      </c>
    </row>
    <row r="18" spans="1:13" x14ac:dyDescent="0.3">
      <c r="A18" s="18"/>
      <c r="B18" s="20"/>
      <c r="C18" s="8" t="s">
        <v>112</v>
      </c>
      <c r="D18" s="10">
        <v>17159</v>
      </c>
      <c r="E18" s="10">
        <v>5.8093712000000002</v>
      </c>
      <c r="F18" s="10">
        <v>0.79173720000000003</v>
      </c>
      <c r="G18" s="10">
        <v>5</v>
      </c>
      <c r="H18" s="10">
        <v>9</v>
      </c>
      <c r="J18">
        <f t="shared" si="0"/>
        <v>5.8093712000000002</v>
      </c>
      <c r="K18">
        <f t="shared" si="0"/>
        <v>0.79173720000000003</v>
      </c>
      <c r="M18" t="str">
        <f t="shared" si="1"/>
        <v>5.81 (0.79)</v>
      </c>
    </row>
    <row r="19" spans="1:13" x14ac:dyDescent="0.3">
      <c r="A19" s="18"/>
      <c r="B19" s="20"/>
      <c r="C19" s="8" t="s">
        <v>113</v>
      </c>
      <c r="D19" s="10">
        <v>17159</v>
      </c>
      <c r="E19" s="10">
        <v>7.8992139999999997</v>
      </c>
      <c r="F19" s="10">
        <v>0.35195019999999999</v>
      </c>
      <c r="G19" s="10">
        <v>6.4441312999999996</v>
      </c>
      <c r="H19" s="10">
        <v>9.4240797999999995</v>
      </c>
      <c r="J19">
        <f t="shared" si="0"/>
        <v>7.8992139999999997</v>
      </c>
      <c r="K19">
        <f t="shared" si="0"/>
        <v>0.35195019999999999</v>
      </c>
      <c r="M19" t="str">
        <f t="shared" si="1"/>
        <v>7.90 (0.35)</v>
      </c>
    </row>
    <row r="20" spans="1:13" x14ac:dyDescent="0.3">
      <c r="A20" s="18"/>
      <c r="B20" s="20"/>
      <c r="C20" s="8" t="s">
        <v>114</v>
      </c>
      <c r="D20" s="10">
        <v>17159</v>
      </c>
      <c r="E20" s="10">
        <v>0.57702719999999996</v>
      </c>
      <c r="F20" s="10">
        <v>2.9030299999999998E-2</v>
      </c>
      <c r="G20" s="10">
        <v>0.40120869999999997</v>
      </c>
      <c r="H20" s="10">
        <v>0.6153902</v>
      </c>
      <c r="J20">
        <f t="shared" si="0"/>
        <v>0.57702719999999996</v>
      </c>
      <c r="K20">
        <f t="shared" si="0"/>
        <v>2.9030299999999998E-2</v>
      </c>
      <c r="M20" t="str">
        <f t="shared" si="1"/>
        <v>0.58 (0.03)</v>
      </c>
    </row>
    <row r="21" spans="1:13" x14ac:dyDescent="0.3">
      <c r="A21" s="18"/>
      <c r="B21" s="20"/>
      <c r="C21" s="8" t="s">
        <v>115</v>
      </c>
      <c r="D21" s="10">
        <v>17159</v>
      </c>
      <c r="E21" s="10">
        <v>2.4851000000000002E-2</v>
      </c>
      <c r="F21" s="10">
        <v>0.18941440000000001</v>
      </c>
      <c r="G21" s="11">
        <v>-0.69650619999999996</v>
      </c>
      <c r="H21" s="10">
        <v>0.75587490000000002</v>
      </c>
      <c r="J21">
        <f t="shared" si="0"/>
        <v>2.4851000000000002E-2</v>
      </c>
      <c r="K21">
        <f t="shared" si="0"/>
        <v>0.18941440000000001</v>
      </c>
      <c r="M21" t="str">
        <f t="shared" si="1"/>
        <v>0.02 (0.19)</v>
      </c>
    </row>
    <row r="22" spans="1:13" ht="17.25" thickBot="1" x14ac:dyDescent="0.35">
      <c r="A22" s="18"/>
      <c r="B22" s="20"/>
      <c r="C22" s="9" t="s">
        <v>116</v>
      </c>
      <c r="D22" s="10">
        <v>17159</v>
      </c>
      <c r="E22" s="10">
        <v>30.043285300000001</v>
      </c>
      <c r="F22" s="10">
        <v>4.9746113999999997</v>
      </c>
      <c r="G22" s="10">
        <v>15.6032782</v>
      </c>
      <c r="H22" s="10">
        <v>93.063441699999998</v>
      </c>
      <c r="J22">
        <f t="shared" si="0"/>
        <v>30.043285300000001</v>
      </c>
      <c r="K22">
        <f t="shared" si="0"/>
        <v>4.9746113999999997</v>
      </c>
      <c r="M22" t="str">
        <f t="shared" si="1"/>
        <v>30.04 (4.97)</v>
      </c>
    </row>
    <row r="23" spans="1:13" x14ac:dyDescent="0.3">
      <c r="A23" s="18">
        <v>2</v>
      </c>
      <c r="B23" s="20">
        <v>17158</v>
      </c>
      <c r="C23" s="8" t="s">
        <v>98</v>
      </c>
      <c r="D23" s="10">
        <v>17158</v>
      </c>
      <c r="E23" s="10">
        <v>47.286105599999999</v>
      </c>
      <c r="F23" s="10">
        <v>15.1480666</v>
      </c>
      <c r="G23" s="10">
        <v>19</v>
      </c>
      <c r="H23" s="10">
        <v>80</v>
      </c>
      <c r="J23">
        <f t="shared" si="0"/>
        <v>47.286105599999999</v>
      </c>
      <c r="K23">
        <f t="shared" si="0"/>
        <v>15.1480666</v>
      </c>
      <c r="M23" t="str">
        <f t="shared" si="1"/>
        <v>47.29 (15.15)</v>
      </c>
    </row>
    <row r="24" spans="1:13" x14ac:dyDescent="0.3">
      <c r="A24" s="18"/>
      <c r="B24" s="20"/>
      <c r="C24" s="8" t="s">
        <v>99</v>
      </c>
      <c r="D24" s="10">
        <v>17158</v>
      </c>
      <c r="E24" s="10">
        <v>23.543082800000001</v>
      </c>
      <c r="F24" s="10">
        <v>3.3861289000000001</v>
      </c>
      <c r="G24" s="10">
        <v>13.173742799999999</v>
      </c>
      <c r="H24" s="10">
        <v>45.934737699999999</v>
      </c>
      <c r="J24">
        <f t="shared" si="0"/>
        <v>23.543082800000001</v>
      </c>
      <c r="K24">
        <f t="shared" si="0"/>
        <v>3.3861289000000001</v>
      </c>
      <c r="M24" t="str">
        <f t="shared" si="1"/>
        <v>23.54 (3.39)</v>
      </c>
    </row>
    <row r="25" spans="1:13" x14ac:dyDescent="0.3">
      <c r="A25" s="18"/>
      <c r="B25" s="20"/>
      <c r="C25" s="8" t="s">
        <v>100</v>
      </c>
      <c r="D25" s="10">
        <v>17158</v>
      </c>
      <c r="E25" s="10">
        <v>80.408567399999995</v>
      </c>
      <c r="F25" s="10">
        <v>8.2164269999999995</v>
      </c>
      <c r="G25" s="10">
        <v>51.1</v>
      </c>
      <c r="H25" s="10">
        <v>137.1</v>
      </c>
      <c r="J25">
        <f t="shared" si="0"/>
        <v>80.408567399999995</v>
      </c>
      <c r="K25">
        <f t="shared" si="0"/>
        <v>8.2164269999999995</v>
      </c>
      <c r="M25" t="str">
        <f t="shared" si="1"/>
        <v>80.41 (8.22)</v>
      </c>
    </row>
    <row r="26" spans="1:13" x14ac:dyDescent="0.3">
      <c r="A26" s="18"/>
      <c r="B26" s="20"/>
      <c r="C26" s="8" t="s">
        <v>101</v>
      </c>
      <c r="D26" s="10">
        <v>17158</v>
      </c>
      <c r="E26" s="10">
        <v>7.6701400000000003E-2</v>
      </c>
      <c r="F26" s="10">
        <v>2.9513999999999999E-3</v>
      </c>
      <c r="G26" s="10">
        <v>6.1054499999999998E-2</v>
      </c>
      <c r="H26" s="10">
        <v>9.0812699999999996E-2</v>
      </c>
      <c r="J26">
        <f t="shared" si="0"/>
        <v>7.6701400000000003E-2</v>
      </c>
      <c r="K26">
        <f t="shared" si="0"/>
        <v>2.9513999999999999E-3</v>
      </c>
      <c r="M26" t="str">
        <f t="shared" si="1"/>
        <v>0.08 (0.00)</v>
      </c>
    </row>
    <row r="27" spans="1:13" x14ac:dyDescent="0.3">
      <c r="A27" s="18"/>
      <c r="B27" s="20"/>
      <c r="C27" s="8" t="s">
        <v>102</v>
      </c>
      <c r="D27" s="10">
        <v>17158</v>
      </c>
      <c r="E27" s="10">
        <v>116.60785060000001</v>
      </c>
      <c r="F27" s="10">
        <v>15.7389115</v>
      </c>
      <c r="G27" s="10">
        <v>76</v>
      </c>
      <c r="H27" s="10">
        <v>232</v>
      </c>
      <c r="J27">
        <f t="shared" si="0"/>
        <v>116.60785060000001</v>
      </c>
      <c r="K27">
        <f t="shared" si="0"/>
        <v>15.7389115</v>
      </c>
      <c r="M27" t="str">
        <f t="shared" si="1"/>
        <v>116.61 (15.74)</v>
      </c>
    </row>
    <row r="28" spans="1:13" x14ac:dyDescent="0.3">
      <c r="A28" s="18"/>
      <c r="B28" s="20"/>
      <c r="C28" s="8" t="s">
        <v>103</v>
      </c>
      <c r="D28" s="10">
        <v>17158</v>
      </c>
      <c r="E28" s="10">
        <v>94.365310600000001</v>
      </c>
      <c r="F28" s="10">
        <v>11.246687400000001</v>
      </c>
      <c r="G28" s="10">
        <v>44</v>
      </c>
      <c r="H28" s="10">
        <v>306</v>
      </c>
      <c r="J28">
        <f t="shared" si="0"/>
        <v>94.365310600000001</v>
      </c>
      <c r="K28">
        <f t="shared" si="0"/>
        <v>11.246687400000001</v>
      </c>
      <c r="M28" t="str">
        <f t="shared" si="1"/>
        <v>94.37 (11.25)</v>
      </c>
    </row>
    <row r="29" spans="1:13" x14ac:dyDescent="0.3">
      <c r="A29" s="18"/>
      <c r="B29" s="20"/>
      <c r="C29" s="8" t="s">
        <v>104</v>
      </c>
      <c r="D29" s="10">
        <v>17158</v>
      </c>
      <c r="E29" s="10">
        <v>188.5322299</v>
      </c>
      <c r="F29" s="10">
        <v>34.214891999999999</v>
      </c>
      <c r="G29" s="10">
        <v>66</v>
      </c>
      <c r="H29" s="10">
        <v>374</v>
      </c>
      <c r="J29">
        <f t="shared" si="0"/>
        <v>188.5322299</v>
      </c>
      <c r="K29">
        <f t="shared" si="0"/>
        <v>34.214891999999999</v>
      </c>
      <c r="M29" t="str">
        <f t="shared" si="1"/>
        <v>188.53 (34.21)</v>
      </c>
    </row>
    <row r="30" spans="1:13" ht="25.5" x14ac:dyDescent="0.3">
      <c r="A30" s="18"/>
      <c r="B30" s="20"/>
      <c r="C30" s="8" t="s">
        <v>105</v>
      </c>
      <c r="D30" s="10">
        <v>17158</v>
      </c>
      <c r="E30" s="10">
        <v>53.051644099999997</v>
      </c>
      <c r="F30" s="10">
        <v>12.0179741</v>
      </c>
      <c r="G30" s="10">
        <v>15</v>
      </c>
      <c r="H30" s="10">
        <v>145.298</v>
      </c>
      <c r="J30">
        <f t="shared" si="0"/>
        <v>53.051644099999997</v>
      </c>
      <c r="K30">
        <f t="shared" si="0"/>
        <v>12.0179741</v>
      </c>
      <c r="M30" t="str">
        <f t="shared" si="1"/>
        <v>53.05 (12.02)</v>
      </c>
    </row>
    <row r="31" spans="1:13" x14ac:dyDescent="0.3">
      <c r="A31" s="18"/>
      <c r="B31" s="20"/>
      <c r="C31" s="8" t="s">
        <v>106</v>
      </c>
      <c r="D31" s="10">
        <v>17158</v>
      </c>
      <c r="E31" s="10">
        <v>97.5985546</v>
      </c>
      <c r="F31" s="10">
        <v>34.054535999999999</v>
      </c>
      <c r="G31" s="10">
        <v>28</v>
      </c>
      <c r="H31" s="10">
        <v>560</v>
      </c>
      <c r="J31">
        <f t="shared" si="0"/>
        <v>97.5985546</v>
      </c>
      <c r="K31">
        <f t="shared" si="0"/>
        <v>34.054535999999999</v>
      </c>
      <c r="M31" t="str">
        <f t="shared" si="1"/>
        <v>97.60 (34.05)</v>
      </c>
    </row>
    <row r="32" spans="1:13" x14ac:dyDescent="0.3">
      <c r="A32" s="18"/>
      <c r="B32" s="20"/>
      <c r="C32" s="8" t="s">
        <v>107</v>
      </c>
      <c r="D32" s="10">
        <v>17158</v>
      </c>
      <c r="E32" s="10">
        <v>21.961009399999998</v>
      </c>
      <c r="F32" s="10">
        <v>10.974945699999999</v>
      </c>
      <c r="G32" s="10">
        <v>7</v>
      </c>
      <c r="H32" s="10">
        <v>329</v>
      </c>
      <c r="J32">
        <f t="shared" si="0"/>
        <v>21.961009399999998</v>
      </c>
      <c r="K32">
        <f t="shared" si="0"/>
        <v>10.974945699999999</v>
      </c>
      <c r="M32" t="str">
        <f t="shared" si="1"/>
        <v>21.96 (10.97)</v>
      </c>
    </row>
    <row r="33" spans="1:13" x14ac:dyDescent="0.3">
      <c r="A33" s="18"/>
      <c r="B33" s="20"/>
      <c r="C33" s="8" t="s">
        <v>108</v>
      </c>
      <c r="D33" s="10">
        <v>17158</v>
      </c>
      <c r="E33" s="10">
        <v>20.461650500000001</v>
      </c>
      <c r="F33" s="10">
        <v>16.651133900000001</v>
      </c>
      <c r="G33" s="10">
        <v>1</v>
      </c>
      <c r="H33" s="10">
        <v>893</v>
      </c>
      <c r="J33">
        <f t="shared" si="0"/>
        <v>20.461650500000001</v>
      </c>
      <c r="K33">
        <f t="shared" si="0"/>
        <v>16.651133900000001</v>
      </c>
      <c r="M33" t="str">
        <f t="shared" si="1"/>
        <v>20.46 (16.65)</v>
      </c>
    </row>
    <row r="34" spans="1:13" x14ac:dyDescent="0.3">
      <c r="A34" s="18"/>
      <c r="B34" s="20"/>
      <c r="C34" s="8" t="s">
        <v>109</v>
      </c>
      <c r="D34" s="10">
        <v>17158</v>
      </c>
      <c r="E34" s="10">
        <v>13.9719315</v>
      </c>
      <c r="F34" s="10">
        <v>1.5512973000000001</v>
      </c>
      <c r="G34" s="10">
        <v>3.9</v>
      </c>
      <c r="H34" s="10">
        <v>19.2</v>
      </c>
      <c r="J34">
        <f t="shared" si="0"/>
        <v>13.9719315</v>
      </c>
      <c r="K34">
        <f t="shared" si="0"/>
        <v>1.5512973000000001</v>
      </c>
      <c r="M34" t="str">
        <f t="shared" si="1"/>
        <v>13.97 (1.55)</v>
      </c>
    </row>
    <row r="35" spans="1:13" x14ac:dyDescent="0.3">
      <c r="A35" s="18"/>
      <c r="B35" s="20"/>
      <c r="C35" s="8" t="s">
        <v>110</v>
      </c>
      <c r="D35" s="10">
        <v>17158</v>
      </c>
      <c r="E35" s="10">
        <v>14.342184400000001</v>
      </c>
      <c r="F35" s="10">
        <v>4.2300655000000003</v>
      </c>
      <c r="G35" s="10">
        <v>4</v>
      </c>
      <c r="H35" s="10">
        <v>74</v>
      </c>
      <c r="J35">
        <f t="shared" si="0"/>
        <v>14.342184400000001</v>
      </c>
      <c r="K35">
        <f t="shared" si="0"/>
        <v>4.2300655000000003</v>
      </c>
      <c r="M35" t="str">
        <f t="shared" si="1"/>
        <v>14.34 (4.23)</v>
      </c>
    </row>
    <row r="36" spans="1:13" x14ac:dyDescent="0.3">
      <c r="A36" s="18"/>
      <c r="B36" s="20"/>
      <c r="C36" s="8" t="s">
        <v>111</v>
      </c>
      <c r="D36" s="10">
        <v>17158</v>
      </c>
      <c r="E36" s="10">
        <v>0.82098789999999999</v>
      </c>
      <c r="F36" s="10">
        <v>0.2153446</v>
      </c>
      <c r="G36" s="10">
        <v>0.36</v>
      </c>
      <c r="H36" s="10">
        <v>11.33</v>
      </c>
      <c r="J36">
        <f t="shared" si="0"/>
        <v>0.82098789999999999</v>
      </c>
      <c r="K36">
        <f t="shared" si="0"/>
        <v>0.2153446</v>
      </c>
      <c r="M36" t="str">
        <f t="shared" si="1"/>
        <v>0.82 (0.22)</v>
      </c>
    </row>
    <row r="37" spans="1:13" x14ac:dyDescent="0.3">
      <c r="A37" s="18"/>
      <c r="B37" s="20"/>
      <c r="C37" s="8" t="s">
        <v>112</v>
      </c>
      <c r="D37" s="10">
        <v>17158</v>
      </c>
      <c r="E37" s="10">
        <v>5.8203753000000003</v>
      </c>
      <c r="F37" s="10">
        <v>0.80560549999999997</v>
      </c>
      <c r="G37" s="10">
        <v>5</v>
      </c>
      <c r="H37" s="10">
        <v>9</v>
      </c>
      <c r="J37">
        <f t="shared" si="0"/>
        <v>5.8203753000000003</v>
      </c>
      <c r="K37">
        <f t="shared" si="0"/>
        <v>0.80560549999999997</v>
      </c>
      <c r="M37" t="str">
        <f t="shared" si="1"/>
        <v>5.82 (0.81)</v>
      </c>
    </row>
    <row r="38" spans="1:13" x14ac:dyDescent="0.3">
      <c r="A38" s="18"/>
      <c r="B38" s="20"/>
      <c r="C38" s="8" t="s">
        <v>113</v>
      </c>
      <c r="D38" s="10">
        <v>17158</v>
      </c>
      <c r="E38" s="10">
        <v>8.3731284000000006</v>
      </c>
      <c r="F38" s="10">
        <v>0.32992630000000001</v>
      </c>
      <c r="G38" s="10">
        <v>6.9893352999999996</v>
      </c>
      <c r="H38" s="10">
        <v>10.2597624</v>
      </c>
      <c r="J38">
        <f t="shared" si="0"/>
        <v>8.3731284000000006</v>
      </c>
      <c r="K38">
        <f t="shared" si="0"/>
        <v>0.32992630000000001</v>
      </c>
      <c r="M38" t="str">
        <f t="shared" si="1"/>
        <v>8.37 (0.33)</v>
      </c>
    </row>
    <row r="39" spans="1:13" x14ac:dyDescent="0.3">
      <c r="A39" s="18"/>
      <c r="B39" s="20"/>
      <c r="C39" s="8" t="s">
        <v>114</v>
      </c>
      <c r="D39" s="10">
        <v>17158</v>
      </c>
      <c r="E39" s="10">
        <v>0.64142509999999997</v>
      </c>
      <c r="F39" s="10">
        <v>1.45998E-2</v>
      </c>
      <c r="G39" s="10">
        <v>0.61539290000000002</v>
      </c>
      <c r="H39" s="10">
        <v>0.66614269999999998</v>
      </c>
      <c r="J39">
        <f t="shared" si="0"/>
        <v>0.64142509999999997</v>
      </c>
      <c r="K39">
        <f t="shared" si="0"/>
        <v>1.45998E-2</v>
      </c>
      <c r="M39" t="str">
        <f t="shared" si="1"/>
        <v>0.64 (0.01)</v>
      </c>
    </row>
    <row r="40" spans="1:13" x14ac:dyDescent="0.3">
      <c r="A40" s="18"/>
      <c r="B40" s="20"/>
      <c r="C40" s="8" t="s">
        <v>115</v>
      </c>
      <c r="D40" s="10">
        <v>17158</v>
      </c>
      <c r="E40" s="10">
        <v>0.2512955</v>
      </c>
      <c r="F40" s="10">
        <v>0.19218730000000001</v>
      </c>
      <c r="G40" s="11">
        <v>-0.48447069999999998</v>
      </c>
      <c r="H40" s="10">
        <v>1.1543705</v>
      </c>
      <c r="J40">
        <f t="shared" si="0"/>
        <v>0.2512955</v>
      </c>
      <c r="K40">
        <f t="shared" si="0"/>
        <v>0.19218730000000001</v>
      </c>
      <c r="M40" t="str">
        <f t="shared" si="1"/>
        <v>0.25 (0.19)</v>
      </c>
    </row>
    <row r="41" spans="1:13" ht="17.25" thickBot="1" x14ac:dyDescent="0.35">
      <c r="A41" s="18"/>
      <c r="B41" s="20"/>
      <c r="C41" s="9" t="s">
        <v>116</v>
      </c>
      <c r="D41" s="10">
        <v>17158</v>
      </c>
      <c r="E41" s="10">
        <v>33.894292</v>
      </c>
      <c r="F41" s="10">
        <v>5.8716543000000003</v>
      </c>
      <c r="G41" s="10">
        <v>17.320489200000001</v>
      </c>
      <c r="H41" s="10">
        <v>72.026266899999996</v>
      </c>
      <c r="J41">
        <f t="shared" si="0"/>
        <v>33.894292</v>
      </c>
      <c r="K41">
        <f t="shared" si="0"/>
        <v>5.8716543000000003</v>
      </c>
      <c r="M41" t="str">
        <f t="shared" si="1"/>
        <v>33.89 (5.87)</v>
      </c>
    </row>
    <row r="42" spans="1:13" x14ac:dyDescent="0.3">
      <c r="A42" s="18">
        <v>3</v>
      </c>
      <c r="B42" s="20">
        <v>17159</v>
      </c>
      <c r="C42" s="8" t="s">
        <v>98</v>
      </c>
      <c r="D42" s="10">
        <v>17159</v>
      </c>
      <c r="E42" s="10">
        <v>53.185791700000003</v>
      </c>
      <c r="F42" s="10">
        <v>14.809805000000001</v>
      </c>
      <c r="G42" s="10">
        <v>19</v>
      </c>
      <c r="H42" s="10">
        <v>80</v>
      </c>
      <c r="J42">
        <f t="shared" si="0"/>
        <v>53.185791700000003</v>
      </c>
      <c r="K42">
        <f t="shared" si="0"/>
        <v>14.809805000000001</v>
      </c>
      <c r="M42" t="str">
        <f t="shared" si="1"/>
        <v>53.19 (14.81)</v>
      </c>
    </row>
    <row r="43" spans="1:13" x14ac:dyDescent="0.3">
      <c r="A43" s="18"/>
      <c r="B43" s="20"/>
      <c r="C43" s="8" t="s">
        <v>99</v>
      </c>
      <c r="D43" s="10">
        <v>17159</v>
      </c>
      <c r="E43" s="10">
        <v>24.643152300000001</v>
      </c>
      <c r="F43" s="10">
        <v>3.3858679999999999</v>
      </c>
      <c r="G43" s="10">
        <v>13.1339583</v>
      </c>
      <c r="H43" s="10">
        <v>47.846743199999999</v>
      </c>
      <c r="J43">
        <f t="shared" si="0"/>
        <v>24.643152300000001</v>
      </c>
      <c r="K43">
        <f t="shared" si="0"/>
        <v>3.3858679999999999</v>
      </c>
      <c r="M43" t="str">
        <f t="shared" si="1"/>
        <v>24.64 (3.39)</v>
      </c>
    </row>
    <row r="44" spans="1:13" x14ac:dyDescent="0.3">
      <c r="A44" s="18"/>
      <c r="B44" s="20"/>
      <c r="C44" s="8" t="s">
        <v>100</v>
      </c>
      <c r="D44" s="10">
        <v>17159</v>
      </c>
      <c r="E44" s="10">
        <v>85.602593400000003</v>
      </c>
      <c r="F44" s="10">
        <v>8.2699580000000008</v>
      </c>
      <c r="G44" s="10">
        <v>53.1</v>
      </c>
      <c r="H44" s="10">
        <v>130.30000000000001</v>
      </c>
      <c r="J44">
        <f t="shared" si="0"/>
        <v>85.602593400000003</v>
      </c>
      <c r="K44">
        <f t="shared" si="0"/>
        <v>8.2699580000000008</v>
      </c>
      <c r="M44" t="str">
        <f t="shared" si="1"/>
        <v>85.60 (8.27)</v>
      </c>
    </row>
    <row r="45" spans="1:13" x14ac:dyDescent="0.3">
      <c r="A45" s="18"/>
      <c r="B45" s="20"/>
      <c r="C45" s="8" t="s">
        <v>101</v>
      </c>
      <c r="D45" s="10">
        <v>17159</v>
      </c>
      <c r="E45" s="10">
        <v>7.9149999999999998E-2</v>
      </c>
      <c r="F45" s="10">
        <v>3.1391000000000001E-3</v>
      </c>
      <c r="G45" s="10">
        <v>6.7925799999999995E-2</v>
      </c>
      <c r="H45" s="10">
        <v>9.7895099999999999E-2</v>
      </c>
      <c r="J45">
        <f t="shared" si="0"/>
        <v>7.9149999999999998E-2</v>
      </c>
      <c r="K45">
        <f t="shared" si="0"/>
        <v>3.1391000000000001E-3</v>
      </c>
      <c r="M45" t="str">
        <f t="shared" si="1"/>
        <v>0.08 (0.00)</v>
      </c>
    </row>
    <row r="46" spans="1:13" x14ac:dyDescent="0.3">
      <c r="A46" s="18"/>
      <c r="B46" s="20"/>
      <c r="C46" s="8" t="s">
        <v>102</v>
      </c>
      <c r="D46" s="10">
        <v>17159</v>
      </c>
      <c r="E46" s="10">
        <v>121.5541115</v>
      </c>
      <c r="F46" s="10">
        <v>16.146491999999999</v>
      </c>
      <c r="G46" s="10">
        <v>70</v>
      </c>
      <c r="H46" s="10">
        <v>212</v>
      </c>
      <c r="J46">
        <f t="shared" si="0"/>
        <v>121.5541115</v>
      </c>
      <c r="K46">
        <f t="shared" si="0"/>
        <v>16.146491999999999</v>
      </c>
      <c r="M46" t="str">
        <f t="shared" si="1"/>
        <v>121.55 (16.15)</v>
      </c>
    </row>
    <row r="47" spans="1:13" x14ac:dyDescent="0.3">
      <c r="A47" s="18"/>
      <c r="B47" s="20"/>
      <c r="C47" s="8" t="s">
        <v>103</v>
      </c>
      <c r="D47" s="10">
        <v>17159</v>
      </c>
      <c r="E47" s="10">
        <v>99.962468700000002</v>
      </c>
      <c r="F47" s="10">
        <v>16.498449900000001</v>
      </c>
      <c r="G47" s="10">
        <v>51</v>
      </c>
      <c r="H47" s="10">
        <v>400</v>
      </c>
      <c r="J47">
        <f t="shared" si="0"/>
        <v>99.962468700000002</v>
      </c>
      <c r="K47">
        <f t="shared" si="0"/>
        <v>16.498449900000001</v>
      </c>
      <c r="M47" t="str">
        <f t="shared" si="1"/>
        <v>99.96 (16.50)</v>
      </c>
    </row>
    <row r="48" spans="1:13" x14ac:dyDescent="0.3">
      <c r="A48" s="18"/>
      <c r="B48" s="20"/>
      <c r="C48" s="8" t="s">
        <v>104</v>
      </c>
      <c r="D48" s="10">
        <v>17159</v>
      </c>
      <c r="E48" s="10">
        <v>193.34815549999999</v>
      </c>
      <c r="F48" s="10">
        <v>36.849645600000002</v>
      </c>
      <c r="G48" s="10">
        <v>68</v>
      </c>
      <c r="H48" s="10">
        <v>381</v>
      </c>
      <c r="J48">
        <f t="shared" si="0"/>
        <v>193.34815549999999</v>
      </c>
      <c r="K48">
        <f t="shared" si="0"/>
        <v>36.849645600000002</v>
      </c>
      <c r="M48" t="str">
        <f t="shared" si="1"/>
        <v>193.35 (36.85)</v>
      </c>
    </row>
    <row r="49" spans="1:13" ht="25.5" x14ac:dyDescent="0.3">
      <c r="A49" s="18"/>
      <c r="B49" s="20"/>
      <c r="C49" s="8" t="s">
        <v>105</v>
      </c>
      <c r="D49" s="10">
        <v>17159</v>
      </c>
      <c r="E49" s="10">
        <v>48.782307400000001</v>
      </c>
      <c r="F49" s="10">
        <v>11.286967000000001</v>
      </c>
      <c r="G49" s="10">
        <v>13.997999999999999</v>
      </c>
      <c r="H49" s="10">
        <v>128</v>
      </c>
      <c r="J49">
        <f t="shared" si="0"/>
        <v>48.782307400000001</v>
      </c>
      <c r="K49">
        <f t="shared" si="0"/>
        <v>11.286967000000001</v>
      </c>
      <c r="M49" t="str">
        <f t="shared" si="1"/>
        <v>48.78 (11.29)</v>
      </c>
    </row>
    <row r="50" spans="1:13" x14ac:dyDescent="0.3">
      <c r="A50" s="18"/>
      <c r="B50" s="20"/>
      <c r="C50" s="8" t="s">
        <v>106</v>
      </c>
      <c r="D50" s="10">
        <v>17159</v>
      </c>
      <c r="E50" s="10">
        <v>135.81111949999999</v>
      </c>
      <c r="F50" s="10">
        <v>52.131723200000003</v>
      </c>
      <c r="G50" s="10">
        <v>31</v>
      </c>
      <c r="H50" s="10">
        <v>544</v>
      </c>
      <c r="J50">
        <f t="shared" si="0"/>
        <v>135.81111949999999</v>
      </c>
      <c r="K50">
        <f t="shared" si="0"/>
        <v>52.131723200000003</v>
      </c>
      <c r="M50" t="str">
        <f t="shared" si="1"/>
        <v>135.81 (52.13)</v>
      </c>
    </row>
    <row r="51" spans="1:13" x14ac:dyDescent="0.3">
      <c r="A51" s="18"/>
      <c r="B51" s="20"/>
      <c r="C51" s="8" t="s">
        <v>107</v>
      </c>
      <c r="D51" s="10">
        <v>17159</v>
      </c>
      <c r="E51" s="10">
        <v>24.1057171</v>
      </c>
      <c r="F51" s="10">
        <v>12.6570752</v>
      </c>
      <c r="G51" s="10">
        <v>6</v>
      </c>
      <c r="H51" s="10">
        <v>532</v>
      </c>
      <c r="J51">
        <f t="shared" si="0"/>
        <v>24.1057171</v>
      </c>
      <c r="K51">
        <f t="shared" si="0"/>
        <v>12.6570752</v>
      </c>
      <c r="M51" t="str">
        <f t="shared" si="1"/>
        <v>24.11 (12.66)</v>
      </c>
    </row>
    <row r="52" spans="1:13" x14ac:dyDescent="0.3">
      <c r="A52" s="18"/>
      <c r="B52" s="20"/>
      <c r="C52" s="8" t="s">
        <v>108</v>
      </c>
      <c r="D52" s="10">
        <v>17159</v>
      </c>
      <c r="E52" s="10">
        <v>24.826155400000001</v>
      </c>
      <c r="F52" s="10">
        <v>19.920582499999998</v>
      </c>
      <c r="G52" s="10">
        <v>3</v>
      </c>
      <c r="H52" s="10">
        <v>857</v>
      </c>
      <c r="J52">
        <f t="shared" si="0"/>
        <v>24.826155400000001</v>
      </c>
      <c r="K52">
        <f t="shared" si="0"/>
        <v>19.920582499999998</v>
      </c>
      <c r="M52" t="str">
        <f t="shared" si="1"/>
        <v>24.83 (19.92)</v>
      </c>
    </row>
    <row r="53" spans="1:13" x14ac:dyDescent="0.3">
      <c r="A53" s="18"/>
      <c r="B53" s="20"/>
      <c r="C53" s="8" t="s">
        <v>109</v>
      </c>
      <c r="D53" s="10">
        <v>17159</v>
      </c>
      <c r="E53" s="10">
        <v>14.3197098</v>
      </c>
      <c r="F53" s="10">
        <v>1.5246843000000001</v>
      </c>
      <c r="G53" s="10">
        <v>5.9</v>
      </c>
      <c r="H53" s="10">
        <v>21.3</v>
      </c>
      <c r="J53">
        <f t="shared" si="0"/>
        <v>14.3197098</v>
      </c>
      <c r="K53">
        <f t="shared" si="0"/>
        <v>1.5246843000000001</v>
      </c>
      <c r="M53" t="str">
        <f t="shared" si="1"/>
        <v>14.32 (1.52)</v>
      </c>
    </row>
    <row r="54" spans="1:13" x14ac:dyDescent="0.3">
      <c r="A54" s="18"/>
      <c r="B54" s="20"/>
      <c r="C54" s="8" t="s">
        <v>110</v>
      </c>
      <c r="D54" s="10">
        <v>17159</v>
      </c>
      <c r="E54" s="10">
        <v>15.0359228</v>
      </c>
      <c r="F54" s="10">
        <v>4.5795000000000003</v>
      </c>
      <c r="G54" s="10">
        <v>3</v>
      </c>
      <c r="H54" s="10">
        <v>115</v>
      </c>
      <c r="J54">
        <f t="shared" si="0"/>
        <v>15.0359228</v>
      </c>
      <c r="K54">
        <f t="shared" si="0"/>
        <v>4.5795000000000003</v>
      </c>
      <c r="M54" t="str">
        <f t="shared" si="1"/>
        <v>15.04 (4.58)</v>
      </c>
    </row>
    <row r="55" spans="1:13" x14ac:dyDescent="0.3">
      <c r="A55" s="18"/>
      <c r="B55" s="20"/>
      <c r="C55" s="8" t="s">
        <v>111</v>
      </c>
      <c r="D55" s="10">
        <v>17159</v>
      </c>
      <c r="E55" s="10">
        <v>0.85949589999999998</v>
      </c>
      <c r="F55" s="10">
        <v>0.23946629999999999</v>
      </c>
      <c r="G55" s="10">
        <v>0.36</v>
      </c>
      <c r="H55" s="10">
        <v>9.4499999999999993</v>
      </c>
      <c r="J55">
        <f t="shared" si="0"/>
        <v>0.85949589999999998</v>
      </c>
      <c r="K55">
        <f t="shared" si="0"/>
        <v>0.23946629999999999</v>
      </c>
      <c r="M55" t="str">
        <f t="shared" si="1"/>
        <v>0.86 (0.24)</v>
      </c>
    </row>
    <row r="56" spans="1:13" x14ac:dyDescent="0.3">
      <c r="A56" s="18"/>
      <c r="B56" s="20"/>
      <c r="C56" s="8" t="s">
        <v>112</v>
      </c>
      <c r="D56" s="10">
        <v>17159</v>
      </c>
      <c r="E56" s="10">
        <v>5.7703246000000004</v>
      </c>
      <c r="F56" s="10">
        <v>0.80530900000000005</v>
      </c>
      <c r="G56" s="10">
        <v>5</v>
      </c>
      <c r="H56" s="10">
        <v>9</v>
      </c>
      <c r="J56">
        <f t="shared" si="0"/>
        <v>5.7703246000000004</v>
      </c>
      <c r="K56">
        <f t="shared" si="0"/>
        <v>0.80530900000000005</v>
      </c>
      <c r="M56" t="str">
        <f t="shared" si="1"/>
        <v>5.77 (0.81)</v>
      </c>
    </row>
    <row r="57" spans="1:13" x14ac:dyDescent="0.3">
      <c r="A57" s="18"/>
      <c r="B57" s="20"/>
      <c r="C57" s="8" t="s">
        <v>113</v>
      </c>
      <c r="D57" s="10">
        <v>17159</v>
      </c>
      <c r="E57" s="10">
        <v>8.7452401000000002</v>
      </c>
      <c r="F57" s="10">
        <v>0.35897059999999997</v>
      </c>
      <c r="G57" s="10">
        <v>7.2067481000000004</v>
      </c>
      <c r="H57" s="10">
        <v>10.1701503</v>
      </c>
      <c r="J57">
        <f t="shared" si="0"/>
        <v>8.7452401000000002</v>
      </c>
      <c r="K57">
        <f t="shared" si="0"/>
        <v>0.35897059999999997</v>
      </c>
      <c r="M57" t="str">
        <f t="shared" si="1"/>
        <v>8.75 (0.36)</v>
      </c>
    </row>
    <row r="58" spans="1:13" x14ac:dyDescent="0.3">
      <c r="A58" s="18"/>
      <c r="B58" s="20"/>
      <c r="C58" s="8" t="s">
        <v>114</v>
      </c>
      <c r="D58" s="10">
        <v>17159</v>
      </c>
      <c r="E58" s="10">
        <v>0.69122209999999995</v>
      </c>
      <c r="F58" s="10">
        <v>1.49184E-2</v>
      </c>
      <c r="G58" s="10">
        <v>0.66614569999999995</v>
      </c>
      <c r="H58" s="10">
        <v>0.71812039999999999</v>
      </c>
      <c r="J58">
        <f t="shared" si="0"/>
        <v>0.69122209999999995</v>
      </c>
      <c r="K58">
        <f t="shared" si="0"/>
        <v>1.49184E-2</v>
      </c>
      <c r="M58" t="str">
        <f t="shared" si="1"/>
        <v>0.69 (0.01)</v>
      </c>
    </row>
    <row r="59" spans="1:13" x14ac:dyDescent="0.3">
      <c r="A59" s="18"/>
      <c r="B59" s="20"/>
      <c r="C59" s="8" t="s">
        <v>115</v>
      </c>
      <c r="D59" s="10">
        <v>17159</v>
      </c>
      <c r="E59" s="10">
        <v>0.4266974</v>
      </c>
      <c r="F59" s="10">
        <v>0.2073673</v>
      </c>
      <c r="G59" s="11">
        <v>-0.32068469999999999</v>
      </c>
      <c r="H59" s="10">
        <v>1.2280399</v>
      </c>
      <c r="J59">
        <f t="shared" si="0"/>
        <v>0.4266974</v>
      </c>
      <c r="K59">
        <f t="shared" si="0"/>
        <v>0.2073673</v>
      </c>
      <c r="M59" t="str">
        <f t="shared" si="1"/>
        <v>0.43 (0.21)</v>
      </c>
    </row>
    <row r="60" spans="1:13" ht="17.25" thickBot="1" x14ac:dyDescent="0.35">
      <c r="A60" s="18"/>
      <c r="B60" s="20"/>
      <c r="C60" s="9" t="s">
        <v>116</v>
      </c>
      <c r="D60" s="10">
        <v>17159</v>
      </c>
      <c r="E60" s="10">
        <v>37.2526595</v>
      </c>
      <c r="F60" s="10">
        <v>6.2641787999999998</v>
      </c>
      <c r="G60" s="10">
        <v>17.2447458</v>
      </c>
      <c r="H60" s="10">
        <v>78.005146999999994</v>
      </c>
      <c r="J60">
        <f t="shared" si="0"/>
        <v>37.2526595</v>
      </c>
      <c r="K60">
        <f t="shared" si="0"/>
        <v>6.2641787999999998</v>
      </c>
      <c r="M60" t="str">
        <f t="shared" si="1"/>
        <v>37.25 (6.26)</v>
      </c>
    </row>
    <row r="61" spans="1:13" x14ac:dyDescent="0.3">
      <c r="A61" s="18">
        <v>4</v>
      </c>
      <c r="B61" s="20">
        <v>17158</v>
      </c>
      <c r="C61" s="8" t="s">
        <v>98</v>
      </c>
      <c r="D61" s="10">
        <v>17158</v>
      </c>
      <c r="E61" s="10">
        <v>58.1991491</v>
      </c>
      <c r="F61" s="10">
        <v>13.6149997</v>
      </c>
      <c r="G61" s="10">
        <v>19</v>
      </c>
      <c r="H61" s="10">
        <v>80</v>
      </c>
      <c r="J61">
        <f t="shared" si="0"/>
        <v>58.1991491</v>
      </c>
      <c r="K61">
        <f t="shared" si="0"/>
        <v>13.6149997</v>
      </c>
      <c r="M61" t="str">
        <f t="shared" si="1"/>
        <v>58.20 (13.61)</v>
      </c>
    </row>
    <row r="62" spans="1:13" x14ac:dyDescent="0.3">
      <c r="A62" s="18"/>
      <c r="B62" s="20"/>
      <c r="C62" s="8" t="s">
        <v>99</v>
      </c>
      <c r="D62" s="10">
        <v>17158</v>
      </c>
      <c r="E62" s="10">
        <v>25.225933099999999</v>
      </c>
      <c r="F62" s="10">
        <v>3.2812515000000002</v>
      </c>
      <c r="G62" s="10">
        <v>14.9232026</v>
      </c>
      <c r="H62" s="10">
        <v>50.898579099999999</v>
      </c>
      <c r="J62">
        <f t="shared" si="0"/>
        <v>25.225933099999999</v>
      </c>
      <c r="K62">
        <f t="shared" si="0"/>
        <v>3.2812515000000002</v>
      </c>
      <c r="M62" t="str">
        <f t="shared" si="1"/>
        <v>25.23 (3.28)</v>
      </c>
    </row>
    <row r="63" spans="1:13" x14ac:dyDescent="0.3">
      <c r="A63" s="18"/>
      <c r="B63" s="20"/>
      <c r="C63" s="8" t="s">
        <v>100</v>
      </c>
      <c r="D63" s="10">
        <v>17158</v>
      </c>
      <c r="E63" s="10">
        <v>90.138232900000006</v>
      </c>
      <c r="F63" s="10">
        <v>8.2693154999999994</v>
      </c>
      <c r="G63" s="10">
        <v>63</v>
      </c>
      <c r="H63" s="10">
        <v>166.1</v>
      </c>
      <c r="J63">
        <f t="shared" si="0"/>
        <v>90.138232900000006</v>
      </c>
      <c r="K63">
        <f t="shared" si="0"/>
        <v>8.2693154999999994</v>
      </c>
      <c r="M63" t="str">
        <f t="shared" si="1"/>
        <v>90.14 (8.27)</v>
      </c>
    </row>
    <row r="64" spans="1:13" x14ac:dyDescent="0.3">
      <c r="A64" s="18"/>
      <c r="B64" s="20"/>
      <c r="C64" s="8" t="s">
        <v>101</v>
      </c>
      <c r="D64" s="10">
        <v>17158</v>
      </c>
      <c r="E64" s="10">
        <v>8.2079600000000003E-2</v>
      </c>
      <c r="F64" s="10">
        <v>3.7291999999999998E-3</v>
      </c>
      <c r="G64" s="10">
        <v>6.9275500000000004E-2</v>
      </c>
      <c r="H64" s="10">
        <v>0.15107219999999999</v>
      </c>
      <c r="J64">
        <f t="shared" si="0"/>
        <v>8.2079600000000003E-2</v>
      </c>
      <c r="K64">
        <f t="shared" si="0"/>
        <v>3.7291999999999998E-3</v>
      </c>
      <c r="M64" t="str">
        <f t="shared" si="1"/>
        <v>0.08 (0.00)</v>
      </c>
    </row>
    <row r="65" spans="1:13" x14ac:dyDescent="0.3">
      <c r="A65" s="18"/>
      <c r="B65" s="20"/>
      <c r="C65" s="8" t="s">
        <v>102</v>
      </c>
      <c r="D65" s="10">
        <v>17158</v>
      </c>
      <c r="E65" s="10">
        <v>126.03561019999999</v>
      </c>
      <c r="F65" s="10">
        <v>16.2397788</v>
      </c>
      <c r="G65" s="10">
        <v>77</v>
      </c>
      <c r="H65" s="10">
        <v>243</v>
      </c>
      <c r="J65">
        <f t="shared" si="0"/>
        <v>126.03561019999999</v>
      </c>
      <c r="K65">
        <f t="shared" si="0"/>
        <v>16.2397788</v>
      </c>
      <c r="M65" t="str">
        <f t="shared" si="1"/>
        <v>126.04 (16.24)</v>
      </c>
    </row>
    <row r="66" spans="1:13" x14ac:dyDescent="0.3">
      <c r="A66" s="18"/>
      <c r="B66" s="20"/>
      <c r="C66" s="8" t="s">
        <v>103</v>
      </c>
      <c r="D66" s="10">
        <v>17158</v>
      </c>
      <c r="E66" s="10">
        <v>114.24239420000001</v>
      </c>
      <c r="F66" s="10">
        <v>33.903590600000001</v>
      </c>
      <c r="G66" s="10">
        <v>61</v>
      </c>
      <c r="H66" s="10">
        <v>553</v>
      </c>
      <c r="J66">
        <f t="shared" si="0"/>
        <v>114.24239420000001</v>
      </c>
      <c r="K66">
        <f t="shared" si="0"/>
        <v>33.903590600000001</v>
      </c>
      <c r="M66" t="str">
        <f t="shared" si="1"/>
        <v>114.24 (33.90)</v>
      </c>
    </row>
    <row r="67" spans="1:13" x14ac:dyDescent="0.3">
      <c r="A67" s="18"/>
      <c r="B67" s="20"/>
      <c r="C67" s="8" t="s">
        <v>104</v>
      </c>
      <c r="D67" s="10">
        <v>17158</v>
      </c>
      <c r="E67" s="10">
        <v>198.737382</v>
      </c>
      <c r="F67" s="10">
        <v>41.787104100000001</v>
      </c>
      <c r="G67" s="10">
        <v>75</v>
      </c>
      <c r="H67" s="10">
        <v>554</v>
      </c>
      <c r="J67">
        <f t="shared" si="0"/>
        <v>198.737382</v>
      </c>
      <c r="K67">
        <f t="shared" si="0"/>
        <v>41.787104100000001</v>
      </c>
      <c r="M67" t="str">
        <f t="shared" si="1"/>
        <v>198.74 (41.79)</v>
      </c>
    </row>
    <row r="68" spans="1:13" ht="25.5" x14ac:dyDescent="0.3">
      <c r="A68" s="18"/>
      <c r="B68" s="20"/>
      <c r="C68" s="8" t="s">
        <v>105</v>
      </c>
      <c r="D68" s="10">
        <v>17158</v>
      </c>
      <c r="E68" s="10">
        <v>44.215284799999999</v>
      </c>
      <c r="F68" s="10">
        <v>10.398352300000001</v>
      </c>
      <c r="G68" s="10">
        <v>8</v>
      </c>
      <c r="H68" s="10">
        <v>126.76</v>
      </c>
      <c r="J68">
        <f t="shared" si="0"/>
        <v>44.215284799999999</v>
      </c>
      <c r="K68">
        <f t="shared" si="0"/>
        <v>10.398352300000001</v>
      </c>
      <c r="M68" t="str">
        <f t="shared" si="1"/>
        <v>44.22 (10.40)</v>
      </c>
    </row>
    <row r="69" spans="1:13" x14ac:dyDescent="0.3">
      <c r="A69" s="18"/>
      <c r="B69" s="20"/>
      <c r="C69" s="8" t="s">
        <v>106</v>
      </c>
      <c r="D69" s="10">
        <v>17158</v>
      </c>
      <c r="E69" s="10">
        <v>235.29653809999999</v>
      </c>
      <c r="F69" s="10">
        <v>160.9701187</v>
      </c>
      <c r="G69" s="10">
        <v>39</v>
      </c>
      <c r="H69" s="10">
        <v>2774</v>
      </c>
      <c r="J69">
        <f t="shared" ref="J69:K79" si="2">E69</f>
        <v>235.29653809999999</v>
      </c>
      <c r="K69">
        <f t="shared" si="2"/>
        <v>160.9701187</v>
      </c>
      <c r="M69" t="str">
        <f t="shared" ref="M69:M79" si="3">TEXT(J69,"0.00")&amp;" ("&amp;TEXT(K69,"0.00")&amp;")"</f>
        <v>235.30 (160.97)</v>
      </c>
    </row>
    <row r="70" spans="1:13" x14ac:dyDescent="0.3">
      <c r="A70" s="18"/>
      <c r="B70" s="20"/>
      <c r="C70" s="8" t="s">
        <v>107</v>
      </c>
      <c r="D70" s="10">
        <v>17158</v>
      </c>
      <c r="E70" s="10">
        <v>27.2448421</v>
      </c>
      <c r="F70" s="10">
        <v>18.454530699999999</v>
      </c>
      <c r="G70" s="10">
        <v>9</v>
      </c>
      <c r="H70" s="10">
        <v>927</v>
      </c>
      <c r="J70">
        <f t="shared" si="2"/>
        <v>27.2448421</v>
      </c>
      <c r="K70">
        <f t="shared" si="2"/>
        <v>18.454530699999999</v>
      </c>
      <c r="M70" t="str">
        <f t="shared" si="3"/>
        <v>27.24 (18.45)</v>
      </c>
    </row>
    <row r="71" spans="1:13" x14ac:dyDescent="0.3">
      <c r="A71" s="18"/>
      <c r="B71" s="20"/>
      <c r="C71" s="8" t="s">
        <v>108</v>
      </c>
      <c r="D71" s="10">
        <v>17158</v>
      </c>
      <c r="E71" s="10">
        <v>28.864436399999999</v>
      </c>
      <c r="F71" s="10">
        <v>21.257838799999998</v>
      </c>
      <c r="G71" s="10">
        <v>4</v>
      </c>
      <c r="H71" s="10">
        <v>402</v>
      </c>
      <c r="J71">
        <f t="shared" si="2"/>
        <v>28.864436399999999</v>
      </c>
      <c r="K71">
        <f t="shared" si="2"/>
        <v>21.257838799999998</v>
      </c>
      <c r="M71" t="str">
        <f t="shared" si="3"/>
        <v>28.86 (21.26)</v>
      </c>
    </row>
    <row r="72" spans="1:13" x14ac:dyDescent="0.3">
      <c r="A72" s="18"/>
      <c r="B72" s="20"/>
      <c r="C72" s="8" t="s">
        <v>109</v>
      </c>
      <c r="D72" s="10">
        <v>17158</v>
      </c>
      <c r="E72" s="10">
        <v>14.5441135</v>
      </c>
      <c r="F72" s="10">
        <v>1.5318784000000001</v>
      </c>
      <c r="G72" s="10">
        <v>5.5</v>
      </c>
      <c r="H72" s="10">
        <v>20.399999999999999</v>
      </c>
      <c r="J72">
        <f t="shared" si="2"/>
        <v>14.5441135</v>
      </c>
      <c r="K72">
        <f t="shared" si="2"/>
        <v>1.5318784000000001</v>
      </c>
      <c r="M72" t="str">
        <f t="shared" si="3"/>
        <v>14.54 (1.53)</v>
      </c>
    </row>
    <row r="73" spans="1:13" x14ac:dyDescent="0.3">
      <c r="A73" s="18"/>
      <c r="B73" s="20"/>
      <c r="C73" s="8" t="s">
        <v>110</v>
      </c>
      <c r="D73" s="10">
        <v>17158</v>
      </c>
      <c r="E73" s="10">
        <v>15.3902553</v>
      </c>
      <c r="F73" s="10">
        <v>4.7912268999999998</v>
      </c>
      <c r="G73" s="10">
        <v>3</v>
      </c>
      <c r="H73" s="10">
        <v>76.900000000000006</v>
      </c>
      <c r="J73">
        <f t="shared" si="2"/>
        <v>15.3902553</v>
      </c>
      <c r="K73">
        <f t="shared" si="2"/>
        <v>4.7912268999999998</v>
      </c>
      <c r="M73" t="str">
        <f t="shared" si="3"/>
        <v>15.39 (4.79)</v>
      </c>
    </row>
    <row r="74" spans="1:13" x14ac:dyDescent="0.3">
      <c r="A74" s="18"/>
      <c r="B74" s="20"/>
      <c r="C74" s="8" t="s">
        <v>111</v>
      </c>
      <c r="D74" s="10">
        <v>17158</v>
      </c>
      <c r="E74" s="10">
        <v>0.88684459999999998</v>
      </c>
      <c r="F74" s="10">
        <v>0.27171319999999999</v>
      </c>
      <c r="G74" s="10">
        <v>0.2</v>
      </c>
      <c r="H74" s="10">
        <v>10.48</v>
      </c>
      <c r="J74">
        <f t="shared" si="2"/>
        <v>0.88684459999999998</v>
      </c>
      <c r="K74">
        <f t="shared" si="2"/>
        <v>0.27171319999999999</v>
      </c>
      <c r="M74" t="str">
        <f t="shared" si="3"/>
        <v>0.89 (0.27)</v>
      </c>
    </row>
    <row r="75" spans="1:13" x14ac:dyDescent="0.3">
      <c r="A75" s="18"/>
      <c r="B75" s="20"/>
      <c r="C75" s="8" t="s">
        <v>112</v>
      </c>
      <c r="D75" s="10">
        <v>17158</v>
      </c>
      <c r="E75" s="10">
        <v>5.7029373999999997</v>
      </c>
      <c r="F75" s="10">
        <v>0.79652780000000001</v>
      </c>
      <c r="G75" s="10">
        <v>5</v>
      </c>
      <c r="H75" s="10">
        <v>9</v>
      </c>
      <c r="J75">
        <f t="shared" si="2"/>
        <v>5.7029373999999997</v>
      </c>
      <c r="K75">
        <f t="shared" si="2"/>
        <v>0.79652780000000001</v>
      </c>
      <c r="M75" t="str">
        <f t="shared" si="3"/>
        <v>5.70 (0.80)</v>
      </c>
    </row>
    <row r="76" spans="1:13" x14ac:dyDescent="0.3">
      <c r="A76" s="18"/>
      <c r="B76" s="20"/>
      <c r="C76" s="8" t="s">
        <v>113</v>
      </c>
      <c r="D76" s="10">
        <v>17158</v>
      </c>
      <c r="E76" s="10">
        <v>9.3337950000000003</v>
      </c>
      <c r="F76" s="10">
        <v>0.53066970000000002</v>
      </c>
      <c r="G76" s="10">
        <v>7.3752557999999997</v>
      </c>
      <c r="H76" s="10">
        <v>12.7290689</v>
      </c>
      <c r="J76">
        <f t="shared" si="2"/>
        <v>9.3337950000000003</v>
      </c>
      <c r="K76">
        <f t="shared" si="2"/>
        <v>0.53066970000000002</v>
      </c>
      <c r="M76" t="str">
        <f t="shared" si="3"/>
        <v>9.33 (0.53)</v>
      </c>
    </row>
    <row r="77" spans="1:13" x14ac:dyDescent="0.3">
      <c r="A77" s="18"/>
      <c r="B77" s="20"/>
      <c r="C77" s="8" t="s">
        <v>114</v>
      </c>
      <c r="D77" s="10">
        <v>17158</v>
      </c>
      <c r="E77" s="10">
        <v>0.76517159999999995</v>
      </c>
      <c r="F77" s="10">
        <v>4.0957199999999999E-2</v>
      </c>
      <c r="G77" s="10">
        <v>0.71812200000000004</v>
      </c>
      <c r="H77" s="10">
        <v>1.3241700999999999</v>
      </c>
      <c r="J77">
        <f t="shared" si="2"/>
        <v>0.76517159999999995</v>
      </c>
      <c r="K77">
        <f t="shared" si="2"/>
        <v>4.0957199999999999E-2</v>
      </c>
      <c r="M77" t="str">
        <f t="shared" si="3"/>
        <v>0.77 (0.04)</v>
      </c>
    </row>
    <row r="78" spans="1:13" x14ac:dyDescent="0.3">
      <c r="A78" s="18"/>
      <c r="B78" s="20"/>
      <c r="C78" s="8" t="s">
        <v>115</v>
      </c>
      <c r="D78" s="10">
        <v>17158</v>
      </c>
      <c r="E78" s="10">
        <v>0.67640020000000001</v>
      </c>
      <c r="F78" s="10">
        <v>0.2645112</v>
      </c>
      <c r="G78" s="11">
        <v>-0.23113880000000001</v>
      </c>
      <c r="H78" s="10">
        <v>2.1147776999999999</v>
      </c>
      <c r="J78">
        <f t="shared" si="2"/>
        <v>0.67640020000000001</v>
      </c>
      <c r="K78">
        <f t="shared" si="2"/>
        <v>0.2645112</v>
      </c>
      <c r="M78" t="str">
        <f t="shared" si="3"/>
        <v>0.68 (0.26)</v>
      </c>
    </row>
    <row r="79" spans="1:13" x14ac:dyDescent="0.3">
      <c r="A79" s="18"/>
      <c r="B79" s="20"/>
      <c r="C79" s="8" t="s">
        <v>116</v>
      </c>
      <c r="D79" s="10">
        <v>17158</v>
      </c>
      <c r="E79" s="10">
        <v>41.090928099999999</v>
      </c>
      <c r="F79" s="10">
        <v>6.8567860999999999</v>
      </c>
      <c r="G79" s="10">
        <v>21.520093200000002</v>
      </c>
      <c r="H79" s="10">
        <v>86.341505499999997</v>
      </c>
      <c r="J79">
        <f t="shared" si="2"/>
        <v>41.090928099999999</v>
      </c>
      <c r="K79">
        <f t="shared" si="2"/>
        <v>6.8567860999999999</v>
      </c>
      <c r="M79" t="str">
        <f t="shared" si="3"/>
        <v>41.09 (6.86)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E51F-C3C1-4FDC-92C5-448866D544E7}">
  <dimension ref="A1:M79"/>
  <sheetViews>
    <sheetView topLeftCell="A52"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x14ac:dyDescent="0.3">
      <c r="A3" s="4" t="s">
        <v>58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18">
        <v>1</v>
      </c>
      <c r="B4" s="20">
        <v>17157</v>
      </c>
      <c r="C4" s="8" t="s">
        <v>98</v>
      </c>
      <c r="D4" s="10">
        <v>17157</v>
      </c>
      <c r="E4" s="10">
        <v>44.219502200000001</v>
      </c>
      <c r="F4" s="10">
        <v>16.177436499999999</v>
      </c>
      <c r="G4" s="10">
        <v>19</v>
      </c>
      <c r="H4" s="10">
        <v>80</v>
      </c>
      <c r="J4">
        <f>E4</f>
        <v>44.219502200000001</v>
      </c>
      <c r="K4">
        <f>F4</f>
        <v>16.177436499999999</v>
      </c>
      <c r="M4" t="str">
        <f>TEXT(J4,"0.00")&amp;" ("&amp;TEXT(K4,"0.00")&amp;")"</f>
        <v>44.22 (16.18)</v>
      </c>
    </row>
    <row r="5" spans="1:13" x14ac:dyDescent="0.3">
      <c r="A5" s="18"/>
      <c r="B5" s="20"/>
      <c r="C5" s="8" t="s">
        <v>99</v>
      </c>
      <c r="D5" s="10">
        <v>17157</v>
      </c>
      <c r="E5" s="10">
        <v>22.094157200000001</v>
      </c>
      <c r="F5" s="10">
        <v>2.9974150000000002</v>
      </c>
      <c r="G5" s="10">
        <v>13.512496799999999</v>
      </c>
      <c r="H5" s="10">
        <v>46.219893999999996</v>
      </c>
      <c r="J5">
        <f t="shared" ref="J5:K68" si="0">E5</f>
        <v>22.094157200000001</v>
      </c>
      <c r="K5">
        <f t="shared" si="0"/>
        <v>2.9974150000000002</v>
      </c>
      <c r="M5" t="str">
        <f t="shared" ref="M5:M68" si="1">TEXT(J5,"0.00")&amp;" ("&amp;TEXT(K5,"0.00")&amp;")"</f>
        <v>22.09 (3.00)</v>
      </c>
    </row>
    <row r="6" spans="1:13" x14ac:dyDescent="0.3">
      <c r="A6" s="18"/>
      <c r="B6" s="20"/>
      <c r="C6" s="8" t="s">
        <v>100</v>
      </c>
      <c r="D6" s="10">
        <v>17157</v>
      </c>
      <c r="E6" s="10">
        <v>75.901608699999997</v>
      </c>
      <c r="F6" s="10">
        <v>8.9855301999999995</v>
      </c>
      <c r="G6" s="10">
        <v>51.1</v>
      </c>
      <c r="H6" s="10">
        <v>137.1</v>
      </c>
      <c r="J6">
        <f t="shared" si="0"/>
        <v>75.901608699999997</v>
      </c>
      <c r="K6">
        <f t="shared" si="0"/>
        <v>8.9855301999999995</v>
      </c>
      <c r="M6" t="str">
        <f t="shared" si="1"/>
        <v>75.90 (8.99)</v>
      </c>
    </row>
    <row r="7" spans="1:13" x14ac:dyDescent="0.3">
      <c r="A7" s="18"/>
      <c r="B7" s="20"/>
      <c r="C7" s="8" t="s">
        <v>101</v>
      </c>
      <c r="D7" s="10">
        <v>17157</v>
      </c>
      <c r="E7" s="10">
        <v>7.5750799999999993E-2</v>
      </c>
      <c r="F7" s="10">
        <v>4.5279999999999999E-3</v>
      </c>
      <c r="G7" s="10">
        <v>5.83732E-2</v>
      </c>
      <c r="H7" s="10">
        <v>9.96866E-2</v>
      </c>
      <c r="J7">
        <f t="shared" si="0"/>
        <v>7.5750799999999993E-2</v>
      </c>
      <c r="K7">
        <f t="shared" si="0"/>
        <v>4.5279999999999999E-3</v>
      </c>
      <c r="M7" t="str">
        <f t="shared" si="1"/>
        <v>0.08 (0.00)</v>
      </c>
    </row>
    <row r="8" spans="1:13" x14ac:dyDescent="0.3">
      <c r="A8" s="18"/>
      <c r="B8" s="20"/>
      <c r="C8" s="8" t="s">
        <v>102</v>
      </c>
      <c r="D8" s="10">
        <v>17157</v>
      </c>
      <c r="E8" s="10">
        <v>112.6918459</v>
      </c>
      <c r="F8" s="10">
        <v>15.539048899999999</v>
      </c>
      <c r="G8" s="10">
        <v>75</v>
      </c>
      <c r="H8" s="10">
        <v>217</v>
      </c>
      <c r="J8">
        <f t="shared" si="0"/>
        <v>112.6918459</v>
      </c>
      <c r="K8">
        <f t="shared" si="0"/>
        <v>15.539048899999999</v>
      </c>
      <c r="M8" t="str">
        <f t="shared" si="1"/>
        <v>112.69 (15.54)</v>
      </c>
    </row>
    <row r="9" spans="1:13" x14ac:dyDescent="0.3">
      <c r="A9" s="18"/>
      <c r="B9" s="20"/>
      <c r="C9" s="8" t="s">
        <v>103</v>
      </c>
      <c r="D9" s="10">
        <v>17157</v>
      </c>
      <c r="E9" s="10">
        <v>92.776767500000005</v>
      </c>
      <c r="F9" s="10">
        <v>14.5835782</v>
      </c>
      <c r="G9" s="10">
        <v>51</v>
      </c>
      <c r="H9" s="10">
        <v>400</v>
      </c>
      <c r="J9">
        <f t="shared" si="0"/>
        <v>92.776767500000005</v>
      </c>
      <c r="K9">
        <f t="shared" si="0"/>
        <v>14.5835782</v>
      </c>
      <c r="M9" t="str">
        <f t="shared" si="1"/>
        <v>92.78 (14.58)</v>
      </c>
    </row>
    <row r="10" spans="1:13" x14ac:dyDescent="0.3">
      <c r="A10" s="18"/>
      <c r="B10" s="20"/>
      <c r="C10" s="8" t="s">
        <v>104</v>
      </c>
      <c r="D10" s="10">
        <v>17157</v>
      </c>
      <c r="E10" s="10">
        <v>183.03211519999999</v>
      </c>
      <c r="F10" s="10">
        <v>32.932221300000002</v>
      </c>
      <c r="G10" s="10">
        <v>71</v>
      </c>
      <c r="H10" s="10">
        <v>457</v>
      </c>
      <c r="J10">
        <f t="shared" si="0"/>
        <v>183.03211519999999</v>
      </c>
      <c r="K10">
        <f t="shared" si="0"/>
        <v>32.932221300000002</v>
      </c>
      <c r="M10" t="str">
        <f t="shared" si="1"/>
        <v>183.03 (32.93)</v>
      </c>
    </row>
    <row r="11" spans="1:13" ht="25.5" x14ac:dyDescent="0.3">
      <c r="A11" s="18"/>
      <c r="B11" s="20"/>
      <c r="C11" s="8" t="s">
        <v>105</v>
      </c>
      <c r="D11" s="10">
        <v>17157</v>
      </c>
      <c r="E11" s="10">
        <v>63.439099400000003</v>
      </c>
      <c r="F11" s="10">
        <v>12.0861929</v>
      </c>
      <c r="G11" s="10">
        <v>17.027999999999999</v>
      </c>
      <c r="H11" s="10">
        <v>145.298</v>
      </c>
      <c r="J11">
        <f t="shared" si="0"/>
        <v>63.439099400000003</v>
      </c>
      <c r="K11">
        <f t="shared" si="0"/>
        <v>12.0861929</v>
      </c>
      <c r="M11" t="str">
        <f t="shared" si="1"/>
        <v>63.44 (12.09)</v>
      </c>
    </row>
    <row r="12" spans="1:13" x14ac:dyDescent="0.3">
      <c r="A12" s="18"/>
      <c r="B12" s="20"/>
      <c r="C12" s="8" t="s">
        <v>106</v>
      </c>
      <c r="D12" s="10">
        <v>17157</v>
      </c>
      <c r="E12" s="10">
        <v>57.876027299999997</v>
      </c>
      <c r="F12" s="10">
        <v>14.8267317</v>
      </c>
      <c r="G12" s="10">
        <v>14</v>
      </c>
      <c r="H12" s="10">
        <v>139</v>
      </c>
      <c r="J12">
        <f t="shared" si="0"/>
        <v>57.876027299999997</v>
      </c>
      <c r="K12">
        <f t="shared" si="0"/>
        <v>14.8267317</v>
      </c>
      <c r="M12" t="str">
        <f t="shared" si="1"/>
        <v>57.88 (14.83)</v>
      </c>
    </row>
    <row r="13" spans="1:13" x14ac:dyDescent="0.3">
      <c r="A13" s="18"/>
      <c r="B13" s="20"/>
      <c r="C13" s="8" t="s">
        <v>107</v>
      </c>
      <c r="D13" s="10">
        <v>17157</v>
      </c>
      <c r="E13" s="10">
        <v>21.018884400000001</v>
      </c>
      <c r="F13" s="10">
        <v>11.516250700000001</v>
      </c>
      <c r="G13" s="10">
        <v>7</v>
      </c>
      <c r="H13" s="10">
        <v>430</v>
      </c>
      <c r="J13">
        <f t="shared" si="0"/>
        <v>21.018884400000001</v>
      </c>
      <c r="K13">
        <f t="shared" si="0"/>
        <v>11.516250700000001</v>
      </c>
      <c r="M13" t="str">
        <f t="shared" si="1"/>
        <v>21.02 (11.52)</v>
      </c>
    </row>
    <row r="14" spans="1:13" x14ac:dyDescent="0.3">
      <c r="A14" s="18"/>
      <c r="B14" s="20"/>
      <c r="C14" s="8" t="s">
        <v>108</v>
      </c>
      <c r="D14" s="10">
        <v>17157</v>
      </c>
      <c r="E14" s="10">
        <v>16.879640999999999</v>
      </c>
      <c r="F14" s="10">
        <v>13.180850299999999</v>
      </c>
      <c r="G14" s="10">
        <v>3</v>
      </c>
      <c r="H14" s="10">
        <v>743</v>
      </c>
      <c r="J14">
        <f t="shared" si="0"/>
        <v>16.879640999999999</v>
      </c>
      <c r="K14">
        <f t="shared" si="0"/>
        <v>13.180850299999999</v>
      </c>
      <c r="M14" t="str">
        <f t="shared" si="1"/>
        <v>16.88 (13.18)</v>
      </c>
    </row>
    <row r="15" spans="1:13" x14ac:dyDescent="0.3">
      <c r="A15" s="18"/>
      <c r="B15" s="20"/>
      <c r="C15" s="8" t="s">
        <v>109</v>
      </c>
      <c r="D15" s="10">
        <v>17157</v>
      </c>
      <c r="E15" s="10">
        <v>13.464411</v>
      </c>
      <c r="F15" s="10">
        <v>1.4227281000000001</v>
      </c>
      <c r="G15" s="10">
        <v>5</v>
      </c>
      <c r="H15" s="10">
        <v>18.8</v>
      </c>
      <c r="J15">
        <f t="shared" si="0"/>
        <v>13.464411</v>
      </c>
      <c r="K15">
        <f t="shared" si="0"/>
        <v>1.4227281000000001</v>
      </c>
      <c r="M15" t="str">
        <f t="shared" si="1"/>
        <v>13.46 (1.42)</v>
      </c>
    </row>
    <row r="16" spans="1:13" x14ac:dyDescent="0.3">
      <c r="A16" s="18"/>
      <c r="B16" s="20"/>
      <c r="C16" s="8" t="s">
        <v>110</v>
      </c>
      <c r="D16" s="10">
        <v>17157</v>
      </c>
      <c r="E16" s="10">
        <v>14.221075900000001</v>
      </c>
      <c r="F16" s="10">
        <v>4.4713094</v>
      </c>
      <c r="G16" s="10">
        <v>3</v>
      </c>
      <c r="H16" s="10">
        <v>140</v>
      </c>
      <c r="J16">
        <f t="shared" si="0"/>
        <v>14.221075900000001</v>
      </c>
      <c r="K16">
        <f t="shared" si="0"/>
        <v>4.4713094</v>
      </c>
      <c r="M16" t="str">
        <f t="shared" si="1"/>
        <v>14.22 (4.47)</v>
      </c>
    </row>
    <row r="17" spans="1:13" x14ac:dyDescent="0.3">
      <c r="A17" s="18"/>
      <c r="B17" s="20"/>
      <c r="C17" s="8" t="s">
        <v>111</v>
      </c>
      <c r="D17" s="10">
        <v>17157</v>
      </c>
      <c r="E17" s="10">
        <v>0.77265899999999998</v>
      </c>
      <c r="F17" s="10">
        <v>0.20312820000000001</v>
      </c>
      <c r="G17" s="10">
        <v>0.36</v>
      </c>
      <c r="H17" s="10">
        <v>14.38</v>
      </c>
      <c r="J17">
        <f t="shared" si="0"/>
        <v>0.77265899999999998</v>
      </c>
      <c r="K17">
        <f t="shared" si="0"/>
        <v>0.20312820000000001</v>
      </c>
      <c r="M17" t="str">
        <f t="shared" si="1"/>
        <v>0.77 (0.20)</v>
      </c>
    </row>
    <row r="18" spans="1:13" x14ac:dyDescent="0.3">
      <c r="A18" s="18"/>
      <c r="B18" s="20"/>
      <c r="C18" s="8" t="s">
        <v>112</v>
      </c>
      <c r="D18" s="10">
        <v>17157</v>
      </c>
      <c r="E18" s="10">
        <v>5.8483125999999999</v>
      </c>
      <c r="F18" s="10">
        <v>0.80731249999999999</v>
      </c>
      <c r="G18" s="10">
        <v>5</v>
      </c>
      <c r="H18" s="10">
        <v>9</v>
      </c>
      <c r="J18">
        <f t="shared" si="0"/>
        <v>5.8483125999999999</v>
      </c>
      <c r="K18">
        <f t="shared" si="0"/>
        <v>0.80731249999999999</v>
      </c>
      <c r="M18" t="str">
        <f t="shared" si="1"/>
        <v>5.85 (0.81)</v>
      </c>
    </row>
    <row r="19" spans="1:13" x14ac:dyDescent="0.3">
      <c r="A19" s="18"/>
      <c r="B19" s="20"/>
      <c r="C19" s="8" t="s">
        <v>113</v>
      </c>
      <c r="D19" s="10">
        <v>17157</v>
      </c>
      <c r="E19" s="10">
        <v>7.8517542000000002</v>
      </c>
      <c r="F19" s="10">
        <v>0.31448759999999998</v>
      </c>
      <c r="G19" s="10">
        <v>6.4441312999999996</v>
      </c>
      <c r="H19" s="10">
        <v>9.6018755999999996</v>
      </c>
      <c r="J19">
        <f t="shared" si="0"/>
        <v>7.8517542000000002</v>
      </c>
      <c r="K19">
        <f t="shared" si="0"/>
        <v>0.31448759999999998</v>
      </c>
      <c r="M19" t="str">
        <f t="shared" si="1"/>
        <v>7.85 (0.31)</v>
      </c>
    </row>
    <row r="20" spans="1:13" x14ac:dyDescent="0.3">
      <c r="A20" s="18"/>
      <c r="B20" s="20"/>
      <c r="C20" s="8" t="s">
        <v>114</v>
      </c>
      <c r="D20" s="10">
        <v>17157</v>
      </c>
      <c r="E20" s="10">
        <v>0.59511800000000004</v>
      </c>
      <c r="F20" s="10">
        <v>4.7453099999999998E-2</v>
      </c>
      <c r="G20" s="10">
        <v>0.43668079999999998</v>
      </c>
      <c r="H20" s="10">
        <v>0.82138029999999995</v>
      </c>
      <c r="J20">
        <f t="shared" si="0"/>
        <v>0.59511800000000004</v>
      </c>
      <c r="K20">
        <f t="shared" si="0"/>
        <v>4.7453099999999998E-2</v>
      </c>
      <c r="M20" t="str">
        <f t="shared" si="1"/>
        <v>0.60 (0.05)</v>
      </c>
    </row>
    <row r="21" spans="1:13" x14ac:dyDescent="0.3">
      <c r="A21" s="18"/>
      <c r="B21" s="20"/>
      <c r="C21" s="8" t="s">
        <v>115</v>
      </c>
      <c r="D21" s="10">
        <v>17157</v>
      </c>
      <c r="E21" s="11">
        <v>-4.7183999999999997E-2</v>
      </c>
      <c r="F21" s="10">
        <v>0.1236635</v>
      </c>
      <c r="G21" s="11">
        <v>-0.69650619999999996</v>
      </c>
      <c r="H21" s="10">
        <v>0.11440069999999999</v>
      </c>
      <c r="J21">
        <f t="shared" si="0"/>
        <v>-4.7183999999999997E-2</v>
      </c>
      <c r="K21">
        <f t="shared" si="0"/>
        <v>0.1236635</v>
      </c>
      <c r="M21" t="str">
        <f t="shared" si="1"/>
        <v>-0.05 (0.12)</v>
      </c>
    </row>
    <row r="22" spans="1:13" ht="17.25" thickBot="1" x14ac:dyDescent="0.35">
      <c r="A22" s="18"/>
      <c r="B22" s="20"/>
      <c r="C22" s="9" t="s">
        <v>116</v>
      </c>
      <c r="D22" s="10">
        <v>17157</v>
      </c>
      <c r="E22" s="10">
        <v>29.429636200000001</v>
      </c>
      <c r="F22" s="10">
        <v>4.5534169999999996</v>
      </c>
      <c r="G22" s="10">
        <v>15.6032782</v>
      </c>
      <c r="H22" s="10">
        <v>65.434191900000002</v>
      </c>
      <c r="J22">
        <f t="shared" si="0"/>
        <v>29.429636200000001</v>
      </c>
      <c r="K22">
        <f t="shared" si="0"/>
        <v>4.5534169999999996</v>
      </c>
      <c r="M22" t="str">
        <f t="shared" si="1"/>
        <v>29.43 (4.55)</v>
      </c>
    </row>
    <row r="23" spans="1:13" x14ac:dyDescent="0.3">
      <c r="A23" s="18">
        <v>2</v>
      </c>
      <c r="B23" s="20">
        <v>17160</v>
      </c>
      <c r="C23" s="8" t="s">
        <v>98</v>
      </c>
      <c r="D23" s="10">
        <v>17160</v>
      </c>
      <c r="E23" s="10">
        <v>49.010955699999997</v>
      </c>
      <c r="F23" s="10">
        <v>16.452397600000001</v>
      </c>
      <c r="G23" s="10">
        <v>19</v>
      </c>
      <c r="H23" s="10">
        <v>80</v>
      </c>
      <c r="J23">
        <f t="shared" si="0"/>
        <v>49.010955699999997</v>
      </c>
      <c r="K23">
        <f t="shared" si="0"/>
        <v>16.452397600000001</v>
      </c>
      <c r="M23" t="str">
        <f t="shared" si="1"/>
        <v>49.01 (16.45)</v>
      </c>
    </row>
    <row r="24" spans="1:13" x14ac:dyDescent="0.3">
      <c r="A24" s="18"/>
      <c r="B24" s="20"/>
      <c r="C24" s="8" t="s">
        <v>99</v>
      </c>
      <c r="D24" s="10">
        <v>17160</v>
      </c>
      <c r="E24" s="10">
        <v>23.395460499999999</v>
      </c>
      <c r="F24" s="10">
        <v>3.2842231000000002</v>
      </c>
      <c r="G24" s="10">
        <v>13.1339583</v>
      </c>
      <c r="H24" s="10">
        <v>62.640542099999998</v>
      </c>
      <c r="J24">
        <f t="shared" si="0"/>
        <v>23.395460499999999</v>
      </c>
      <c r="K24">
        <f t="shared" si="0"/>
        <v>3.2842231000000002</v>
      </c>
      <c r="M24" t="str">
        <f t="shared" si="1"/>
        <v>23.40 (3.28)</v>
      </c>
    </row>
    <row r="25" spans="1:13" x14ac:dyDescent="0.3">
      <c r="A25" s="18"/>
      <c r="B25" s="20"/>
      <c r="C25" s="8" t="s">
        <v>100</v>
      </c>
      <c r="D25" s="10">
        <v>17160</v>
      </c>
      <c r="E25" s="10">
        <v>80.795069900000001</v>
      </c>
      <c r="F25" s="10">
        <v>9.5439235</v>
      </c>
      <c r="G25" s="10">
        <v>49.3</v>
      </c>
      <c r="H25" s="10">
        <v>166.1</v>
      </c>
      <c r="J25">
        <f t="shared" si="0"/>
        <v>80.795069900000001</v>
      </c>
      <c r="K25">
        <f t="shared" si="0"/>
        <v>9.5439235</v>
      </c>
      <c r="M25" t="str">
        <f t="shared" si="1"/>
        <v>80.80 (9.54)</v>
      </c>
    </row>
    <row r="26" spans="1:13" x14ac:dyDescent="0.3">
      <c r="A26" s="18"/>
      <c r="B26" s="20"/>
      <c r="C26" s="8" t="s">
        <v>101</v>
      </c>
      <c r="D26" s="10">
        <v>17160</v>
      </c>
      <c r="E26" s="10">
        <v>7.7450599999999994E-2</v>
      </c>
      <c r="F26" s="10">
        <v>4.5976000000000003E-3</v>
      </c>
      <c r="G26" s="10">
        <v>5.4297199999999997E-2</v>
      </c>
      <c r="H26" s="10">
        <v>0.15107219999999999</v>
      </c>
      <c r="J26">
        <f t="shared" si="0"/>
        <v>7.7450599999999994E-2</v>
      </c>
      <c r="K26">
        <f t="shared" si="0"/>
        <v>4.5976000000000003E-3</v>
      </c>
      <c r="M26" t="str">
        <f t="shared" si="1"/>
        <v>0.08 (0.00)</v>
      </c>
    </row>
    <row r="27" spans="1:13" x14ac:dyDescent="0.3">
      <c r="A27" s="18"/>
      <c r="B27" s="20"/>
      <c r="C27" s="8" t="s">
        <v>102</v>
      </c>
      <c r="D27" s="10">
        <v>17160</v>
      </c>
      <c r="E27" s="10">
        <v>117.24399769999999</v>
      </c>
      <c r="F27" s="10">
        <v>16.375049600000001</v>
      </c>
      <c r="G27" s="10">
        <v>75</v>
      </c>
      <c r="H27" s="10">
        <v>232</v>
      </c>
      <c r="J27">
        <f t="shared" si="0"/>
        <v>117.24399769999999</v>
      </c>
      <c r="K27">
        <f t="shared" si="0"/>
        <v>16.375049600000001</v>
      </c>
      <c r="M27" t="str">
        <f t="shared" si="1"/>
        <v>117.24 (16.38)</v>
      </c>
    </row>
    <row r="28" spans="1:13" x14ac:dyDescent="0.3">
      <c r="A28" s="18"/>
      <c r="B28" s="20"/>
      <c r="C28" s="8" t="s">
        <v>103</v>
      </c>
      <c r="D28" s="10">
        <v>17160</v>
      </c>
      <c r="E28" s="10">
        <v>96.978671300000002</v>
      </c>
      <c r="F28" s="10">
        <v>18.468430900000001</v>
      </c>
      <c r="G28" s="10">
        <v>48</v>
      </c>
      <c r="H28" s="10">
        <v>415</v>
      </c>
      <c r="J28">
        <f t="shared" si="0"/>
        <v>96.978671300000002</v>
      </c>
      <c r="K28">
        <f t="shared" si="0"/>
        <v>18.468430900000001</v>
      </c>
      <c r="M28" t="str">
        <f t="shared" si="1"/>
        <v>96.98 (18.47)</v>
      </c>
    </row>
    <row r="29" spans="1:13" x14ac:dyDescent="0.3">
      <c r="A29" s="18"/>
      <c r="B29" s="20"/>
      <c r="C29" s="8" t="s">
        <v>104</v>
      </c>
      <c r="D29" s="10">
        <v>17160</v>
      </c>
      <c r="E29" s="10">
        <v>185.93677159999999</v>
      </c>
      <c r="F29" s="10">
        <v>35.508122499999999</v>
      </c>
      <c r="G29" s="10">
        <v>79</v>
      </c>
      <c r="H29" s="10">
        <v>379</v>
      </c>
      <c r="J29">
        <f t="shared" si="0"/>
        <v>185.93677159999999</v>
      </c>
      <c r="K29">
        <f t="shared" si="0"/>
        <v>35.508122499999999</v>
      </c>
      <c r="M29" t="str">
        <f t="shared" si="1"/>
        <v>185.94 (35.51)</v>
      </c>
    </row>
    <row r="30" spans="1:13" ht="25.5" x14ac:dyDescent="0.3">
      <c r="A30" s="18"/>
      <c r="B30" s="20"/>
      <c r="C30" s="8" t="s">
        <v>105</v>
      </c>
      <c r="D30" s="10">
        <v>17160</v>
      </c>
      <c r="E30" s="10">
        <v>53.649493300000003</v>
      </c>
      <c r="F30" s="10">
        <v>9.5212979000000004</v>
      </c>
      <c r="G30" s="10">
        <v>23.388000000000002</v>
      </c>
      <c r="H30" s="10">
        <v>126.76</v>
      </c>
      <c r="J30">
        <f t="shared" si="0"/>
        <v>53.649493300000003</v>
      </c>
      <c r="K30">
        <f t="shared" si="0"/>
        <v>9.5212979000000004</v>
      </c>
      <c r="M30" t="str">
        <f t="shared" si="1"/>
        <v>53.65 (9.52)</v>
      </c>
    </row>
    <row r="31" spans="1:13" x14ac:dyDescent="0.3">
      <c r="A31" s="18"/>
      <c r="B31" s="20"/>
      <c r="C31" s="8" t="s">
        <v>106</v>
      </c>
      <c r="D31" s="10">
        <v>17160</v>
      </c>
      <c r="E31" s="10">
        <v>90.115792499999998</v>
      </c>
      <c r="F31" s="10">
        <v>18.223510399999999</v>
      </c>
      <c r="G31" s="10">
        <v>41</v>
      </c>
      <c r="H31" s="10">
        <v>214</v>
      </c>
      <c r="J31">
        <f t="shared" si="0"/>
        <v>90.115792499999998</v>
      </c>
      <c r="K31">
        <f t="shared" si="0"/>
        <v>18.223510399999999</v>
      </c>
      <c r="M31" t="str">
        <f t="shared" si="1"/>
        <v>90.12 (18.22)</v>
      </c>
    </row>
    <row r="32" spans="1:13" x14ac:dyDescent="0.3">
      <c r="A32" s="18"/>
      <c r="B32" s="20"/>
      <c r="C32" s="8" t="s">
        <v>107</v>
      </c>
      <c r="D32" s="10">
        <v>17160</v>
      </c>
      <c r="E32" s="10">
        <v>22.0820513</v>
      </c>
      <c r="F32" s="10">
        <v>12.7281887</v>
      </c>
      <c r="G32" s="10">
        <v>7</v>
      </c>
      <c r="H32" s="10">
        <v>621</v>
      </c>
      <c r="J32">
        <f t="shared" si="0"/>
        <v>22.0820513</v>
      </c>
      <c r="K32">
        <f t="shared" si="0"/>
        <v>12.7281887</v>
      </c>
      <c r="M32" t="str">
        <f t="shared" si="1"/>
        <v>22.08 (12.73)</v>
      </c>
    </row>
    <row r="33" spans="1:13" x14ac:dyDescent="0.3">
      <c r="A33" s="18"/>
      <c r="B33" s="20"/>
      <c r="C33" s="8" t="s">
        <v>108</v>
      </c>
      <c r="D33" s="10">
        <v>17160</v>
      </c>
      <c r="E33" s="10">
        <v>20.0931818</v>
      </c>
      <c r="F33" s="10">
        <v>18.196325000000002</v>
      </c>
      <c r="G33" s="10">
        <v>1</v>
      </c>
      <c r="H33" s="10">
        <v>893</v>
      </c>
      <c r="J33">
        <f t="shared" si="0"/>
        <v>20.0931818</v>
      </c>
      <c r="K33">
        <f t="shared" si="0"/>
        <v>18.196325000000002</v>
      </c>
      <c r="M33" t="str">
        <f t="shared" si="1"/>
        <v>20.09 (18.20)</v>
      </c>
    </row>
    <row r="34" spans="1:13" x14ac:dyDescent="0.3">
      <c r="A34" s="18"/>
      <c r="B34" s="20"/>
      <c r="C34" s="8" t="s">
        <v>109</v>
      </c>
      <c r="D34" s="10">
        <v>17160</v>
      </c>
      <c r="E34" s="10">
        <v>13.915116599999999</v>
      </c>
      <c r="F34" s="10">
        <v>1.5197738999999999</v>
      </c>
      <c r="G34" s="10">
        <v>5.3</v>
      </c>
      <c r="H34" s="10">
        <v>19.399999999999999</v>
      </c>
      <c r="J34">
        <f t="shared" si="0"/>
        <v>13.915116599999999</v>
      </c>
      <c r="K34">
        <f t="shared" si="0"/>
        <v>1.5197738999999999</v>
      </c>
      <c r="M34" t="str">
        <f t="shared" si="1"/>
        <v>13.92 (1.52)</v>
      </c>
    </row>
    <row r="35" spans="1:13" x14ac:dyDescent="0.3">
      <c r="A35" s="18"/>
      <c r="B35" s="20"/>
      <c r="C35" s="8" t="s">
        <v>110</v>
      </c>
      <c r="D35" s="10">
        <v>17160</v>
      </c>
      <c r="E35" s="10">
        <v>14.5380828</v>
      </c>
      <c r="F35" s="10">
        <v>4.4411275999999997</v>
      </c>
      <c r="G35" s="10">
        <v>2</v>
      </c>
      <c r="H35" s="10">
        <v>83</v>
      </c>
      <c r="J35">
        <f t="shared" si="0"/>
        <v>14.5380828</v>
      </c>
      <c r="K35">
        <f t="shared" si="0"/>
        <v>4.4411275999999997</v>
      </c>
      <c r="M35" t="str">
        <f t="shared" si="1"/>
        <v>14.54 (4.44)</v>
      </c>
    </row>
    <row r="36" spans="1:13" x14ac:dyDescent="0.3">
      <c r="A36" s="18"/>
      <c r="B36" s="20"/>
      <c r="C36" s="8" t="s">
        <v>111</v>
      </c>
      <c r="D36" s="10">
        <v>17160</v>
      </c>
      <c r="E36" s="10">
        <v>0.81817019999999996</v>
      </c>
      <c r="F36" s="10">
        <v>0.2158851</v>
      </c>
      <c r="G36" s="10">
        <v>0.36</v>
      </c>
      <c r="H36" s="10">
        <v>9.4499999999999993</v>
      </c>
      <c r="J36">
        <f t="shared" si="0"/>
        <v>0.81817019999999996</v>
      </c>
      <c r="K36">
        <f t="shared" si="0"/>
        <v>0.2158851</v>
      </c>
      <c r="M36" t="str">
        <f t="shared" si="1"/>
        <v>0.82 (0.22)</v>
      </c>
    </row>
    <row r="37" spans="1:13" x14ac:dyDescent="0.3">
      <c r="A37" s="18"/>
      <c r="B37" s="20"/>
      <c r="C37" s="8" t="s">
        <v>112</v>
      </c>
      <c r="D37" s="10">
        <v>17160</v>
      </c>
      <c r="E37" s="10">
        <v>5.8279719999999999</v>
      </c>
      <c r="F37" s="10">
        <v>0.81176630000000005</v>
      </c>
      <c r="G37" s="10">
        <v>5</v>
      </c>
      <c r="H37" s="10">
        <v>9</v>
      </c>
      <c r="J37">
        <f t="shared" si="0"/>
        <v>5.8279719999999999</v>
      </c>
      <c r="K37">
        <f t="shared" si="0"/>
        <v>0.81176630000000005</v>
      </c>
      <c r="M37" t="str">
        <f t="shared" si="1"/>
        <v>5.83 (0.81)</v>
      </c>
    </row>
    <row r="38" spans="1:13" x14ac:dyDescent="0.3">
      <c r="A38" s="18"/>
      <c r="B38" s="20"/>
      <c r="C38" s="8" t="s">
        <v>113</v>
      </c>
      <c r="D38" s="10">
        <v>17160</v>
      </c>
      <c r="E38" s="10">
        <v>8.3495512999999999</v>
      </c>
      <c r="F38" s="10">
        <v>0.259357</v>
      </c>
      <c r="G38" s="10">
        <v>7.2251174999999996</v>
      </c>
      <c r="H38" s="10">
        <v>10.163445100000001</v>
      </c>
      <c r="J38">
        <f t="shared" si="0"/>
        <v>8.3495512999999999</v>
      </c>
      <c r="K38">
        <f t="shared" si="0"/>
        <v>0.259357</v>
      </c>
      <c r="M38" t="str">
        <f t="shared" si="1"/>
        <v>8.35 (0.26)</v>
      </c>
    </row>
    <row r="39" spans="1:13" x14ac:dyDescent="0.3">
      <c r="A39" s="18"/>
      <c r="B39" s="20"/>
      <c r="C39" s="8" t="s">
        <v>114</v>
      </c>
      <c r="D39" s="10">
        <v>17160</v>
      </c>
      <c r="E39" s="10">
        <v>0.6469068</v>
      </c>
      <c r="F39" s="10">
        <v>4.6763399999999997E-2</v>
      </c>
      <c r="G39" s="10">
        <v>0.44211159999999999</v>
      </c>
      <c r="H39" s="10">
        <v>1.3241700999999999</v>
      </c>
      <c r="J39">
        <f t="shared" si="0"/>
        <v>0.6469068</v>
      </c>
      <c r="K39">
        <f t="shared" si="0"/>
        <v>4.6763399999999997E-2</v>
      </c>
      <c r="M39" t="str">
        <f t="shared" si="1"/>
        <v>0.65 (0.05)</v>
      </c>
    </row>
    <row r="40" spans="1:13" x14ac:dyDescent="0.3">
      <c r="A40" s="18"/>
      <c r="B40" s="20"/>
      <c r="C40" s="8" t="s">
        <v>115</v>
      </c>
      <c r="D40" s="10">
        <v>17160</v>
      </c>
      <c r="E40" s="10">
        <v>0.22323460000000001</v>
      </c>
      <c r="F40" s="10">
        <v>6.1028199999999998E-2</v>
      </c>
      <c r="G40" s="10">
        <v>0.1144038</v>
      </c>
      <c r="H40" s="10">
        <v>0.3274203</v>
      </c>
      <c r="J40">
        <f t="shared" si="0"/>
        <v>0.22323460000000001</v>
      </c>
      <c r="K40">
        <f t="shared" si="0"/>
        <v>6.1028199999999998E-2</v>
      </c>
      <c r="M40" t="str">
        <f t="shared" si="1"/>
        <v>0.22 (0.06)</v>
      </c>
    </row>
    <row r="41" spans="1:13" ht="17.25" thickBot="1" x14ac:dyDescent="0.35">
      <c r="A41" s="18"/>
      <c r="B41" s="20"/>
      <c r="C41" s="9" t="s">
        <v>116</v>
      </c>
      <c r="D41" s="10">
        <v>17160</v>
      </c>
      <c r="E41" s="10">
        <v>33.347631900000003</v>
      </c>
      <c r="F41" s="10">
        <v>5.1243173000000004</v>
      </c>
      <c r="G41" s="10">
        <v>17.2447458</v>
      </c>
      <c r="H41" s="10">
        <v>93.063441699999998</v>
      </c>
      <c r="J41">
        <f t="shared" si="0"/>
        <v>33.347631900000003</v>
      </c>
      <c r="K41">
        <f t="shared" si="0"/>
        <v>5.1243173000000004</v>
      </c>
      <c r="M41" t="str">
        <f t="shared" si="1"/>
        <v>33.35 (5.12)</v>
      </c>
    </row>
    <row r="42" spans="1:13" x14ac:dyDescent="0.3">
      <c r="A42" s="18">
        <v>3</v>
      </c>
      <c r="B42" s="20">
        <v>17158</v>
      </c>
      <c r="C42" s="8" t="s">
        <v>98</v>
      </c>
      <c r="D42" s="10">
        <v>17158</v>
      </c>
      <c r="E42" s="10">
        <v>51.924233600000001</v>
      </c>
      <c r="F42" s="10">
        <v>15.7351186</v>
      </c>
      <c r="G42" s="10">
        <v>19</v>
      </c>
      <c r="H42" s="10">
        <v>80</v>
      </c>
      <c r="J42">
        <f t="shared" si="0"/>
        <v>51.924233600000001</v>
      </c>
      <c r="K42">
        <f t="shared" si="0"/>
        <v>15.7351186</v>
      </c>
      <c r="M42" t="str">
        <f t="shared" si="1"/>
        <v>51.92 (15.74)</v>
      </c>
    </row>
    <row r="43" spans="1:13" x14ac:dyDescent="0.3">
      <c r="A43" s="18"/>
      <c r="B43" s="20"/>
      <c r="C43" s="8" t="s">
        <v>99</v>
      </c>
      <c r="D43" s="10">
        <v>17158</v>
      </c>
      <c r="E43" s="10">
        <v>24.5151565</v>
      </c>
      <c r="F43" s="10">
        <v>3.3742394999999998</v>
      </c>
      <c r="G43" s="10">
        <v>14.446396</v>
      </c>
      <c r="H43" s="10">
        <v>50.898579099999999</v>
      </c>
      <c r="J43">
        <f t="shared" si="0"/>
        <v>24.5151565</v>
      </c>
      <c r="K43">
        <f t="shared" si="0"/>
        <v>3.3742394999999998</v>
      </c>
      <c r="M43" t="str">
        <f t="shared" si="1"/>
        <v>24.52 (3.37)</v>
      </c>
    </row>
    <row r="44" spans="1:13" x14ac:dyDescent="0.3">
      <c r="A44" s="18"/>
      <c r="B44" s="20"/>
      <c r="C44" s="8" t="s">
        <v>100</v>
      </c>
      <c r="D44" s="10">
        <v>17158</v>
      </c>
      <c r="E44" s="10">
        <v>84.697866899999994</v>
      </c>
      <c r="F44" s="10">
        <v>9.3611555000000006</v>
      </c>
      <c r="G44" s="10">
        <v>36.200000000000003</v>
      </c>
      <c r="H44" s="10">
        <v>147.5</v>
      </c>
      <c r="J44">
        <f t="shared" si="0"/>
        <v>84.697866899999994</v>
      </c>
      <c r="K44">
        <f t="shared" si="0"/>
        <v>9.3611555000000006</v>
      </c>
      <c r="M44" t="str">
        <f t="shared" si="1"/>
        <v>84.70 (9.36)</v>
      </c>
    </row>
    <row r="45" spans="1:13" x14ac:dyDescent="0.3">
      <c r="A45" s="18"/>
      <c r="B45" s="20"/>
      <c r="C45" s="8" t="s">
        <v>101</v>
      </c>
      <c r="D45" s="10">
        <v>17158</v>
      </c>
      <c r="E45" s="10">
        <v>7.8556100000000004E-2</v>
      </c>
      <c r="F45" s="10">
        <v>4.4618000000000001E-3</v>
      </c>
      <c r="G45" s="10">
        <v>4.5616799999999999E-2</v>
      </c>
      <c r="H45" s="10">
        <v>0.100623</v>
      </c>
      <c r="J45">
        <f t="shared" si="0"/>
        <v>7.8556100000000004E-2</v>
      </c>
      <c r="K45">
        <f t="shared" si="0"/>
        <v>4.4618000000000001E-3</v>
      </c>
      <c r="M45" t="str">
        <f t="shared" si="1"/>
        <v>0.08 (0.00)</v>
      </c>
    </row>
    <row r="46" spans="1:13" x14ac:dyDescent="0.3">
      <c r="A46" s="18"/>
      <c r="B46" s="20"/>
      <c r="C46" s="8" t="s">
        <v>102</v>
      </c>
      <c r="D46" s="10">
        <v>17158</v>
      </c>
      <c r="E46" s="10">
        <v>120.76920389999999</v>
      </c>
      <c r="F46" s="10">
        <v>16.272170500000001</v>
      </c>
      <c r="G46" s="10">
        <v>70</v>
      </c>
      <c r="H46" s="10">
        <v>220</v>
      </c>
      <c r="J46">
        <f t="shared" si="0"/>
        <v>120.76920389999999</v>
      </c>
      <c r="K46">
        <f t="shared" si="0"/>
        <v>16.272170500000001</v>
      </c>
      <c r="M46" t="str">
        <f t="shared" si="1"/>
        <v>120.77 (16.27)</v>
      </c>
    </row>
    <row r="47" spans="1:13" x14ac:dyDescent="0.3">
      <c r="A47" s="18"/>
      <c r="B47" s="20"/>
      <c r="C47" s="8" t="s">
        <v>103</v>
      </c>
      <c r="D47" s="10">
        <v>17158</v>
      </c>
      <c r="E47" s="10">
        <v>101.1657536</v>
      </c>
      <c r="F47" s="10">
        <v>22.2214563</v>
      </c>
      <c r="G47" s="10">
        <v>40</v>
      </c>
      <c r="H47" s="10">
        <v>465</v>
      </c>
      <c r="J47">
        <f t="shared" si="0"/>
        <v>101.1657536</v>
      </c>
      <c r="K47">
        <f t="shared" si="0"/>
        <v>22.2214563</v>
      </c>
      <c r="M47" t="str">
        <f t="shared" si="1"/>
        <v>101.17 (22.22)</v>
      </c>
    </row>
    <row r="48" spans="1:13" x14ac:dyDescent="0.3">
      <c r="A48" s="18"/>
      <c r="B48" s="20"/>
      <c r="C48" s="8" t="s">
        <v>104</v>
      </c>
      <c r="D48" s="10">
        <v>17158</v>
      </c>
      <c r="E48" s="10">
        <v>190.78896140000001</v>
      </c>
      <c r="F48" s="10">
        <v>37.310285499999999</v>
      </c>
      <c r="G48" s="10">
        <v>68</v>
      </c>
      <c r="H48" s="10">
        <v>407</v>
      </c>
      <c r="J48">
        <f t="shared" si="0"/>
        <v>190.78896140000001</v>
      </c>
      <c r="K48">
        <f t="shared" si="0"/>
        <v>37.310285499999999</v>
      </c>
      <c r="M48" t="str">
        <f t="shared" si="1"/>
        <v>190.79 (37.31)</v>
      </c>
    </row>
    <row r="49" spans="1:13" ht="25.5" x14ac:dyDescent="0.3">
      <c r="A49" s="18"/>
      <c r="B49" s="20"/>
      <c r="C49" s="8" t="s">
        <v>105</v>
      </c>
      <c r="D49" s="10">
        <v>17158</v>
      </c>
      <c r="E49" s="10">
        <v>47.3187444</v>
      </c>
      <c r="F49" s="10">
        <v>8.2915691000000002</v>
      </c>
      <c r="G49" s="10">
        <v>13.997999999999999</v>
      </c>
      <c r="H49" s="10">
        <v>105</v>
      </c>
      <c r="J49">
        <f t="shared" si="0"/>
        <v>47.3187444</v>
      </c>
      <c r="K49">
        <f t="shared" si="0"/>
        <v>8.2915691000000002</v>
      </c>
      <c r="M49" t="str">
        <f t="shared" si="1"/>
        <v>47.32 (8.29)</v>
      </c>
    </row>
    <row r="50" spans="1:13" x14ac:dyDescent="0.3">
      <c r="A50" s="18"/>
      <c r="B50" s="20"/>
      <c r="C50" s="8" t="s">
        <v>106</v>
      </c>
      <c r="D50" s="10">
        <v>17158</v>
      </c>
      <c r="E50" s="10">
        <v>130.0166103</v>
      </c>
      <c r="F50" s="10">
        <v>26.939948300000001</v>
      </c>
      <c r="G50" s="10">
        <v>39</v>
      </c>
      <c r="H50" s="10">
        <v>280</v>
      </c>
      <c r="J50">
        <f t="shared" si="0"/>
        <v>130.0166103</v>
      </c>
      <c r="K50">
        <f t="shared" si="0"/>
        <v>26.939948300000001</v>
      </c>
      <c r="M50" t="str">
        <f t="shared" si="1"/>
        <v>130.02 (26.94)</v>
      </c>
    </row>
    <row r="51" spans="1:13" x14ac:dyDescent="0.3">
      <c r="A51" s="18"/>
      <c r="B51" s="20"/>
      <c r="C51" s="8" t="s">
        <v>107</v>
      </c>
      <c r="D51" s="10">
        <v>17158</v>
      </c>
      <c r="E51" s="10">
        <v>23.544935299999999</v>
      </c>
      <c r="F51" s="10">
        <v>12.5948771</v>
      </c>
      <c r="G51" s="10">
        <v>7</v>
      </c>
      <c r="H51" s="10">
        <v>491</v>
      </c>
      <c r="J51">
        <f t="shared" si="0"/>
        <v>23.544935299999999</v>
      </c>
      <c r="K51">
        <f t="shared" si="0"/>
        <v>12.5948771</v>
      </c>
      <c r="M51" t="str">
        <f t="shared" si="1"/>
        <v>23.54 (12.59)</v>
      </c>
    </row>
    <row r="52" spans="1:13" x14ac:dyDescent="0.3">
      <c r="A52" s="18"/>
      <c r="B52" s="20"/>
      <c r="C52" s="8" t="s">
        <v>108</v>
      </c>
      <c r="D52" s="10">
        <v>17158</v>
      </c>
      <c r="E52" s="10">
        <v>23.700372999999999</v>
      </c>
      <c r="F52" s="10">
        <v>18.769882299999999</v>
      </c>
      <c r="G52" s="10">
        <v>2</v>
      </c>
      <c r="H52" s="10">
        <v>857</v>
      </c>
      <c r="J52">
        <f t="shared" si="0"/>
        <v>23.700372999999999</v>
      </c>
      <c r="K52">
        <f t="shared" si="0"/>
        <v>18.769882299999999</v>
      </c>
      <c r="M52" t="str">
        <f t="shared" si="1"/>
        <v>23.70 (18.77)</v>
      </c>
    </row>
    <row r="53" spans="1:13" x14ac:dyDescent="0.3">
      <c r="A53" s="18"/>
      <c r="B53" s="20"/>
      <c r="C53" s="8" t="s">
        <v>109</v>
      </c>
      <c r="D53" s="10">
        <v>17158</v>
      </c>
      <c r="E53" s="10">
        <v>14.2601935</v>
      </c>
      <c r="F53" s="10">
        <v>1.5488006999999999</v>
      </c>
      <c r="G53" s="10">
        <v>3.9</v>
      </c>
      <c r="H53" s="10">
        <v>21.3</v>
      </c>
      <c r="J53">
        <f t="shared" si="0"/>
        <v>14.2601935</v>
      </c>
      <c r="K53">
        <f t="shared" si="0"/>
        <v>1.5488006999999999</v>
      </c>
      <c r="M53" t="str">
        <f t="shared" si="1"/>
        <v>14.26 (1.55)</v>
      </c>
    </row>
    <row r="54" spans="1:13" x14ac:dyDescent="0.3">
      <c r="A54" s="18"/>
      <c r="B54" s="20"/>
      <c r="C54" s="8" t="s">
        <v>110</v>
      </c>
      <c r="D54" s="10">
        <v>17158</v>
      </c>
      <c r="E54" s="10">
        <v>14.737615099999999</v>
      </c>
      <c r="F54" s="10">
        <v>4.5624459999999996</v>
      </c>
      <c r="G54" s="10">
        <v>4</v>
      </c>
      <c r="H54" s="10">
        <v>115</v>
      </c>
      <c r="J54">
        <f t="shared" si="0"/>
        <v>14.737615099999999</v>
      </c>
      <c r="K54">
        <f t="shared" si="0"/>
        <v>4.5624459999999996</v>
      </c>
      <c r="M54" t="str">
        <f t="shared" si="1"/>
        <v>14.74 (4.56)</v>
      </c>
    </row>
    <row r="55" spans="1:13" x14ac:dyDescent="0.3">
      <c r="A55" s="18"/>
      <c r="B55" s="20"/>
      <c r="C55" s="8" t="s">
        <v>111</v>
      </c>
      <c r="D55" s="10">
        <v>17158</v>
      </c>
      <c r="E55" s="10">
        <v>0.85849810000000004</v>
      </c>
      <c r="F55" s="10">
        <v>0.2439482</v>
      </c>
      <c r="G55" s="10">
        <v>0.4</v>
      </c>
      <c r="H55" s="10">
        <v>11.33</v>
      </c>
      <c r="J55">
        <f t="shared" si="0"/>
        <v>0.85849810000000004</v>
      </c>
      <c r="K55">
        <f t="shared" si="0"/>
        <v>0.2439482</v>
      </c>
      <c r="M55" t="str">
        <f t="shared" si="1"/>
        <v>0.86 (0.24)</v>
      </c>
    </row>
    <row r="56" spans="1:13" x14ac:dyDescent="0.3">
      <c r="A56" s="18"/>
      <c r="B56" s="20"/>
      <c r="C56" s="8" t="s">
        <v>112</v>
      </c>
      <c r="D56" s="10">
        <v>17158</v>
      </c>
      <c r="E56" s="10">
        <v>5.7750902999999996</v>
      </c>
      <c r="F56" s="10">
        <v>0.80342040000000003</v>
      </c>
      <c r="G56" s="10">
        <v>5</v>
      </c>
      <c r="H56" s="10">
        <v>9</v>
      </c>
      <c r="J56">
        <f t="shared" si="0"/>
        <v>5.7750902999999996</v>
      </c>
      <c r="K56">
        <f t="shared" si="0"/>
        <v>0.80342040000000003</v>
      </c>
      <c r="M56" t="str">
        <f t="shared" si="1"/>
        <v>5.78 (0.80)</v>
      </c>
    </row>
    <row r="57" spans="1:13" x14ac:dyDescent="0.3">
      <c r="A57" s="18"/>
      <c r="B57" s="20"/>
      <c r="C57" s="8" t="s">
        <v>113</v>
      </c>
      <c r="D57" s="10">
        <v>17158</v>
      </c>
      <c r="E57" s="10">
        <v>8.7531146999999994</v>
      </c>
      <c r="F57" s="10">
        <v>0.27600350000000001</v>
      </c>
      <c r="G57" s="10">
        <v>7.5242914000000001</v>
      </c>
      <c r="H57" s="10">
        <v>10.618053700000001</v>
      </c>
      <c r="J57">
        <f t="shared" si="0"/>
        <v>8.7531146999999994</v>
      </c>
      <c r="K57">
        <f t="shared" si="0"/>
        <v>0.27600350000000001</v>
      </c>
      <c r="M57" t="str">
        <f t="shared" si="1"/>
        <v>8.75 (0.28)</v>
      </c>
    </row>
    <row r="58" spans="1:13" x14ac:dyDescent="0.3">
      <c r="A58" s="18"/>
      <c r="B58" s="20"/>
      <c r="C58" s="8" t="s">
        <v>114</v>
      </c>
      <c r="D58" s="10">
        <v>17158</v>
      </c>
      <c r="E58" s="10">
        <v>0.68779170000000001</v>
      </c>
      <c r="F58" s="10">
        <v>4.7454400000000001E-2</v>
      </c>
      <c r="G58" s="10">
        <v>0.40120869999999997</v>
      </c>
      <c r="H58" s="10">
        <v>0.91717099999999996</v>
      </c>
      <c r="J58">
        <f t="shared" si="0"/>
        <v>0.68779170000000001</v>
      </c>
      <c r="K58">
        <f t="shared" si="0"/>
        <v>4.7454400000000001E-2</v>
      </c>
      <c r="M58" t="str">
        <f t="shared" si="1"/>
        <v>0.69 (0.05)</v>
      </c>
    </row>
    <row r="59" spans="1:13" x14ac:dyDescent="0.3">
      <c r="A59" s="18"/>
      <c r="B59" s="20"/>
      <c r="C59" s="8" t="s">
        <v>115</v>
      </c>
      <c r="D59" s="10">
        <v>17158</v>
      </c>
      <c r="E59" s="10">
        <v>0.43640109999999999</v>
      </c>
      <c r="F59" s="10">
        <v>6.4936599999999997E-2</v>
      </c>
      <c r="G59" s="10">
        <v>0.3274782</v>
      </c>
      <c r="H59" s="10">
        <v>0.55412899999999998</v>
      </c>
      <c r="J59">
        <f t="shared" si="0"/>
        <v>0.43640109999999999</v>
      </c>
      <c r="K59">
        <f t="shared" si="0"/>
        <v>6.4936599999999997E-2</v>
      </c>
      <c r="M59" t="str">
        <f t="shared" si="1"/>
        <v>0.44 (0.06)</v>
      </c>
    </row>
    <row r="60" spans="1:13" ht="17.25" thickBot="1" x14ac:dyDescent="0.35">
      <c r="A60" s="18"/>
      <c r="B60" s="20"/>
      <c r="C60" s="9" t="s">
        <v>116</v>
      </c>
      <c r="D60" s="10">
        <v>17158</v>
      </c>
      <c r="E60" s="10">
        <v>37.067715</v>
      </c>
      <c r="F60" s="10">
        <v>5.5358475</v>
      </c>
      <c r="G60" s="10">
        <v>20.2341506</v>
      </c>
      <c r="H60" s="10">
        <v>83.951480799999999</v>
      </c>
      <c r="J60">
        <f t="shared" si="0"/>
        <v>37.067715</v>
      </c>
      <c r="K60">
        <f t="shared" si="0"/>
        <v>5.5358475</v>
      </c>
      <c r="M60" t="str">
        <f t="shared" si="1"/>
        <v>37.07 (5.54)</v>
      </c>
    </row>
    <row r="61" spans="1:13" x14ac:dyDescent="0.3">
      <c r="A61" s="18">
        <v>4</v>
      </c>
      <c r="B61" s="20">
        <v>17159</v>
      </c>
      <c r="C61" s="8" t="s">
        <v>98</v>
      </c>
      <c r="D61" s="10">
        <v>17159</v>
      </c>
      <c r="E61" s="10">
        <v>52.224372000000002</v>
      </c>
      <c r="F61" s="10">
        <v>14.520486</v>
      </c>
      <c r="G61" s="10">
        <v>19</v>
      </c>
      <c r="H61" s="10">
        <v>80</v>
      </c>
      <c r="J61">
        <f t="shared" si="0"/>
        <v>52.224372000000002</v>
      </c>
      <c r="K61">
        <f t="shared" si="0"/>
        <v>14.520486</v>
      </c>
      <c r="M61" t="str">
        <f t="shared" si="1"/>
        <v>52.22 (14.52)</v>
      </c>
    </row>
    <row r="62" spans="1:13" x14ac:dyDescent="0.3">
      <c r="A62" s="18"/>
      <c r="B62" s="20"/>
      <c r="C62" s="8" t="s">
        <v>99</v>
      </c>
      <c r="D62" s="10">
        <v>17159</v>
      </c>
      <c r="E62" s="10">
        <v>25.4639411</v>
      </c>
      <c r="F62" s="10">
        <v>3.3231234999999999</v>
      </c>
      <c r="G62" s="10">
        <v>14.9232026</v>
      </c>
      <c r="H62" s="10">
        <v>48.054904200000003</v>
      </c>
      <c r="J62">
        <f t="shared" si="0"/>
        <v>25.4639411</v>
      </c>
      <c r="K62">
        <f t="shared" si="0"/>
        <v>3.3231234999999999</v>
      </c>
      <c r="M62" t="str">
        <f t="shared" si="1"/>
        <v>25.46 (3.32)</v>
      </c>
    </row>
    <row r="63" spans="1:13" x14ac:dyDescent="0.3">
      <c r="A63" s="18"/>
      <c r="B63" s="20"/>
      <c r="C63" s="8" t="s">
        <v>100</v>
      </c>
      <c r="D63" s="10">
        <v>17159</v>
      </c>
      <c r="E63" s="10">
        <v>88.026475899999994</v>
      </c>
      <c r="F63" s="10">
        <v>8.7542466000000001</v>
      </c>
      <c r="G63" s="10">
        <v>52.3</v>
      </c>
      <c r="H63" s="10">
        <v>139.69999999999999</v>
      </c>
      <c r="J63">
        <f t="shared" si="0"/>
        <v>88.026475899999994</v>
      </c>
      <c r="K63">
        <f t="shared" si="0"/>
        <v>8.7542466000000001</v>
      </c>
      <c r="M63" t="str">
        <f t="shared" si="1"/>
        <v>88.03 (8.75)</v>
      </c>
    </row>
    <row r="64" spans="1:13" x14ac:dyDescent="0.3">
      <c r="A64" s="18"/>
      <c r="B64" s="20"/>
      <c r="C64" s="8" t="s">
        <v>101</v>
      </c>
      <c r="D64" s="10">
        <v>17159</v>
      </c>
      <c r="E64" s="10">
        <v>7.9268699999999997E-2</v>
      </c>
      <c r="F64" s="10">
        <v>4.1768999999999999E-3</v>
      </c>
      <c r="G64" s="10">
        <v>4.8055199999999999E-2</v>
      </c>
      <c r="H64" s="10">
        <v>0.1020525</v>
      </c>
      <c r="J64">
        <f t="shared" si="0"/>
        <v>7.9268699999999997E-2</v>
      </c>
      <c r="K64">
        <f t="shared" si="0"/>
        <v>4.1768999999999999E-3</v>
      </c>
      <c r="M64" t="str">
        <f t="shared" si="1"/>
        <v>0.08 (0.00)</v>
      </c>
    </row>
    <row r="65" spans="1:13" x14ac:dyDescent="0.3">
      <c r="A65" s="18"/>
      <c r="B65" s="20"/>
      <c r="C65" s="8" t="s">
        <v>102</v>
      </c>
      <c r="D65" s="10">
        <v>17159</v>
      </c>
      <c r="E65" s="10">
        <v>123.3008042</v>
      </c>
      <c r="F65" s="10">
        <v>16.074439699999999</v>
      </c>
      <c r="G65" s="10">
        <v>77</v>
      </c>
      <c r="H65" s="10">
        <v>243</v>
      </c>
      <c r="J65">
        <f t="shared" si="0"/>
        <v>123.3008042</v>
      </c>
      <c r="K65">
        <f t="shared" si="0"/>
        <v>16.074439699999999</v>
      </c>
      <c r="M65" t="str">
        <f t="shared" si="1"/>
        <v>123.30 (16.07)</v>
      </c>
    </row>
    <row r="66" spans="1:13" x14ac:dyDescent="0.3">
      <c r="A66" s="18"/>
      <c r="B66" s="20"/>
      <c r="C66" s="8" t="s">
        <v>103</v>
      </c>
      <c r="D66" s="10">
        <v>17159</v>
      </c>
      <c r="E66" s="10">
        <v>106.85383760000001</v>
      </c>
      <c r="F66" s="10">
        <v>28.431285599999999</v>
      </c>
      <c r="G66" s="10">
        <v>46</v>
      </c>
      <c r="H66" s="10">
        <v>553</v>
      </c>
      <c r="J66">
        <f t="shared" si="0"/>
        <v>106.85383760000001</v>
      </c>
      <c r="K66">
        <f t="shared" si="0"/>
        <v>28.431285599999999</v>
      </c>
      <c r="M66" t="str">
        <f t="shared" si="1"/>
        <v>106.85 (28.43)</v>
      </c>
    </row>
    <row r="67" spans="1:13" x14ac:dyDescent="0.3">
      <c r="A67" s="18"/>
      <c r="B67" s="20"/>
      <c r="C67" s="8" t="s">
        <v>104</v>
      </c>
      <c r="D67" s="10">
        <v>17159</v>
      </c>
      <c r="E67" s="10">
        <v>199.55929829999999</v>
      </c>
      <c r="F67" s="10">
        <v>39.778631400000002</v>
      </c>
      <c r="G67" s="10">
        <v>66</v>
      </c>
      <c r="H67" s="10">
        <v>554</v>
      </c>
      <c r="J67">
        <f t="shared" si="0"/>
        <v>199.55929829999999</v>
      </c>
      <c r="K67">
        <f t="shared" si="0"/>
        <v>39.778631400000002</v>
      </c>
      <c r="M67" t="str">
        <f t="shared" si="1"/>
        <v>199.56 (39.78)</v>
      </c>
    </row>
    <row r="68" spans="1:13" ht="25.5" x14ac:dyDescent="0.3">
      <c r="A68" s="18"/>
      <c r="B68" s="20"/>
      <c r="C68" s="8" t="s">
        <v>105</v>
      </c>
      <c r="D68" s="10">
        <v>17159</v>
      </c>
      <c r="E68" s="10">
        <v>40.250334600000002</v>
      </c>
      <c r="F68" s="10">
        <v>7.5021459999999998</v>
      </c>
      <c r="G68" s="10">
        <v>8</v>
      </c>
      <c r="H68" s="10">
        <v>87.727999999999994</v>
      </c>
      <c r="J68">
        <f t="shared" si="0"/>
        <v>40.250334600000002</v>
      </c>
      <c r="K68">
        <f t="shared" si="0"/>
        <v>7.5021459999999998</v>
      </c>
      <c r="M68" t="str">
        <f t="shared" si="1"/>
        <v>40.25 (7.50)</v>
      </c>
    </row>
    <row r="69" spans="1:13" x14ac:dyDescent="0.3">
      <c r="A69" s="18"/>
      <c r="B69" s="20"/>
      <c r="C69" s="8" t="s">
        <v>106</v>
      </c>
      <c r="D69" s="10">
        <v>17159</v>
      </c>
      <c r="E69" s="10">
        <v>254.91089220000001</v>
      </c>
      <c r="F69" s="10">
        <v>152.0377464</v>
      </c>
      <c r="G69" s="10">
        <v>68</v>
      </c>
      <c r="H69" s="10">
        <v>2774</v>
      </c>
      <c r="J69">
        <f t="shared" ref="J69:K79" si="2">E69</f>
        <v>254.91089220000001</v>
      </c>
      <c r="K69">
        <f t="shared" si="2"/>
        <v>152.0377464</v>
      </c>
      <c r="M69" t="str">
        <f t="shared" ref="M69:M79" si="3">TEXT(J69,"0.00")&amp;" ("&amp;TEXT(K69,"0.00")&amp;")"</f>
        <v>254.91 (152.04)</v>
      </c>
    </row>
    <row r="70" spans="1:13" x14ac:dyDescent="0.3">
      <c r="A70" s="18"/>
      <c r="B70" s="20"/>
      <c r="C70" s="8" t="s">
        <v>107</v>
      </c>
      <c r="D70" s="10">
        <v>17159</v>
      </c>
      <c r="E70" s="10">
        <v>26.4608077</v>
      </c>
      <c r="F70" s="10">
        <v>17.462759699999999</v>
      </c>
      <c r="G70" s="10">
        <v>6</v>
      </c>
      <c r="H70" s="10">
        <v>927</v>
      </c>
      <c r="J70">
        <f t="shared" si="2"/>
        <v>26.4608077</v>
      </c>
      <c r="K70">
        <f t="shared" si="2"/>
        <v>17.462759699999999</v>
      </c>
      <c r="M70" t="str">
        <f t="shared" si="3"/>
        <v>26.46 (17.46)</v>
      </c>
    </row>
    <row r="71" spans="1:13" x14ac:dyDescent="0.3">
      <c r="A71" s="18"/>
      <c r="B71" s="20"/>
      <c r="C71" s="8" t="s">
        <v>108</v>
      </c>
      <c r="D71" s="10">
        <v>17159</v>
      </c>
      <c r="E71" s="10">
        <v>29.6080191</v>
      </c>
      <c r="F71" s="10">
        <v>21.945632100000001</v>
      </c>
      <c r="G71" s="10">
        <v>4</v>
      </c>
      <c r="H71" s="10">
        <v>402</v>
      </c>
      <c r="J71">
        <f t="shared" si="2"/>
        <v>29.6080191</v>
      </c>
      <c r="K71">
        <f t="shared" si="2"/>
        <v>21.945632100000001</v>
      </c>
      <c r="M71" t="str">
        <f t="shared" si="3"/>
        <v>29.61 (21.95)</v>
      </c>
    </row>
    <row r="72" spans="1:13" x14ac:dyDescent="0.3">
      <c r="A72" s="18"/>
      <c r="B72" s="20"/>
      <c r="C72" s="8" t="s">
        <v>109</v>
      </c>
      <c r="D72" s="10">
        <v>17159</v>
      </c>
      <c r="E72" s="10">
        <v>14.703042099999999</v>
      </c>
      <c r="F72" s="10">
        <v>1.5313992000000001</v>
      </c>
      <c r="G72" s="10">
        <v>6.2</v>
      </c>
      <c r="H72" s="10">
        <v>19.600000000000001</v>
      </c>
      <c r="J72">
        <f t="shared" si="2"/>
        <v>14.703042099999999</v>
      </c>
      <c r="K72">
        <f t="shared" si="2"/>
        <v>1.5313992000000001</v>
      </c>
      <c r="M72" t="str">
        <f t="shared" si="3"/>
        <v>14.70 (1.53)</v>
      </c>
    </row>
    <row r="73" spans="1:13" x14ac:dyDescent="0.3">
      <c r="A73" s="18"/>
      <c r="B73" s="20"/>
      <c r="C73" s="8" t="s">
        <v>110</v>
      </c>
      <c r="D73" s="10">
        <v>17159</v>
      </c>
      <c r="E73" s="10">
        <v>14.685238099999999</v>
      </c>
      <c r="F73" s="10">
        <v>4.4471505999999996</v>
      </c>
      <c r="G73" s="10">
        <v>3</v>
      </c>
      <c r="H73" s="10">
        <v>77</v>
      </c>
      <c r="J73">
        <f t="shared" si="2"/>
        <v>14.685238099999999</v>
      </c>
      <c r="K73">
        <f t="shared" si="2"/>
        <v>4.4471505999999996</v>
      </c>
      <c r="M73" t="str">
        <f t="shared" si="3"/>
        <v>14.69 (4.45)</v>
      </c>
    </row>
    <row r="74" spans="1:13" x14ac:dyDescent="0.3">
      <c r="A74" s="18"/>
      <c r="B74" s="20"/>
      <c r="C74" s="8" t="s">
        <v>111</v>
      </c>
      <c r="D74" s="10">
        <v>17159</v>
      </c>
      <c r="E74" s="10">
        <v>0.89735940000000003</v>
      </c>
      <c r="F74" s="10">
        <v>0.26250230000000002</v>
      </c>
      <c r="G74" s="10">
        <v>0.2</v>
      </c>
      <c r="H74" s="10">
        <v>10.48</v>
      </c>
      <c r="J74">
        <f t="shared" si="2"/>
        <v>0.89735940000000003</v>
      </c>
      <c r="K74">
        <f t="shared" si="2"/>
        <v>0.26250230000000002</v>
      </c>
      <c r="M74" t="str">
        <f t="shared" si="3"/>
        <v>0.90 (0.26)</v>
      </c>
    </row>
    <row r="75" spans="1:13" x14ac:dyDescent="0.3">
      <c r="A75" s="18"/>
      <c r="B75" s="20"/>
      <c r="C75" s="8" t="s">
        <v>112</v>
      </c>
      <c r="D75" s="10">
        <v>17159</v>
      </c>
      <c r="E75" s="10">
        <v>5.6516405000000001</v>
      </c>
      <c r="F75" s="10">
        <v>0.76660360000000005</v>
      </c>
      <c r="G75" s="10">
        <v>5</v>
      </c>
      <c r="H75" s="10">
        <v>9</v>
      </c>
      <c r="J75">
        <f t="shared" si="2"/>
        <v>5.6516405000000001</v>
      </c>
      <c r="K75">
        <f t="shared" si="2"/>
        <v>0.76660360000000005</v>
      </c>
      <c r="M75" t="str">
        <f t="shared" si="3"/>
        <v>5.65 (0.77)</v>
      </c>
    </row>
    <row r="76" spans="1:13" x14ac:dyDescent="0.3">
      <c r="A76" s="18"/>
      <c r="B76" s="20"/>
      <c r="C76" s="8" t="s">
        <v>113</v>
      </c>
      <c r="D76" s="10">
        <v>17159</v>
      </c>
      <c r="E76" s="10">
        <v>9.3968641999999996</v>
      </c>
      <c r="F76" s="10">
        <v>0.4711051</v>
      </c>
      <c r="G76" s="10">
        <v>8.1659320999999991</v>
      </c>
      <c r="H76" s="10">
        <v>12.7290689</v>
      </c>
      <c r="J76">
        <f t="shared" si="2"/>
        <v>9.3968641999999996</v>
      </c>
      <c r="K76">
        <f t="shared" si="2"/>
        <v>0.4711051</v>
      </c>
      <c r="M76" t="str">
        <f t="shared" si="3"/>
        <v>9.40 (0.47)</v>
      </c>
    </row>
    <row r="77" spans="1:13" x14ac:dyDescent="0.3">
      <c r="A77" s="18"/>
      <c r="B77" s="20"/>
      <c r="C77" s="8" t="s">
        <v>114</v>
      </c>
      <c r="D77" s="10">
        <v>17159</v>
      </c>
      <c r="E77" s="10">
        <v>0.74501930000000005</v>
      </c>
      <c r="F77" s="10">
        <v>5.6120299999999998E-2</v>
      </c>
      <c r="G77" s="10">
        <v>0.45287640000000001</v>
      </c>
      <c r="H77" s="10">
        <v>1.0740016999999999</v>
      </c>
      <c r="J77">
        <f t="shared" si="2"/>
        <v>0.74501930000000005</v>
      </c>
      <c r="K77">
        <f t="shared" si="2"/>
        <v>5.6120299999999998E-2</v>
      </c>
      <c r="M77" t="str">
        <f t="shared" si="3"/>
        <v>0.75 (0.06)</v>
      </c>
    </row>
    <row r="78" spans="1:13" x14ac:dyDescent="0.3">
      <c r="A78" s="18"/>
      <c r="B78" s="20"/>
      <c r="C78" s="8" t="s">
        <v>115</v>
      </c>
      <c r="D78" s="10">
        <v>17159</v>
      </c>
      <c r="E78" s="10">
        <v>0.76674520000000002</v>
      </c>
      <c r="F78" s="10">
        <v>0.18831970000000001</v>
      </c>
      <c r="G78" s="10">
        <v>0.55415999999999999</v>
      </c>
      <c r="H78" s="10">
        <v>2.1147776999999999</v>
      </c>
      <c r="J78">
        <f t="shared" si="2"/>
        <v>0.76674520000000002</v>
      </c>
      <c r="K78">
        <f t="shared" si="2"/>
        <v>0.18831970000000001</v>
      </c>
      <c r="M78" t="str">
        <f t="shared" si="3"/>
        <v>0.77 (0.19)</v>
      </c>
    </row>
    <row r="79" spans="1:13" x14ac:dyDescent="0.3">
      <c r="A79" s="18"/>
      <c r="B79" s="20"/>
      <c r="C79" s="8" t="s">
        <v>116</v>
      </c>
      <c r="D79" s="10">
        <v>17159</v>
      </c>
      <c r="E79" s="10">
        <v>42.435458799999999</v>
      </c>
      <c r="F79" s="10">
        <v>6.5179242000000004</v>
      </c>
      <c r="G79" s="10">
        <v>23.104423199999999</v>
      </c>
      <c r="H79" s="10">
        <v>86.341505499999997</v>
      </c>
      <c r="J79">
        <f t="shared" si="2"/>
        <v>42.435458799999999</v>
      </c>
      <c r="K79">
        <f t="shared" si="2"/>
        <v>6.5179242000000004</v>
      </c>
      <c r="M79" t="str">
        <f t="shared" si="3"/>
        <v>42.44 (6.52)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81C0-7630-4AD6-9EA8-8213AE89D7AC}">
  <dimension ref="A1:M79"/>
  <sheetViews>
    <sheetView topLeftCell="A49"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ht="33" x14ac:dyDescent="0.3">
      <c r="A3" s="4" t="s">
        <v>75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18">
        <v>1</v>
      </c>
      <c r="B4" s="20">
        <v>17159</v>
      </c>
      <c r="C4" s="8" t="s">
        <v>98</v>
      </c>
      <c r="D4" s="10">
        <v>17159</v>
      </c>
      <c r="E4" s="10">
        <v>43.272859699999998</v>
      </c>
      <c r="F4" s="10">
        <v>16.2950211</v>
      </c>
      <c r="G4" s="10">
        <v>19</v>
      </c>
      <c r="H4" s="10">
        <v>80</v>
      </c>
      <c r="J4">
        <f>E4</f>
        <v>43.272859699999998</v>
      </c>
      <c r="K4">
        <f>F4</f>
        <v>16.2950211</v>
      </c>
      <c r="M4" t="str">
        <f>TEXT(J4,"0.00")&amp;" ("&amp;TEXT(K4,"0.00")&amp;")"</f>
        <v>43.27 (16.30)</v>
      </c>
    </row>
    <row r="5" spans="1:13" x14ac:dyDescent="0.3">
      <c r="A5" s="18"/>
      <c r="B5" s="20"/>
      <c r="C5" s="8" t="s">
        <v>99</v>
      </c>
      <c r="D5" s="10">
        <v>17159</v>
      </c>
      <c r="E5" s="10">
        <v>20.089084</v>
      </c>
      <c r="F5" s="10">
        <v>1.6004936999999999</v>
      </c>
      <c r="G5" s="10">
        <v>13.1339583</v>
      </c>
      <c r="H5" s="10">
        <v>25.764810499999999</v>
      </c>
      <c r="J5">
        <f t="shared" ref="J5:K68" si="0">E5</f>
        <v>20.089084</v>
      </c>
      <c r="K5">
        <f t="shared" si="0"/>
        <v>1.6004936999999999</v>
      </c>
      <c r="M5" t="str">
        <f t="shared" ref="M5:M68" si="1">TEXT(J5,"0.00")&amp;" ("&amp;TEXT(K5,"0.00")&amp;")"</f>
        <v>20.09 (1.60)</v>
      </c>
    </row>
    <row r="6" spans="1:13" x14ac:dyDescent="0.3">
      <c r="A6" s="18"/>
      <c r="B6" s="20"/>
      <c r="C6" s="8" t="s">
        <v>100</v>
      </c>
      <c r="D6" s="10">
        <v>17159</v>
      </c>
      <c r="E6" s="10">
        <v>71.259478999999999</v>
      </c>
      <c r="F6" s="10">
        <v>5.7751711999999999</v>
      </c>
      <c r="G6" s="10">
        <v>36.200000000000003</v>
      </c>
      <c r="H6" s="10">
        <v>104.6</v>
      </c>
      <c r="J6">
        <f t="shared" si="0"/>
        <v>71.259478999999999</v>
      </c>
      <c r="K6">
        <f t="shared" si="0"/>
        <v>5.7751711999999999</v>
      </c>
      <c r="M6" t="str">
        <f t="shared" si="1"/>
        <v>71.26 (5.78)</v>
      </c>
    </row>
    <row r="7" spans="1:13" x14ac:dyDescent="0.3">
      <c r="A7" s="18"/>
      <c r="B7" s="20"/>
      <c r="C7" s="8" t="s">
        <v>101</v>
      </c>
      <c r="D7" s="10">
        <v>17159</v>
      </c>
      <c r="E7" s="10">
        <v>7.5685500000000003E-2</v>
      </c>
      <c r="F7" s="10">
        <v>4.4648999999999999E-3</v>
      </c>
      <c r="G7" s="10">
        <v>4.5616799999999999E-2</v>
      </c>
      <c r="H7" s="10">
        <v>0.1121983</v>
      </c>
      <c r="J7">
        <f t="shared" si="0"/>
        <v>7.5685500000000003E-2</v>
      </c>
      <c r="K7">
        <f t="shared" si="0"/>
        <v>4.4648999999999999E-3</v>
      </c>
      <c r="M7" t="str">
        <f t="shared" si="1"/>
        <v>0.08 (0.00)</v>
      </c>
    </row>
    <row r="8" spans="1:13" x14ac:dyDescent="0.3">
      <c r="A8" s="18"/>
      <c r="B8" s="20"/>
      <c r="C8" s="8" t="s">
        <v>102</v>
      </c>
      <c r="D8" s="10">
        <v>17159</v>
      </c>
      <c r="E8" s="10">
        <v>111.121802</v>
      </c>
      <c r="F8" s="10">
        <v>15.272706400000001</v>
      </c>
      <c r="G8" s="10">
        <v>75</v>
      </c>
      <c r="H8" s="10">
        <v>217</v>
      </c>
      <c r="J8">
        <f t="shared" si="0"/>
        <v>111.121802</v>
      </c>
      <c r="K8">
        <f t="shared" si="0"/>
        <v>15.272706400000001</v>
      </c>
      <c r="M8" t="str">
        <f t="shared" si="1"/>
        <v>111.12 (15.27)</v>
      </c>
    </row>
    <row r="9" spans="1:13" x14ac:dyDescent="0.3">
      <c r="A9" s="18"/>
      <c r="B9" s="20"/>
      <c r="C9" s="8" t="s">
        <v>103</v>
      </c>
      <c r="D9" s="10">
        <v>17159</v>
      </c>
      <c r="E9" s="10">
        <v>90.528352499999997</v>
      </c>
      <c r="F9" s="10">
        <v>11.4756947</v>
      </c>
      <c r="G9" s="10">
        <v>48</v>
      </c>
      <c r="H9" s="10">
        <v>364</v>
      </c>
      <c r="J9">
        <f t="shared" si="0"/>
        <v>90.528352499999997</v>
      </c>
      <c r="K9">
        <f t="shared" si="0"/>
        <v>11.4756947</v>
      </c>
      <c r="M9" t="str">
        <f t="shared" si="1"/>
        <v>90.53 (11.48)</v>
      </c>
    </row>
    <row r="10" spans="1:13" x14ac:dyDescent="0.3">
      <c r="A10" s="18"/>
      <c r="B10" s="20"/>
      <c r="C10" s="8" t="s">
        <v>104</v>
      </c>
      <c r="D10" s="10">
        <v>17159</v>
      </c>
      <c r="E10" s="10">
        <v>184.4259572</v>
      </c>
      <c r="F10" s="10">
        <v>33.055315800000002</v>
      </c>
      <c r="G10" s="10">
        <v>89</v>
      </c>
      <c r="H10" s="10">
        <v>354</v>
      </c>
      <c r="J10">
        <f t="shared" si="0"/>
        <v>184.4259572</v>
      </c>
      <c r="K10">
        <f t="shared" si="0"/>
        <v>33.055315800000002</v>
      </c>
      <c r="M10" t="str">
        <f t="shared" si="1"/>
        <v>184.43 (33.06)</v>
      </c>
    </row>
    <row r="11" spans="1:13" ht="25.5" x14ac:dyDescent="0.3">
      <c r="A11" s="18"/>
      <c r="B11" s="20"/>
      <c r="C11" s="8" t="s">
        <v>105</v>
      </c>
      <c r="D11" s="10">
        <v>17159</v>
      </c>
      <c r="E11" s="10">
        <v>62.261744899999997</v>
      </c>
      <c r="F11" s="10">
        <v>12.5861895</v>
      </c>
      <c r="G11" s="10">
        <v>21.068000000000001</v>
      </c>
      <c r="H11" s="10">
        <v>145.298</v>
      </c>
      <c r="J11">
        <f t="shared" si="0"/>
        <v>62.261744899999997</v>
      </c>
      <c r="K11">
        <f t="shared" si="0"/>
        <v>12.5861895</v>
      </c>
      <c r="M11" t="str">
        <f t="shared" si="1"/>
        <v>62.26 (12.59)</v>
      </c>
    </row>
    <row r="12" spans="1:13" x14ac:dyDescent="0.3">
      <c r="A12" s="18"/>
      <c r="B12" s="20"/>
      <c r="C12" s="8" t="s">
        <v>106</v>
      </c>
      <c r="D12" s="10">
        <v>17159</v>
      </c>
      <c r="E12" s="10">
        <v>76.233346900000001</v>
      </c>
      <c r="F12" s="10">
        <v>36.054036600000003</v>
      </c>
      <c r="G12" s="10">
        <v>14</v>
      </c>
      <c r="H12" s="10">
        <v>808</v>
      </c>
      <c r="J12">
        <f t="shared" si="0"/>
        <v>76.233346900000001</v>
      </c>
      <c r="K12">
        <f t="shared" si="0"/>
        <v>36.054036600000003</v>
      </c>
      <c r="M12" t="str">
        <f t="shared" si="1"/>
        <v>76.23 (36.05)</v>
      </c>
    </row>
    <row r="13" spans="1:13" x14ac:dyDescent="0.3">
      <c r="A13" s="18"/>
      <c r="B13" s="20"/>
      <c r="C13" s="8" t="s">
        <v>107</v>
      </c>
      <c r="D13" s="10">
        <v>17159</v>
      </c>
      <c r="E13" s="10">
        <v>20.828894500000001</v>
      </c>
      <c r="F13" s="10">
        <v>12.813618200000001</v>
      </c>
      <c r="G13" s="10">
        <v>7</v>
      </c>
      <c r="H13" s="10">
        <v>621</v>
      </c>
      <c r="J13">
        <f t="shared" si="0"/>
        <v>20.828894500000001</v>
      </c>
      <c r="K13">
        <f t="shared" si="0"/>
        <v>12.813618200000001</v>
      </c>
      <c r="M13" t="str">
        <f t="shared" si="1"/>
        <v>20.83 (12.81)</v>
      </c>
    </row>
    <row r="14" spans="1:13" x14ac:dyDescent="0.3">
      <c r="A14" s="18"/>
      <c r="B14" s="20"/>
      <c r="C14" s="8" t="s">
        <v>108</v>
      </c>
      <c r="D14" s="10">
        <v>17159</v>
      </c>
      <c r="E14" s="10">
        <v>15.8374614</v>
      </c>
      <c r="F14" s="10">
        <v>11.6494973</v>
      </c>
      <c r="G14" s="10">
        <v>3</v>
      </c>
      <c r="H14" s="10">
        <v>395</v>
      </c>
      <c r="J14">
        <f t="shared" si="0"/>
        <v>15.8374614</v>
      </c>
      <c r="K14">
        <f t="shared" si="0"/>
        <v>11.6494973</v>
      </c>
      <c r="M14" t="str">
        <f t="shared" si="1"/>
        <v>15.84 (11.65)</v>
      </c>
    </row>
    <row r="15" spans="1:13" x14ac:dyDescent="0.3">
      <c r="A15" s="18"/>
      <c r="B15" s="20"/>
      <c r="C15" s="8" t="s">
        <v>109</v>
      </c>
      <c r="D15" s="10">
        <v>17159</v>
      </c>
      <c r="E15" s="10">
        <v>13.4755988</v>
      </c>
      <c r="F15" s="10">
        <v>1.4341413999999999</v>
      </c>
      <c r="G15" s="10">
        <v>5.2</v>
      </c>
      <c r="H15" s="10">
        <v>20.399999999999999</v>
      </c>
      <c r="J15">
        <f t="shared" si="0"/>
        <v>13.4755988</v>
      </c>
      <c r="K15">
        <f t="shared" si="0"/>
        <v>1.4341413999999999</v>
      </c>
      <c r="M15" t="str">
        <f t="shared" si="1"/>
        <v>13.48 (1.43)</v>
      </c>
    </row>
    <row r="16" spans="1:13" x14ac:dyDescent="0.3">
      <c r="A16" s="18"/>
      <c r="B16" s="20"/>
      <c r="C16" s="8" t="s">
        <v>110</v>
      </c>
      <c r="D16" s="10">
        <v>17159</v>
      </c>
      <c r="E16" s="10">
        <v>13.571933100000001</v>
      </c>
      <c r="F16" s="10">
        <v>4.3465660000000002</v>
      </c>
      <c r="G16" s="10">
        <v>3</v>
      </c>
      <c r="H16" s="10">
        <v>115</v>
      </c>
      <c r="J16">
        <f t="shared" si="0"/>
        <v>13.571933100000001</v>
      </c>
      <c r="K16">
        <f t="shared" si="0"/>
        <v>4.3465660000000002</v>
      </c>
      <c r="M16" t="str">
        <f t="shared" si="1"/>
        <v>13.57 (4.35)</v>
      </c>
    </row>
    <row r="17" spans="1:13" x14ac:dyDescent="0.3">
      <c r="A17" s="18"/>
      <c r="B17" s="20"/>
      <c r="C17" s="8" t="s">
        <v>111</v>
      </c>
      <c r="D17" s="10">
        <v>17159</v>
      </c>
      <c r="E17" s="10">
        <v>0.77163349999999997</v>
      </c>
      <c r="F17" s="10">
        <v>0.20133309999999999</v>
      </c>
      <c r="G17" s="10">
        <v>0.36</v>
      </c>
      <c r="H17" s="10">
        <v>11.33</v>
      </c>
      <c r="J17">
        <f t="shared" si="0"/>
        <v>0.77163349999999997</v>
      </c>
      <c r="K17">
        <f t="shared" si="0"/>
        <v>0.20133309999999999</v>
      </c>
      <c r="M17" t="str">
        <f t="shared" si="1"/>
        <v>0.77 (0.20)</v>
      </c>
    </row>
    <row r="18" spans="1:13" x14ac:dyDescent="0.3">
      <c r="A18" s="18"/>
      <c r="B18" s="20"/>
      <c r="C18" s="8" t="s">
        <v>112</v>
      </c>
      <c r="D18" s="10">
        <v>17159</v>
      </c>
      <c r="E18" s="10">
        <v>5.8361210000000003</v>
      </c>
      <c r="F18" s="10">
        <v>0.80147579999999996</v>
      </c>
      <c r="G18" s="10">
        <v>5</v>
      </c>
      <c r="H18" s="10">
        <v>9</v>
      </c>
      <c r="J18">
        <f t="shared" si="0"/>
        <v>5.8361210000000003</v>
      </c>
      <c r="K18">
        <f t="shared" si="0"/>
        <v>0.80147579999999996</v>
      </c>
      <c r="M18" t="str">
        <f t="shared" si="1"/>
        <v>5.84 (0.80)</v>
      </c>
    </row>
    <row r="19" spans="1:13" x14ac:dyDescent="0.3">
      <c r="A19" s="18"/>
      <c r="B19" s="20"/>
      <c r="C19" s="8" t="s">
        <v>113</v>
      </c>
      <c r="D19" s="10">
        <v>17159</v>
      </c>
      <c r="E19" s="10">
        <v>8.0509608000000004</v>
      </c>
      <c r="F19" s="10">
        <v>0.4424072</v>
      </c>
      <c r="G19" s="10">
        <v>6.4441312999999996</v>
      </c>
      <c r="H19" s="10">
        <v>10.6442099</v>
      </c>
      <c r="J19">
        <f t="shared" si="0"/>
        <v>8.0509608000000004</v>
      </c>
      <c r="K19">
        <f t="shared" si="0"/>
        <v>0.4424072</v>
      </c>
      <c r="M19" t="str">
        <f t="shared" si="1"/>
        <v>8.05 (0.44)</v>
      </c>
    </row>
    <row r="20" spans="1:13" x14ac:dyDescent="0.3">
      <c r="A20" s="18"/>
      <c r="B20" s="20"/>
      <c r="C20" s="8" t="s">
        <v>114</v>
      </c>
      <c r="D20" s="10">
        <v>17159</v>
      </c>
      <c r="E20" s="10">
        <v>0.6098827</v>
      </c>
      <c r="F20" s="10">
        <v>5.5792899999999999E-2</v>
      </c>
      <c r="G20" s="10">
        <v>0.40120869999999997</v>
      </c>
      <c r="H20" s="10">
        <v>0.93788660000000001</v>
      </c>
      <c r="J20">
        <f t="shared" si="0"/>
        <v>0.6098827</v>
      </c>
      <c r="K20">
        <f t="shared" si="0"/>
        <v>5.5792899999999999E-2</v>
      </c>
      <c r="M20" t="str">
        <f t="shared" si="1"/>
        <v>0.61 (0.06)</v>
      </c>
    </row>
    <row r="21" spans="1:13" x14ac:dyDescent="0.3">
      <c r="A21" s="18"/>
      <c r="B21" s="20"/>
      <c r="C21" s="8" t="s">
        <v>115</v>
      </c>
      <c r="D21" s="10">
        <v>17159</v>
      </c>
      <c r="E21" s="10">
        <v>5.7806799999999998E-2</v>
      </c>
      <c r="F21" s="10">
        <v>0.21010899999999999</v>
      </c>
      <c r="G21" s="11">
        <v>-0.69650619999999996</v>
      </c>
      <c r="H21" s="10">
        <v>1.2899577</v>
      </c>
      <c r="J21">
        <f t="shared" si="0"/>
        <v>5.7806799999999998E-2</v>
      </c>
      <c r="K21">
        <f t="shared" si="0"/>
        <v>0.21010899999999999</v>
      </c>
      <c r="M21" t="str">
        <f t="shared" si="1"/>
        <v>0.06 (0.21)</v>
      </c>
    </row>
    <row r="22" spans="1:13" ht="17.25" thickBot="1" x14ac:dyDescent="0.35">
      <c r="A22" s="18"/>
      <c r="B22" s="20"/>
      <c r="C22" s="9" t="s">
        <v>116</v>
      </c>
      <c r="D22" s="10">
        <v>17159</v>
      </c>
      <c r="E22" s="10">
        <v>27.083478599999999</v>
      </c>
      <c r="F22" s="10">
        <v>2.2346417000000001</v>
      </c>
      <c r="G22" s="10">
        <v>15.6032782</v>
      </c>
      <c r="H22" s="10">
        <v>30.213833600000001</v>
      </c>
      <c r="J22">
        <f t="shared" si="0"/>
        <v>27.083478599999999</v>
      </c>
      <c r="K22">
        <f t="shared" si="0"/>
        <v>2.2346417000000001</v>
      </c>
      <c r="M22" t="str">
        <f t="shared" si="1"/>
        <v>27.08 (2.23)</v>
      </c>
    </row>
    <row r="23" spans="1:13" x14ac:dyDescent="0.3">
      <c r="A23" s="18">
        <v>2</v>
      </c>
      <c r="B23" s="20">
        <v>17158</v>
      </c>
      <c r="C23" s="8" t="s">
        <v>98</v>
      </c>
      <c r="D23" s="10">
        <v>17158</v>
      </c>
      <c r="E23" s="10">
        <v>49.7023546</v>
      </c>
      <c r="F23" s="10">
        <v>15.9764918</v>
      </c>
      <c r="G23" s="10">
        <v>19</v>
      </c>
      <c r="H23" s="10">
        <v>80</v>
      </c>
      <c r="J23">
        <f t="shared" si="0"/>
        <v>49.7023546</v>
      </c>
      <c r="K23">
        <f t="shared" si="0"/>
        <v>15.9764918</v>
      </c>
      <c r="M23" t="str">
        <f t="shared" si="1"/>
        <v>49.70 (15.98)</v>
      </c>
    </row>
    <row r="24" spans="1:13" x14ac:dyDescent="0.3">
      <c r="A24" s="18"/>
      <c r="B24" s="20"/>
      <c r="C24" s="8" t="s">
        <v>99</v>
      </c>
      <c r="D24" s="10">
        <v>17158</v>
      </c>
      <c r="E24" s="10">
        <v>22.7683587</v>
      </c>
      <c r="F24" s="10">
        <v>1.4321028</v>
      </c>
      <c r="G24" s="10">
        <v>17.532744600000001</v>
      </c>
      <c r="H24" s="10">
        <v>29.064149400000002</v>
      </c>
      <c r="J24">
        <f t="shared" si="0"/>
        <v>22.7683587</v>
      </c>
      <c r="K24">
        <f t="shared" si="0"/>
        <v>1.4321028</v>
      </c>
      <c r="M24" t="str">
        <f t="shared" si="1"/>
        <v>22.77 (1.43)</v>
      </c>
    </row>
    <row r="25" spans="1:13" x14ac:dyDescent="0.3">
      <c r="A25" s="18"/>
      <c r="B25" s="20"/>
      <c r="C25" s="8" t="s">
        <v>100</v>
      </c>
      <c r="D25" s="10">
        <v>17158</v>
      </c>
      <c r="E25" s="10">
        <v>79.545646300000001</v>
      </c>
      <c r="F25" s="10">
        <v>5.6734770000000001</v>
      </c>
      <c r="G25" s="10">
        <v>54.2</v>
      </c>
      <c r="H25" s="10">
        <v>104.8</v>
      </c>
      <c r="J25">
        <f t="shared" si="0"/>
        <v>79.545646300000001</v>
      </c>
      <c r="K25">
        <f t="shared" si="0"/>
        <v>5.6734770000000001</v>
      </c>
      <c r="M25" t="str">
        <f t="shared" si="1"/>
        <v>79.55 (5.67)</v>
      </c>
    </row>
    <row r="26" spans="1:13" x14ac:dyDescent="0.3">
      <c r="A26" s="18"/>
      <c r="B26" s="20"/>
      <c r="C26" s="8" t="s">
        <v>101</v>
      </c>
      <c r="D26" s="10">
        <v>17158</v>
      </c>
      <c r="E26" s="10">
        <v>7.7595999999999998E-2</v>
      </c>
      <c r="F26" s="10">
        <v>4.6386999999999999E-3</v>
      </c>
      <c r="G26" s="10">
        <v>5.4297199999999997E-2</v>
      </c>
      <c r="H26" s="10">
        <v>0.1013003</v>
      </c>
      <c r="J26">
        <f t="shared" si="0"/>
        <v>7.7595999999999998E-2</v>
      </c>
      <c r="K26">
        <f t="shared" si="0"/>
        <v>4.6386999999999999E-3</v>
      </c>
      <c r="M26" t="str">
        <f t="shared" si="1"/>
        <v>0.08 (0.00)</v>
      </c>
    </row>
    <row r="27" spans="1:13" x14ac:dyDescent="0.3">
      <c r="A27" s="18"/>
      <c r="B27" s="20"/>
      <c r="C27" s="8" t="s">
        <v>102</v>
      </c>
      <c r="D27" s="10">
        <v>17158</v>
      </c>
      <c r="E27" s="10">
        <v>117.1864436</v>
      </c>
      <c r="F27" s="10">
        <v>16.3534708</v>
      </c>
      <c r="G27" s="10">
        <v>70</v>
      </c>
      <c r="H27" s="10">
        <v>243</v>
      </c>
      <c r="J27">
        <f t="shared" si="0"/>
        <v>117.1864436</v>
      </c>
      <c r="K27">
        <f t="shared" si="0"/>
        <v>16.3534708</v>
      </c>
      <c r="M27" t="str">
        <f t="shared" si="1"/>
        <v>117.19 (16.35)</v>
      </c>
    </row>
    <row r="28" spans="1:13" x14ac:dyDescent="0.3">
      <c r="A28" s="18"/>
      <c r="B28" s="20"/>
      <c r="C28" s="8" t="s">
        <v>103</v>
      </c>
      <c r="D28" s="10">
        <v>17158</v>
      </c>
      <c r="E28" s="10">
        <v>95.808893800000007</v>
      </c>
      <c r="F28" s="10">
        <v>15.7321603</v>
      </c>
      <c r="G28" s="10">
        <v>40</v>
      </c>
      <c r="H28" s="10">
        <v>465</v>
      </c>
      <c r="J28">
        <f t="shared" si="0"/>
        <v>95.808893800000007</v>
      </c>
      <c r="K28">
        <f t="shared" si="0"/>
        <v>15.7321603</v>
      </c>
      <c r="M28" t="str">
        <f t="shared" si="1"/>
        <v>95.81 (15.73)</v>
      </c>
    </row>
    <row r="29" spans="1:13" x14ac:dyDescent="0.3">
      <c r="A29" s="18"/>
      <c r="B29" s="20"/>
      <c r="C29" s="8" t="s">
        <v>104</v>
      </c>
      <c r="D29" s="10">
        <v>17158</v>
      </c>
      <c r="E29" s="10">
        <v>189.20427789999999</v>
      </c>
      <c r="F29" s="10">
        <v>35.856264199999998</v>
      </c>
      <c r="G29" s="10">
        <v>71</v>
      </c>
      <c r="H29" s="10">
        <v>381</v>
      </c>
      <c r="J29">
        <f t="shared" si="0"/>
        <v>189.20427789999999</v>
      </c>
      <c r="K29">
        <f t="shared" si="0"/>
        <v>35.856264199999998</v>
      </c>
      <c r="M29" t="str">
        <f t="shared" si="1"/>
        <v>189.20 (35.86)</v>
      </c>
    </row>
    <row r="30" spans="1:13" ht="25.5" x14ac:dyDescent="0.3">
      <c r="A30" s="18"/>
      <c r="B30" s="20"/>
      <c r="C30" s="8" t="s">
        <v>105</v>
      </c>
      <c r="D30" s="10">
        <v>17158</v>
      </c>
      <c r="E30" s="10">
        <v>53.315534599999999</v>
      </c>
      <c r="F30" s="10">
        <v>10.1778505</v>
      </c>
      <c r="G30" s="10">
        <v>17.027999999999999</v>
      </c>
      <c r="H30" s="10">
        <v>116.008</v>
      </c>
      <c r="J30">
        <f t="shared" si="0"/>
        <v>53.315534599999999</v>
      </c>
      <c r="K30">
        <f t="shared" si="0"/>
        <v>10.1778505</v>
      </c>
      <c r="M30" t="str">
        <f t="shared" si="1"/>
        <v>53.32 (10.18)</v>
      </c>
    </row>
    <row r="31" spans="1:13" x14ac:dyDescent="0.3">
      <c r="A31" s="18"/>
      <c r="B31" s="20"/>
      <c r="C31" s="8" t="s">
        <v>106</v>
      </c>
      <c r="D31" s="10">
        <v>17158</v>
      </c>
      <c r="E31" s="10">
        <v>103.6075883</v>
      </c>
      <c r="F31" s="10">
        <v>50.3040339</v>
      </c>
      <c r="G31" s="10">
        <v>20</v>
      </c>
      <c r="H31" s="10">
        <v>764</v>
      </c>
      <c r="J31">
        <f t="shared" si="0"/>
        <v>103.6075883</v>
      </c>
      <c r="K31">
        <f t="shared" si="0"/>
        <v>50.3040339</v>
      </c>
      <c r="M31" t="str">
        <f t="shared" si="1"/>
        <v>103.61 (50.30)</v>
      </c>
    </row>
    <row r="32" spans="1:13" x14ac:dyDescent="0.3">
      <c r="A32" s="18"/>
      <c r="B32" s="20"/>
      <c r="C32" s="8" t="s">
        <v>107</v>
      </c>
      <c r="D32" s="10">
        <v>17158</v>
      </c>
      <c r="E32" s="10">
        <v>22.009558200000001</v>
      </c>
      <c r="F32" s="10">
        <v>12.449285</v>
      </c>
      <c r="G32" s="10">
        <v>8</v>
      </c>
      <c r="H32" s="10">
        <v>430</v>
      </c>
      <c r="J32">
        <f t="shared" si="0"/>
        <v>22.009558200000001</v>
      </c>
      <c r="K32">
        <f t="shared" si="0"/>
        <v>12.449285</v>
      </c>
      <c r="M32" t="str">
        <f t="shared" si="1"/>
        <v>22.01 (12.45)</v>
      </c>
    </row>
    <row r="33" spans="1:13" x14ac:dyDescent="0.3">
      <c r="A33" s="18"/>
      <c r="B33" s="20"/>
      <c r="C33" s="8" t="s">
        <v>108</v>
      </c>
      <c r="D33" s="10">
        <v>17158</v>
      </c>
      <c r="E33" s="10">
        <v>19.389789</v>
      </c>
      <c r="F33" s="10">
        <v>16.209517099999999</v>
      </c>
      <c r="G33" s="10">
        <v>1</v>
      </c>
      <c r="H33" s="10">
        <v>768</v>
      </c>
      <c r="J33">
        <f t="shared" si="0"/>
        <v>19.389789</v>
      </c>
      <c r="K33">
        <f t="shared" si="0"/>
        <v>16.209517099999999</v>
      </c>
      <c r="M33" t="str">
        <f t="shared" si="1"/>
        <v>19.39 (16.21)</v>
      </c>
    </row>
    <row r="34" spans="1:13" x14ac:dyDescent="0.3">
      <c r="A34" s="18"/>
      <c r="B34" s="20"/>
      <c r="C34" s="8" t="s">
        <v>109</v>
      </c>
      <c r="D34" s="10">
        <v>17158</v>
      </c>
      <c r="E34" s="10">
        <v>13.925276800000001</v>
      </c>
      <c r="F34" s="10">
        <v>1.5206202</v>
      </c>
      <c r="G34" s="10">
        <v>5</v>
      </c>
      <c r="H34" s="10">
        <v>20.399999999999999</v>
      </c>
      <c r="J34">
        <f t="shared" si="0"/>
        <v>13.925276800000001</v>
      </c>
      <c r="K34">
        <f t="shared" si="0"/>
        <v>1.5206202</v>
      </c>
      <c r="M34" t="str">
        <f t="shared" si="1"/>
        <v>13.93 (1.52)</v>
      </c>
    </row>
    <row r="35" spans="1:13" x14ac:dyDescent="0.3">
      <c r="A35" s="18"/>
      <c r="B35" s="20"/>
      <c r="C35" s="8" t="s">
        <v>110</v>
      </c>
      <c r="D35" s="10">
        <v>17158</v>
      </c>
      <c r="E35" s="10">
        <v>14.5759063</v>
      </c>
      <c r="F35" s="10">
        <v>4.5070193999999999</v>
      </c>
      <c r="G35" s="10">
        <v>3</v>
      </c>
      <c r="H35" s="10">
        <v>140</v>
      </c>
      <c r="J35">
        <f t="shared" si="0"/>
        <v>14.5759063</v>
      </c>
      <c r="K35">
        <f t="shared" si="0"/>
        <v>4.5070193999999999</v>
      </c>
      <c r="M35" t="str">
        <f t="shared" si="1"/>
        <v>14.58 (4.51)</v>
      </c>
    </row>
    <row r="36" spans="1:13" x14ac:dyDescent="0.3">
      <c r="A36" s="18"/>
      <c r="B36" s="20"/>
      <c r="C36" s="8" t="s">
        <v>111</v>
      </c>
      <c r="D36" s="10">
        <v>17158</v>
      </c>
      <c r="E36" s="10">
        <v>0.82273980000000002</v>
      </c>
      <c r="F36" s="10">
        <v>0.2375729</v>
      </c>
      <c r="G36" s="10">
        <v>0.33</v>
      </c>
      <c r="H36" s="10">
        <v>14.38</v>
      </c>
      <c r="J36">
        <f t="shared" si="0"/>
        <v>0.82273980000000002</v>
      </c>
      <c r="K36">
        <f t="shared" si="0"/>
        <v>0.2375729</v>
      </c>
      <c r="M36" t="str">
        <f t="shared" si="1"/>
        <v>0.82 (0.24)</v>
      </c>
    </row>
    <row r="37" spans="1:13" x14ac:dyDescent="0.3">
      <c r="A37" s="18"/>
      <c r="B37" s="20"/>
      <c r="C37" s="8" t="s">
        <v>112</v>
      </c>
      <c r="D37" s="10">
        <v>17158</v>
      </c>
      <c r="E37" s="10">
        <v>5.8375975999999996</v>
      </c>
      <c r="F37" s="10">
        <v>0.82380629999999999</v>
      </c>
      <c r="G37" s="10">
        <v>5</v>
      </c>
      <c r="H37" s="10">
        <v>9</v>
      </c>
      <c r="J37">
        <f t="shared" si="0"/>
        <v>5.8375975999999996</v>
      </c>
      <c r="K37">
        <f t="shared" si="0"/>
        <v>0.82380629999999999</v>
      </c>
      <c r="M37" t="str">
        <f t="shared" si="1"/>
        <v>5.84 (0.82)</v>
      </c>
    </row>
    <row r="38" spans="1:13" x14ac:dyDescent="0.3">
      <c r="A38" s="18"/>
      <c r="B38" s="20"/>
      <c r="C38" s="8" t="s">
        <v>113</v>
      </c>
      <c r="D38" s="10">
        <v>17158</v>
      </c>
      <c r="E38" s="10">
        <v>8.3996312999999994</v>
      </c>
      <c r="F38" s="10">
        <v>0.47375200000000001</v>
      </c>
      <c r="G38" s="10">
        <v>6.7923444000000002</v>
      </c>
      <c r="H38" s="10">
        <v>10.8371073</v>
      </c>
      <c r="J38">
        <f t="shared" si="0"/>
        <v>8.3996312999999994</v>
      </c>
      <c r="K38">
        <f t="shared" si="0"/>
        <v>0.47375200000000001</v>
      </c>
      <c r="M38" t="str">
        <f t="shared" si="1"/>
        <v>8.40 (0.47)</v>
      </c>
    </row>
    <row r="39" spans="1:13" x14ac:dyDescent="0.3">
      <c r="A39" s="18"/>
      <c r="B39" s="20"/>
      <c r="C39" s="8" t="s">
        <v>114</v>
      </c>
      <c r="D39" s="10">
        <v>17158</v>
      </c>
      <c r="E39" s="10">
        <v>0.65232880000000004</v>
      </c>
      <c r="F39" s="10">
        <v>6.00107E-2</v>
      </c>
      <c r="G39" s="10">
        <v>0.44715719999999998</v>
      </c>
      <c r="H39" s="10">
        <v>0.96114219999999995</v>
      </c>
      <c r="J39">
        <f t="shared" si="0"/>
        <v>0.65232880000000004</v>
      </c>
      <c r="K39">
        <f t="shared" si="0"/>
        <v>6.00107E-2</v>
      </c>
      <c r="M39" t="str">
        <f t="shared" si="1"/>
        <v>0.65 (0.06)</v>
      </c>
    </row>
    <row r="40" spans="1:13" x14ac:dyDescent="0.3">
      <c r="A40" s="18"/>
      <c r="B40" s="20"/>
      <c r="C40" s="8" t="s">
        <v>115</v>
      </c>
      <c r="D40" s="10">
        <v>17158</v>
      </c>
      <c r="E40" s="10">
        <v>0.25280209999999997</v>
      </c>
      <c r="F40" s="10">
        <v>0.21981229999999999</v>
      </c>
      <c r="G40" s="11">
        <v>-0.56967670000000004</v>
      </c>
      <c r="H40" s="10">
        <v>1.3033098000000001</v>
      </c>
      <c r="J40">
        <f t="shared" si="0"/>
        <v>0.25280209999999997</v>
      </c>
      <c r="K40">
        <f t="shared" si="0"/>
        <v>0.21981229999999999</v>
      </c>
      <c r="M40" t="str">
        <f t="shared" si="1"/>
        <v>0.25 (0.22)</v>
      </c>
    </row>
    <row r="41" spans="1:13" ht="17.25" thickBot="1" x14ac:dyDescent="0.35">
      <c r="A41" s="18"/>
      <c r="B41" s="20"/>
      <c r="C41" s="9" t="s">
        <v>116</v>
      </c>
      <c r="D41" s="10">
        <v>17158</v>
      </c>
      <c r="E41" s="10">
        <v>32.5908388</v>
      </c>
      <c r="F41" s="10">
        <v>1.3335036</v>
      </c>
      <c r="G41" s="10">
        <v>30.214146400000001</v>
      </c>
      <c r="H41" s="10">
        <v>34.867930600000001</v>
      </c>
      <c r="J41">
        <f t="shared" si="0"/>
        <v>32.5908388</v>
      </c>
      <c r="K41">
        <f t="shared" si="0"/>
        <v>1.3335036</v>
      </c>
      <c r="M41" t="str">
        <f t="shared" si="1"/>
        <v>32.59 (1.33)</v>
      </c>
    </row>
    <row r="42" spans="1:13" x14ac:dyDescent="0.3">
      <c r="A42" s="18">
        <v>3</v>
      </c>
      <c r="B42" s="20">
        <v>17159</v>
      </c>
      <c r="C42" s="8" t="s">
        <v>98</v>
      </c>
      <c r="D42" s="10">
        <v>17159</v>
      </c>
      <c r="E42" s="10">
        <v>53.0254677</v>
      </c>
      <c r="F42" s="10">
        <v>15.267250300000001</v>
      </c>
      <c r="G42" s="10">
        <v>19</v>
      </c>
      <c r="H42" s="10">
        <v>80</v>
      </c>
      <c r="J42">
        <f t="shared" si="0"/>
        <v>53.0254677</v>
      </c>
      <c r="K42">
        <f t="shared" si="0"/>
        <v>15.267250300000001</v>
      </c>
      <c r="M42" t="str">
        <f t="shared" si="1"/>
        <v>53.03 (15.27)</v>
      </c>
    </row>
    <row r="43" spans="1:13" x14ac:dyDescent="0.3">
      <c r="A43" s="18"/>
      <c r="B43" s="20"/>
      <c r="C43" s="8" t="s">
        <v>99</v>
      </c>
      <c r="D43" s="10">
        <v>17159</v>
      </c>
      <c r="E43" s="10">
        <v>24.725551400000001</v>
      </c>
      <c r="F43" s="10">
        <v>1.6598250000000001</v>
      </c>
      <c r="G43" s="10">
        <v>18.048201299999999</v>
      </c>
      <c r="H43" s="10">
        <v>31.325904900000001</v>
      </c>
      <c r="J43">
        <f t="shared" si="0"/>
        <v>24.725551400000001</v>
      </c>
      <c r="K43">
        <f t="shared" si="0"/>
        <v>1.6598250000000001</v>
      </c>
      <c r="M43" t="str">
        <f t="shared" si="1"/>
        <v>24.73 (1.66)</v>
      </c>
    </row>
    <row r="44" spans="1:13" x14ac:dyDescent="0.3">
      <c r="A44" s="18"/>
      <c r="B44" s="20"/>
      <c r="C44" s="8" t="s">
        <v>100</v>
      </c>
      <c r="D44" s="10">
        <v>17159</v>
      </c>
      <c r="E44" s="10">
        <v>85.469228999999999</v>
      </c>
      <c r="F44" s="10">
        <v>5.9132563999999999</v>
      </c>
      <c r="G44" s="10">
        <v>61.8</v>
      </c>
      <c r="H44" s="10">
        <v>166.1</v>
      </c>
      <c r="J44">
        <f t="shared" si="0"/>
        <v>85.469228999999999</v>
      </c>
      <c r="K44">
        <f t="shared" si="0"/>
        <v>5.9132563999999999</v>
      </c>
      <c r="M44" t="str">
        <f t="shared" si="1"/>
        <v>85.47 (5.91)</v>
      </c>
    </row>
    <row r="45" spans="1:13" x14ac:dyDescent="0.3">
      <c r="A45" s="18"/>
      <c r="B45" s="20"/>
      <c r="C45" s="8" t="s">
        <v>101</v>
      </c>
      <c r="D45" s="10">
        <v>17159</v>
      </c>
      <c r="E45" s="10">
        <v>7.8764500000000001E-2</v>
      </c>
      <c r="F45" s="10">
        <v>4.4926000000000002E-3</v>
      </c>
      <c r="G45" s="10">
        <v>5.4819399999999997E-2</v>
      </c>
      <c r="H45" s="10">
        <v>0.15107219999999999</v>
      </c>
      <c r="J45">
        <f t="shared" si="0"/>
        <v>7.8764500000000001E-2</v>
      </c>
      <c r="K45">
        <f t="shared" si="0"/>
        <v>4.4926000000000002E-3</v>
      </c>
      <c r="M45" t="str">
        <f t="shared" si="1"/>
        <v>0.08 (0.00)</v>
      </c>
    </row>
    <row r="46" spans="1:13" x14ac:dyDescent="0.3">
      <c r="A46" s="18"/>
      <c r="B46" s="20"/>
      <c r="C46" s="8" t="s">
        <v>102</v>
      </c>
      <c r="D46" s="10">
        <v>17159</v>
      </c>
      <c r="E46" s="10">
        <v>121.4098432</v>
      </c>
      <c r="F46" s="10">
        <v>16.146757300000001</v>
      </c>
      <c r="G46" s="10">
        <v>77</v>
      </c>
      <c r="H46" s="10">
        <v>232</v>
      </c>
      <c r="J46">
        <f t="shared" si="0"/>
        <v>121.4098432</v>
      </c>
      <c r="K46">
        <f t="shared" si="0"/>
        <v>16.146757300000001</v>
      </c>
      <c r="M46" t="str">
        <f t="shared" si="1"/>
        <v>121.41 (16.15)</v>
      </c>
    </row>
    <row r="47" spans="1:13" x14ac:dyDescent="0.3">
      <c r="A47" s="18"/>
      <c r="B47" s="20"/>
      <c r="C47" s="8" t="s">
        <v>103</v>
      </c>
      <c r="D47" s="10">
        <v>17159</v>
      </c>
      <c r="E47" s="10">
        <v>101.3022321</v>
      </c>
      <c r="F47" s="10">
        <v>20.986175200000002</v>
      </c>
      <c r="G47" s="10">
        <v>54</v>
      </c>
      <c r="H47" s="10">
        <v>455</v>
      </c>
      <c r="J47">
        <f t="shared" si="0"/>
        <v>101.3022321</v>
      </c>
      <c r="K47">
        <f t="shared" si="0"/>
        <v>20.986175200000002</v>
      </c>
      <c r="M47" t="str">
        <f t="shared" si="1"/>
        <v>101.30 (20.99)</v>
      </c>
    </row>
    <row r="48" spans="1:13" x14ac:dyDescent="0.3">
      <c r="A48" s="18"/>
      <c r="B48" s="20"/>
      <c r="C48" s="8" t="s">
        <v>104</v>
      </c>
      <c r="D48" s="10">
        <v>17159</v>
      </c>
      <c r="E48" s="10">
        <v>191.63587620000001</v>
      </c>
      <c r="F48" s="10">
        <v>38.066681099999997</v>
      </c>
      <c r="G48" s="10">
        <v>72</v>
      </c>
      <c r="H48" s="10">
        <v>457</v>
      </c>
      <c r="J48">
        <f t="shared" si="0"/>
        <v>191.63587620000001</v>
      </c>
      <c r="K48">
        <f t="shared" si="0"/>
        <v>38.066681099999997</v>
      </c>
      <c r="M48" t="str">
        <f t="shared" si="1"/>
        <v>191.64 (38.07)</v>
      </c>
    </row>
    <row r="49" spans="1:13" ht="25.5" x14ac:dyDescent="0.3">
      <c r="A49" s="18"/>
      <c r="B49" s="20"/>
      <c r="C49" s="8" t="s">
        <v>105</v>
      </c>
      <c r="D49" s="10">
        <v>17159</v>
      </c>
      <c r="E49" s="10">
        <v>47.636278699999998</v>
      </c>
      <c r="F49" s="10">
        <v>9.2425362</v>
      </c>
      <c r="G49" s="10">
        <v>17.027999999999999</v>
      </c>
      <c r="H49" s="10">
        <v>107.928</v>
      </c>
      <c r="J49">
        <f t="shared" si="0"/>
        <v>47.636278699999998</v>
      </c>
      <c r="K49">
        <f t="shared" si="0"/>
        <v>9.2425362</v>
      </c>
      <c r="M49" t="str">
        <f t="shared" si="1"/>
        <v>47.64 (9.24)</v>
      </c>
    </row>
    <row r="50" spans="1:13" x14ac:dyDescent="0.3">
      <c r="A50" s="18"/>
      <c r="B50" s="20"/>
      <c r="C50" s="8" t="s">
        <v>106</v>
      </c>
      <c r="D50" s="10">
        <v>17159</v>
      </c>
      <c r="E50" s="10">
        <v>138.23911649999999</v>
      </c>
      <c r="F50" s="10">
        <v>75.804422799999998</v>
      </c>
      <c r="G50" s="10">
        <v>19</v>
      </c>
      <c r="H50" s="10">
        <v>2259</v>
      </c>
      <c r="J50">
        <f t="shared" si="0"/>
        <v>138.23911649999999</v>
      </c>
      <c r="K50">
        <f t="shared" si="0"/>
        <v>75.804422799999998</v>
      </c>
      <c r="M50" t="str">
        <f t="shared" si="1"/>
        <v>138.24 (75.80)</v>
      </c>
    </row>
    <row r="51" spans="1:13" x14ac:dyDescent="0.3">
      <c r="A51" s="18"/>
      <c r="B51" s="20"/>
      <c r="C51" s="8" t="s">
        <v>107</v>
      </c>
      <c r="D51" s="10">
        <v>17159</v>
      </c>
      <c r="E51" s="10">
        <v>23.509120599999999</v>
      </c>
      <c r="F51" s="10">
        <v>12.5643288</v>
      </c>
      <c r="G51" s="10">
        <v>9</v>
      </c>
      <c r="H51" s="10">
        <v>491</v>
      </c>
      <c r="J51">
        <f t="shared" si="0"/>
        <v>23.509120599999999</v>
      </c>
      <c r="K51">
        <f t="shared" si="0"/>
        <v>12.5643288</v>
      </c>
      <c r="M51" t="str">
        <f t="shared" si="1"/>
        <v>23.51 (12.56)</v>
      </c>
    </row>
    <row r="52" spans="1:13" x14ac:dyDescent="0.3">
      <c r="A52" s="18"/>
      <c r="B52" s="20"/>
      <c r="C52" s="8" t="s">
        <v>108</v>
      </c>
      <c r="D52" s="10">
        <v>17159</v>
      </c>
      <c r="E52" s="10">
        <v>23.343668000000001</v>
      </c>
      <c r="F52" s="10">
        <v>18.044201699999999</v>
      </c>
      <c r="G52" s="10">
        <v>3</v>
      </c>
      <c r="H52" s="10">
        <v>893</v>
      </c>
      <c r="J52">
        <f t="shared" si="0"/>
        <v>23.343668000000001</v>
      </c>
      <c r="K52">
        <f t="shared" si="0"/>
        <v>18.044201699999999</v>
      </c>
      <c r="M52" t="str">
        <f t="shared" si="1"/>
        <v>23.34 (18.04)</v>
      </c>
    </row>
    <row r="53" spans="1:13" x14ac:dyDescent="0.3">
      <c r="A53" s="18"/>
      <c r="B53" s="20"/>
      <c r="C53" s="8" t="s">
        <v>109</v>
      </c>
      <c r="D53" s="10">
        <v>17159</v>
      </c>
      <c r="E53" s="10">
        <v>14.298181700000001</v>
      </c>
      <c r="F53" s="10">
        <v>1.5331227000000001</v>
      </c>
      <c r="G53" s="10">
        <v>3.9</v>
      </c>
      <c r="H53" s="10">
        <v>21.3</v>
      </c>
      <c r="J53">
        <f t="shared" si="0"/>
        <v>14.298181700000001</v>
      </c>
      <c r="K53">
        <f t="shared" si="0"/>
        <v>1.5331227000000001</v>
      </c>
      <c r="M53" t="str">
        <f t="shared" si="1"/>
        <v>14.30 (1.53)</v>
      </c>
    </row>
    <row r="54" spans="1:13" x14ac:dyDescent="0.3">
      <c r="A54" s="18"/>
      <c r="B54" s="20"/>
      <c r="C54" s="8" t="s">
        <v>110</v>
      </c>
      <c r="D54" s="10">
        <v>17159</v>
      </c>
      <c r="E54" s="10">
        <v>15.0734309</v>
      </c>
      <c r="F54" s="10">
        <v>4.4452514000000001</v>
      </c>
      <c r="G54" s="10">
        <v>2</v>
      </c>
      <c r="H54" s="10">
        <v>77</v>
      </c>
      <c r="J54">
        <f t="shared" si="0"/>
        <v>15.0734309</v>
      </c>
      <c r="K54">
        <f t="shared" si="0"/>
        <v>4.4452514000000001</v>
      </c>
      <c r="M54" t="str">
        <f t="shared" si="1"/>
        <v>15.07 (4.45)</v>
      </c>
    </row>
    <row r="55" spans="1:13" x14ac:dyDescent="0.3">
      <c r="A55" s="18"/>
      <c r="B55" s="20"/>
      <c r="C55" s="8" t="s">
        <v>111</v>
      </c>
      <c r="D55" s="10">
        <v>17159</v>
      </c>
      <c r="E55" s="10">
        <v>0.86271640000000005</v>
      </c>
      <c r="F55" s="10">
        <v>0.23039709999999999</v>
      </c>
      <c r="G55" s="10">
        <v>0.4</v>
      </c>
      <c r="H55" s="10">
        <v>9.8000000000000007</v>
      </c>
      <c r="J55">
        <f t="shared" si="0"/>
        <v>0.86271640000000005</v>
      </c>
      <c r="K55">
        <f t="shared" si="0"/>
        <v>0.23039709999999999</v>
      </c>
      <c r="M55" t="str">
        <f t="shared" si="1"/>
        <v>0.86 (0.23)</v>
      </c>
    </row>
    <row r="56" spans="1:13" x14ac:dyDescent="0.3">
      <c r="A56" s="18"/>
      <c r="B56" s="20"/>
      <c r="C56" s="8" t="s">
        <v>112</v>
      </c>
      <c r="D56" s="10">
        <v>17159</v>
      </c>
      <c r="E56" s="10">
        <v>5.7742000999999998</v>
      </c>
      <c r="F56" s="10">
        <v>0.80778530000000004</v>
      </c>
      <c r="G56" s="10">
        <v>5</v>
      </c>
      <c r="H56" s="10">
        <v>9</v>
      </c>
      <c r="J56">
        <f t="shared" si="0"/>
        <v>5.7742000999999998</v>
      </c>
      <c r="K56">
        <f t="shared" si="0"/>
        <v>0.80778530000000004</v>
      </c>
      <c r="M56" t="str">
        <f t="shared" si="1"/>
        <v>5.77 (0.81)</v>
      </c>
    </row>
    <row r="57" spans="1:13" x14ac:dyDescent="0.3">
      <c r="A57" s="18"/>
      <c r="B57" s="20"/>
      <c r="C57" s="8" t="s">
        <v>113</v>
      </c>
      <c r="D57" s="10">
        <v>17159</v>
      </c>
      <c r="E57" s="10">
        <v>8.7242706000000005</v>
      </c>
      <c r="F57" s="10">
        <v>0.50725629999999999</v>
      </c>
      <c r="G57" s="10">
        <v>6.7080840999999998</v>
      </c>
      <c r="H57" s="10">
        <v>11.849811900000001</v>
      </c>
      <c r="J57">
        <f t="shared" si="0"/>
        <v>8.7242706000000005</v>
      </c>
      <c r="K57">
        <f t="shared" si="0"/>
        <v>0.50725629999999999</v>
      </c>
      <c r="M57" t="str">
        <f t="shared" si="1"/>
        <v>8.72 (0.51)</v>
      </c>
    </row>
    <row r="58" spans="1:13" x14ac:dyDescent="0.3">
      <c r="A58" s="18"/>
      <c r="B58" s="20"/>
      <c r="C58" s="8" t="s">
        <v>114</v>
      </c>
      <c r="D58" s="10">
        <v>17159</v>
      </c>
      <c r="E58" s="10">
        <v>0.68760489999999996</v>
      </c>
      <c r="F58" s="10">
        <v>6.1124199999999997E-2</v>
      </c>
      <c r="G58" s="10">
        <v>0.44151820000000003</v>
      </c>
      <c r="H58" s="10">
        <v>1.3241700999999999</v>
      </c>
      <c r="J58">
        <f t="shared" si="0"/>
        <v>0.68760489999999996</v>
      </c>
      <c r="K58">
        <f t="shared" si="0"/>
        <v>6.1124199999999997E-2</v>
      </c>
      <c r="M58" t="str">
        <f t="shared" si="1"/>
        <v>0.69 (0.06)</v>
      </c>
    </row>
    <row r="59" spans="1:13" x14ac:dyDescent="0.3">
      <c r="A59" s="18"/>
      <c r="B59" s="20"/>
      <c r="C59" s="8" t="s">
        <v>115</v>
      </c>
      <c r="D59" s="10">
        <v>17159</v>
      </c>
      <c r="E59" s="10">
        <v>0.42105239999999999</v>
      </c>
      <c r="F59" s="10">
        <v>0.23185549999999999</v>
      </c>
      <c r="G59" s="11">
        <v>-0.39840700000000001</v>
      </c>
      <c r="H59" s="10">
        <v>1.6379128999999999</v>
      </c>
      <c r="J59">
        <f t="shared" si="0"/>
        <v>0.42105239999999999</v>
      </c>
      <c r="K59">
        <f t="shared" si="0"/>
        <v>0.23185549999999999</v>
      </c>
      <c r="M59" t="str">
        <f t="shared" si="1"/>
        <v>0.42 (0.23)</v>
      </c>
    </row>
    <row r="60" spans="1:13" ht="17.25" thickBot="1" x14ac:dyDescent="0.35">
      <c r="A60" s="18"/>
      <c r="B60" s="20"/>
      <c r="C60" s="9" t="s">
        <v>116</v>
      </c>
      <c r="D60" s="10">
        <v>17159</v>
      </c>
      <c r="E60" s="10">
        <v>37.285364399999999</v>
      </c>
      <c r="F60" s="10">
        <v>1.4706234</v>
      </c>
      <c r="G60" s="10">
        <v>34.8679396</v>
      </c>
      <c r="H60" s="10">
        <v>39.993712500000001</v>
      </c>
      <c r="J60">
        <f t="shared" si="0"/>
        <v>37.285364399999999</v>
      </c>
      <c r="K60">
        <f t="shared" si="0"/>
        <v>1.4706234</v>
      </c>
      <c r="M60" t="str">
        <f t="shared" si="1"/>
        <v>37.29 (1.47)</v>
      </c>
    </row>
    <row r="61" spans="1:13" x14ac:dyDescent="0.3">
      <c r="A61" s="18">
        <v>4</v>
      </c>
      <c r="B61" s="20">
        <v>17158</v>
      </c>
      <c r="C61" s="8" t="s">
        <v>98</v>
      </c>
      <c r="D61" s="10">
        <v>17158</v>
      </c>
      <c r="E61" s="10">
        <v>51.378948600000001</v>
      </c>
      <c r="F61" s="10">
        <v>14.9533714</v>
      </c>
      <c r="G61" s="10">
        <v>19</v>
      </c>
      <c r="H61" s="10">
        <v>80</v>
      </c>
      <c r="J61">
        <f t="shared" si="0"/>
        <v>51.378948600000001</v>
      </c>
      <c r="K61">
        <f t="shared" si="0"/>
        <v>14.9533714</v>
      </c>
      <c r="M61" t="str">
        <f t="shared" si="1"/>
        <v>51.38 (14.95)</v>
      </c>
    </row>
    <row r="62" spans="1:13" x14ac:dyDescent="0.3">
      <c r="A62" s="18"/>
      <c r="B62" s="20"/>
      <c r="C62" s="8" t="s">
        <v>99</v>
      </c>
      <c r="D62" s="10">
        <v>17158</v>
      </c>
      <c r="E62" s="10">
        <v>27.8860329</v>
      </c>
      <c r="F62" s="10">
        <v>2.9659162999999999</v>
      </c>
      <c r="G62" s="10">
        <v>18.763504399999999</v>
      </c>
      <c r="H62" s="10">
        <v>62.640542099999998</v>
      </c>
      <c r="J62">
        <f t="shared" si="0"/>
        <v>27.8860329</v>
      </c>
      <c r="K62">
        <f t="shared" si="0"/>
        <v>2.9659162999999999</v>
      </c>
      <c r="M62" t="str">
        <f t="shared" si="1"/>
        <v>27.89 (2.97)</v>
      </c>
    </row>
    <row r="63" spans="1:13" x14ac:dyDescent="0.3">
      <c r="A63" s="18"/>
      <c r="B63" s="20"/>
      <c r="C63" s="8" t="s">
        <v>100</v>
      </c>
      <c r="D63" s="10">
        <v>17158</v>
      </c>
      <c r="E63" s="10">
        <v>93.147657100000004</v>
      </c>
      <c r="F63" s="10">
        <v>7.7541145</v>
      </c>
      <c r="G63" s="10">
        <v>52.3</v>
      </c>
      <c r="H63" s="10">
        <v>147.5</v>
      </c>
      <c r="J63">
        <f t="shared" si="0"/>
        <v>93.147657100000004</v>
      </c>
      <c r="K63">
        <f t="shared" si="0"/>
        <v>7.7541145</v>
      </c>
      <c r="M63" t="str">
        <f t="shared" si="1"/>
        <v>93.15 (7.75)</v>
      </c>
    </row>
    <row r="64" spans="1:13" x14ac:dyDescent="0.3">
      <c r="A64" s="18"/>
      <c r="B64" s="20"/>
      <c r="C64" s="8" t="s">
        <v>101</v>
      </c>
      <c r="D64" s="10">
        <v>17158</v>
      </c>
      <c r="E64" s="10">
        <v>7.8980400000000006E-2</v>
      </c>
      <c r="F64" s="10">
        <v>4.1919000000000001E-3</v>
      </c>
      <c r="G64" s="10">
        <v>4.8055199999999999E-2</v>
      </c>
      <c r="H64" s="10">
        <v>9.8480300000000007E-2</v>
      </c>
      <c r="J64">
        <f t="shared" si="0"/>
        <v>7.8980400000000006E-2</v>
      </c>
      <c r="K64">
        <f t="shared" si="0"/>
        <v>4.1919000000000001E-3</v>
      </c>
      <c r="M64" t="str">
        <f t="shared" si="1"/>
        <v>0.08 (0.00)</v>
      </c>
    </row>
    <row r="65" spans="1:13" x14ac:dyDescent="0.3">
      <c r="A65" s="18"/>
      <c r="B65" s="20"/>
      <c r="C65" s="8" t="s">
        <v>102</v>
      </c>
      <c r="D65" s="10">
        <v>17158</v>
      </c>
      <c r="E65" s="10">
        <v>124.2884952</v>
      </c>
      <c r="F65" s="10">
        <v>15.3862123</v>
      </c>
      <c r="G65" s="10">
        <v>78</v>
      </c>
      <c r="H65" s="10">
        <v>220</v>
      </c>
      <c r="J65">
        <f t="shared" si="0"/>
        <v>124.2884952</v>
      </c>
      <c r="K65">
        <f t="shared" si="0"/>
        <v>15.3862123</v>
      </c>
      <c r="M65" t="str">
        <f t="shared" si="1"/>
        <v>124.29 (15.39)</v>
      </c>
    </row>
    <row r="66" spans="1:13" x14ac:dyDescent="0.3">
      <c r="A66" s="18"/>
      <c r="B66" s="20"/>
      <c r="C66" s="8" t="s">
        <v>103</v>
      </c>
      <c r="D66" s="10">
        <v>17158</v>
      </c>
      <c r="E66" s="10">
        <v>110.1364961</v>
      </c>
      <c r="F66" s="10">
        <v>30.565163099999999</v>
      </c>
      <c r="G66" s="10">
        <v>53</v>
      </c>
      <c r="H66" s="10">
        <v>553</v>
      </c>
      <c r="J66">
        <f t="shared" si="0"/>
        <v>110.1364961</v>
      </c>
      <c r="K66">
        <f t="shared" si="0"/>
        <v>30.565163099999999</v>
      </c>
      <c r="M66" t="str">
        <f t="shared" si="1"/>
        <v>110.14 (30.57)</v>
      </c>
    </row>
    <row r="67" spans="1:13" x14ac:dyDescent="0.3">
      <c r="A67" s="18"/>
      <c r="B67" s="20"/>
      <c r="C67" s="8" t="s">
        <v>104</v>
      </c>
      <c r="D67" s="10">
        <v>17158</v>
      </c>
      <c r="E67" s="10">
        <v>194.0517543</v>
      </c>
      <c r="F67" s="10">
        <v>39.983265699999997</v>
      </c>
      <c r="G67" s="10">
        <v>66</v>
      </c>
      <c r="H67" s="10">
        <v>554</v>
      </c>
      <c r="J67">
        <f t="shared" si="0"/>
        <v>194.0517543</v>
      </c>
      <c r="K67">
        <f t="shared" si="0"/>
        <v>39.983265699999997</v>
      </c>
      <c r="M67" t="str">
        <f t="shared" si="1"/>
        <v>194.05 (39.98)</v>
      </c>
    </row>
    <row r="68" spans="1:13" ht="25.5" x14ac:dyDescent="0.3">
      <c r="A68" s="18"/>
      <c r="B68" s="20"/>
      <c r="C68" s="8" t="s">
        <v>105</v>
      </c>
      <c r="D68" s="10">
        <v>17158</v>
      </c>
      <c r="E68" s="10">
        <v>41.442610500000001</v>
      </c>
      <c r="F68" s="10">
        <v>8.3865437000000007</v>
      </c>
      <c r="G68" s="10">
        <v>8</v>
      </c>
      <c r="H68" s="10">
        <v>100.104</v>
      </c>
      <c r="J68">
        <f t="shared" si="0"/>
        <v>41.442610500000001</v>
      </c>
      <c r="K68">
        <f t="shared" si="0"/>
        <v>8.3865437000000007</v>
      </c>
      <c r="M68" t="str">
        <f t="shared" si="1"/>
        <v>41.44 (8.39)</v>
      </c>
    </row>
    <row r="69" spans="1:13" x14ac:dyDescent="0.3">
      <c r="A69" s="18"/>
      <c r="B69" s="20"/>
      <c r="C69" s="8" t="s">
        <v>106</v>
      </c>
      <c r="D69" s="10">
        <v>17158</v>
      </c>
      <c r="E69" s="10">
        <v>214.8487586</v>
      </c>
      <c r="F69" s="10">
        <v>162.3559711</v>
      </c>
      <c r="G69" s="10">
        <v>28</v>
      </c>
      <c r="H69" s="10">
        <v>2774</v>
      </c>
      <c r="J69">
        <f t="shared" ref="J69:K79" si="2">E69</f>
        <v>214.8487586</v>
      </c>
      <c r="K69">
        <f t="shared" si="2"/>
        <v>162.3559711</v>
      </c>
      <c r="M69" t="str">
        <f t="shared" ref="M69:M79" si="3">TEXT(J69,"0.00")&amp;" ("&amp;TEXT(K69,"0.00")&amp;")"</f>
        <v>214.85 (162.36)</v>
      </c>
    </row>
    <row r="70" spans="1:13" x14ac:dyDescent="0.3">
      <c r="A70" s="18"/>
      <c r="B70" s="20"/>
      <c r="C70" s="8" t="s">
        <v>107</v>
      </c>
      <c r="D70" s="10">
        <v>17158</v>
      </c>
      <c r="E70" s="10">
        <v>26.7594125</v>
      </c>
      <c r="F70" s="10">
        <v>16.677489399999999</v>
      </c>
      <c r="G70" s="10">
        <v>6</v>
      </c>
      <c r="H70" s="10">
        <v>927</v>
      </c>
      <c r="J70">
        <f t="shared" si="2"/>
        <v>26.7594125</v>
      </c>
      <c r="K70">
        <f t="shared" si="2"/>
        <v>16.677489399999999</v>
      </c>
      <c r="M70" t="str">
        <f t="shared" si="3"/>
        <v>26.76 (16.68)</v>
      </c>
    </row>
    <row r="71" spans="1:13" x14ac:dyDescent="0.3">
      <c r="A71" s="18"/>
      <c r="B71" s="20"/>
      <c r="C71" s="8" t="s">
        <v>108</v>
      </c>
      <c r="D71" s="10">
        <v>17158</v>
      </c>
      <c r="E71" s="10">
        <v>31.711096900000001</v>
      </c>
      <c r="F71" s="10">
        <v>23.758385000000001</v>
      </c>
      <c r="G71" s="10">
        <v>4</v>
      </c>
      <c r="H71" s="10">
        <v>402</v>
      </c>
      <c r="J71">
        <f t="shared" si="2"/>
        <v>31.711096900000001</v>
      </c>
      <c r="K71">
        <f t="shared" si="2"/>
        <v>23.758385000000001</v>
      </c>
      <c r="M71" t="str">
        <f t="shared" si="3"/>
        <v>31.71 (23.76)</v>
      </c>
    </row>
    <row r="72" spans="1:13" x14ac:dyDescent="0.3">
      <c r="A72" s="18"/>
      <c r="B72" s="20"/>
      <c r="C72" s="8" t="s">
        <v>109</v>
      </c>
      <c r="D72" s="10">
        <v>17158</v>
      </c>
      <c r="E72" s="10">
        <v>14.643781300000001</v>
      </c>
      <c r="F72" s="10">
        <v>1.5589845</v>
      </c>
      <c r="G72" s="10">
        <v>5.3</v>
      </c>
      <c r="H72" s="10">
        <v>19.600000000000001</v>
      </c>
      <c r="J72">
        <f t="shared" si="2"/>
        <v>14.643781300000001</v>
      </c>
      <c r="K72">
        <f t="shared" si="2"/>
        <v>1.5589845</v>
      </c>
      <c r="M72" t="str">
        <f t="shared" si="3"/>
        <v>14.64 (1.56)</v>
      </c>
    </row>
    <row r="73" spans="1:13" x14ac:dyDescent="0.3">
      <c r="A73" s="18"/>
      <c r="B73" s="20"/>
      <c r="C73" s="8" t="s">
        <v>110</v>
      </c>
      <c r="D73" s="10">
        <v>17158</v>
      </c>
      <c r="E73" s="10">
        <v>14.960793799999999</v>
      </c>
      <c r="F73" s="10">
        <v>4.4838436000000002</v>
      </c>
      <c r="G73" s="10">
        <v>3</v>
      </c>
      <c r="H73" s="10">
        <v>83</v>
      </c>
      <c r="J73">
        <f t="shared" si="2"/>
        <v>14.960793799999999</v>
      </c>
      <c r="K73">
        <f t="shared" si="2"/>
        <v>4.4838436000000002</v>
      </c>
      <c r="M73" t="str">
        <f t="shared" si="3"/>
        <v>14.96 (4.48)</v>
      </c>
    </row>
    <row r="74" spans="1:13" x14ac:dyDescent="0.3">
      <c r="A74" s="18"/>
      <c r="B74" s="20"/>
      <c r="C74" s="8" t="s">
        <v>111</v>
      </c>
      <c r="D74" s="10">
        <v>17158</v>
      </c>
      <c r="E74" s="10">
        <v>0.88960430000000001</v>
      </c>
      <c r="F74" s="10">
        <v>0.25869540000000002</v>
      </c>
      <c r="G74" s="10">
        <v>0.2</v>
      </c>
      <c r="H74" s="10">
        <v>10.48</v>
      </c>
      <c r="J74">
        <f t="shared" si="2"/>
        <v>0.88960430000000001</v>
      </c>
      <c r="K74">
        <f t="shared" si="2"/>
        <v>0.25869540000000002</v>
      </c>
      <c r="M74" t="str">
        <f t="shared" si="3"/>
        <v>0.89 (0.26)</v>
      </c>
    </row>
    <row r="75" spans="1:13" x14ac:dyDescent="0.3">
      <c r="A75" s="18"/>
      <c r="B75" s="20"/>
      <c r="C75" s="8" t="s">
        <v>112</v>
      </c>
      <c r="D75" s="10">
        <v>17158</v>
      </c>
      <c r="E75" s="10">
        <v>5.6550880000000001</v>
      </c>
      <c r="F75" s="10">
        <v>0.75611439999999996</v>
      </c>
      <c r="G75" s="10">
        <v>5</v>
      </c>
      <c r="H75" s="10">
        <v>9</v>
      </c>
      <c r="J75">
        <f t="shared" si="2"/>
        <v>5.6550880000000001</v>
      </c>
      <c r="K75">
        <f t="shared" si="2"/>
        <v>0.75611439999999996</v>
      </c>
      <c r="M75" t="str">
        <f t="shared" si="3"/>
        <v>5.66 (0.76)</v>
      </c>
    </row>
    <row r="76" spans="1:13" x14ac:dyDescent="0.3">
      <c r="A76" s="18"/>
      <c r="B76" s="20"/>
      <c r="C76" s="8" t="s">
        <v>113</v>
      </c>
      <c r="D76" s="10">
        <v>17158</v>
      </c>
      <c r="E76" s="10">
        <v>9.1765073000000008</v>
      </c>
      <c r="F76" s="10">
        <v>0.61519599999999997</v>
      </c>
      <c r="G76" s="10">
        <v>7.1400568</v>
      </c>
      <c r="H76" s="10">
        <v>12.7290689</v>
      </c>
      <c r="J76">
        <f t="shared" si="2"/>
        <v>9.1765073000000008</v>
      </c>
      <c r="K76">
        <f t="shared" si="2"/>
        <v>0.61519599999999997</v>
      </c>
      <c r="M76" t="str">
        <f t="shared" si="3"/>
        <v>9.18 (0.62)</v>
      </c>
    </row>
    <row r="77" spans="1:13" x14ac:dyDescent="0.3">
      <c r="A77" s="18"/>
      <c r="B77" s="20"/>
      <c r="C77" s="8" t="s">
        <v>114</v>
      </c>
      <c r="D77" s="10">
        <v>17158</v>
      </c>
      <c r="E77" s="10">
        <v>0.72502800000000001</v>
      </c>
      <c r="F77" s="10">
        <v>6.4887700000000006E-2</v>
      </c>
      <c r="G77" s="10">
        <v>0.43864829999999999</v>
      </c>
      <c r="H77" s="10">
        <v>1.0740016999999999</v>
      </c>
      <c r="J77">
        <f t="shared" si="2"/>
        <v>0.72502800000000001</v>
      </c>
      <c r="K77">
        <f t="shared" si="2"/>
        <v>6.4887700000000006E-2</v>
      </c>
      <c r="M77" t="str">
        <f t="shared" si="3"/>
        <v>0.73 (0.06)</v>
      </c>
    </row>
    <row r="78" spans="1:13" x14ac:dyDescent="0.3">
      <c r="A78" s="18"/>
      <c r="B78" s="20"/>
      <c r="C78" s="8" t="s">
        <v>115</v>
      </c>
      <c r="D78" s="10">
        <v>17158</v>
      </c>
      <c r="E78" s="10">
        <v>0.64758110000000002</v>
      </c>
      <c r="F78" s="10">
        <v>0.2811053</v>
      </c>
      <c r="G78" s="11">
        <v>-0.2447116</v>
      </c>
      <c r="H78" s="10">
        <v>2.1147776999999999</v>
      </c>
      <c r="J78">
        <f t="shared" si="2"/>
        <v>0.64758110000000002</v>
      </c>
      <c r="K78">
        <f t="shared" si="2"/>
        <v>0.2811053</v>
      </c>
      <c r="M78" t="str">
        <f t="shared" si="3"/>
        <v>0.65 (0.28)</v>
      </c>
    </row>
    <row r="79" spans="1:13" x14ac:dyDescent="0.3">
      <c r="A79" s="18"/>
      <c r="B79" s="20"/>
      <c r="C79" s="8" t="s">
        <v>116</v>
      </c>
      <c r="D79" s="10">
        <v>17158</v>
      </c>
      <c r="E79" s="10">
        <v>45.321653699999999</v>
      </c>
      <c r="F79" s="10">
        <v>4.9263760999999997</v>
      </c>
      <c r="G79" s="10">
        <v>39.994745700000003</v>
      </c>
      <c r="H79" s="10">
        <v>93.063441699999998</v>
      </c>
      <c r="J79">
        <f t="shared" si="2"/>
        <v>45.321653699999999</v>
      </c>
      <c r="K79">
        <f t="shared" si="2"/>
        <v>4.9263760999999997</v>
      </c>
      <c r="M79" t="str">
        <f t="shared" si="3"/>
        <v>45.32 (4.93)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1862-CD6B-453F-9402-AD3F033F50E4}">
  <dimension ref="A1:N129"/>
  <sheetViews>
    <sheetView topLeftCell="A114" workbookViewId="0">
      <selection activeCell="N127" sqref="N127:N128"/>
    </sheetView>
  </sheetViews>
  <sheetFormatPr defaultRowHeight="16.5" x14ac:dyDescent="0.3"/>
  <cols>
    <col min="14" max="14" width="20.5" bestFit="1" customWidth="1"/>
  </cols>
  <sheetData>
    <row r="1" spans="1:14" x14ac:dyDescent="0.3">
      <c r="A1" s="1" t="s">
        <v>118</v>
      </c>
    </row>
    <row r="2" spans="1:14" ht="17.25" thickBot="1" x14ac:dyDescent="0.35"/>
    <row r="3" spans="1:14" ht="16.5" customHeight="1" x14ac:dyDescent="0.3">
      <c r="A3" s="17" t="s">
        <v>119</v>
      </c>
      <c r="B3" s="19"/>
    </row>
    <row r="4" spans="1:14" ht="26.25" thickBot="1" x14ac:dyDescent="0.35">
      <c r="A4" s="14" t="s">
        <v>120</v>
      </c>
      <c r="B4" s="2">
        <v>183</v>
      </c>
    </row>
    <row r="5" spans="1:14" ht="26.25" thickBot="1" x14ac:dyDescent="0.35">
      <c r="A5" s="14" t="s">
        <v>121</v>
      </c>
      <c r="B5" s="2">
        <v>2982</v>
      </c>
    </row>
    <row r="6" spans="1:14" ht="39" thickBot="1" x14ac:dyDescent="0.35">
      <c r="A6" s="14" t="s">
        <v>122</v>
      </c>
      <c r="B6" s="2">
        <v>68634</v>
      </c>
    </row>
    <row r="7" spans="1:14" ht="25.5" x14ac:dyDescent="0.3">
      <c r="A7" s="15" t="s">
        <v>123</v>
      </c>
      <c r="B7" s="2">
        <v>30251756.699999999</v>
      </c>
    </row>
    <row r="8" spans="1:14" ht="17.25" thickBot="1" x14ac:dyDescent="0.35"/>
    <row r="9" spans="1:14" ht="16.5" customHeight="1" x14ac:dyDescent="0.3">
      <c r="A9" s="17" t="s">
        <v>124</v>
      </c>
      <c r="B9" s="19"/>
      <c r="C9" s="19"/>
      <c r="D9" s="19"/>
      <c r="E9" s="19"/>
      <c r="F9" s="19"/>
      <c r="G9" s="19"/>
      <c r="H9" s="19"/>
    </row>
    <row r="10" spans="1:14" ht="33" customHeight="1" x14ac:dyDescent="0.3">
      <c r="A10" s="18" t="s">
        <v>1</v>
      </c>
      <c r="B10" s="20" t="s">
        <v>125</v>
      </c>
      <c r="C10" s="3" t="s">
        <v>126</v>
      </c>
      <c r="D10" s="3" t="s">
        <v>127</v>
      </c>
      <c r="E10" s="20" t="s">
        <v>129</v>
      </c>
      <c r="F10" s="3" t="s">
        <v>127</v>
      </c>
      <c r="G10" s="20" t="s">
        <v>130</v>
      </c>
      <c r="H10" s="20"/>
    </row>
    <row r="11" spans="1:14" ht="33" x14ac:dyDescent="0.3">
      <c r="A11" s="18"/>
      <c r="B11" s="20"/>
      <c r="C11" s="3" t="s">
        <v>125</v>
      </c>
      <c r="D11" s="3" t="s">
        <v>128</v>
      </c>
      <c r="E11" s="20"/>
      <c r="F11" s="3" t="s">
        <v>129</v>
      </c>
      <c r="G11" s="20" t="s">
        <v>131</v>
      </c>
      <c r="H11" s="20"/>
    </row>
    <row r="12" spans="1:14" ht="17.25" thickBot="1" x14ac:dyDescent="0.35">
      <c r="A12" s="14">
        <v>1</v>
      </c>
      <c r="B12" s="2">
        <v>21079</v>
      </c>
      <c r="C12" s="2">
        <v>11834513</v>
      </c>
      <c r="D12" s="2">
        <v>141523</v>
      </c>
      <c r="E12" s="2">
        <v>39.120100000000001</v>
      </c>
      <c r="F12" s="2">
        <v>0.31680000000000003</v>
      </c>
      <c r="G12" s="2">
        <v>38.498899999999999</v>
      </c>
      <c r="H12" s="2">
        <v>39.741300000000003</v>
      </c>
      <c r="J12">
        <f>E12</f>
        <v>39.120100000000001</v>
      </c>
      <c r="K12">
        <f>G12</f>
        <v>38.498899999999999</v>
      </c>
      <c r="L12">
        <f>H12</f>
        <v>39.741300000000003</v>
      </c>
      <c r="N12" t="str">
        <f>TEXT(J12,"0.00")&amp;" ("&amp;TEXT(K12,"0.00")&amp;" to "&amp;TEXT(L12,"0.00")&amp;")"</f>
        <v>39.12 (38.50 to 39.74)</v>
      </c>
    </row>
    <row r="13" spans="1:14" ht="17.25" thickBot="1" x14ac:dyDescent="0.35">
      <c r="A13" s="14">
        <v>2</v>
      </c>
      <c r="B13" s="2">
        <v>33470</v>
      </c>
      <c r="C13" s="2">
        <v>14667390</v>
      </c>
      <c r="D13" s="2">
        <v>140978</v>
      </c>
      <c r="E13" s="2">
        <v>48.484400000000001</v>
      </c>
      <c r="F13" s="2">
        <v>0.27379999999999999</v>
      </c>
      <c r="G13" s="2">
        <v>47.947499999999998</v>
      </c>
      <c r="H13" s="2">
        <v>49.0214</v>
      </c>
      <c r="J13">
        <f t="shared" ref="J13:J14" si="0">E13</f>
        <v>48.484400000000001</v>
      </c>
      <c r="K13">
        <f t="shared" ref="K13:K14" si="1">G13</f>
        <v>47.947499999999998</v>
      </c>
      <c r="L13">
        <f t="shared" ref="L13:L14" si="2">H13</f>
        <v>49.0214</v>
      </c>
      <c r="N13" t="str">
        <f t="shared" ref="N13:N14" si="3">TEXT(J13,"0.00")&amp;" ("&amp;TEXT(K13,"0.00")&amp;" to "&amp;TEXT(L13,"0.00")&amp;")"</f>
        <v>48.48 (47.95 to 49.02)</v>
      </c>
    </row>
    <row r="14" spans="1:14" ht="17.25" thickBot="1" x14ac:dyDescent="0.35">
      <c r="A14" s="14">
        <v>3</v>
      </c>
      <c r="B14" s="2">
        <v>14085</v>
      </c>
      <c r="C14" s="2">
        <v>3749853</v>
      </c>
      <c r="D14" s="2">
        <v>51705</v>
      </c>
      <c r="E14" s="2">
        <v>12.3955</v>
      </c>
      <c r="F14" s="2">
        <v>0.17949999999999999</v>
      </c>
      <c r="G14" s="2">
        <v>12.0435</v>
      </c>
      <c r="H14" s="2">
        <v>12.7475</v>
      </c>
      <c r="J14">
        <f t="shared" si="0"/>
        <v>12.3955</v>
      </c>
      <c r="K14">
        <f t="shared" si="1"/>
        <v>12.0435</v>
      </c>
      <c r="L14">
        <f t="shared" si="2"/>
        <v>12.7475</v>
      </c>
      <c r="N14" t="str">
        <f t="shared" si="3"/>
        <v>12.40 (12.04 to 12.75)</v>
      </c>
    </row>
    <row r="15" spans="1:14" x14ac:dyDescent="0.3">
      <c r="A15" s="15" t="s">
        <v>132</v>
      </c>
      <c r="B15" s="2">
        <v>68634</v>
      </c>
      <c r="C15" s="2">
        <v>30251757</v>
      </c>
      <c r="D15" s="2">
        <v>228761</v>
      </c>
      <c r="E15" s="2">
        <v>100</v>
      </c>
      <c r="F15" s="2"/>
      <c r="G15" s="2"/>
      <c r="H15" s="2"/>
    </row>
    <row r="16" spans="1:14" ht="17.25" thickBot="1" x14ac:dyDescent="0.35"/>
    <row r="17" spans="1:14" ht="16.5" customHeight="1" x14ac:dyDescent="0.3">
      <c r="A17" s="17" t="s">
        <v>133</v>
      </c>
      <c r="B17" s="19"/>
      <c r="C17" s="19"/>
      <c r="D17" s="19"/>
      <c r="E17" s="19"/>
      <c r="F17" s="19"/>
      <c r="G17" s="19"/>
      <c r="H17" s="19"/>
    </row>
    <row r="18" spans="1:14" ht="33" customHeight="1" x14ac:dyDescent="0.3">
      <c r="A18" s="18" t="s">
        <v>5</v>
      </c>
      <c r="B18" s="20" t="s">
        <v>125</v>
      </c>
      <c r="C18" s="3" t="s">
        <v>126</v>
      </c>
      <c r="D18" s="3" t="s">
        <v>127</v>
      </c>
      <c r="E18" s="20" t="s">
        <v>129</v>
      </c>
      <c r="F18" s="3" t="s">
        <v>127</v>
      </c>
      <c r="G18" s="20" t="s">
        <v>130</v>
      </c>
      <c r="H18" s="20"/>
    </row>
    <row r="19" spans="1:14" ht="33" x14ac:dyDescent="0.3">
      <c r="A19" s="18"/>
      <c r="B19" s="20"/>
      <c r="C19" s="3" t="s">
        <v>125</v>
      </c>
      <c r="D19" s="3" t="s">
        <v>128</v>
      </c>
      <c r="E19" s="20"/>
      <c r="F19" s="3" t="s">
        <v>129</v>
      </c>
      <c r="G19" s="20" t="s">
        <v>131</v>
      </c>
      <c r="H19" s="20"/>
    </row>
    <row r="20" spans="1:14" ht="17.25" thickBot="1" x14ac:dyDescent="0.35">
      <c r="A20" s="14">
        <v>1</v>
      </c>
      <c r="B20" s="2">
        <v>33200</v>
      </c>
      <c r="C20" s="2">
        <v>16448830</v>
      </c>
      <c r="D20" s="2">
        <v>140406</v>
      </c>
      <c r="E20" s="2">
        <v>54.373100000000001</v>
      </c>
      <c r="F20" s="2">
        <v>0.18820000000000001</v>
      </c>
      <c r="G20" s="2">
        <v>54.004100000000001</v>
      </c>
      <c r="H20" s="2">
        <v>54.742199999999997</v>
      </c>
      <c r="J20">
        <f t="shared" ref="J20:J21" si="4">E20</f>
        <v>54.373100000000001</v>
      </c>
      <c r="K20">
        <f t="shared" ref="K20:K21" si="5">G20</f>
        <v>54.004100000000001</v>
      </c>
      <c r="L20">
        <f t="shared" ref="L20:L21" si="6">H20</f>
        <v>54.742199999999997</v>
      </c>
      <c r="N20" t="str">
        <f t="shared" ref="N20:N21" si="7">TEXT(J20,"0.00")&amp;" ("&amp;TEXT(K20,"0.00")&amp;" to "&amp;TEXT(L20,"0.00")&amp;")"</f>
        <v>54.37 (54.00 to 54.74)</v>
      </c>
    </row>
    <row r="21" spans="1:14" ht="17.25" thickBot="1" x14ac:dyDescent="0.35">
      <c r="A21" s="14">
        <v>2</v>
      </c>
      <c r="B21" s="2">
        <v>35434</v>
      </c>
      <c r="C21" s="2">
        <v>13802926</v>
      </c>
      <c r="D21" s="2">
        <v>115315</v>
      </c>
      <c r="E21" s="2">
        <v>45.626899999999999</v>
      </c>
      <c r="F21" s="2">
        <v>0.18820000000000001</v>
      </c>
      <c r="G21" s="2">
        <v>45.257800000000003</v>
      </c>
      <c r="H21" s="2">
        <v>45.995899999999999</v>
      </c>
      <c r="J21">
        <f t="shared" si="4"/>
        <v>45.626899999999999</v>
      </c>
      <c r="K21">
        <f t="shared" si="5"/>
        <v>45.257800000000003</v>
      </c>
      <c r="L21">
        <f t="shared" si="6"/>
        <v>45.995899999999999</v>
      </c>
      <c r="N21" t="str">
        <f t="shared" si="7"/>
        <v>45.63 (45.26 to 46.00)</v>
      </c>
    </row>
    <row r="22" spans="1:14" x14ac:dyDescent="0.3">
      <c r="A22" s="15" t="s">
        <v>132</v>
      </c>
      <c r="B22" s="2">
        <v>68634</v>
      </c>
      <c r="C22" s="2">
        <v>30251757</v>
      </c>
      <c r="D22" s="2">
        <v>228761</v>
      </c>
      <c r="E22" s="2">
        <v>100</v>
      </c>
      <c r="F22" s="2"/>
      <c r="G22" s="2"/>
      <c r="H22" s="2"/>
    </row>
    <row r="23" spans="1:14" ht="17.25" thickBot="1" x14ac:dyDescent="0.35"/>
    <row r="24" spans="1:14" ht="16.5" customHeight="1" x14ac:dyDescent="0.3">
      <c r="A24" s="17" t="s">
        <v>134</v>
      </c>
      <c r="B24" s="19"/>
      <c r="C24" s="19"/>
      <c r="D24" s="19"/>
      <c r="E24" s="19"/>
      <c r="F24" s="19"/>
      <c r="G24" s="19"/>
      <c r="H24" s="19"/>
    </row>
    <row r="25" spans="1:14" ht="33" customHeight="1" x14ac:dyDescent="0.3">
      <c r="A25" s="18" t="s">
        <v>6</v>
      </c>
      <c r="B25" s="20" t="s">
        <v>125</v>
      </c>
      <c r="C25" s="3" t="s">
        <v>126</v>
      </c>
      <c r="D25" s="3" t="s">
        <v>127</v>
      </c>
      <c r="E25" s="20" t="s">
        <v>129</v>
      </c>
      <c r="F25" s="3" t="s">
        <v>127</v>
      </c>
      <c r="G25" s="20" t="s">
        <v>130</v>
      </c>
      <c r="H25" s="20"/>
    </row>
    <row r="26" spans="1:14" ht="33" x14ac:dyDescent="0.3">
      <c r="A26" s="18"/>
      <c r="B26" s="20"/>
      <c r="C26" s="3" t="s">
        <v>125</v>
      </c>
      <c r="D26" s="3" t="s">
        <v>128</v>
      </c>
      <c r="E26" s="20"/>
      <c r="F26" s="3" t="s">
        <v>129</v>
      </c>
      <c r="G26" s="20" t="s">
        <v>131</v>
      </c>
      <c r="H26" s="20"/>
    </row>
    <row r="27" spans="1:14" ht="17.25" thickBot="1" x14ac:dyDescent="0.35">
      <c r="A27" s="14">
        <v>1</v>
      </c>
      <c r="B27" s="2">
        <v>55176</v>
      </c>
      <c r="C27" s="2">
        <v>25392078</v>
      </c>
      <c r="D27" s="2">
        <v>290318</v>
      </c>
      <c r="E27" s="2">
        <v>83.935900000000004</v>
      </c>
      <c r="F27" s="2">
        <v>0.64080000000000004</v>
      </c>
      <c r="G27" s="2">
        <v>82.679400000000001</v>
      </c>
      <c r="H27" s="2">
        <v>85.192300000000003</v>
      </c>
      <c r="J27">
        <f t="shared" ref="J27:J28" si="8">E27</f>
        <v>83.935900000000004</v>
      </c>
      <c r="K27">
        <f t="shared" ref="K27:K28" si="9">G27</f>
        <v>82.679400000000001</v>
      </c>
      <c r="L27">
        <f t="shared" ref="L27:L28" si="10">H27</f>
        <v>85.192300000000003</v>
      </c>
      <c r="N27" t="str">
        <f t="shared" ref="N27:N28" si="11">TEXT(J27,"0.00")&amp;" ("&amp;TEXT(K27,"0.00")&amp;" to "&amp;TEXT(L27,"0.00")&amp;")"</f>
        <v>83.94 (82.68 to 85.19)</v>
      </c>
    </row>
    <row r="28" spans="1:14" ht="17.25" thickBot="1" x14ac:dyDescent="0.35">
      <c r="A28" s="14">
        <v>2</v>
      </c>
      <c r="B28" s="2">
        <v>13458</v>
      </c>
      <c r="C28" s="2">
        <v>4859679</v>
      </c>
      <c r="D28" s="2">
        <v>192467</v>
      </c>
      <c r="E28" s="2">
        <v>16.0641</v>
      </c>
      <c r="F28" s="2">
        <v>0.64080000000000004</v>
      </c>
      <c r="G28" s="2">
        <v>14.807700000000001</v>
      </c>
      <c r="H28" s="2">
        <v>17.320599999999999</v>
      </c>
      <c r="J28">
        <f t="shared" si="8"/>
        <v>16.0641</v>
      </c>
      <c r="K28">
        <f t="shared" si="9"/>
        <v>14.807700000000001</v>
      </c>
      <c r="L28">
        <f t="shared" si="10"/>
        <v>17.320599999999999</v>
      </c>
      <c r="N28" t="str">
        <f t="shared" si="11"/>
        <v>16.06 (14.81 to 17.32)</v>
      </c>
    </row>
    <row r="29" spans="1:14" x14ac:dyDescent="0.3">
      <c r="A29" s="15" t="s">
        <v>132</v>
      </c>
      <c r="B29" s="2">
        <v>68634</v>
      </c>
      <c r="C29" s="2">
        <v>30251757</v>
      </c>
      <c r="D29" s="2">
        <v>228761</v>
      </c>
      <c r="E29" s="2">
        <v>100</v>
      </c>
      <c r="F29" s="2"/>
      <c r="G29" s="2"/>
      <c r="H29" s="2"/>
    </row>
    <row r="30" spans="1:14" ht="17.25" thickBot="1" x14ac:dyDescent="0.35"/>
    <row r="31" spans="1:14" ht="16.5" customHeight="1" x14ac:dyDescent="0.3">
      <c r="A31" s="17" t="s">
        <v>135</v>
      </c>
      <c r="B31" s="19"/>
      <c r="C31" s="19"/>
      <c r="D31" s="19"/>
      <c r="E31" s="19"/>
      <c r="F31" s="19"/>
      <c r="G31" s="19"/>
      <c r="H31" s="19"/>
    </row>
    <row r="32" spans="1:14" ht="33" customHeight="1" x14ac:dyDescent="0.3">
      <c r="A32" s="18" t="s">
        <v>7</v>
      </c>
      <c r="B32" s="20" t="s">
        <v>125</v>
      </c>
      <c r="C32" s="3" t="s">
        <v>126</v>
      </c>
      <c r="D32" s="3" t="s">
        <v>127</v>
      </c>
      <c r="E32" s="20" t="s">
        <v>129</v>
      </c>
      <c r="F32" s="3" t="s">
        <v>127</v>
      </c>
      <c r="G32" s="20" t="s">
        <v>130</v>
      </c>
      <c r="H32" s="20"/>
    </row>
    <row r="33" spans="1:14" ht="33" x14ac:dyDescent="0.3">
      <c r="A33" s="18"/>
      <c r="B33" s="20"/>
      <c r="C33" s="3" t="s">
        <v>125</v>
      </c>
      <c r="D33" s="3" t="s">
        <v>128</v>
      </c>
      <c r="E33" s="20"/>
      <c r="F33" s="3" t="s">
        <v>129</v>
      </c>
      <c r="G33" s="20" t="s">
        <v>131</v>
      </c>
      <c r="H33" s="20"/>
    </row>
    <row r="34" spans="1:14" ht="17.25" thickBot="1" x14ac:dyDescent="0.35">
      <c r="A34" s="14">
        <v>1</v>
      </c>
      <c r="B34" s="2">
        <v>9199</v>
      </c>
      <c r="C34" s="2">
        <v>2778708</v>
      </c>
      <c r="D34" s="2">
        <v>48157</v>
      </c>
      <c r="E34" s="2">
        <v>9.1852999999999998</v>
      </c>
      <c r="F34" s="2">
        <v>0.16550000000000001</v>
      </c>
      <c r="G34" s="2">
        <v>8.8606999999999996</v>
      </c>
      <c r="H34" s="2">
        <v>9.5098000000000003</v>
      </c>
      <c r="J34">
        <f t="shared" ref="J34:J37" si="12">E34</f>
        <v>9.1852999999999998</v>
      </c>
      <c r="K34">
        <f t="shared" ref="K34:K37" si="13">G34</f>
        <v>8.8606999999999996</v>
      </c>
      <c r="L34">
        <f t="shared" ref="L34:L37" si="14">H34</f>
        <v>9.5098000000000003</v>
      </c>
      <c r="N34" t="str">
        <f t="shared" ref="N34:N37" si="15">TEXT(J34,"0.00")&amp;" ("&amp;TEXT(K34,"0.00")&amp;" to "&amp;TEXT(L34,"0.00")&amp;")"</f>
        <v>9.19 (8.86 to 9.51)</v>
      </c>
    </row>
    <row r="35" spans="1:14" ht="17.25" thickBot="1" x14ac:dyDescent="0.35">
      <c r="A35" s="14">
        <v>2</v>
      </c>
      <c r="B35" s="2">
        <v>7936</v>
      </c>
      <c r="C35" s="2">
        <v>2682325</v>
      </c>
      <c r="D35" s="2">
        <v>43700</v>
      </c>
      <c r="E35" s="2">
        <v>8.8666999999999998</v>
      </c>
      <c r="F35" s="2">
        <v>0.14430000000000001</v>
      </c>
      <c r="G35" s="2">
        <v>8.5837000000000003</v>
      </c>
      <c r="H35" s="2">
        <v>9.1496999999999993</v>
      </c>
      <c r="J35">
        <f t="shared" si="12"/>
        <v>8.8666999999999998</v>
      </c>
      <c r="K35">
        <f t="shared" si="13"/>
        <v>8.5837000000000003</v>
      </c>
      <c r="L35">
        <f t="shared" si="14"/>
        <v>9.1496999999999993</v>
      </c>
      <c r="N35" t="str">
        <f t="shared" si="15"/>
        <v>8.87 (8.58 to 9.15)</v>
      </c>
    </row>
    <row r="36" spans="1:14" ht="17.25" thickBot="1" x14ac:dyDescent="0.35">
      <c r="A36" s="14">
        <v>3</v>
      </c>
      <c r="B36" s="2">
        <v>17758</v>
      </c>
      <c r="C36" s="2">
        <v>7987796</v>
      </c>
      <c r="D36" s="2">
        <v>95615</v>
      </c>
      <c r="E36" s="2">
        <v>26.404399999999999</v>
      </c>
      <c r="F36" s="2">
        <v>0.25690000000000002</v>
      </c>
      <c r="G36" s="2">
        <v>25.900600000000001</v>
      </c>
      <c r="H36" s="2">
        <v>26.908200000000001</v>
      </c>
      <c r="J36">
        <f t="shared" si="12"/>
        <v>26.404399999999999</v>
      </c>
      <c r="K36">
        <f t="shared" si="13"/>
        <v>25.900600000000001</v>
      </c>
      <c r="L36">
        <f t="shared" si="14"/>
        <v>26.908200000000001</v>
      </c>
      <c r="N36" t="str">
        <f t="shared" si="15"/>
        <v>26.40 (25.90 to 26.91)</v>
      </c>
    </row>
    <row r="37" spans="1:14" ht="17.25" thickBot="1" x14ac:dyDescent="0.35">
      <c r="A37" s="14">
        <v>4</v>
      </c>
      <c r="B37" s="2">
        <v>33741</v>
      </c>
      <c r="C37" s="2">
        <v>16802927</v>
      </c>
      <c r="D37" s="2">
        <v>189742</v>
      </c>
      <c r="E37" s="2">
        <v>55.543599999999998</v>
      </c>
      <c r="F37" s="2">
        <v>0.36720000000000003</v>
      </c>
      <c r="G37" s="2">
        <v>54.823599999999999</v>
      </c>
      <c r="H37" s="2">
        <v>56.2637</v>
      </c>
      <c r="J37">
        <f t="shared" si="12"/>
        <v>55.543599999999998</v>
      </c>
      <c r="K37">
        <f t="shared" si="13"/>
        <v>54.823599999999999</v>
      </c>
      <c r="L37">
        <f t="shared" si="14"/>
        <v>56.2637</v>
      </c>
      <c r="N37" t="str">
        <f t="shared" si="15"/>
        <v>55.54 (54.82 to 56.26)</v>
      </c>
    </row>
    <row r="38" spans="1:14" x14ac:dyDescent="0.3">
      <c r="A38" s="15" t="s">
        <v>132</v>
      </c>
      <c r="B38" s="2">
        <v>68634</v>
      </c>
      <c r="C38" s="2">
        <v>30251757</v>
      </c>
      <c r="D38" s="2">
        <v>228761</v>
      </c>
      <c r="E38" s="2">
        <v>100</v>
      </c>
      <c r="F38" s="2"/>
      <c r="G38" s="2"/>
      <c r="H38" s="2"/>
    </row>
    <row r="39" spans="1:14" ht="17.25" thickBot="1" x14ac:dyDescent="0.35"/>
    <row r="40" spans="1:14" ht="16.5" customHeight="1" x14ac:dyDescent="0.3">
      <c r="A40" s="17" t="s">
        <v>136</v>
      </c>
      <c r="B40" s="19"/>
      <c r="C40" s="19"/>
      <c r="D40" s="19"/>
      <c r="E40" s="19"/>
      <c r="F40" s="19"/>
      <c r="G40" s="19"/>
      <c r="H40" s="19"/>
    </row>
    <row r="41" spans="1:14" ht="33" customHeight="1" x14ac:dyDescent="0.3">
      <c r="A41" s="18" t="s">
        <v>8</v>
      </c>
      <c r="B41" s="20" t="s">
        <v>125</v>
      </c>
      <c r="C41" s="3" t="s">
        <v>126</v>
      </c>
      <c r="D41" s="3" t="s">
        <v>127</v>
      </c>
      <c r="E41" s="20" t="s">
        <v>129</v>
      </c>
      <c r="F41" s="3" t="s">
        <v>127</v>
      </c>
      <c r="G41" s="20" t="s">
        <v>130</v>
      </c>
      <c r="H41" s="20"/>
    </row>
    <row r="42" spans="1:14" ht="33" x14ac:dyDescent="0.3">
      <c r="A42" s="18"/>
      <c r="B42" s="20"/>
      <c r="C42" s="3" t="s">
        <v>125</v>
      </c>
      <c r="D42" s="3" t="s">
        <v>128</v>
      </c>
      <c r="E42" s="20"/>
      <c r="F42" s="3" t="s">
        <v>129</v>
      </c>
      <c r="G42" s="20" t="s">
        <v>131</v>
      </c>
      <c r="H42" s="20"/>
    </row>
    <row r="43" spans="1:14" ht="17.25" thickBot="1" x14ac:dyDescent="0.35">
      <c r="A43" s="14">
        <v>1</v>
      </c>
      <c r="B43" s="2">
        <v>11265</v>
      </c>
      <c r="C43" s="2">
        <v>3936155</v>
      </c>
      <c r="D43" s="2">
        <v>65921</v>
      </c>
      <c r="E43" s="2">
        <v>13.0113</v>
      </c>
      <c r="F43" s="2">
        <v>0.22689999999999999</v>
      </c>
      <c r="G43" s="2">
        <v>12.5665</v>
      </c>
      <c r="H43" s="2">
        <v>13.456099999999999</v>
      </c>
      <c r="J43">
        <f t="shared" ref="J43:J46" si="16">E43</f>
        <v>13.0113</v>
      </c>
      <c r="K43">
        <f t="shared" ref="K43:K46" si="17">G43</f>
        <v>12.5665</v>
      </c>
      <c r="L43">
        <f t="shared" ref="L43:L46" si="18">H43</f>
        <v>13.456099999999999</v>
      </c>
      <c r="N43" t="str">
        <f t="shared" ref="N43:N46" si="19">TEXT(J43,"0.00")&amp;" ("&amp;TEXT(K43,"0.00")&amp;" to "&amp;TEXT(L43,"0.00")&amp;")"</f>
        <v>13.01 (12.57 to 13.46)</v>
      </c>
    </row>
    <row r="44" spans="1:14" ht="17.25" thickBot="1" x14ac:dyDescent="0.35">
      <c r="A44" s="14">
        <v>2</v>
      </c>
      <c r="B44" s="2">
        <v>16834</v>
      </c>
      <c r="C44" s="2">
        <v>7267525</v>
      </c>
      <c r="D44" s="2">
        <v>98219</v>
      </c>
      <c r="E44" s="2">
        <v>24.023499999999999</v>
      </c>
      <c r="F44" s="2">
        <v>0.29559999999999997</v>
      </c>
      <c r="G44" s="2">
        <v>23.4438</v>
      </c>
      <c r="H44" s="2">
        <v>24.603200000000001</v>
      </c>
      <c r="J44">
        <f t="shared" si="16"/>
        <v>24.023499999999999</v>
      </c>
      <c r="K44">
        <f t="shared" si="17"/>
        <v>23.4438</v>
      </c>
      <c r="L44">
        <f t="shared" si="18"/>
        <v>24.603200000000001</v>
      </c>
      <c r="N44" t="str">
        <f t="shared" si="19"/>
        <v>24.02 (23.44 to 24.60)</v>
      </c>
    </row>
    <row r="45" spans="1:14" ht="17.25" thickBot="1" x14ac:dyDescent="0.35">
      <c r="A45" s="14">
        <v>3</v>
      </c>
      <c r="B45" s="2">
        <v>19585</v>
      </c>
      <c r="C45" s="2">
        <v>9189930</v>
      </c>
      <c r="D45" s="2">
        <v>122326</v>
      </c>
      <c r="E45" s="2">
        <v>30.3782</v>
      </c>
      <c r="F45" s="2">
        <v>0.30769999999999997</v>
      </c>
      <c r="G45" s="2">
        <v>29.774799999999999</v>
      </c>
      <c r="H45" s="2">
        <v>30.9815</v>
      </c>
      <c r="J45">
        <f t="shared" si="16"/>
        <v>30.3782</v>
      </c>
      <c r="K45">
        <f t="shared" si="17"/>
        <v>29.774799999999999</v>
      </c>
      <c r="L45">
        <f t="shared" si="18"/>
        <v>30.9815</v>
      </c>
      <c r="N45" t="str">
        <f t="shared" si="19"/>
        <v>30.38 (29.77 to 30.98)</v>
      </c>
    </row>
    <row r="46" spans="1:14" ht="17.25" thickBot="1" x14ac:dyDescent="0.35">
      <c r="A46" s="14">
        <v>4</v>
      </c>
      <c r="B46" s="2">
        <v>20950</v>
      </c>
      <c r="C46" s="2">
        <v>9858146</v>
      </c>
      <c r="D46" s="2">
        <v>157165</v>
      </c>
      <c r="E46" s="2">
        <v>32.587000000000003</v>
      </c>
      <c r="F46" s="2">
        <v>0.41460000000000002</v>
      </c>
      <c r="G46" s="2">
        <v>31.774100000000001</v>
      </c>
      <c r="H46" s="2">
        <v>33.399900000000002</v>
      </c>
      <c r="J46">
        <f t="shared" si="16"/>
        <v>32.587000000000003</v>
      </c>
      <c r="K46">
        <f t="shared" si="17"/>
        <v>31.774100000000001</v>
      </c>
      <c r="L46">
        <f t="shared" si="18"/>
        <v>33.399900000000002</v>
      </c>
      <c r="N46" t="str">
        <f t="shared" si="19"/>
        <v>32.59 (31.77 to 33.40)</v>
      </c>
    </row>
    <row r="47" spans="1:14" x14ac:dyDescent="0.3">
      <c r="A47" s="15" t="s">
        <v>132</v>
      </c>
      <c r="B47" s="2">
        <v>68634</v>
      </c>
      <c r="C47" s="2">
        <v>30251757</v>
      </c>
      <c r="D47" s="2">
        <v>228761</v>
      </c>
      <c r="E47" s="2">
        <v>100</v>
      </c>
      <c r="F47" s="2"/>
      <c r="G47" s="2"/>
      <c r="H47" s="2"/>
    </row>
    <row r="48" spans="1:14" ht="17.25" thickBot="1" x14ac:dyDescent="0.35"/>
    <row r="49" spans="1:14" ht="16.5" customHeight="1" x14ac:dyDescent="0.3">
      <c r="A49" s="17" t="s">
        <v>137</v>
      </c>
      <c r="B49" s="19"/>
      <c r="C49" s="19"/>
      <c r="D49" s="19"/>
      <c r="E49" s="19"/>
      <c r="F49" s="19"/>
      <c r="G49" s="19"/>
      <c r="H49" s="19"/>
    </row>
    <row r="50" spans="1:14" ht="33" customHeight="1" x14ac:dyDescent="0.3">
      <c r="A50" s="18" t="s">
        <v>9</v>
      </c>
      <c r="B50" s="20" t="s">
        <v>125</v>
      </c>
      <c r="C50" s="3" t="s">
        <v>126</v>
      </c>
      <c r="D50" s="3" t="s">
        <v>127</v>
      </c>
      <c r="E50" s="20" t="s">
        <v>129</v>
      </c>
      <c r="F50" s="3" t="s">
        <v>127</v>
      </c>
      <c r="G50" s="20" t="s">
        <v>130</v>
      </c>
      <c r="H50" s="20"/>
    </row>
    <row r="51" spans="1:14" ht="33" x14ac:dyDescent="0.3">
      <c r="A51" s="18"/>
      <c r="B51" s="20"/>
      <c r="C51" s="3" t="s">
        <v>125</v>
      </c>
      <c r="D51" s="3" t="s">
        <v>128</v>
      </c>
      <c r="E51" s="20"/>
      <c r="F51" s="3" t="s">
        <v>129</v>
      </c>
      <c r="G51" s="20" t="s">
        <v>131</v>
      </c>
      <c r="H51" s="20"/>
    </row>
    <row r="52" spans="1:14" ht="17.25" thickBot="1" x14ac:dyDescent="0.35">
      <c r="A52" s="14">
        <v>1</v>
      </c>
      <c r="B52" s="2">
        <v>2777</v>
      </c>
      <c r="C52" s="2">
        <v>1296193</v>
      </c>
      <c r="D52" s="2">
        <v>31560</v>
      </c>
      <c r="E52" s="2">
        <v>4.2847</v>
      </c>
      <c r="F52" s="2">
        <v>9.8500000000000004E-2</v>
      </c>
      <c r="G52" s="2">
        <v>4.0915999999999997</v>
      </c>
      <c r="H52" s="2">
        <v>4.4778000000000002</v>
      </c>
      <c r="J52">
        <f t="shared" ref="J52:J55" si="20">E52</f>
        <v>4.2847</v>
      </c>
      <c r="K52">
        <f t="shared" ref="K52:K55" si="21">G52</f>
        <v>4.0915999999999997</v>
      </c>
      <c r="L52">
        <f t="shared" ref="L52:L55" si="22">H52</f>
        <v>4.4778000000000002</v>
      </c>
      <c r="N52" t="str">
        <f t="shared" ref="N52:N55" si="23">TEXT(J52,"0.00")&amp;" ("&amp;TEXT(K52,"0.00")&amp;" to "&amp;TEXT(L52,"0.00")&amp;")"</f>
        <v>4.28 (4.09 to 4.48)</v>
      </c>
    </row>
    <row r="53" spans="1:14" ht="17.25" thickBot="1" x14ac:dyDescent="0.35">
      <c r="A53" s="14">
        <v>2</v>
      </c>
      <c r="B53" s="2">
        <v>26435</v>
      </c>
      <c r="C53" s="2">
        <v>11585647</v>
      </c>
      <c r="D53" s="2">
        <v>115210</v>
      </c>
      <c r="E53" s="2">
        <v>38.297400000000003</v>
      </c>
      <c r="F53" s="2">
        <v>0.2286</v>
      </c>
      <c r="G53" s="2">
        <v>37.849200000000003</v>
      </c>
      <c r="H53" s="2">
        <v>38.745699999999999</v>
      </c>
      <c r="J53">
        <f t="shared" si="20"/>
        <v>38.297400000000003</v>
      </c>
      <c r="K53">
        <f t="shared" si="21"/>
        <v>37.849200000000003</v>
      </c>
      <c r="L53">
        <f t="shared" si="22"/>
        <v>38.745699999999999</v>
      </c>
      <c r="N53" t="str">
        <f t="shared" si="23"/>
        <v>38.30 (37.85 to 38.75)</v>
      </c>
    </row>
    <row r="54" spans="1:14" ht="17.25" thickBot="1" x14ac:dyDescent="0.35">
      <c r="A54" s="14">
        <v>3</v>
      </c>
      <c r="B54" s="2">
        <v>16264</v>
      </c>
      <c r="C54" s="2">
        <v>7016651</v>
      </c>
      <c r="D54" s="2">
        <v>76885</v>
      </c>
      <c r="E54" s="2">
        <v>23.194199999999999</v>
      </c>
      <c r="F54" s="2">
        <v>0.189</v>
      </c>
      <c r="G54" s="2">
        <v>22.823599999999999</v>
      </c>
      <c r="H54" s="2">
        <v>23.564800000000002</v>
      </c>
      <c r="J54">
        <f t="shared" si="20"/>
        <v>23.194199999999999</v>
      </c>
      <c r="K54">
        <f t="shared" si="21"/>
        <v>22.823599999999999</v>
      </c>
      <c r="L54">
        <f t="shared" si="22"/>
        <v>23.564800000000002</v>
      </c>
      <c r="N54" t="str">
        <f t="shared" si="23"/>
        <v>23.19 (22.82 to 23.56)</v>
      </c>
    </row>
    <row r="55" spans="1:14" ht="17.25" thickBot="1" x14ac:dyDescent="0.35">
      <c r="A55" s="14">
        <v>4</v>
      </c>
      <c r="B55" s="2">
        <v>23158</v>
      </c>
      <c r="C55" s="2">
        <v>10353266</v>
      </c>
      <c r="D55" s="2">
        <v>102556</v>
      </c>
      <c r="E55" s="2">
        <v>34.223700000000001</v>
      </c>
      <c r="F55" s="2">
        <v>0.23269999999999999</v>
      </c>
      <c r="G55" s="2">
        <v>33.767299999999999</v>
      </c>
      <c r="H55" s="2">
        <v>34.680100000000003</v>
      </c>
      <c r="J55">
        <f t="shared" si="20"/>
        <v>34.223700000000001</v>
      </c>
      <c r="K55">
        <f t="shared" si="21"/>
        <v>33.767299999999999</v>
      </c>
      <c r="L55">
        <f t="shared" si="22"/>
        <v>34.680100000000003</v>
      </c>
      <c r="N55" t="str">
        <f t="shared" si="23"/>
        <v>34.22 (33.77 to 34.68)</v>
      </c>
    </row>
    <row r="56" spans="1:14" x14ac:dyDescent="0.3">
      <c r="A56" s="15" t="s">
        <v>132</v>
      </c>
      <c r="B56" s="2">
        <v>68634</v>
      </c>
      <c r="C56" s="2">
        <v>30251757</v>
      </c>
      <c r="D56" s="2">
        <v>228761</v>
      </c>
      <c r="E56" s="2">
        <v>100</v>
      </c>
      <c r="F56" s="2"/>
      <c r="G56" s="2"/>
      <c r="H56" s="2"/>
    </row>
    <row r="57" spans="1:14" ht="17.25" thickBot="1" x14ac:dyDescent="0.35"/>
    <row r="58" spans="1:14" ht="16.5" customHeight="1" x14ac:dyDescent="0.3">
      <c r="A58" s="17" t="s">
        <v>138</v>
      </c>
      <c r="B58" s="19"/>
      <c r="C58" s="19"/>
      <c r="D58" s="19"/>
      <c r="E58" s="19"/>
      <c r="F58" s="19"/>
      <c r="G58" s="19"/>
      <c r="H58" s="19"/>
    </row>
    <row r="59" spans="1:14" ht="33" customHeight="1" x14ac:dyDescent="0.3">
      <c r="A59" s="18" t="s">
        <v>10</v>
      </c>
      <c r="B59" s="20" t="s">
        <v>125</v>
      </c>
      <c r="C59" s="3" t="s">
        <v>126</v>
      </c>
      <c r="D59" s="3" t="s">
        <v>127</v>
      </c>
      <c r="E59" s="20" t="s">
        <v>129</v>
      </c>
      <c r="F59" s="3" t="s">
        <v>127</v>
      </c>
      <c r="G59" s="20" t="s">
        <v>130</v>
      </c>
      <c r="H59" s="20"/>
    </row>
    <row r="60" spans="1:14" ht="33" x14ac:dyDescent="0.3">
      <c r="A60" s="18"/>
      <c r="B60" s="20"/>
      <c r="C60" s="3" t="s">
        <v>125</v>
      </c>
      <c r="D60" s="3" t="s">
        <v>128</v>
      </c>
      <c r="E60" s="20"/>
      <c r="F60" s="3" t="s">
        <v>129</v>
      </c>
      <c r="G60" s="20" t="s">
        <v>131</v>
      </c>
      <c r="H60" s="20"/>
    </row>
    <row r="61" spans="1:14" ht="17.25" thickBot="1" x14ac:dyDescent="0.35">
      <c r="A61" s="14">
        <v>1</v>
      </c>
      <c r="B61" s="2">
        <v>56813</v>
      </c>
      <c r="C61" s="2">
        <v>22898587</v>
      </c>
      <c r="D61" s="2">
        <v>183196</v>
      </c>
      <c r="E61" s="2">
        <v>75.693399999999997</v>
      </c>
      <c r="F61" s="2">
        <v>0.28570000000000001</v>
      </c>
      <c r="G61" s="2">
        <v>75.133200000000002</v>
      </c>
      <c r="H61" s="2">
        <v>76.253699999999995</v>
      </c>
      <c r="J61">
        <f t="shared" ref="J61:J62" si="24">E61</f>
        <v>75.693399999999997</v>
      </c>
      <c r="K61">
        <f t="shared" ref="K61:K62" si="25">G61</f>
        <v>75.133200000000002</v>
      </c>
      <c r="L61">
        <f t="shared" ref="L61:L62" si="26">H61</f>
        <v>76.253699999999995</v>
      </c>
      <c r="N61" t="str">
        <f t="shared" ref="N61:N62" si="27">TEXT(J61,"0.00")&amp;" ("&amp;TEXT(K61,"0.00")&amp;" to "&amp;TEXT(L61,"0.00")&amp;")"</f>
        <v>75.69 (75.13 to 76.25)</v>
      </c>
    </row>
    <row r="62" spans="1:14" ht="17.25" thickBot="1" x14ac:dyDescent="0.35">
      <c r="A62" s="14">
        <v>2</v>
      </c>
      <c r="B62" s="2">
        <v>11821</v>
      </c>
      <c r="C62" s="2">
        <v>7353170</v>
      </c>
      <c r="D62" s="2">
        <v>108690</v>
      </c>
      <c r="E62" s="2">
        <v>24.3066</v>
      </c>
      <c r="F62" s="2">
        <v>0.28570000000000001</v>
      </c>
      <c r="G62" s="2">
        <v>23.746300000000002</v>
      </c>
      <c r="H62" s="2">
        <v>24.866800000000001</v>
      </c>
      <c r="J62">
        <f t="shared" si="24"/>
        <v>24.3066</v>
      </c>
      <c r="K62">
        <f t="shared" si="25"/>
        <v>23.746300000000002</v>
      </c>
      <c r="L62">
        <f t="shared" si="26"/>
        <v>24.866800000000001</v>
      </c>
      <c r="N62" t="str">
        <f t="shared" si="27"/>
        <v>24.31 (23.75 to 24.87)</v>
      </c>
    </row>
    <row r="63" spans="1:14" x14ac:dyDescent="0.3">
      <c r="A63" s="15" t="s">
        <v>132</v>
      </c>
      <c r="B63" s="2">
        <v>68634</v>
      </c>
      <c r="C63" s="2">
        <v>30251757</v>
      </c>
      <c r="D63" s="2">
        <v>228761</v>
      </c>
      <c r="E63" s="2">
        <v>100</v>
      </c>
      <c r="F63" s="2"/>
      <c r="G63" s="2"/>
      <c r="H63" s="2"/>
    </row>
    <row r="64" spans="1:14" ht="17.25" thickBot="1" x14ac:dyDescent="0.35"/>
    <row r="65" spans="1:14" ht="16.5" customHeight="1" x14ac:dyDescent="0.3">
      <c r="A65" s="17" t="s">
        <v>139</v>
      </c>
      <c r="B65" s="19"/>
      <c r="C65" s="19"/>
      <c r="D65" s="19"/>
      <c r="E65" s="19"/>
      <c r="F65" s="19"/>
      <c r="G65" s="19"/>
      <c r="H65" s="19"/>
    </row>
    <row r="66" spans="1:14" ht="33" customHeight="1" x14ac:dyDescent="0.3">
      <c r="A66" s="18" t="s">
        <v>11</v>
      </c>
      <c r="B66" s="20" t="s">
        <v>125</v>
      </c>
      <c r="C66" s="3" t="s">
        <v>126</v>
      </c>
      <c r="D66" s="3" t="s">
        <v>127</v>
      </c>
      <c r="E66" s="20" t="s">
        <v>129</v>
      </c>
      <c r="F66" s="3" t="s">
        <v>127</v>
      </c>
      <c r="G66" s="20" t="s">
        <v>130</v>
      </c>
      <c r="H66" s="20"/>
    </row>
    <row r="67" spans="1:14" ht="33" x14ac:dyDescent="0.3">
      <c r="A67" s="18"/>
      <c r="B67" s="20"/>
      <c r="C67" s="3" t="s">
        <v>125</v>
      </c>
      <c r="D67" s="3" t="s">
        <v>128</v>
      </c>
      <c r="E67" s="20"/>
      <c r="F67" s="3" t="s">
        <v>129</v>
      </c>
      <c r="G67" s="20" t="s">
        <v>131</v>
      </c>
      <c r="H67" s="20"/>
    </row>
    <row r="68" spans="1:14" ht="17.25" thickBot="1" x14ac:dyDescent="0.35">
      <c r="A68" s="14">
        <v>1</v>
      </c>
      <c r="B68" s="2">
        <v>22876</v>
      </c>
      <c r="C68" s="2">
        <v>10423023</v>
      </c>
      <c r="D68" s="2">
        <v>111794</v>
      </c>
      <c r="E68" s="2">
        <v>34.454300000000003</v>
      </c>
      <c r="F68" s="2">
        <v>0.2404</v>
      </c>
      <c r="G68" s="2">
        <v>33.982799999999997</v>
      </c>
      <c r="H68" s="2">
        <v>34.925699999999999</v>
      </c>
      <c r="J68">
        <f t="shared" ref="J68:J70" si="28">E68</f>
        <v>34.454300000000003</v>
      </c>
      <c r="K68">
        <f t="shared" ref="K68:K70" si="29">G68</f>
        <v>33.982799999999997</v>
      </c>
      <c r="L68">
        <f t="shared" ref="L68:L70" si="30">H68</f>
        <v>34.925699999999999</v>
      </c>
      <c r="N68" t="str">
        <f t="shared" ref="N68:N70" si="31">TEXT(J68,"0.00")&amp;" ("&amp;TEXT(K68,"0.00")&amp;" to "&amp;TEXT(L68,"0.00")&amp;")"</f>
        <v>34.45 (33.98 to 34.93)</v>
      </c>
    </row>
    <row r="69" spans="1:14" ht="17.25" thickBot="1" x14ac:dyDescent="0.35">
      <c r="A69" s="14">
        <v>2</v>
      </c>
      <c r="B69" s="2">
        <v>33210</v>
      </c>
      <c r="C69" s="2">
        <v>14887576</v>
      </c>
      <c r="D69" s="2">
        <v>139026</v>
      </c>
      <c r="E69" s="2">
        <v>49.212299999999999</v>
      </c>
      <c r="F69" s="2">
        <v>0.25819999999999999</v>
      </c>
      <c r="G69" s="2">
        <v>48.706000000000003</v>
      </c>
      <c r="H69" s="2">
        <v>49.718600000000002</v>
      </c>
      <c r="J69">
        <f t="shared" si="28"/>
        <v>49.212299999999999</v>
      </c>
      <c r="K69">
        <f t="shared" si="29"/>
        <v>48.706000000000003</v>
      </c>
      <c r="L69">
        <f t="shared" si="30"/>
        <v>49.718600000000002</v>
      </c>
      <c r="N69" t="str">
        <f t="shared" si="31"/>
        <v>49.21 (48.71 to 49.72)</v>
      </c>
    </row>
    <row r="70" spans="1:14" ht="17.25" thickBot="1" x14ac:dyDescent="0.35">
      <c r="A70" s="14">
        <v>3</v>
      </c>
      <c r="B70" s="2">
        <v>12548</v>
      </c>
      <c r="C70" s="2">
        <v>4941158</v>
      </c>
      <c r="D70" s="2">
        <v>60757</v>
      </c>
      <c r="E70" s="2">
        <v>16.333500000000001</v>
      </c>
      <c r="F70" s="2">
        <v>0.17960000000000001</v>
      </c>
      <c r="G70" s="2">
        <v>15.981400000000001</v>
      </c>
      <c r="H70" s="2">
        <v>16.685500000000001</v>
      </c>
      <c r="J70">
        <f t="shared" si="28"/>
        <v>16.333500000000001</v>
      </c>
      <c r="K70">
        <f t="shared" si="29"/>
        <v>15.981400000000001</v>
      </c>
      <c r="L70">
        <f t="shared" si="30"/>
        <v>16.685500000000001</v>
      </c>
      <c r="N70" t="str">
        <f t="shared" si="31"/>
        <v>16.33 (15.98 to 16.69)</v>
      </c>
    </row>
    <row r="71" spans="1:14" x14ac:dyDescent="0.3">
      <c r="A71" s="15" t="s">
        <v>132</v>
      </c>
      <c r="B71" s="2">
        <v>68634</v>
      </c>
      <c r="C71" s="2">
        <v>30251757</v>
      </c>
      <c r="D71" s="2">
        <v>228761</v>
      </c>
      <c r="E71" s="2">
        <v>100</v>
      </c>
      <c r="F71" s="2"/>
      <c r="G71" s="2"/>
      <c r="H71" s="2"/>
    </row>
    <row r="72" spans="1:14" ht="17.25" thickBot="1" x14ac:dyDescent="0.35"/>
    <row r="73" spans="1:14" ht="16.5" customHeight="1" x14ac:dyDescent="0.3">
      <c r="A73" s="17" t="s">
        <v>140</v>
      </c>
      <c r="B73" s="19"/>
      <c r="C73" s="19"/>
      <c r="D73" s="19"/>
      <c r="E73" s="19"/>
      <c r="F73" s="19"/>
      <c r="G73" s="19"/>
      <c r="H73" s="19"/>
    </row>
    <row r="74" spans="1:14" ht="33" customHeight="1" x14ac:dyDescent="0.3">
      <c r="A74" s="18" t="s">
        <v>12</v>
      </c>
      <c r="B74" s="20" t="s">
        <v>125</v>
      </c>
      <c r="C74" s="3" t="s">
        <v>126</v>
      </c>
      <c r="D74" s="3" t="s">
        <v>127</v>
      </c>
      <c r="E74" s="20" t="s">
        <v>129</v>
      </c>
      <c r="F74" s="3" t="s">
        <v>127</v>
      </c>
      <c r="G74" s="20" t="s">
        <v>130</v>
      </c>
      <c r="H74" s="20"/>
    </row>
    <row r="75" spans="1:14" ht="33" x14ac:dyDescent="0.3">
      <c r="A75" s="18"/>
      <c r="B75" s="20"/>
      <c r="C75" s="3" t="s">
        <v>125</v>
      </c>
      <c r="D75" s="3" t="s">
        <v>128</v>
      </c>
      <c r="E75" s="20"/>
      <c r="F75" s="3" t="s">
        <v>129</v>
      </c>
      <c r="G75" s="20" t="s">
        <v>131</v>
      </c>
      <c r="H75" s="20"/>
    </row>
    <row r="76" spans="1:14" ht="17.25" thickBot="1" x14ac:dyDescent="0.35">
      <c r="A76" s="14">
        <v>1</v>
      </c>
      <c r="B76" s="2">
        <v>18257</v>
      </c>
      <c r="C76" s="2">
        <v>8413045</v>
      </c>
      <c r="D76" s="2">
        <v>91908</v>
      </c>
      <c r="E76" s="2">
        <v>27.810099999999998</v>
      </c>
      <c r="F76" s="2">
        <v>0.22020000000000001</v>
      </c>
      <c r="G76" s="2">
        <v>27.378399999999999</v>
      </c>
      <c r="H76" s="2">
        <v>28.241800000000001</v>
      </c>
      <c r="J76">
        <f t="shared" ref="J76:J78" si="32">E76</f>
        <v>27.810099999999998</v>
      </c>
      <c r="K76">
        <f t="shared" ref="K76:K78" si="33">G76</f>
        <v>27.378399999999999</v>
      </c>
      <c r="L76">
        <f t="shared" ref="L76:L78" si="34">H76</f>
        <v>28.241800000000001</v>
      </c>
      <c r="N76" t="str">
        <f t="shared" ref="N76:N78" si="35">TEXT(J76,"0.00")&amp;" ("&amp;TEXT(K76,"0.00")&amp;" to "&amp;TEXT(L76,"0.00")&amp;")"</f>
        <v>27.81 (27.38 to 28.24)</v>
      </c>
    </row>
    <row r="77" spans="1:14" ht="17.25" thickBot="1" x14ac:dyDescent="0.35">
      <c r="A77" s="14">
        <v>2</v>
      </c>
      <c r="B77" s="2">
        <v>39551</v>
      </c>
      <c r="C77" s="2">
        <v>17621468</v>
      </c>
      <c r="D77" s="2">
        <v>153953</v>
      </c>
      <c r="E77" s="2">
        <v>58.249400000000001</v>
      </c>
      <c r="F77" s="2">
        <v>0.22770000000000001</v>
      </c>
      <c r="G77" s="2">
        <v>57.802900000000001</v>
      </c>
      <c r="H77" s="2">
        <v>58.695900000000002</v>
      </c>
      <c r="J77">
        <f t="shared" si="32"/>
        <v>58.249400000000001</v>
      </c>
      <c r="K77">
        <f t="shared" si="33"/>
        <v>57.802900000000001</v>
      </c>
      <c r="L77">
        <f t="shared" si="34"/>
        <v>58.695900000000002</v>
      </c>
      <c r="N77" t="str">
        <f t="shared" si="35"/>
        <v>58.25 (57.80 to 58.70)</v>
      </c>
    </row>
    <row r="78" spans="1:14" ht="17.25" thickBot="1" x14ac:dyDescent="0.35">
      <c r="A78" s="14">
        <v>3</v>
      </c>
      <c r="B78" s="2">
        <v>10826</v>
      </c>
      <c r="C78" s="2">
        <v>4217243</v>
      </c>
      <c r="D78" s="2">
        <v>56409</v>
      </c>
      <c r="E78" s="2">
        <v>13.9405</v>
      </c>
      <c r="F78" s="2">
        <v>0.16309999999999999</v>
      </c>
      <c r="G78" s="2">
        <v>13.620699999999999</v>
      </c>
      <c r="H78" s="2">
        <v>14.260300000000001</v>
      </c>
      <c r="J78">
        <f t="shared" si="32"/>
        <v>13.9405</v>
      </c>
      <c r="K78">
        <f t="shared" si="33"/>
        <v>13.620699999999999</v>
      </c>
      <c r="L78">
        <f t="shared" si="34"/>
        <v>14.260300000000001</v>
      </c>
      <c r="N78" t="str">
        <f t="shared" si="35"/>
        <v>13.94 (13.62 to 14.26)</v>
      </c>
    </row>
    <row r="79" spans="1:14" x14ac:dyDescent="0.3">
      <c r="A79" s="15" t="s">
        <v>132</v>
      </c>
      <c r="B79" s="2">
        <v>68634</v>
      </c>
      <c r="C79" s="2">
        <v>30251757</v>
      </c>
      <c r="D79" s="2">
        <v>228761</v>
      </c>
      <c r="E79" s="2">
        <v>100</v>
      </c>
      <c r="F79" s="2"/>
      <c r="G79" s="2"/>
      <c r="H79" s="2"/>
    </row>
    <row r="80" spans="1:14" ht="17.25" thickBot="1" x14ac:dyDescent="0.35"/>
    <row r="81" spans="1:14" ht="16.5" customHeight="1" x14ac:dyDescent="0.3">
      <c r="A81" s="17" t="s">
        <v>141</v>
      </c>
      <c r="B81" s="19"/>
      <c r="C81" s="19"/>
      <c r="D81" s="19"/>
      <c r="E81" s="19"/>
      <c r="F81" s="19"/>
      <c r="G81" s="19"/>
      <c r="H81" s="19"/>
    </row>
    <row r="82" spans="1:14" ht="33" customHeight="1" x14ac:dyDescent="0.3">
      <c r="A82" s="18" t="s">
        <v>13</v>
      </c>
      <c r="B82" s="20" t="s">
        <v>125</v>
      </c>
      <c r="C82" s="3" t="s">
        <v>126</v>
      </c>
      <c r="D82" s="3" t="s">
        <v>127</v>
      </c>
      <c r="E82" s="20" t="s">
        <v>129</v>
      </c>
      <c r="F82" s="3" t="s">
        <v>127</v>
      </c>
      <c r="G82" s="20" t="s">
        <v>130</v>
      </c>
      <c r="H82" s="20"/>
    </row>
    <row r="83" spans="1:14" ht="33" x14ac:dyDescent="0.3">
      <c r="A83" s="18"/>
      <c r="B83" s="20"/>
      <c r="C83" s="3" t="s">
        <v>125</v>
      </c>
      <c r="D83" s="3" t="s">
        <v>128</v>
      </c>
      <c r="E83" s="20"/>
      <c r="F83" s="3" t="s">
        <v>129</v>
      </c>
      <c r="G83" s="20" t="s">
        <v>131</v>
      </c>
      <c r="H83" s="20"/>
    </row>
    <row r="84" spans="1:14" ht="17.25" thickBot="1" x14ac:dyDescent="0.35">
      <c r="A84" s="14">
        <v>1</v>
      </c>
      <c r="B84" s="2">
        <v>26908</v>
      </c>
      <c r="C84" s="2">
        <v>10739070</v>
      </c>
      <c r="D84" s="2">
        <v>101823</v>
      </c>
      <c r="E84" s="2">
        <v>35.499000000000002</v>
      </c>
      <c r="F84" s="2">
        <v>0.23380000000000001</v>
      </c>
      <c r="G84" s="2">
        <v>35.040500000000002</v>
      </c>
      <c r="H84" s="2">
        <v>35.957500000000003</v>
      </c>
      <c r="J84">
        <f t="shared" ref="J84:J86" si="36">E84</f>
        <v>35.499000000000002</v>
      </c>
      <c r="K84">
        <f t="shared" ref="K84:K86" si="37">G84</f>
        <v>35.040500000000002</v>
      </c>
      <c r="L84">
        <f t="shared" ref="L84:L86" si="38">H84</f>
        <v>35.957500000000003</v>
      </c>
      <c r="N84" t="str">
        <f t="shared" ref="N84:N86" si="39">TEXT(J84,"0.00")&amp;" ("&amp;TEXT(K84,"0.00")&amp;" to "&amp;TEXT(L84,"0.00")&amp;")"</f>
        <v>35.50 (35.04 to 35.96)</v>
      </c>
    </row>
    <row r="85" spans="1:14" ht="17.25" thickBot="1" x14ac:dyDescent="0.35">
      <c r="A85" s="14">
        <v>2</v>
      </c>
      <c r="B85" s="2">
        <v>24998</v>
      </c>
      <c r="C85" s="2">
        <v>11740379</v>
      </c>
      <c r="D85" s="2">
        <v>121654</v>
      </c>
      <c r="E85" s="2">
        <v>38.808900000000001</v>
      </c>
      <c r="F85" s="2">
        <v>0.23860000000000001</v>
      </c>
      <c r="G85" s="2">
        <v>38.341000000000001</v>
      </c>
      <c r="H85" s="2">
        <v>39.276800000000001</v>
      </c>
      <c r="J85">
        <f t="shared" si="36"/>
        <v>38.808900000000001</v>
      </c>
      <c r="K85">
        <f t="shared" si="37"/>
        <v>38.341000000000001</v>
      </c>
      <c r="L85">
        <f t="shared" si="38"/>
        <v>39.276800000000001</v>
      </c>
      <c r="N85" t="str">
        <f t="shared" si="39"/>
        <v>38.81 (38.34 to 39.28)</v>
      </c>
    </row>
    <row r="86" spans="1:14" ht="17.25" thickBot="1" x14ac:dyDescent="0.35">
      <c r="A86" s="14">
        <v>3</v>
      </c>
      <c r="B86" s="2">
        <v>16728</v>
      </c>
      <c r="C86" s="2">
        <v>7772308</v>
      </c>
      <c r="D86" s="2">
        <v>85013</v>
      </c>
      <c r="E86" s="2">
        <v>25.6921</v>
      </c>
      <c r="F86" s="2">
        <v>0.2094</v>
      </c>
      <c r="G86" s="2">
        <v>25.281500000000001</v>
      </c>
      <c r="H86" s="2">
        <v>26.102599999999999</v>
      </c>
      <c r="J86">
        <f t="shared" si="36"/>
        <v>25.6921</v>
      </c>
      <c r="K86">
        <f t="shared" si="37"/>
        <v>25.281500000000001</v>
      </c>
      <c r="L86">
        <f t="shared" si="38"/>
        <v>26.102599999999999</v>
      </c>
      <c r="N86" t="str">
        <f t="shared" si="39"/>
        <v>25.69 (25.28 to 26.10)</v>
      </c>
    </row>
    <row r="87" spans="1:14" x14ac:dyDescent="0.3">
      <c r="A87" s="15" t="s">
        <v>132</v>
      </c>
      <c r="B87" s="2">
        <v>68634</v>
      </c>
      <c r="C87" s="2">
        <v>30251757</v>
      </c>
      <c r="D87" s="2">
        <v>228761</v>
      </c>
      <c r="E87" s="2">
        <v>100</v>
      </c>
      <c r="F87" s="2"/>
      <c r="G87" s="2"/>
      <c r="H87" s="2"/>
    </row>
    <row r="88" spans="1:14" ht="17.25" thickBot="1" x14ac:dyDescent="0.35"/>
    <row r="89" spans="1:14" ht="16.5" customHeight="1" x14ac:dyDescent="0.3">
      <c r="A89" s="17" t="s">
        <v>142</v>
      </c>
      <c r="B89" s="19"/>
      <c r="C89" s="19"/>
      <c r="D89" s="19"/>
      <c r="E89" s="19"/>
      <c r="F89" s="19"/>
      <c r="G89" s="19"/>
      <c r="H89" s="19"/>
    </row>
    <row r="90" spans="1:14" ht="33" customHeight="1" x14ac:dyDescent="0.3">
      <c r="A90" s="18" t="s">
        <v>14</v>
      </c>
      <c r="B90" s="20" t="s">
        <v>125</v>
      </c>
      <c r="C90" s="3" t="s">
        <v>126</v>
      </c>
      <c r="D90" s="3" t="s">
        <v>127</v>
      </c>
      <c r="E90" s="20" t="s">
        <v>129</v>
      </c>
      <c r="F90" s="3" t="s">
        <v>127</v>
      </c>
      <c r="G90" s="20" t="s">
        <v>130</v>
      </c>
      <c r="H90" s="20"/>
    </row>
    <row r="91" spans="1:14" ht="33" x14ac:dyDescent="0.3">
      <c r="A91" s="18"/>
      <c r="B91" s="20"/>
      <c r="C91" s="3" t="s">
        <v>125</v>
      </c>
      <c r="D91" s="3" t="s">
        <v>128</v>
      </c>
      <c r="E91" s="20"/>
      <c r="F91" s="3" t="s">
        <v>129</v>
      </c>
      <c r="G91" s="20" t="s">
        <v>131</v>
      </c>
      <c r="H91" s="20"/>
    </row>
    <row r="92" spans="1:14" ht="17.25" thickBot="1" x14ac:dyDescent="0.35">
      <c r="A92" s="14">
        <v>0</v>
      </c>
      <c r="B92" s="2">
        <v>52063</v>
      </c>
      <c r="C92" s="2">
        <v>22067984</v>
      </c>
      <c r="D92" s="2">
        <v>184430</v>
      </c>
      <c r="E92" s="2">
        <v>72.947800000000001</v>
      </c>
      <c r="F92" s="2">
        <v>0.23330000000000001</v>
      </c>
      <c r="G92" s="2">
        <v>72.490399999999994</v>
      </c>
      <c r="H92" s="2">
        <v>73.405199999999994</v>
      </c>
      <c r="J92">
        <f t="shared" ref="J92:J93" si="40">E92</f>
        <v>72.947800000000001</v>
      </c>
      <c r="K92">
        <f t="shared" ref="K92:K93" si="41">G92</f>
        <v>72.490399999999994</v>
      </c>
      <c r="L92">
        <f t="shared" ref="L92:L93" si="42">H92</f>
        <v>73.405199999999994</v>
      </c>
      <c r="N92" t="str">
        <f t="shared" ref="N92:N93" si="43">TEXT(J92,"0.00")&amp;" ("&amp;TEXT(K92,"0.00")&amp;" to "&amp;TEXT(L92,"0.00")&amp;")"</f>
        <v>72.95 (72.49 to 73.41)</v>
      </c>
    </row>
    <row r="93" spans="1:14" ht="17.25" thickBot="1" x14ac:dyDescent="0.35">
      <c r="A93" s="14">
        <v>1</v>
      </c>
      <c r="B93" s="2">
        <v>16571</v>
      </c>
      <c r="C93" s="2">
        <v>8183773</v>
      </c>
      <c r="D93" s="2">
        <v>91483</v>
      </c>
      <c r="E93" s="2">
        <v>27.052199999999999</v>
      </c>
      <c r="F93" s="2">
        <v>0.23330000000000001</v>
      </c>
      <c r="G93" s="2">
        <v>26.594799999999999</v>
      </c>
      <c r="H93" s="2">
        <v>27.509599999999999</v>
      </c>
      <c r="J93">
        <f t="shared" si="40"/>
        <v>27.052199999999999</v>
      </c>
      <c r="K93">
        <f t="shared" si="41"/>
        <v>26.594799999999999</v>
      </c>
      <c r="L93">
        <f t="shared" si="42"/>
        <v>27.509599999999999</v>
      </c>
      <c r="N93" t="str">
        <f t="shared" si="43"/>
        <v>27.05 (26.59 to 27.51)</v>
      </c>
    </row>
    <row r="94" spans="1:14" x14ac:dyDescent="0.3">
      <c r="A94" s="15" t="s">
        <v>132</v>
      </c>
      <c r="B94" s="2">
        <v>68634</v>
      </c>
      <c r="C94" s="2">
        <v>30251757</v>
      </c>
      <c r="D94" s="2">
        <v>228761</v>
      </c>
      <c r="E94" s="2">
        <v>100</v>
      </c>
      <c r="F94" s="2"/>
      <c r="G94" s="2"/>
      <c r="H94" s="2"/>
    </row>
    <row r="95" spans="1:14" ht="17.25" thickBot="1" x14ac:dyDescent="0.35"/>
    <row r="96" spans="1:14" ht="16.5" customHeight="1" x14ac:dyDescent="0.3">
      <c r="A96" s="17" t="s">
        <v>143</v>
      </c>
      <c r="B96" s="19"/>
      <c r="C96" s="19"/>
      <c r="D96" s="19"/>
      <c r="E96" s="19"/>
      <c r="F96" s="19"/>
      <c r="G96" s="19"/>
      <c r="H96" s="19"/>
    </row>
    <row r="97" spans="1:14" ht="33" customHeight="1" x14ac:dyDescent="0.3">
      <c r="A97" s="18" t="s">
        <v>15</v>
      </c>
      <c r="B97" s="20" t="s">
        <v>125</v>
      </c>
      <c r="C97" s="3" t="s">
        <v>126</v>
      </c>
      <c r="D97" s="3" t="s">
        <v>127</v>
      </c>
      <c r="E97" s="20" t="s">
        <v>129</v>
      </c>
      <c r="F97" s="3" t="s">
        <v>127</v>
      </c>
      <c r="G97" s="20" t="s">
        <v>130</v>
      </c>
      <c r="H97" s="20"/>
    </row>
    <row r="98" spans="1:14" ht="33" x14ac:dyDescent="0.3">
      <c r="A98" s="18"/>
      <c r="B98" s="20"/>
      <c r="C98" s="3" t="s">
        <v>125</v>
      </c>
      <c r="D98" s="3" t="s">
        <v>128</v>
      </c>
      <c r="E98" s="20"/>
      <c r="F98" s="3" t="s">
        <v>129</v>
      </c>
      <c r="G98" s="20" t="s">
        <v>131</v>
      </c>
      <c r="H98" s="20"/>
    </row>
    <row r="99" spans="1:14" ht="17.25" thickBot="1" x14ac:dyDescent="0.35">
      <c r="A99" s="14">
        <v>0</v>
      </c>
      <c r="B99" s="2">
        <v>53910</v>
      </c>
      <c r="C99" s="2">
        <v>25120748</v>
      </c>
      <c r="D99" s="2">
        <v>210229</v>
      </c>
      <c r="E99" s="2">
        <v>83.039000000000001</v>
      </c>
      <c r="F99" s="2">
        <v>0.19189999999999999</v>
      </c>
      <c r="G99" s="2">
        <v>82.662700000000001</v>
      </c>
      <c r="H99" s="2">
        <v>83.415199999999999</v>
      </c>
      <c r="J99">
        <f t="shared" ref="J99:J100" si="44">E99</f>
        <v>83.039000000000001</v>
      </c>
      <c r="K99">
        <f t="shared" ref="K99:K100" si="45">G99</f>
        <v>82.662700000000001</v>
      </c>
      <c r="L99">
        <f t="shared" ref="L99:L100" si="46">H99</f>
        <v>83.415199999999999</v>
      </c>
      <c r="N99" t="str">
        <f t="shared" ref="N99:N100" si="47">TEXT(J99,"0.00")&amp;" ("&amp;TEXT(K99,"0.00")&amp;" to "&amp;TEXT(L99,"0.00")&amp;")"</f>
        <v>83.04 (82.66 to 83.42)</v>
      </c>
    </row>
    <row r="100" spans="1:14" ht="17.25" thickBot="1" x14ac:dyDescent="0.35">
      <c r="A100" s="14">
        <v>1</v>
      </c>
      <c r="B100" s="2">
        <v>14724</v>
      </c>
      <c r="C100" s="2">
        <v>5131009</v>
      </c>
      <c r="D100" s="2">
        <v>62499</v>
      </c>
      <c r="E100" s="2">
        <v>16.960999999999999</v>
      </c>
      <c r="F100" s="2">
        <v>0.19189999999999999</v>
      </c>
      <c r="G100" s="2">
        <v>16.584800000000001</v>
      </c>
      <c r="H100" s="2">
        <v>17.337299999999999</v>
      </c>
      <c r="J100">
        <f t="shared" si="44"/>
        <v>16.960999999999999</v>
      </c>
      <c r="K100">
        <f t="shared" si="45"/>
        <v>16.584800000000001</v>
      </c>
      <c r="L100">
        <f t="shared" si="46"/>
        <v>17.337299999999999</v>
      </c>
      <c r="N100" t="str">
        <f t="shared" si="47"/>
        <v>16.96 (16.58 to 17.34)</v>
      </c>
    </row>
    <row r="101" spans="1:14" x14ac:dyDescent="0.3">
      <c r="A101" s="15" t="s">
        <v>132</v>
      </c>
      <c r="B101" s="2">
        <v>68634</v>
      </c>
      <c r="C101" s="2">
        <v>30251757</v>
      </c>
      <c r="D101" s="2">
        <v>228761</v>
      </c>
      <c r="E101" s="2">
        <v>100</v>
      </c>
      <c r="F101" s="2"/>
      <c r="G101" s="2"/>
      <c r="H101" s="2"/>
    </row>
    <row r="102" spans="1:14" ht="17.25" thickBot="1" x14ac:dyDescent="0.35"/>
    <row r="103" spans="1:14" ht="16.5" customHeight="1" x14ac:dyDescent="0.3">
      <c r="A103" s="17" t="s">
        <v>144</v>
      </c>
      <c r="B103" s="19"/>
      <c r="C103" s="19"/>
      <c r="D103" s="19"/>
      <c r="E103" s="19"/>
      <c r="F103" s="19"/>
      <c r="G103" s="19"/>
      <c r="H103" s="19"/>
    </row>
    <row r="104" spans="1:14" ht="33" customHeight="1" x14ac:dyDescent="0.3">
      <c r="A104" s="18" t="s">
        <v>16</v>
      </c>
      <c r="B104" s="20" t="s">
        <v>125</v>
      </c>
      <c r="C104" s="3" t="s">
        <v>126</v>
      </c>
      <c r="D104" s="3" t="s">
        <v>127</v>
      </c>
      <c r="E104" s="20" t="s">
        <v>129</v>
      </c>
      <c r="F104" s="3" t="s">
        <v>127</v>
      </c>
      <c r="G104" s="20" t="s">
        <v>130</v>
      </c>
      <c r="H104" s="20"/>
    </row>
    <row r="105" spans="1:14" ht="33" x14ac:dyDescent="0.3">
      <c r="A105" s="18"/>
      <c r="B105" s="20"/>
      <c r="C105" s="3" t="s">
        <v>125</v>
      </c>
      <c r="D105" s="3" t="s">
        <v>128</v>
      </c>
      <c r="E105" s="20"/>
      <c r="F105" s="3" t="s">
        <v>129</v>
      </c>
      <c r="G105" s="20" t="s">
        <v>131</v>
      </c>
      <c r="H105" s="20"/>
    </row>
    <row r="106" spans="1:14" ht="17.25" thickBot="1" x14ac:dyDescent="0.35">
      <c r="A106" s="14">
        <v>0</v>
      </c>
      <c r="B106" s="2">
        <v>58466</v>
      </c>
      <c r="C106" s="2">
        <v>26457028</v>
      </c>
      <c r="D106" s="2">
        <v>211264</v>
      </c>
      <c r="E106" s="2">
        <v>87.456199999999995</v>
      </c>
      <c r="F106" s="2">
        <v>0.1542</v>
      </c>
      <c r="G106" s="2">
        <v>87.153700000000001</v>
      </c>
      <c r="H106" s="2">
        <v>87.758600000000001</v>
      </c>
      <c r="J106">
        <f t="shared" ref="J106:J107" si="48">E106</f>
        <v>87.456199999999995</v>
      </c>
      <c r="K106">
        <f t="shared" ref="K106:K107" si="49">G106</f>
        <v>87.153700000000001</v>
      </c>
      <c r="L106">
        <f t="shared" ref="L106:L107" si="50">H106</f>
        <v>87.758600000000001</v>
      </c>
      <c r="N106" t="str">
        <f t="shared" ref="N106:N107" si="51">TEXT(J106,"0.00")&amp;" ("&amp;TEXT(K106,"0.00")&amp;" to "&amp;TEXT(L106,"0.00")&amp;")"</f>
        <v>87.46 (87.15 to 87.76)</v>
      </c>
    </row>
    <row r="107" spans="1:14" ht="17.25" thickBot="1" x14ac:dyDescent="0.35">
      <c r="A107" s="14">
        <v>1</v>
      </c>
      <c r="B107" s="2">
        <v>10168</v>
      </c>
      <c r="C107" s="2">
        <v>3794729</v>
      </c>
      <c r="D107" s="2">
        <v>51502</v>
      </c>
      <c r="E107" s="2">
        <v>12.543799999999999</v>
      </c>
      <c r="F107" s="2">
        <v>0.1542</v>
      </c>
      <c r="G107" s="2">
        <v>12.241400000000001</v>
      </c>
      <c r="H107" s="2">
        <v>12.846299999999999</v>
      </c>
      <c r="J107">
        <f t="shared" si="48"/>
        <v>12.543799999999999</v>
      </c>
      <c r="K107">
        <f t="shared" si="49"/>
        <v>12.241400000000001</v>
      </c>
      <c r="L107">
        <f t="shared" si="50"/>
        <v>12.846299999999999</v>
      </c>
      <c r="N107" t="str">
        <f t="shared" si="51"/>
        <v>12.54 (12.24 to 12.85)</v>
      </c>
    </row>
    <row r="108" spans="1:14" x14ac:dyDescent="0.3">
      <c r="A108" s="15" t="s">
        <v>132</v>
      </c>
      <c r="B108" s="2">
        <v>68634</v>
      </c>
      <c r="C108" s="2">
        <v>30251757</v>
      </c>
      <c r="D108" s="2">
        <v>228761</v>
      </c>
      <c r="E108" s="2">
        <v>100</v>
      </c>
      <c r="F108" s="2"/>
      <c r="G108" s="2"/>
      <c r="H108" s="2"/>
    </row>
    <row r="109" spans="1:14" ht="17.25" thickBot="1" x14ac:dyDescent="0.35"/>
    <row r="110" spans="1:14" ht="16.5" customHeight="1" x14ac:dyDescent="0.3">
      <c r="A110" s="17" t="s">
        <v>145</v>
      </c>
      <c r="B110" s="19"/>
      <c r="C110" s="19"/>
      <c r="D110" s="19"/>
      <c r="E110" s="19"/>
      <c r="F110" s="19"/>
      <c r="G110" s="19"/>
      <c r="H110" s="19"/>
    </row>
    <row r="111" spans="1:14" ht="33" customHeight="1" x14ac:dyDescent="0.3">
      <c r="A111" s="18" t="s">
        <v>17</v>
      </c>
      <c r="B111" s="20" t="s">
        <v>125</v>
      </c>
      <c r="C111" s="3" t="s">
        <v>126</v>
      </c>
      <c r="D111" s="3" t="s">
        <v>127</v>
      </c>
      <c r="E111" s="20" t="s">
        <v>129</v>
      </c>
      <c r="F111" s="3" t="s">
        <v>127</v>
      </c>
      <c r="G111" s="20" t="s">
        <v>130</v>
      </c>
      <c r="H111" s="20"/>
    </row>
    <row r="112" spans="1:14" ht="33" x14ac:dyDescent="0.3">
      <c r="A112" s="18"/>
      <c r="B112" s="20"/>
      <c r="C112" s="3" t="s">
        <v>125</v>
      </c>
      <c r="D112" s="3" t="s">
        <v>128</v>
      </c>
      <c r="E112" s="20"/>
      <c r="F112" s="3" t="s">
        <v>129</v>
      </c>
      <c r="G112" s="20" t="s">
        <v>131</v>
      </c>
      <c r="H112" s="20"/>
    </row>
    <row r="113" spans="1:14" ht="17.25" thickBot="1" x14ac:dyDescent="0.35">
      <c r="A113" s="14">
        <v>0</v>
      </c>
      <c r="B113" s="2">
        <v>67343</v>
      </c>
      <c r="C113" s="2">
        <v>29839144</v>
      </c>
      <c r="D113" s="2">
        <v>227891</v>
      </c>
      <c r="E113" s="2">
        <v>98.636099999999999</v>
      </c>
      <c r="F113" s="2">
        <v>4.7500000000000001E-2</v>
      </c>
      <c r="G113" s="2">
        <v>98.542900000000003</v>
      </c>
      <c r="H113" s="2">
        <v>98.729200000000006</v>
      </c>
      <c r="J113">
        <f t="shared" ref="J113:J114" si="52">E113</f>
        <v>98.636099999999999</v>
      </c>
      <c r="K113">
        <f t="shared" ref="K113:K114" si="53">G113</f>
        <v>98.542900000000003</v>
      </c>
      <c r="L113">
        <f t="shared" ref="L113:L114" si="54">H113</f>
        <v>98.729200000000006</v>
      </c>
      <c r="N113" t="str">
        <f t="shared" ref="N113:N114" si="55">TEXT(J113,"0.00")&amp;" ("&amp;TEXT(K113,"0.00")&amp;" to "&amp;TEXT(L113,"0.00")&amp;")"</f>
        <v>98.64 (98.54 to 98.73)</v>
      </c>
    </row>
    <row r="114" spans="1:14" ht="17.25" thickBot="1" x14ac:dyDescent="0.35">
      <c r="A114" s="14">
        <v>1</v>
      </c>
      <c r="B114" s="2">
        <v>1291</v>
      </c>
      <c r="C114" s="2">
        <v>412612</v>
      </c>
      <c r="D114" s="2">
        <v>14314</v>
      </c>
      <c r="E114" s="2">
        <v>1.3638999999999999</v>
      </c>
      <c r="F114" s="2">
        <v>4.7500000000000001E-2</v>
      </c>
      <c r="G114" s="2">
        <v>1.2707999999999999</v>
      </c>
      <c r="H114" s="2">
        <v>1.4571000000000001</v>
      </c>
      <c r="J114">
        <f t="shared" si="52"/>
        <v>1.3638999999999999</v>
      </c>
      <c r="K114">
        <f t="shared" si="53"/>
        <v>1.2707999999999999</v>
      </c>
      <c r="L114">
        <f t="shared" si="54"/>
        <v>1.4571000000000001</v>
      </c>
      <c r="N114" t="str">
        <f t="shared" si="55"/>
        <v>1.36 (1.27 to 1.46)</v>
      </c>
    </row>
    <row r="115" spans="1:14" x14ac:dyDescent="0.3">
      <c r="A115" s="15" t="s">
        <v>132</v>
      </c>
      <c r="B115" s="2">
        <v>68634</v>
      </c>
      <c r="C115" s="2">
        <v>30251757</v>
      </c>
      <c r="D115" s="2">
        <v>228761</v>
      </c>
      <c r="E115" s="2">
        <v>100</v>
      </c>
      <c r="F115" s="2"/>
      <c r="G115" s="2"/>
      <c r="H115" s="2"/>
    </row>
    <row r="116" spans="1:14" ht="17.25" thickBot="1" x14ac:dyDescent="0.35"/>
    <row r="117" spans="1:14" ht="16.5" customHeight="1" x14ac:dyDescent="0.3">
      <c r="A117" s="17" t="s">
        <v>146</v>
      </c>
      <c r="B117" s="19"/>
      <c r="C117" s="19"/>
      <c r="D117" s="19"/>
      <c r="E117" s="19"/>
      <c r="F117" s="19"/>
      <c r="G117" s="19"/>
      <c r="H117" s="19"/>
    </row>
    <row r="118" spans="1:14" ht="33" customHeight="1" x14ac:dyDescent="0.3">
      <c r="A118" s="18" t="s">
        <v>18</v>
      </c>
      <c r="B118" s="20" t="s">
        <v>125</v>
      </c>
      <c r="C118" s="3" t="s">
        <v>126</v>
      </c>
      <c r="D118" s="3" t="s">
        <v>127</v>
      </c>
      <c r="E118" s="20" t="s">
        <v>129</v>
      </c>
      <c r="F118" s="3" t="s">
        <v>127</v>
      </c>
      <c r="G118" s="20" t="s">
        <v>130</v>
      </c>
      <c r="H118" s="20"/>
    </row>
    <row r="119" spans="1:14" ht="33" x14ac:dyDescent="0.3">
      <c r="A119" s="18"/>
      <c r="B119" s="20"/>
      <c r="C119" s="3" t="s">
        <v>125</v>
      </c>
      <c r="D119" s="3" t="s">
        <v>128</v>
      </c>
      <c r="E119" s="20"/>
      <c r="F119" s="3" t="s">
        <v>129</v>
      </c>
      <c r="G119" s="20" t="s">
        <v>131</v>
      </c>
      <c r="H119" s="20"/>
    </row>
    <row r="120" spans="1:14" ht="17.25" thickBot="1" x14ac:dyDescent="0.35">
      <c r="A120" s="14">
        <v>0</v>
      </c>
      <c r="B120" s="2">
        <v>67997</v>
      </c>
      <c r="C120" s="2">
        <v>30047610</v>
      </c>
      <c r="D120" s="2">
        <v>227799</v>
      </c>
      <c r="E120" s="2">
        <v>99.325199999999995</v>
      </c>
      <c r="F120" s="2">
        <v>3.1699999999999999E-2</v>
      </c>
      <c r="G120" s="2">
        <v>99.263000000000005</v>
      </c>
      <c r="H120" s="2">
        <v>99.387299999999996</v>
      </c>
      <c r="J120">
        <f t="shared" ref="J120:J121" si="56">E120</f>
        <v>99.325199999999995</v>
      </c>
      <c r="K120">
        <f t="shared" ref="K120:K121" si="57">G120</f>
        <v>99.263000000000005</v>
      </c>
      <c r="L120">
        <f t="shared" ref="L120:L121" si="58">H120</f>
        <v>99.387299999999996</v>
      </c>
      <c r="N120" t="str">
        <f t="shared" ref="N120:N121" si="59">TEXT(J120,"0.00")&amp;" ("&amp;TEXT(K120,"0.00")&amp;" to "&amp;TEXT(L120,"0.00")&amp;")"</f>
        <v>99.33 (99.26 to 99.39)</v>
      </c>
    </row>
    <row r="121" spans="1:14" ht="17.25" thickBot="1" x14ac:dyDescent="0.35">
      <c r="A121" s="14">
        <v>1</v>
      </c>
      <c r="B121" s="2">
        <v>637</v>
      </c>
      <c r="C121" s="2">
        <v>204146</v>
      </c>
      <c r="D121" s="2">
        <v>9654</v>
      </c>
      <c r="E121" s="2">
        <v>0.67479999999999996</v>
      </c>
      <c r="F121" s="2">
        <v>3.1699999999999999E-2</v>
      </c>
      <c r="G121" s="2">
        <v>0.61270000000000002</v>
      </c>
      <c r="H121" s="2">
        <v>0.73699999999999999</v>
      </c>
      <c r="J121">
        <f t="shared" si="56"/>
        <v>0.67479999999999996</v>
      </c>
      <c r="K121">
        <f t="shared" si="57"/>
        <v>0.61270000000000002</v>
      </c>
      <c r="L121">
        <f t="shared" si="58"/>
        <v>0.73699999999999999</v>
      </c>
      <c r="N121" t="str">
        <f t="shared" si="59"/>
        <v>0.67 (0.61 to 0.74)</v>
      </c>
    </row>
    <row r="122" spans="1:14" x14ac:dyDescent="0.3">
      <c r="A122" s="15" t="s">
        <v>132</v>
      </c>
      <c r="B122" s="2">
        <v>68634</v>
      </c>
      <c r="C122" s="2">
        <v>30251757</v>
      </c>
      <c r="D122" s="2">
        <v>228761</v>
      </c>
      <c r="E122" s="2">
        <v>100</v>
      </c>
      <c r="F122" s="2"/>
      <c r="G122" s="2"/>
      <c r="H122" s="2"/>
    </row>
    <row r="123" spans="1:14" ht="17.25" thickBot="1" x14ac:dyDescent="0.35"/>
    <row r="124" spans="1:14" ht="16.5" customHeight="1" x14ac:dyDescent="0.3">
      <c r="A124" s="17" t="s">
        <v>147</v>
      </c>
      <c r="B124" s="19"/>
      <c r="C124" s="19"/>
      <c r="D124" s="19"/>
      <c r="E124" s="19"/>
      <c r="F124" s="19"/>
      <c r="G124" s="19"/>
      <c r="H124" s="19"/>
    </row>
    <row r="125" spans="1:14" ht="33" customHeight="1" x14ac:dyDescent="0.3">
      <c r="A125" s="18" t="s">
        <v>19</v>
      </c>
      <c r="B125" s="20" t="s">
        <v>125</v>
      </c>
      <c r="C125" s="3" t="s">
        <v>126</v>
      </c>
      <c r="D125" s="3" t="s">
        <v>127</v>
      </c>
      <c r="E125" s="20" t="s">
        <v>129</v>
      </c>
      <c r="F125" s="3" t="s">
        <v>127</v>
      </c>
      <c r="G125" s="20" t="s">
        <v>130</v>
      </c>
      <c r="H125" s="20"/>
    </row>
    <row r="126" spans="1:14" ht="33" x14ac:dyDescent="0.3">
      <c r="A126" s="18"/>
      <c r="B126" s="20"/>
      <c r="C126" s="3" t="s">
        <v>125</v>
      </c>
      <c r="D126" s="3" t="s">
        <v>128</v>
      </c>
      <c r="E126" s="20"/>
      <c r="F126" s="3" t="s">
        <v>129</v>
      </c>
      <c r="G126" s="20" t="s">
        <v>131</v>
      </c>
      <c r="H126" s="20"/>
    </row>
    <row r="127" spans="1:14" ht="17.25" thickBot="1" x14ac:dyDescent="0.35">
      <c r="A127" s="14">
        <v>0</v>
      </c>
      <c r="B127" s="2">
        <v>67433</v>
      </c>
      <c r="C127" s="2">
        <v>29874012</v>
      </c>
      <c r="D127" s="2">
        <v>227218</v>
      </c>
      <c r="E127" s="2">
        <v>98.751300000000001</v>
      </c>
      <c r="F127" s="2">
        <v>4.3299999999999998E-2</v>
      </c>
      <c r="G127" s="2">
        <v>98.666399999999996</v>
      </c>
      <c r="H127" s="2">
        <v>98.836200000000005</v>
      </c>
      <c r="J127">
        <f t="shared" ref="J127:J128" si="60">E127</f>
        <v>98.751300000000001</v>
      </c>
      <c r="K127">
        <f t="shared" ref="K127:K128" si="61">G127</f>
        <v>98.666399999999996</v>
      </c>
      <c r="L127">
        <f t="shared" ref="L127:L128" si="62">H127</f>
        <v>98.836200000000005</v>
      </c>
      <c r="N127" t="str">
        <f t="shared" ref="N127:N128" si="63">TEXT(J127,"0.00")&amp;" ("&amp;TEXT(K127,"0.00")&amp;" to "&amp;TEXT(L127,"0.00")&amp;")"</f>
        <v>98.75 (98.67 to 98.84)</v>
      </c>
    </row>
    <row r="128" spans="1:14" ht="17.25" thickBot="1" x14ac:dyDescent="0.35">
      <c r="A128" s="14">
        <v>1</v>
      </c>
      <c r="B128" s="2">
        <v>1201</v>
      </c>
      <c r="C128" s="2">
        <v>377745</v>
      </c>
      <c r="D128" s="2">
        <v>13202</v>
      </c>
      <c r="E128" s="2">
        <v>1.2486999999999999</v>
      </c>
      <c r="F128" s="2">
        <v>4.3299999999999998E-2</v>
      </c>
      <c r="G128" s="2">
        <v>1.1637999999999999</v>
      </c>
      <c r="H128" s="2">
        <v>1.3335999999999999</v>
      </c>
      <c r="J128">
        <f t="shared" si="60"/>
        <v>1.2486999999999999</v>
      </c>
      <c r="K128">
        <f t="shared" si="61"/>
        <v>1.1637999999999999</v>
      </c>
      <c r="L128">
        <f t="shared" si="62"/>
        <v>1.3335999999999999</v>
      </c>
      <c r="N128" t="str">
        <f t="shared" si="63"/>
        <v>1.25 (1.16 to 1.33)</v>
      </c>
    </row>
    <row r="129" spans="1:8" x14ac:dyDescent="0.3">
      <c r="A129" s="15" t="s">
        <v>132</v>
      </c>
      <c r="B129" s="2">
        <v>68634</v>
      </c>
      <c r="C129" s="2">
        <v>30251757</v>
      </c>
      <c r="D129" s="2">
        <v>228761</v>
      </c>
      <c r="E129" s="2">
        <v>100</v>
      </c>
      <c r="F129" s="2"/>
      <c r="G129" s="2"/>
      <c r="H129" s="2"/>
    </row>
  </sheetData>
  <autoFilter ref="A1:A129" xr:uid="{9F321862-CD6B-453F-9402-AD3F033F50E4}"/>
  <mergeCells count="97">
    <mergeCell ref="A3:B3"/>
    <mergeCell ref="A9:H9"/>
    <mergeCell ref="A10:A11"/>
    <mergeCell ref="B10:B11"/>
    <mergeCell ref="E10:E11"/>
    <mergeCell ref="G10:H10"/>
    <mergeCell ref="G11:H11"/>
    <mergeCell ref="A17:H17"/>
    <mergeCell ref="A18:A19"/>
    <mergeCell ref="B18:B19"/>
    <mergeCell ref="E18:E19"/>
    <mergeCell ref="G18:H18"/>
    <mergeCell ref="G19:H19"/>
    <mergeCell ref="A24:H24"/>
    <mergeCell ref="A25:A26"/>
    <mergeCell ref="B25:B26"/>
    <mergeCell ref="E25:E26"/>
    <mergeCell ref="G25:H25"/>
    <mergeCell ref="G26:H26"/>
    <mergeCell ref="A31:H31"/>
    <mergeCell ref="A32:A33"/>
    <mergeCell ref="B32:B33"/>
    <mergeCell ref="E32:E33"/>
    <mergeCell ref="G32:H32"/>
    <mergeCell ref="G33:H33"/>
    <mergeCell ref="A40:H40"/>
    <mergeCell ref="A41:A42"/>
    <mergeCell ref="B41:B42"/>
    <mergeCell ref="E41:E42"/>
    <mergeCell ref="G41:H41"/>
    <mergeCell ref="G42:H42"/>
    <mergeCell ref="A49:H49"/>
    <mergeCell ref="A50:A51"/>
    <mergeCell ref="B50:B51"/>
    <mergeCell ref="E50:E51"/>
    <mergeCell ref="G50:H50"/>
    <mergeCell ref="G51:H51"/>
    <mergeCell ref="A58:H58"/>
    <mergeCell ref="A59:A60"/>
    <mergeCell ref="B59:B60"/>
    <mergeCell ref="E59:E60"/>
    <mergeCell ref="G59:H59"/>
    <mergeCell ref="G60:H60"/>
    <mergeCell ref="A65:H65"/>
    <mergeCell ref="A66:A67"/>
    <mergeCell ref="B66:B67"/>
    <mergeCell ref="E66:E67"/>
    <mergeCell ref="G66:H66"/>
    <mergeCell ref="G67:H67"/>
    <mergeCell ref="A73:H73"/>
    <mergeCell ref="A74:A75"/>
    <mergeCell ref="B74:B75"/>
    <mergeCell ref="E74:E75"/>
    <mergeCell ref="G74:H74"/>
    <mergeCell ref="G75:H75"/>
    <mergeCell ref="A81:H81"/>
    <mergeCell ref="A82:A83"/>
    <mergeCell ref="B82:B83"/>
    <mergeCell ref="E82:E83"/>
    <mergeCell ref="G82:H82"/>
    <mergeCell ref="G83:H83"/>
    <mergeCell ref="A89:H89"/>
    <mergeCell ref="A90:A91"/>
    <mergeCell ref="B90:B91"/>
    <mergeCell ref="E90:E91"/>
    <mergeCell ref="G90:H90"/>
    <mergeCell ref="G91:H91"/>
    <mergeCell ref="A96:H96"/>
    <mergeCell ref="A97:A98"/>
    <mergeCell ref="B97:B98"/>
    <mergeCell ref="E97:E98"/>
    <mergeCell ref="G97:H97"/>
    <mergeCell ref="G98:H98"/>
    <mergeCell ref="A103:H103"/>
    <mergeCell ref="A104:A105"/>
    <mergeCell ref="B104:B105"/>
    <mergeCell ref="E104:E105"/>
    <mergeCell ref="G104:H104"/>
    <mergeCell ref="G105:H105"/>
    <mergeCell ref="A110:H110"/>
    <mergeCell ref="A111:A112"/>
    <mergeCell ref="B111:B112"/>
    <mergeCell ref="E111:E112"/>
    <mergeCell ref="G111:H111"/>
    <mergeCell ref="G112:H112"/>
    <mergeCell ref="A117:H117"/>
    <mergeCell ref="A118:A119"/>
    <mergeCell ref="B118:B119"/>
    <mergeCell ref="E118:E119"/>
    <mergeCell ref="G118:H118"/>
    <mergeCell ref="G119:H119"/>
    <mergeCell ref="A124:H124"/>
    <mergeCell ref="A125:A126"/>
    <mergeCell ref="B125:B126"/>
    <mergeCell ref="E125:E126"/>
    <mergeCell ref="G125:H125"/>
    <mergeCell ref="G126:H126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6C5D9-D3C1-42F9-AD4F-DED349447B36}">
  <dimension ref="A1:S361"/>
  <sheetViews>
    <sheetView workbookViewId="0">
      <selection activeCell="S356" sqref="S356:S357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17" t="s">
        <v>119</v>
      </c>
      <c r="B3" s="19"/>
    </row>
    <row r="4" spans="1:19" ht="26.25" thickBot="1" x14ac:dyDescent="0.35">
      <c r="A4" s="14" t="s">
        <v>120</v>
      </c>
      <c r="B4" s="2">
        <v>183</v>
      </c>
    </row>
    <row r="5" spans="1:19" ht="26.25" thickBot="1" x14ac:dyDescent="0.35">
      <c r="A5" s="14" t="s">
        <v>121</v>
      </c>
      <c r="B5" s="2">
        <v>2982</v>
      </c>
    </row>
    <row r="6" spans="1:19" ht="39" thickBot="1" x14ac:dyDescent="0.35">
      <c r="A6" s="14" t="s">
        <v>122</v>
      </c>
      <c r="B6" s="2">
        <v>68634</v>
      </c>
    </row>
    <row r="7" spans="1:19" ht="25.5" x14ac:dyDescent="0.3">
      <c r="A7" s="15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17" t="s">
        <v>148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</row>
    <row r="10" spans="1:19" ht="33" customHeight="1" x14ac:dyDescent="0.3">
      <c r="A10" s="18" t="s">
        <v>23</v>
      </c>
      <c r="B10" s="20" t="s">
        <v>1</v>
      </c>
      <c r="C10" s="20" t="s">
        <v>125</v>
      </c>
      <c r="D10" s="3" t="s">
        <v>126</v>
      </c>
      <c r="E10" s="3" t="s">
        <v>127</v>
      </c>
      <c r="F10" s="20" t="s">
        <v>129</v>
      </c>
      <c r="G10" s="3" t="s">
        <v>127</v>
      </c>
      <c r="H10" s="20" t="s">
        <v>130</v>
      </c>
      <c r="I10" s="20"/>
      <c r="J10" s="3" t="s">
        <v>149</v>
      </c>
      <c r="K10" s="3" t="s">
        <v>127</v>
      </c>
      <c r="L10" s="20" t="s">
        <v>130</v>
      </c>
      <c r="M10" s="20"/>
    </row>
    <row r="11" spans="1:19" ht="33" x14ac:dyDescent="0.3">
      <c r="A11" s="18"/>
      <c r="B11" s="20"/>
      <c r="C11" s="20"/>
      <c r="D11" s="3" t="s">
        <v>125</v>
      </c>
      <c r="E11" s="3" t="s">
        <v>128</v>
      </c>
      <c r="F11" s="20"/>
      <c r="G11" s="3" t="s">
        <v>129</v>
      </c>
      <c r="H11" s="20" t="s">
        <v>131</v>
      </c>
      <c r="I11" s="20"/>
      <c r="J11" s="3" t="s">
        <v>129</v>
      </c>
      <c r="K11" s="3" t="s">
        <v>150</v>
      </c>
      <c r="L11" s="20" t="s">
        <v>151</v>
      </c>
      <c r="M11" s="20"/>
    </row>
    <row r="12" spans="1:19" ht="17.25" thickBot="1" x14ac:dyDescent="0.35">
      <c r="A12" s="6">
        <v>1</v>
      </c>
      <c r="B12" s="13">
        <v>1</v>
      </c>
      <c r="C12" s="2">
        <v>8348</v>
      </c>
      <c r="D12" s="2">
        <v>4482924</v>
      </c>
      <c r="E12" s="2">
        <v>69038</v>
      </c>
      <c r="F12" s="2">
        <v>14.8187</v>
      </c>
      <c r="G12" s="2">
        <v>0.18579999999999999</v>
      </c>
      <c r="H12" s="2">
        <v>14.4544</v>
      </c>
      <c r="I12" s="2">
        <v>15.183</v>
      </c>
      <c r="J12" s="2">
        <v>57.106499999999997</v>
      </c>
      <c r="K12" s="2">
        <v>0.46889999999999998</v>
      </c>
      <c r="L12" s="2">
        <v>56.186999999999998</v>
      </c>
      <c r="M12" s="2">
        <v>58.0259</v>
      </c>
      <c r="O12">
        <f>J12</f>
        <v>57.106499999999997</v>
      </c>
      <c r="P12">
        <f>L12</f>
        <v>56.186999999999998</v>
      </c>
      <c r="Q12">
        <f>M12</f>
        <v>58.0259</v>
      </c>
      <c r="S12" t="str">
        <f>TEXT(O12,"0.00")&amp;" ("&amp;TEXT(P12,"0.00")&amp;" to "&amp;TEXT(Q12,"0.00")&amp;")"</f>
        <v>57.11 (56.19 to 58.03)</v>
      </c>
    </row>
    <row r="13" spans="1:19" ht="17.25" thickBot="1" x14ac:dyDescent="0.35">
      <c r="A13" s="6"/>
      <c r="B13" s="13">
        <v>2</v>
      </c>
      <c r="C13" s="2">
        <v>6762</v>
      </c>
      <c r="D13" s="2">
        <v>2818951</v>
      </c>
      <c r="E13" s="2">
        <v>45351</v>
      </c>
      <c r="F13" s="2">
        <v>9.3183000000000007</v>
      </c>
      <c r="G13" s="2">
        <v>0.1313</v>
      </c>
      <c r="H13" s="2">
        <v>9.0608000000000004</v>
      </c>
      <c r="I13" s="2">
        <v>9.5757999999999992</v>
      </c>
      <c r="J13" s="2">
        <v>35.909700000000001</v>
      </c>
      <c r="K13" s="2">
        <v>0.43020000000000003</v>
      </c>
      <c r="L13" s="2">
        <v>35.066000000000003</v>
      </c>
      <c r="M13" s="2">
        <v>36.753300000000003</v>
      </c>
      <c r="O13">
        <f t="shared" ref="O13:O14" si="0">J13</f>
        <v>35.909700000000001</v>
      </c>
      <c r="P13">
        <f t="shared" ref="P13:P14" si="1">L13</f>
        <v>35.066000000000003</v>
      </c>
      <c r="Q13">
        <f t="shared" ref="Q13:Q14" si="2">M13</f>
        <v>36.753300000000003</v>
      </c>
      <c r="S13" t="str">
        <f t="shared" ref="S13:S14" si="3">TEXT(O13,"0.00")&amp;" ("&amp;TEXT(P13,"0.00")&amp;" to "&amp;TEXT(Q13,"0.00")&amp;")"</f>
        <v>35.91 (35.07 to 36.75)</v>
      </c>
    </row>
    <row r="14" spans="1:19" ht="17.25" thickBot="1" x14ac:dyDescent="0.35">
      <c r="A14" s="6"/>
      <c r="B14" s="13">
        <v>3</v>
      </c>
      <c r="C14" s="2">
        <v>2089</v>
      </c>
      <c r="D14" s="2">
        <v>548243</v>
      </c>
      <c r="E14" s="2">
        <v>15322</v>
      </c>
      <c r="F14" s="2">
        <v>1.8123</v>
      </c>
      <c r="G14" s="2">
        <v>5.0999999999999997E-2</v>
      </c>
      <c r="H14" s="2">
        <v>1.7123999999999999</v>
      </c>
      <c r="I14" s="2">
        <v>1.9121999999999999</v>
      </c>
      <c r="J14" s="2">
        <v>6.9839000000000002</v>
      </c>
      <c r="K14" s="2">
        <v>0.19550000000000001</v>
      </c>
      <c r="L14" s="2">
        <v>6.6005000000000003</v>
      </c>
      <c r="M14" s="2">
        <v>7.3673000000000002</v>
      </c>
      <c r="O14">
        <f t="shared" si="0"/>
        <v>6.9839000000000002</v>
      </c>
      <c r="P14">
        <f t="shared" si="1"/>
        <v>6.6005000000000003</v>
      </c>
      <c r="Q14">
        <f t="shared" si="2"/>
        <v>7.3673000000000002</v>
      </c>
      <c r="S14" t="str">
        <f t="shared" si="3"/>
        <v>6.98 (6.60 to 7.37)</v>
      </c>
    </row>
    <row r="15" spans="1:19" ht="17.25" thickBot="1" x14ac:dyDescent="0.35">
      <c r="A15" s="6"/>
      <c r="B15" s="13" t="s">
        <v>132</v>
      </c>
      <c r="C15" s="2">
        <v>17199</v>
      </c>
      <c r="D15" s="2">
        <v>7850118</v>
      </c>
      <c r="E15" s="2">
        <v>92267</v>
      </c>
      <c r="F15" s="2">
        <v>25.949300000000001</v>
      </c>
      <c r="G15" s="2">
        <v>0.21940000000000001</v>
      </c>
      <c r="H15" s="2">
        <v>25.519100000000002</v>
      </c>
      <c r="I15" s="2">
        <v>26.3795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3">
        <v>1</v>
      </c>
      <c r="C16" s="2">
        <v>5437</v>
      </c>
      <c r="D16" s="2">
        <v>3070711</v>
      </c>
      <c r="E16" s="2">
        <v>56816</v>
      </c>
      <c r="F16" s="2">
        <v>10.150499999999999</v>
      </c>
      <c r="G16" s="2">
        <v>0.16189999999999999</v>
      </c>
      <c r="H16" s="2">
        <v>9.8331999999999997</v>
      </c>
      <c r="I16" s="2">
        <v>10.4679</v>
      </c>
      <c r="J16" s="2">
        <v>41.181899999999999</v>
      </c>
      <c r="K16" s="2">
        <v>0.52059999999999995</v>
      </c>
      <c r="L16" s="2">
        <v>40.161000000000001</v>
      </c>
      <c r="M16" s="2">
        <v>42.202800000000003</v>
      </c>
      <c r="O16">
        <f t="shared" ref="O16:O18" si="4">J16</f>
        <v>41.181899999999999</v>
      </c>
      <c r="P16">
        <f t="shared" ref="P16:P18" si="5">L16</f>
        <v>40.161000000000001</v>
      </c>
      <c r="Q16">
        <f t="shared" ref="Q16:Q18" si="6">M16</f>
        <v>42.202800000000003</v>
      </c>
      <c r="S16" t="str">
        <f t="shared" ref="S16:S18" si="7">TEXT(O16,"0.00")&amp;" ("&amp;TEXT(P16,"0.00")&amp;" to "&amp;TEXT(Q16,"0.00")&amp;")"</f>
        <v>41.18 (40.16 to 42.20)</v>
      </c>
    </row>
    <row r="17" spans="1:19" ht="17.25" thickBot="1" x14ac:dyDescent="0.35">
      <c r="A17" s="6"/>
      <c r="B17" s="13">
        <v>2</v>
      </c>
      <c r="C17" s="2">
        <v>8060</v>
      </c>
      <c r="D17" s="2">
        <v>3426186</v>
      </c>
      <c r="E17" s="2">
        <v>51651</v>
      </c>
      <c r="F17" s="2">
        <v>11.3256</v>
      </c>
      <c r="G17" s="2">
        <v>0.1464</v>
      </c>
      <c r="H17" s="2">
        <v>11.038600000000001</v>
      </c>
      <c r="I17" s="2">
        <v>11.6126</v>
      </c>
      <c r="J17" s="2">
        <v>45.949199999999998</v>
      </c>
      <c r="K17" s="2">
        <v>0.4798</v>
      </c>
      <c r="L17" s="2">
        <v>45.008299999999998</v>
      </c>
      <c r="M17" s="2">
        <v>46.890099999999997</v>
      </c>
      <c r="O17">
        <f t="shared" si="4"/>
        <v>45.949199999999998</v>
      </c>
      <c r="P17">
        <f t="shared" si="5"/>
        <v>45.008299999999998</v>
      </c>
      <c r="Q17">
        <f t="shared" si="6"/>
        <v>46.890099999999997</v>
      </c>
      <c r="S17" t="str">
        <f t="shared" si="7"/>
        <v>45.95 (45.01 to 46.89)</v>
      </c>
    </row>
    <row r="18" spans="1:19" ht="17.25" thickBot="1" x14ac:dyDescent="0.35">
      <c r="A18" s="6"/>
      <c r="B18" s="13">
        <v>3</v>
      </c>
      <c r="C18" s="2">
        <v>3602</v>
      </c>
      <c r="D18" s="2">
        <v>959563</v>
      </c>
      <c r="E18" s="2">
        <v>21295</v>
      </c>
      <c r="F18" s="2">
        <v>3.1718999999999999</v>
      </c>
      <c r="G18" s="2">
        <v>7.1999999999999995E-2</v>
      </c>
      <c r="H18" s="2">
        <v>3.0306999999999999</v>
      </c>
      <c r="I18" s="2">
        <v>3.3132000000000001</v>
      </c>
      <c r="J18" s="2">
        <v>12.8689</v>
      </c>
      <c r="K18" s="2">
        <v>0.29509999999999997</v>
      </c>
      <c r="L18" s="2">
        <v>12.2902</v>
      </c>
      <c r="M18" s="2">
        <v>13.4476</v>
      </c>
      <c r="O18">
        <f t="shared" si="4"/>
        <v>12.8689</v>
      </c>
      <c r="P18">
        <f t="shared" si="5"/>
        <v>12.2902</v>
      </c>
      <c r="Q18">
        <f t="shared" si="6"/>
        <v>13.4476</v>
      </c>
      <c r="S18" t="str">
        <f t="shared" si="7"/>
        <v>12.87 (12.29 to 13.45)</v>
      </c>
    </row>
    <row r="19" spans="1:19" ht="17.25" thickBot="1" x14ac:dyDescent="0.35">
      <c r="A19" s="6"/>
      <c r="B19" s="13" t="s">
        <v>132</v>
      </c>
      <c r="C19" s="2">
        <v>17099</v>
      </c>
      <c r="D19" s="2">
        <v>7456460</v>
      </c>
      <c r="E19" s="2">
        <v>83424</v>
      </c>
      <c r="F19" s="2">
        <v>24.648</v>
      </c>
      <c r="G19" s="2">
        <v>0.19750000000000001</v>
      </c>
      <c r="H19" s="2">
        <v>24.2608</v>
      </c>
      <c r="I19" s="2">
        <v>25.0352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3">
        <v>1</v>
      </c>
      <c r="C20" s="2">
        <v>4047</v>
      </c>
      <c r="D20" s="2">
        <v>2356596</v>
      </c>
      <c r="E20" s="2">
        <v>47795</v>
      </c>
      <c r="F20" s="2">
        <v>7.7899000000000003</v>
      </c>
      <c r="G20" s="2">
        <v>0.14319999999999999</v>
      </c>
      <c r="H20" s="2">
        <v>7.5091000000000001</v>
      </c>
      <c r="I20" s="2">
        <v>8.0708000000000002</v>
      </c>
      <c r="J20" s="2">
        <v>31.8765</v>
      </c>
      <c r="K20" s="2">
        <v>0.50549999999999995</v>
      </c>
      <c r="L20" s="2">
        <v>30.885200000000001</v>
      </c>
      <c r="M20" s="2">
        <v>32.867800000000003</v>
      </c>
      <c r="O20">
        <f t="shared" ref="O20:O22" si="8">J20</f>
        <v>31.8765</v>
      </c>
      <c r="P20">
        <f t="shared" ref="P20:P22" si="9">L20</f>
        <v>30.885200000000001</v>
      </c>
      <c r="Q20">
        <f t="shared" ref="Q20:Q22" si="10">M20</f>
        <v>32.867800000000003</v>
      </c>
      <c r="S20" t="str">
        <f t="shared" ref="S20:S22" si="11">TEXT(O20,"0.00")&amp;" ("&amp;TEXT(P20,"0.00")&amp;" to "&amp;TEXT(Q20,"0.00")&amp;")"</f>
        <v>31.88 (30.89 to 32.87)</v>
      </c>
    </row>
    <row r="21" spans="1:19" ht="17.25" thickBot="1" x14ac:dyDescent="0.35">
      <c r="A21" s="6"/>
      <c r="B21" s="13">
        <v>2</v>
      </c>
      <c r="C21" s="2">
        <v>8735</v>
      </c>
      <c r="D21" s="2">
        <v>3857344</v>
      </c>
      <c r="E21" s="2">
        <v>57074</v>
      </c>
      <c r="F21" s="2">
        <v>12.7508</v>
      </c>
      <c r="G21" s="2">
        <v>0.15590000000000001</v>
      </c>
      <c r="H21" s="2">
        <v>12.4452</v>
      </c>
      <c r="I21" s="2">
        <v>13.0564</v>
      </c>
      <c r="J21" s="2">
        <v>52.176400000000001</v>
      </c>
      <c r="K21" s="2">
        <v>0.49</v>
      </c>
      <c r="L21" s="2">
        <v>51.215600000000002</v>
      </c>
      <c r="M21" s="2">
        <v>53.1372</v>
      </c>
      <c r="O21">
        <f t="shared" si="8"/>
        <v>52.176400000000001</v>
      </c>
      <c r="P21">
        <f t="shared" si="9"/>
        <v>51.215600000000002</v>
      </c>
      <c r="Q21">
        <f t="shared" si="10"/>
        <v>53.1372</v>
      </c>
      <c r="S21" t="str">
        <f t="shared" si="11"/>
        <v>52.18 (51.22 to 53.14)</v>
      </c>
    </row>
    <row r="22" spans="1:19" ht="17.25" thickBot="1" x14ac:dyDescent="0.35">
      <c r="A22" s="6"/>
      <c r="B22" s="13">
        <v>3</v>
      </c>
      <c r="C22" s="2">
        <v>4389</v>
      </c>
      <c r="D22" s="2">
        <v>1178953</v>
      </c>
      <c r="E22" s="2">
        <v>23446</v>
      </c>
      <c r="F22" s="2">
        <v>3.8971</v>
      </c>
      <c r="G22" s="2">
        <v>7.9399999999999998E-2</v>
      </c>
      <c r="H22" s="2">
        <v>3.7414000000000001</v>
      </c>
      <c r="I22" s="2">
        <v>4.0529000000000002</v>
      </c>
      <c r="J22" s="2">
        <v>15.947100000000001</v>
      </c>
      <c r="K22" s="2">
        <v>0.3125</v>
      </c>
      <c r="L22" s="2">
        <v>15.3344</v>
      </c>
      <c r="M22" s="2">
        <v>16.559799999999999</v>
      </c>
      <c r="O22">
        <f t="shared" si="8"/>
        <v>15.947100000000001</v>
      </c>
      <c r="P22">
        <f t="shared" si="9"/>
        <v>15.3344</v>
      </c>
      <c r="Q22">
        <f t="shared" si="10"/>
        <v>16.559799999999999</v>
      </c>
      <c r="S22" t="str">
        <f t="shared" si="11"/>
        <v>15.95 (15.33 to 16.56)</v>
      </c>
    </row>
    <row r="23" spans="1:19" ht="17.25" thickBot="1" x14ac:dyDescent="0.35">
      <c r="A23" s="6"/>
      <c r="B23" s="13" t="s">
        <v>132</v>
      </c>
      <c r="C23" s="2">
        <v>17171</v>
      </c>
      <c r="D23" s="2">
        <v>7392893</v>
      </c>
      <c r="E23" s="2">
        <v>81319</v>
      </c>
      <c r="F23" s="2">
        <v>24.437899999999999</v>
      </c>
      <c r="G23" s="2">
        <v>0.1963</v>
      </c>
      <c r="H23" s="2">
        <v>24.053000000000001</v>
      </c>
      <c r="I23" s="2">
        <v>24.822800000000001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3">
        <v>1</v>
      </c>
      <c r="C24" s="2">
        <v>3247</v>
      </c>
      <c r="D24" s="2">
        <v>1924281</v>
      </c>
      <c r="E24" s="2">
        <v>42048</v>
      </c>
      <c r="F24" s="2">
        <v>6.3609</v>
      </c>
      <c r="G24" s="2">
        <v>0.13</v>
      </c>
      <c r="H24" s="2">
        <v>6.1059000000000001</v>
      </c>
      <c r="I24" s="2">
        <v>6.6158999999999999</v>
      </c>
      <c r="J24" s="2">
        <v>25.479500000000002</v>
      </c>
      <c r="K24" s="2">
        <v>0.46700000000000003</v>
      </c>
      <c r="L24" s="2">
        <v>24.563700000000001</v>
      </c>
      <c r="M24" s="2">
        <v>26.395199999999999</v>
      </c>
      <c r="O24">
        <f t="shared" ref="O24:O26" si="12">J24</f>
        <v>25.479500000000002</v>
      </c>
      <c r="P24">
        <f t="shared" ref="P24:P26" si="13">L24</f>
        <v>24.563700000000001</v>
      </c>
      <c r="Q24">
        <f t="shared" ref="Q24:Q26" si="14">M24</f>
        <v>26.395199999999999</v>
      </c>
      <c r="S24" t="str">
        <f t="shared" ref="S24:S26" si="15">TEXT(O24,"0.00")&amp;" ("&amp;TEXT(P24,"0.00")&amp;" to "&amp;TEXT(Q24,"0.00")&amp;")"</f>
        <v>25.48 (24.56 to 26.40)</v>
      </c>
    </row>
    <row r="25" spans="1:19" ht="17.25" thickBot="1" x14ac:dyDescent="0.35">
      <c r="A25" s="6"/>
      <c r="B25" s="13">
        <v>2</v>
      </c>
      <c r="C25" s="2">
        <v>9913</v>
      </c>
      <c r="D25" s="2">
        <v>4564909</v>
      </c>
      <c r="E25" s="2">
        <v>61422</v>
      </c>
      <c r="F25" s="2">
        <v>15.089700000000001</v>
      </c>
      <c r="G25" s="2">
        <v>0.17069999999999999</v>
      </c>
      <c r="H25" s="2">
        <v>14.755100000000001</v>
      </c>
      <c r="I25" s="2">
        <v>15.4244</v>
      </c>
      <c r="J25" s="2">
        <v>60.444099999999999</v>
      </c>
      <c r="K25" s="2">
        <v>0.4758</v>
      </c>
      <c r="L25" s="2">
        <v>59.511200000000002</v>
      </c>
      <c r="M25" s="2">
        <v>61.377000000000002</v>
      </c>
      <c r="O25">
        <f t="shared" si="12"/>
        <v>60.444099999999999</v>
      </c>
      <c r="P25">
        <f t="shared" si="13"/>
        <v>59.511200000000002</v>
      </c>
      <c r="Q25">
        <f t="shared" si="14"/>
        <v>61.377000000000002</v>
      </c>
      <c r="S25" t="str">
        <f t="shared" si="15"/>
        <v>60.44 (59.51 to 61.38)</v>
      </c>
    </row>
    <row r="26" spans="1:19" ht="17.25" thickBot="1" x14ac:dyDescent="0.35">
      <c r="A26" s="6"/>
      <c r="B26" s="13">
        <v>3</v>
      </c>
      <c r="C26" s="2">
        <v>4005</v>
      </c>
      <c r="D26" s="2">
        <v>1063095</v>
      </c>
      <c r="E26" s="2">
        <v>22820</v>
      </c>
      <c r="F26" s="2">
        <v>3.5142000000000002</v>
      </c>
      <c r="G26" s="2">
        <v>7.7200000000000005E-2</v>
      </c>
      <c r="H26" s="2">
        <v>3.3628</v>
      </c>
      <c r="I26" s="2">
        <v>3.6655000000000002</v>
      </c>
      <c r="J26" s="2">
        <v>14.076499999999999</v>
      </c>
      <c r="K26" s="2">
        <v>0.2903</v>
      </c>
      <c r="L26" s="2">
        <v>13.507300000000001</v>
      </c>
      <c r="M26" s="2">
        <v>14.6456</v>
      </c>
      <c r="O26">
        <f t="shared" si="12"/>
        <v>14.076499999999999</v>
      </c>
      <c r="P26">
        <f t="shared" si="13"/>
        <v>13.507300000000001</v>
      </c>
      <c r="Q26">
        <f t="shared" si="14"/>
        <v>14.6456</v>
      </c>
      <c r="S26" t="str">
        <f t="shared" si="15"/>
        <v>14.08 (13.51 to 14.65)</v>
      </c>
    </row>
    <row r="27" spans="1:19" ht="17.25" thickBot="1" x14ac:dyDescent="0.35">
      <c r="A27" s="6"/>
      <c r="B27" s="13" t="s">
        <v>132</v>
      </c>
      <c r="C27" s="2">
        <v>17165</v>
      </c>
      <c r="D27" s="2">
        <v>7552285</v>
      </c>
      <c r="E27" s="2">
        <v>80298</v>
      </c>
      <c r="F27" s="2">
        <v>24.9648</v>
      </c>
      <c r="G27" s="2">
        <v>0.20699999999999999</v>
      </c>
      <c r="H27" s="2">
        <v>24.558800000000002</v>
      </c>
      <c r="I27" s="2">
        <v>25.370799999999999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3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6">J28</f>
        <v>0</v>
      </c>
      <c r="P28">
        <f t="shared" ref="P28:P30" si="17">L28</f>
        <v>0</v>
      </c>
      <c r="Q28">
        <f t="shared" ref="Q28:Q30" si="18">M28</f>
        <v>0</v>
      </c>
      <c r="S28" t="str">
        <f t="shared" ref="S28:S30" si="19">TEXT(O28,"0.00")&amp;" ("&amp;TEXT(P28,"0.00")&amp;" to "&amp;TEXT(Q28,"0.00")&amp;")"</f>
        <v>0.00 (0.00 to 0.00)</v>
      </c>
    </row>
    <row r="29" spans="1:19" ht="17.25" thickBot="1" x14ac:dyDescent="0.35">
      <c r="A29" s="6"/>
      <c r="B29" s="13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6"/>
        <v>0</v>
      </c>
      <c r="P29">
        <f t="shared" si="17"/>
        <v>0</v>
      </c>
      <c r="Q29">
        <f t="shared" si="18"/>
        <v>0</v>
      </c>
      <c r="S29" t="str">
        <f t="shared" si="19"/>
        <v>0.00 (0.00 to 0.00)</v>
      </c>
    </row>
    <row r="30" spans="1:19" ht="17.25" thickBot="1" x14ac:dyDescent="0.35">
      <c r="A30" s="6"/>
      <c r="B30" s="13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6"/>
        <v>0</v>
      </c>
      <c r="P30">
        <f t="shared" si="17"/>
        <v>0</v>
      </c>
      <c r="Q30">
        <f t="shared" si="18"/>
        <v>0</v>
      </c>
      <c r="S30" t="str">
        <f t="shared" si="19"/>
        <v>0.00 (0.00 to 0.00)</v>
      </c>
    </row>
    <row r="31" spans="1:19" x14ac:dyDescent="0.3">
      <c r="A31" s="6"/>
      <c r="B31" s="16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17" t="s">
        <v>152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</row>
    <row r="34" spans="1:19" ht="33" customHeight="1" x14ac:dyDescent="0.3">
      <c r="A34" s="18" t="s">
        <v>23</v>
      </c>
      <c r="B34" s="20" t="s">
        <v>5</v>
      </c>
      <c r="C34" s="20" t="s">
        <v>125</v>
      </c>
      <c r="D34" s="3" t="s">
        <v>126</v>
      </c>
      <c r="E34" s="3" t="s">
        <v>127</v>
      </c>
      <c r="F34" s="20" t="s">
        <v>129</v>
      </c>
      <c r="G34" s="3" t="s">
        <v>127</v>
      </c>
      <c r="H34" s="20" t="s">
        <v>130</v>
      </c>
      <c r="I34" s="20"/>
      <c r="J34" s="3" t="s">
        <v>149</v>
      </c>
      <c r="K34" s="3" t="s">
        <v>127</v>
      </c>
      <c r="L34" s="20" t="s">
        <v>130</v>
      </c>
      <c r="M34" s="20"/>
    </row>
    <row r="35" spans="1:19" ht="33" x14ac:dyDescent="0.3">
      <c r="A35" s="18"/>
      <c r="B35" s="20"/>
      <c r="C35" s="20"/>
      <c r="D35" s="3" t="s">
        <v>125</v>
      </c>
      <c r="E35" s="3" t="s">
        <v>128</v>
      </c>
      <c r="F35" s="20"/>
      <c r="G35" s="3" t="s">
        <v>129</v>
      </c>
      <c r="H35" s="20" t="s">
        <v>131</v>
      </c>
      <c r="I35" s="20"/>
      <c r="J35" s="3" t="s">
        <v>129</v>
      </c>
      <c r="K35" s="3" t="s">
        <v>150</v>
      </c>
      <c r="L35" s="20" t="s">
        <v>151</v>
      </c>
      <c r="M35" s="20"/>
    </row>
    <row r="36" spans="1:19" ht="17.25" thickBot="1" x14ac:dyDescent="0.35">
      <c r="A36" s="6">
        <v>1</v>
      </c>
      <c r="B36" s="13">
        <v>1</v>
      </c>
      <c r="C36" s="2">
        <v>5346</v>
      </c>
      <c r="D36" s="2">
        <v>2821038</v>
      </c>
      <c r="E36" s="2">
        <v>51569</v>
      </c>
      <c r="F36" s="2">
        <v>9.3252000000000006</v>
      </c>
      <c r="G36" s="2">
        <v>0.14949999999999999</v>
      </c>
      <c r="H36" s="2">
        <v>9.0320999999999998</v>
      </c>
      <c r="I36" s="2">
        <v>9.6182999999999996</v>
      </c>
      <c r="J36" s="2">
        <v>35.936199999999999</v>
      </c>
      <c r="K36" s="2">
        <v>0.44579999999999997</v>
      </c>
      <c r="L36" s="2">
        <v>35.061999999999998</v>
      </c>
      <c r="M36" s="2">
        <v>36.810400000000001</v>
      </c>
      <c r="O36">
        <f t="shared" ref="O36:O37" si="20">J36</f>
        <v>35.936199999999999</v>
      </c>
      <c r="P36">
        <f t="shared" ref="P36:P37" si="21">L36</f>
        <v>35.061999999999998</v>
      </c>
      <c r="Q36">
        <f t="shared" ref="Q36:Q37" si="22">M36</f>
        <v>36.810400000000001</v>
      </c>
      <c r="S36" t="str">
        <f t="shared" ref="S36:S37" si="23">TEXT(O36,"0.00")&amp;" ("&amp;TEXT(P36,"0.00")&amp;" to "&amp;TEXT(Q36,"0.00")&amp;")"</f>
        <v>35.94 (35.06 to 36.81)</v>
      </c>
    </row>
    <row r="37" spans="1:19" ht="17.25" thickBot="1" x14ac:dyDescent="0.35">
      <c r="A37" s="6"/>
      <c r="B37" s="13">
        <v>2</v>
      </c>
      <c r="C37" s="2">
        <v>11853</v>
      </c>
      <c r="D37" s="2">
        <v>5029080</v>
      </c>
      <c r="E37" s="2">
        <v>64199</v>
      </c>
      <c r="F37" s="2">
        <v>16.624099999999999</v>
      </c>
      <c r="G37" s="2">
        <v>0.1681</v>
      </c>
      <c r="H37" s="2">
        <v>16.294499999999999</v>
      </c>
      <c r="I37" s="2">
        <v>16.953700000000001</v>
      </c>
      <c r="J37" s="2">
        <v>64.063800000000001</v>
      </c>
      <c r="K37" s="2">
        <v>0.44579999999999997</v>
      </c>
      <c r="L37" s="2">
        <v>63.189599999999999</v>
      </c>
      <c r="M37" s="2">
        <v>64.938000000000002</v>
      </c>
      <c r="O37">
        <f t="shared" si="20"/>
        <v>64.063800000000001</v>
      </c>
      <c r="P37">
        <f t="shared" si="21"/>
        <v>63.189599999999999</v>
      </c>
      <c r="Q37">
        <f t="shared" si="22"/>
        <v>64.938000000000002</v>
      </c>
      <c r="S37" t="str">
        <f t="shared" si="23"/>
        <v>64.06 (63.19 to 64.94)</v>
      </c>
    </row>
    <row r="38" spans="1:19" ht="17.25" thickBot="1" x14ac:dyDescent="0.35">
      <c r="A38" s="6"/>
      <c r="B38" s="13" t="s">
        <v>132</v>
      </c>
      <c r="C38" s="2">
        <v>17199</v>
      </c>
      <c r="D38" s="2">
        <v>7850118</v>
      </c>
      <c r="E38" s="2">
        <v>92267</v>
      </c>
      <c r="F38" s="2">
        <v>25.949300000000001</v>
      </c>
      <c r="G38" s="2">
        <v>0.21940000000000001</v>
      </c>
      <c r="H38" s="2">
        <v>25.519100000000002</v>
      </c>
      <c r="I38" s="2">
        <v>26.3795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3">
        <v>1</v>
      </c>
      <c r="C39" s="2">
        <v>7583</v>
      </c>
      <c r="D39" s="2">
        <v>3735331</v>
      </c>
      <c r="E39" s="2">
        <v>54815</v>
      </c>
      <c r="F39" s="2">
        <v>12.3475</v>
      </c>
      <c r="G39" s="2">
        <v>0.15409999999999999</v>
      </c>
      <c r="H39" s="2">
        <v>12.045400000000001</v>
      </c>
      <c r="I39" s="2">
        <v>12.6496</v>
      </c>
      <c r="J39" s="2">
        <v>50.095199999999998</v>
      </c>
      <c r="K39" s="2">
        <v>0.4375</v>
      </c>
      <c r="L39" s="2">
        <v>49.237499999999997</v>
      </c>
      <c r="M39" s="2">
        <v>50.953000000000003</v>
      </c>
      <c r="O39">
        <f t="shared" ref="O39:O40" si="24">J39</f>
        <v>50.095199999999998</v>
      </c>
      <c r="P39">
        <f t="shared" ref="P39:P40" si="25">L39</f>
        <v>49.237499999999997</v>
      </c>
      <c r="Q39">
        <f t="shared" ref="Q39:Q40" si="26">M39</f>
        <v>50.953000000000003</v>
      </c>
      <c r="S39" t="str">
        <f t="shared" ref="S39:S40" si="27">TEXT(O39,"0.00")&amp;" ("&amp;TEXT(P39,"0.00")&amp;" to "&amp;TEXT(Q39,"0.00")&amp;")"</f>
        <v>50.10 (49.24 to 50.95)</v>
      </c>
    </row>
    <row r="40" spans="1:19" ht="17.25" thickBot="1" x14ac:dyDescent="0.35">
      <c r="A40" s="6"/>
      <c r="B40" s="13">
        <v>2</v>
      </c>
      <c r="C40" s="2">
        <v>9516</v>
      </c>
      <c r="D40" s="2">
        <v>3721128</v>
      </c>
      <c r="E40" s="2">
        <v>51028</v>
      </c>
      <c r="F40" s="2">
        <v>12.3005</v>
      </c>
      <c r="G40" s="2">
        <v>0.13789999999999999</v>
      </c>
      <c r="H40" s="2">
        <v>12.030099999999999</v>
      </c>
      <c r="I40" s="2">
        <v>12.571</v>
      </c>
      <c r="J40" s="2">
        <v>49.904800000000002</v>
      </c>
      <c r="K40" s="2">
        <v>0.4375</v>
      </c>
      <c r="L40" s="2">
        <v>49.046999999999997</v>
      </c>
      <c r="M40" s="2">
        <v>50.762500000000003</v>
      </c>
      <c r="O40">
        <f t="shared" si="24"/>
        <v>49.904800000000002</v>
      </c>
      <c r="P40">
        <f t="shared" si="25"/>
        <v>49.046999999999997</v>
      </c>
      <c r="Q40">
        <f t="shared" si="26"/>
        <v>50.762500000000003</v>
      </c>
      <c r="S40" t="str">
        <f t="shared" si="27"/>
        <v>49.90 (49.05 to 50.76)</v>
      </c>
    </row>
    <row r="41" spans="1:19" ht="17.25" thickBot="1" x14ac:dyDescent="0.35">
      <c r="A41" s="6"/>
      <c r="B41" s="13" t="s">
        <v>132</v>
      </c>
      <c r="C41" s="2">
        <v>17099</v>
      </c>
      <c r="D41" s="2">
        <v>7456460</v>
      </c>
      <c r="E41" s="2">
        <v>83424</v>
      </c>
      <c r="F41" s="2">
        <v>24.648</v>
      </c>
      <c r="G41" s="2">
        <v>0.19750000000000001</v>
      </c>
      <c r="H41" s="2">
        <v>24.2608</v>
      </c>
      <c r="I41" s="2">
        <v>25.0352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3">
        <v>1</v>
      </c>
      <c r="C42" s="2">
        <v>9087</v>
      </c>
      <c r="D42" s="2">
        <v>4434093</v>
      </c>
      <c r="E42" s="2">
        <v>60816</v>
      </c>
      <c r="F42" s="2">
        <v>14.657299999999999</v>
      </c>
      <c r="G42" s="2">
        <v>0.16350000000000001</v>
      </c>
      <c r="H42" s="2">
        <v>14.3367</v>
      </c>
      <c r="I42" s="2">
        <v>14.9779</v>
      </c>
      <c r="J42" s="2">
        <v>59.977800000000002</v>
      </c>
      <c r="K42" s="2">
        <v>0.41980000000000001</v>
      </c>
      <c r="L42" s="2">
        <v>59.154600000000002</v>
      </c>
      <c r="M42" s="2">
        <v>60.801000000000002</v>
      </c>
      <c r="O42">
        <f t="shared" ref="O42:O43" si="28">J42</f>
        <v>59.977800000000002</v>
      </c>
      <c r="P42">
        <f t="shared" ref="P42:P43" si="29">L42</f>
        <v>59.154600000000002</v>
      </c>
      <c r="Q42">
        <f t="shared" ref="Q42:Q43" si="30">M42</f>
        <v>60.801000000000002</v>
      </c>
      <c r="S42" t="str">
        <f t="shared" ref="S42:S43" si="31">TEXT(O42,"0.00")&amp;" ("&amp;TEXT(P42,"0.00")&amp;" to "&amp;TEXT(Q42,"0.00")&amp;")"</f>
        <v>59.98 (59.15 to 60.80)</v>
      </c>
    </row>
    <row r="43" spans="1:19" ht="17.25" thickBot="1" x14ac:dyDescent="0.35">
      <c r="A43" s="6"/>
      <c r="B43" s="13">
        <v>2</v>
      </c>
      <c r="C43" s="2">
        <v>8084</v>
      </c>
      <c r="D43" s="2">
        <v>2958800</v>
      </c>
      <c r="E43" s="2">
        <v>42246</v>
      </c>
      <c r="F43" s="2">
        <v>9.7805999999999997</v>
      </c>
      <c r="G43" s="2">
        <v>0.123</v>
      </c>
      <c r="H43" s="2">
        <v>9.5394000000000005</v>
      </c>
      <c r="I43" s="2">
        <v>10.021800000000001</v>
      </c>
      <c r="J43" s="2">
        <v>40.022199999999998</v>
      </c>
      <c r="K43" s="2">
        <v>0.41980000000000001</v>
      </c>
      <c r="L43" s="2">
        <v>39.198999999999998</v>
      </c>
      <c r="M43" s="2">
        <v>40.845399999999998</v>
      </c>
      <c r="O43">
        <f t="shared" si="28"/>
        <v>40.022199999999998</v>
      </c>
      <c r="P43">
        <f t="shared" si="29"/>
        <v>39.198999999999998</v>
      </c>
      <c r="Q43">
        <f t="shared" si="30"/>
        <v>40.845399999999998</v>
      </c>
      <c r="S43" t="str">
        <f t="shared" si="31"/>
        <v>40.02 (39.20 to 40.85)</v>
      </c>
    </row>
    <row r="44" spans="1:19" ht="17.25" thickBot="1" x14ac:dyDescent="0.35">
      <c r="A44" s="6"/>
      <c r="B44" s="13" t="s">
        <v>132</v>
      </c>
      <c r="C44" s="2">
        <v>17171</v>
      </c>
      <c r="D44" s="2">
        <v>7392893</v>
      </c>
      <c r="E44" s="2">
        <v>81319</v>
      </c>
      <c r="F44" s="2">
        <v>24.437899999999999</v>
      </c>
      <c r="G44" s="2">
        <v>0.1963</v>
      </c>
      <c r="H44" s="2">
        <v>24.053000000000001</v>
      </c>
      <c r="I44" s="2">
        <v>24.822800000000001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3">
        <v>1</v>
      </c>
      <c r="C45" s="2">
        <v>11184</v>
      </c>
      <c r="D45" s="2">
        <v>5458368</v>
      </c>
      <c r="E45" s="2">
        <v>65934</v>
      </c>
      <c r="F45" s="2">
        <v>18.043099999999999</v>
      </c>
      <c r="G45" s="2">
        <v>0.17580000000000001</v>
      </c>
      <c r="H45" s="2">
        <v>17.698499999999999</v>
      </c>
      <c r="I45" s="2">
        <v>18.387799999999999</v>
      </c>
      <c r="J45" s="2">
        <v>72.2744</v>
      </c>
      <c r="K45" s="2">
        <v>0.36320000000000002</v>
      </c>
      <c r="L45" s="2">
        <v>71.562299999999993</v>
      </c>
      <c r="M45" s="2">
        <v>72.986500000000007</v>
      </c>
      <c r="O45">
        <f t="shared" ref="O45:O46" si="32">J45</f>
        <v>72.2744</v>
      </c>
      <c r="P45">
        <f t="shared" ref="P45:P46" si="33">L45</f>
        <v>71.562299999999993</v>
      </c>
      <c r="Q45">
        <f t="shared" ref="Q45:Q46" si="34">M45</f>
        <v>72.986500000000007</v>
      </c>
      <c r="S45" t="str">
        <f t="shared" ref="S45:S46" si="35">TEXT(O45,"0.00")&amp;" ("&amp;TEXT(P45,"0.00")&amp;" to "&amp;TEXT(Q45,"0.00")&amp;")"</f>
        <v>72.27 (71.56 to 72.99)</v>
      </c>
    </row>
    <row r="46" spans="1:19" ht="17.25" thickBot="1" x14ac:dyDescent="0.35">
      <c r="A46" s="6"/>
      <c r="B46" s="13">
        <v>2</v>
      </c>
      <c r="C46" s="2">
        <v>5981</v>
      </c>
      <c r="D46" s="2">
        <v>2093917</v>
      </c>
      <c r="E46" s="2">
        <v>34071</v>
      </c>
      <c r="F46" s="2">
        <v>6.9215999999999998</v>
      </c>
      <c r="G46" s="2">
        <v>0.10680000000000001</v>
      </c>
      <c r="H46" s="2">
        <v>6.7122000000000002</v>
      </c>
      <c r="I46" s="2">
        <v>7.1310000000000002</v>
      </c>
      <c r="J46" s="2">
        <v>27.7256</v>
      </c>
      <c r="K46" s="2">
        <v>0.36320000000000002</v>
      </c>
      <c r="L46" s="2">
        <v>27.013500000000001</v>
      </c>
      <c r="M46" s="2">
        <v>28.4377</v>
      </c>
      <c r="O46">
        <f t="shared" si="32"/>
        <v>27.7256</v>
      </c>
      <c r="P46">
        <f t="shared" si="33"/>
        <v>27.013500000000001</v>
      </c>
      <c r="Q46">
        <f t="shared" si="34"/>
        <v>28.4377</v>
      </c>
      <c r="S46" t="str">
        <f t="shared" si="35"/>
        <v>27.73 (27.01 to 28.44)</v>
      </c>
    </row>
    <row r="47" spans="1:19" ht="17.25" thickBot="1" x14ac:dyDescent="0.35">
      <c r="A47" s="6"/>
      <c r="B47" s="13" t="s">
        <v>132</v>
      </c>
      <c r="C47" s="2">
        <v>17165</v>
      </c>
      <c r="D47" s="2">
        <v>7552285</v>
      </c>
      <c r="E47" s="2">
        <v>80298</v>
      </c>
      <c r="F47" s="2">
        <v>24.9648</v>
      </c>
      <c r="G47" s="2">
        <v>0.20699999999999999</v>
      </c>
      <c r="H47" s="2">
        <v>24.558800000000002</v>
      </c>
      <c r="I47" s="2">
        <v>25.370799999999999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3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36">J48</f>
        <v>0</v>
      </c>
      <c r="P48">
        <f t="shared" ref="P48:P49" si="37">L48</f>
        <v>0</v>
      </c>
      <c r="Q48">
        <f t="shared" ref="Q48:Q49" si="38">M48</f>
        <v>0</v>
      </c>
      <c r="S48" t="str">
        <f t="shared" ref="S48:S49" si="39">TEXT(O48,"0.00")&amp;" ("&amp;TEXT(P48,"0.00")&amp;" to "&amp;TEXT(Q48,"0.00")&amp;")"</f>
        <v>0.00 (0.00 to 0.00)</v>
      </c>
    </row>
    <row r="49" spans="1:19" ht="17.25" thickBot="1" x14ac:dyDescent="0.35">
      <c r="A49" s="6"/>
      <c r="B49" s="13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36"/>
        <v>0</v>
      </c>
      <c r="P49">
        <f t="shared" si="37"/>
        <v>0</v>
      </c>
      <c r="Q49">
        <f t="shared" si="38"/>
        <v>0</v>
      </c>
      <c r="S49" t="str">
        <f t="shared" si="39"/>
        <v>0.00 (0.00 to 0.00)</v>
      </c>
    </row>
    <row r="50" spans="1:19" x14ac:dyDescent="0.3">
      <c r="A50" s="6"/>
      <c r="B50" s="16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17" t="s">
        <v>153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</row>
    <row r="53" spans="1:19" ht="33" customHeight="1" x14ac:dyDescent="0.3">
      <c r="A53" s="18" t="s">
        <v>23</v>
      </c>
      <c r="B53" s="20" t="s">
        <v>6</v>
      </c>
      <c r="C53" s="20" t="s">
        <v>125</v>
      </c>
      <c r="D53" s="3" t="s">
        <v>126</v>
      </c>
      <c r="E53" s="3" t="s">
        <v>127</v>
      </c>
      <c r="F53" s="20" t="s">
        <v>129</v>
      </c>
      <c r="G53" s="3" t="s">
        <v>127</v>
      </c>
      <c r="H53" s="20" t="s">
        <v>130</v>
      </c>
      <c r="I53" s="20"/>
      <c r="J53" s="3" t="s">
        <v>149</v>
      </c>
      <c r="K53" s="3" t="s">
        <v>127</v>
      </c>
      <c r="L53" s="20" t="s">
        <v>130</v>
      </c>
      <c r="M53" s="20"/>
    </row>
    <row r="54" spans="1:19" ht="33" x14ac:dyDescent="0.3">
      <c r="A54" s="18"/>
      <c r="B54" s="20"/>
      <c r="C54" s="20"/>
      <c r="D54" s="3" t="s">
        <v>125</v>
      </c>
      <c r="E54" s="3" t="s">
        <v>128</v>
      </c>
      <c r="F54" s="20"/>
      <c r="G54" s="3" t="s">
        <v>129</v>
      </c>
      <c r="H54" s="20" t="s">
        <v>131</v>
      </c>
      <c r="I54" s="20"/>
      <c r="J54" s="3" t="s">
        <v>129</v>
      </c>
      <c r="K54" s="3" t="s">
        <v>150</v>
      </c>
      <c r="L54" s="20" t="s">
        <v>151</v>
      </c>
      <c r="M54" s="20"/>
    </row>
    <row r="55" spans="1:19" ht="17.25" thickBot="1" x14ac:dyDescent="0.35">
      <c r="A55" s="6">
        <v>1</v>
      </c>
      <c r="B55" s="13">
        <v>1</v>
      </c>
      <c r="C55" s="2">
        <v>14399</v>
      </c>
      <c r="D55" s="2">
        <v>6789701</v>
      </c>
      <c r="E55" s="2">
        <v>99567</v>
      </c>
      <c r="F55" s="2">
        <v>22.443999999999999</v>
      </c>
      <c r="G55" s="2">
        <v>0.26279999999999998</v>
      </c>
      <c r="H55" s="2">
        <v>21.928599999999999</v>
      </c>
      <c r="I55" s="2">
        <v>22.959299999999999</v>
      </c>
      <c r="J55" s="2">
        <v>86.491699999999994</v>
      </c>
      <c r="K55" s="2">
        <v>0.64810000000000001</v>
      </c>
      <c r="L55" s="2">
        <v>85.2209</v>
      </c>
      <c r="M55" s="2">
        <v>87.762500000000003</v>
      </c>
      <c r="O55">
        <f t="shared" ref="O55:O56" si="40">J55</f>
        <v>86.491699999999994</v>
      </c>
      <c r="P55">
        <f t="shared" ref="P55:P56" si="41">L55</f>
        <v>85.2209</v>
      </c>
      <c r="Q55">
        <f t="shared" ref="Q55:Q56" si="42">M55</f>
        <v>87.762500000000003</v>
      </c>
      <c r="S55" t="str">
        <f t="shared" ref="S55:S56" si="43">TEXT(O55,"0.00")&amp;" ("&amp;TEXT(P55,"0.00")&amp;" to "&amp;TEXT(Q55,"0.00")&amp;")"</f>
        <v>86.49 (85.22 to 87.76)</v>
      </c>
    </row>
    <row r="56" spans="1:19" ht="17.25" thickBot="1" x14ac:dyDescent="0.35">
      <c r="A56" s="6"/>
      <c r="B56" s="13">
        <v>2</v>
      </c>
      <c r="C56" s="2">
        <v>2800</v>
      </c>
      <c r="D56" s="2">
        <v>1060417</v>
      </c>
      <c r="E56" s="2">
        <v>50935</v>
      </c>
      <c r="F56" s="2">
        <v>3.5053000000000001</v>
      </c>
      <c r="G56" s="2">
        <v>0.1686</v>
      </c>
      <c r="H56" s="2">
        <v>3.1747999999999998</v>
      </c>
      <c r="I56" s="2">
        <v>3.8357999999999999</v>
      </c>
      <c r="J56" s="2">
        <v>13.5083</v>
      </c>
      <c r="K56" s="2">
        <v>0.64810000000000001</v>
      </c>
      <c r="L56" s="2">
        <v>12.237500000000001</v>
      </c>
      <c r="M56" s="2">
        <v>14.7791</v>
      </c>
      <c r="O56">
        <f t="shared" si="40"/>
        <v>13.5083</v>
      </c>
      <c r="P56">
        <f t="shared" si="41"/>
        <v>12.237500000000001</v>
      </c>
      <c r="Q56">
        <f t="shared" si="42"/>
        <v>14.7791</v>
      </c>
      <c r="S56" t="str">
        <f t="shared" si="43"/>
        <v>13.51 (12.24 to 14.78)</v>
      </c>
    </row>
    <row r="57" spans="1:19" ht="17.25" thickBot="1" x14ac:dyDescent="0.35">
      <c r="A57" s="6"/>
      <c r="B57" s="13" t="s">
        <v>132</v>
      </c>
      <c r="C57" s="2">
        <v>17199</v>
      </c>
      <c r="D57" s="2">
        <v>7850118</v>
      </c>
      <c r="E57" s="2">
        <v>92267</v>
      </c>
      <c r="F57" s="2">
        <v>25.949300000000001</v>
      </c>
      <c r="G57" s="2">
        <v>0.21940000000000001</v>
      </c>
      <c r="H57" s="2">
        <v>25.519100000000002</v>
      </c>
      <c r="I57" s="2">
        <v>26.3795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3">
        <v>1</v>
      </c>
      <c r="C58" s="2">
        <v>13832</v>
      </c>
      <c r="D58" s="2">
        <v>6310455</v>
      </c>
      <c r="E58" s="2">
        <v>92373</v>
      </c>
      <c r="F58" s="2">
        <v>20.8598</v>
      </c>
      <c r="G58" s="2">
        <v>0.24540000000000001</v>
      </c>
      <c r="H58" s="2">
        <v>20.378699999999998</v>
      </c>
      <c r="I58" s="2">
        <v>21.340900000000001</v>
      </c>
      <c r="J58" s="2">
        <v>84.630700000000004</v>
      </c>
      <c r="K58" s="2">
        <v>0.67730000000000001</v>
      </c>
      <c r="L58" s="2">
        <v>83.302599999999998</v>
      </c>
      <c r="M58" s="2">
        <v>85.958799999999997</v>
      </c>
      <c r="O58">
        <f t="shared" ref="O58:O59" si="44">J58</f>
        <v>84.630700000000004</v>
      </c>
      <c r="P58">
        <f t="shared" ref="P58:P59" si="45">L58</f>
        <v>83.302599999999998</v>
      </c>
      <c r="Q58">
        <f t="shared" ref="Q58:Q59" si="46">M58</f>
        <v>85.958799999999997</v>
      </c>
      <c r="S58" t="str">
        <f t="shared" ref="S58:S59" si="47">TEXT(O58,"0.00")&amp;" ("&amp;TEXT(P58,"0.00")&amp;" to "&amp;TEXT(Q58,"0.00")&amp;")"</f>
        <v>84.63 (83.30 to 85.96)</v>
      </c>
    </row>
    <row r="59" spans="1:19" ht="17.25" thickBot="1" x14ac:dyDescent="0.35">
      <c r="A59" s="6"/>
      <c r="B59" s="13">
        <v>2</v>
      </c>
      <c r="C59" s="2">
        <v>3267</v>
      </c>
      <c r="D59" s="2">
        <v>1146005</v>
      </c>
      <c r="E59" s="2">
        <v>50338</v>
      </c>
      <c r="F59" s="2">
        <v>3.7881999999999998</v>
      </c>
      <c r="G59" s="2">
        <v>0.1673</v>
      </c>
      <c r="H59" s="2">
        <v>3.4601999999999999</v>
      </c>
      <c r="I59" s="2">
        <v>4.1162999999999998</v>
      </c>
      <c r="J59" s="2">
        <v>15.369300000000001</v>
      </c>
      <c r="K59" s="2">
        <v>0.67730000000000001</v>
      </c>
      <c r="L59" s="2">
        <v>14.0412</v>
      </c>
      <c r="M59" s="2">
        <v>16.697399999999998</v>
      </c>
      <c r="O59">
        <f t="shared" si="44"/>
        <v>15.369300000000001</v>
      </c>
      <c r="P59">
        <f t="shared" si="45"/>
        <v>14.0412</v>
      </c>
      <c r="Q59">
        <f t="shared" si="46"/>
        <v>16.697399999999998</v>
      </c>
      <c r="S59" t="str">
        <f t="shared" si="47"/>
        <v>15.37 (14.04 to 16.70)</v>
      </c>
    </row>
    <row r="60" spans="1:19" ht="17.25" thickBot="1" x14ac:dyDescent="0.35">
      <c r="A60" s="6"/>
      <c r="B60" s="13" t="s">
        <v>132</v>
      </c>
      <c r="C60" s="2">
        <v>17099</v>
      </c>
      <c r="D60" s="2">
        <v>7456460</v>
      </c>
      <c r="E60" s="2">
        <v>83424</v>
      </c>
      <c r="F60" s="2">
        <v>24.648</v>
      </c>
      <c r="G60" s="2">
        <v>0.19750000000000001</v>
      </c>
      <c r="H60" s="2">
        <v>24.2608</v>
      </c>
      <c r="I60" s="2">
        <v>25.0352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3">
        <v>1</v>
      </c>
      <c r="C61" s="2">
        <v>13616</v>
      </c>
      <c r="D61" s="2">
        <v>6128193</v>
      </c>
      <c r="E61" s="2">
        <v>89206</v>
      </c>
      <c r="F61" s="2">
        <v>20.257300000000001</v>
      </c>
      <c r="G61" s="2">
        <v>0.2394</v>
      </c>
      <c r="H61" s="2">
        <v>19.787800000000001</v>
      </c>
      <c r="I61" s="2">
        <v>20.726800000000001</v>
      </c>
      <c r="J61" s="2">
        <v>82.893000000000001</v>
      </c>
      <c r="K61" s="2">
        <v>0.73180000000000001</v>
      </c>
      <c r="L61" s="2">
        <v>81.458100000000002</v>
      </c>
      <c r="M61" s="2">
        <v>84.3279</v>
      </c>
      <c r="O61">
        <f t="shared" ref="O61:O62" si="48">J61</f>
        <v>82.893000000000001</v>
      </c>
      <c r="P61">
        <f t="shared" ref="P61:P62" si="49">L61</f>
        <v>81.458100000000002</v>
      </c>
      <c r="Q61">
        <f t="shared" ref="Q61:Q62" si="50">M61</f>
        <v>84.3279</v>
      </c>
      <c r="S61" t="str">
        <f t="shared" ref="S61:S62" si="51">TEXT(O61,"0.00")&amp;" ("&amp;TEXT(P61,"0.00")&amp;" to "&amp;TEXT(Q61,"0.00")&amp;")"</f>
        <v>82.89 (81.46 to 84.33)</v>
      </c>
    </row>
    <row r="62" spans="1:19" ht="17.25" thickBot="1" x14ac:dyDescent="0.35">
      <c r="A62" s="6"/>
      <c r="B62" s="13">
        <v>2</v>
      </c>
      <c r="C62" s="2">
        <v>3555</v>
      </c>
      <c r="D62" s="2">
        <v>1264700</v>
      </c>
      <c r="E62" s="2">
        <v>54953</v>
      </c>
      <c r="F62" s="2">
        <v>4.1806000000000001</v>
      </c>
      <c r="G62" s="2">
        <v>0.18260000000000001</v>
      </c>
      <c r="H62" s="2">
        <v>3.8226</v>
      </c>
      <c r="I62" s="2">
        <v>4.5385999999999997</v>
      </c>
      <c r="J62" s="2">
        <v>17.106999999999999</v>
      </c>
      <c r="K62" s="2">
        <v>0.73180000000000001</v>
      </c>
      <c r="L62" s="2">
        <v>15.6721</v>
      </c>
      <c r="M62" s="2">
        <v>18.541899999999998</v>
      </c>
      <c r="O62">
        <f t="shared" si="48"/>
        <v>17.106999999999999</v>
      </c>
      <c r="P62">
        <f t="shared" si="49"/>
        <v>15.6721</v>
      </c>
      <c r="Q62">
        <f t="shared" si="50"/>
        <v>18.541899999999998</v>
      </c>
      <c r="S62" t="str">
        <f t="shared" si="51"/>
        <v>17.11 (15.67 to 18.54)</v>
      </c>
    </row>
    <row r="63" spans="1:19" ht="17.25" thickBot="1" x14ac:dyDescent="0.35">
      <c r="A63" s="6"/>
      <c r="B63" s="13" t="s">
        <v>132</v>
      </c>
      <c r="C63" s="2">
        <v>17171</v>
      </c>
      <c r="D63" s="2">
        <v>7392893</v>
      </c>
      <c r="E63" s="2">
        <v>81319</v>
      </c>
      <c r="F63" s="2">
        <v>24.437899999999999</v>
      </c>
      <c r="G63" s="2">
        <v>0.1963</v>
      </c>
      <c r="H63" s="2">
        <v>24.053000000000001</v>
      </c>
      <c r="I63" s="2">
        <v>24.822800000000001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3">
        <v>1</v>
      </c>
      <c r="C64" s="2">
        <v>13329</v>
      </c>
      <c r="D64" s="2">
        <v>6163730</v>
      </c>
      <c r="E64" s="2">
        <v>89036</v>
      </c>
      <c r="F64" s="2">
        <v>20.3748</v>
      </c>
      <c r="G64" s="2">
        <v>0.24579999999999999</v>
      </c>
      <c r="H64" s="2">
        <v>19.892800000000001</v>
      </c>
      <c r="I64" s="2">
        <v>20.8568</v>
      </c>
      <c r="J64" s="2">
        <v>81.614099999999993</v>
      </c>
      <c r="K64" s="2">
        <v>0.75749999999999995</v>
      </c>
      <c r="L64" s="2">
        <v>80.128699999999995</v>
      </c>
      <c r="M64" s="2">
        <v>83.099500000000006</v>
      </c>
      <c r="O64">
        <f t="shared" ref="O64:O65" si="52">J64</f>
        <v>81.614099999999993</v>
      </c>
      <c r="P64">
        <f t="shared" ref="P64:P65" si="53">L64</f>
        <v>80.128699999999995</v>
      </c>
      <c r="Q64">
        <f t="shared" ref="Q64:Q65" si="54">M64</f>
        <v>83.099500000000006</v>
      </c>
      <c r="S64" t="str">
        <f t="shared" ref="S64:S65" si="55">TEXT(O64,"0.00")&amp;" ("&amp;TEXT(P64,"0.00")&amp;" to "&amp;TEXT(Q64,"0.00")&amp;")"</f>
        <v>81.61 (80.13 to 83.10)</v>
      </c>
    </row>
    <row r="65" spans="1:19" ht="17.25" thickBot="1" x14ac:dyDescent="0.35">
      <c r="A65" s="6"/>
      <c r="B65" s="13">
        <v>2</v>
      </c>
      <c r="C65" s="2">
        <v>3836</v>
      </c>
      <c r="D65" s="2">
        <v>1388556</v>
      </c>
      <c r="E65" s="2">
        <v>58395</v>
      </c>
      <c r="F65" s="2">
        <v>4.59</v>
      </c>
      <c r="G65" s="2">
        <v>0.19520000000000001</v>
      </c>
      <c r="H65" s="2">
        <v>4.2073</v>
      </c>
      <c r="I65" s="2">
        <v>4.9726999999999997</v>
      </c>
      <c r="J65" s="2">
        <v>18.385899999999999</v>
      </c>
      <c r="K65" s="2">
        <v>0.75749999999999995</v>
      </c>
      <c r="L65" s="2">
        <v>16.900500000000001</v>
      </c>
      <c r="M65" s="2">
        <v>19.871300000000002</v>
      </c>
      <c r="O65">
        <f t="shared" si="52"/>
        <v>18.385899999999999</v>
      </c>
      <c r="P65">
        <f t="shared" si="53"/>
        <v>16.900500000000001</v>
      </c>
      <c r="Q65">
        <f t="shared" si="54"/>
        <v>19.871300000000002</v>
      </c>
      <c r="S65" t="str">
        <f t="shared" si="55"/>
        <v>18.39 (16.90 to 19.87)</v>
      </c>
    </row>
    <row r="66" spans="1:19" ht="17.25" thickBot="1" x14ac:dyDescent="0.35">
      <c r="A66" s="6"/>
      <c r="B66" s="13" t="s">
        <v>132</v>
      </c>
      <c r="C66" s="2">
        <v>17165</v>
      </c>
      <c r="D66" s="2">
        <v>7552285</v>
      </c>
      <c r="E66" s="2">
        <v>80298</v>
      </c>
      <c r="F66" s="2">
        <v>24.9648</v>
      </c>
      <c r="G66" s="2">
        <v>0.20699999999999999</v>
      </c>
      <c r="H66" s="2">
        <v>24.558800000000002</v>
      </c>
      <c r="I66" s="2">
        <v>25.370799999999999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3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56">J67</f>
        <v>0</v>
      </c>
      <c r="P67">
        <f t="shared" ref="P67:P68" si="57">L67</f>
        <v>0</v>
      </c>
      <c r="Q67">
        <f t="shared" ref="Q67:Q68" si="58">M67</f>
        <v>0</v>
      </c>
      <c r="S67" t="str">
        <f t="shared" ref="S67:S68" si="59">TEXT(O67,"0.00")&amp;" ("&amp;TEXT(P67,"0.00")&amp;" to "&amp;TEXT(Q67,"0.00")&amp;")"</f>
        <v>0.00 (0.00 to 0.00)</v>
      </c>
    </row>
    <row r="68" spans="1:19" ht="17.25" thickBot="1" x14ac:dyDescent="0.35">
      <c r="A68" s="6"/>
      <c r="B68" s="13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56"/>
        <v>0</v>
      </c>
      <c r="P68">
        <f t="shared" si="57"/>
        <v>0</v>
      </c>
      <c r="Q68">
        <f t="shared" si="58"/>
        <v>0</v>
      </c>
      <c r="S68" t="str">
        <f t="shared" si="59"/>
        <v>0.00 (0.00 to 0.00)</v>
      </c>
    </row>
    <row r="69" spans="1:19" x14ac:dyDescent="0.3">
      <c r="A69" s="6"/>
      <c r="B69" s="16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17" t="s">
        <v>154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</row>
    <row r="72" spans="1:19" ht="33" customHeight="1" x14ac:dyDescent="0.3">
      <c r="A72" s="18" t="s">
        <v>23</v>
      </c>
      <c r="B72" s="20" t="s">
        <v>7</v>
      </c>
      <c r="C72" s="20" t="s">
        <v>125</v>
      </c>
      <c r="D72" s="3" t="s">
        <v>126</v>
      </c>
      <c r="E72" s="3" t="s">
        <v>127</v>
      </c>
      <c r="F72" s="20" t="s">
        <v>129</v>
      </c>
      <c r="G72" s="3" t="s">
        <v>127</v>
      </c>
      <c r="H72" s="20" t="s">
        <v>130</v>
      </c>
      <c r="I72" s="20"/>
      <c r="J72" s="3" t="s">
        <v>149</v>
      </c>
      <c r="K72" s="3" t="s">
        <v>127</v>
      </c>
      <c r="L72" s="20" t="s">
        <v>130</v>
      </c>
      <c r="M72" s="20"/>
    </row>
    <row r="73" spans="1:19" ht="33" x14ac:dyDescent="0.3">
      <c r="A73" s="18"/>
      <c r="B73" s="20"/>
      <c r="C73" s="20"/>
      <c r="D73" s="3" t="s">
        <v>125</v>
      </c>
      <c r="E73" s="3" t="s">
        <v>128</v>
      </c>
      <c r="F73" s="20"/>
      <c r="G73" s="3" t="s">
        <v>129</v>
      </c>
      <c r="H73" s="20" t="s">
        <v>131</v>
      </c>
      <c r="I73" s="20"/>
      <c r="J73" s="3" t="s">
        <v>129</v>
      </c>
      <c r="K73" s="3" t="s">
        <v>150</v>
      </c>
      <c r="L73" s="20" t="s">
        <v>151</v>
      </c>
      <c r="M73" s="20"/>
    </row>
    <row r="74" spans="1:19" ht="17.25" thickBot="1" x14ac:dyDescent="0.35">
      <c r="A74" s="6">
        <v>1</v>
      </c>
      <c r="B74" s="13">
        <v>1</v>
      </c>
      <c r="C74" s="2">
        <v>1329</v>
      </c>
      <c r="D74" s="2">
        <v>421126</v>
      </c>
      <c r="E74" s="2">
        <v>15624</v>
      </c>
      <c r="F74" s="2">
        <v>1.3920999999999999</v>
      </c>
      <c r="G74" s="2">
        <v>5.1400000000000001E-2</v>
      </c>
      <c r="H74" s="2">
        <v>1.2911999999999999</v>
      </c>
      <c r="I74" s="2">
        <v>1.4928999999999999</v>
      </c>
      <c r="J74" s="2">
        <v>5.3646000000000003</v>
      </c>
      <c r="K74" s="2">
        <v>0.1971</v>
      </c>
      <c r="L74" s="2">
        <v>4.9782000000000002</v>
      </c>
      <c r="M74" s="2">
        <v>5.7510000000000003</v>
      </c>
      <c r="O74">
        <f t="shared" ref="O74:O77" si="60">J74</f>
        <v>5.3646000000000003</v>
      </c>
      <c r="P74">
        <f t="shared" ref="P74:P77" si="61">L74</f>
        <v>4.9782000000000002</v>
      </c>
      <c r="Q74">
        <f t="shared" ref="Q74:Q77" si="62">M74</f>
        <v>5.7510000000000003</v>
      </c>
      <c r="S74" t="str">
        <f t="shared" ref="S74:S77" si="63">TEXT(O74,"0.00")&amp;" ("&amp;TEXT(P74,"0.00")&amp;" to "&amp;TEXT(Q74,"0.00")&amp;")"</f>
        <v>5.36 (4.98 to 5.75)</v>
      </c>
    </row>
    <row r="75" spans="1:19" ht="17.25" thickBot="1" x14ac:dyDescent="0.35">
      <c r="A75" s="6"/>
      <c r="B75" s="13">
        <v>2</v>
      </c>
      <c r="C75" s="2">
        <v>1316</v>
      </c>
      <c r="D75" s="2">
        <v>439318</v>
      </c>
      <c r="E75" s="2">
        <v>15065</v>
      </c>
      <c r="F75" s="2">
        <v>1.4521999999999999</v>
      </c>
      <c r="G75" s="2">
        <v>4.9799999999999997E-2</v>
      </c>
      <c r="H75" s="2">
        <v>1.3546</v>
      </c>
      <c r="I75" s="2">
        <v>1.5499000000000001</v>
      </c>
      <c r="J75" s="2">
        <v>5.5963000000000003</v>
      </c>
      <c r="K75" s="2">
        <v>0.18959999999999999</v>
      </c>
      <c r="L75" s="2">
        <v>5.2245999999999997</v>
      </c>
      <c r="M75" s="2">
        <v>5.968</v>
      </c>
      <c r="O75">
        <f t="shared" si="60"/>
        <v>5.5963000000000003</v>
      </c>
      <c r="P75">
        <f t="shared" si="61"/>
        <v>5.2245999999999997</v>
      </c>
      <c r="Q75">
        <f t="shared" si="62"/>
        <v>5.968</v>
      </c>
      <c r="S75" t="str">
        <f t="shared" si="63"/>
        <v>5.60 (5.22 to 5.97)</v>
      </c>
    </row>
    <row r="76" spans="1:19" ht="17.25" thickBot="1" x14ac:dyDescent="0.35">
      <c r="A76" s="6"/>
      <c r="B76" s="13">
        <v>3</v>
      </c>
      <c r="C76" s="2">
        <v>3850</v>
      </c>
      <c r="D76" s="2">
        <v>1725448</v>
      </c>
      <c r="E76" s="2">
        <v>36299</v>
      </c>
      <c r="F76" s="2">
        <v>5.7035999999999998</v>
      </c>
      <c r="G76" s="2">
        <v>0.1125</v>
      </c>
      <c r="H76" s="2">
        <v>5.4829999999999997</v>
      </c>
      <c r="I76" s="2">
        <v>5.9241999999999999</v>
      </c>
      <c r="J76" s="2">
        <v>21.979900000000001</v>
      </c>
      <c r="K76" s="2">
        <v>0.40629999999999999</v>
      </c>
      <c r="L76" s="2">
        <v>21.183199999999999</v>
      </c>
      <c r="M76" s="2">
        <v>22.776599999999998</v>
      </c>
      <c r="O76">
        <f t="shared" si="60"/>
        <v>21.979900000000001</v>
      </c>
      <c r="P76">
        <f t="shared" si="61"/>
        <v>21.183199999999999</v>
      </c>
      <c r="Q76">
        <f t="shared" si="62"/>
        <v>22.776599999999998</v>
      </c>
      <c r="S76" t="str">
        <f t="shared" si="63"/>
        <v>21.98 (21.18 to 22.78)</v>
      </c>
    </row>
    <row r="77" spans="1:19" ht="17.25" thickBot="1" x14ac:dyDescent="0.35">
      <c r="A77" s="6"/>
      <c r="B77" s="13">
        <v>4</v>
      </c>
      <c r="C77" s="2">
        <v>10704</v>
      </c>
      <c r="D77" s="2">
        <v>5264226</v>
      </c>
      <c r="E77" s="2">
        <v>77932</v>
      </c>
      <c r="F77" s="2">
        <v>17.401399999999999</v>
      </c>
      <c r="G77" s="2">
        <v>0.20449999999999999</v>
      </c>
      <c r="H77" s="2">
        <v>17.000399999999999</v>
      </c>
      <c r="I77" s="2">
        <v>17.802399999999999</v>
      </c>
      <c r="J77" s="2">
        <v>67.059200000000004</v>
      </c>
      <c r="K77" s="2">
        <v>0.47770000000000001</v>
      </c>
      <c r="L77" s="2">
        <v>66.122500000000002</v>
      </c>
      <c r="M77" s="2">
        <v>67.995800000000003</v>
      </c>
      <c r="O77">
        <f t="shared" si="60"/>
        <v>67.059200000000004</v>
      </c>
      <c r="P77">
        <f t="shared" si="61"/>
        <v>66.122500000000002</v>
      </c>
      <c r="Q77">
        <f t="shared" si="62"/>
        <v>67.995800000000003</v>
      </c>
      <c r="S77" t="str">
        <f t="shared" si="63"/>
        <v>67.06 (66.12 to 68.00)</v>
      </c>
    </row>
    <row r="78" spans="1:19" ht="17.25" thickBot="1" x14ac:dyDescent="0.35">
      <c r="A78" s="6"/>
      <c r="B78" s="13" t="s">
        <v>132</v>
      </c>
      <c r="C78" s="2">
        <v>17199</v>
      </c>
      <c r="D78" s="2">
        <v>7850118</v>
      </c>
      <c r="E78" s="2">
        <v>92267</v>
      </c>
      <c r="F78" s="2">
        <v>25.949300000000001</v>
      </c>
      <c r="G78" s="2">
        <v>0.21940000000000001</v>
      </c>
      <c r="H78" s="2">
        <v>25.519100000000002</v>
      </c>
      <c r="I78" s="2">
        <v>26.3795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3">
        <v>1</v>
      </c>
      <c r="C79" s="2">
        <v>2236</v>
      </c>
      <c r="D79" s="2">
        <v>645909</v>
      </c>
      <c r="E79" s="2">
        <v>17570</v>
      </c>
      <c r="F79" s="2">
        <v>2.1351</v>
      </c>
      <c r="G79" s="2">
        <v>5.9499999999999997E-2</v>
      </c>
      <c r="H79" s="2">
        <v>2.0184000000000002</v>
      </c>
      <c r="I79" s="2">
        <v>2.2517999999999998</v>
      </c>
      <c r="J79" s="2">
        <v>8.6623999999999999</v>
      </c>
      <c r="K79" s="2">
        <v>0.24279999999999999</v>
      </c>
      <c r="L79" s="2">
        <v>8.1862999999999992</v>
      </c>
      <c r="M79" s="2">
        <v>9.1385000000000005</v>
      </c>
      <c r="O79">
        <f t="shared" ref="O79:O82" si="64">J79</f>
        <v>8.6623999999999999</v>
      </c>
      <c r="P79">
        <f t="shared" ref="P79:P82" si="65">L79</f>
        <v>8.1862999999999992</v>
      </c>
      <c r="Q79">
        <f t="shared" ref="Q79:Q82" si="66">M79</f>
        <v>9.1385000000000005</v>
      </c>
      <c r="S79" t="str">
        <f t="shared" ref="S79:S82" si="67">TEXT(O79,"0.00")&amp;" ("&amp;TEXT(P79,"0.00")&amp;" to "&amp;TEXT(Q79,"0.00")&amp;")"</f>
        <v>8.66 (8.19 to 9.14)</v>
      </c>
    </row>
    <row r="80" spans="1:19" ht="17.25" thickBot="1" x14ac:dyDescent="0.35">
      <c r="A80" s="6"/>
      <c r="B80" s="13">
        <v>2</v>
      </c>
      <c r="C80" s="2">
        <v>1881</v>
      </c>
      <c r="D80" s="2">
        <v>614213</v>
      </c>
      <c r="E80" s="2">
        <v>18622</v>
      </c>
      <c r="F80" s="2">
        <v>2.0303</v>
      </c>
      <c r="G80" s="2">
        <v>6.13E-2</v>
      </c>
      <c r="H80" s="2">
        <v>1.9101999999999999</v>
      </c>
      <c r="I80" s="2">
        <v>2.1505000000000001</v>
      </c>
      <c r="J80" s="2">
        <v>8.2372999999999994</v>
      </c>
      <c r="K80" s="2">
        <v>0.24529999999999999</v>
      </c>
      <c r="L80" s="2">
        <v>7.7563000000000004</v>
      </c>
      <c r="M80" s="2">
        <v>8.7182999999999993</v>
      </c>
      <c r="O80">
        <f t="shared" si="64"/>
        <v>8.2372999999999994</v>
      </c>
      <c r="P80">
        <f t="shared" si="65"/>
        <v>7.7563000000000004</v>
      </c>
      <c r="Q80">
        <f t="shared" si="66"/>
        <v>8.7182999999999993</v>
      </c>
      <c r="S80" t="str">
        <f t="shared" si="67"/>
        <v>8.24 (7.76 to 8.72)</v>
      </c>
    </row>
    <row r="81" spans="1:19" ht="17.25" thickBot="1" x14ac:dyDescent="0.35">
      <c r="A81" s="6"/>
      <c r="B81" s="13">
        <v>3</v>
      </c>
      <c r="C81" s="2">
        <v>4488</v>
      </c>
      <c r="D81" s="2">
        <v>1986362</v>
      </c>
      <c r="E81" s="2">
        <v>38963</v>
      </c>
      <c r="F81" s="2">
        <v>6.5660999999999996</v>
      </c>
      <c r="G81" s="2">
        <v>0.1195</v>
      </c>
      <c r="H81" s="2">
        <v>6.3318000000000003</v>
      </c>
      <c r="I81" s="2">
        <v>6.8003999999999998</v>
      </c>
      <c r="J81" s="2">
        <v>26.639500000000002</v>
      </c>
      <c r="K81" s="2">
        <v>0.43509999999999999</v>
      </c>
      <c r="L81" s="2">
        <v>25.786300000000001</v>
      </c>
      <c r="M81" s="2">
        <v>27.492599999999999</v>
      </c>
      <c r="O81">
        <f t="shared" si="64"/>
        <v>26.639500000000002</v>
      </c>
      <c r="P81">
        <f t="shared" si="65"/>
        <v>25.786300000000001</v>
      </c>
      <c r="Q81">
        <f t="shared" si="66"/>
        <v>27.492599999999999</v>
      </c>
      <c r="S81" t="str">
        <f t="shared" si="67"/>
        <v>26.64 (25.79 to 27.49)</v>
      </c>
    </row>
    <row r="82" spans="1:19" ht="17.25" thickBot="1" x14ac:dyDescent="0.35">
      <c r="A82" s="6"/>
      <c r="B82" s="13">
        <v>4</v>
      </c>
      <c r="C82" s="2">
        <v>8494</v>
      </c>
      <c r="D82" s="2">
        <v>4209976</v>
      </c>
      <c r="E82" s="2">
        <v>67394</v>
      </c>
      <c r="F82" s="2">
        <v>13.916499999999999</v>
      </c>
      <c r="G82" s="2">
        <v>0.18099999999999999</v>
      </c>
      <c r="H82" s="2">
        <v>13.5616</v>
      </c>
      <c r="I82" s="2">
        <v>14.2713</v>
      </c>
      <c r="J82" s="2">
        <v>56.460799999999999</v>
      </c>
      <c r="K82" s="2">
        <v>0.52949999999999997</v>
      </c>
      <c r="L82" s="2">
        <v>55.422499999999999</v>
      </c>
      <c r="M82" s="2">
        <v>57.499099999999999</v>
      </c>
      <c r="O82">
        <f t="shared" si="64"/>
        <v>56.460799999999999</v>
      </c>
      <c r="P82">
        <f t="shared" si="65"/>
        <v>55.422499999999999</v>
      </c>
      <c r="Q82">
        <f t="shared" si="66"/>
        <v>57.499099999999999</v>
      </c>
      <c r="S82" t="str">
        <f t="shared" si="67"/>
        <v>56.46 (55.42 to 57.50)</v>
      </c>
    </row>
    <row r="83" spans="1:19" ht="17.25" thickBot="1" x14ac:dyDescent="0.35">
      <c r="A83" s="6"/>
      <c r="B83" s="13" t="s">
        <v>132</v>
      </c>
      <c r="C83" s="2">
        <v>17099</v>
      </c>
      <c r="D83" s="2">
        <v>7456460</v>
      </c>
      <c r="E83" s="2">
        <v>83424</v>
      </c>
      <c r="F83" s="2">
        <v>24.648</v>
      </c>
      <c r="G83" s="2">
        <v>0.19750000000000001</v>
      </c>
      <c r="H83" s="2">
        <v>24.2608</v>
      </c>
      <c r="I83" s="2">
        <v>25.0352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3">
        <v>1</v>
      </c>
      <c r="C84" s="2">
        <v>2840</v>
      </c>
      <c r="D84" s="2">
        <v>854391</v>
      </c>
      <c r="E84" s="2">
        <v>21489</v>
      </c>
      <c r="F84" s="2">
        <v>2.8243</v>
      </c>
      <c r="G84" s="2">
        <v>7.2499999999999995E-2</v>
      </c>
      <c r="H84" s="2">
        <v>2.6819999999999999</v>
      </c>
      <c r="I84" s="2">
        <v>2.9664999999999999</v>
      </c>
      <c r="J84" s="2">
        <v>11.556900000000001</v>
      </c>
      <c r="K84" s="2">
        <v>0.2868</v>
      </c>
      <c r="L84" s="2">
        <v>10.9946</v>
      </c>
      <c r="M84" s="2">
        <v>12.119300000000001</v>
      </c>
      <c r="O84">
        <f t="shared" ref="O84:O87" si="68">J84</f>
        <v>11.556900000000001</v>
      </c>
      <c r="P84">
        <f t="shared" ref="P84:P87" si="69">L84</f>
        <v>10.9946</v>
      </c>
      <c r="Q84">
        <f t="shared" ref="Q84:Q87" si="70">M84</f>
        <v>12.119300000000001</v>
      </c>
      <c r="S84" t="str">
        <f t="shared" ref="S84:S87" si="71">TEXT(O84,"0.00")&amp;" ("&amp;TEXT(P84,"0.00")&amp;" to "&amp;TEXT(Q84,"0.00")&amp;")"</f>
        <v>11.56 (10.99 to 12.12)</v>
      </c>
    </row>
    <row r="85" spans="1:19" ht="17.25" thickBot="1" x14ac:dyDescent="0.35">
      <c r="A85" s="6"/>
      <c r="B85" s="13">
        <v>2</v>
      </c>
      <c r="C85" s="2">
        <v>2326</v>
      </c>
      <c r="D85" s="2">
        <v>773321</v>
      </c>
      <c r="E85" s="2">
        <v>20696</v>
      </c>
      <c r="F85" s="2">
        <v>2.5562999999999998</v>
      </c>
      <c r="G85" s="2">
        <v>6.83E-2</v>
      </c>
      <c r="H85" s="2">
        <v>2.4222999999999999</v>
      </c>
      <c r="I85" s="2">
        <v>2.6903000000000001</v>
      </c>
      <c r="J85" s="2">
        <v>10.4603</v>
      </c>
      <c r="K85" s="2">
        <v>0.27029999999999998</v>
      </c>
      <c r="L85" s="2">
        <v>9.9303000000000008</v>
      </c>
      <c r="M85" s="2">
        <v>10.990399999999999</v>
      </c>
      <c r="O85">
        <f t="shared" si="68"/>
        <v>10.4603</v>
      </c>
      <c r="P85">
        <f t="shared" si="69"/>
        <v>9.9303000000000008</v>
      </c>
      <c r="Q85">
        <f t="shared" si="70"/>
        <v>10.990399999999999</v>
      </c>
      <c r="S85" t="str">
        <f t="shared" si="71"/>
        <v>10.46 (9.93 to 10.99)</v>
      </c>
    </row>
    <row r="86" spans="1:19" ht="17.25" thickBot="1" x14ac:dyDescent="0.35">
      <c r="A86" s="6"/>
      <c r="B86" s="13">
        <v>3</v>
      </c>
      <c r="C86" s="2">
        <v>4512</v>
      </c>
      <c r="D86" s="2">
        <v>2012934</v>
      </c>
      <c r="E86" s="2">
        <v>38849</v>
      </c>
      <c r="F86" s="2">
        <v>6.6539000000000001</v>
      </c>
      <c r="G86" s="2">
        <v>0.1187</v>
      </c>
      <c r="H86" s="2">
        <v>6.4211999999999998</v>
      </c>
      <c r="I86" s="2">
        <v>6.8867000000000003</v>
      </c>
      <c r="J86" s="2">
        <v>27.228000000000002</v>
      </c>
      <c r="K86" s="2">
        <v>0.43169999999999997</v>
      </c>
      <c r="L86" s="2">
        <v>26.381499999999999</v>
      </c>
      <c r="M86" s="2">
        <v>28.074400000000001</v>
      </c>
      <c r="O86">
        <f t="shared" si="68"/>
        <v>27.228000000000002</v>
      </c>
      <c r="P86">
        <f t="shared" si="69"/>
        <v>26.381499999999999</v>
      </c>
      <c r="Q86">
        <f t="shared" si="70"/>
        <v>28.074400000000001</v>
      </c>
      <c r="S86" t="str">
        <f t="shared" si="71"/>
        <v>27.23 (26.38 to 28.07)</v>
      </c>
    </row>
    <row r="87" spans="1:19" ht="17.25" thickBot="1" x14ac:dyDescent="0.35">
      <c r="A87" s="6"/>
      <c r="B87" s="13">
        <v>4</v>
      </c>
      <c r="C87" s="2">
        <v>7493</v>
      </c>
      <c r="D87" s="2">
        <v>3752247</v>
      </c>
      <c r="E87" s="2">
        <v>62498</v>
      </c>
      <c r="F87" s="2">
        <v>12.4034</v>
      </c>
      <c r="G87" s="2">
        <v>0.17069999999999999</v>
      </c>
      <c r="H87" s="2">
        <v>12.0687</v>
      </c>
      <c r="I87" s="2">
        <v>12.738099999999999</v>
      </c>
      <c r="J87" s="2">
        <v>50.754800000000003</v>
      </c>
      <c r="K87" s="2">
        <v>0.55089999999999995</v>
      </c>
      <c r="L87" s="2">
        <v>49.674700000000001</v>
      </c>
      <c r="M87" s="2">
        <v>51.834899999999998</v>
      </c>
      <c r="O87">
        <f t="shared" si="68"/>
        <v>50.754800000000003</v>
      </c>
      <c r="P87">
        <f t="shared" si="69"/>
        <v>49.674700000000001</v>
      </c>
      <c r="Q87">
        <f t="shared" si="70"/>
        <v>51.834899999999998</v>
      </c>
      <c r="S87" t="str">
        <f t="shared" si="71"/>
        <v>50.75 (49.67 to 51.83)</v>
      </c>
    </row>
    <row r="88" spans="1:19" ht="17.25" thickBot="1" x14ac:dyDescent="0.35">
      <c r="A88" s="6"/>
      <c r="B88" s="13" t="s">
        <v>132</v>
      </c>
      <c r="C88" s="2">
        <v>17171</v>
      </c>
      <c r="D88" s="2">
        <v>7392893</v>
      </c>
      <c r="E88" s="2">
        <v>81319</v>
      </c>
      <c r="F88" s="2">
        <v>24.437899999999999</v>
      </c>
      <c r="G88" s="2">
        <v>0.1963</v>
      </c>
      <c r="H88" s="2">
        <v>24.053000000000001</v>
      </c>
      <c r="I88" s="2">
        <v>24.822800000000001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3">
        <v>1</v>
      </c>
      <c r="C89" s="2">
        <v>2794</v>
      </c>
      <c r="D89" s="2">
        <v>857282</v>
      </c>
      <c r="E89" s="2">
        <v>22242</v>
      </c>
      <c r="F89" s="2">
        <v>2.8338000000000001</v>
      </c>
      <c r="G89" s="2">
        <v>7.51E-2</v>
      </c>
      <c r="H89" s="2">
        <v>2.6865999999999999</v>
      </c>
      <c r="I89" s="2">
        <v>2.9811000000000001</v>
      </c>
      <c r="J89" s="2">
        <v>11.3513</v>
      </c>
      <c r="K89" s="2">
        <v>0.28260000000000002</v>
      </c>
      <c r="L89" s="2">
        <v>10.7972</v>
      </c>
      <c r="M89" s="2">
        <v>11.9054</v>
      </c>
      <c r="O89">
        <f t="shared" ref="O89:O92" si="72">J89</f>
        <v>11.3513</v>
      </c>
      <c r="P89">
        <f t="shared" ref="P89:P92" si="73">L89</f>
        <v>10.7972</v>
      </c>
      <c r="Q89">
        <f t="shared" ref="Q89:Q92" si="74">M89</f>
        <v>11.9054</v>
      </c>
      <c r="S89" t="str">
        <f t="shared" ref="S89:S92" si="75">TEXT(O89,"0.00")&amp;" ("&amp;TEXT(P89,"0.00")&amp;" to "&amp;TEXT(Q89,"0.00")&amp;")"</f>
        <v>11.35 (10.80 to 11.91)</v>
      </c>
    </row>
    <row r="90" spans="1:19" ht="17.25" thickBot="1" x14ac:dyDescent="0.35">
      <c r="A90" s="6"/>
      <c r="B90" s="13">
        <v>2</v>
      </c>
      <c r="C90" s="2">
        <v>2413</v>
      </c>
      <c r="D90" s="2">
        <v>855474</v>
      </c>
      <c r="E90" s="2">
        <v>22308</v>
      </c>
      <c r="F90" s="2">
        <v>2.8277999999999999</v>
      </c>
      <c r="G90" s="2">
        <v>7.4099999999999999E-2</v>
      </c>
      <c r="H90" s="2">
        <v>2.6825999999999999</v>
      </c>
      <c r="I90" s="2">
        <v>2.9731000000000001</v>
      </c>
      <c r="J90" s="2">
        <v>11.327299999999999</v>
      </c>
      <c r="K90" s="2">
        <v>0.28239999999999998</v>
      </c>
      <c r="L90" s="2">
        <v>10.7737</v>
      </c>
      <c r="M90" s="2">
        <v>11.881</v>
      </c>
      <c r="O90">
        <f t="shared" si="72"/>
        <v>11.327299999999999</v>
      </c>
      <c r="P90">
        <f t="shared" si="73"/>
        <v>10.7737</v>
      </c>
      <c r="Q90">
        <f t="shared" si="74"/>
        <v>11.881</v>
      </c>
      <c r="S90" t="str">
        <f t="shared" si="75"/>
        <v>11.33 (10.77 to 11.88)</v>
      </c>
    </row>
    <row r="91" spans="1:19" ht="17.25" thickBot="1" x14ac:dyDescent="0.35">
      <c r="A91" s="6"/>
      <c r="B91" s="13">
        <v>3</v>
      </c>
      <c r="C91" s="2">
        <v>4908</v>
      </c>
      <c r="D91" s="2">
        <v>2263051</v>
      </c>
      <c r="E91" s="2">
        <v>41695</v>
      </c>
      <c r="F91" s="2">
        <v>7.4806999999999997</v>
      </c>
      <c r="G91" s="2">
        <v>0.13039999999999999</v>
      </c>
      <c r="H91" s="2">
        <v>7.2249999999999996</v>
      </c>
      <c r="I91" s="2">
        <v>7.7365000000000004</v>
      </c>
      <c r="J91" s="2">
        <v>29.9651</v>
      </c>
      <c r="K91" s="2">
        <v>0.43830000000000002</v>
      </c>
      <c r="L91" s="2">
        <v>29.105699999999999</v>
      </c>
      <c r="M91" s="2">
        <v>30.8245</v>
      </c>
      <c r="O91">
        <f t="shared" si="72"/>
        <v>29.9651</v>
      </c>
      <c r="P91">
        <f t="shared" si="73"/>
        <v>29.105699999999999</v>
      </c>
      <c r="Q91">
        <f t="shared" si="74"/>
        <v>30.8245</v>
      </c>
      <c r="S91" t="str">
        <f t="shared" si="75"/>
        <v>29.97 (29.11 to 30.82)</v>
      </c>
    </row>
    <row r="92" spans="1:19" ht="17.25" thickBot="1" x14ac:dyDescent="0.35">
      <c r="A92" s="6"/>
      <c r="B92" s="13">
        <v>4</v>
      </c>
      <c r="C92" s="2">
        <v>7050</v>
      </c>
      <c r="D92" s="2">
        <v>3576478</v>
      </c>
      <c r="E92" s="2">
        <v>57833</v>
      </c>
      <c r="F92" s="2">
        <v>11.8224</v>
      </c>
      <c r="G92" s="2">
        <v>0.1595</v>
      </c>
      <c r="H92" s="2">
        <v>11.509600000000001</v>
      </c>
      <c r="I92" s="2">
        <v>12.1351</v>
      </c>
      <c r="J92" s="2">
        <v>47.356200000000001</v>
      </c>
      <c r="K92" s="2">
        <v>0.53790000000000004</v>
      </c>
      <c r="L92" s="2">
        <v>46.301600000000001</v>
      </c>
      <c r="M92" s="2">
        <v>48.410899999999998</v>
      </c>
      <c r="O92">
        <f t="shared" si="72"/>
        <v>47.356200000000001</v>
      </c>
      <c r="P92">
        <f t="shared" si="73"/>
        <v>46.301600000000001</v>
      </c>
      <c r="Q92">
        <f t="shared" si="74"/>
        <v>48.410899999999998</v>
      </c>
      <c r="S92" t="str">
        <f t="shared" si="75"/>
        <v>47.36 (46.30 to 48.41)</v>
      </c>
    </row>
    <row r="93" spans="1:19" ht="17.25" thickBot="1" x14ac:dyDescent="0.35">
      <c r="A93" s="6"/>
      <c r="B93" s="13" t="s">
        <v>132</v>
      </c>
      <c r="C93" s="2">
        <v>17165</v>
      </c>
      <c r="D93" s="2">
        <v>7552285</v>
      </c>
      <c r="E93" s="2">
        <v>80298</v>
      </c>
      <c r="F93" s="2">
        <v>24.9648</v>
      </c>
      <c r="G93" s="2">
        <v>0.20699999999999999</v>
      </c>
      <c r="H93" s="2">
        <v>24.558800000000002</v>
      </c>
      <c r="I93" s="2">
        <v>25.370799999999999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3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76">J94</f>
        <v>0</v>
      </c>
      <c r="P94">
        <f t="shared" ref="P94:P97" si="77">L94</f>
        <v>0</v>
      </c>
      <c r="Q94">
        <f t="shared" ref="Q94:Q97" si="78">M94</f>
        <v>0</v>
      </c>
      <c r="S94" t="str">
        <f t="shared" ref="S94:S97" si="79">TEXT(O94,"0.00")&amp;" ("&amp;TEXT(P94,"0.00")&amp;" to "&amp;TEXT(Q94,"0.00")&amp;")"</f>
        <v>0.00 (0.00 to 0.00)</v>
      </c>
    </row>
    <row r="95" spans="1:19" ht="17.25" thickBot="1" x14ac:dyDescent="0.35">
      <c r="A95" s="6"/>
      <c r="B95" s="13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76"/>
        <v>0</v>
      </c>
      <c r="P95">
        <f t="shared" si="77"/>
        <v>0</v>
      </c>
      <c r="Q95">
        <f t="shared" si="78"/>
        <v>0</v>
      </c>
      <c r="S95" t="str">
        <f t="shared" si="79"/>
        <v>0.00 (0.00 to 0.00)</v>
      </c>
    </row>
    <row r="96" spans="1:19" ht="17.25" thickBot="1" x14ac:dyDescent="0.35">
      <c r="A96" s="6"/>
      <c r="B96" s="13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76"/>
        <v>0</v>
      </c>
      <c r="P96">
        <f t="shared" si="77"/>
        <v>0</v>
      </c>
      <c r="Q96">
        <f t="shared" si="78"/>
        <v>0</v>
      </c>
      <c r="S96" t="str">
        <f t="shared" si="79"/>
        <v>0.00 (0.00 to 0.00)</v>
      </c>
    </row>
    <row r="97" spans="1:19" ht="17.25" thickBot="1" x14ac:dyDescent="0.35">
      <c r="A97" s="6"/>
      <c r="B97" s="13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76"/>
        <v>0</v>
      </c>
      <c r="P97">
        <f t="shared" si="77"/>
        <v>0</v>
      </c>
      <c r="Q97">
        <f t="shared" si="78"/>
        <v>0</v>
      </c>
      <c r="S97" t="str">
        <f t="shared" si="79"/>
        <v>0.00 (0.00 to 0.00)</v>
      </c>
    </row>
    <row r="98" spans="1:19" x14ac:dyDescent="0.3">
      <c r="A98" s="6"/>
      <c r="B98" s="16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17" t="s">
        <v>155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</row>
    <row r="101" spans="1:19" ht="33" customHeight="1" x14ac:dyDescent="0.3">
      <c r="A101" s="18" t="s">
        <v>23</v>
      </c>
      <c r="B101" s="20" t="s">
        <v>8</v>
      </c>
      <c r="C101" s="20" t="s">
        <v>125</v>
      </c>
      <c r="D101" s="3" t="s">
        <v>126</v>
      </c>
      <c r="E101" s="3" t="s">
        <v>127</v>
      </c>
      <c r="F101" s="20" t="s">
        <v>129</v>
      </c>
      <c r="G101" s="3" t="s">
        <v>127</v>
      </c>
      <c r="H101" s="20" t="s">
        <v>130</v>
      </c>
      <c r="I101" s="20"/>
      <c r="J101" s="3" t="s">
        <v>149</v>
      </c>
      <c r="K101" s="3" t="s">
        <v>127</v>
      </c>
      <c r="L101" s="20" t="s">
        <v>130</v>
      </c>
      <c r="M101" s="20"/>
    </row>
    <row r="102" spans="1:19" ht="33" x14ac:dyDescent="0.3">
      <c r="A102" s="18"/>
      <c r="B102" s="20"/>
      <c r="C102" s="20"/>
      <c r="D102" s="3" t="s">
        <v>125</v>
      </c>
      <c r="E102" s="3" t="s">
        <v>128</v>
      </c>
      <c r="F102" s="20"/>
      <c r="G102" s="3" t="s">
        <v>129</v>
      </c>
      <c r="H102" s="20" t="s">
        <v>131</v>
      </c>
      <c r="I102" s="20"/>
      <c r="J102" s="3" t="s">
        <v>129</v>
      </c>
      <c r="K102" s="3" t="s">
        <v>150</v>
      </c>
      <c r="L102" s="20" t="s">
        <v>151</v>
      </c>
      <c r="M102" s="20"/>
    </row>
    <row r="103" spans="1:19" ht="17.25" thickBot="1" x14ac:dyDescent="0.35">
      <c r="A103" s="6">
        <v>1</v>
      </c>
      <c r="B103" s="13">
        <v>1</v>
      </c>
      <c r="C103" s="2">
        <v>2049</v>
      </c>
      <c r="D103" s="2">
        <v>804434</v>
      </c>
      <c r="E103" s="2">
        <v>26638</v>
      </c>
      <c r="F103" s="2">
        <v>2.6591</v>
      </c>
      <c r="G103" s="2">
        <v>8.8099999999999998E-2</v>
      </c>
      <c r="H103" s="2">
        <v>2.4864000000000002</v>
      </c>
      <c r="I103" s="2">
        <v>2.8319000000000001</v>
      </c>
      <c r="J103" s="2">
        <v>10.247400000000001</v>
      </c>
      <c r="K103" s="2">
        <v>0.3281</v>
      </c>
      <c r="L103" s="2">
        <v>9.6041000000000007</v>
      </c>
      <c r="M103" s="2">
        <v>10.890700000000001</v>
      </c>
      <c r="O103">
        <f t="shared" ref="O103:O106" si="80">J103</f>
        <v>10.247400000000001</v>
      </c>
      <c r="P103">
        <f t="shared" ref="P103:P106" si="81">L103</f>
        <v>9.6041000000000007</v>
      </c>
      <c r="Q103">
        <f t="shared" ref="Q103:Q106" si="82">M103</f>
        <v>10.890700000000001</v>
      </c>
      <c r="S103" t="str">
        <f t="shared" ref="S103:S106" si="83">TEXT(O103,"0.00")&amp;" ("&amp;TEXT(P103,"0.00")&amp;" to "&amp;TEXT(Q103,"0.00")&amp;")"</f>
        <v>10.25 (9.60 to 10.89)</v>
      </c>
    </row>
    <row r="104" spans="1:19" ht="17.25" thickBot="1" x14ac:dyDescent="0.35">
      <c r="A104" s="6"/>
      <c r="B104" s="13">
        <v>2</v>
      </c>
      <c r="C104" s="2">
        <v>3997</v>
      </c>
      <c r="D104" s="2">
        <v>1805775</v>
      </c>
      <c r="E104" s="2">
        <v>39599</v>
      </c>
      <c r="F104" s="2">
        <v>5.9691999999999998</v>
      </c>
      <c r="G104" s="2">
        <v>0.12479999999999999</v>
      </c>
      <c r="H104" s="2">
        <v>5.7244000000000002</v>
      </c>
      <c r="I104" s="2">
        <v>6.2138999999999998</v>
      </c>
      <c r="J104" s="2">
        <v>23.0032</v>
      </c>
      <c r="K104" s="2">
        <v>0.44719999999999999</v>
      </c>
      <c r="L104" s="2">
        <v>22.126300000000001</v>
      </c>
      <c r="M104" s="2">
        <v>23.88</v>
      </c>
      <c r="O104">
        <f t="shared" si="80"/>
        <v>23.0032</v>
      </c>
      <c r="P104">
        <f t="shared" si="81"/>
        <v>22.126300000000001</v>
      </c>
      <c r="Q104">
        <f t="shared" si="82"/>
        <v>23.88</v>
      </c>
      <c r="S104" t="str">
        <f t="shared" si="83"/>
        <v>23.00 (22.13 to 23.88)</v>
      </c>
    </row>
    <row r="105" spans="1:19" ht="17.25" thickBot="1" x14ac:dyDescent="0.35">
      <c r="A105" s="6"/>
      <c r="B105" s="13">
        <v>3</v>
      </c>
      <c r="C105" s="2">
        <v>5204</v>
      </c>
      <c r="D105" s="2">
        <v>2443023</v>
      </c>
      <c r="E105" s="2">
        <v>48020</v>
      </c>
      <c r="F105" s="2">
        <v>8.0755999999999997</v>
      </c>
      <c r="G105" s="2">
        <v>0.14199999999999999</v>
      </c>
      <c r="H105" s="2">
        <v>7.7972000000000001</v>
      </c>
      <c r="I105" s="2">
        <v>8.3541000000000007</v>
      </c>
      <c r="J105" s="2">
        <v>31.120799999999999</v>
      </c>
      <c r="K105" s="2">
        <v>0.48549999999999999</v>
      </c>
      <c r="L105" s="2">
        <v>30.168900000000001</v>
      </c>
      <c r="M105" s="2">
        <v>32.072800000000001</v>
      </c>
      <c r="O105">
        <f t="shared" si="80"/>
        <v>31.120799999999999</v>
      </c>
      <c r="P105">
        <f t="shared" si="81"/>
        <v>30.168900000000001</v>
      </c>
      <c r="Q105">
        <f t="shared" si="82"/>
        <v>32.072800000000001</v>
      </c>
      <c r="S105" t="str">
        <f t="shared" si="83"/>
        <v>31.12 (30.17 to 32.07)</v>
      </c>
    </row>
    <row r="106" spans="1:19" ht="17.25" thickBot="1" x14ac:dyDescent="0.35">
      <c r="A106" s="6"/>
      <c r="B106" s="13">
        <v>4</v>
      </c>
      <c r="C106" s="2">
        <v>5949</v>
      </c>
      <c r="D106" s="2">
        <v>2796886</v>
      </c>
      <c r="E106" s="2">
        <v>59400</v>
      </c>
      <c r="F106" s="2">
        <v>9.2454000000000001</v>
      </c>
      <c r="G106" s="2">
        <v>0.17519999999999999</v>
      </c>
      <c r="H106" s="2">
        <v>8.9017999999999997</v>
      </c>
      <c r="I106" s="2">
        <v>9.5890000000000004</v>
      </c>
      <c r="J106" s="2">
        <v>35.628599999999999</v>
      </c>
      <c r="K106" s="2">
        <v>0.59109999999999996</v>
      </c>
      <c r="L106" s="2">
        <v>34.469499999999996</v>
      </c>
      <c r="M106" s="2">
        <v>36.787700000000001</v>
      </c>
      <c r="O106">
        <f t="shared" si="80"/>
        <v>35.628599999999999</v>
      </c>
      <c r="P106">
        <f t="shared" si="81"/>
        <v>34.469499999999996</v>
      </c>
      <c r="Q106">
        <f t="shared" si="82"/>
        <v>36.787700000000001</v>
      </c>
      <c r="S106" t="str">
        <f t="shared" si="83"/>
        <v>35.63 (34.47 to 36.79)</v>
      </c>
    </row>
    <row r="107" spans="1:19" ht="17.25" thickBot="1" x14ac:dyDescent="0.35">
      <c r="A107" s="6"/>
      <c r="B107" s="13" t="s">
        <v>132</v>
      </c>
      <c r="C107" s="2">
        <v>17199</v>
      </c>
      <c r="D107" s="2">
        <v>7850118</v>
      </c>
      <c r="E107" s="2">
        <v>92267</v>
      </c>
      <c r="F107" s="2">
        <v>25.949300000000001</v>
      </c>
      <c r="G107" s="2">
        <v>0.21940000000000001</v>
      </c>
      <c r="H107" s="2">
        <v>25.519100000000002</v>
      </c>
      <c r="I107" s="2">
        <v>26.3795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3">
        <v>1</v>
      </c>
      <c r="C108" s="2">
        <v>2776</v>
      </c>
      <c r="D108" s="2">
        <v>988361</v>
      </c>
      <c r="E108" s="2">
        <v>26120</v>
      </c>
      <c r="F108" s="2">
        <v>3.2671000000000001</v>
      </c>
      <c r="G108" s="2">
        <v>8.72E-2</v>
      </c>
      <c r="H108" s="2">
        <v>3.0960999999999999</v>
      </c>
      <c r="I108" s="2">
        <v>3.4380999999999999</v>
      </c>
      <c r="J108" s="2">
        <v>13.255100000000001</v>
      </c>
      <c r="K108" s="2">
        <v>0.34599999999999997</v>
      </c>
      <c r="L108" s="2">
        <v>12.576700000000001</v>
      </c>
      <c r="M108" s="2">
        <v>13.9335</v>
      </c>
      <c r="O108">
        <f t="shared" ref="O108:O111" si="84">J108</f>
        <v>13.255100000000001</v>
      </c>
      <c r="P108">
        <f t="shared" ref="P108:P111" si="85">L108</f>
        <v>12.576700000000001</v>
      </c>
      <c r="Q108">
        <f t="shared" ref="Q108:Q111" si="86">M108</f>
        <v>13.9335</v>
      </c>
      <c r="S108" t="str">
        <f t="shared" ref="S108:S111" si="87">TEXT(O108,"0.00")&amp;" ("&amp;TEXT(P108,"0.00")&amp;" to "&amp;TEXT(Q108,"0.00")&amp;")"</f>
        <v>13.26 (12.58 to 13.93)</v>
      </c>
    </row>
    <row r="109" spans="1:19" ht="17.25" thickBot="1" x14ac:dyDescent="0.35">
      <c r="A109" s="6"/>
      <c r="B109" s="13">
        <v>2</v>
      </c>
      <c r="C109" s="2">
        <v>4196</v>
      </c>
      <c r="D109" s="2">
        <v>1795646</v>
      </c>
      <c r="E109" s="2">
        <v>38853</v>
      </c>
      <c r="F109" s="2">
        <v>5.9356999999999998</v>
      </c>
      <c r="G109" s="2">
        <v>0.1225</v>
      </c>
      <c r="H109" s="2">
        <v>5.6955</v>
      </c>
      <c r="I109" s="2">
        <v>6.1759000000000004</v>
      </c>
      <c r="J109" s="2">
        <v>24.081700000000001</v>
      </c>
      <c r="K109" s="2">
        <v>0.46629999999999999</v>
      </c>
      <c r="L109" s="2">
        <v>23.1675</v>
      </c>
      <c r="M109" s="2">
        <v>24.995999999999999</v>
      </c>
      <c r="O109">
        <f t="shared" si="84"/>
        <v>24.081700000000001</v>
      </c>
      <c r="P109">
        <f t="shared" si="85"/>
        <v>23.1675</v>
      </c>
      <c r="Q109">
        <f t="shared" si="86"/>
        <v>24.995999999999999</v>
      </c>
      <c r="S109" t="str">
        <f t="shared" si="87"/>
        <v>24.08 (23.17 to 25.00)</v>
      </c>
    </row>
    <row r="110" spans="1:19" ht="17.25" thickBot="1" x14ac:dyDescent="0.35">
      <c r="A110" s="6"/>
      <c r="B110" s="13">
        <v>3</v>
      </c>
      <c r="C110" s="2">
        <v>4927</v>
      </c>
      <c r="D110" s="2">
        <v>2287093</v>
      </c>
      <c r="E110" s="2">
        <v>44363</v>
      </c>
      <c r="F110" s="2">
        <v>7.5602</v>
      </c>
      <c r="G110" s="2">
        <v>0.13170000000000001</v>
      </c>
      <c r="H110" s="2">
        <v>7.3019999999999996</v>
      </c>
      <c r="I110" s="2">
        <v>7.8183999999999996</v>
      </c>
      <c r="J110" s="2">
        <v>30.672599999999999</v>
      </c>
      <c r="K110" s="2">
        <v>0.47360000000000002</v>
      </c>
      <c r="L110" s="2">
        <v>29.744</v>
      </c>
      <c r="M110" s="2">
        <v>31.601299999999998</v>
      </c>
      <c r="O110">
        <f t="shared" si="84"/>
        <v>30.672599999999999</v>
      </c>
      <c r="P110">
        <f t="shared" si="85"/>
        <v>29.744</v>
      </c>
      <c r="Q110">
        <f t="shared" si="86"/>
        <v>31.601299999999998</v>
      </c>
      <c r="S110" t="str">
        <f t="shared" si="87"/>
        <v>30.67 (29.74 to 31.60)</v>
      </c>
    </row>
    <row r="111" spans="1:19" ht="17.25" thickBot="1" x14ac:dyDescent="0.35">
      <c r="A111" s="6"/>
      <c r="B111" s="13">
        <v>4</v>
      </c>
      <c r="C111" s="2">
        <v>5200</v>
      </c>
      <c r="D111" s="2">
        <v>2385360</v>
      </c>
      <c r="E111" s="2">
        <v>52627</v>
      </c>
      <c r="F111" s="2">
        <v>7.8849999999999998</v>
      </c>
      <c r="G111" s="2">
        <v>0.15609999999999999</v>
      </c>
      <c r="H111" s="2">
        <v>7.5789999999999997</v>
      </c>
      <c r="I111" s="2">
        <v>8.1911000000000005</v>
      </c>
      <c r="J111" s="2">
        <v>31.990500000000001</v>
      </c>
      <c r="K111" s="2">
        <v>0.55859999999999999</v>
      </c>
      <c r="L111" s="2">
        <v>30.895199999999999</v>
      </c>
      <c r="M111" s="2">
        <v>33.085799999999999</v>
      </c>
      <c r="O111">
        <f t="shared" si="84"/>
        <v>31.990500000000001</v>
      </c>
      <c r="P111">
        <f t="shared" si="85"/>
        <v>30.895199999999999</v>
      </c>
      <c r="Q111">
        <f t="shared" si="86"/>
        <v>33.085799999999999</v>
      </c>
      <c r="S111" t="str">
        <f t="shared" si="87"/>
        <v>31.99 (30.90 to 33.09)</v>
      </c>
    </row>
    <row r="112" spans="1:19" ht="17.25" thickBot="1" x14ac:dyDescent="0.35">
      <c r="A112" s="6"/>
      <c r="B112" s="13" t="s">
        <v>132</v>
      </c>
      <c r="C112" s="2">
        <v>17099</v>
      </c>
      <c r="D112" s="2">
        <v>7456460</v>
      </c>
      <c r="E112" s="2">
        <v>83424</v>
      </c>
      <c r="F112" s="2">
        <v>24.648</v>
      </c>
      <c r="G112" s="2">
        <v>0.19750000000000001</v>
      </c>
      <c r="H112" s="2">
        <v>24.2608</v>
      </c>
      <c r="I112" s="2">
        <v>25.0352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3">
        <v>1</v>
      </c>
      <c r="C113" s="2">
        <v>3173</v>
      </c>
      <c r="D113" s="2">
        <v>1049228</v>
      </c>
      <c r="E113" s="2">
        <v>25435</v>
      </c>
      <c r="F113" s="2">
        <v>3.4683000000000002</v>
      </c>
      <c r="G113" s="2">
        <v>8.5800000000000001E-2</v>
      </c>
      <c r="H113" s="2">
        <v>3.3001999999999998</v>
      </c>
      <c r="I113" s="2">
        <v>3.6364999999999998</v>
      </c>
      <c r="J113" s="2">
        <v>14.192399999999999</v>
      </c>
      <c r="K113" s="2">
        <v>0.33960000000000001</v>
      </c>
      <c r="L113" s="2">
        <v>13.526400000000001</v>
      </c>
      <c r="M113" s="2">
        <v>14.8584</v>
      </c>
      <c r="O113">
        <f t="shared" ref="O113:O116" si="88">J113</f>
        <v>14.192399999999999</v>
      </c>
      <c r="P113">
        <f t="shared" ref="P113:P116" si="89">L113</f>
        <v>13.526400000000001</v>
      </c>
      <c r="Q113">
        <f t="shared" ref="Q113:Q116" si="90">M113</f>
        <v>14.8584</v>
      </c>
      <c r="S113" t="str">
        <f t="shared" ref="S113:S116" si="91">TEXT(O113,"0.00")&amp;" ("&amp;TEXT(P113,"0.00")&amp;" to "&amp;TEXT(Q113,"0.00")&amp;")"</f>
        <v>14.19 (13.53 to 14.86)</v>
      </c>
    </row>
    <row r="114" spans="1:19" ht="17.25" thickBot="1" x14ac:dyDescent="0.35">
      <c r="A114" s="6"/>
      <c r="B114" s="13">
        <v>2</v>
      </c>
      <c r="C114" s="2">
        <v>4306</v>
      </c>
      <c r="D114" s="2">
        <v>1807979</v>
      </c>
      <c r="E114" s="2">
        <v>36902</v>
      </c>
      <c r="F114" s="2">
        <v>5.9763999999999999</v>
      </c>
      <c r="G114" s="2">
        <v>0.1186</v>
      </c>
      <c r="H114" s="2">
        <v>5.7438000000000002</v>
      </c>
      <c r="I114" s="2">
        <v>6.2089999999999996</v>
      </c>
      <c r="J114" s="2">
        <v>24.4556</v>
      </c>
      <c r="K114" s="2">
        <v>0.44790000000000002</v>
      </c>
      <c r="L114" s="2">
        <v>23.577300000000001</v>
      </c>
      <c r="M114" s="2">
        <v>25.334</v>
      </c>
      <c r="O114">
        <f t="shared" si="88"/>
        <v>24.4556</v>
      </c>
      <c r="P114">
        <f t="shared" si="89"/>
        <v>23.577300000000001</v>
      </c>
      <c r="Q114">
        <f t="shared" si="90"/>
        <v>25.334</v>
      </c>
      <c r="S114" t="str">
        <f t="shared" si="91"/>
        <v>24.46 (23.58 to 25.33)</v>
      </c>
    </row>
    <row r="115" spans="1:19" ht="17.25" thickBot="1" x14ac:dyDescent="0.35">
      <c r="A115" s="6"/>
      <c r="B115" s="13">
        <v>3</v>
      </c>
      <c r="C115" s="2">
        <v>4741</v>
      </c>
      <c r="D115" s="2">
        <v>2201960</v>
      </c>
      <c r="E115" s="2">
        <v>44758</v>
      </c>
      <c r="F115" s="2">
        <v>7.2788000000000004</v>
      </c>
      <c r="G115" s="2">
        <v>0.1336</v>
      </c>
      <c r="H115" s="2">
        <v>7.0167999999999999</v>
      </c>
      <c r="I115" s="2">
        <v>7.5407999999999999</v>
      </c>
      <c r="J115" s="2">
        <v>29.784800000000001</v>
      </c>
      <c r="K115" s="2">
        <v>0.47799999999999998</v>
      </c>
      <c r="L115" s="2">
        <v>28.8476</v>
      </c>
      <c r="M115" s="2">
        <v>30.722000000000001</v>
      </c>
      <c r="O115">
        <f t="shared" si="88"/>
        <v>29.784800000000001</v>
      </c>
      <c r="P115">
        <f t="shared" si="89"/>
        <v>28.8476</v>
      </c>
      <c r="Q115">
        <f t="shared" si="90"/>
        <v>30.722000000000001</v>
      </c>
      <c r="S115" t="str">
        <f t="shared" si="91"/>
        <v>29.78 (28.85 to 30.72)</v>
      </c>
    </row>
    <row r="116" spans="1:19" ht="17.25" thickBot="1" x14ac:dyDescent="0.35">
      <c r="A116" s="6"/>
      <c r="B116" s="13">
        <v>4</v>
      </c>
      <c r="C116" s="2">
        <v>4951</v>
      </c>
      <c r="D116" s="2">
        <v>2333727</v>
      </c>
      <c r="E116" s="2">
        <v>51413</v>
      </c>
      <c r="F116" s="2">
        <v>7.7144000000000004</v>
      </c>
      <c r="G116" s="2">
        <v>0.15140000000000001</v>
      </c>
      <c r="H116" s="2">
        <v>7.4175000000000004</v>
      </c>
      <c r="I116" s="2">
        <v>8.0112000000000005</v>
      </c>
      <c r="J116" s="2">
        <v>31.5672</v>
      </c>
      <c r="K116" s="2">
        <v>0.56330000000000002</v>
      </c>
      <c r="L116" s="2">
        <v>30.462599999999998</v>
      </c>
      <c r="M116" s="2">
        <v>32.671700000000001</v>
      </c>
      <c r="O116">
        <f t="shared" si="88"/>
        <v>31.5672</v>
      </c>
      <c r="P116">
        <f t="shared" si="89"/>
        <v>30.462599999999998</v>
      </c>
      <c r="Q116">
        <f t="shared" si="90"/>
        <v>32.671700000000001</v>
      </c>
      <c r="S116" t="str">
        <f t="shared" si="91"/>
        <v>31.57 (30.46 to 32.67)</v>
      </c>
    </row>
    <row r="117" spans="1:19" ht="17.25" thickBot="1" x14ac:dyDescent="0.35">
      <c r="A117" s="6"/>
      <c r="B117" s="13" t="s">
        <v>132</v>
      </c>
      <c r="C117" s="2">
        <v>17171</v>
      </c>
      <c r="D117" s="2">
        <v>7392893</v>
      </c>
      <c r="E117" s="2">
        <v>81319</v>
      </c>
      <c r="F117" s="2">
        <v>24.437899999999999</v>
      </c>
      <c r="G117" s="2">
        <v>0.1963</v>
      </c>
      <c r="H117" s="2">
        <v>24.053000000000001</v>
      </c>
      <c r="I117" s="2">
        <v>24.822800000000001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3">
        <v>1</v>
      </c>
      <c r="C118" s="2">
        <v>3267</v>
      </c>
      <c r="D118" s="2">
        <v>1094133</v>
      </c>
      <c r="E118" s="2">
        <v>26576</v>
      </c>
      <c r="F118" s="2">
        <v>3.6168</v>
      </c>
      <c r="G118" s="2">
        <v>9.1399999999999995E-2</v>
      </c>
      <c r="H118" s="2">
        <v>3.4376000000000002</v>
      </c>
      <c r="I118" s="2">
        <v>3.7959000000000001</v>
      </c>
      <c r="J118" s="2">
        <v>14.487399999999999</v>
      </c>
      <c r="K118" s="2">
        <v>0.34289999999999998</v>
      </c>
      <c r="L118" s="2">
        <v>13.815099999999999</v>
      </c>
      <c r="M118" s="2">
        <v>15.159800000000001</v>
      </c>
      <c r="O118">
        <f t="shared" ref="O118:O121" si="92">J118</f>
        <v>14.487399999999999</v>
      </c>
      <c r="P118">
        <f t="shared" ref="P118:P121" si="93">L118</f>
        <v>13.815099999999999</v>
      </c>
      <c r="Q118">
        <f t="shared" ref="Q118:Q121" si="94">M118</f>
        <v>15.159800000000001</v>
      </c>
      <c r="S118" t="str">
        <f t="shared" ref="S118:S121" si="95">TEXT(O118,"0.00")&amp;" ("&amp;TEXT(P118,"0.00")&amp;" to "&amp;TEXT(Q118,"0.00")&amp;")"</f>
        <v>14.49 (13.82 to 15.16)</v>
      </c>
    </row>
    <row r="119" spans="1:19" ht="17.25" thickBot="1" x14ac:dyDescent="0.35">
      <c r="A119" s="6"/>
      <c r="B119" s="13">
        <v>2</v>
      </c>
      <c r="C119" s="2">
        <v>4335</v>
      </c>
      <c r="D119" s="2">
        <v>1858126</v>
      </c>
      <c r="E119" s="2">
        <v>38940</v>
      </c>
      <c r="F119" s="2">
        <v>6.1421999999999999</v>
      </c>
      <c r="G119" s="2">
        <v>0.12620000000000001</v>
      </c>
      <c r="H119" s="2">
        <v>5.8947000000000003</v>
      </c>
      <c r="I119" s="2">
        <v>6.3897000000000004</v>
      </c>
      <c r="J119" s="2">
        <v>24.6035</v>
      </c>
      <c r="K119" s="2">
        <v>0.44529999999999997</v>
      </c>
      <c r="L119" s="2">
        <v>23.7303</v>
      </c>
      <c r="M119" s="2">
        <v>25.476700000000001</v>
      </c>
      <c r="O119">
        <f t="shared" si="92"/>
        <v>24.6035</v>
      </c>
      <c r="P119">
        <f t="shared" si="93"/>
        <v>23.7303</v>
      </c>
      <c r="Q119">
        <f t="shared" si="94"/>
        <v>25.476700000000001</v>
      </c>
      <c r="S119" t="str">
        <f t="shared" si="95"/>
        <v>24.60 (23.73 to 25.48)</v>
      </c>
    </row>
    <row r="120" spans="1:19" ht="17.25" thickBot="1" x14ac:dyDescent="0.35">
      <c r="A120" s="6"/>
      <c r="B120" s="13">
        <v>3</v>
      </c>
      <c r="C120" s="2">
        <v>4713</v>
      </c>
      <c r="D120" s="2">
        <v>2257855</v>
      </c>
      <c r="E120" s="2">
        <v>44328</v>
      </c>
      <c r="F120" s="2">
        <v>7.4634999999999998</v>
      </c>
      <c r="G120" s="2">
        <v>0.13220000000000001</v>
      </c>
      <c r="H120" s="2">
        <v>7.2043999999999997</v>
      </c>
      <c r="I120" s="2">
        <v>7.7226999999999997</v>
      </c>
      <c r="J120" s="2">
        <v>29.8963</v>
      </c>
      <c r="K120" s="2">
        <v>0.47410000000000002</v>
      </c>
      <c r="L120" s="2">
        <v>28.966799999999999</v>
      </c>
      <c r="M120" s="2">
        <v>30.825800000000001</v>
      </c>
      <c r="O120">
        <f t="shared" si="92"/>
        <v>29.8963</v>
      </c>
      <c r="P120">
        <f t="shared" si="93"/>
        <v>28.966799999999999</v>
      </c>
      <c r="Q120">
        <f t="shared" si="94"/>
        <v>30.825800000000001</v>
      </c>
      <c r="S120" t="str">
        <f t="shared" si="95"/>
        <v>29.90 (28.97 to 30.83)</v>
      </c>
    </row>
    <row r="121" spans="1:19" ht="17.25" thickBot="1" x14ac:dyDescent="0.35">
      <c r="A121" s="6"/>
      <c r="B121" s="13">
        <v>4</v>
      </c>
      <c r="C121" s="2">
        <v>4850</v>
      </c>
      <c r="D121" s="2">
        <v>2342172</v>
      </c>
      <c r="E121" s="2">
        <v>49037</v>
      </c>
      <c r="F121" s="2">
        <v>7.7423000000000002</v>
      </c>
      <c r="G121" s="2">
        <v>0.14610000000000001</v>
      </c>
      <c r="H121" s="2">
        <v>7.4558999999999997</v>
      </c>
      <c r="I121" s="2">
        <v>8.0287000000000006</v>
      </c>
      <c r="J121" s="2">
        <v>31.012799999999999</v>
      </c>
      <c r="K121" s="2">
        <v>0.54200000000000004</v>
      </c>
      <c r="L121" s="2">
        <v>29.9499</v>
      </c>
      <c r="M121" s="2">
        <v>32.075600000000001</v>
      </c>
      <c r="O121">
        <f t="shared" si="92"/>
        <v>31.012799999999999</v>
      </c>
      <c r="P121">
        <f t="shared" si="93"/>
        <v>29.9499</v>
      </c>
      <c r="Q121">
        <f t="shared" si="94"/>
        <v>32.075600000000001</v>
      </c>
      <c r="S121" t="str">
        <f t="shared" si="95"/>
        <v>31.01 (29.95 to 32.08)</v>
      </c>
    </row>
    <row r="122" spans="1:19" ht="17.25" thickBot="1" x14ac:dyDescent="0.35">
      <c r="A122" s="6"/>
      <c r="B122" s="13" t="s">
        <v>132</v>
      </c>
      <c r="C122" s="2">
        <v>17165</v>
      </c>
      <c r="D122" s="2">
        <v>7552285</v>
      </c>
      <c r="E122" s="2">
        <v>80298</v>
      </c>
      <c r="F122" s="2">
        <v>24.9648</v>
      </c>
      <c r="G122" s="2">
        <v>0.20699999999999999</v>
      </c>
      <c r="H122" s="2">
        <v>24.558800000000002</v>
      </c>
      <c r="I122" s="2">
        <v>25.370799999999999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3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96">J123</f>
        <v>0</v>
      </c>
      <c r="P123">
        <f t="shared" ref="P123:P126" si="97">L123</f>
        <v>0</v>
      </c>
      <c r="Q123">
        <f t="shared" ref="Q123:Q126" si="98">M123</f>
        <v>0</v>
      </c>
      <c r="S123" t="str">
        <f t="shared" ref="S123:S126" si="99">TEXT(O123,"0.00")&amp;" ("&amp;TEXT(P123,"0.00")&amp;" to "&amp;TEXT(Q123,"0.00")&amp;")"</f>
        <v>0.00 (0.00 to 0.00)</v>
      </c>
    </row>
    <row r="124" spans="1:19" ht="17.25" thickBot="1" x14ac:dyDescent="0.35">
      <c r="A124" s="6"/>
      <c r="B124" s="13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96"/>
        <v>0</v>
      </c>
      <c r="P124">
        <f t="shared" si="97"/>
        <v>0</v>
      </c>
      <c r="Q124">
        <f t="shared" si="98"/>
        <v>0</v>
      </c>
      <c r="S124" t="str">
        <f t="shared" si="99"/>
        <v>0.00 (0.00 to 0.00)</v>
      </c>
    </row>
    <row r="125" spans="1:19" ht="17.25" thickBot="1" x14ac:dyDescent="0.35">
      <c r="A125" s="6"/>
      <c r="B125" s="13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96"/>
        <v>0</v>
      </c>
      <c r="P125">
        <f t="shared" si="97"/>
        <v>0</v>
      </c>
      <c r="Q125">
        <f t="shared" si="98"/>
        <v>0</v>
      </c>
      <c r="S125" t="str">
        <f t="shared" si="99"/>
        <v>0.00 (0.00 to 0.00)</v>
      </c>
    </row>
    <row r="126" spans="1:19" ht="17.25" thickBot="1" x14ac:dyDescent="0.35">
      <c r="A126" s="6"/>
      <c r="B126" s="13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96"/>
        <v>0</v>
      </c>
      <c r="P126">
        <f t="shared" si="97"/>
        <v>0</v>
      </c>
      <c r="Q126">
        <f t="shared" si="98"/>
        <v>0</v>
      </c>
      <c r="S126" t="str">
        <f t="shared" si="99"/>
        <v>0.00 (0.00 to 0.00)</v>
      </c>
    </row>
    <row r="127" spans="1:19" x14ac:dyDescent="0.3">
      <c r="A127" s="6"/>
      <c r="B127" s="16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17" t="s">
        <v>156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</row>
    <row r="130" spans="1:19" ht="33" customHeight="1" x14ac:dyDescent="0.3">
      <c r="A130" s="18" t="s">
        <v>23</v>
      </c>
      <c r="B130" s="20" t="s">
        <v>9</v>
      </c>
      <c r="C130" s="20" t="s">
        <v>125</v>
      </c>
      <c r="D130" s="3" t="s">
        <v>126</v>
      </c>
      <c r="E130" s="3" t="s">
        <v>127</v>
      </c>
      <c r="F130" s="20" t="s">
        <v>129</v>
      </c>
      <c r="G130" s="3" t="s">
        <v>127</v>
      </c>
      <c r="H130" s="20" t="s">
        <v>130</v>
      </c>
      <c r="I130" s="20"/>
      <c r="J130" s="3" t="s">
        <v>149</v>
      </c>
      <c r="K130" s="3" t="s">
        <v>127</v>
      </c>
      <c r="L130" s="20" t="s">
        <v>130</v>
      </c>
      <c r="M130" s="20"/>
    </row>
    <row r="131" spans="1:19" ht="33" x14ac:dyDescent="0.3">
      <c r="A131" s="18"/>
      <c r="B131" s="20"/>
      <c r="C131" s="20"/>
      <c r="D131" s="3" t="s">
        <v>125</v>
      </c>
      <c r="E131" s="3" t="s">
        <v>128</v>
      </c>
      <c r="F131" s="20"/>
      <c r="G131" s="3" t="s">
        <v>129</v>
      </c>
      <c r="H131" s="20" t="s">
        <v>131</v>
      </c>
      <c r="I131" s="20"/>
      <c r="J131" s="3" t="s">
        <v>129</v>
      </c>
      <c r="K131" s="3" t="s">
        <v>150</v>
      </c>
      <c r="L131" s="20" t="s">
        <v>151</v>
      </c>
      <c r="M131" s="20"/>
    </row>
    <row r="132" spans="1:19" ht="17.25" thickBot="1" x14ac:dyDescent="0.35">
      <c r="A132" s="6">
        <v>1</v>
      </c>
      <c r="B132" s="13">
        <v>1</v>
      </c>
      <c r="C132" s="2">
        <v>1543</v>
      </c>
      <c r="D132" s="2">
        <v>740080</v>
      </c>
      <c r="E132" s="2">
        <v>23096</v>
      </c>
      <c r="F132" s="2">
        <v>2.4464000000000001</v>
      </c>
      <c r="G132" s="2">
        <v>7.3700000000000002E-2</v>
      </c>
      <c r="H132" s="2">
        <v>2.302</v>
      </c>
      <c r="I132" s="2">
        <v>2.5908000000000002</v>
      </c>
      <c r="J132" s="2">
        <v>9.4276</v>
      </c>
      <c r="K132" s="2">
        <v>0.27079999999999999</v>
      </c>
      <c r="L132" s="2">
        <v>8.8966999999999992</v>
      </c>
      <c r="M132" s="2">
        <v>9.9586000000000006</v>
      </c>
      <c r="O132">
        <f t="shared" ref="O132:O135" si="100">J132</f>
        <v>9.4276</v>
      </c>
      <c r="P132">
        <f t="shared" ref="P132:P135" si="101">L132</f>
        <v>8.8966999999999992</v>
      </c>
      <c r="Q132">
        <f t="shared" ref="Q132:Q135" si="102">M132</f>
        <v>9.9586000000000006</v>
      </c>
      <c r="S132" t="str">
        <f t="shared" ref="S132:S135" si="103">TEXT(O132,"0.00")&amp;" ("&amp;TEXT(P132,"0.00")&amp;" to "&amp;TEXT(Q132,"0.00")&amp;")"</f>
        <v>9.43 (8.90 to 9.96)</v>
      </c>
    </row>
    <row r="133" spans="1:19" ht="17.25" thickBot="1" x14ac:dyDescent="0.35">
      <c r="A133" s="6"/>
      <c r="B133" s="13">
        <v>2</v>
      </c>
      <c r="C133" s="2">
        <v>9820</v>
      </c>
      <c r="D133" s="2">
        <v>4487304</v>
      </c>
      <c r="E133" s="2">
        <v>63535</v>
      </c>
      <c r="F133" s="2">
        <v>14.8332</v>
      </c>
      <c r="G133" s="2">
        <v>0.16919999999999999</v>
      </c>
      <c r="H133" s="2">
        <v>14.5014</v>
      </c>
      <c r="I133" s="2">
        <v>15.164999999999999</v>
      </c>
      <c r="J133" s="2">
        <v>57.162199999999999</v>
      </c>
      <c r="K133" s="2">
        <v>0.44309999999999999</v>
      </c>
      <c r="L133" s="2">
        <v>56.293399999999998</v>
      </c>
      <c r="M133" s="2">
        <v>58.031100000000002</v>
      </c>
      <c r="O133">
        <f t="shared" si="100"/>
        <v>57.162199999999999</v>
      </c>
      <c r="P133">
        <f t="shared" si="101"/>
        <v>56.293399999999998</v>
      </c>
      <c r="Q133">
        <f t="shared" si="102"/>
        <v>58.031100000000002</v>
      </c>
      <c r="S133" t="str">
        <f t="shared" si="103"/>
        <v>57.16 (56.29 to 58.03)</v>
      </c>
    </row>
    <row r="134" spans="1:19" ht="17.25" thickBot="1" x14ac:dyDescent="0.35">
      <c r="A134" s="6"/>
      <c r="B134" s="13">
        <v>3</v>
      </c>
      <c r="C134" s="2">
        <v>3269</v>
      </c>
      <c r="D134" s="2">
        <v>1479665</v>
      </c>
      <c r="E134" s="2">
        <v>32579</v>
      </c>
      <c r="F134" s="2">
        <v>4.8912000000000004</v>
      </c>
      <c r="G134" s="2">
        <v>0.1</v>
      </c>
      <c r="H134" s="2">
        <v>4.6950000000000003</v>
      </c>
      <c r="I134" s="2">
        <v>5.0872999999999999</v>
      </c>
      <c r="J134" s="2">
        <v>18.849</v>
      </c>
      <c r="K134" s="2">
        <v>0.3493</v>
      </c>
      <c r="L134" s="2">
        <v>18.164000000000001</v>
      </c>
      <c r="M134" s="2">
        <v>19.533899999999999</v>
      </c>
      <c r="O134">
        <f t="shared" si="100"/>
        <v>18.849</v>
      </c>
      <c r="P134">
        <f t="shared" si="101"/>
        <v>18.164000000000001</v>
      </c>
      <c r="Q134">
        <f t="shared" si="102"/>
        <v>19.533899999999999</v>
      </c>
      <c r="S134" t="str">
        <f t="shared" si="103"/>
        <v>18.85 (18.16 to 19.53)</v>
      </c>
    </row>
    <row r="135" spans="1:19" ht="17.25" thickBot="1" x14ac:dyDescent="0.35">
      <c r="A135" s="6"/>
      <c r="B135" s="13">
        <v>4</v>
      </c>
      <c r="C135" s="2">
        <v>2567</v>
      </c>
      <c r="D135" s="2">
        <v>1143070</v>
      </c>
      <c r="E135" s="2">
        <v>28365</v>
      </c>
      <c r="F135" s="2">
        <v>3.7785000000000002</v>
      </c>
      <c r="G135" s="2">
        <v>8.9700000000000002E-2</v>
      </c>
      <c r="H135" s="2">
        <v>3.6025999999999998</v>
      </c>
      <c r="I135" s="2">
        <v>3.9544000000000001</v>
      </c>
      <c r="J135" s="2">
        <v>14.561199999999999</v>
      </c>
      <c r="K135" s="2">
        <v>0.32479999999999998</v>
      </c>
      <c r="L135" s="2">
        <v>13.924300000000001</v>
      </c>
      <c r="M135" s="2">
        <v>15.198</v>
      </c>
      <c r="O135">
        <f t="shared" si="100"/>
        <v>14.561199999999999</v>
      </c>
      <c r="P135">
        <f t="shared" si="101"/>
        <v>13.924300000000001</v>
      </c>
      <c r="Q135">
        <f t="shared" si="102"/>
        <v>15.198</v>
      </c>
      <c r="S135" t="str">
        <f t="shared" si="103"/>
        <v>14.56 (13.92 to 15.20)</v>
      </c>
    </row>
    <row r="136" spans="1:19" ht="17.25" thickBot="1" x14ac:dyDescent="0.35">
      <c r="A136" s="6"/>
      <c r="B136" s="13" t="s">
        <v>132</v>
      </c>
      <c r="C136" s="2">
        <v>17199</v>
      </c>
      <c r="D136" s="2">
        <v>7850118</v>
      </c>
      <c r="E136" s="2">
        <v>92267</v>
      </c>
      <c r="F136" s="2">
        <v>25.949300000000001</v>
      </c>
      <c r="G136" s="2">
        <v>0.21940000000000001</v>
      </c>
      <c r="H136" s="2">
        <v>25.519100000000002</v>
      </c>
      <c r="I136" s="2">
        <v>26.3795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3">
        <v>1</v>
      </c>
      <c r="C137" s="2">
        <v>794</v>
      </c>
      <c r="D137" s="2">
        <v>361978</v>
      </c>
      <c r="E137" s="2">
        <v>15627</v>
      </c>
      <c r="F137" s="2">
        <v>1.1966000000000001</v>
      </c>
      <c r="G137" s="2">
        <v>5.0799999999999998E-2</v>
      </c>
      <c r="H137" s="2">
        <v>1.0969</v>
      </c>
      <c r="I137" s="2">
        <v>1.2962</v>
      </c>
      <c r="J137" s="2">
        <v>4.8545999999999996</v>
      </c>
      <c r="K137" s="2">
        <v>0.20130000000000001</v>
      </c>
      <c r="L137" s="2">
        <v>4.4599000000000002</v>
      </c>
      <c r="M137" s="2">
        <v>5.2492000000000001</v>
      </c>
      <c r="O137">
        <f t="shared" ref="O137:O140" si="104">J137</f>
        <v>4.8545999999999996</v>
      </c>
      <c r="P137">
        <f t="shared" ref="P137:P140" si="105">L137</f>
        <v>4.4599000000000002</v>
      </c>
      <c r="Q137">
        <f t="shared" ref="Q137:Q140" si="106">M137</f>
        <v>5.2492000000000001</v>
      </c>
      <c r="S137" t="str">
        <f t="shared" ref="S137:S140" si="107">TEXT(O137,"0.00")&amp;" ("&amp;TEXT(P137,"0.00")&amp;" to "&amp;TEXT(Q137,"0.00")&amp;")"</f>
        <v>4.85 (4.46 to 5.25)</v>
      </c>
    </row>
    <row r="138" spans="1:19" ht="17.25" thickBot="1" x14ac:dyDescent="0.35">
      <c r="A138" s="6"/>
      <c r="B138" s="13">
        <v>2</v>
      </c>
      <c r="C138" s="2">
        <v>7518</v>
      </c>
      <c r="D138" s="2">
        <v>3304724</v>
      </c>
      <c r="E138" s="2">
        <v>51332</v>
      </c>
      <c r="F138" s="2">
        <v>10.924099999999999</v>
      </c>
      <c r="G138" s="2">
        <v>0.14330000000000001</v>
      </c>
      <c r="H138" s="2">
        <v>10.6431</v>
      </c>
      <c r="I138" s="2">
        <v>11.205</v>
      </c>
      <c r="J138" s="2">
        <v>44.320300000000003</v>
      </c>
      <c r="K138" s="2">
        <v>0.46489999999999998</v>
      </c>
      <c r="L138" s="2">
        <v>43.4086</v>
      </c>
      <c r="M138" s="2">
        <v>45.231999999999999</v>
      </c>
      <c r="O138">
        <f t="shared" si="104"/>
        <v>44.320300000000003</v>
      </c>
      <c r="P138">
        <f t="shared" si="105"/>
        <v>43.4086</v>
      </c>
      <c r="Q138">
        <f t="shared" si="106"/>
        <v>45.231999999999999</v>
      </c>
      <c r="S138" t="str">
        <f t="shared" si="107"/>
        <v>44.32 (43.41 to 45.23)</v>
      </c>
    </row>
    <row r="139" spans="1:19" ht="17.25" thickBot="1" x14ac:dyDescent="0.35">
      <c r="A139" s="6"/>
      <c r="B139" s="13">
        <v>3</v>
      </c>
      <c r="C139" s="2">
        <v>4154</v>
      </c>
      <c r="D139" s="2">
        <v>1779758</v>
      </c>
      <c r="E139" s="2">
        <v>34953</v>
      </c>
      <c r="F139" s="2">
        <v>5.8832000000000004</v>
      </c>
      <c r="G139" s="2">
        <v>0.10730000000000001</v>
      </c>
      <c r="H139" s="2">
        <v>5.6727999999999996</v>
      </c>
      <c r="I139" s="2">
        <v>6.0934999999999997</v>
      </c>
      <c r="J139" s="2">
        <v>23.8687</v>
      </c>
      <c r="K139" s="2">
        <v>0.38929999999999998</v>
      </c>
      <c r="L139" s="2">
        <v>23.1053</v>
      </c>
      <c r="M139" s="2">
        <v>24.632100000000001</v>
      </c>
      <c r="O139">
        <f t="shared" si="104"/>
        <v>23.8687</v>
      </c>
      <c r="P139">
        <f t="shared" si="105"/>
        <v>23.1053</v>
      </c>
      <c r="Q139">
        <f t="shared" si="106"/>
        <v>24.632100000000001</v>
      </c>
      <c r="S139" t="str">
        <f t="shared" si="107"/>
        <v>23.87 (23.11 to 24.63)</v>
      </c>
    </row>
    <row r="140" spans="1:19" ht="17.25" thickBot="1" x14ac:dyDescent="0.35">
      <c r="A140" s="6"/>
      <c r="B140" s="13">
        <v>4</v>
      </c>
      <c r="C140" s="2">
        <v>4633</v>
      </c>
      <c r="D140" s="2">
        <v>2010000</v>
      </c>
      <c r="E140" s="2">
        <v>38201</v>
      </c>
      <c r="F140" s="2">
        <v>6.6441999999999997</v>
      </c>
      <c r="G140" s="2">
        <v>0.1164</v>
      </c>
      <c r="H140" s="2">
        <v>6.4161000000000001</v>
      </c>
      <c r="I140" s="2">
        <v>6.8723999999999998</v>
      </c>
      <c r="J140" s="2">
        <v>26.956499999999998</v>
      </c>
      <c r="K140" s="2">
        <v>0.42159999999999997</v>
      </c>
      <c r="L140" s="2">
        <v>26.129899999999999</v>
      </c>
      <c r="M140" s="2">
        <v>27.783100000000001</v>
      </c>
      <c r="O140">
        <f t="shared" si="104"/>
        <v>26.956499999999998</v>
      </c>
      <c r="P140">
        <f t="shared" si="105"/>
        <v>26.129899999999999</v>
      </c>
      <c r="Q140">
        <f t="shared" si="106"/>
        <v>27.783100000000001</v>
      </c>
      <c r="S140" t="str">
        <f t="shared" si="107"/>
        <v>26.96 (26.13 to 27.78)</v>
      </c>
    </row>
    <row r="141" spans="1:19" ht="17.25" thickBot="1" x14ac:dyDescent="0.35">
      <c r="A141" s="6"/>
      <c r="B141" s="13" t="s">
        <v>132</v>
      </c>
      <c r="C141" s="2">
        <v>17099</v>
      </c>
      <c r="D141" s="2">
        <v>7456460</v>
      </c>
      <c r="E141" s="2">
        <v>83424</v>
      </c>
      <c r="F141" s="2">
        <v>24.648</v>
      </c>
      <c r="G141" s="2">
        <v>0.19750000000000001</v>
      </c>
      <c r="H141" s="2">
        <v>24.2608</v>
      </c>
      <c r="I141" s="2">
        <v>25.0352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3">
        <v>1</v>
      </c>
      <c r="C142" s="2">
        <v>318</v>
      </c>
      <c r="D142" s="2">
        <v>143977</v>
      </c>
      <c r="E142" s="2">
        <v>9723</v>
      </c>
      <c r="F142" s="2">
        <v>0.47589999999999999</v>
      </c>
      <c r="G142" s="2">
        <v>3.1899999999999998E-2</v>
      </c>
      <c r="H142" s="2">
        <v>0.41339999999999999</v>
      </c>
      <c r="I142" s="2">
        <v>0.53849999999999998</v>
      </c>
      <c r="J142" s="2">
        <v>1.9475</v>
      </c>
      <c r="K142" s="2">
        <v>0.12920000000000001</v>
      </c>
      <c r="L142" s="2">
        <v>1.6941999999999999</v>
      </c>
      <c r="M142" s="2">
        <v>2.2008000000000001</v>
      </c>
      <c r="O142">
        <f t="shared" ref="O142:O145" si="108">J142</f>
        <v>1.9475</v>
      </c>
      <c r="P142">
        <f t="shared" ref="P142:P145" si="109">L142</f>
        <v>1.6941999999999999</v>
      </c>
      <c r="Q142">
        <f t="shared" ref="Q142:Q145" si="110">M142</f>
        <v>2.2008000000000001</v>
      </c>
      <c r="S142" t="str">
        <f t="shared" ref="S142:S145" si="111">TEXT(O142,"0.00")&amp;" ("&amp;TEXT(P142,"0.00")&amp;" to "&amp;TEXT(Q142,"0.00")&amp;")"</f>
        <v>1.95 (1.69 to 2.20)</v>
      </c>
    </row>
    <row r="143" spans="1:19" ht="17.25" thickBot="1" x14ac:dyDescent="0.35">
      <c r="A143" s="6"/>
      <c r="B143" s="13">
        <v>2</v>
      </c>
      <c r="C143" s="2">
        <v>5484</v>
      </c>
      <c r="D143" s="2">
        <v>2305494</v>
      </c>
      <c r="E143" s="2">
        <v>40045</v>
      </c>
      <c r="F143" s="2">
        <v>7.6210000000000004</v>
      </c>
      <c r="G143" s="2">
        <v>0.1187</v>
      </c>
      <c r="H143" s="2">
        <v>7.3883000000000001</v>
      </c>
      <c r="I143" s="2">
        <v>7.8536999999999999</v>
      </c>
      <c r="J143" s="2">
        <v>31.185300000000002</v>
      </c>
      <c r="K143" s="2">
        <v>0.42809999999999998</v>
      </c>
      <c r="L143" s="2">
        <v>30.3459</v>
      </c>
      <c r="M143" s="2">
        <v>32.024700000000003</v>
      </c>
      <c r="O143">
        <f t="shared" si="108"/>
        <v>31.185300000000002</v>
      </c>
      <c r="P143">
        <f t="shared" si="109"/>
        <v>30.3459</v>
      </c>
      <c r="Q143">
        <f t="shared" si="110"/>
        <v>32.024700000000003</v>
      </c>
      <c r="S143" t="str">
        <f t="shared" si="111"/>
        <v>31.19 (30.35 to 32.02)</v>
      </c>
    </row>
    <row r="144" spans="1:19" ht="17.25" thickBot="1" x14ac:dyDescent="0.35">
      <c r="A144" s="6"/>
      <c r="B144" s="13">
        <v>3</v>
      </c>
      <c r="C144" s="2">
        <v>4576</v>
      </c>
      <c r="D144" s="2">
        <v>1929828</v>
      </c>
      <c r="E144" s="2">
        <v>34786</v>
      </c>
      <c r="F144" s="2">
        <v>6.3792</v>
      </c>
      <c r="G144" s="2">
        <v>0.1055</v>
      </c>
      <c r="H144" s="2">
        <v>6.1722999999999999</v>
      </c>
      <c r="I144" s="2">
        <v>6.5861000000000001</v>
      </c>
      <c r="J144" s="2">
        <v>26.1038</v>
      </c>
      <c r="K144" s="2">
        <v>0.38540000000000002</v>
      </c>
      <c r="L144" s="2">
        <v>25.348199999999999</v>
      </c>
      <c r="M144" s="2">
        <v>26.859500000000001</v>
      </c>
      <c r="O144">
        <f t="shared" si="108"/>
        <v>26.1038</v>
      </c>
      <c r="P144">
        <f t="shared" si="109"/>
        <v>25.348199999999999</v>
      </c>
      <c r="Q144">
        <f t="shared" si="110"/>
        <v>26.859500000000001</v>
      </c>
      <c r="S144" t="str">
        <f t="shared" si="111"/>
        <v>26.10 (25.35 to 26.86)</v>
      </c>
    </row>
    <row r="145" spans="1:19" ht="17.25" thickBot="1" x14ac:dyDescent="0.35">
      <c r="A145" s="6"/>
      <c r="B145" s="13">
        <v>4</v>
      </c>
      <c r="C145" s="2">
        <v>6793</v>
      </c>
      <c r="D145" s="2">
        <v>3013594</v>
      </c>
      <c r="E145" s="2">
        <v>48389</v>
      </c>
      <c r="F145" s="2">
        <v>9.9617000000000004</v>
      </c>
      <c r="G145" s="2">
        <v>0.14119999999999999</v>
      </c>
      <c r="H145" s="2">
        <v>9.6849000000000007</v>
      </c>
      <c r="I145" s="2">
        <v>10.2385</v>
      </c>
      <c r="J145" s="2">
        <v>40.763399999999997</v>
      </c>
      <c r="K145" s="2">
        <v>0.4536</v>
      </c>
      <c r="L145" s="2">
        <v>39.874000000000002</v>
      </c>
      <c r="M145" s="2">
        <v>41.652799999999999</v>
      </c>
      <c r="O145">
        <f t="shared" si="108"/>
        <v>40.763399999999997</v>
      </c>
      <c r="P145">
        <f t="shared" si="109"/>
        <v>39.874000000000002</v>
      </c>
      <c r="Q145">
        <f t="shared" si="110"/>
        <v>41.652799999999999</v>
      </c>
      <c r="S145" t="str">
        <f t="shared" si="111"/>
        <v>40.76 (39.87 to 41.65)</v>
      </c>
    </row>
    <row r="146" spans="1:19" ht="17.25" thickBot="1" x14ac:dyDescent="0.35">
      <c r="A146" s="6"/>
      <c r="B146" s="13" t="s">
        <v>132</v>
      </c>
      <c r="C146" s="2">
        <v>17171</v>
      </c>
      <c r="D146" s="2">
        <v>7392893</v>
      </c>
      <c r="E146" s="2">
        <v>81319</v>
      </c>
      <c r="F146" s="2">
        <v>24.437899999999999</v>
      </c>
      <c r="G146" s="2">
        <v>0.1963</v>
      </c>
      <c r="H146" s="2">
        <v>24.053000000000001</v>
      </c>
      <c r="I146" s="2">
        <v>24.822800000000001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3">
        <v>1</v>
      </c>
      <c r="C147" s="2">
        <v>122</v>
      </c>
      <c r="D147" s="2">
        <v>50158</v>
      </c>
      <c r="E147" s="2">
        <v>5574</v>
      </c>
      <c r="F147" s="2">
        <v>0.1658</v>
      </c>
      <c r="G147" s="2">
        <v>1.84E-2</v>
      </c>
      <c r="H147" s="2">
        <v>0.12970000000000001</v>
      </c>
      <c r="I147" s="2">
        <v>0.2019</v>
      </c>
      <c r="J147" s="2">
        <v>0.66410000000000002</v>
      </c>
      <c r="K147" s="2">
        <v>7.3300000000000004E-2</v>
      </c>
      <c r="L147" s="2">
        <v>0.52029999999999998</v>
      </c>
      <c r="M147" s="2">
        <v>0.80800000000000005</v>
      </c>
      <c r="O147">
        <f t="shared" ref="O147:O150" si="112">J147</f>
        <v>0.66410000000000002</v>
      </c>
      <c r="P147">
        <f t="shared" ref="P147:P150" si="113">L147</f>
        <v>0.52029999999999998</v>
      </c>
      <c r="Q147">
        <f t="shared" ref="Q147:Q150" si="114">M147</f>
        <v>0.80800000000000005</v>
      </c>
      <c r="S147" t="str">
        <f t="shared" ref="S147:S150" si="115">TEXT(O147,"0.00")&amp;" ("&amp;TEXT(P147,"0.00")&amp;" to "&amp;TEXT(Q147,"0.00")&amp;")"</f>
        <v>0.66 (0.52 to 0.81)</v>
      </c>
    </row>
    <row r="148" spans="1:19" ht="17.25" thickBot="1" x14ac:dyDescent="0.35">
      <c r="A148" s="6"/>
      <c r="B148" s="13">
        <v>2</v>
      </c>
      <c r="C148" s="2">
        <v>3613</v>
      </c>
      <c r="D148" s="2">
        <v>1488125</v>
      </c>
      <c r="E148" s="2">
        <v>31362</v>
      </c>
      <c r="F148" s="2">
        <v>4.9191000000000003</v>
      </c>
      <c r="G148" s="2">
        <v>9.9500000000000005E-2</v>
      </c>
      <c r="H148" s="2">
        <v>4.7240000000000002</v>
      </c>
      <c r="I148" s="2">
        <v>5.1142000000000003</v>
      </c>
      <c r="J148" s="2">
        <v>19.7043</v>
      </c>
      <c r="K148" s="2">
        <v>0.35699999999999998</v>
      </c>
      <c r="L148" s="2">
        <v>19.004300000000001</v>
      </c>
      <c r="M148" s="2">
        <v>20.404299999999999</v>
      </c>
      <c r="O148">
        <f t="shared" si="112"/>
        <v>19.7043</v>
      </c>
      <c r="P148">
        <f t="shared" si="113"/>
        <v>19.004300000000001</v>
      </c>
      <c r="Q148">
        <f t="shared" si="114"/>
        <v>20.404299999999999</v>
      </c>
      <c r="S148" t="str">
        <f t="shared" si="115"/>
        <v>19.70 (19.00 to 20.40)</v>
      </c>
    </row>
    <row r="149" spans="1:19" ht="17.25" thickBot="1" x14ac:dyDescent="0.35">
      <c r="A149" s="6"/>
      <c r="B149" s="13">
        <v>3</v>
      </c>
      <c r="C149" s="2">
        <v>4265</v>
      </c>
      <c r="D149" s="2">
        <v>1827401</v>
      </c>
      <c r="E149" s="2">
        <v>34860</v>
      </c>
      <c r="F149" s="2">
        <v>6.0406000000000004</v>
      </c>
      <c r="G149" s="2">
        <v>0.1077</v>
      </c>
      <c r="H149" s="2">
        <v>5.8295000000000003</v>
      </c>
      <c r="I149" s="2">
        <v>6.2516999999999996</v>
      </c>
      <c r="J149" s="2">
        <v>24.1967</v>
      </c>
      <c r="K149" s="2">
        <v>0.39029999999999998</v>
      </c>
      <c r="L149" s="2">
        <v>23.4315</v>
      </c>
      <c r="M149" s="2">
        <v>24.9619</v>
      </c>
      <c r="O149">
        <f t="shared" si="112"/>
        <v>24.1967</v>
      </c>
      <c r="P149">
        <f t="shared" si="113"/>
        <v>23.4315</v>
      </c>
      <c r="Q149">
        <f t="shared" si="114"/>
        <v>24.9619</v>
      </c>
      <c r="S149" t="str">
        <f t="shared" si="115"/>
        <v>24.20 (23.43 to 24.96)</v>
      </c>
    </row>
    <row r="150" spans="1:19" ht="17.25" thickBot="1" x14ac:dyDescent="0.35">
      <c r="A150" s="6"/>
      <c r="B150" s="13">
        <v>4</v>
      </c>
      <c r="C150" s="2">
        <v>9165</v>
      </c>
      <c r="D150" s="2">
        <v>4186602</v>
      </c>
      <c r="E150" s="2">
        <v>56570</v>
      </c>
      <c r="F150" s="2">
        <v>13.8392</v>
      </c>
      <c r="G150" s="2">
        <v>0.1613</v>
      </c>
      <c r="H150" s="2">
        <v>13.523</v>
      </c>
      <c r="I150" s="2">
        <v>14.1554</v>
      </c>
      <c r="J150" s="2">
        <v>55.434899999999999</v>
      </c>
      <c r="K150" s="2">
        <v>0.45379999999999998</v>
      </c>
      <c r="L150" s="2">
        <v>54.545099999999998</v>
      </c>
      <c r="M150" s="2">
        <v>56.3247</v>
      </c>
      <c r="O150">
        <f t="shared" si="112"/>
        <v>55.434899999999999</v>
      </c>
      <c r="P150">
        <f t="shared" si="113"/>
        <v>54.545099999999998</v>
      </c>
      <c r="Q150">
        <f t="shared" si="114"/>
        <v>56.3247</v>
      </c>
      <c r="S150" t="str">
        <f t="shared" si="115"/>
        <v>55.43 (54.55 to 56.32)</v>
      </c>
    </row>
    <row r="151" spans="1:19" ht="17.25" thickBot="1" x14ac:dyDescent="0.35">
      <c r="A151" s="6"/>
      <c r="B151" s="13" t="s">
        <v>132</v>
      </c>
      <c r="C151" s="2">
        <v>17165</v>
      </c>
      <c r="D151" s="2">
        <v>7552285</v>
      </c>
      <c r="E151" s="2">
        <v>80298</v>
      </c>
      <c r="F151" s="2">
        <v>24.9648</v>
      </c>
      <c r="G151" s="2">
        <v>0.20699999999999999</v>
      </c>
      <c r="H151" s="2">
        <v>24.558800000000002</v>
      </c>
      <c r="I151" s="2">
        <v>25.370799999999999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3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116">J152</f>
        <v>0</v>
      </c>
      <c r="P152">
        <f t="shared" ref="P152:P155" si="117">L152</f>
        <v>0</v>
      </c>
      <c r="Q152">
        <f t="shared" ref="Q152:Q155" si="118">M152</f>
        <v>0</v>
      </c>
      <c r="S152" t="str">
        <f t="shared" ref="S152:S155" si="11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3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116"/>
        <v>0</v>
      </c>
      <c r="P153">
        <f t="shared" si="117"/>
        <v>0</v>
      </c>
      <c r="Q153">
        <f t="shared" si="118"/>
        <v>0</v>
      </c>
      <c r="S153" t="str">
        <f t="shared" si="119"/>
        <v>0.00 (0.00 to 0.00)</v>
      </c>
    </row>
    <row r="154" spans="1:19" ht="17.25" thickBot="1" x14ac:dyDescent="0.35">
      <c r="A154" s="6"/>
      <c r="B154" s="13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116"/>
        <v>0</v>
      </c>
      <c r="P154">
        <f t="shared" si="117"/>
        <v>0</v>
      </c>
      <c r="Q154">
        <f t="shared" si="118"/>
        <v>0</v>
      </c>
      <c r="S154" t="str">
        <f t="shared" si="119"/>
        <v>0.00 (0.00 to 0.00)</v>
      </c>
    </row>
    <row r="155" spans="1:19" ht="17.25" thickBot="1" x14ac:dyDescent="0.35">
      <c r="A155" s="6"/>
      <c r="B155" s="13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116"/>
        <v>0</v>
      </c>
      <c r="P155">
        <f t="shared" si="117"/>
        <v>0</v>
      </c>
      <c r="Q155">
        <f t="shared" si="118"/>
        <v>0</v>
      </c>
      <c r="S155" t="str">
        <f t="shared" si="119"/>
        <v>0.00 (0.00 to 0.00)</v>
      </c>
    </row>
    <row r="156" spans="1:19" x14ac:dyDescent="0.3">
      <c r="A156" s="6"/>
      <c r="B156" s="16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17" t="s">
        <v>157</v>
      </c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</row>
    <row r="159" spans="1:19" ht="33" customHeight="1" x14ac:dyDescent="0.3">
      <c r="A159" s="18" t="s">
        <v>23</v>
      </c>
      <c r="B159" s="20" t="s">
        <v>10</v>
      </c>
      <c r="C159" s="20" t="s">
        <v>125</v>
      </c>
      <c r="D159" s="3" t="s">
        <v>126</v>
      </c>
      <c r="E159" s="3" t="s">
        <v>127</v>
      </c>
      <c r="F159" s="20" t="s">
        <v>129</v>
      </c>
      <c r="G159" s="3" t="s">
        <v>127</v>
      </c>
      <c r="H159" s="20" t="s">
        <v>130</v>
      </c>
      <c r="I159" s="20"/>
      <c r="J159" s="3" t="s">
        <v>149</v>
      </c>
      <c r="K159" s="3" t="s">
        <v>127</v>
      </c>
      <c r="L159" s="20" t="s">
        <v>130</v>
      </c>
      <c r="M159" s="20"/>
    </row>
    <row r="160" spans="1:19" ht="33" x14ac:dyDescent="0.3">
      <c r="A160" s="18"/>
      <c r="B160" s="20"/>
      <c r="C160" s="20"/>
      <c r="D160" s="3" t="s">
        <v>125</v>
      </c>
      <c r="E160" s="3" t="s">
        <v>128</v>
      </c>
      <c r="F160" s="20"/>
      <c r="G160" s="3" t="s">
        <v>129</v>
      </c>
      <c r="H160" s="20" t="s">
        <v>131</v>
      </c>
      <c r="I160" s="20"/>
      <c r="J160" s="3" t="s">
        <v>129</v>
      </c>
      <c r="K160" s="3" t="s">
        <v>150</v>
      </c>
      <c r="L160" s="20" t="s">
        <v>151</v>
      </c>
      <c r="M160" s="20"/>
    </row>
    <row r="161" spans="1:19" ht="17.25" thickBot="1" x14ac:dyDescent="0.35">
      <c r="A161" s="6">
        <v>1</v>
      </c>
      <c r="B161" s="13">
        <v>1</v>
      </c>
      <c r="C161" s="2">
        <v>12418</v>
      </c>
      <c r="D161" s="2">
        <v>4971274</v>
      </c>
      <c r="E161" s="2">
        <v>63641</v>
      </c>
      <c r="F161" s="2">
        <v>16.433</v>
      </c>
      <c r="G161" s="2">
        <v>0.1726</v>
      </c>
      <c r="H161" s="2">
        <v>16.0946</v>
      </c>
      <c r="I161" s="2">
        <v>16.7714</v>
      </c>
      <c r="J161" s="2">
        <v>63.327399999999997</v>
      </c>
      <c r="K161" s="2">
        <v>0.52310000000000001</v>
      </c>
      <c r="L161" s="2">
        <v>62.301699999999997</v>
      </c>
      <c r="M161" s="2">
        <v>64.353099999999998</v>
      </c>
      <c r="O161">
        <f t="shared" ref="O161:O162" si="120">J161</f>
        <v>63.327399999999997</v>
      </c>
      <c r="P161">
        <f t="shared" ref="P161:P162" si="121">L161</f>
        <v>62.301699999999997</v>
      </c>
      <c r="Q161">
        <f t="shared" ref="Q161:Q162" si="122">M161</f>
        <v>64.353099999999998</v>
      </c>
      <c r="S161" t="str">
        <f t="shared" ref="S161:S162" si="123">TEXT(O161,"0.00")&amp;" ("&amp;TEXT(P161,"0.00")&amp;" to "&amp;TEXT(Q161,"0.00")&amp;")"</f>
        <v>63.33 (62.30 to 64.35)</v>
      </c>
    </row>
    <row r="162" spans="1:19" ht="17.25" thickBot="1" x14ac:dyDescent="0.35">
      <c r="A162" s="6"/>
      <c r="B162" s="13">
        <v>2</v>
      </c>
      <c r="C162" s="2">
        <v>4781</v>
      </c>
      <c r="D162" s="2">
        <v>2878844</v>
      </c>
      <c r="E162" s="2">
        <v>58645</v>
      </c>
      <c r="F162" s="2">
        <v>9.5162999999999993</v>
      </c>
      <c r="G162" s="2">
        <v>0.17180000000000001</v>
      </c>
      <c r="H162" s="2">
        <v>9.1795000000000009</v>
      </c>
      <c r="I162" s="2">
        <v>9.8530999999999995</v>
      </c>
      <c r="J162" s="2">
        <v>36.672600000000003</v>
      </c>
      <c r="K162" s="2">
        <v>0.52310000000000001</v>
      </c>
      <c r="L162" s="2">
        <v>35.646900000000002</v>
      </c>
      <c r="M162" s="2">
        <v>37.698300000000003</v>
      </c>
      <c r="O162">
        <f t="shared" si="120"/>
        <v>36.672600000000003</v>
      </c>
      <c r="P162">
        <f t="shared" si="121"/>
        <v>35.646900000000002</v>
      </c>
      <c r="Q162">
        <f t="shared" si="122"/>
        <v>37.698300000000003</v>
      </c>
      <c r="S162" t="str">
        <f t="shared" si="123"/>
        <v>36.67 (35.65 to 37.70)</v>
      </c>
    </row>
    <row r="163" spans="1:19" ht="17.25" thickBot="1" x14ac:dyDescent="0.35">
      <c r="A163" s="6"/>
      <c r="B163" s="13" t="s">
        <v>132</v>
      </c>
      <c r="C163" s="2">
        <v>17199</v>
      </c>
      <c r="D163" s="2">
        <v>7850118</v>
      </c>
      <c r="E163" s="2">
        <v>92267</v>
      </c>
      <c r="F163" s="2">
        <v>25.949300000000001</v>
      </c>
      <c r="G163" s="2">
        <v>0.21940000000000001</v>
      </c>
      <c r="H163" s="2">
        <v>25.519100000000002</v>
      </c>
      <c r="I163" s="2">
        <v>26.3795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3">
        <v>1</v>
      </c>
      <c r="C164" s="2">
        <v>14072</v>
      </c>
      <c r="D164" s="2">
        <v>5542644</v>
      </c>
      <c r="E164" s="2">
        <v>65888</v>
      </c>
      <c r="F164" s="2">
        <v>18.3217</v>
      </c>
      <c r="G164" s="2">
        <v>0.1741</v>
      </c>
      <c r="H164" s="2">
        <v>17.980399999999999</v>
      </c>
      <c r="I164" s="2">
        <v>18.6631</v>
      </c>
      <c r="J164" s="2">
        <v>74.333500000000001</v>
      </c>
      <c r="K164" s="2">
        <v>0.48480000000000001</v>
      </c>
      <c r="L164" s="2">
        <v>73.382800000000003</v>
      </c>
      <c r="M164" s="2">
        <v>75.284099999999995</v>
      </c>
      <c r="O164">
        <f t="shared" ref="O164:O165" si="124">J164</f>
        <v>74.333500000000001</v>
      </c>
      <c r="P164">
        <f t="shared" ref="P164:P165" si="125">L164</f>
        <v>73.382800000000003</v>
      </c>
      <c r="Q164">
        <f t="shared" ref="Q164:Q165" si="126">M164</f>
        <v>75.284099999999995</v>
      </c>
      <c r="S164" t="str">
        <f t="shared" ref="S164:S165" si="127">TEXT(O164,"0.00")&amp;" ("&amp;TEXT(P164,"0.00")&amp;" to "&amp;TEXT(Q164,"0.00")&amp;")"</f>
        <v>74.33 (73.38 to 75.28)</v>
      </c>
    </row>
    <row r="165" spans="1:19" ht="17.25" thickBot="1" x14ac:dyDescent="0.35">
      <c r="A165" s="6"/>
      <c r="B165" s="13">
        <v>2</v>
      </c>
      <c r="C165" s="2">
        <v>3027</v>
      </c>
      <c r="D165" s="2">
        <v>1913816</v>
      </c>
      <c r="E165" s="2">
        <v>45226</v>
      </c>
      <c r="F165" s="2">
        <v>6.3262999999999998</v>
      </c>
      <c r="G165" s="2">
        <v>0.13689999999999999</v>
      </c>
      <c r="H165" s="2">
        <v>6.0578000000000003</v>
      </c>
      <c r="I165" s="2">
        <v>6.5948000000000002</v>
      </c>
      <c r="J165" s="2">
        <v>25.666499999999999</v>
      </c>
      <c r="K165" s="2">
        <v>0.48480000000000001</v>
      </c>
      <c r="L165" s="2">
        <v>24.715900000000001</v>
      </c>
      <c r="M165" s="2">
        <v>26.6172</v>
      </c>
      <c r="O165">
        <f t="shared" si="124"/>
        <v>25.666499999999999</v>
      </c>
      <c r="P165">
        <f t="shared" si="125"/>
        <v>24.715900000000001</v>
      </c>
      <c r="Q165">
        <f t="shared" si="126"/>
        <v>26.6172</v>
      </c>
      <c r="S165" t="str">
        <f t="shared" si="127"/>
        <v>25.67 (24.72 to 26.62)</v>
      </c>
    </row>
    <row r="166" spans="1:19" ht="17.25" thickBot="1" x14ac:dyDescent="0.35">
      <c r="A166" s="6"/>
      <c r="B166" s="13" t="s">
        <v>132</v>
      </c>
      <c r="C166" s="2">
        <v>17099</v>
      </c>
      <c r="D166" s="2">
        <v>7456460</v>
      </c>
      <c r="E166" s="2">
        <v>83424</v>
      </c>
      <c r="F166" s="2">
        <v>24.648</v>
      </c>
      <c r="G166" s="2">
        <v>0.19750000000000001</v>
      </c>
      <c r="H166" s="2">
        <v>24.2608</v>
      </c>
      <c r="I166" s="2">
        <v>25.0352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3">
        <v>1</v>
      </c>
      <c r="C167" s="2">
        <v>14942</v>
      </c>
      <c r="D167" s="2">
        <v>5971887</v>
      </c>
      <c r="E167" s="2">
        <v>69391</v>
      </c>
      <c r="F167" s="2">
        <v>19.740600000000001</v>
      </c>
      <c r="G167" s="2">
        <v>0.18110000000000001</v>
      </c>
      <c r="H167" s="2">
        <v>19.3855</v>
      </c>
      <c r="I167" s="2">
        <v>20.095800000000001</v>
      </c>
      <c r="J167" s="2">
        <v>80.778800000000004</v>
      </c>
      <c r="K167" s="2">
        <v>0.43380000000000002</v>
      </c>
      <c r="L167" s="2">
        <v>79.928200000000004</v>
      </c>
      <c r="M167" s="2">
        <v>81.629400000000004</v>
      </c>
      <c r="O167">
        <f t="shared" ref="O167:O168" si="128">J167</f>
        <v>80.778800000000004</v>
      </c>
      <c r="P167">
        <f t="shared" ref="P167:P168" si="129">L167</f>
        <v>79.928200000000004</v>
      </c>
      <c r="Q167">
        <f t="shared" ref="Q167:Q168" si="130">M167</f>
        <v>81.629400000000004</v>
      </c>
      <c r="S167" t="str">
        <f t="shared" ref="S167:S168" si="131">TEXT(O167,"0.00")&amp;" ("&amp;TEXT(P167,"0.00")&amp;" to "&amp;TEXT(Q167,"0.00")&amp;")"</f>
        <v>80.78 (79.93 to 81.63)</v>
      </c>
    </row>
    <row r="168" spans="1:19" ht="17.25" thickBot="1" x14ac:dyDescent="0.35">
      <c r="A168" s="6"/>
      <c r="B168" s="13">
        <v>2</v>
      </c>
      <c r="C168" s="2">
        <v>2229</v>
      </c>
      <c r="D168" s="2">
        <v>1421006</v>
      </c>
      <c r="E168" s="2">
        <v>37397</v>
      </c>
      <c r="F168" s="2">
        <v>4.6973000000000003</v>
      </c>
      <c r="G168" s="2">
        <v>0.1162</v>
      </c>
      <c r="H168" s="2">
        <v>4.4692999999999996</v>
      </c>
      <c r="I168" s="2">
        <v>4.9252000000000002</v>
      </c>
      <c r="J168" s="2">
        <v>19.2212</v>
      </c>
      <c r="K168" s="2">
        <v>0.43380000000000002</v>
      </c>
      <c r="L168" s="2">
        <v>18.3706</v>
      </c>
      <c r="M168" s="2">
        <v>20.0718</v>
      </c>
      <c r="O168">
        <f t="shared" si="128"/>
        <v>19.2212</v>
      </c>
      <c r="P168">
        <f t="shared" si="129"/>
        <v>18.3706</v>
      </c>
      <c r="Q168">
        <f t="shared" si="130"/>
        <v>20.0718</v>
      </c>
      <c r="S168" t="str">
        <f t="shared" si="131"/>
        <v>19.22 (18.37 to 20.07)</v>
      </c>
    </row>
    <row r="169" spans="1:19" ht="17.25" thickBot="1" x14ac:dyDescent="0.35">
      <c r="A169" s="6"/>
      <c r="B169" s="13" t="s">
        <v>132</v>
      </c>
      <c r="C169" s="2">
        <v>17171</v>
      </c>
      <c r="D169" s="2">
        <v>7392893</v>
      </c>
      <c r="E169" s="2">
        <v>81319</v>
      </c>
      <c r="F169" s="2">
        <v>24.437899999999999</v>
      </c>
      <c r="G169" s="2">
        <v>0.1963</v>
      </c>
      <c r="H169" s="2">
        <v>24.053000000000001</v>
      </c>
      <c r="I169" s="2">
        <v>24.822800000000001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3">
        <v>1</v>
      </c>
      <c r="C170" s="2">
        <v>15381</v>
      </c>
      <c r="D170" s="2">
        <v>6412782</v>
      </c>
      <c r="E170" s="2">
        <v>72592</v>
      </c>
      <c r="F170" s="2">
        <v>21.198</v>
      </c>
      <c r="G170" s="2">
        <v>0.19359999999999999</v>
      </c>
      <c r="H170" s="2">
        <v>20.8184</v>
      </c>
      <c r="I170" s="2">
        <v>21.5777</v>
      </c>
      <c r="J170" s="2">
        <v>84.911799999999999</v>
      </c>
      <c r="K170" s="2">
        <v>0.38550000000000001</v>
      </c>
      <c r="L170" s="2">
        <v>84.156000000000006</v>
      </c>
      <c r="M170" s="2">
        <v>85.667599999999993</v>
      </c>
      <c r="O170">
        <f t="shared" ref="O170:O171" si="132">J170</f>
        <v>84.911799999999999</v>
      </c>
      <c r="P170">
        <f t="shared" ref="P170:P171" si="133">L170</f>
        <v>84.156000000000006</v>
      </c>
      <c r="Q170">
        <f t="shared" ref="Q170:Q171" si="134">M170</f>
        <v>85.667599999999993</v>
      </c>
      <c r="S170" t="str">
        <f t="shared" ref="S170:S171" si="135">TEXT(O170,"0.00")&amp;" ("&amp;TEXT(P170,"0.00")&amp;" to "&amp;TEXT(Q170,"0.00")&amp;")"</f>
        <v>84.91 (84.16 to 85.67)</v>
      </c>
    </row>
    <row r="171" spans="1:19" ht="17.25" thickBot="1" x14ac:dyDescent="0.35">
      <c r="A171" s="6"/>
      <c r="B171" s="13">
        <v>2</v>
      </c>
      <c r="C171" s="2">
        <v>1784</v>
      </c>
      <c r="D171" s="2">
        <v>1139503</v>
      </c>
      <c r="E171" s="2">
        <v>32164</v>
      </c>
      <c r="F171" s="2">
        <v>3.7667000000000002</v>
      </c>
      <c r="G171" s="2">
        <v>0.10349999999999999</v>
      </c>
      <c r="H171" s="2">
        <v>3.5638000000000001</v>
      </c>
      <c r="I171" s="2">
        <v>3.9697</v>
      </c>
      <c r="J171" s="2">
        <v>15.088200000000001</v>
      </c>
      <c r="K171" s="2">
        <v>0.38550000000000001</v>
      </c>
      <c r="L171" s="2">
        <v>14.3324</v>
      </c>
      <c r="M171" s="2">
        <v>15.843999999999999</v>
      </c>
      <c r="O171">
        <f t="shared" si="132"/>
        <v>15.088200000000001</v>
      </c>
      <c r="P171">
        <f t="shared" si="133"/>
        <v>14.3324</v>
      </c>
      <c r="Q171">
        <f t="shared" si="134"/>
        <v>15.843999999999999</v>
      </c>
      <c r="S171" t="str">
        <f t="shared" si="135"/>
        <v>15.09 (14.33 to 15.84)</v>
      </c>
    </row>
    <row r="172" spans="1:19" ht="17.25" thickBot="1" x14ac:dyDescent="0.35">
      <c r="A172" s="6"/>
      <c r="B172" s="13" t="s">
        <v>132</v>
      </c>
      <c r="C172" s="2">
        <v>17165</v>
      </c>
      <c r="D172" s="2">
        <v>7552285</v>
      </c>
      <c r="E172" s="2">
        <v>80298</v>
      </c>
      <c r="F172" s="2">
        <v>24.9648</v>
      </c>
      <c r="G172" s="2">
        <v>0.20699999999999999</v>
      </c>
      <c r="H172" s="2">
        <v>24.558800000000002</v>
      </c>
      <c r="I172" s="2">
        <v>25.370799999999999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3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36">J173</f>
        <v>0</v>
      </c>
      <c r="P173">
        <f t="shared" ref="P173:P174" si="137">L173</f>
        <v>0</v>
      </c>
      <c r="Q173">
        <f t="shared" ref="Q173:Q174" si="138">M173</f>
        <v>0</v>
      </c>
      <c r="S173" t="str">
        <f t="shared" ref="S173:S174" si="139">TEXT(O173,"0.00")&amp;" ("&amp;TEXT(P173,"0.00")&amp;" to "&amp;TEXT(Q173,"0.00")&amp;")"</f>
        <v>0.00 (0.00 to 0.00)</v>
      </c>
    </row>
    <row r="174" spans="1:19" ht="17.25" thickBot="1" x14ac:dyDescent="0.35">
      <c r="A174" s="6"/>
      <c r="B174" s="13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36"/>
        <v>0</v>
      </c>
      <c r="P174">
        <f t="shared" si="137"/>
        <v>0</v>
      </c>
      <c r="Q174">
        <f t="shared" si="138"/>
        <v>0</v>
      </c>
      <c r="S174" t="str">
        <f t="shared" si="139"/>
        <v>0.00 (0.00 to 0.00)</v>
      </c>
    </row>
    <row r="175" spans="1:19" x14ac:dyDescent="0.3">
      <c r="A175" s="6"/>
      <c r="B175" s="16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17" t="s">
        <v>158</v>
      </c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</row>
    <row r="178" spans="1:19" ht="33" customHeight="1" x14ac:dyDescent="0.3">
      <c r="A178" s="18" t="s">
        <v>23</v>
      </c>
      <c r="B178" s="20" t="s">
        <v>11</v>
      </c>
      <c r="C178" s="20" t="s">
        <v>125</v>
      </c>
      <c r="D178" s="3" t="s">
        <v>126</v>
      </c>
      <c r="E178" s="3" t="s">
        <v>127</v>
      </c>
      <c r="F178" s="20" t="s">
        <v>129</v>
      </c>
      <c r="G178" s="3" t="s">
        <v>127</v>
      </c>
      <c r="H178" s="20" t="s">
        <v>130</v>
      </c>
      <c r="I178" s="20"/>
      <c r="J178" s="3" t="s">
        <v>149</v>
      </c>
      <c r="K178" s="3" t="s">
        <v>127</v>
      </c>
      <c r="L178" s="20" t="s">
        <v>130</v>
      </c>
      <c r="M178" s="20"/>
    </row>
    <row r="179" spans="1:19" ht="33" x14ac:dyDescent="0.3">
      <c r="A179" s="18"/>
      <c r="B179" s="20"/>
      <c r="C179" s="20"/>
      <c r="D179" s="3" t="s">
        <v>125</v>
      </c>
      <c r="E179" s="3" t="s">
        <v>128</v>
      </c>
      <c r="F179" s="20"/>
      <c r="G179" s="3" t="s">
        <v>129</v>
      </c>
      <c r="H179" s="20" t="s">
        <v>131</v>
      </c>
      <c r="I179" s="20"/>
      <c r="J179" s="3" t="s">
        <v>129</v>
      </c>
      <c r="K179" s="3" t="s">
        <v>150</v>
      </c>
      <c r="L179" s="20" t="s">
        <v>151</v>
      </c>
      <c r="M179" s="20"/>
    </row>
    <row r="180" spans="1:19" ht="17.25" thickBot="1" x14ac:dyDescent="0.35">
      <c r="A180" s="6">
        <v>1</v>
      </c>
      <c r="B180" s="13">
        <v>1</v>
      </c>
      <c r="C180" s="2">
        <v>6707</v>
      </c>
      <c r="D180" s="2">
        <v>3185907</v>
      </c>
      <c r="E180" s="2">
        <v>53483</v>
      </c>
      <c r="F180" s="2">
        <v>10.5313</v>
      </c>
      <c r="G180" s="2">
        <v>0.15190000000000001</v>
      </c>
      <c r="H180" s="2">
        <v>10.2334</v>
      </c>
      <c r="I180" s="2">
        <v>10.8292</v>
      </c>
      <c r="J180" s="2">
        <v>40.584200000000003</v>
      </c>
      <c r="K180" s="2">
        <v>0.44479999999999997</v>
      </c>
      <c r="L180" s="2">
        <v>39.712000000000003</v>
      </c>
      <c r="M180" s="2">
        <v>41.456400000000002</v>
      </c>
      <c r="O180">
        <f t="shared" ref="O180:O182" si="140">J180</f>
        <v>40.584200000000003</v>
      </c>
      <c r="P180">
        <f t="shared" ref="P180:P182" si="141">L180</f>
        <v>39.712000000000003</v>
      </c>
      <c r="Q180">
        <f t="shared" ref="Q180:Q182" si="142">M180</f>
        <v>41.456400000000002</v>
      </c>
      <c r="S180" t="str">
        <f t="shared" ref="S180:S182" si="143">TEXT(O180,"0.00")&amp;" ("&amp;TEXT(P180,"0.00")&amp;" to "&amp;TEXT(Q180,"0.00")&amp;")"</f>
        <v>40.58 (39.71 to 41.46)</v>
      </c>
    </row>
    <row r="181" spans="1:19" ht="17.25" thickBot="1" x14ac:dyDescent="0.35">
      <c r="A181" s="6"/>
      <c r="B181" s="13">
        <v>2</v>
      </c>
      <c r="C181" s="2">
        <v>7972</v>
      </c>
      <c r="D181" s="2">
        <v>3631416</v>
      </c>
      <c r="E181" s="2">
        <v>55617</v>
      </c>
      <c r="F181" s="2">
        <v>12.004</v>
      </c>
      <c r="G181" s="2">
        <v>0.15479999999999999</v>
      </c>
      <c r="H181" s="2">
        <v>11.7005</v>
      </c>
      <c r="I181" s="2">
        <v>12.307499999999999</v>
      </c>
      <c r="J181" s="2">
        <v>46.259399999999999</v>
      </c>
      <c r="K181" s="2">
        <v>0.46929999999999999</v>
      </c>
      <c r="L181" s="2">
        <v>45.339100000000002</v>
      </c>
      <c r="M181" s="2">
        <v>47.179600000000001</v>
      </c>
      <c r="O181">
        <f t="shared" si="140"/>
        <v>46.259399999999999</v>
      </c>
      <c r="P181">
        <f t="shared" si="141"/>
        <v>45.339100000000002</v>
      </c>
      <c r="Q181">
        <f t="shared" si="142"/>
        <v>47.179600000000001</v>
      </c>
      <c r="S181" t="str">
        <f t="shared" si="143"/>
        <v>46.26 (45.34 to 47.18)</v>
      </c>
    </row>
    <row r="182" spans="1:19" ht="17.25" thickBot="1" x14ac:dyDescent="0.35">
      <c r="A182" s="6"/>
      <c r="B182" s="13">
        <v>3</v>
      </c>
      <c r="C182" s="2">
        <v>2520</v>
      </c>
      <c r="D182" s="2">
        <v>1032796</v>
      </c>
      <c r="E182" s="2">
        <v>25680</v>
      </c>
      <c r="F182" s="2">
        <v>3.4140000000000001</v>
      </c>
      <c r="G182" s="2">
        <v>8.2199999999999995E-2</v>
      </c>
      <c r="H182" s="2">
        <v>3.2528999999999999</v>
      </c>
      <c r="I182" s="2">
        <v>3.5750999999999999</v>
      </c>
      <c r="J182" s="2">
        <v>13.1564</v>
      </c>
      <c r="K182" s="2">
        <v>0.30280000000000001</v>
      </c>
      <c r="L182" s="2">
        <v>12.5626</v>
      </c>
      <c r="M182" s="2">
        <v>13.7502</v>
      </c>
      <c r="O182">
        <f t="shared" si="140"/>
        <v>13.1564</v>
      </c>
      <c r="P182">
        <f t="shared" si="141"/>
        <v>12.5626</v>
      </c>
      <c r="Q182">
        <f t="shared" si="142"/>
        <v>13.7502</v>
      </c>
      <c r="S182" t="str">
        <f t="shared" si="143"/>
        <v>13.16 (12.56 to 13.75)</v>
      </c>
    </row>
    <row r="183" spans="1:19" ht="17.25" thickBot="1" x14ac:dyDescent="0.35">
      <c r="A183" s="6"/>
      <c r="B183" s="13" t="s">
        <v>132</v>
      </c>
      <c r="C183" s="2">
        <v>17199</v>
      </c>
      <c r="D183" s="2">
        <v>7850118</v>
      </c>
      <c r="E183" s="2">
        <v>92267</v>
      </c>
      <c r="F183" s="2">
        <v>25.949300000000001</v>
      </c>
      <c r="G183" s="2">
        <v>0.21940000000000001</v>
      </c>
      <c r="H183" s="2">
        <v>25.519100000000002</v>
      </c>
      <c r="I183" s="2">
        <v>26.3795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3">
        <v>1</v>
      </c>
      <c r="C184" s="2">
        <v>5906</v>
      </c>
      <c r="D184" s="2">
        <v>2701204</v>
      </c>
      <c r="E184" s="2">
        <v>46855</v>
      </c>
      <c r="F184" s="2">
        <v>8.9291</v>
      </c>
      <c r="G184" s="2">
        <v>0.13519999999999999</v>
      </c>
      <c r="H184" s="2">
        <v>8.6639999999999997</v>
      </c>
      <c r="I184" s="2">
        <v>9.1942000000000004</v>
      </c>
      <c r="J184" s="2">
        <v>36.226399999999998</v>
      </c>
      <c r="K184" s="2">
        <v>0.45900000000000002</v>
      </c>
      <c r="L184" s="2">
        <v>35.326300000000003</v>
      </c>
      <c r="M184" s="2">
        <v>37.126399999999997</v>
      </c>
      <c r="O184">
        <f t="shared" ref="O184:O186" si="144">J184</f>
        <v>36.226399999999998</v>
      </c>
      <c r="P184">
        <f t="shared" ref="P184:P186" si="145">L184</f>
        <v>35.326300000000003</v>
      </c>
      <c r="Q184">
        <f t="shared" ref="Q184:Q186" si="146">M184</f>
        <v>37.126399999999997</v>
      </c>
      <c r="S184" t="str">
        <f t="shared" ref="S184:S186" si="147">TEXT(O184,"0.00")&amp;" ("&amp;TEXT(P184,"0.00")&amp;" to "&amp;TEXT(Q184,"0.00")&amp;")"</f>
        <v>36.23 (35.33 to 37.13)</v>
      </c>
    </row>
    <row r="185" spans="1:19" ht="17.25" thickBot="1" x14ac:dyDescent="0.35">
      <c r="A185" s="6"/>
      <c r="B185" s="13">
        <v>2</v>
      </c>
      <c r="C185" s="2">
        <v>8226</v>
      </c>
      <c r="D185" s="2">
        <v>3615918</v>
      </c>
      <c r="E185" s="2">
        <v>53350</v>
      </c>
      <c r="F185" s="2">
        <v>11.9528</v>
      </c>
      <c r="G185" s="2">
        <v>0.14940000000000001</v>
      </c>
      <c r="H185" s="2">
        <v>11.659800000000001</v>
      </c>
      <c r="I185" s="2">
        <v>12.245699999999999</v>
      </c>
      <c r="J185" s="2">
        <v>48.4938</v>
      </c>
      <c r="K185" s="2">
        <v>0.46710000000000002</v>
      </c>
      <c r="L185" s="2">
        <v>47.5779</v>
      </c>
      <c r="M185" s="2">
        <v>49.409599999999998</v>
      </c>
      <c r="O185">
        <f t="shared" si="144"/>
        <v>48.4938</v>
      </c>
      <c r="P185">
        <f t="shared" si="145"/>
        <v>47.5779</v>
      </c>
      <c r="Q185">
        <f t="shared" si="146"/>
        <v>49.409599999999998</v>
      </c>
      <c r="S185" t="str">
        <f t="shared" si="147"/>
        <v>48.49 (47.58 to 49.41)</v>
      </c>
    </row>
    <row r="186" spans="1:19" ht="17.25" thickBot="1" x14ac:dyDescent="0.35">
      <c r="A186" s="6"/>
      <c r="B186" s="13">
        <v>3</v>
      </c>
      <c r="C186" s="2">
        <v>2967</v>
      </c>
      <c r="D186" s="2">
        <v>1139338</v>
      </c>
      <c r="E186" s="2">
        <v>26205</v>
      </c>
      <c r="F186" s="2">
        <v>3.7662</v>
      </c>
      <c r="G186" s="2">
        <v>8.3799999999999999E-2</v>
      </c>
      <c r="H186" s="2">
        <v>3.6019000000000001</v>
      </c>
      <c r="I186" s="2">
        <v>3.9304000000000001</v>
      </c>
      <c r="J186" s="2">
        <v>15.2799</v>
      </c>
      <c r="K186" s="2">
        <v>0.3201</v>
      </c>
      <c r="L186" s="2">
        <v>14.652100000000001</v>
      </c>
      <c r="M186" s="2">
        <v>15.9076</v>
      </c>
      <c r="O186">
        <f t="shared" si="144"/>
        <v>15.2799</v>
      </c>
      <c r="P186">
        <f t="shared" si="145"/>
        <v>14.652100000000001</v>
      </c>
      <c r="Q186">
        <f t="shared" si="146"/>
        <v>15.9076</v>
      </c>
      <c r="S186" t="str">
        <f t="shared" si="147"/>
        <v>15.28 (14.65 to 15.91)</v>
      </c>
    </row>
    <row r="187" spans="1:19" ht="17.25" thickBot="1" x14ac:dyDescent="0.35">
      <c r="A187" s="6"/>
      <c r="B187" s="13" t="s">
        <v>132</v>
      </c>
      <c r="C187" s="2">
        <v>17099</v>
      </c>
      <c r="D187" s="2">
        <v>7456460</v>
      </c>
      <c r="E187" s="2">
        <v>83424</v>
      </c>
      <c r="F187" s="2">
        <v>24.648</v>
      </c>
      <c r="G187" s="2">
        <v>0.19750000000000001</v>
      </c>
      <c r="H187" s="2">
        <v>24.2608</v>
      </c>
      <c r="I187" s="2">
        <v>25.0352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3">
        <v>1</v>
      </c>
      <c r="C188" s="2">
        <v>5459</v>
      </c>
      <c r="D188" s="2">
        <v>2415685</v>
      </c>
      <c r="E188" s="2">
        <v>42670</v>
      </c>
      <c r="F188" s="2">
        <v>7.9852999999999996</v>
      </c>
      <c r="G188" s="2">
        <v>0.12509999999999999</v>
      </c>
      <c r="H188" s="2">
        <v>7.7398999999999996</v>
      </c>
      <c r="I188" s="2">
        <v>8.2306000000000008</v>
      </c>
      <c r="J188" s="2">
        <v>32.675800000000002</v>
      </c>
      <c r="K188" s="2">
        <v>0.44640000000000002</v>
      </c>
      <c r="L188" s="2">
        <v>31.8005</v>
      </c>
      <c r="M188" s="2">
        <v>33.551099999999998</v>
      </c>
      <c r="O188">
        <f t="shared" ref="O188:O190" si="148">J188</f>
        <v>32.675800000000002</v>
      </c>
      <c r="P188">
        <f t="shared" ref="P188:P190" si="149">L188</f>
        <v>31.8005</v>
      </c>
      <c r="Q188">
        <f t="shared" ref="Q188:Q190" si="150">M188</f>
        <v>33.551099999999998</v>
      </c>
      <c r="S188" t="str">
        <f t="shared" ref="S188:S190" si="151">TEXT(O188,"0.00")&amp;" ("&amp;TEXT(P188,"0.00")&amp;" to "&amp;TEXT(Q188,"0.00")&amp;")"</f>
        <v>32.68 (31.80 to 33.55)</v>
      </c>
    </row>
    <row r="189" spans="1:19" ht="17.25" thickBot="1" x14ac:dyDescent="0.35">
      <c r="A189" s="6"/>
      <c r="B189" s="13">
        <v>2</v>
      </c>
      <c r="C189" s="2">
        <v>8414</v>
      </c>
      <c r="D189" s="2">
        <v>3707341</v>
      </c>
      <c r="E189" s="2">
        <v>55393</v>
      </c>
      <c r="F189" s="2">
        <v>12.255000000000001</v>
      </c>
      <c r="G189" s="2">
        <v>0.15579999999999999</v>
      </c>
      <c r="H189" s="2">
        <v>11.9495</v>
      </c>
      <c r="I189" s="2">
        <v>12.5604</v>
      </c>
      <c r="J189" s="2">
        <v>50.147399999999998</v>
      </c>
      <c r="K189" s="2">
        <v>0.47710000000000002</v>
      </c>
      <c r="L189" s="2">
        <v>49.2119</v>
      </c>
      <c r="M189" s="2">
        <v>51.082900000000002</v>
      </c>
      <c r="O189">
        <f t="shared" si="148"/>
        <v>50.147399999999998</v>
      </c>
      <c r="P189">
        <f t="shared" si="149"/>
        <v>49.2119</v>
      </c>
      <c r="Q189">
        <f t="shared" si="150"/>
        <v>51.082900000000002</v>
      </c>
      <c r="S189" t="str">
        <f t="shared" si="151"/>
        <v>50.15 (49.21 to 51.08)</v>
      </c>
    </row>
    <row r="190" spans="1:19" ht="17.25" thickBot="1" x14ac:dyDescent="0.35">
      <c r="A190" s="6"/>
      <c r="B190" s="13">
        <v>3</v>
      </c>
      <c r="C190" s="2">
        <v>3298</v>
      </c>
      <c r="D190" s="2">
        <v>1269867</v>
      </c>
      <c r="E190" s="2">
        <v>28071</v>
      </c>
      <c r="F190" s="2">
        <v>4.1977000000000002</v>
      </c>
      <c r="G190" s="2">
        <v>9.06E-2</v>
      </c>
      <c r="H190" s="2">
        <v>4.0198999999999998</v>
      </c>
      <c r="I190" s="2">
        <v>4.3754</v>
      </c>
      <c r="J190" s="2">
        <v>17.1769</v>
      </c>
      <c r="K190" s="2">
        <v>0.34789999999999999</v>
      </c>
      <c r="L190" s="2">
        <v>16.494700000000002</v>
      </c>
      <c r="M190" s="2">
        <v>17.859000000000002</v>
      </c>
      <c r="O190">
        <f t="shared" si="148"/>
        <v>17.1769</v>
      </c>
      <c r="P190">
        <f t="shared" si="149"/>
        <v>16.494700000000002</v>
      </c>
      <c r="Q190">
        <f t="shared" si="150"/>
        <v>17.859000000000002</v>
      </c>
      <c r="S190" t="str">
        <f t="shared" si="151"/>
        <v>17.18 (16.49 to 17.86)</v>
      </c>
    </row>
    <row r="191" spans="1:19" ht="17.25" thickBot="1" x14ac:dyDescent="0.35">
      <c r="A191" s="6"/>
      <c r="B191" s="13" t="s">
        <v>132</v>
      </c>
      <c r="C191" s="2">
        <v>17171</v>
      </c>
      <c r="D191" s="2">
        <v>7392893</v>
      </c>
      <c r="E191" s="2">
        <v>81319</v>
      </c>
      <c r="F191" s="2">
        <v>24.437899999999999</v>
      </c>
      <c r="G191" s="2">
        <v>0.1963</v>
      </c>
      <c r="H191" s="2">
        <v>24.053000000000001</v>
      </c>
      <c r="I191" s="2">
        <v>24.822800000000001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3">
        <v>1</v>
      </c>
      <c r="C192" s="2">
        <v>4804</v>
      </c>
      <c r="D192" s="2">
        <v>2120227</v>
      </c>
      <c r="E192" s="2">
        <v>38843</v>
      </c>
      <c r="F192" s="2">
        <v>7.0086000000000004</v>
      </c>
      <c r="G192" s="2">
        <v>0.1188</v>
      </c>
      <c r="H192" s="2">
        <v>6.7756999999999996</v>
      </c>
      <c r="I192" s="2">
        <v>7.2415000000000003</v>
      </c>
      <c r="J192" s="2">
        <v>28.074000000000002</v>
      </c>
      <c r="K192" s="2">
        <v>0.41870000000000002</v>
      </c>
      <c r="L192" s="2">
        <v>27.253</v>
      </c>
      <c r="M192" s="2">
        <v>28.895</v>
      </c>
      <c r="O192">
        <f t="shared" ref="O192:O194" si="152">J192</f>
        <v>28.074000000000002</v>
      </c>
      <c r="P192">
        <f t="shared" ref="P192:P194" si="153">L192</f>
        <v>27.253</v>
      </c>
      <c r="Q192">
        <f t="shared" ref="Q192:Q194" si="154">M192</f>
        <v>28.895</v>
      </c>
      <c r="S192" t="str">
        <f t="shared" ref="S192:S194" si="155">TEXT(O192,"0.00")&amp;" ("&amp;TEXT(P192,"0.00")&amp;" to "&amp;TEXT(Q192,"0.00")&amp;")"</f>
        <v>28.07 (27.25 to 28.90)</v>
      </c>
    </row>
    <row r="193" spans="1:19" ht="17.25" thickBot="1" x14ac:dyDescent="0.35">
      <c r="A193" s="6"/>
      <c r="B193" s="13">
        <v>2</v>
      </c>
      <c r="C193" s="2">
        <v>8598</v>
      </c>
      <c r="D193" s="2">
        <v>3932901</v>
      </c>
      <c r="E193" s="2">
        <v>54993</v>
      </c>
      <c r="F193" s="2">
        <v>13.0006</v>
      </c>
      <c r="G193" s="2">
        <v>0.1578</v>
      </c>
      <c r="H193" s="2">
        <v>12.6912</v>
      </c>
      <c r="I193" s="2">
        <v>13.309900000000001</v>
      </c>
      <c r="J193" s="2">
        <v>52.075600000000001</v>
      </c>
      <c r="K193" s="2">
        <v>0.46379999999999999</v>
      </c>
      <c r="L193" s="2">
        <v>51.1663</v>
      </c>
      <c r="M193" s="2">
        <v>52.984999999999999</v>
      </c>
      <c r="O193">
        <f t="shared" si="152"/>
        <v>52.075600000000001</v>
      </c>
      <c r="P193">
        <f t="shared" si="153"/>
        <v>51.1663</v>
      </c>
      <c r="Q193">
        <f t="shared" si="154"/>
        <v>52.984999999999999</v>
      </c>
      <c r="S193" t="str">
        <f t="shared" si="155"/>
        <v>52.08 (51.17 to 52.99)</v>
      </c>
    </row>
    <row r="194" spans="1:19" ht="17.25" thickBot="1" x14ac:dyDescent="0.35">
      <c r="A194" s="6"/>
      <c r="B194" s="13">
        <v>3</v>
      </c>
      <c r="C194" s="2">
        <v>3763</v>
      </c>
      <c r="D194" s="2">
        <v>1499157</v>
      </c>
      <c r="E194" s="2">
        <v>30903</v>
      </c>
      <c r="F194" s="2">
        <v>4.9555999999999996</v>
      </c>
      <c r="G194" s="2">
        <v>9.8699999999999996E-2</v>
      </c>
      <c r="H194" s="2">
        <v>4.7619999999999996</v>
      </c>
      <c r="I194" s="2">
        <v>5.1492000000000004</v>
      </c>
      <c r="J194" s="2">
        <v>19.8504</v>
      </c>
      <c r="K194" s="2">
        <v>0.3553</v>
      </c>
      <c r="L194" s="2">
        <v>19.153700000000001</v>
      </c>
      <c r="M194" s="2">
        <v>20.547000000000001</v>
      </c>
      <c r="O194">
        <f t="shared" si="152"/>
        <v>19.8504</v>
      </c>
      <c r="P194">
        <f t="shared" si="153"/>
        <v>19.153700000000001</v>
      </c>
      <c r="Q194">
        <f t="shared" si="154"/>
        <v>20.547000000000001</v>
      </c>
      <c r="S194" t="str">
        <f t="shared" si="155"/>
        <v>19.85 (19.15 to 20.55)</v>
      </c>
    </row>
    <row r="195" spans="1:19" ht="17.25" thickBot="1" x14ac:dyDescent="0.35">
      <c r="A195" s="6"/>
      <c r="B195" s="13" t="s">
        <v>132</v>
      </c>
      <c r="C195" s="2">
        <v>17165</v>
      </c>
      <c r="D195" s="2">
        <v>7552285</v>
      </c>
      <c r="E195" s="2">
        <v>80298</v>
      </c>
      <c r="F195" s="2">
        <v>24.9648</v>
      </c>
      <c r="G195" s="2">
        <v>0.20699999999999999</v>
      </c>
      <c r="H195" s="2">
        <v>24.558800000000002</v>
      </c>
      <c r="I195" s="2">
        <v>25.370799999999999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3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56">J196</f>
        <v>0</v>
      </c>
      <c r="P196">
        <f t="shared" ref="P196:P198" si="157">L196</f>
        <v>0</v>
      </c>
      <c r="Q196">
        <f t="shared" ref="Q196:Q198" si="158">M196</f>
        <v>0</v>
      </c>
      <c r="S196" t="str">
        <f t="shared" ref="S196:S198" si="15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3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56"/>
        <v>0</v>
      </c>
      <c r="P197">
        <f t="shared" si="157"/>
        <v>0</v>
      </c>
      <c r="Q197">
        <f t="shared" si="158"/>
        <v>0</v>
      </c>
      <c r="S197" t="str">
        <f t="shared" si="159"/>
        <v>0.00 (0.00 to 0.00)</v>
      </c>
    </row>
    <row r="198" spans="1:19" ht="17.25" thickBot="1" x14ac:dyDescent="0.35">
      <c r="A198" s="6"/>
      <c r="B198" s="13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56"/>
        <v>0</v>
      </c>
      <c r="P198">
        <f t="shared" si="157"/>
        <v>0</v>
      </c>
      <c r="Q198">
        <f t="shared" si="158"/>
        <v>0</v>
      </c>
      <c r="S198" t="str">
        <f t="shared" si="159"/>
        <v>0.00 (0.00 to 0.00)</v>
      </c>
    </row>
    <row r="199" spans="1:19" x14ac:dyDescent="0.3">
      <c r="A199" s="6"/>
      <c r="B199" s="16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17" t="s">
        <v>159</v>
      </c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</row>
    <row r="202" spans="1:19" ht="33" customHeight="1" x14ac:dyDescent="0.3">
      <c r="A202" s="18" t="s">
        <v>23</v>
      </c>
      <c r="B202" s="20" t="s">
        <v>12</v>
      </c>
      <c r="C202" s="20" t="s">
        <v>125</v>
      </c>
      <c r="D202" s="3" t="s">
        <v>126</v>
      </c>
      <c r="E202" s="3" t="s">
        <v>127</v>
      </c>
      <c r="F202" s="20" t="s">
        <v>129</v>
      </c>
      <c r="G202" s="3" t="s">
        <v>127</v>
      </c>
      <c r="H202" s="20" t="s">
        <v>130</v>
      </c>
      <c r="I202" s="20"/>
      <c r="J202" s="3" t="s">
        <v>149</v>
      </c>
      <c r="K202" s="3" t="s">
        <v>127</v>
      </c>
      <c r="L202" s="20" t="s">
        <v>130</v>
      </c>
      <c r="M202" s="20"/>
    </row>
    <row r="203" spans="1:19" ht="33" x14ac:dyDescent="0.3">
      <c r="A203" s="18"/>
      <c r="B203" s="20"/>
      <c r="C203" s="20"/>
      <c r="D203" s="3" t="s">
        <v>125</v>
      </c>
      <c r="E203" s="3" t="s">
        <v>128</v>
      </c>
      <c r="F203" s="20"/>
      <c r="G203" s="3" t="s">
        <v>129</v>
      </c>
      <c r="H203" s="20" t="s">
        <v>131</v>
      </c>
      <c r="I203" s="20"/>
      <c r="J203" s="3" t="s">
        <v>129</v>
      </c>
      <c r="K203" s="3" t="s">
        <v>150</v>
      </c>
      <c r="L203" s="20" t="s">
        <v>151</v>
      </c>
      <c r="M203" s="20"/>
    </row>
    <row r="204" spans="1:19" ht="17.25" thickBot="1" x14ac:dyDescent="0.35">
      <c r="A204" s="6">
        <v>1</v>
      </c>
      <c r="B204" s="13">
        <v>1</v>
      </c>
      <c r="C204" s="2">
        <v>4761</v>
      </c>
      <c r="D204" s="2">
        <v>2229834</v>
      </c>
      <c r="E204" s="2">
        <v>42105</v>
      </c>
      <c r="F204" s="2">
        <v>7.3708999999999998</v>
      </c>
      <c r="G204" s="2">
        <v>0.1278</v>
      </c>
      <c r="H204" s="2">
        <v>7.1203000000000003</v>
      </c>
      <c r="I204" s="2">
        <v>7.6215000000000002</v>
      </c>
      <c r="J204" s="2">
        <v>28.405100000000001</v>
      </c>
      <c r="K204" s="2">
        <v>0.42349999999999999</v>
      </c>
      <c r="L204" s="2">
        <v>27.5747</v>
      </c>
      <c r="M204" s="2">
        <v>29.235499999999998</v>
      </c>
      <c r="O204">
        <f t="shared" ref="O204:O206" si="160">J204</f>
        <v>28.405100000000001</v>
      </c>
      <c r="P204">
        <f t="shared" ref="P204:P206" si="161">L204</f>
        <v>27.5747</v>
      </c>
      <c r="Q204">
        <f t="shared" ref="Q204:Q206" si="162">M204</f>
        <v>29.235499999999998</v>
      </c>
      <c r="S204" t="str">
        <f t="shared" ref="S204:S206" si="163">TEXT(O204,"0.00")&amp;" ("&amp;TEXT(P204,"0.00")&amp;" to "&amp;TEXT(Q204,"0.00")&amp;")"</f>
        <v>28.41 (27.57 to 29.24)</v>
      </c>
    </row>
    <row r="205" spans="1:19" ht="17.25" thickBot="1" x14ac:dyDescent="0.35">
      <c r="A205" s="6"/>
      <c r="B205" s="13">
        <v>2</v>
      </c>
      <c r="C205" s="2">
        <v>10150</v>
      </c>
      <c r="D205" s="2">
        <v>4663308</v>
      </c>
      <c r="E205" s="2">
        <v>66245</v>
      </c>
      <c r="F205" s="2">
        <v>15.414999999999999</v>
      </c>
      <c r="G205" s="2">
        <v>0.17560000000000001</v>
      </c>
      <c r="H205" s="2">
        <v>15.0707</v>
      </c>
      <c r="I205" s="2">
        <v>15.7593</v>
      </c>
      <c r="J205" s="2">
        <v>59.404299999999999</v>
      </c>
      <c r="K205" s="2">
        <v>0.45090000000000002</v>
      </c>
      <c r="L205" s="2">
        <v>58.520099999999999</v>
      </c>
      <c r="M205" s="2">
        <v>60.288499999999999</v>
      </c>
      <c r="O205">
        <f t="shared" si="160"/>
        <v>59.404299999999999</v>
      </c>
      <c r="P205">
        <f t="shared" si="161"/>
        <v>58.520099999999999</v>
      </c>
      <c r="Q205">
        <f t="shared" si="162"/>
        <v>60.288499999999999</v>
      </c>
      <c r="S205" t="str">
        <f t="shared" si="163"/>
        <v>59.40 (58.52 to 60.29)</v>
      </c>
    </row>
    <row r="206" spans="1:19" ht="17.25" thickBot="1" x14ac:dyDescent="0.35">
      <c r="A206" s="6"/>
      <c r="B206" s="13">
        <v>3</v>
      </c>
      <c r="C206" s="2">
        <v>2288</v>
      </c>
      <c r="D206" s="2">
        <v>956976</v>
      </c>
      <c r="E206" s="2">
        <v>25710</v>
      </c>
      <c r="F206" s="2">
        <v>3.1634000000000002</v>
      </c>
      <c r="G206" s="2">
        <v>8.1000000000000003E-2</v>
      </c>
      <c r="H206" s="2">
        <v>3.0045000000000002</v>
      </c>
      <c r="I206" s="2">
        <v>3.3222999999999998</v>
      </c>
      <c r="J206" s="2">
        <v>12.1906</v>
      </c>
      <c r="K206" s="2">
        <v>0.29959999999999998</v>
      </c>
      <c r="L206" s="2">
        <v>11.6031</v>
      </c>
      <c r="M206" s="2">
        <v>12.778</v>
      </c>
      <c r="O206">
        <f t="shared" si="160"/>
        <v>12.1906</v>
      </c>
      <c r="P206">
        <f t="shared" si="161"/>
        <v>11.6031</v>
      </c>
      <c r="Q206">
        <f t="shared" si="162"/>
        <v>12.778</v>
      </c>
      <c r="S206" t="str">
        <f t="shared" si="163"/>
        <v>12.19 (11.60 to 12.78)</v>
      </c>
    </row>
    <row r="207" spans="1:19" ht="17.25" thickBot="1" x14ac:dyDescent="0.35">
      <c r="A207" s="6"/>
      <c r="B207" s="13" t="s">
        <v>132</v>
      </c>
      <c r="C207" s="2">
        <v>17199</v>
      </c>
      <c r="D207" s="2">
        <v>7850118</v>
      </c>
      <c r="E207" s="2">
        <v>92267</v>
      </c>
      <c r="F207" s="2">
        <v>25.949300000000001</v>
      </c>
      <c r="G207" s="2">
        <v>0.21940000000000001</v>
      </c>
      <c r="H207" s="2">
        <v>25.519100000000002</v>
      </c>
      <c r="I207" s="2">
        <v>26.3795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3">
        <v>1</v>
      </c>
      <c r="C208" s="2">
        <v>4430</v>
      </c>
      <c r="D208" s="2">
        <v>2015422</v>
      </c>
      <c r="E208" s="2">
        <v>39173</v>
      </c>
      <c r="F208" s="2">
        <v>6.6622000000000003</v>
      </c>
      <c r="G208" s="2">
        <v>0.11700000000000001</v>
      </c>
      <c r="H208" s="2">
        <v>6.4326999999999996</v>
      </c>
      <c r="I208" s="2">
        <v>6.8916000000000004</v>
      </c>
      <c r="J208" s="2">
        <v>27.029199999999999</v>
      </c>
      <c r="K208" s="2">
        <v>0.41689999999999999</v>
      </c>
      <c r="L208" s="2">
        <v>26.2117</v>
      </c>
      <c r="M208" s="2">
        <v>27.846699999999998</v>
      </c>
      <c r="O208">
        <f t="shared" ref="O208:O210" si="164">J208</f>
        <v>27.029199999999999</v>
      </c>
      <c r="P208">
        <f t="shared" ref="P208:P210" si="165">L208</f>
        <v>26.2117</v>
      </c>
      <c r="Q208">
        <f t="shared" ref="Q208:Q210" si="166">M208</f>
        <v>27.846699999999998</v>
      </c>
      <c r="S208" t="str">
        <f t="shared" ref="S208:S210" si="167">TEXT(O208,"0.00")&amp;" ("&amp;TEXT(P208,"0.00")&amp;" to "&amp;TEXT(Q208,"0.00")&amp;")"</f>
        <v>27.03 (26.21 to 27.85)</v>
      </c>
    </row>
    <row r="209" spans="1:19" ht="17.25" thickBot="1" x14ac:dyDescent="0.35">
      <c r="A209" s="6"/>
      <c r="B209" s="13">
        <v>2</v>
      </c>
      <c r="C209" s="2">
        <v>9962</v>
      </c>
      <c r="D209" s="2">
        <v>4389985</v>
      </c>
      <c r="E209" s="2">
        <v>59856</v>
      </c>
      <c r="F209" s="2">
        <v>14.5115</v>
      </c>
      <c r="G209" s="2">
        <v>0.1615</v>
      </c>
      <c r="H209" s="2">
        <v>14.194800000000001</v>
      </c>
      <c r="I209" s="2">
        <v>14.828200000000001</v>
      </c>
      <c r="J209" s="2">
        <v>58.874899999999997</v>
      </c>
      <c r="K209" s="2">
        <v>0.45889999999999997</v>
      </c>
      <c r="L209" s="2">
        <v>57.975200000000001</v>
      </c>
      <c r="M209" s="2">
        <v>59.774700000000003</v>
      </c>
      <c r="O209">
        <f t="shared" si="164"/>
        <v>58.874899999999997</v>
      </c>
      <c r="P209">
        <f t="shared" si="165"/>
        <v>57.975200000000001</v>
      </c>
      <c r="Q209">
        <f t="shared" si="166"/>
        <v>59.774700000000003</v>
      </c>
      <c r="S209" t="str">
        <f t="shared" si="167"/>
        <v>58.87 (57.98 to 59.77)</v>
      </c>
    </row>
    <row r="210" spans="1:19" ht="17.25" thickBot="1" x14ac:dyDescent="0.35">
      <c r="A210" s="6"/>
      <c r="B210" s="13">
        <v>3</v>
      </c>
      <c r="C210" s="2">
        <v>2707</v>
      </c>
      <c r="D210" s="2">
        <v>1051053</v>
      </c>
      <c r="E210" s="2">
        <v>25868</v>
      </c>
      <c r="F210" s="2">
        <v>3.4744000000000002</v>
      </c>
      <c r="G210" s="2">
        <v>8.2600000000000007E-2</v>
      </c>
      <c r="H210" s="2">
        <v>3.3125</v>
      </c>
      <c r="I210" s="2">
        <v>3.6362000000000001</v>
      </c>
      <c r="J210" s="2">
        <v>14.0959</v>
      </c>
      <c r="K210" s="2">
        <v>0.31790000000000002</v>
      </c>
      <c r="L210" s="2">
        <v>13.4725</v>
      </c>
      <c r="M210" s="2">
        <v>14.7193</v>
      </c>
      <c r="O210">
        <f t="shared" si="164"/>
        <v>14.0959</v>
      </c>
      <c r="P210">
        <f t="shared" si="165"/>
        <v>13.4725</v>
      </c>
      <c r="Q210">
        <f t="shared" si="166"/>
        <v>14.7193</v>
      </c>
      <c r="S210" t="str">
        <f t="shared" si="167"/>
        <v>14.10 (13.47 to 14.72)</v>
      </c>
    </row>
    <row r="211" spans="1:19" ht="17.25" thickBot="1" x14ac:dyDescent="0.35">
      <c r="A211" s="6"/>
      <c r="B211" s="13" t="s">
        <v>132</v>
      </c>
      <c r="C211" s="2">
        <v>17099</v>
      </c>
      <c r="D211" s="2">
        <v>7456460</v>
      </c>
      <c r="E211" s="2">
        <v>83424</v>
      </c>
      <c r="F211" s="2">
        <v>24.648</v>
      </c>
      <c r="G211" s="2">
        <v>0.19750000000000001</v>
      </c>
      <c r="H211" s="2">
        <v>24.2608</v>
      </c>
      <c r="I211" s="2">
        <v>25.0352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3">
        <v>1</v>
      </c>
      <c r="C212" s="2">
        <v>4440</v>
      </c>
      <c r="D212" s="2">
        <v>2004785</v>
      </c>
      <c r="E212" s="2">
        <v>37836</v>
      </c>
      <c r="F212" s="2">
        <v>6.6269999999999998</v>
      </c>
      <c r="G212" s="2">
        <v>0.11609999999999999</v>
      </c>
      <c r="H212" s="2">
        <v>6.3994</v>
      </c>
      <c r="I212" s="2">
        <v>6.8545999999999996</v>
      </c>
      <c r="J212" s="2">
        <v>27.117699999999999</v>
      </c>
      <c r="K212" s="2">
        <v>0.41670000000000001</v>
      </c>
      <c r="L212" s="2">
        <v>26.300799999999999</v>
      </c>
      <c r="M212" s="2">
        <v>27.934699999999999</v>
      </c>
      <c r="O212">
        <f t="shared" ref="O212:O214" si="168">J212</f>
        <v>27.117699999999999</v>
      </c>
      <c r="P212">
        <f t="shared" ref="P212:P214" si="169">L212</f>
        <v>26.300799999999999</v>
      </c>
      <c r="Q212">
        <f t="shared" ref="Q212:Q214" si="170">M212</f>
        <v>27.934699999999999</v>
      </c>
      <c r="S212" t="str">
        <f t="shared" ref="S212:S214" si="171">TEXT(O212,"0.00")&amp;" ("&amp;TEXT(P212,"0.00")&amp;" to "&amp;TEXT(Q212,"0.00")&amp;")"</f>
        <v>27.12 (26.30 to 27.93)</v>
      </c>
    </row>
    <row r="213" spans="1:19" ht="17.25" thickBot="1" x14ac:dyDescent="0.35">
      <c r="A213" s="6"/>
      <c r="B213" s="13">
        <v>2</v>
      </c>
      <c r="C213" s="2">
        <v>9818</v>
      </c>
      <c r="D213" s="2">
        <v>4293593</v>
      </c>
      <c r="E213" s="2">
        <v>58485</v>
      </c>
      <c r="F213" s="2">
        <v>14.1929</v>
      </c>
      <c r="G213" s="2">
        <v>0.15620000000000001</v>
      </c>
      <c r="H213" s="2">
        <v>13.8865</v>
      </c>
      <c r="I213" s="2">
        <v>14.4992</v>
      </c>
      <c r="J213" s="2">
        <v>58.077300000000001</v>
      </c>
      <c r="K213" s="2">
        <v>0.44729999999999998</v>
      </c>
      <c r="L213" s="2">
        <v>57.200200000000002</v>
      </c>
      <c r="M213" s="2">
        <v>58.9544</v>
      </c>
      <c r="O213">
        <f t="shared" si="168"/>
        <v>58.077300000000001</v>
      </c>
      <c r="P213">
        <f t="shared" si="169"/>
        <v>57.200200000000002</v>
      </c>
      <c r="Q213">
        <f t="shared" si="170"/>
        <v>58.9544</v>
      </c>
      <c r="S213" t="str">
        <f t="shared" si="171"/>
        <v>58.08 (57.20 to 58.95)</v>
      </c>
    </row>
    <row r="214" spans="1:19" ht="17.25" thickBot="1" x14ac:dyDescent="0.35">
      <c r="A214" s="6"/>
      <c r="B214" s="13">
        <v>3</v>
      </c>
      <c r="C214" s="2">
        <v>2913</v>
      </c>
      <c r="D214" s="2">
        <v>1094515</v>
      </c>
      <c r="E214" s="2">
        <v>25488</v>
      </c>
      <c r="F214" s="2">
        <v>3.6179999999999999</v>
      </c>
      <c r="G214" s="2">
        <v>8.1199999999999994E-2</v>
      </c>
      <c r="H214" s="2">
        <v>3.4588000000000001</v>
      </c>
      <c r="I214" s="2">
        <v>3.7772999999999999</v>
      </c>
      <c r="J214" s="2">
        <v>14.805</v>
      </c>
      <c r="K214" s="2">
        <v>0.31059999999999999</v>
      </c>
      <c r="L214" s="2">
        <v>14.1959</v>
      </c>
      <c r="M214" s="2">
        <v>15.414</v>
      </c>
      <c r="O214">
        <f t="shared" si="168"/>
        <v>14.805</v>
      </c>
      <c r="P214">
        <f t="shared" si="169"/>
        <v>14.1959</v>
      </c>
      <c r="Q214">
        <f t="shared" si="170"/>
        <v>15.414</v>
      </c>
      <c r="S214" t="str">
        <f t="shared" si="171"/>
        <v>14.81 (14.20 to 15.41)</v>
      </c>
    </row>
    <row r="215" spans="1:19" ht="17.25" thickBot="1" x14ac:dyDescent="0.35">
      <c r="A215" s="6"/>
      <c r="B215" s="13" t="s">
        <v>132</v>
      </c>
      <c r="C215" s="2">
        <v>17171</v>
      </c>
      <c r="D215" s="2">
        <v>7392893</v>
      </c>
      <c r="E215" s="2">
        <v>81319</v>
      </c>
      <c r="F215" s="2">
        <v>24.437899999999999</v>
      </c>
      <c r="G215" s="2">
        <v>0.1963</v>
      </c>
      <c r="H215" s="2">
        <v>24.053000000000001</v>
      </c>
      <c r="I215" s="2">
        <v>24.822800000000001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3">
        <v>1</v>
      </c>
      <c r="C216" s="2">
        <v>4626</v>
      </c>
      <c r="D216" s="2">
        <v>2163004</v>
      </c>
      <c r="E216" s="2">
        <v>39205</v>
      </c>
      <c r="F216" s="2">
        <v>7.15</v>
      </c>
      <c r="G216" s="2">
        <v>0.1188</v>
      </c>
      <c r="H216" s="2">
        <v>6.9170999999999996</v>
      </c>
      <c r="I216" s="2">
        <v>7.3829000000000002</v>
      </c>
      <c r="J216" s="2">
        <v>28.6404</v>
      </c>
      <c r="K216" s="2">
        <v>0.41160000000000002</v>
      </c>
      <c r="L216" s="2">
        <v>27.833300000000001</v>
      </c>
      <c r="M216" s="2">
        <v>29.447500000000002</v>
      </c>
      <c r="O216">
        <f t="shared" ref="O216:O218" si="172">J216</f>
        <v>28.6404</v>
      </c>
      <c r="P216">
        <f t="shared" ref="P216:P218" si="173">L216</f>
        <v>27.833300000000001</v>
      </c>
      <c r="Q216">
        <f t="shared" ref="Q216:Q218" si="174">M216</f>
        <v>29.447500000000002</v>
      </c>
      <c r="S216" t="str">
        <f t="shared" ref="S216:S218" si="175">TEXT(O216,"0.00")&amp;" ("&amp;TEXT(P216,"0.00")&amp;" to "&amp;TEXT(Q216,"0.00")&amp;")"</f>
        <v>28.64 (27.83 to 29.45)</v>
      </c>
    </row>
    <row r="217" spans="1:19" ht="17.25" thickBot="1" x14ac:dyDescent="0.35">
      <c r="A217" s="6"/>
      <c r="B217" s="13">
        <v>2</v>
      </c>
      <c r="C217" s="2">
        <v>9621</v>
      </c>
      <c r="D217" s="2">
        <v>4274583</v>
      </c>
      <c r="E217" s="2">
        <v>57564</v>
      </c>
      <c r="F217" s="2">
        <v>14.13</v>
      </c>
      <c r="G217" s="2">
        <v>0.1651</v>
      </c>
      <c r="H217" s="2">
        <v>13.8062</v>
      </c>
      <c r="I217" s="2">
        <v>14.453799999999999</v>
      </c>
      <c r="J217" s="2">
        <v>56.599899999999998</v>
      </c>
      <c r="K217" s="2">
        <v>0.45129999999999998</v>
      </c>
      <c r="L217" s="2">
        <v>55.7149</v>
      </c>
      <c r="M217" s="2">
        <v>57.4848</v>
      </c>
      <c r="O217">
        <f t="shared" si="172"/>
        <v>56.599899999999998</v>
      </c>
      <c r="P217">
        <f t="shared" si="173"/>
        <v>55.7149</v>
      </c>
      <c r="Q217">
        <f t="shared" si="174"/>
        <v>57.4848</v>
      </c>
      <c r="S217" t="str">
        <f t="shared" si="175"/>
        <v>56.60 (55.71 to 57.48)</v>
      </c>
    </row>
    <row r="218" spans="1:19" ht="17.25" thickBot="1" x14ac:dyDescent="0.35">
      <c r="A218" s="6"/>
      <c r="B218" s="13">
        <v>3</v>
      </c>
      <c r="C218" s="2">
        <v>2918</v>
      </c>
      <c r="D218" s="2">
        <v>1114699</v>
      </c>
      <c r="E218" s="2">
        <v>25677</v>
      </c>
      <c r="F218" s="2">
        <v>3.6846999999999999</v>
      </c>
      <c r="G218" s="2">
        <v>8.2699999999999996E-2</v>
      </c>
      <c r="H218" s="2">
        <v>3.5225</v>
      </c>
      <c r="I218" s="2">
        <v>3.847</v>
      </c>
      <c r="J218" s="2">
        <v>14.7598</v>
      </c>
      <c r="K218" s="2">
        <v>0.31409999999999999</v>
      </c>
      <c r="L218" s="2">
        <v>14.143800000000001</v>
      </c>
      <c r="M218" s="2">
        <v>15.3757</v>
      </c>
      <c r="O218">
        <f t="shared" si="172"/>
        <v>14.7598</v>
      </c>
      <c r="P218">
        <f t="shared" si="173"/>
        <v>14.143800000000001</v>
      </c>
      <c r="Q218">
        <f t="shared" si="174"/>
        <v>15.3757</v>
      </c>
      <c r="S218" t="str">
        <f t="shared" si="175"/>
        <v>14.76 (14.14 to 15.38)</v>
      </c>
    </row>
    <row r="219" spans="1:19" ht="17.25" thickBot="1" x14ac:dyDescent="0.35">
      <c r="A219" s="6"/>
      <c r="B219" s="13" t="s">
        <v>132</v>
      </c>
      <c r="C219" s="2">
        <v>17165</v>
      </c>
      <c r="D219" s="2">
        <v>7552285</v>
      </c>
      <c r="E219" s="2">
        <v>80298</v>
      </c>
      <c r="F219" s="2">
        <v>24.9648</v>
      </c>
      <c r="G219" s="2">
        <v>0.20699999999999999</v>
      </c>
      <c r="H219" s="2">
        <v>24.558800000000002</v>
      </c>
      <c r="I219" s="2">
        <v>25.370799999999999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3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76">J220</f>
        <v>0</v>
      </c>
      <c r="P220">
        <f t="shared" ref="P220:P222" si="177">L220</f>
        <v>0</v>
      </c>
      <c r="Q220">
        <f t="shared" ref="Q220:Q222" si="178">M220</f>
        <v>0</v>
      </c>
      <c r="S220" t="str">
        <f t="shared" ref="S220:S222" si="179">TEXT(O220,"0.00")&amp;" ("&amp;TEXT(P220,"0.00")&amp;" to "&amp;TEXT(Q220,"0.00")&amp;")"</f>
        <v>0.00 (0.00 to 0.00)</v>
      </c>
    </row>
    <row r="221" spans="1:19" ht="17.25" thickBot="1" x14ac:dyDescent="0.35">
      <c r="A221" s="6"/>
      <c r="B221" s="13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76"/>
        <v>0</v>
      </c>
      <c r="P221">
        <f t="shared" si="177"/>
        <v>0</v>
      </c>
      <c r="Q221">
        <f t="shared" si="178"/>
        <v>0</v>
      </c>
      <c r="S221" t="str">
        <f t="shared" si="179"/>
        <v>0.00 (0.00 to 0.00)</v>
      </c>
    </row>
    <row r="222" spans="1:19" ht="17.25" thickBot="1" x14ac:dyDescent="0.35">
      <c r="A222" s="6"/>
      <c r="B222" s="13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76"/>
        <v>0</v>
      </c>
      <c r="P222">
        <f t="shared" si="177"/>
        <v>0</v>
      </c>
      <c r="Q222">
        <f t="shared" si="178"/>
        <v>0</v>
      </c>
      <c r="S222" t="str">
        <f t="shared" si="179"/>
        <v>0.00 (0.00 to 0.00)</v>
      </c>
    </row>
    <row r="223" spans="1:19" x14ac:dyDescent="0.3">
      <c r="A223" s="6"/>
      <c r="B223" s="16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17" t="s">
        <v>160</v>
      </c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</row>
    <row r="226" spans="1:19" ht="33" customHeight="1" x14ac:dyDescent="0.3">
      <c r="A226" s="18" t="s">
        <v>23</v>
      </c>
      <c r="B226" s="20" t="s">
        <v>13</v>
      </c>
      <c r="C226" s="20" t="s">
        <v>125</v>
      </c>
      <c r="D226" s="3" t="s">
        <v>126</v>
      </c>
      <c r="E226" s="3" t="s">
        <v>127</v>
      </c>
      <c r="F226" s="20" t="s">
        <v>129</v>
      </c>
      <c r="G226" s="3" t="s">
        <v>127</v>
      </c>
      <c r="H226" s="20" t="s">
        <v>130</v>
      </c>
      <c r="I226" s="20"/>
      <c r="J226" s="3" t="s">
        <v>149</v>
      </c>
      <c r="K226" s="3" t="s">
        <v>127</v>
      </c>
      <c r="L226" s="20" t="s">
        <v>130</v>
      </c>
      <c r="M226" s="20"/>
    </row>
    <row r="227" spans="1:19" ht="33" x14ac:dyDescent="0.3">
      <c r="A227" s="18"/>
      <c r="B227" s="20"/>
      <c r="C227" s="20"/>
      <c r="D227" s="3" t="s">
        <v>125</v>
      </c>
      <c r="E227" s="3" t="s">
        <v>128</v>
      </c>
      <c r="F227" s="20"/>
      <c r="G227" s="3" t="s">
        <v>129</v>
      </c>
      <c r="H227" s="20" t="s">
        <v>131</v>
      </c>
      <c r="I227" s="20"/>
      <c r="J227" s="3" t="s">
        <v>129</v>
      </c>
      <c r="K227" s="3" t="s">
        <v>150</v>
      </c>
      <c r="L227" s="20" t="s">
        <v>151</v>
      </c>
      <c r="M227" s="20"/>
    </row>
    <row r="228" spans="1:19" ht="17.25" thickBot="1" x14ac:dyDescent="0.35">
      <c r="A228" s="6">
        <v>1</v>
      </c>
      <c r="B228" s="13">
        <v>1</v>
      </c>
      <c r="C228" s="2">
        <v>7172</v>
      </c>
      <c r="D228" s="2">
        <v>3071069</v>
      </c>
      <c r="E228" s="2">
        <v>49864</v>
      </c>
      <c r="F228" s="2">
        <v>10.1517</v>
      </c>
      <c r="G228" s="2">
        <v>0.14610000000000001</v>
      </c>
      <c r="H228" s="2">
        <v>9.8651999999999997</v>
      </c>
      <c r="I228" s="2">
        <v>10.4382</v>
      </c>
      <c r="J228" s="2">
        <v>39.121299999999998</v>
      </c>
      <c r="K228" s="2">
        <v>0.46460000000000001</v>
      </c>
      <c r="L228" s="2">
        <v>38.2102</v>
      </c>
      <c r="M228" s="2">
        <v>40.032400000000003</v>
      </c>
      <c r="O228">
        <f t="shared" ref="O228:O230" si="180">J228</f>
        <v>39.121299999999998</v>
      </c>
      <c r="P228">
        <f t="shared" ref="P228:P230" si="181">L228</f>
        <v>38.2102</v>
      </c>
      <c r="Q228">
        <f t="shared" ref="Q228:Q230" si="182">M228</f>
        <v>40.032400000000003</v>
      </c>
      <c r="S228" t="str">
        <f t="shared" ref="S228:S230" si="183">TEXT(O228,"0.00")&amp;" ("&amp;TEXT(P228,"0.00")&amp;" to "&amp;TEXT(Q228,"0.00")&amp;")"</f>
        <v>39.12 (38.21 to 40.03)</v>
      </c>
    </row>
    <row r="229" spans="1:19" ht="17.25" thickBot="1" x14ac:dyDescent="0.35">
      <c r="A229" s="6"/>
      <c r="B229" s="13">
        <v>2</v>
      </c>
      <c r="C229" s="2">
        <v>7077</v>
      </c>
      <c r="D229" s="2">
        <v>3420679</v>
      </c>
      <c r="E229" s="2">
        <v>56332</v>
      </c>
      <c r="F229" s="2">
        <v>11.307399999999999</v>
      </c>
      <c r="G229" s="2">
        <v>0.15590000000000001</v>
      </c>
      <c r="H229" s="2">
        <v>11.0016</v>
      </c>
      <c r="I229" s="2">
        <v>11.613099999999999</v>
      </c>
      <c r="J229" s="2">
        <v>43.5749</v>
      </c>
      <c r="K229" s="2">
        <v>0.47320000000000001</v>
      </c>
      <c r="L229" s="2">
        <v>42.646999999999998</v>
      </c>
      <c r="M229" s="2">
        <v>44.502800000000001</v>
      </c>
      <c r="O229">
        <f t="shared" si="180"/>
        <v>43.5749</v>
      </c>
      <c r="P229">
        <f t="shared" si="181"/>
        <v>42.646999999999998</v>
      </c>
      <c r="Q229">
        <f t="shared" si="182"/>
        <v>44.502800000000001</v>
      </c>
      <c r="S229" t="str">
        <f t="shared" si="183"/>
        <v>43.57 (42.65 to 44.50)</v>
      </c>
    </row>
    <row r="230" spans="1:19" ht="17.25" thickBot="1" x14ac:dyDescent="0.35">
      <c r="A230" s="6"/>
      <c r="B230" s="13">
        <v>3</v>
      </c>
      <c r="C230" s="2">
        <v>2950</v>
      </c>
      <c r="D230" s="2">
        <v>1358371</v>
      </c>
      <c r="E230" s="2">
        <v>31951</v>
      </c>
      <c r="F230" s="2">
        <v>4.4901999999999997</v>
      </c>
      <c r="G230" s="2">
        <v>0.1004</v>
      </c>
      <c r="H230" s="2">
        <v>4.2934000000000001</v>
      </c>
      <c r="I230" s="2">
        <v>4.6871</v>
      </c>
      <c r="J230" s="2">
        <v>17.303799999999999</v>
      </c>
      <c r="K230" s="2">
        <v>0.3538</v>
      </c>
      <c r="L230" s="2">
        <v>16.610199999999999</v>
      </c>
      <c r="M230" s="2">
        <v>17.997499999999999</v>
      </c>
      <c r="O230">
        <f t="shared" si="180"/>
        <v>17.303799999999999</v>
      </c>
      <c r="P230">
        <f t="shared" si="181"/>
        <v>16.610199999999999</v>
      </c>
      <c r="Q230">
        <f t="shared" si="182"/>
        <v>17.997499999999999</v>
      </c>
      <c r="S230" t="str">
        <f t="shared" si="183"/>
        <v>17.30 (16.61 to 18.00)</v>
      </c>
    </row>
    <row r="231" spans="1:19" ht="17.25" thickBot="1" x14ac:dyDescent="0.35">
      <c r="A231" s="6"/>
      <c r="B231" s="13" t="s">
        <v>132</v>
      </c>
      <c r="C231" s="2">
        <v>17199</v>
      </c>
      <c r="D231" s="2">
        <v>7850118</v>
      </c>
      <c r="E231" s="2">
        <v>92267</v>
      </c>
      <c r="F231" s="2">
        <v>25.949300000000001</v>
      </c>
      <c r="G231" s="2">
        <v>0.21940000000000001</v>
      </c>
      <c r="H231" s="2">
        <v>25.519100000000002</v>
      </c>
      <c r="I231" s="2">
        <v>26.3795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3">
        <v>1</v>
      </c>
      <c r="C232" s="2">
        <v>7098</v>
      </c>
      <c r="D232" s="2">
        <v>2818478</v>
      </c>
      <c r="E232" s="2">
        <v>44462</v>
      </c>
      <c r="F232" s="2">
        <v>9.3167000000000009</v>
      </c>
      <c r="G232" s="2">
        <v>0.13070000000000001</v>
      </c>
      <c r="H232" s="2">
        <v>9.0603999999999996</v>
      </c>
      <c r="I232" s="2">
        <v>9.5731000000000002</v>
      </c>
      <c r="J232" s="2">
        <v>37.799100000000003</v>
      </c>
      <c r="K232" s="2">
        <v>0.44629999999999997</v>
      </c>
      <c r="L232" s="2">
        <v>36.923999999999999</v>
      </c>
      <c r="M232" s="2">
        <v>38.674300000000002</v>
      </c>
      <c r="O232">
        <f t="shared" ref="O232:O234" si="184">J232</f>
        <v>37.799100000000003</v>
      </c>
      <c r="P232">
        <f t="shared" ref="P232:P234" si="185">L232</f>
        <v>36.923999999999999</v>
      </c>
      <c r="Q232">
        <f t="shared" ref="Q232:Q234" si="186">M232</f>
        <v>38.674300000000002</v>
      </c>
      <c r="S232" t="str">
        <f t="shared" ref="S232:S234" si="187">TEXT(O232,"0.00")&amp;" ("&amp;TEXT(P232,"0.00")&amp;" to "&amp;TEXT(Q232,"0.00")&amp;")"</f>
        <v>37.80 (36.92 to 38.67)</v>
      </c>
    </row>
    <row r="233" spans="1:19" ht="17.25" thickBot="1" x14ac:dyDescent="0.35">
      <c r="A233" s="6"/>
      <c r="B233" s="13">
        <v>2</v>
      </c>
      <c r="C233" s="2">
        <v>6408</v>
      </c>
      <c r="D233" s="2">
        <v>2998221</v>
      </c>
      <c r="E233" s="2">
        <v>49905</v>
      </c>
      <c r="F233" s="2">
        <v>9.9108999999999998</v>
      </c>
      <c r="G233" s="2">
        <v>0.14169999999999999</v>
      </c>
      <c r="H233" s="2">
        <v>9.6331000000000007</v>
      </c>
      <c r="I233" s="2">
        <v>10.188700000000001</v>
      </c>
      <c r="J233" s="2">
        <v>40.209699999999998</v>
      </c>
      <c r="K233" s="2">
        <v>0.46439999999999998</v>
      </c>
      <c r="L233" s="2">
        <v>39.299100000000003</v>
      </c>
      <c r="M233" s="2">
        <v>41.1203</v>
      </c>
      <c r="O233">
        <f t="shared" si="184"/>
        <v>40.209699999999998</v>
      </c>
      <c r="P233">
        <f t="shared" si="185"/>
        <v>39.299100000000003</v>
      </c>
      <c r="Q233">
        <f t="shared" si="186"/>
        <v>41.1203</v>
      </c>
      <c r="S233" t="str">
        <f t="shared" si="187"/>
        <v>40.21 (39.30 to 41.12)</v>
      </c>
    </row>
    <row r="234" spans="1:19" ht="17.25" thickBot="1" x14ac:dyDescent="0.35">
      <c r="A234" s="6"/>
      <c r="B234" s="13">
        <v>3</v>
      </c>
      <c r="C234" s="2">
        <v>3593</v>
      </c>
      <c r="D234" s="2">
        <v>1639761</v>
      </c>
      <c r="E234" s="2">
        <v>34667</v>
      </c>
      <c r="F234" s="2">
        <v>5.4203999999999999</v>
      </c>
      <c r="G234" s="2">
        <v>0.10730000000000001</v>
      </c>
      <c r="H234" s="2">
        <v>5.21</v>
      </c>
      <c r="I234" s="2">
        <v>5.6307999999999998</v>
      </c>
      <c r="J234" s="2">
        <v>21.991099999999999</v>
      </c>
      <c r="K234" s="2">
        <v>0.39860000000000001</v>
      </c>
      <c r="L234" s="2">
        <v>21.209599999999998</v>
      </c>
      <c r="M234" s="2">
        <v>22.7727</v>
      </c>
      <c r="O234">
        <f t="shared" si="184"/>
        <v>21.991099999999999</v>
      </c>
      <c r="P234">
        <f t="shared" si="185"/>
        <v>21.209599999999998</v>
      </c>
      <c r="Q234">
        <f t="shared" si="186"/>
        <v>22.7727</v>
      </c>
      <c r="S234" t="str">
        <f t="shared" si="187"/>
        <v>21.99 (21.21 to 22.77)</v>
      </c>
    </row>
    <row r="235" spans="1:19" ht="17.25" thickBot="1" x14ac:dyDescent="0.35">
      <c r="A235" s="6"/>
      <c r="B235" s="13" t="s">
        <v>132</v>
      </c>
      <c r="C235" s="2">
        <v>17099</v>
      </c>
      <c r="D235" s="2">
        <v>7456460</v>
      </c>
      <c r="E235" s="2">
        <v>83424</v>
      </c>
      <c r="F235" s="2">
        <v>24.648</v>
      </c>
      <c r="G235" s="2">
        <v>0.19750000000000001</v>
      </c>
      <c r="H235" s="2">
        <v>24.2608</v>
      </c>
      <c r="I235" s="2">
        <v>25.0352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3">
        <v>1</v>
      </c>
      <c r="C236" s="2">
        <v>6878</v>
      </c>
      <c r="D236" s="2">
        <v>2643119</v>
      </c>
      <c r="E236" s="2">
        <v>41260</v>
      </c>
      <c r="F236" s="2">
        <v>8.7370999999999999</v>
      </c>
      <c r="G236" s="2">
        <v>0.12559999999999999</v>
      </c>
      <c r="H236" s="2">
        <v>8.4908000000000001</v>
      </c>
      <c r="I236" s="2">
        <v>8.9832999999999998</v>
      </c>
      <c r="J236" s="2">
        <v>35.752200000000002</v>
      </c>
      <c r="K236" s="2">
        <v>0.44340000000000002</v>
      </c>
      <c r="L236" s="2">
        <v>34.8827</v>
      </c>
      <c r="M236" s="2">
        <v>36.621600000000001</v>
      </c>
      <c r="O236">
        <f t="shared" ref="O236:O238" si="188">J236</f>
        <v>35.752200000000002</v>
      </c>
      <c r="P236">
        <f t="shared" ref="P236:P238" si="189">L236</f>
        <v>34.8827</v>
      </c>
      <c r="Q236">
        <f t="shared" ref="Q236:Q238" si="190">M236</f>
        <v>36.621600000000001</v>
      </c>
      <c r="S236" t="str">
        <f t="shared" ref="S236:S238" si="191">TEXT(O236,"0.00")&amp;" ("&amp;TEXT(P236,"0.00")&amp;" to "&amp;TEXT(Q236,"0.00")&amp;")"</f>
        <v>35.75 (34.88 to 36.62)</v>
      </c>
    </row>
    <row r="237" spans="1:19" ht="17.25" thickBot="1" x14ac:dyDescent="0.35">
      <c r="A237" s="6"/>
      <c r="B237" s="13">
        <v>2</v>
      </c>
      <c r="C237" s="2">
        <v>6010</v>
      </c>
      <c r="D237" s="2">
        <v>2776749</v>
      </c>
      <c r="E237" s="2">
        <v>46897</v>
      </c>
      <c r="F237" s="2">
        <v>9.1788000000000007</v>
      </c>
      <c r="G237" s="2">
        <v>0.1343</v>
      </c>
      <c r="H237" s="2">
        <v>8.9154</v>
      </c>
      <c r="I237" s="2">
        <v>9.4421999999999997</v>
      </c>
      <c r="J237" s="2">
        <v>37.559699999999999</v>
      </c>
      <c r="K237" s="2">
        <v>0.44879999999999998</v>
      </c>
      <c r="L237" s="2">
        <v>36.679600000000001</v>
      </c>
      <c r="M237" s="2">
        <v>38.439799999999998</v>
      </c>
      <c r="O237">
        <f t="shared" si="188"/>
        <v>37.559699999999999</v>
      </c>
      <c r="P237">
        <f t="shared" si="189"/>
        <v>36.679600000000001</v>
      </c>
      <c r="Q237">
        <f t="shared" si="190"/>
        <v>38.439799999999998</v>
      </c>
      <c r="S237" t="str">
        <f t="shared" si="191"/>
        <v>37.56 (36.68 to 38.44)</v>
      </c>
    </row>
    <row r="238" spans="1:19" ht="17.25" thickBot="1" x14ac:dyDescent="0.35">
      <c r="A238" s="6"/>
      <c r="B238" s="13">
        <v>3</v>
      </c>
      <c r="C238" s="2">
        <v>4283</v>
      </c>
      <c r="D238" s="2">
        <v>1973025</v>
      </c>
      <c r="E238" s="2">
        <v>38456</v>
      </c>
      <c r="F238" s="2">
        <v>6.5220000000000002</v>
      </c>
      <c r="G238" s="2">
        <v>0.1163</v>
      </c>
      <c r="H238" s="2">
        <v>6.2938999999999998</v>
      </c>
      <c r="I238" s="2">
        <v>6.7500999999999998</v>
      </c>
      <c r="J238" s="2">
        <v>26.688099999999999</v>
      </c>
      <c r="K238" s="2">
        <v>0.41980000000000001</v>
      </c>
      <c r="L238" s="2">
        <v>25.864999999999998</v>
      </c>
      <c r="M238" s="2">
        <v>27.511299999999999</v>
      </c>
      <c r="O238">
        <f t="shared" si="188"/>
        <v>26.688099999999999</v>
      </c>
      <c r="P238">
        <f t="shared" si="189"/>
        <v>25.864999999999998</v>
      </c>
      <c r="Q238">
        <f t="shared" si="190"/>
        <v>27.511299999999999</v>
      </c>
      <c r="S238" t="str">
        <f t="shared" si="191"/>
        <v>26.69 (25.87 to 27.51)</v>
      </c>
    </row>
    <row r="239" spans="1:19" ht="17.25" thickBot="1" x14ac:dyDescent="0.35">
      <c r="A239" s="6"/>
      <c r="B239" s="13" t="s">
        <v>132</v>
      </c>
      <c r="C239" s="2">
        <v>17171</v>
      </c>
      <c r="D239" s="2">
        <v>7392893</v>
      </c>
      <c r="E239" s="2">
        <v>81319</v>
      </c>
      <c r="F239" s="2">
        <v>24.437899999999999</v>
      </c>
      <c r="G239" s="2">
        <v>0.1963</v>
      </c>
      <c r="H239" s="2">
        <v>24.053000000000001</v>
      </c>
      <c r="I239" s="2">
        <v>24.822800000000001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3">
        <v>1</v>
      </c>
      <c r="C240" s="2">
        <v>5760</v>
      </c>
      <c r="D240" s="2">
        <v>2206405</v>
      </c>
      <c r="E240" s="2">
        <v>38548</v>
      </c>
      <c r="F240" s="2">
        <v>7.2934999999999999</v>
      </c>
      <c r="G240" s="2">
        <v>0.1195</v>
      </c>
      <c r="H240" s="2">
        <v>7.0591999999999997</v>
      </c>
      <c r="I240" s="2">
        <v>7.5277000000000003</v>
      </c>
      <c r="J240" s="2">
        <v>29.2151</v>
      </c>
      <c r="K240" s="2">
        <v>0.41749999999999998</v>
      </c>
      <c r="L240" s="2">
        <v>28.3965</v>
      </c>
      <c r="M240" s="2">
        <v>30.0337</v>
      </c>
      <c r="O240">
        <f t="shared" ref="O240:O242" si="192">J240</f>
        <v>29.2151</v>
      </c>
      <c r="P240">
        <f t="shared" ref="P240:P242" si="193">L240</f>
        <v>28.3965</v>
      </c>
      <c r="Q240">
        <f t="shared" ref="Q240:Q242" si="194">M240</f>
        <v>30.0337</v>
      </c>
      <c r="S240" t="str">
        <f t="shared" ref="S240:S242" si="195">TEXT(O240,"0.00")&amp;" ("&amp;TEXT(P240,"0.00")&amp;" to "&amp;TEXT(Q240,"0.00")&amp;")"</f>
        <v>29.22 (28.40 to 30.03)</v>
      </c>
    </row>
    <row r="241" spans="1:19" ht="17.25" thickBot="1" x14ac:dyDescent="0.35">
      <c r="A241" s="6"/>
      <c r="B241" s="13">
        <v>2</v>
      </c>
      <c r="C241" s="2">
        <v>5503</v>
      </c>
      <c r="D241" s="2">
        <v>2544729</v>
      </c>
      <c r="E241" s="2">
        <v>42910</v>
      </c>
      <c r="F241" s="2">
        <v>8.4117999999999995</v>
      </c>
      <c r="G241" s="2">
        <v>0.12909999999999999</v>
      </c>
      <c r="H241" s="2">
        <v>8.1585999999999999</v>
      </c>
      <c r="I241" s="2">
        <v>8.6651000000000007</v>
      </c>
      <c r="J241" s="2">
        <v>33.694800000000001</v>
      </c>
      <c r="K241" s="2">
        <v>0.43680000000000002</v>
      </c>
      <c r="L241" s="2">
        <v>32.838299999999997</v>
      </c>
      <c r="M241" s="2">
        <v>34.551400000000001</v>
      </c>
      <c r="O241">
        <f t="shared" si="192"/>
        <v>33.694800000000001</v>
      </c>
      <c r="P241">
        <f t="shared" si="193"/>
        <v>32.838299999999997</v>
      </c>
      <c r="Q241">
        <f t="shared" si="194"/>
        <v>34.551400000000001</v>
      </c>
      <c r="S241" t="str">
        <f t="shared" si="195"/>
        <v>33.69 (32.84 to 34.55)</v>
      </c>
    </row>
    <row r="242" spans="1:19" ht="17.25" thickBot="1" x14ac:dyDescent="0.35">
      <c r="A242" s="6"/>
      <c r="B242" s="13">
        <v>3</v>
      </c>
      <c r="C242" s="2">
        <v>5902</v>
      </c>
      <c r="D242" s="2">
        <v>2801151</v>
      </c>
      <c r="E242" s="2">
        <v>45384</v>
      </c>
      <c r="F242" s="2">
        <v>9.2594999999999992</v>
      </c>
      <c r="G242" s="2">
        <v>0.13619999999999999</v>
      </c>
      <c r="H242" s="2">
        <v>8.9923000000000002</v>
      </c>
      <c r="I242" s="2">
        <v>9.5266000000000002</v>
      </c>
      <c r="J242" s="2">
        <v>37.0901</v>
      </c>
      <c r="K242" s="2">
        <v>0.44340000000000002</v>
      </c>
      <c r="L242" s="2">
        <v>36.220700000000001</v>
      </c>
      <c r="M242" s="2">
        <v>37.959600000000002</v>
      </c>
      <c r="O242">
        <f t="shared" si="192"/>
        <v>37.0901</v>
      </c>
      <c r="P242">
        <f t="shared" si="193"/>
        <v>36.220700000000001</v>
      </c>
      <c r="Q242">
        <f t="shared" si="194"/>
        <v>37.959600000000002</v>
      </c>
      <c r="S242" t="str">
        <f t="shared" si="195"/>
        <v>37.09 (36.22 to 37.96)</v>
      </c>
    </row>
    <row r="243" spans="1:19" ht="17.25" thickBot="1" x14ac:dyDescent="0.35">
      <c r="A243" s="6"/>
      <c r="B243" s="13" t="s">
        <v>132</v>
      </c>
      <c r="C243" s="2">
        <v>17165</v>
      </c>
      <c r="D243" s="2">
        <v>7552285</v>
      </c>
      <c r="E243" s="2">
        <v>80298</v>
      </c>
      <c r="F243" s="2">
        <v>24.9648</v>
      </c>
      <c r="G243" s="2">
        <v>0.20699999999999999</v>
      </c>
      <c r="H243" s="2">
        <v>24.558800000000002</v>
      </c>
      <c r="I243" s="2">
        <v>25.370799999999999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3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96">J244</f>
        <v>0</v>
      </c>
      <c r="P244">
        <f t="shared" ref="P244:P246" si="197">L244</f>
        <v>0</v>
      </c>
      <c r="Q244">
        <f t="shared" ref="Q244:Q246" si="198">M244</f>
        <v>0</v>
      </c>
      <c r="S244" t="str">
        <f t="shared" ref="S244:S246" si="19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3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96"/>
        <v>0</v>
      </c>
      <c r="P245">
        <f t="shared" si="197"/>
        <v>0</v>
      </c>
      <c r="Q245">
        <f t="shared" si="198"/>
        <v>0</v>
      </c>
      <c r="S245" t="str">
        <f t="shared" si="199"/>
        <v>0.00 (0.00 to 0.00)</v>
      </c>
    </row>
    <row r="246" spans="1:19" ht="17.25" thickBot="1" x14ac:dyDescent="0.35">
      <c r="A246" s="6"/>
      <c r="B246" s="13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96"/>
        <v>0</v>
      </c>
      <c r="P246">
        <f t="shared" si="197"/>
        <v>0</v>
      </c>
      <c r="Q246">
        <f t="shared" si="198"/>
        <v>0</v>
      </c>
      <c r="S246" t="str">
        <f t="shared" si="199"/>
        <v>0.00 (0.00 to 0.00)</v>
      </c>
    </row>
    <row r="247" spans="1:19" x14ac:dyDescent="0.3">
      <c r="A247" s="6"/>
      <c r="B247" s="16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17" t="s">
        <v>161</v>
      </c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</row>
    <row r="250" spans="1:19" ht="33" customHeight="1" x14ac:dyDescent="0.3">
      <c r="A250" s="18" t="s">
        <v>23</v>
      </c>
      <c r="B250" s="20" t="s">
        <v>14</v>
      </c>
      <c r="C250" s="20" t="s">
        <v>125</v>
      </c>
      <c r="D250" s="3" t="s">
        <v>126</v>
      </c>
      <c r="E250" s="3" t="s">
        <v>127</v>
      </c>
      <c r="F250" s="20" t="s">
        <v>129</v>
      </c>
      <c r="G250" s="3" t="s">
        <v>127</v>
      </c>
      <c r="H250" s="20" t="s">
        <v>130</v>
      </c>
      <c r="I250" s="20"/>
      <c r="J250" s="3" t="s">
        <v>149</v>
      </c>
      <c r="K250" s="3" t="s">
        <v>127</v>
      </c>
      <c r="L250" s="20" t="s">
        <v>130</v>
      </c>
      <c r="M250" s="20"/>
    </row>
    <row r="251" spans="1:19" ht="33" x14ac:dyDescent="0.3">
      <c r="A251" s="18"/>
      <c r="B251" s="20"/>
      <c r="C251" s="20"/>
      <c r="D251" s="3" t="s">
        <v>125</v>
      </c>
      <c r="E251" s="3" t="s">
        <v>128</v>
      </c>
      <c r="F251" s="20"/>
      <c r="G251" s="3" t="s">
        <v>129</v>
      </c>
      <c r="H251" s="20" t="s">
        <v>131</v>
      </c>
      <c r="I251" s="20"/>
      <c r="J251" s="3" t="s">
        <v>129</v>
      </c>
      <c r="K251" s="3" t="s">
        <v>150</v>
      </c>
      <c r="L251" s="20" t="s">
        <v>151</v>
      </c>
      <c r="M251" s="20"/>
    </row>
    <row r="252" spans="1:19" ht="17.25" thickBot="1" x14ac:dyDescent="0.35">
      <c r="A252" s="6">
        <v>1</v>
      </c>
      <c r="B252" s="13">
        <v>0</v>
      </c>
      <c r="C252" s="2">
        <v>14620</v>
      </c>
      <c r="D252" s="2">
        <v>6526615</v>
      </c>
      <c r="E252" s="2">
        <v>81571</v>
      </c>
      <c r="F252" s="2">
        <v>21.574300000000001</v>
      </c>
      <c r="G252" s="2">
        <v>0.2029</v>
      </c>
      <c r="H252" s="2">
        <v>21.176500000000001</v>
      </c>
      <c r="I252" s="2">
        <v>21.972100000000001</v>
      </c>
      <c r="J252" s="2">
        <v>83.140299999999996</v>
      </c>
      <c r="K252" s="2">
        <v>0.36320000000000002</v>
      </c>
      <c r="L252" s="2">
        <v>82.428100000000001</v>
      </c>
      <c r="M252" s="2">
        <v>83.852599999999995</v>
      </c>
      <c r="O252">
        <f t="shared" ref="O252:O253" si="200">J252</f>
        <v>83.140299999999996</v>
      </c>
      <c r="P252">
        <f t="shared" ref="P252:P253" si="201">L252</f>
        <v>82.428100000000001</v>
      </c>
      <c r="Q252">
        <f t="shared" ref="Q252:Q253" si="202">M252</f>
        <v>83.852599999999995</v>
      </c>
      <c r="S252" t="str">
        <f t="shared" ref="S252:S253" si="203">TEXT(O252,"0.00")&amp;" ("&amp;TEXT(P252,"0.00")&amp;" to "&amp;TEXT(Q252,"0.00")&amp;")"</f>
        <v>83.14 (82.43 to 83.85)</v>
      </c>
    </row>
    <row r="253" spans="1:19" ht="17.25" thickBot="1" x14ac:dyDescent="0.35">
      <c r="A253" s="6"/>
      <c r="B253" s="13">
        <v>1</v>
      </c>
      <c r="C253" s="2">
        <v>2579</v>
      </c>
      <c r="D253" s="2">
        <v>1323504</v>
      </c>
      <c r="E253" s="2">
        <v>32619</v>
      </c>
      <c r="F253" s="2">
        <v>4.375</v>
      </c>
      <c r="G253" s="2">
        <v>0.1023</v>
      </c>
      <c r="H253" s="2">
        <v>4.1745000000000001</v>
      </c>
      <c r="I253" s="2">
        <v>4.5754999999999999</v>
      </c>
      <c r="J253" s="2">
        <v>16.8597</v>
      </c>
      <c r="K253" s="2">
        <v>0.36320000000000002</v>
      </c>
      <c r="L253" s="2">
        <v>16.147400000000001</v>
      </c>
      <c r="M253" s="2">
        <v>17.571899999999999</v>
      </c>
      <c r="O253">
        <f t="shared" si="200"/>
        <v>16.8597</v>
      </c>
      <c r="P253">
        <f t="shared" si="201"/>
        <v>16.147400000000001</v>
      </c>
      <c r="Q253">
        <f t="shared" si="202"/>
        <v>17.571899999999999</v>
      </c>
      <c r="S253" t="str">
        <f t="shared" si="203"/>
        <v>16.86 (16.15 to 17.57)</v>
      </c>
    </row>
    <row r="254" spans="1:19" ht="17.25" thickBot="1" x14ac:dyDescent="0.35">
      <c r="A254" s="6"/>
      <c r="B254" s="13" t="s">
        <v>132</v>
      </c>
      <c r="C254" s="2">
        <v>17199</v>
      </c>
      <c r="D254" s="2">
        <v>7850118</v>
      </c>
      <c r="E254" s="2">
        <v>92267</v>
      </c>
      <c r="F254" s="2">
        <v>25.949300000000001</v>
      </c>
      <c r="G254" s="2">
        <v>0.21940000000000001</v>
      </c>
      <c r="H254" s="2">
        <v>25.519100000000002</v>
      </c>
      <c r="I254" s="2">
        <v>26.3795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3">
        <v>0</v>
      </c>
      <c r="C255" s="2">
        <v>13567</v>
      </c>
      <c r="D255" s="2">
        <v>5718365</v>
      </c>
      <c r="E255" s="2">
        <v>72081</v>
      </c>
      <c r="F255" s="2">
        <v>18.9026</v>
      </c>
      <c r="G255" s="2">
        <v>0.1827</v>
      </c>
      <c r="H255" s="2">
        <v>18.5443</v>
      </c>
      <c r="I255" s="2">
        <v>19.260899999999999</v>
      </c>
      <c r="J255" s="2">
        <v>76.690100000000001</v>
      </c>
      <c r="K255" s="2">
        <v>0.42580000000000001</v>
      </c>
      <c r="L255" s="2">
        <v>75.855199999999996</v>
      </c>
      <c r="M255" s="2">
        <v>77.525000000000006</v>
      </c>
      <c r="O255">
        <f t="shared" ref="O255:O256" si="204">J255</f>
        <v>76.690100000000001</v>
      </c>
      <c r="P255">
        <f t="shared" ref="P255:P256" si="205">L255</f>
        <v>75.855199999999996</v>
      </c>
      <c r="Q255">
        <f t="shared" ref="Q255:Q256" si="206">M255</f>
        <v>77.525000000000006</v>
      </c>
      <c r="S255" t="str">
        <f t="shared" ref="S255:S256" si="207">TEXT(O255,"0.00")&amp;" ("&amp;TEXT(P255,"0.00")&amp;" to "&amp;TEXT(Q255,"0.00")&amp;")"</f>
        <v>76.69 (75.86 to 77.53)</v>
      </c>
    </row>
    <row r="256" spans="1:19" ht="17.25" thickBot="1" x14ac:dyDescent="0.35">
      <c r="A256" s="6"/>
      <c r="B256" s="13">
        <v>1</v>
      </c>
      <c r="C256" s="2">
        <v>3532</v>
      </c>
      <c r="D256" s="2">
        <v>1738095</v>
      </c>
      <c r="E256" s="2">
        <v>36843</v>
      </c>
      <c r="F256" s="2">
        <v>5.7454000000000001</v>
      </c>
      <c r="G256" s="2">
        <v>0.1153</v>
      </c>
      <c r="H256" s="2">
        <v>5.5193000000000003</v>
      </c>
      <c r="I256" s="2">
        <v>5.9715999999999996</v>
      </c>
      <c r="J256" s="2">
        <v>23.309899999999999</v>
      </c>
      <c r="K256" s="2">
        <v>0.42580000000000001</v>
      </c>
      <c r="L256" s="2">
        <v>22.475000000000001</v>
      </c>
      <c r="M256" s="2">
        <v>24.1448</v>
      </c>
      <c r="O256">
        <f t="shared" si="204"/>
        <v>23.309899999999999</v>
      </c>
      <c r="P256">
        <f t="shared" si="205"/>
        <v>22.475000000000001</v>
      </c>
      <c r="Q256">
        <f t="shared" si="206"/>
        <v>24.1448</v>
      </c>
      <c r="S256" t="str">
        <f t="shared" si="207"/>
        <v>23.31 (22.48 to 24.14)</v>
      </c>
    </row>
    <row r="257" spans="1:19" ht="17.25" thickBot="1" x14ac:dyDescent="0.35">
      <c r="A257" s="6"/>
      <c r="B257" s="13" t="s">
        <v>132</v>
      </c>
      <c r="C257" s="2">
        <v>17099</v>
      </c>
      <c r="D257" s="2">
        <v>7456460</v>
      </c>
      <c r="E257" s="2">
        <v>83424</v>
      </c>
      <c r="F257" s="2">
        <v>24.648</v>
      </c>
      <c r="G257" s="2">
        <v>0.19750000000000001</v>
      </c>
      <c r="H257" s="2">
        <v>24.2608</v>
      </c>
      <c r="I257" s="2">
        <v>25.0352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3">
        <v>0</v>
      </c>
      <c r="C258" s="2">
        <v>12804</v>
      </c>
      <c r="D258" s="2">
        <v>5261657</v>
      </c>
      <c r="E258" s="2">
        <v>66255</v>
      </c>
      <c r="F258" s="2">
        <v>17.392900000000001</v>
      </c>
      <c r="G258" s="2">
        <v>0.17730000000000001</v>
      </c>
      <c r="H258" s="2">
        <v>17.045200000000001</v>
      </c>
      <c r="I258" s="2">
        <v>17.740500000000001</v>
      </c>
      <c r="J258" s="2">
        <v>71.171800000000005</v>
      </c>
      <c r="K258" s="2">
        <v>0.44590000000000002</v>
      </c>
      <c r="L258" s="2">
        <v>70.297600000000003</v>
      </c>
      <c r="M258" s="2">
        <v>72.046099999999996</v>
      </c>
      <c r="O258">
        <f t="shared" ref="O258:O259" si="208">J258</f>
        <v>71.171800000000005</v>
      </c>
      <c r="P258">
        <f t="shared" ref="P258:P259" si="209">L258</f>
        <v>70.297600000000003</v>
      </c>
      <c r="Q258">
        <f t="shared" ref="Q258:Q259" si="210">M258</f>
        <v>72.046099999999996</v>
      </c>
      <c r="S258" t="str">
        <f t="shared" ref="S258:S259" si="211">TEXT(O258,"0.00")&amp;" ("&amp;TEXT(P258,"0.00")&amp;" to "&amp;TEXT(Q258,"0.00")&amp;")"</f>
        <v>71.17 (70.30 to 72.05)</v>
      </c>
    </row>
    <row r="259" spans="1:19" ht="17.25" thickBot="1" x14ac:dyDescent="0.35">
      <c r="A259" s="6"/>
      <c r="B259" s="13">
        <v>1</v>
      </c>
      <c r="C259" s="2">
        <v>4367</v>
      </c>
      <c r="D259" s="2">
        <v>2131236</v>
      </c>
      <c r="E259" s="2">
        <v>40680</v>
      </c>
      <c r="F259" s="2">
        <v>7.0449999999999999</v>
      </c>
      <c r="G259" s="2">
        <v>0.1227</v>
      </c>
      <c r="H259" s="2">
        <v>6.8044000000000002</v>
      </c>
      <c r="I259" s="2">
        <v>7.2855999999999996</v>
      </c>
      <c r="J259" s="2">
        <v>28.828199999999999</v>
      </c>
      <c r="K259" s="2">
        <v>0.44590000000000002</v>
      </c>
      <c r="L259" s="2">
        <v>27.953900000000001</v>
      </c>
      <c r="M259" s="2">
        <v>29.702400000000001</v>
      </c>
      <c r="O259">
        <f t="shared" si="208"/>
        <v>28.828199999999999</v>
      </c>
      <c r="P259">
        <f t="shared" si="209"/>
        <v>27.953900000000001</v>
      </c>
      <c r="Q259">
        <f t="shared" si="210"/>
        <v>29.702400000000001</v>
      </c>
      <c r="S259" t="str">
        <f t="shared" si="211"/>
        <v>28.83 (27.95 to 29.70)</v>
      </c>
    </row>
    <row r="260" spans="1:19" ht="17.25" thickBot="1" x14ac:dyDescent="0.35">
      <c r="A260" s="6"/>
      <c r="B260" s="13" t="s">
        <v>132</v>
      </c>
      <c r="C260" s="2">
        <v>17171</v>
      </c>
      <c r="D260" s="2">
        <v>7392893</v>
      </c>
      <c r="E260" s="2">
        <v>81319</v>
      </c>
      <c r="F260" s="2">
        <v>24.437899999999999</v>
      </c>
      <c r="G260" s="2">
        <v>0.1963</v>
      </c>
      <c r="H260" s="2">
        <v>24.053000000000001</v>
      </c>
      <c r="I260" s="2">
        <v>24.822800000000001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3">
        <v>0</v>
      </c>
      <c r="C261" s="2">
        <v>11072</v>
      </c>
      <c r="D261" s="2">
        <v>4561348</v>
      </c>
      <c r="E261" s="2">
        <v>59081</v>
      </c>
      <c r="F261" s="2">
        <v>15.077999999999999</v>
      </c>
      <c r="G261" s="2">
        <v>0.1661</v>
      </c>
      <c r="H261" s="2">
        <v>14.7522</v>
      </c>
      <c r="I261" s="2">
        <v>15.403700000000001</v>
      </c>
      <c r="J261" s="2">
        <v>60.396900000000002</v>
      </c>
      <c r="K261" s="2">
        <v>0.45390000000000003</v>
      </c>
      <c r="L261" s="2">
        <v>59.506900000000002</v>
      </c>
      <c r="M261" s="2">
        <v>61.286999999999999</v>
      </c>
      <c r="O261">
        <f t="shared" ref="O261:O262" si="212">J261</f>
        <v>60.396900000000002</v>
      </c>
      <c r="P261">
        <f t="shared" ref="P261:P262" si="213">L261</f>
        <v>59.506900000000002</v>
      </c>
      <c r="Q261">
        <f t="shared" ref="Q261:Q262" si="214">M261</f>
        <v>61.286999999999999</v>
      </c>
      <c r="S261" t="str">
        <f t="shared" ref="S261:S262" si="215">TEXT(O261,"0.00")&amp;" ("&amp;TEXT(P261,"0.00")&amp;" to "&amp;TEXT(Q261,"0.00")&amp;")"</f>
        <v>60.40 (59.51 to 61.29)</v>
      </c>
    </row>
    <row r="262" spans="1:19" ht="17.25" thickBot="1" x14ac:dyDescent="0.35">
      <c r="A262" s="6"/>
      <c r="B262" s="13">
        <v>1</v>
      </c>
      <c r="C262" s="2">
        <v>6093</v>
      </c>
      <c r="D262" s="2">
        <v>2990938</v>
      </c>
      <c r="E262" s="2">
        <v>47016</v>
      </c>
      <c r="F262" s="2">
        <v>9.8867999999999991</v>
      </c>
      <c r="G262" s="2">
        <v>0.1419</v>
      </c>
      <c r="H262" s="2">
        <v>9.6084999999999994</v>
      </c>
      <c r="I262" s="2">
        <v>10.165100000000001</v>
      </c>
      <c r="J262" s="2">
        <v>39.603099999999998</v>
      </c>
      <c r="K262" s="2">
        <v>0.45390000000000003</v>
      </c>
      <c r="L262" s="2">
        <v>38.713000000000001</v>
      </c>
      <c r="M262" s="2">
        <v>40.493099999999998</v>
      </c>
      <c r="O262">
        <f t="shared" si="212"/>
        <v>39.603099999999998</v>
      </c>
      <c r="P262">
        <f t="shared" si="213"/>
        <v>38.713000000000001</v>
      </c>
      <c r="Q262">
        <f t="shared" si="214"/>
        <v>40.493099999999998</v>
      </c>
      <c r="S262" t="str">
        <f t="shared" si="215"/>
        <v>39.60 (38.71 to 40.49)</v>
      </c>
    </row>
    <row r="263" spans="1:19" ht="17.25" thickBot="1" x14ac:dyDescent="0.35">
      <c r="A263" s="6"/>
      <c r="B263" s="13" t="s">
        <v>132</v>
      </c>
      <c r="C263" s="2">
        <v>17165</v>
      </c>
      <c r="D263" s="2">
        <v>7552285</v>
      </c>
      <c r="E263" s="2">
        <v>80298</v>
      </c>
      <c r="F263" s="2">
        <v>24.9648</v>
      </c>
      <c r="G263" s="2">
        <v>0.20699999999999999</v>
      </c>
      <c r="H263" s="2">
        <v>24.558800000000002</v>
      </c>
      <c r="I263" s="2">
        <v>25.370799999999999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3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216">J264</f>
        <v>0</v>
      </c>
      <c r="P264">
        <f t="shared" ref="P264:P265" si="217">L264</f>
        <v>0</v>
      </c>
      <c r="Q264">
        <f t="shared" ref="Q264:Q265" si="218">M264</f>
        <v>0</v>
      </c>
      <c r="S264" t="str">
        <f t="shared" ref="S264:S265" si="219">TEXT(O264,"0.00")&amp;" ("&amp;TEXT(P264,"0.00")&amp;" to "&amp;TEXT(Q264,"0.00")&amp;")"</f>
        <v>0.00 (0.00 to 0.00)</v>
      </c>
    </row>
    <row r="265" spans="1:19" ht="17.25" thickBot="1" x14ac:dyDescent="0.35">
      <c r="A265" s="6"/>
      <c r="B265" s="13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216"/>
        <v>0</v>
      </c>
      <c r="P265">
        <f t="shared" si="217"/>
        <v>0</v>
      </c>
      <c r="Q265">
        <f t="shared" si="218"/>
        <v>0</v>
      </c>
      <c r="S265" t="str">
        <f t="shared" si="219"/>
        <v>0.00 (0.00 to 0.00)</v>
      </c>
    </row>
    <row r="266" spans="1:19" x14ac:dyDescent="0.3">
      <c r="A266" s="6"/>
      <c r="B266" s="16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17" t="s">
        <v>162</v>
      </c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 spans="1:19" ht="33" customHeight="1" x14ac:dyDescent="0.3">
      <c r="A269" s="18" t="s">
        <v>23</v>
      </c>
      <c r="B269" s="20" t="s">
        <v>15</v>
      </c>
      <c r="C269" s="20" t="s">
        <v>125</v>
      </c>
      <c r="D269" s="3" t="s">
        <v>126</v>
      </c>
      <c r="E269" s="3" t="s">
        <v>127</v>
      </c>
      <c r="F269" s="20" t="s">
        <v>129</v>
      </c>
      <c r="G269" s="3" t="s">
        <v>127</v>
      </c>
      <c r="H269" s="20" t="s">
        <v>130</v>
      </c>
      <c r="I269" s="20"/>
      <c r="J269" s="3" t="s">
        <v>149</v>
      </c>
      <c r="K269" s="3" t="s">
        <v>127</v>
      </c>
      <c r="L269" s="20" t="s">
        <v>130</v>
      </c>
      <c r="M269" s="20"/>
    </row>
    <row r="270" spans="1:19" ht="33" x14ac:dyDescent="0.3">
      <c r="A270" s="18"/>
      <c r="B270" s="20"/>
      <c r="C270" s="20"/>
      <c r="D270" s="3" t="s">
        <v>125</v>
      </c>
      <c r="E270" s="3" t="s">
        <v>128</v>
      </c>
      <c r="F270" s="20"/>
      <c r="G270" s="3" t="s">
        <v>129</v>
      </c>
      <c r="H270" s="20" t="s">
        <v>131</v>
      </c>
      <c r="I270" s="20"/>
      <c r="J270" s="3" t="s">
        <v>129</v>
      </c>
      <c r="K270" s="3" t="s">
        <v>150</v>
      </c>
      <c r="L270" s="20" t="s">
        <v>151</v>
      </c>
      <c r="M270" s="20"/>
    </row>
    <row r="271" spans="1:19" ht="17.25" thickBot="1" x14ac:dyDescent="0.35">
      <c r="A271" s="6">
        <v>1</v>
      </c>
      <c r="B271" s="13">
        <v>0</v>
      </c>
      <c r="C271" s="2">
        <v>15455</v>
      </c>
      <c r="D271" s="2">
        <v>7262099</v>
      </c>
      <c r="E271" s="2">
        <v>89131</v>
      </c>
      <c r="F271" s="2">
        <v>24.005500000000001</v>
      </c>
      <c r="G271" s="2">
        <v>0.2152</v>
      </c>
      <c r="H271" s="2">
        <v>23.583500000000001</v>
      </c>
      <c r="I271" s="2">
        <v>24.427600000000002</v>
      </c>
      <c r="J271" s="2">
        <v>92.509399999999999</v>
      </c>
      <c r="K271" s="2">
        <v>0.2228</v>
      </c>
      <c r="L271" s="2">
        <v>92.072599999999994</v>
      </c>
      <c r="M271" s="2">
        <v>92.946200000000005</v>
      </c>
      <c r="O271">
        <f t="shared" ref="O271:O272" si="220">J271</f>
        <v>92.509399999999999</v>
      </c>
      <c r="P271">
        <f t="shared" ref="P271:P272" si="221">L271</f>
        <v>92.072599999999994</v>
      </c>
      <c r="Q271">
        <f t="shared" ref="Q271:Q272" si="222">M271</f>
        <v>92.946200000000005</v>
      </c>
      <c r="S271" t="str">
        <f t="shared" ref="S271:S272" si="223">TEXT(O271,"0.00")&amp;" ("&amp;TEXT(P271,"0.00")&amp;" to "&amp;TEXT(Q271,"0.00")&amp;")"</f>
        <v>92.51 (92.07 to 92.95)</v>
      </c>
    </row>
    <row r="272" spans="1:19" ht="17.25" thickBot="1" x14ac:dyDescent="0.35">
      <c r="A272" s="6"/>
      <c r="B272" s="13">
        <v>1</v>
      </c>
      <c r="C272" s="2">
        <v>1744</v>
      </c>
      <c r="D272" s="2">
        <v>588019</v>
      </c>
      <c r="E272" s="2">
        <v>18027</v>
      </c>
      <c r="F272" s="2">
        <v>1.9438</v>
      </c>
      <c r="G272" s="2">
        <v>5.8900000000000001E-2</v>
      </c>
      <c r="H272" s="2">
        <v>1.8283</v>
      </c>
      <c r="I272" s="2">
        <v>2.0592000000000001</v>
      </c>
      <c r="J272" s="2">
        <v>7.4905999999999997</v>
      </c>
      <c r="K272" s="2">
        <v>0.2228</v>
      </c>
      <c r="L272" s="2">
        <v>7.0537999999999998</v>
      </c>
      <c r="M272" s="2">
        <v>7.9273999999999996</v>
      </c>
      <c r="O272">
        <f t="shared" si="220"/>
        <v>7.4905999999999997</v>
      </c>
      <c r="P272">
        <f t="shared" si="221"/>
        <v>7.0537999999999998</v>
      </c>
      <c r="Q272">
        <f t="shared" si="222"/>
        <v>7.9273999999999996</v>
      </c>
      <c r="S272" t="str">
        <f t="shared" si="223"/>
        <v>7.49 (7.05 to 7.93)</v>
      </c>
    </row>
    <row r="273" spans="1:19" ht="17.25" thickBot="1" x14ac:dyDescent="0.35">
      <c r="A273" s="6"/>
      <c r="B273" s="13" t="s">
        <v>132</v>
      </c>
      <c r="C273" s="2">
        <v>17199</v>
      </c>
      <c r="D273" s="2">
        <v>7850118</v>
      </c>
      <c r="E273" s="2">
        <v>92267</v>
      </c>
      <c r="F273" s="2">
        <v>25.949300000000001</v>
      </c>
      <c r="G273" s="2">
        <v>0.21940000000000001</v>
      </c>
      <c r="H273" s="2">
        <v>25.519100000000002</v>
      </c>
      <c r="I273" s="2">
        <v>26.3795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3">
        <v>0</v>
      </c>
      <c r="C274" s="2">
        <v>13966</v>
      </c>
      <c r="D274" s="2">
        <v>6403148</v>
      </c>
      <c r="E274" s="2">
        <v>78902</v>
      </c>
      <c r="F274" s="2">
        <v>21.1662</v>
      </c>
      <c r="G274" s="2">
        <v>0.19259999999999999</v>
      </c>
      <c r="H274" s="2">
        <v>20.788499999999999</v>
      </c>
      <c r="I274" s="2">
        <v>21.543900000000001</v>
      </c>
      <c r="J274" s="2">
        <v>85.873800000000003</v>
      </c>
      <c r="K274" s="2">
        <v>0.3004</v>
      </c>
      <c r="L274" s="2">
        <v>85.284800000000004</v>
      </c>
      <c r="M274" s="2">
        <v>86.462900000000005</v>
      </c>
      <c r="O274">
        <f t="shared" ref="O274:O275" si="224">J274</f>
        <v>85.873800000000003</v>
      </c>
      <c r="P274">
        <f t="shared" ref="P274:P275" si="225">L274</f>
        <v>85.284800000000004</v>
      </c>
      <c r="Q274">
        <f t="shared" ref="Q274:Q275" si="226">M274</f>
        <v>86.462900000000005</v>
      </c>
      <c r="S274" t="str">
        <f t="shared" ref="S274:S275" si="227">TEXT(O274,"0.00")&amp;" ("&amp;TEXT(P274,"0.00")&amp;" to "&amp;TEXT(Q274,"0.00")&amp;")"</f>
        <v>85.87 (85.28 to 86.46)</v>
      </c>
    </row>
    <row r="275" spans="1:19" ht="17.25" thickBot="1" x14ac:dyDescent="0.35">
      <c r="A275" s="6"/>
      <c r="B275" s="13">
        <v>1</v>
      </c>
      <c r="C275" s="2">
        <v>3133</v>
      </c>
      <c r="D275" s="2">
        <v>1053312</v>
      </c>
      <c r="E275" s="2">
        <v>23310</v>
      </c>
      <c r="F275" s="2">
        <v>3.4817999999999998</v>
      </c>
      <c r="G275" s="2">
        <v>7.6100000000000001E-2</v>
      </c>
      <c r="H275" s="2">
        <v>3.3325999999999998</v>
      </c>
      <c r="I275" s="2">
        <v>3.6309999999999998</v>
      </c>
      <c r="J275" s="2">
        <v>14.126200000000001</v>
      </c>
      <c r="K275" s="2">
        <v>0.3004</v>
      </c>
      <c r="L275" s="2">
        <v>13.537100000000001</v>
      </c>
      <c r="M275" s="2">
        <v>14.715199999999999</v>
      </c>
      <c r="O275">
        <f t="shared" si="224"/>
        <v>14.126200000000001</v>
      </c>
      <c r="P275">
        <f t="shared" si="225"/>
        <v>13.537100000000001</v>
      </c>
      <c r="Q275">
        <f t="shared" si="226"/>
        <v>14.715199999999999</v>
      </c>
      <c r="S275" t="str">
        <f t="shared" si="227"/>
        <v>14.13 (13.54 to 14.72)</v>
      </c>
    </row>
    <row r="276" spans="1:19" ht="17.25" thickBot="1" x14ac:dyDescent="0.35">
      <c r="A276" s="6"/>
      <c r="B276" s="13" t="s">
        <v>132</v>
      </c>
      <c r="C276" s="2">
        <v>17099</v>
      </c>
      <c r="D276" s="2">
        <v>7456460</v>
      </c>
      <c r="E276" s="2">
        <v>83424</v>
      </c>
      <c r="F276" s="2">
        <v>24.648</v>
      </c>
      <c r="G276" s="2">
        <v>0.19750000000000001</v>
      </c>
      <c r="H276" s="2">
        <v>24.2608</v>
      </c>
      <c r="I276" s="2">
        <v>25.0352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3">
        <v>0</v>
      </c>
      <c r="C277" s="2">
        <v>12728</v>
      </c>
      <c r="D277" s="2">
        <v>5880177</v>
      </c>
      <c r="E277" s="2">
        <v>73049</v>
      </c>
      <c r="F277" s="2">
        <v>19.4375</v>
      </c>
      <c r="G277" s="2">
        <v>0.18340000000000001</v>
      </c>
      <c r="H277" s="2">
        <v>19.0779</v>
      </c>
      <c r="I277" s="2">
        <v>19.7971</v>
      </c>
      <c r="J277" s="2">
        <v>79.538200000000003</v>
      </c>
      <c r="K277" s="2">
        <v>0.36530000000000001</v>
      </c>
      <c r="L277" s="2">
        <v>78.822000000000003</v>
      </c>
      <c r="M277" s="2">
        <v>80.254499999999993</v>
      </c>
      <c r="O277">
        <f t="shared" ref="O277:O278" si="228">J277</f>
        <v>79.538200000000003</v>
      </c>
      <c r="P277">
        <f t="shared" ref="P277:P278" si="229">L277</f>
        <v>78.822000000000003</v>
      </c>
      <c r="Q277">
        <f t="shared" ref="Q277:Q278" si="230">M277</f>
        <v>80.254499999999993</v>
      </c>
      <c r="S277" t="str">
        <f t="shared" ref="S277:S278" si="231">TEXT(O277,"0.00")&amp;" ("&amp;TEXT(P277,"0.00")&amp;" to "&amp;TEXT(Q277,"0.00")&amp;")"</f>
        <v>79.54 (78.82 to 80.25)</v>
      </c>
    </row>
    <row r="278" spans="1:19" ht="17.25" thickBot="1" x14ac:dyDescent="0.35">
      <c r="A278" s="6"/>
      <c r="B278" s="13">
        <v>1</v>
      </c>
      <c r="C278" s="2">
        <v>4443</v>
      </c>
      <c r="D278" s="2">
        <v>1512716</v>
      </c>
      <c r="E278" s="2">
        <v>29955</v>
      </c>
      <c r="F278" s="2">
        <v>5.0004</v>
      </c>
      <c r="G278" s="2">
        <v>9.6199999999999994E-2</v>
      </c>
      <c r="H278" s="2">
        <v>4.8117999999999999</v>
      </c>
      <c r="I278" s="2">
        <v>5.1890000000000001</v>
      </c>
      <c r="J278" s="2">
        <v>20.4618</v>
      </c>
      <c r="K278" s="2">
        <v>0.36530000000000001</v>
      </c>
      <c r="L278" s="2">
        <v>19.7455</v>
      </c>
      <c r="M278" s="2">
        <v>21.178000000000001</v>
      </c>
      <c r="O278">
        <f t="shared" si="228"/>
        <v>20.4618</v>
      </c>
      <c r="P278">
        <f t="shared" si="229"/>
        <v>19.7455</v>
      </c>
      <c r="Q278">
        <f t="shared" si="230"/>
        <v>21.178000000000001</v>
      </c>
      <c r="S278" t="str">
        <f t="shared" si="231"/>
        <v>20.46 (19.75 to 21.18)</v>
      </c>
    </row>
    <row r="279" spans="1:19" ht="17.25" thickBot="1" x14ac:dyDescent="0.35">
      <c r="A279" s="6"/>
      <c r="B279" s="13" t="s">
        <v>132</v>
      </c>
      <c r="C279" s="2">
        <v>17171</v>
      </c>
      <c r="D279" s="2">
        <v>7392893</v>
      </c>
      <c r="E279" s="2">
        <v>81319</v>
      </c>
      <c r="F279" s="2">
        <v>24.437899999999999</v>
      </c>
      <c r="G279" s="2">
        <v>0.1963</v>
      </c>
      <c r="H279" s="2">
        <v>24.053000000000001</v>
      </c>
      <c r="I279" s="2">
        <v>24.822800000000001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3">
        <v>0</v>
      </c>
      <c r="C280" s="2">
        <v>11761</v>
      </c>
      <c r="D280" s="2">
        <v>5575324</v>
      </c>
      <c r="E280" s="2">
        <v>68271</v>
      </c>
      <c r="F280" s="2">
        <v>18.4298</v>
      </c>
      <c r="G280" s="2">
        <v>0.1825</v>
      </c>
      <c r="H280" s="2">
        <v>18.071899999999999</v>
      </c>
      <c r="I280" s="2">
        <v>18.787600000000001</v>
      </c>
      <c r="J280" s="2">
        <v>73.822999999999993</v>
      </c>
      <c r="K280" s="2">
        <v>0.39650000000000002</v>
      </c>
      <c r="L280" s="2">
        <v>73.045599999999993</v>
      </c>
      <c r="M280" s="2">
        <v>74.600399999999993</v>
      </c>
      <c r="O280">
        <f t="shared" ref="O280:O281" si="232">J280</f>
        <v>73.822999999999993</v>
      </c>
      <c r="P280">
        <f t="shared" ref="P280:P281" si="233">L280</f>
        <v>73.045599999999993</v>
      </c>
      <c r="Q280">
        <f t="shared" ref="Q280:Q281" si="234">M280</f>
        <v>74.600399999999993</v>
      </c>
      <c r="S280" t="str">
        <f t="shared" ref="S280:S281" si="235">TEXT(O280,"0.00")&amp;" ("&amp;TEXT(P280,"0.00")&amp;" to "&amp;TEXT(Q280,"0.00")&amp;")"</f>
        <v>73.82 (73.05 to 74.60)</v>
      </c>
    </row>
    <row r="281" spans="1:19" ht="17.25" thickBot="1" x14ac:dyDescent="0.35">
      <c r="A281" s="6"/>
      <c r="B281" s="13">
        <v>1</v>
      </c>
      <c r="C281" s="2">
        <v>5404</v>
      </c>
      <c r="D281" s="2">
        <v>1976962</v>
      </c>
      <c r="E281" s="2">
        <v>35351</v>
      </c>
      <c r="F281" s="2">
        <v>6.5350000000000001</v>
      </c>
      <c r="G281" s="2">
        <v>0.11260000000000001</v>
      </c>
      <c r="H281" s="2">
        <v>6.3141999999999996</v>
      </c>
      <c r="I281" s="2">
        <v>6.7557999999999998</v>
      </c>
      <c r="J281" s="2">
        <v>26.177</v>
      </c>
      <c r="K281" s="2">
        <v>0.39650000000000002</v>
      </c>
      <c r="L281" s="2">
        <v>25.3996</v>
      </c>
      <c r="M281" s="2">
        <v>26.9544</v>
      </c>
      <c r="O281">
        <f t="shared" si="232"/>
        <v>26.177</v>
      </c>
      <c r="P281">
        <f t="shared" si="233"/>
        <v>25.3996</v>
      </c>
      <c r="Q281">
        <f t="shared" si="234"/>
        <v>26.9544</v>
      </c>
      <c r="S281" t="str">
        <f t="shared" si="235"/>
        <v>26.18 (25.40 to 26.95)</v>
      </c>
    </row>
    <row r="282" spans="1:19" ht="17.25" thickBot="1" x14ac:dyDescent="0.35">
      <c r="A282" s="6"/>
      <c r="B282" s="13" t="s">
        <v>132</v>
      </c>
      <c r="C282" s="2">
        <v>17165</v>
      </c>
      <c r="D282" s="2">
        <v>7552285</v>
      </c>
      <c r="E282" s="2">
        <v>80298</v>
      </c>
      <c r="F282" s="2">
        <v>24.9648</v>
      </c>
      <c r="G282" s="2">
        <v>0.20699999999999999</v>
      </c>
      <c r="H282" s="2">
        <v>24.558800000000002</v>
      </c>
      <c r="I282" s="2">
        <v>25.370799999999999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3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236">J283</f>
        <v>0</v>
      </c>
      <c r="P283">
        <f t="shared" ref="P283:P284" si="237">L283</f>
        <v>0</v>
      </c>
      <c r="Q283">
        <f t="shared" ref="Q283:Q284" si="238">M283</f>
        <v>0</v>
      </c>
      <c r="S283" t="str">
        <f t="shared" ref="S283:S284" si="23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3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236"/>
        <v>0</v>
      </c>
      <c r="P284">
        <f t="shared" si="237"/>
        <v>0</v>
      </c>
      <c r="Q284">
        <f t="shared" si="238"/>
        <v>0</v>
      </c>
      <c r="S284" t="str">
        <f t="shared" si="239"/>
        <v>0.00 (0.00 to 0.00)</v>
      </c>
    </row>
    <row r="285" spans="1:19" x14ac:dyDescent="0.3">
      <c r="A285" s="6"/>
      <c r="B285" s="16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17" t="s">
        <v>163</v>
      </c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</row>
    <row r="288" spans="1:19" ht="33" customHeight="1" x14ac:dyDescent="0.3">
      <c r="A288" s="18" t="s">
        <v>23</v>
      </c>
      <c r="B288" s="20" t="s">
        <v>16</v>
      </c>
      <c r="C288" s="20" t="s">
        <v>125</v>
      </c>
      <c r="D288" s="3" t="s">
        <v>126</v>
      </c>
      <c r="E288" s="3" t="s">
        <v>127</v>
      </c>
      <c r="F288" s="20" t="s">
        <v>129</v>
      </c>
      <c r="G288" s="3" t="s">
        <v>127</v>
      </c>
      <c r="H288" s="20" t="s">
        <v>130</v>
      </c>
      <c r="I288" s="20"/>
      <c r="J288" s="3" t="s">
        <v>149</v>
      </c>
      <c r="K288" s="3" t="s">
        <v>127</v>
      </c>
      <c r="L288" s="20" t="s">
        <v>130</v>
      </c>
      <c r="M288" s="20"/>
    </row>
    <row r="289" spans="1:19" ht="33" x14ac:dyDescent="0.3">
      <c r="A289" s="18"/>
      <c r="B289" s="20"/>
      <c r="C289" s="20"/>
      <c r="D289" s="3" t="s">
        <v>125</v>
      </c>
      <c r="E289" s="3" t="s">
        <v>128</v>
      </c>
      <c r="F289" s="20"/>
      <c r="G289" s="3" t="s">
        <v>129</v>
      </c>
      <c r="H289" s="20" t="s">
        <v>131</v>
      </c>
      <c r="I289" s="20"/>
      <c r="J289" s="3" t="s">
        <v>129</v>
      </c>
      <c r="K289" s="3" t="s">
        <v>150</v>
      </c>
      <c r="L289" s="20" t="s">
        <v>151</v>
      </c>
      <c r="M289" s="20"/>
    </row>
    <row r="290" spans="1:19" ht="17.25" thickBot="1" x14ac:dyDescent="0.35">
      <c r="A290" s="6">
        <v>1</v>
      </c>
      <c r="B290" s="13">
        <v>0</v>
      </c>
      <c r="C290" s="2">
        <v>16080</v>
      </c>
      <c r="D290" s="2">
        <v>7450660</v>
      </c>
      <c r="E290" s="2">
        <v>89925</v>
      </c>
      <c r="F290" s="2">
        <v>24.628900000000002</v>
      </c>
      <c r="G290" s="2">
        <v>0.2162</v>
      </c>
      <c r="H290" s="2">
        <v>24.204799999999999</v>
      </c>
      <c r="I290" s="2">
        <v>25.052900000000001</v>
      </c>
      <c r="J290" s="2">
        <v>94.9114</v>
      </c>
      <c r="K290" s="2">
        <v>0.17879999999999999</v>
      </c>
      <c r="L290" s="2">
        <v>94.560900000000004</v>
      </c>
      <c r="M290" s="2">
        <v>95.262</v>
      </c>
      <c r="O290">
        <f t="shared" ref="O290:O291" si="240">J290</f>
        <v>94.9114</v>
      </c>
      <c r="P290">
        <f t="shared" ref="P290:P291" si="241">L290</f>
        <v>94.560900000000004</v>
      </c>
      <c r="Q290">
        <f t="shared" ref="Q290:Q291" si="242">M290</f>
        <v>95.262</v>
      </c>
      <c r="S290" t="str">
        <f t="shared" ref="S290:S291" si="243">TEXT(O290,"0.00")&amp;" ("&amp;TEXT(P290,"0.00")&amp;" to "&amp;TEXT(Q290,"0.00")&amp;")"</f>
        <v>94.91 (94.56 to 95.26)</v>
      </c>
    </row>
    <row r="291" spans="1:19" ht="17.25" thickBot="1" x14ac:dyDescent="0.35">
      <c r="A291" s="6"/>
      <c r="B291" s="13">
        <v>1</v>
      </c>
      <c r="C291" s="2">
        <v>1119</v>
      </c>
      <c r="D291" s="2">
        <v>399458</v>
      </c>
      <c r="E291" s="2">
        <v>14393</v>
      </c>
      <c r="F291" s="2">
        <v>1.3204</v>
      </c>
      <c r="G291" s="2">
        <v>4.7E-2</v>
      </c>
      <c r="H291" s="2">
        <v>1.2282999999999999</v>
      </c>
      <c r="I291" s="2">
        <v>1.4126000000000001</v>
      </c>
      <c r="J291" s="2">
        <v>5.0885999999999996</v>
      </c>
      <c r="K291" s="2">
        <v>0.17879999999999999</v>
      </c>
      <c r="L291" s="2">
        <v>4.7380000000000004</v>
      </c>
      <c r="M291" s="2">
        <v>5.4390999999999998</v>
      </c>
      <c r="O291">
        <f t="shared" si="240"/>
        <v>5.0885999999999996</v>
      </c>
      <c r="P291">
        <f t="shared" si="241"/>
        <v>4.7380000000000004</v>
      </c>
      <c r="Q291">
        <f t="shared" si="242"/>
        <v>5.4390999999999998</v>
      </c>
      <c r="S291" t="str">
        <f t="shared" si="243"/>
        <v>5.09 (4.74 to 5.44)</v>
      </c>
    </row>
    <row r="292" spans="1:19" ht="17.25" thickBot="1" x14ac:dyDescent="0.35">
      <c r="A292" s="6"/>
      <c r="B292" s="13" t="s">
        <v>132</v>
      </c>
      <c r="C292" s="2">
        <v>17199</v>
      </c>
      <c r="D292" s="2">
        <v>7850118</v>
      </c>
      <c r="E292" s="2">
        <v>92267</v>
      </c>
      <c r="F292" s="2">
        <v>25.949300000000001</v>
      </c>
      <c r="G292" s="2">
        <v>0.21940000000000001</v>
      </c>
      <c r="H292" s="2">
        <v>25.519100000000002</v>
      </c>
      <c r="I292" s="2">
        <v>26.3795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3">
        <v>0</v>
      </c>
      <c r="C293" s="2">
        <v>14905</v>
      </c>
      <c r="D293" s="2">
        <v>6677833</v>
      </c>
      <c r="E293" s="2">
        <v>79749</v>
      </c>
      <c r="F293" s="2">
        <v>22.074200000000001</v>
      </c>
      <c r="G293" s="2">
        <v>0.19409999999999999</v>
      </c>
      <c r="H293" s="2">
        <v>21.6935</v>
      </c>
      <c r="I293" s="2">
        <v>22.454799999999999</v>
      </c>
      <c r="J293" s="2">
        <v>89.557699999999997</v>
      </c>
      <c r="K293" s="2">
        <v>0.26750000000000002</v>
      </c>
      <c r="L293" s="2">
        <v>89.033199999999994</v>
      </c>
      <c r="M293" s="2">
        <v>90.0822</v>
      </c>
      <c r="O293">
        <f t="shared" ref="O293:O294" si="244">J293</f>
        <v>89.557699999999997</v>
      </c>
      <c r="P293">
        <f t="shared" ref="P293:P294" si="245">L293</f>
        <v>89.033199999999994</v>
      </c>
      <c r="Q293">
        <f t="shared" ref="Q293:Q294" si="246">M293</f>
        <v>90.0822</v>
      </c>
      <c r="S293" t="str">
        <f t="shared" ref="S293:S294" si="247">TEXT(O293,"0.00")&amp;" ("&amp;TEXT(P293,"0.00")&amp;" to "&amp;TEXT(Q293,"0.00")&amp;")"</f>
        <v>89.56 (89.03 to 90.08)</v>
      </c>
    </row>
    <row r="294" spans="1:19" ht="17.25" thickBot="1" x14ac:dyDescent="0.35">
      <c r="A294" s="6"/>
      <c r="B294" s="13">
        <v>1</v>
      </c>
      <c r="C294" s="2">
        <v>2194</v>
      </c>
      <c r="D294" s="2">
        <v>778627</v>
      </c>
      <c r="E294" s="2">
        <v>20721</v>
      </c>
      <c r="F294" s="2">
        <v>2.5737999999999999</v>
      </c>
      <c r="G294" s="2">
        <v>6.7299999999999999E-2</v>
      </c>
      <c r="H294" s="2">
        <v>2.4418000000000002</v>
      </c>
      <c r="I294" s="2">
        <v>2.7058</v>
      </c>
      <c r="J294" s="2">
        <v>10.442299999999999</v>
      </c>
      <c r="K294" s="2">
        <v>0.26750000000000002</v>
      </c>
      <c r="L294" s="2">
        <v>9.9177999999999997</v>
      </c>
      <c r="M294" s="2">
        <v>10.966799999999999</v>
      </c>
      <c r="O294">
        <f t="shared" si="244"/>
        <v>10.442299999999999</v>
      </c>
      <c r="P294">
        <f t="shared" si="245"/>
        <v>9.9177999999999997</v>
      </c>
      <c r="Q294">
        <f t="shared" si="246"/>
        <v>10.966799999999999</v>
      </c>
      <c r="S294" t="str">
        <f t="shared" si="247"/>
        <v>10.44 (9.92 to 10.97)</v>
      </c>
    </row>
    <row r="295" spans="1:19" ht="17.25" thickBot="1" x14ac:dyDescent="0.35">
      <c r="A295" s="6"/>
      <c r="B295" s="13" t="s">
        <v>132</v>
      </c>
      <c r="C295" s="2">
        <v>17099</v>
      </c>
      <c r="D295" s="2">
        <v>7456460</v>
      </c>
      <c r="E295" s="2">
        <v>83424</v>
      </c>
      <c r="F295" s="2">
        <v>24.648</v>
      </c>
      <c r="G295" s="2">
        <v>0.19750000000000001</v>
      </c>
      <c r="H295" s="2">
        <v>24.2608</v>
      </c>
      <c r="I295" s="2">
        <v>25.0352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3">
        <v>0</v>
      </c>
      <c r="C296" s="2">
        <v>14101</v>
      </c>
      <c r="D296" s="2">
        <v>6271563</v>
      </c>
      <c r="E296" s="2">
        <v>73371</v>
      </c>
      <c r="F296" s="2">
        <v>20.731200000000001</v>
      </c>
      <c r="G296" s="2">
        <v>0.1825</v>
      </c>
      <c r="H296" s="2">
        <v>20.3733</v>
      </c>
      <c r="I296" s="2">
        <v>21.089099999999998</v>
      </c>
      <c r="J296" s="2">
        <v>84.832300000000004</v>
      </c>
      <c r="K296" s="2">
        <v>0.3054</v>
      </c>
      <c r="L296" s="2">
        <v>84.233599999999996</v>
      </c>
      <c r="M296" s="2">
        <v>85.431100000000001</v>
      </c>
      <c r="O296">
        <f t="shared" ref="O296:O297" si="248">J296</f>
        <v>84.832300000000004</v>
      </c>
      <c r="P296">
        <f t="shared" ref="P296:P297" si="249">L296</f>
        <v>84.233599999999996</v>
      </c>
      <c r="Q296">
        <f t="shared" ref="Q296:Q297" si="250">M296</f>
        <v>85.431100000000001</v>
      </c>
      <c r="S296" t="str">
        <f t="shared" ref="S296:S297" si="251">TEXT(O296,"0.00")&amp;" ("&amp;TEXT(P296,"0.00")&amp;" to "&amp;TEXT(Q296,"0.00")&amp;")"</f>
        <v>84.83 (84.23 to 85.43)</v>
      </c>
    </row>
    <row r="297" spans="1:19" ht="17.25" thickBot="1" x14ac:dyDescent="0.35">
      <c r="A297" s="6"/>
      <c r="B297" s="13">
        <v>1</v>
      </c>
      <c r="C297" s="2">
        <v>3070</v>
      </c>
      <c r="D297" s="2">
        <v>1121330</v>
      </c>
      <c r="E297" s="2">
        <v>25323</v>
      </c>
      <c r="F297" s="2">
        <v>3.7067000000000001</v>
      </c>
      <c r="G297" s="2">
        <v>8.0299999999999996E-2</v>
      </c>
      <c r="H297" s="2">
        <v>3.5491999999999999</v>
      </c>
      <c r="I297" s="2">
        <v>3.8641999999999999</v>
      </c>
      <c r="J297" s="2">
        <v>15.1677</v>
      </c>
      <c r="K297" s="2">
        <v>0.3054</v>
      </c>
      <c r="L297" s="2">
        <v>14.568899999999999</v>
      </c>
      <c r="M297" s="2">
        <v>15.766400000000001</v>
      </c>
      <c r="O297">
        <f t="shared" si="248"/>
        <v>15.1677</v>
      </c>
      <c r="P297">
        <f t="shared" si="249"/>
        <v>14.568899999999999</v>
      </c>
      <c r="Q297">
        <f t="shared" si="250"/>
        <v>15.766400000000001</v>
      </c>
      <c r="S297" t="str">
        <f t="shared" si="251"/>
        <v>15.17 (14.57 to 15.77)</v>
      </c>
    </row>
    <row r="298" spans="1:19" ht="17.25" thickBot="1" x14ac:dyDescent="0.35">
      <c r="A298" s="6"/>
      <c r="B298" s="13" t="s">
        <v>132</v>
      </c>
      <c r="C298" s="2">
        <v>17171</v>
      </c>
      <c r="D298" s="2">
        <v>7392893</v>
      </c>
      <c r="E298" s="2">
        <v>81319</v>
      </c>
      <c r="F298" s="2">
        <v>24.437899999999999</v>
      </c>
      <c r="G298" s="2">
        <v>0.1963</v>
      </c>
      <c r="H298" s="2">
        <v>24.053000000000001</v>
      </c>
      <c r="I298" s="2">
        <v>24.822800000000001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3">
        <v>0</v>
      </c>
      <c r="C299" s="2">
        <v>13380</v>
      </c>
      <c r="D299" s="2">
        <v>6056972</v>
      </c>
      <c r="E299" s="2">
        <v>71000</v>
      </c>
      <c r="F299" s="2">
        <v>20.021899999999999</v>
      </c>
      <c r="G299" s="2">
        <v>0.19020000000000001</v>
      </c>
      <c r="H299" s="2">
        <v>19.648900000000001</v>
      </c>
      <c r="I299" s="2">
        <v>20.3949</v>
      </c>
      <c r="J299" s="2">
        <v>80.200500000000005</v>
      </c>
      <c r="K299" s="2">
        <v>0.36099999999999999</v>
      </c>
      <c r="L299" s="2">
        <v>79.492699999999999</v>
      </c>
      <c r="M299" s="2">
        <v>80.908299999999997</v>
      </c>
      <c r="O299">
        <f t="shared" ref="O299:O300" si="252">J299</f>
        <v>80.200500000000005</v>
      </c>
      <c r="P299">
        <f t="shared" ref="P299:P300" si="253">L299</f>
        <v>79.492699999999999</v>
      </c>
      <c r="Q299">
        <f t="shared" ref="Q299:Q300" si="254">M299</f>
        <v>80.908299999999997</v>
      </c>
      <c r="S299" t="str">
        <f t="shared" ref="S299:S300" si="255">TEXT(O299,"0.00")&amp;" ("&amp;TEXT(P299,"0.00")&amp;" to "&amp;TEXT(Q299,"0.00")&amp;")"</f>
        <v>80.20 (79.49 to 80.91)</v>
      </c>
    </row>
    <row r="300" spans="1:19" ht="17.25" thickBot="1" x14ac:dyDescent="0.35">
      <c r="A300" s="6"/>
      <c r="B300" s="13">
        <v>1</v>
      </c>
      <c r="C300" s="2">
        <v>3785</v>
      </c>
      <c r="D300" s="2">
        <v>1495314</v>
      </c>
      <c r="E300" s="2">
        <v>30965</v>
      </c>
      <c r="F300" s="2">
        <v>4.9428999999999998</v>
      </c>
      <c r="G300" s="2">
        <v>9.8400000000000001E-2</v>
      </c>
      <c r="H300" s="2">
        <v>4.75</v>
      </c>
      <c r="I300" s="2">
        <v>5.1357999999999997</v>
      </c>
      <c r="J300" s="2">
        <v>19.799499999999998</v>
      </c>
      <c r="K300" s="2">
        <v>0.36099999999999999</v>
      </c>
      <c r="L300" s="2">
        <v>19.091699999999999</v>
      </c>
      <c r="M300" s="2">
        <v>20.507300000000001</v>
      </c>
      <c r="O300">
        <f t="shared" si="252"/>
        <v>19.799499999999998</v>
      </c>
      <c r="P300">
        <f t="shared" si="253"/>
        <v>19.091699999999999</v>
      </c>
      <c r="Q300">
        <f t="shared" si="254"/>
        <v>20.507300000000001</v>
      </c>
      <c r="S300" t="str">
        <f t="shared" si="255"/>
        <v>19.80 (19.09 to 20.51)</v>
      </c>
    </row>
    <row r="301" spans="1:19" ht="17.25" thickBot="1" x14ac:dyDescent="0.35">
      <c r="A301" s="6"/>
      <c r="B301" s="13" t="s">
        <v>132</v>
      </c>
      <c r="C301" s="2">
        <v>17165</v>
      </c>
      <c r="D301" s="2">
        <v>7552285</v>
      </c>
      <c r="E301" s="2">
        <v>80298</v>
      </c>
      <c r="F301" s="2">
        <v>24.9648</v>
      </c>
      <c r="G301" s="2">
        <v>0.20699999999999999</v>
      </c>
      <c r="H301" s="2">
        <v>24.558800000000002</v>
      </c>
      <c r="I301" s="2">
        <v>25.370799999999999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3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256">J302</f>
        <v>0</v>
      </c>
      <c r="P302">
        <f t="shared" ref="P302:P303" si="257">L302</f>
        <v>0</v>
      </c>
      <c r="Q302">
        <f t="shared" ref="Q302:Q303" si="258">M302</f>
        <v>0</v>
      </c>
      <c r="S302" t="str">
        <f t="shared" ref="S302:S303" si="259">TEXT(O302,"0.00")&amp;" ("&amp;TEXT(P302,"0.00")&amp;" to "&amp;TEXT(Q302,"0.00")&amp;")"</f>
        <v>0.00 (0.00 to 0.00)</v>
      </c>
    </row>
    <row r="303" spans="1:19" ht="17.25" thickBot="1" x14ac:dyDescent="0.35">
      <c r="A303" s="6"/>
      <c r="B303" s="13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256"/>
        <v>0</v>
      </c>
      <c r="P303">
        <f t="shared" si="257"/>
        <v>0</v>
      </c>
      <c r="Q303">
        <f t="shared" si="258"/>
        <v>0</v>
      </c>
      <c r="S303" t="str">
        <f t="shared" si="259"/>
        <v>0.00 (0.00 to 0.00)</v>
      </c>
    </row>
    <row r="304" spans="1:19" x14ac:dyDescent="0.3">
      <c r="A304" s="6"/>
      <c r="B304" s="16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17" t="s">
        <v>164</v>
      </c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</row>
    <row r="307" spans="1:19" ht="33" customHeight="1" x14ac:dyDescent="0.3">
      <c r="A307" s="18" t="s">
        <v>23</v>
      </c>
      <c r="B307" s="20" t="s">
        <v>17</v>
      </c>
      <c r="C307" s="20" t="s">
        <v>125</v>
      </c>
      <c r="D307" s="3" t="s">
        <v>126</v>
      </c>
      <c r="E307" s="3" t="s">
        <v>127</v>
      </c>
      <c r="F307" s="20" t="s">
        <v>129</v>
      </c>
      <c r="G307" s="3" t="s">
        <v>127</v>
      </c>
      <c r="H307" s="20" t="s">
        <v>130</v>
      </c>
      <c r="I307" s="20"/>
      <c r="J307" s="3" t="s">
        <v>149</v>
      </c>
      <c r="K307" s="3" t="s">
        <v>127</v>
      </c>
      <c r="L307" s="20" t="s">
        <v>130</v>
      </c>
      <c r="M307" s="20"/>
    </row>
    <row r="308" spans="1:19" ht="33" x14ac:dyDescent="0.3">
      <c r="A308" s="18"/>
      <c r="B308" s="20"/>
      <c r="C308" s="20"/>
      <c r="D308" s="3" t="s">
        <v>125</v>
      </c>
      <c r="E308" s="3" t="s">
        <v>128</v>
      </c>
      <c r="F308" s="20"/>
      <c r="G308" s="3" t="s">
        <v>129</v>
      </c>
      <c r="H308" s="20" t="s">
        <v>131</v>
      </c>
      <c r="I308" s="20"/>
      <c r="J308" s="3" t="s">
        <v>129</v>
      </c>
      <c r="K308" s="3" t="s">
        <v>150</v>
      </c>
      <c r="L308" s="20" t="s">
        <v>151</v>
      </c>
      <c r="M308" s="20"/>
    </row>
    <row r="309" spans="1:19" ht="17.25" thickBot="1" x14ac:dyDescent="0.35">
      <c r="A309" s="6">
        <v>1</v>
      </c>
      <c r="B309" s="13">
        <v>0</v>
      </c>
      <c r="C309" s="2">
        <v>17037</v>
      </c>
      <c r="D309" s="2">
        <v>7797108</v>
      </c>
      <c r="E309" s="2">
        <v>92274</v>
      </c>
      <c r="F309" s="2">
        <v>25.774100000000001</v>
      </c>
      <c r="G309" s="2">
        <v>0.2198</v>
      </c>
      <c r="H309" s="2">
        <v>25.3431</v>
      </c>
      <c r="I309" s="2">
        <v>26.204999999999998</v>
      </c>
      <c r="J309" s="2">
        <v>99.324700000000007</v>
      </c>
      <c r="K309" s="2">
        <v>6.5000000000000002E-2</v>
      </c>
      <c r="L309" s="2">
        <v>99.197400000000002</v>
      </c>
      <c r="M309" s="2">
        <v>99.452100000000002</v>
      </c>
      <c r="O309">
        <f t="shared" ref="O309:O310" si="260">J309</f>
        <v>99.324700000000007</v>
      </c>
      <c r="P309">
        <f t="shared" ref="P309:P310" si="261">L309</f>
        <v>99.197400000000002</v>
      </c>
      <c r="Q309">
        <f t="shared" ref="Q309:Q310" si="262">M309</f>
        <v>99.452100000000002</v>
      </c>
      <c r="S309" t="str">
        <f t="shared" ref="S309:S310" si="263">TEXT(O309,"0.00")&amp;" ("&amp;TEXT(P309,"0.00")&amp;" to "&amp;TEXT(Q309,"0.00")&amp;")"</f>
        <v>99.32 (99.20 to 99.45)</v>
      </c>
    </row>
    <row r="310" spans="1:19" ht="17.25" thickBot="1" x14ac:dyDescent="0.35">
      <c r="A310" s="6"/>
      <c r="B310" s="13">
        <v>1</v>
      </c>
      <c r="C310" s="2">
        <v>162</v>
      </c>
      <c r="D310" s="2">
        <v>53011</v>
      </c>
      <c r="E310" s="2">
        <v>5077</v>
      </c>
      <c r="F310" s="2">
        <v>0.17519999999999999</v>
      </c>
      <c r="G310" s="2">
        <v>1.6799999999999999E-2</v>
      </c>
      <c r="H310" s="2">
        <v>0.14230000000000001</v>
      </c>
      <c r="I310" s="2">
        <v>0.2082</v>
      </c>
      <c r="J310" s="2">
        <v>0.67530000000000001</v>
      </c>
      <c r="K310" s="2">
        <v>6.5000000000000002E-2</v>
      </c>
      <c r="L310" s="2">
        <v>0.54790000000000005</v>
      </c>
      <c r="M310" s="2">
        <v>0.80259999999999998</v>
      </c>
      <c r="O310">
        <f t="shared" si="260"/>
        <v>0.67530000000000001</v>
      </c>
      <c r="P310">
        <f t="shared" si="261"/>
        <v>0.54790000000000005</v>
      </c>
      <c r="Q310">
        <f t="shared" si="262"/>
        <v>0.80259999999999998</v>
      </c>
      <c r="S310" t="str">
        <f t="shared" si="263"/>
        <v>0.68 (0.55 to 0.80)</v>
      </c>
    </row>
    <row r="311" spans="1:19" ht="17.25" thickBot="1" x14ac:dyDescent="0.35">
      <c r="A311" s="6"/>
      <c r="B311" s="13" t="s">
        <v>132</v>
      </c>
      <c r="C311" s="2">
        <v>17199</v>
      </c>
      <c r="D311" s="2">
        <v>7850118</v>
      </c>
      <c r="E311" s="2">
        <v>92267</v>
      </c>
      <c r="F311" s="2">
        <v>25.949300000000001</v>
      </c>
      <c r="G311" s="2">
        <v>0.21940000000000001</v>
      </c>
      <c r="H311" s="2">
        <v>25.519100000000002</v>
      </c>
      <c r="I311" s="2">
        <v>26.3795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3">
        <v>0</v>
      </c>
      <c r="C312" s="2">
        <v>16798</v>
      </c>
      <c r="D312" s="2">
        <v>7357818</v>
      </c>
      <c r="E312" s="2">
        <v>83082</v>
      </c>
      <c r="F312" s="2">
        <v>24.321999999999999</v>
      </c>
      <c r="G312" s="2">
        <v>0.19689999999999999</v>
      </c>
      <c r="H312" s="2">
        <v>23.9358</v>
      </c>
      <c r="I312" s="2">
        <v>24.708100000000002</v>
      </c>
      <c r="J312" s="2">
        <v>98.677099999999996</v>
      </c>
      <c r="K312" s="2">
        <v>9.3399999999999997E-2</v>
      </c>
      <c r="L312" s="2">
        <v>98.494</v>
      </c>
      <c r="M312" s="2">
        <v>98.860200000000006</v>
      </c>
      <c r="O312">
        <f t="shared" ref="O312:O313" si="264">J312</f>
        <v>98.677099999999996</v>
      </c>
      <c r="P312">
        <f t="shared" ref="P312:P313" si="265">L312</f>
        <v>98.494</v>
      </c>
      <c r="Q312">
        <f t="shared" ref="Q312:Q313" si="266">M312</f>
        <v>98.860200000000006</v>
      </c>
      <c r="S312" t="str">
        <f t="shared" ref="S312:S313" si="267">TEXT(O312,"0.00")&amp;" ("&amp;TEXT(P312,"0.00")&amp;" to "&amp;TEXT(Q312,"0.00")&amp;")"</f>
        <v>98.68 (98.49 to 98.86)</v>
      </c>
    </row>
    <row r="313" spans="1:19" ht="17.25" thickBot="1" x14ac:dyDescent="0.35">
      <c r="A313" s="6"/>
      <c r="B313" s="13">
        <v>1</v>
      </c>
      <c r="C313" s="2">
        <v>301</v>
      </c>
      <c r="D313" s="2">
        <v>98642</v>
      </c>
      <c r="E313" s="2">
        <v>6975</v>
      </c>
      <c r="F313" s="2">
        <v>0.3261</v>
      </c>
      <c r="G313" s="2">
        <v>2.3099999999999999E-2</v>
      </c>
      <c r="H313" s="2">
        <v>0.28079999999999999</v>
      </c>
      <c r="I313" s="2">
        <v>0.37130000000000002</v>
      </c>
      <c r="J313" s="2">
        <v>1.3229</v>
      </c>
      <c r="K313" s="2">
        <v>9.3399999999999997E-2</v>
      </c>
      <c r="L313" s="2">
        <v>1.1397999999999999</v>
      </c>
      <c r="M313" s="2">
        <v>1.506</v>
      </c>
      <c r="O313">
        <f t="shared" si="264"/>
        <v>1.3229</v>
      </c>
      <c r="P313">
        <f t="shared" si="265"/>
        <v>1.1397999999999999</v>
      </c>
      <c r="Q313">
        <f t="shared" si="266"/>
        <v>1.506</v>
      </c>
      <c r="S313" t="str">
        <f t="shared" si="267"/>
        <v>1.32 (1.14 to 1.51)</v>
      </c>
    </row>
    <row r="314" spans="1:19" ht="17.25" thickBot="1" x14ac:dyDescent="0.35">
      <c r="A314" s="6"/>
      <c r="B314" s="13" t="s">
        <v>132</v>
      </c>
      <c r="C314" s="2">
        <v>17099</v>
      </c>
      <c r="D314" s="2">
        <v>7456460</v>
      </c>
      <c r="E314" s="2">
        <v>83424</v>
      </c>
      <c r="F314" s="2">
        <v>24.648</v>
      </c>
      <c r="G314" s="2">
        <v>0.19750000000000001</v>
      </c>
      <c r="H314" s="2">
        <v>24.2608</v>
      </c>
      <c r="I314" s="2">
        <v>25.0352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3">
        <v>0</v>
      </c>
      <c r="C315" s="2">
        <v>16777</v>
      </c>
      <c r="D315" s="2">
        <v>7270079</v>
      </c>
      <c r="E315" s="2">
        <v>80892</v>
      </c>
      <c r="F315" s="2">
        <v>24.0319</v>
      </c>
      <c r="G315" s="2">
        <v>0.1963</v>
      </c>
      <c r="H315" s="2">
        <v>23.646999999999998</v>
      </c>
      <c r="I315" s="2">
        <v>24.416799999999999</v>
      </c>
      <c r="J315" s="2">
        <v>98.338800000000006</v>
      </c>
      <c r="K315" s="2">
        <v>0.1012</v>
      </c>
      <c r="L315" s="2">
        <v>98.140299999999996</v>
      </c>
      <c r="M315" s="2">
        <v>98.537199999999999</v>
      </c>
      <c r="O315">
        <f t="shared" ref="O315:O316" si="268">J315</f>
        <v>98.338800000000006</v>
      </c>
      <c r="P315">
        <f t="shared" ref="P315:P316" si="269">L315</f>
        <v>98.140299999999996</v>
      </c>
      <c r="Q315">
        <f t="shared" ref="Q315:Q316" si="270">M315</f>
        <v>98.537199999999999</v>
      </c>
      <c r="S315" t="str">
        <f t="shared" ref="S315:S316" si="271">TEXT(O315,"0.00")&amp;" ("&amp;TEXT(P315,"0.00")&amp;" to "&amp;TEXT(Q315,"0.00")&amp;")"</f>
        <v>98.34 (98.14 to 98.54)</v>
      </c>
    </row>
    <row r="316" spans="1:19" ht="17.25" thickBot="1" x14ac:dyDescent="0.35">
      <c r="A316" s="6"/>
      <c r="B316" s="13">
        <v>1</v>
      </c>
      <c r="C316" s="2">
        <v>394</v>
      </c>
      <c r="D316" s="2">
        <v>122814</v>
      </c>
      <c r="E316" s="2">
        <v>7498</v>
      </c>
      <c r="F316" s="2">
        <v>0.40600000000000003</v>
      </c>
      <c r="G316" s="2">
        <v>2.47E-2</v>
      </c>
      <c r="H316" s="2">
        <v>0.35749999999999998</v>
      </c>
      <c r="I316" s="2">
        <v>0.45440000000000003</v>
      </c>
      <c r="J316" s="2">
        <v>1.6612</v>
      </c>
      <c r="K316" s="2">
        <v>0.1012</v>
      </c>
      <c r="L316" s="2">
        <v>1.4628000000000001</v>
      </c>
      <c r="M316" s="2">
        <v>1.8596999999999999</v>
      </c>
      <c r="O316">
        <f t="shared" si="268"/>
        <v>1.6612</v>
      </c>
      <c r="P316">
        <f t="shared" si="269"/>
        <v>1.4628000000000001</v>
      </c>
      <c r="Q316">
        <f t="shared" si="270"/>
        <v>1.8596999999999999</v>
      </c>
      <c r="S316" t="str">
        <f t="shared" si="271"/>
        <v>1.66 (1.46 to 1.86)</v>
      </c>
    </row>
    <row r="317" spans="1:19" ht="17.25" thickBot="1" x14ac:dyDescent="0.35">
      <c r="A317" s="6"/>
      <c r="B317" s="13" t="s">
        <v>132</v>
      </c>
      <c r="C317" s="2">
        <v>17171</v>
      </c>
      <c r="D317" s="2">
        <v>7392893</v>
      </c>
      <c r="E317" s="2">
        <v>81319</v>
      </c>
      <c r="F317" s="2">
        <v>24.437899999999999</v>
      </c>
      <c r="G317" s="2">
        <v>0.1963</v>
      </c>
      <c r="H317" s="2">
        <v>24.053000000000001</v>
      </c>
      <c r="I317" s="2">
        <v>24.822800000000001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3">
        <v>0</v>
      </c>
      <c r="C318" s="2">
        <v>16731</v>
      </c>
      <c r="D318" s="2">
        <v>7414140</v>
      </c>
      <c r="E318" s="2">
        <v>79662</v>
      </c>
      <c r="F318" s="2">
        <v>24.508099999999999</v>
      </c>
      <c r="G318" s="2">
        <v>0.2049</v>
      </c>
      <c r="H318" s="2">
        <v>24.106400000000001</v>
      </c>
      <c r="I318" s="2">
        <v>24.9099</v>
      </c>
      <c r="J318" s="2">
        <v>98.1708</v>
      </c>
      <c r="K318" s="2">
        <v>0.1082</v>
      </c>
      <c r="L318" s="2">
        <v>97.958699999999993</v>
      </c>
      <c r="M318" s="2">
        <v>98.382999999999996</v>
      </c>
      <c r="O318">
        <f t="shared" ref="O318:O319" si="272">J318</f>
        <v>98.1708</v>
      </c>
      <c r="P318">
        <f t="shared" ref="P318:P319" si="273">L318</f>
        <v>97.958699999999993</v>
      </c>
      <c r="Q318">
        <f t="shared" ref="Q318:Q319" si="274">M318</f>
        <v>98.382999999999996</v>
      </c>
      <c r="S318" t="str">
        <f t="shared" ref="S318:S319" si="275">TEXT(O318,"0.00")&amp;" ("&amp;TEXT(P318,"0.00")&amp;" to "&amp;TEXT(Q318,"0.00")&amp;")"</f>
        <v>98.17 (97.96 to 98.38)</v>
      </c>
    </row>
    <row r="319" spans="1:19" ht="17.25" thickBot="1" x14ac:dyDescent="0.35">
      <c r="A319" s="6"/>
      <c r="B319" s="13">
        <v>1</v>
      </c>
      <c r="C319" s="2">
        <v>434</v>
      </c>
      <c r="D319" s="2">
        <v>138146</v>
      </c>
      <c r="E319" s="2">
        <v>8229</v>
      </c>
      <c r="F319" s="2">
        <v>0.45669999999999999</v>
      </c>
      <c r="G319" s="2">
        <v>2.7300000000000001E-2</v>
      </c>
      <c r="H319" s="2">
        <v>0.40310000000000001</v>
      </c>
      <c r="I319" s="2">
        <v>0.51019999999999999</v>
      </c>
      <c r="J319" s="2">
        <v>1.8291999999999999</v>
      </c>
      <c r="K319" s="2">
        <v>0.1082</v>
      </c>
      <c r="L319" s="2">
        <v>1.617</v>
      </c>
      <c r="M319" s="2">
        <v>2.0413000000000001</v>
      </c>
      <c r="O319">
        <f t="shared" si="272"/>
        <v>1.8291999999999999</v>
      </c>
      <c r="P319">
        <f t="shared" si="273"/>
        <v>1.617</v>
      </c>
      <c r="Q319">
        <f t="shared" si="274"/>
        <v>2.0413000000000001</v>
      </c>
      <c r="S319" t="str">
        <f t="shared" si="275"/>
        <v>1.83 (1.62 to 2.04)</v>
      </c>
    </row>
    <row r="320" spans="1:19" ht="17.25" thickBot="1" x14ac:dyDescent="0.35">
      <c r="A320" s="6"/>
      <c r="B320" s="13" t="s">
        <v>132</v>
      </c>
      <c r="C320" s="2">
        <v>17165</v>
      </c>
      <c r="D320" s="2">
        <v>7552285</v>
      </c>
      <c r="E320" s="2">
        <v>80298</v>
      </c>
      <c r="F320" s="2">
        <v>24.9648</v>
      </c>
      <c r="G320" s="2">
        <v>0.20699999999999999</v>
      </c>
      <c r="H320" s="2">
        <v>24.558800000000002</v>
      </c>
      <c r="I320" s="2">
        <v>25.370799999999999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3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76">J321</f>
        <v>0</v>
      </c>
      <c r="P321">
        <f t="shared" ref="P321:P322" si="277">L321</f>
        <v>0</v>
      </c>
      <c r="Q321">
        <f t="shared" ref="Q321:Q322" si="278">M321</f>
        <v>0</v>
      </c>
      <c r="S321" t="str">
        <f t="shared" ref="S321:S322" si="27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3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76"/>
        <v>0</v>
      </c>
      <c r="P322">
        <f t="shared" si="277"/>
        <v>0</v>
      </c>
      <c r="Q322">
        <f t="shared" si="278"/>
        <v>0</v>
      </c>
      <c r="S322" t="str">
        <f t="shared" si="279"/>
        <v>0.00 (0.00 to 0.00)</v>
      </c>
    </row>
    <row r="323" spans="1:19" x14ac:dyDescent="0.3">
      <c r="A323" s="6"/>
      <c r="B323" s="16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17" t="s">
        <v>165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</row>
    <row r="326" spans="1:19" ht="33" customHeight="1" x14ac:dyDescent="0.3">
      <c r="A326" s="18" t="s">
        <v>23</v>
      </c>
      <c r="B326" s="20" t="s">
        <v>18</v>
      </c>
      <c r="C326" s="20" t="s">
        <v>125</v>
      </c>
      <c r="D326" s="3" t="s">
        <v>126</v>
      </c>
      <c r="E326" s="3" t="s">
        <v>127</v>
      </c>
      <c r="F326" s="20" t="s">
        <v>129</v>
      </c>
      <c r="G326" s="3" t="s">
        <v>127</v>
      </c>
      <c r="H326" s="20" t="s">
        <v>130</v>
      </c>
      <c r="I326" s="20"/>
      <c r="J326" s="3" t="s">
        <v>149</v>
      </c>
      <c r="K326" s="3" t="s">
        <v>127</v>
      </c>
      <c r="L326" s="20" t="s">
        <v>130</v>
      </c>
      <c r="M326" s="20"/>
    </row>
    <row r="327" spans="1:19" ht="33" x14ac:dyDescent="0.3">
      <c r="A327" s="18"/>
      <c r="B327" s="20"/>
      <c r="C327" s="20"/>
      <c r="D327" s="3" t="s">
        <v>125</v>
      </c>
      <c r="E327" s="3" t="s">
        <v>128</v>
      </c>
      <c r="F327" s="20"/>
      <c r="G327" s="3" t="s">
        <v>129</v>
      </c>
      <c r="H327" s="20" t="s">
        <v>131</v>
      </c>
      <c r="I327" s="20"/>
      <c r="J327" s="3" t="s">
        <v>129</v>
      </c>
      <c r="K327" s="3" t="s">
        <v>150</v>
      </c>
      <c r="L327" s="20" t="s">
        <v>151</v>
      </c>
      <c r="M327" s="20"/>
    </row>
    <row r="328" spans="1:19" ht="17.25" thickBot="1" x14ac:dyDescent="0.35">
      <c r="A328" s="6">
        <v>1</v>
      </c>
      <c r="B328" s="13">
        <v>0</v>
      </c>
      <c r="C328" s="2">
        <v>17108</v>
      </c>
      <c r="D328" s="2">
        <v>7822943</v>
      </c>
      <c r="E328" s="2">
        <v>92163</v>
      </c>
      <c r="F328" s="2">
        <v>25.859500000000001</v>
      </c>
      <c r="G328" s="2">
        <v>0.21940000000000001</v>
      </c>
      <c r="H328" s="2">
        <v>25.429300000000001</v>
      </c>
      <c r="I328" s="2">
        <v>26.2896</v>
      </c>
      <c r="J328" s="2">
        <v>99.653800000000004</v>
      </c>
      <c r="K328" s="2">
        <v>4.36E-2</v>
      </c>
      <c r="L328" s="2">
        <v>99.568299999999994</v>
      </c>
      <c r="M328" s="2">
        <v>99.7393</v>
      </c>
      <c r="O328">
        <f t="shared" ref="O328:O329" si="280">J328</f>
        <v>99.653800000000004</v>
      </c>
      <c r="P328">
        <f t="shared" ref="P328:P329" si="281">L328</f>
        <v>99.568299999999994</v>
      </c>
      <c r="Q328">
        <f t="shared" ref="Q328:Q329" si="282">M328</f>
        <v>99.7393</v>
      </c>
      <c r="S328" t="str">
        <f t="shared" ref="S328:S329" si="283">TEXT(O328,"0.00")&amp;" ("&amp;TEXT(P328,"0.00")&amp;" to "&amp;TEXT(Q328,"0.00")&amp;")"</f>
        <v>99.65 (99.57 to 99.74)</v>
      </c>
    </row>
    <row r="329" spans="1:19" ht="17.25" thickBot="1" x14ac:dyDescent="0.35">
      <c r="A329" s="6"/>
      <c r="B329" s="13">
        <v>1</v>
      </c>
      <c r="C329" s="2">
        <v>91</v>
      </c>
      <c r="D329" s="2">
        <v>27176</v>
      </c>
      <c r="E329" s="2">
        <v>3425</v>
      </c>
      <c r="F329" s="2">
        <v>8.9800000000000005E-2</v>
      </c>
      <c r="G329" s="2">
        <v>1.1299999999999999E-2</v>
      </c>
      <c r="H329" s="2">
        <v>6.7599999999999993E-2</v>
      </c>
      <c r="I329" s="2">
        <v>0.112</v>
      </c>
      <c r="J329" s="2">
        <v>0.34620000000000001</v>
      </c>
      <c r="K329" s="2">
        <v>4.36E-2</v>
      </c>
      <c r="L329" s="2">
        <v>0.26069999999999999</v>
      </c>
      <c r="M329" s="2">
        <v>0.43169999999999997</v>
      </c>
      <c r="O329">
        <f t="shared" si="280"/>
        <v>0.34620000000000001</v>
      </c>
      <c r="P329">
        <f t="shared" si="281"/>
        <v>0.26069999999999999</v>
      </c>
      <c r="Q329">
        <f t="shared" si="282"/>
        <v>0.43169999999999997</v>
      </c>
      <c r="S329" t="str">
        <f t="shared" si="283"/>
        <v>0.35 (0.26 to 0.43)</v>
      </c>
    </row>
    <row r="330" spans="1:19" ht="17.25" thickBot="1" x14ac:dyDescent="0.35">
      <c r="A330" s="6"/>
      <c r="B330" s="13" t="s">
        <v>132</v>
      </c>
      <c r="C330" s="2">
        <v>17199</v>
      </c>
      <c r="D330" s="2">
        <v>7850118</v>
      </c>
      <c r="E330" s="2">
        <v>92267</v>
      </c>
      <c r="F330" s="2">
        <v>25.949300000000001</v>
      </c>
      <c r="G330" s="2">
        <v>0.21940000000000001</v>
      </c>
      <c r="H330" s="2">
        <v>25.519100000000002</v>
      </c>
      <c r="I330" s="2">
        <v>26.3795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3">
        <v>0</v>
      </c>
      <c r="C331" s="2">
        <v>16943</v>
      </c>
      <c r="D331" s="2">
        <v>7411007</v>
      </c>
      <c r="E331" s="2">
        <v>83248</v>
      </c>
      <c r="F331" s="2">
        <v>24.497800000000002</v>
      </c>
      <c r="G331" s="2">
        <v>0.19719999999999999</v>
      </c>
      <c r="H331" s="2">
        <v>24.1111</v>
      </c>
      <c r="I331" s="2">
        <v>24.884399999999999</v>
      </c>
      <c r="J331" s="2">
        <v>99.3904</v>
      </c>
      <c r="K331" s="2">
        <v>5.5500000000000001E-2</v>
      </c>
      <c r="L331" s="2">
        <v>99.281700000000001</v>
      </c>
      <c r="M331" s="2">
        <v>99.499200000000002</v>
      </c>
      <c r="O331">
        <f t="shared" ref="O331:O332" si="284">J331</f>
        <v>99.3904</v>
      </c>
      <c r="P331">
        <f t="shared" ref="P331:P332" si="285">L331</f>
        <v>99.281700000000001</v>
      </c>
      <c r="Q331">
        <f t="shared" ref="Q331:Q332" si="286">M331</f>
        <v>99.499200000000002</v>
      </c>
      <c r="S331" t="str">
        <f t="shared" ref="S331:S332" si="287">TEXT(O331,"0.00")&amp;" ("&amp;TEXT(P331,"0.00")&amp;" to "&amp;TEXT(Q331,"0.00")&amp;")"</f>
        <v>99.39 (99.28 to 99.50)</v>
      </c>
    </row>
    <row r="332" spans="1:19" ht="17.25" thickBot="1" x14ac:dyDescent="0.35">
      <c r="A332" s="6"/>
      <c r="B332" s="13">
        <v>1</v>
      </c>
      <c r="C332" s="2">
        <v>156</v>
      </c>
      <c r="D332" s="2">
        <v>45452</v>
      </c>
      <c r="E332" s="2">
        <v>4138</v>
      </c>
      <c r="F332" s="2">
        <v>0.1502</v>
      </c>
      <c r="G332" s="2">
        <v>1.37E-2</v>
      </c>
      <c r="H332" s="2">
        <v>0.1234</v>
      </c>
      <c r="I332" s="2">
        <v>0.17710000000000001</v>
      </c>
      <c r="J332" s="2">
        <v>0.60960000000000003</v>
      </c>
      <c r="K332" s="2">
        <v>5.5500000000000001E-2</v>
      </c>
      <c r="L332" s="2">
        <v>0.50080000000000002</v>
      </c>
      <c r="M332" s="2">
        <v>0.71830000000000005</v>
      </c>
      <c r="O332">
        <f t="shared" si="284"/>
        <v>0.60960000000000003</v>
      </c>
      <c r="P332">
        <f t="shared" si="285"/>
        <v>0.50080000000000002</v>
      </c>
      <c r="Q332">
        <f t="shared" si="286"/>
        <v>0.71830000000000005</v>
      </c>
      <c r="S332" t="str">
        <f t="shared" si="287"/>
        <v>0.61 (0.50 to 0.72)</v>
      </c>
    </row>
    <row r="333" spans="1:19" ht="17.25" thickBot="1" x14ac:dyDescent="0.35">
      <c r="A333" s="6"/>
      <c r="B333" s="13" t="s">
        <v>132</v>
      </c>
      <c r="C333" s="2">
        <v>17099</v>
      </c>
      <c r="D333" s="2">
        <v>7456460</v>
      </c>
      <c r="E333" s="2">
        <v>83424</v>
      </c>
      <c r="F333" s="2">
        <v>24.648</v>
      </c>
      <c r="G333" s="2">
        <v>0.19750000000000001</v>
      </c>
      <c r="H333" s="2">
        <v>24.2608</v>
      </c>
      <c r="I333" s="2">
        <v>25.0352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3">
        <v>0</v>
      </c>
      <c r="C334" s="2">
        <v>16985</v>
      </c>
      <c r="D334" s="2">
        <v>7333669</v>
      </c>
      <c r="E334" s="2">
        <v>80875</v>
      </c>
      <c r="F334" s="2">
        <v>24.242100000000001</v>
      </c>
      <c r="G334" s="2">
        <v>0.19539999999999999</v>
      </c>
      <c r="H334" s="2">
        <v>23.859100000000002</v>
      </c>
      <c r="I334" s="2">
        <v>24.6252</v>
      </c>
      <c r="J334" s="2">
        <v>99.198899999999995</v>
      </c>
      <c r="K334" s="2">
        <v>6.9900000000000004E-2</v>
      </c>
      <c r="L334" s="2">
        <v>99.061800000000005</v>
      </c>
      <c r="M334" s="2">
        <v>99.336100000000002</v>
      </c>
      <c r="O334">
        <f t="shared" ref="O334:O335" si="288">J334</f>
        <v>99.198899999999995</v>
      </c>
      <c r="P334">
        <f t="shared" ref="P334:P335" si="289">L334</f>
        <v>99.061800000000005</v>
      </c>
      <c r="Q334">
        <f t="shared" ref="Q334:Q335" si="290">M334</f>
        <v>99.336100000000002</v>
      </c>
      <c r="S334" t="str">
        <f t="shared" ref="S334:S335" si="291">TEXT(O334,"0.00")&amp;" ("&amp;TEXT(P334,"0.00")&amp;" to "&amp;TEXT(Q334,"0.00")&amp;")"</f>
        <v>99.20 (99.06 to 99.34)</v>
      </c>
    </row>
    <row r="335" spans="1:19" ht="17.25" thickBot="1" x14ac:dyDescent="0.35">
      <c r="A335" s="6"/>
      <c r="B335" s="13">
        <v>1</v>
      </c>
      <c r="C335" s="2">
        <v>186</v>
      </c>
      <c r="D335" s="2">
        <v>59224</v>
      </c>
      <c r="E335" s="2">
        <v>5207</v>
      </c>
      <c r="F335" s="2">
        <v>0.1958</v>
      </c>
      <c r="G335" s="2">
        <v>1.72E-2</v>
      </c>
      <c r="H335" s="2">
        <v>0.16209999999999999</v>
      </c>
      <c r="I335" s="2">
        <v>0.22939999999999999</v>
      </c>
      <c r="J335" s="2">
        <v>0.80110000000000003</v>
      </c>
      <c r="K335" s="2">
        <v>6.9900000000000004E-2</v>
      </c>
      <c r="L335" s="2">
        <v>0.66390000000000005</v>
      </c>
      <c r="M335" s="2">
        <v>0.93820000000000003</v>
      </c>
      <c r="O335">
        <f t="shared" si="288"/>
        <v>0.80110000000000003</v>
      </c>
      <c r="P335">
        <f t="shared" si="289"/>
        <v>0.66390000000000005</v>
      </c>
      <c r="Q335">
        <f t="shared" si="290"/>
        <v>0.93820000000000003</v>
      </c>
      <c r="S335" t="str">
        <f t="shared" si="291"/>
        <v>0.80 (0.66 to 0.94)</v>
      </c>
    </row>
    <row r="336" spans="1:19" ht="17.25" thickBot="1" x14ac:dyDescent="0.35">
      <c r="A336" s="6"/>
      <c r="B336" s="13" t="s">
        <v>132</v>
      </c>
      <c r="C336" s="2">
        <v>17171</v>
      </c>
      <c r="D336" s="2">
        <v>7392893</v>
      </c>
      <c r="E336" s="2">
        <v>81319</v>
      </c>
      <c r="F336" s="2">
        <v>24.437899999999999</v>
      </c>
      <c r="G336" s="2">
        <v>0.1963</v>
      </c>
      <c r="H336" s="2">
        <v>24.053000000000001</v>
      </c>
      <c r="I336" s="2">
        <v>24.822800000000001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3">
        <v>0</v>
      </c>
      <c r="C337" s="2">
        <v>16961</v>
      </c>
      <c r="D337" s="2">
        <v>7479991</v>
      </c>
      <c r="E337" s="2">
        <v>79987</v>
      </c>
      <c r="F337" s="2">
        <v>24.7258</v>
      </c>
      <c r="G337" s="2">
        <v>0.20710000000000001</v>
      </c>
      <c r="H337" s="2">
        <v>24.319700000000001</v>
      </c>
      <c r="I337" s="2">
        <v>25.131900000000002</v>
      </c>
      <c r="J337" s="2">
        <v>99.042699999999996</v>
      </c>
      <c r="K337" s="2">
        <v>7.9200000000000007E-2</v>
      </c>
      <c r="L337" s="2">
        <v>98.887500000000003</v>
      </c>
      <c r="M337" s="2">
        <v>99.197999999999993</v>
      </c>
      <c r="O337">
        <f t="shared" ref="O337:O338" si="292">J337</f>
        <v>99.042699999999996</v>
      </c>
      <c r="P337">
        <f t="shared" ref="P337:P338" si="293">L337</f>
        <v>98.887500000000003</v>
      </c>
      <c r="Q337">
        <f t="shared" ref="Q337:Q338" si="294">M337</f>
        <v>99.197999999999993</v>
      </c>
      <c r="S337" t="str">
        <f t="shared" ref="S337:S338" si="295">TEXT(O337,"0.00")&amp;" ("&amp;TEXT(P337,"0.00")&amp;" to "&amp;TEXT(Q337,"0.00")&amp;")"</f>
        <v>99.04 (98.89 to 99.20)</v>
      </c>
    </row>
    <row r="338" spans="1:19" ht="17.25" thickBot="1" x14ac:dyDescent="0.35">
      <c r="A338" s="6"/>
      <c r="B338" s="13">
        <v>1</v>
      </c>
      <c r="C338" s="2">
        <v>204</v>
      </c>
      <c r="D338" s="2">
        <v>72294</v>
      </c>
      <c r="E338" s="2">
        <v>5999</v>
      </c>
      <c r="F338" s="2">
        <v>0.23899999999999999</v>
      </c>
      <c r="G338" s="2">
        <v>1.9800000000000002E-2</v>
      </c>
      <c r="H338" s="2">
        <v>0.20019999999999999</v>
      </c>
      <c r="I338" s="2">
        <v>0.2777</v>
      </c>
      <c r="J338" s="2">
        <v>0.95730000000000004</v>
      </c>
      <c r="K338" s="2">
        <v>7.9200000000000007E-2</v>
      </c>
      <c r="L338" s="2">
        <v>0.80200000000000005</v>
      </c>
      <c r="M338" s="2">
        <v>1.1125</v>
      </c>
      <c r="O338">
        <f t="shared" si="292"/>
        <v>0.95730000000000004</v>
      </c>
      <c r="P338">
        <f t="shared" si="293"/>
        <v>0.80200000000000005</v>
      </c>
      <c r="Q338">
        <f t="shared" si="294"/>
        <v>1.1125</v>
      </c>
      <c r="S338" t="str">
        <f t="shared" si="295"/>
        <v>0.96 (0.80 to 1.11)</v>
      </c>
    </row>
    <row r="339" spans="1:19" ht="17.25" thickBot="1" x14ac:dyDescent="0.35">
      <c r="A339" s="6"/>
      <c r="B339" s="13" t="s">
        <v>132</v>
      </c>
      <c r="C339" s="2">
        <v>17165</v>
      </c>
      <c r="D339" s="2">
        <v>7552285</v>
      </c>
      <c r="E339" s="2">
        <v>80298</v>
      </c>
      <c r="F339" s="2">
        <v>24.9648</v>
      </c>
      <c r="G339" s="2">
        <v>0.20699999999999999</v>
      </c>
      <c r="H339" s="2">
        <v>24.558800000000002</v>
      </c>
      <c r="I339" s="2">
        <v>25.370799999999999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3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96">J340</f>
        <v>0</v>
      </c>
      <c r="P340">
        <f t="shared" ref="P340:P341" si="297">L340</f>
        <v>0</v>
      </c>
      <c r="Q340">
        <f t="shared" ref="Q340:Q341" si="298">M340</f>
        <v>0</v>
      </c>
      <c r="S340" t="str">
        <f t="shared" ref="S340:S341" si="299">TEXT(O340,"0.00")&amp;" ("&amp;TEXT(P340,"0.00")&amp;" to "&amp;TEXT(Q340,"0.00")&amp;")"</f>
        <v>0.00 (0.00 to 0.00)</v>
      </c>
    </row>
    <row r="341" spans="1:19" ht="17.25" thickBot="1" x14ac:dyDescent="0.35">
      <c r="A341" s="6"/>
      <c r="B341" s="13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96"/>
        <v>0</v>
      </c>
      <c r="P341">
        <f t="shared" si="297"/>
        <v>0</v>
      </c>
      <c r="Q341">
        <f t="shared" si="298"/>
        <v>0</v>
      </c>
      <c r="S341" t="str">
        <f t="shared" si="299"/>
        <v>0.00 (0.00 to 0.00)</v>
      </c>
    </row>
    <row r="342" spans="1:19" x14ac:dyDescent="0.3">
      <c r="A342" s="6"/>
      <c r="B342" s="16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17" t="s">
        <v>166</v>
      </c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</row>
    <row r="345" spans="1:19" ht="33" customHeight="1" x14ac:dyDescent="0.3">
      <c r="A345" s="18" t="s">
        <v>23</v>
      </c>
      <c r="B345" s="20" t="s">
        <v>19</v>
      </c>
      <c r="C345" s="20" t="s">
        <v>125</v>
      </c>
      <c r="D345" s="3" t="s">
        <v>126</v>
      </c>
      <c r="E345" s="3" t="s">
        <v>127</v>
      </c>
      <c r="F345" s="20" t="s">
        <v>129</v>
      </c>
      <c r="G345" s="3" t="s">
        <v>127</v>
      </c>
      <c r="H345" s="20" t="s">
        <v>130</v>
      </c>
      <c r="I345" s="20"/>
      <c r="J345" s="3" t="s">
        <v>149</v>
      </c>
      <c r="K345" s="3" t="s">
        <v>127</v>
      </c>
      <c r="L345" s="20" t="s">
        <v>130</v>
      </c>
      <c r="M345" s="20"/>
    </row>
    <row r="346" spans="1:19" ht="33" x14ac:dyDescent="0.3">
      <c r="A346" s="18"/>
      <c r="B346" s="20"/>
      <c r="C346" s="20"/>
      <c r="D346" s="3" t="s">
        <v>125</v>
      </c>
      <c r="E346" s="3" t="s">
        <v>128</v>
      </c>
      <c r="F346" s="20"/>
      <c r="G346" s="3" t="s">
        <v>129</v>
      </c>
      <c r="H346" s="20" t="s">
        <v>131</v>
      </c>
      <c r="I346" s="20"/>
      <c r="J346" s="3" t="s">
        <v>129</v>
      </c>
      <c r="K346" s="3" t="s">
        <v>150</v>
      </c>
      <c r="L346" s="20" t="s">
        <v>151</v>
      </c>
      <c r="M346" s="20"/>
    </row>
    <row r="347" spans="1:19" ht="17.25" thickBot="1" x14ac:dyDescent="0.35">
      <c r="A347" s="6">
        <v>1</v>
      </c>
      <c r="B347" s="13">
        <v>0</v>
      </c>
      <c r="C347" s="2">
        <v>17015</v>
      </c>
      <c r="D347" s="2">
        <v>7792715</v>
      </c>
      <c r="E347" s="2">
        <v>92129</v>
      </c>
      <c r="F347" s="2">
        <v>25.759499999999999</v>
      </c>
      <c r="G347" s="2">
        <v>0.21920000000000001</v>
      </c>
      <c r="H347" s="2">
        <v>25.329699999999999</v>
      </c>
      <c r="I347" s="2">
        <v>26.189399999999999</v>
      </c>
      <c r="J347" s="2">
        <v>99.268799999999999</v>
      </c>
      <c r="K347" s="2">
        <v>6.6100000000000006E-2</v>
      </c>
      <c r="L347" s="2">
        <v>99.139099999999999</v>
      </c>
      <c r="M347" s="2">
        <v>99.398399999999995</v>
      </c>
      <c r="O347">
        <f t="shared" ref="O347:O348" si="300">J347</f>
        <v>99.268799999999999</v>
      </c>
      <c r="P347">
        <f t="shared" ref="P347:P348" si="301">L347</f>
        <v>99.139099999999999</v>
      </c>
      <c r="Q347">
        <f t="shared" ref="Q347:Q348" si="302">M347</f>
        <v>99.398399999999995</v>
      </c>
      <c r="S347" t="str">
        <f t="shared" ref="S347:S348" si="303">TEXT(O347,"0.00")&amp;" ("&amp;TEXT(P347,"0.00")&amp;" to "&amp;TEXT(Q347,"0.00")&amp;")"</f>
        <v>99.27 (99.14 to 99.40)</v>
      </c>
    </row>
    <row r="348" spans="1:19" ht="17.25" thickBot="1" x14ac:dyDescent="0.35">
      <c r="A348" s="6"/>
      <c r="B348" s="13">
        <v>1</v>
      </c>
      <c r="C348" s="2">
        <v>184</v>
      </c>
      <c r="D348" s="2">
        <v>57403</v>
      </c>
      <c r="E348" s="2">
        <v>5184</v>
      </c>
      <c r="F348" s="2">
        <v>0.1898</v>
      </c>
      <c r="G348" s="2">
        <v>1.72E-2</v>
      </c>
      <c r="H348" s="2">
        <v>0.15609999999999999</v>
      </c>
      <c r="I348" s="2">
        <v>0.22339999999999999</v>
      </c>
      <c r="J348" s="2">
        <v>0.73119999999999996</v>
      </c>
      <c r="K348" s="2">
        <v>6.6100000000000006E-2</v>
      </c>
      <c r="L348" s="2">
        <v>0.60160000000000002</v>
      </c>
      <c r="M348" s="2">
        <v>0.8609</v>
      </c>
      <c r="O348">
        <f t="shared" si="300"/>
        <v>0.73119999999999996</v>
      </c>
      <c r="P348">
        <f t="shared" si="301"/>
        <v>0.60160000000000002</v>
      </c>
      <c r="Q348">
        <f t="shared" si="302"/>
        <v>0.8609</v>
      </c>
      <c r="S348" t="str">
        <f t="shared" si="303"/>
        <v>0.73 (0.60 to 0.86)</v>
      </c>
    </row>
    <row r="349" spans="1:19" ht="17.25" thickBot="1" x14ac:dyDescent="0.35">
      <c r="A349" s="6"/>
      <c r="B349" s="13" t="s">
        <v>132</v>
      </c>
      <c r="C349" s="2">
        <v>17199</v>
      </c>
      <c r="D349" s="2">
        <v>7850118</v>
      </c>
      <c r="E349" s="2">
        <v>92267</v>
      </c>
      <c r="F349" s="2">
        <v>25.949300000000001</v>
      </c>
      <c r="G349" s="2">
        <v>0.21940000000000001</v>
      </c>
      <c r="H349" s="2">
        <v>25.519100000000002</v>
      </c>
      <c r="I349" s="2">
        <v>26.3795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3">
        <v>0</v>
      </c>
      <c r="C350" s="2">
        <v>16800</v>
      </c>
      <c r="D350" s="2">
        <v>7368631</v>
      </c>
      <c r="E350" s="2">
        <v>82944</v>
      </c>
      <c r="F350" s="2">
        <v>24.357700000000001</v>
      </c>
      <c r="G350" s="2">
        <v>0.19689999999999999</v>
      </c>
      <c r="H350" s="2">
        <v>23.971699999999998</v>
      </c>
      <c r="I350" s="2">
        <v>24.7437</v>
      </c>
      <c r="J350" s="2">
        <v>98.822100000000006</v>
      </c>
      <c r="K350" s="2">
        <v>7.9299999999999995E-2</v>
      </c>
      <c r="L350" s="2">
        <v>98.666600000000003</v>
      </c>
      <c r="M350" s="2">
        <v>98.977599999999995</v>
      </c>
      <c r="O350">
        <f t="shared" ref="O350:O351" si="304">J350</f>
        <v>98.822100000000006</v>
      </c>
      <c r="P350">
        <f t="shared" ref="P350:P351" si="305">L350</f>
        <v>98.666600000000003</v>
      </c>
      <c r="Q350">
        <f t="shared" ref="Q350:Q351" si="306">M350</f>
        <v>98.977599999999995</v>
      </c>
      <c r="S350" t="str">
        <f t="shared" ref="S350:S351" si="307">TEXT(O350,"0.00")&amp;" ("&amp;TEXT(P350,"0.00")&amp;" to "&amp;TEXT(Q350,"0.00")&amp;")"</f>
        <v>98.82 (98.67 to 98.98)</v>
      </c>
    </row>
    <row r="351" spans="1:19" ht="17.25" thickBot="1" x14ac:dyDescent="0.35">
      <c r="A351" s="6"/>
      <c r="B351" s="13">
        <v>1</v>
      </c>
      <c r="C351" s="2">
        <v>299</v>
      </c>
      <c r="D351" s="2">
        <v>87828</v>
      </c>
      <c r="E351" s="2">
        <v>5945</v>
      </c>
      <c r="F351" s="2">
        <v>0.2903</v>
      </c>
      <c r="G351" s="2">
        <v>1.9599999999999999E-2</v>
      </c>
      <c r="H351" s="2">
        <v>0.25190000000000001</v>
      </c>
      <c r="I351" s="2">
        <v>0.32869999999999999</v>
      </c>
      <c r="J351" s="2">
        <v>1.1778999999999999</v>
      </c>
      <c r="K351" s="2">
        <v>7.9299999999999995E-2</v>
      </c>
      <c r="L351" s="2">
        <v>1.0224</v>
      </c>
      <c r="M351" s="2">
        <v>1.3333999999999999</v>
      </c>
      <c r="O351">
        <f t="shared" si="304"/>
        <v>1.1778999999999999</v>
      </c>
      <c r="P351">
        <f t="shared" si="305"/>
        <v>1.0224</v>
      </c>
      <c r="Q351">
        <f t="shared" si="306"/>
        <v>1.3333999999999999</v>
      </c>
      <c r="S351" t="str">
        <f t="shared" si="307"/>
        <v>1.18 (1.02 to 1.33)</v>
      </c>
    </row>
    <row r="352" spans="1:19" ht="17.25" thickBot="1" x14ac:dyDescent="0.35">
      <c r="A352" s="6"/>
      <c r="B352" s="13" t="s">
        <v>132</v>
      </c>
      <c r="C352" s="2">
        <v>17099</v>
      </c>
      <c r="D352" s="2">
        <v>7456460</v>
      </c>
      <c r="E352" s="2">
        <v>83424</v>
      </c>
      <c r="F352" s="2">
        <v>24.648</v>
      </c>
      <c r="G352" s="2">
        <v>0.19750000000000001</v>
      </c>
      <c r="H352" s="2">
        <v>24.2608</v>
      </c>
      <c r="I352" s="2">
        <v>25.0352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3">
        <v>0</v>
      </c>
      <c r="C353" s="2">
        <v>16816</v>
      </c>
      <c r="D353" s="2">
        <v>7280178</v>
      </c>
      <c r="E353" s="2">
        <v>80911</v>
      </c>
      <c r="F353" s="2">
        <v>24.065300000000001</v>
      </c>
      <c r="G353" s="2">
        <v>0.1958</v>
      </c>
      <c r="H353" s="2">
        <v>23.6813</v>
      </c>
      <c r="I353" s="2">
        <v>24.449300000000001</v>
      </c>
      <c r="J353" s="2">
        <v>98.475399999999993</v>
      </c>
      <c r="K353" s="2">
        <v>9.6100000000000005E-2</v>
      </c>
      <c r="L353" s="2">
        <v>98.286900000000003</v>
      </c>
      <c r="M353" s="2">
        <v>98.663899999999998</v>
      </c>
      <c r="O353">
        <f t="shared" ref="O353:O354" si="308">J353</f>
        <v>98.475399999999993</v>
      </c>
      <c r="P353">
        <f t="shared" ref="P353:P354" si="309">L353</f>
        <v>98.286900000000003</v>
      </c>
      <c r="Q353">
        <f t="shared" ref="Q353:Q354" si="310">M353</f>
        <v>98.663899999999998</v>
      </c>
      <c r="S353" t="str">
        <f t="shared" ref="S353:S354" si="311">TEXT(O353,"0.00")&amp;" ("&amp;TEXT(P353,"0.00")&amp;" to "&amp;TEXT(Q353,"0.00")&amp;")"</f>
        <v>98.48 (98.29 to 98.66)</v>
      </c>
    </row>
    <row r="354" spans="1:19" ht="17.25" thickBot="1" x14ac:dyDescent="0.35">
      <c r="A354" s="6"/>
      <c r="B354" s="13">
        <v>1</v>
      </c>
      <c r="C354" s="2">
        <v>355</v>
      </c>
      <c r="D354" s="2">
        <v>112715</v>
      </c>
      <c r="E354" s="2">
        <v>7125</v>
      </c>
      <c r="F354" s="2">
        <v>0.37259999999999999</v>
      </c>
      <c r="G354" s="2">
        <v>2.35E-2</v>
      </c>
      <c r="H354" s="2">
        <v>0.32640000000000002</v>
      </c>
      <c r="I354" s="2">
        <v>0.41870000000000002</v>
      </c>
      <c r="J354" s="2">
        <v>1.5246</v>
      </c>
      <c r="K354" s="2">
        <v>9.6100000000000005E-2</v>
      </c>
      <c r="L354" s="2">
        <v>1.3361000000000001</v>
      </c>
      <c r="M354" s="2">
        <v>1.7131000000000001</v>
      </c>
      <c r="O354">
        <f t="shared" si="308"/>
        <v>1.5246</v>
      </c>
      <c r="P354">
        <f t="shared" si="309"/>
        <v>1.3361000000000001</v>
      </c>
      <c r="Q354">
        <f t="shared" si="310"/>
        <v>1.7131000000000001</v>
      </c>
      <c r="S354" t="str">
        <f t="shared" si="311"/>
        <v>1.52 (1.34 to 1.71)</v>
      </c>
    </row>
    <row r="355" spans="1:19" ht="17.25" thickBot="1" x14ac:dyDescent="0.35">
      <c r="A355" s="6"/>
      <c r="B355" s="13" t="s">
        <v>132</v>
      </c>
      <c r="C355" s="2">
        <v>17171</v>
      </c>
      <c r="D355" s="2">
        <v>7392893</v>
      </c>
      <c r="E355" s="2">
        <v>81319</v>
      </c>
      <c r="F355" s="2">
        <v>24.437899999999999</v>
      </c>
      <c r="G355" s="2">
        <v>0.1963</v>
      </c>
      <c r="H355" s="2">
        <v>24.053000000000001</v>
      </c>
      <c r="I355" s="2">
        <v>24.822800000000001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3">
        <v>0</v>
      </c>
      <c r="C356" s="2">
        <v>16802</v>
      </c>
      <c r="D356" s="2">
        <v>7432487</v>
      </c>
      <c r="E356" s="2">
        <v>79734</v>
      </c>
      <c r="F356" s="2">
        <v>24.5688</v>
      </c>
      <c r="G356" s="2">
        <v>0.2069</v>
      </c>
      <c r="H356" s="2">
        <v>24.163</v>
      </c>
      <c r="I356" s="2">
        <v>24.974499999999999</v>
      </c>
      <c r="J356" s="2">
        <v>98.413700000000006</v>
      </c>
      <c r="K356" s="2">
        <v>9.9500000000000005E-2</v>
      </c>
      <c r="L356" s="2">
        <v>98.218599999999995</v>
      </c>
      <c r="M356" s="2">
        <v>98.608900000000006</v>
      </c>
      <c r="O356">
        <f t="shared" ref="O356:O357" si="312">J356</f>
        <v>98.413700000000006</v>
      </c>
      <c r="P356">
        <f t="shared" ref="P356:P357" si="313">L356</f>
        <v>98.218599999999995</v>
      </c>
      <c r="Q356">
        <f t="shared" ref="Q356:Q357" si="314">M356</f>
        <v>98.608900000000006</v>
      </c>
      <c r="S356" t="str">
        <f t="shared" ref="S356:S357" si="315">TEXT(O356,"0.00")&amp;" ("&amp;TEXT(P356,"0.00")&amp;" to "&amp;TEXT(Q356,"0.00")&amp;")"</f>
        <v>98.41 (98.22 to 98.61)</v>
      </c>
    </row>
    <row r="357" spans="1:19" ht="17.25" thickBot="1" x14ac:dyDescent="0.35">
      <c r="A357" s="6"/>
      <c r="B357" s="13">
        <v>1</v>
      </c>
      <c r="C357" s="2">
        <v>363</v>
      </c>
      <c r="D357" s="2">
        <v>119798</v>
      </c>
      <c r="E357" s="2">
        <v>7562</v>
      </c>
      <c r="F357" s="2">
        <v>0.39600000000000002</v>
      </c>
      <c r="G357" s="2">
        <v>2.4799999999999999E-2</v>
      </c>
      <c r="H357" s="2">
        <v>0.3473</v>
      </c>
      <c r="I357" s="2">
        <v>0.44469999999999998</v>
      </c>
      <c r="J357" s="2">
        <v>1.5863</v>
      </c>
      <c r="K357" s="2">
        <v>9.9500000000000005E-2</v>
      </c>
      <c r="L357" s="2">
        <v>1.3911</v>
      </c>
      <c r="M357" s="2">
        <v>1.7814000000000001</v>
      </c>
      <c r="O357">
        <f t="shared" si="312"/>
        <v>1.5863</v>
      </c>
      <c r="P357">
        <f t="shared" si="313"/>
        <v>1.3911</v>
      </c>
      <c r="Q357">
        <f t="shared" si="314"/>
        <v>1.7814000000000001</v>
      </c>
      <c r="S357" t="str">
        <f t="shared" si="315"/>
        <v>1.59 (1.39 to 1.78)</v>
      </c>
    </row>
    <row r="358" spans="1:19" ht="17.25" thickBot="1" x14ac:dyDescent="0.35">
      <c r="A358" s="6"/>
      <c r="B358" s="13" t="s">
        <v>132</v>
      </c>
      <c r="C358" s="2">
        <v>17165</v>
      </c>
      <c r="D358" s="2">
        <v>7552285</v>
      </c>
      <c r="E358" s="2">
        <v>80298</v>
      </c>
      <c r="F358" s="2">
        <v>24.9648</v>
      </c>
      <c r="G358" s="2">
        <v>0.20699999999999999</v>
      </c>
      <c r="H358" s="2">
        <v>24.558800000000002</v>
      </c>
      <c r="I358" s="2">
        <v>25.370799999999999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3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316">J359</f>
        <v>0</v>
      </c>
      <c r="P359">
        <f t="shared" ref="P359:P360" si="317">L359</f>
        <v>0</v>
      </c>
      <c r="Q359">
        <f t="shared" ref="Q359:Q360" si="318">M359</f>
        <v>0</v>
      </c>
      <c r="S359" t="str">
        <f t="shared" ref="S359:S360" si="31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3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316"/>
        <v>0</v>
      </c>
      <c r="P360">
        <f t="shared" si="317"/>
        <v>0</v>
      </c>
      <c r="Q360">
        <f t="shared" si="318"/>
        <v>0</v>
      </c>
      <c r="S360" t="str">
        <f t="shared" si="319"/>
        <v>0.00 (0.00 to 0.00)</v>
      </c>
    </row>
    <row r="361" spans="1:19" x14ac:dyDescent="0.3">
      <c r="A361" s="6"/>
      <c r="B361" s="16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:B3"/>
    <mergeCell ref="A9:M9"/>
    <mergeCell ref="A10:A11"/>
    <mergeCell ref="B10:B11"/>
    <mergeCell ref="C10:C11"/>
    <mergeCell ref="F10:F11"/>
    <mergeCell ref="H10:I10"/>
    <mergeCell ref="H11:I11"/>
    <mergeCell ref="L10:M10"/>
    <mergeCell ref="L11:M11"/>
    <mergeCell ref="A33:M33"/>
    <mergeCell ref="A34:A35"/>
    <mergeCell ref="B34:B35"/>
    <mergeCell ref="C34:C35"/>
    <mergeCell ref="F34:F35"/>
    <mergeCell ref="H34:I34"/>
    <mergeCell ref="H35:I35"/>
    <mergeCell ref="L34:M34"/>
    <mergeCell ref="L35:M35"/>
    <mergeCell ref="A52:M52"/>
    <mergeCell ref="A53:A54"/>
    <mergeCell ref="B53:B54"/>
    <mergeCell ref="C53:C54"/>
    <mergeCell ref="F53:F54"/>
    <mergeCell ref="H53:I53"/>
    <mergeCell ref="H54:I54"/>
    <mergeCell ref="L53:M53"/>
    <mergeCell ref="L54:M54"/>
    <mergeCell ref="A71:M71"/>
    <mergeCell ref="A72:A73"/>
    <mergeCell ref="B72:B73"/>
    <mergeCell ref="C72:C73"/>
    <mergeCell ref="F72:F73"/>
    <mergeCell ref="H72:I72"/>
    <mergeCell ref="H73:I73"/>
    <mergeCell ref="L72:M72"/>
    <mergeCell ref="L73:M73"/>
    <mergeCell ref="A100:M100"/>
    <mergeCell ref="A101:A102"/>
    <mergeCell ref="B101:B102"/>
    <mergeCell ref="C101:C102"/>
    <mergeCell ref="F101:F102"/>
    <mergeCell ref="H101:I101"/>
    <mergeCell ref="H102:I102"/>
    <mergeCell ref="L101:M101"/>
    <mergeCell ref="L102:M102"/>
    <mergeCell ref="A129:M129"/>
    <mergeCell ref="A130:A131"/>
    <mergeCell ref="B130:B131"/>
    <mergeCell ref="C130:C131"/>
    <mergeCell ref="F130:F131"/>
    <mergeCell ref="H130:I130"/>
    <mergeCell ref="H131:I131"/>
    <mergeCell ref="L130:M130"/>
    <mergeCell ref="L131:M131"/>
    <mergeCell ref="A158:M158"/>
    <mergeCell ref="A159:A160"/>
    <mergeCell ref="B159:B160"/>
    <mergeCell ref="C159:C160"/>
    <mergeCell ref="F159:F160"/>
    <mergeCell ref="H159:I159"/>
    <mergeCell ref="H160:I160"/>
    <mergeCell ref="L159:M159"/>
    <mergeCell ref="L160:M160"/>
    <mergeCell ref="A177:M177"/>
    <mergeCell ref="A178:A179"/>
    <mergeCell ref="B178:B179"/>
    <mergeCell ref="C178:C179"/>
    <mergeCell ref="F178:F179"/>
    <mergeCell ref="H178:I178"/>
    <mergeCell ref="H179:I179"/>
    <mergeCell ref="L178:M178"/>
    <mergeCell ref="L179:M179"/>
    <mergeCell ref="A201:M201"/>
    <mergeCell ref="A202:A203"/>
    <mergeCell ref="B202:B203"/>
    <mergeCell ref="C202:C203"/>
    <mergeCell ref="F202:F203"/>
    <mergeCell ref="H202:I202"/>
    <mergeCell ref="H203:I203"/>
    <mergeCell ref="L202:M202"/>
    <mergeCell ref="L203:M203"/>
    <mergeCell ref="A225:M225"/>
    <mergeCell ref="A226:A227"/>
    <mergeCell ref="B226:B227"/>
    <mergeCell ref="C226:C227"/>
    <mergeCell ref="F226:F227"/>
    <mergeCell ref="H226:I226"/>
    <mergeCell ref="H227:I227"/>
    <mergeCell ref="L226:M226"/>
    <mergeCell ref="L227:M227"/>
    <mergeCell ref="A249:M249"/>
    <mergeCell ref="A250:A251"/>
    <mergeCell ref="B250:B251"/>
    <mergeCell ref="C250:C251"/>
    <mergeCell ref="F250:F251"/>
    <mergeCell ref="H250:I250"/>
    <mergeCell ref="H251:I251"/>
    <mergeCell ref="L250:M250"/>
    <mergeCell ref="L251:M251"/>
    <mergeCell ref="A268:M268"/>
    <mergeCell ref="A269:A270"/>
    <mergeCell ref="B269:B270"/>
    <mergeCell ref="C269:C270"/>
    <mergeCell ref="F269:F270"/>
    <mergeCell ref="H269:I269"/>
    <mergeCell ref="H270:I270"/>
    <mergeCell ref="L269:M269"/>
    <mergeCell ref="L270:M270"/>
    <mergeCell ref="A287:M287"/>
    <mergeCell ref="A288:A289"/>
    <mergeCell ref="B288:B289"/>
    <mergeCell ref="C288:C289"/>
    <mergeCell ref="F288:F289"/>
    <mergeCell ref="H288:I288"/>
    <mergeCell ref="H289:I289"/>
    <mergeCell ref="L288:M288"/>
    <mergeCell ref="L289:M289"/>
    <mergeCell ref="A306:M306"/>
    <mergeCell ref="A307:A308"/>
    <mergeCell ref="B307:B308"/>
    <mergeCell ref="C307:C308"/>
    <mergeCell ref="F307:F308"/>
    <mergeCell ref="H307:I307"/>
    <mergeCell ref="H308:I308"/>
    <mergeCell ref="L307:M307"/>
    <mergeCell ref="L308:M308"/>
    <mergeCell ref="A325:M325"/>
    <mergeCell ref="A326:A327"/>
    <mergeCell ref="B326:B327"/>
    <mergeCell ref="C326:C327"/>
    <mergeCell ref="F326:F327"/>
    <mergeCell ref="H326:I326"/>
    <mergeCell ref="H327:I327"/>
    <mergeCell ref="L326:M326"/>
    <mergeCell ref="L327:M327"/>
    <mergeCell ref="A344:M344"/>
    <mergeCell ref="A345:A346"/>
    <mergeCell ref="B345:B346"/>
    <mergeCell ref="C345:C346"/>
    <mergeCell ref="F345:F346"/>
    <mergeCell ref="H345:I345"/>
    <mergeCell ref="H346:I346"/>
    <mergeCell ref="L345:M345"/>
    <mergeCell ref="L346:M346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DD6D2-D64C-4DE2-AE75-E701787BD6CF}">
  <dimension ref="A1:S361"/>
  <sheetViews>
    <sheetView topLeftCell="A341" workbookViewId="0">
      <selection activeCell="S356" sqref="S356:S357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17" t="s">
        <v>119</v>
      </c>
      <c r="B3" s="19"/>
    </row>
    <row r="4" spans="1:19" ht="26.25" thickBot="1" x14ac:dyDescent="0.35">
      <c r="A4" s="14" t="s">
        <v>120</v>
      </c>
      <c r="B4" s="2">
        <v>183</v>
      </c>
    </row>
    <row r="5" spans="1:19" ht="26.25" thickBot="1" x14ac:dyDescent="0.35">
      <c r="A5" s="14" t="s">
        <v>121</v>
      </c>
      <c r="B5" s="2">
        <v>2982</v>
      </c>
    </row>
    <row r="6" spans="1:19" ht="39" thickBot="1" x14ac:dyDescent="0.35">
      <c r="A6" s="14" t="s">
        <v>122</v>
      </c>
      <c r="B6" s="2">
        <v>68634</v>
      </c>
    </row>
    <row r="7" spans="1:19" ht="25.5" x14ac:dyDescent="0.3">
      <c r="A7" s="15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17" t="s">
        <v>167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</row>
    <row r="10" spans="1:19" ht="33" customHeight="1" x14ac:dyDescent="0.3">
      <c r="A10" s="18" t="s">
        <v>41</v>
      </c>
      <c r="B10" s="20" t="s">
        <v>1</v>
      </c>
      <c r="C10" s="20" t="s">
        <v>125</v>
      </c>
      <c r="D10" s="3" t="s">
        <v>126</v>
      </c>
      <c r="E10" s="3" t="s">
        <v>127</v>
      </c>
      <c r="F10" s="20" t="s">
        <v>129</v>
      </c>
      <c r="G10" s="3" t="s">
        <v>127</v>
      </c>
      <c r="H10" s="20" t="s">
        <v>130</v>
      </c>
      <c r="I10" s="20"/>
      <c r="J10" s="3" t="s">
        <v>149</v>
      </c>
      <c r="K10" s="3" t="s">
        <v>127</v>
      </c>
      <c r="L10" s="20" t="s">
        <v>130</v>
      </c>
      <c r="M10" s="20"/>
    </row>
    <row r="11" spans="1:19" ht="33" x14ac:dyDescent="0.3">
      <c r="A11" s="18"/>
      <c r="B11" s="20"/>
      <c r="C11" s="20"/>
      <c r="D11" s="3" t="s">
        <v>125</v>
      </c>
      <c r="E11" s="3" t="s">
        <v>128</v>
      </c>
      <c r="F11" s="20"/>
      <c r="G11" s="3" t="s">
        <v>129</v>
      </c>
      <c r="H11" s="20" t="s">
        <v>131</v>
      </c>
      <c r="I11" s="20"/>
      <c r="J11" s="3" t="s">
        <v>129</v>
      </c>
      <c r="K11" s="3" t="s">
        <v>150</v>
      </c>
      <c r="L11" s="20" t="s">
        <v>151</v>
      </c>
      <c r="M11" s="20"/>
    </row>
    <row r="12" spans="1:19" ht="17.25" thickBot="1" x14ac:dyDescent="0.35">
      <c r="A12" s="6">
        <v>1</v>
      </c>
      <c r="B12" s="13">
        <v>1</v>
      </c>
      <c r="C12" s="2">
        <v>9758</v>
      </c>
      <c r="D12" s="2">
        <v>5309412</v>
      </c>
      <c r="E12" s="2">
        <v>80809</v>
      </c>
      <c r="F12" s="2">
        <v>17.550799999999999</v>
      </c>
      <c r="G12" s="2">
        <v>0.214</v>
      </c>
      <c r="H12" s="2">
        <v>17.1312</v>
      </c>
      <c r="I12" s="2">
        <v>17.970300000000002</v>
      </c>
      <c r="J12" s="2">
        <v>64.229500000000002</v>
      </c>
      <c r="K12" s="2">
        <v>0.4506</v>
      </c>
      <c r="L12" s="2">
        <v>63.345999999999997</v>
      </c>
      <c r="M12" s="2">
        <v>65.113</v>
      </c>
      <c r="O12">
        <f>J12</f>
        <v>64.229500000000002</v>
      </c>
      <c r="P12">
        <f>L12</f>
        <v>63.345999999999997</v>
      </c>
      <c r="Q12">
        <f>M12</f>
        <v>65.113</v>
      </c>
      <c r="S12" t="str">
        <f>TEXT(O12,"0.00")&amp;" ("&amp;TEXT(P12,"0.00")&amp;" to "&amp;TEXT(Q12,"0.00")&amp;")"</f>
        <v>64.23 (63.35 to 65.11)</v>
      </c>
    </row>
    <row r="13" spans="1:19" ht="17.25" thickBot="1" x14ac:dyDescent="0.35">
      <c r="A13" s="6"/>
      <c r="B13" s="13">
        <v>2</v>
      </c>
      <c r="C13" s="2">
        <v>6527</v>
      </c>
      <c r="D13" s="2">
        <v>2733282</v>
      </c>
      <c r="E13" s="2">
        <v>46255</v>
      </c>
      <c r="F13" s="2">
        <v>9.0350999999999999</v>
      </c>
      <c r="G13" s="2">
        <v>0.13600000000000001</v>
      </c>
      <c r="H13" s="2">
        <v>8.7683999999999997</v>
      </c>
      <c r="I13" s="2">
        <v>9.3018000000000001</v>
      </c>
      <c r="J13" s="2">
        <v>33.065300000000001</v>
      </c>
      <c r="K13" s="2">
        <v>0.434</v>
      </c>
      <c r="L13" s="2">
        <v>32.214300000000001</v>
      </c>
      <c r="M13" s="2">
        <v>33.916400000000003</v>
      </c>
      <c r="O13">
        <f t="shared" ref="O13:O14" si="0">J13</f>
        <v>33.065300000000001</v>
      </c>
      <c r="P13">
        <f t="shared" ref="P13:Q14" si="1">L13</f>
        <v>32.214300000000001</v>
      </c>
      <c r="Q13">
        <f t="shared" si="1"/>
        <v>33.916400000000003</v>
      </c>
      <c r="S13" t="str">
        <f t="shared" ref="S13:S14" si="2">TEXT(O13,"0.00")&amp;" ("&amp;TEXT(P13,"0.00")&amp;" to "&amp;TEXT(Q13,"0.00")&amp;")"</f>
        <v>33.07 (32.21 to 33.92)</v>
      </c>
    </row>
    <row r="14" spans="1:19" ht="17.25" thickBot="1" x14ac:dyDescent="0.35">
      <c r="A14" s="6"/>
      <c r="B14" s="13">
        <v>3</v>
      </c>
      <c r="C14" s="2">
        <v>874</v>
      </c>
      <c r="D14" s="2">
        <v>223618</v>
      </c>
      <c r="E14" s="2">
        <v>9640</v>
      </c>
      <c r="F14" s="2">
        <v>0.73919999999999997</v>
      </c>
      <c r="G14" s="2">
        <v>3.2099999999999997E-2</v>
      </c>
      <c r="H14" s="2">
        <v>0.67630000000000001</v>
      </c>
      <c r="I14" s="2">
        <v>0.80210000000000004</v>
      </c>
      <c r="J14" s="2">
        <v>2.7052</v>
      </c>
      <c r="K14" s="2">
        <v>0.1171</v>
      </c>
      <c r="L14" s="2">
        <v>2.4754999999999998</v>
      </c>
      <c r="M14" s="2">
        <v>2.9348000000000001</v>
      </c>
      <c r="O14">
        <f t="shared" si="0"/>
        <v>2.7052</v>
      </c>
      <c r="P14">
        <f t="shared" si="1"/>
        <v>2.4754999999999998</v>
      </c>
      <c r="Q14">
        <f t="shared" si="1"/>
        <v>2.9348000000000001</v>
      </c>
      <c r="S14" t="str">
        <f t="shared" si="2"/>
        <v>2.71 (2.48 to 2.93)</v>
      </c>
    </row>
    <row r="15" spans="1:19" ht="17.25" thickBot="1" x14ac:dyDescent="0.35">
      <c r="A15" s="6"/>
      <c r="B15" s="13" t="s">
        <v>132</v>
      </c>
      <c r="C15" s="2">
        <v>17159</v>
      </c>
      <c r="D15" s="2">
        <v>8266312</v>
      </c>
      <c r="E15" s="2">
        <v>102733</v>
      </c>
      <c r="F15" s="2">
        <v>27.325099999999999</v>
      </c>
      <c r="G15" s="2">
        <v>0.24740000000000001</v>
      </c>
      <c r="H15" s="2">
        <v>26.8399</v>
      </c>
      <c r="I15" s="2">
        <v>27.810199999999998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3">
        <v>1</v>
      </c>
      <c r="C16" s="2">
        <v>5846</v>
      </c>
      <c r="D16" s="2">
        <v>3338566</v>
      </c>
      <c r="E16" s="2">
        <v>60225</v>
      </c>
      <c r="F16" s="2">
        <v>11.0359</v>
      </c>
      <c r="G16" s="2">
        <v>0.1734</v>
      </c>
      <c r="H16" s="2">
        <v>10.696</v>
      </c>
      <c r="I16" s="2">
        <v>11.3759</v>
      </c>
      <c r="J16" s="2">
        <v>42.7928</v>
      </c>
      <c r="K16" s="2">
        <v>0.53459999999999996</v>
      </c>
      <c r="L16" s="2">
        <v>41.744599999999998</v>
      </c>
      <c r="M16" s="2">
        <v>43.841000000000001</v>
      </c>
      <c r="O16">
        <f t="shared" ref="O16:O18" si="3">J16</f>
        <v>42.7928</v>
      </c>
      <c r="P16">
        <f t="shared" ref="P16:Q18" si="4">L16</f>
        <v>41.744599999999998</v>
      </c>
      <c r="Q16">
        <f t="shared" si="4"/>
        <v>43.841000000000001</v>
      </c>
      <c r="S16" t="str">
        <f t="shared" ref="S16:S18" si="5">TEXT(O16,"0.00")&amp;" ("&amp;TEXT(P16,"0.00")&amp;" to "&amp;TEXT(Q16,"0.00")&amp;")"</f>
        <v>42.79 (41.74 to 43.84)</v>
      </c>
    </row>
    <row r="17" spans="1:19" ht="17.25" thickBot="1" x14ac:dyDescent="0.35">
      <c r="A17" s="6"/>
      <c r="B17" s="13">
        <v>2</v>
      </c>
      <c r="C17" s="2">
        <v>8778</v>
      </c>
      <c r="D17" s="2">
        <v>3800513</v>
      </c>
      <c r="E17" s="2">
        <v>57028</v>
      </c>
      <c r="F17" s="2">
        <v>12.563000000000001</v>
      </c>
      <c r="G17" s="2">
        <v>0.15859999999999999</v>
      </c>
      <c r="H17" s="2">
        <v>12.251899999999999</v>
      </c>
      <c r="I17" s="2">
        <v>12.874000000000001</v>
      </c>
      <c r="J17" s="2">
        <v>48.713900000000002</v>
      </c>
      <c r="K17" s="2">
        <v>0.50439999999999996</v>
      </c>
      <c r="L17" s="2">
        <v>47.724899999999998</v>
      </c>
      <c r="M17" s="2">
        <v>49.7029</v>
      </c>
      <c r="O17">
        <f t="shared" si="3"/>
        <v>48.713900000000002</v>
      </c>
      <c r="P17">
        <f t="shared" si="4"/>
        <v>47.724899999999998</v>
      </c>
      <c r="Q17">
        <f t="shared" si="4"/>
        <v>49.7029</v>
      </c>
      <c r="S17" t="str">
        <f t="shared" si="5"/>
        <v>48.71 (47.72 to 49.70)</v>
      </c>
    </row>
    <row r="18" spans="1:19" ht="17.25" thickBot="1" x14ac:dyDescent="0.35">
      <c r="A18" s="6"/>
      <c r="B18" s="13">
        <v>3</v>
      </c>
      <c r="C18" s="2">
        <v>2534</v>
      </c>
      <c r="D18" s="2">
        <v>662621</v>
      </c>
      <c r="E18" s="2">
        <v>16819</v>
      </c>
      <c r="F18" s="2">
        <v>2.1903999999999999</v>
      </c>
      <c r="G18" s="2">
        <v>5.5899999999999998E-2</v>
      </c>
      <c r="H18" s="2">
        <v>2.0808</v>
      </c>
      <c r="I18" s="2">
        <v>2.2999000000000001</v>
      </c>
      <c r="J18" s="2">
        <v>8.4932999999999996</v>
      </c>
      <c r="K18" s="2">
        <v>0.21920000000000001</v>
      </c>
      <c r="L18" s="2">
        <v>8.0634999999999994</v>
      </c>
      <c r="M18" s="2">
        <v>8.9230999999999998</v>
      </c>
      <c r="O18">
        <f t="shared" si="3"/>
        <v>8.4932999999999996</v>
      </c>
      <c r="P18">
        <f t="shared" si="4"/>
        <v>8.0634999999999994</v>
      </c>
      <c r="Q18">
        <f t="shared" si="4"/>
        <v>8.9230999999999998</v>
      </c>
      <c r="S18" t="str">
        <f t="shared" si="5"/>
        <v>8.49 (8.06 to 8.92)</v>
      </c>
    </row>
    <row r="19" spans="1:19" ht="17.25" thickBot="1" x14ac:dyDescent="0.35">
      <c r="A19" s="6"/>
      <c r="B19" s="13" t="s">
        <v>132</v>
      </c>
      <c r="C19" s="2">
        <v>17158</v>
      </c>
      <c r="D19" s="2">
        <v>7801700</v>
      </c>
      <c r="E19" s="2">
        <v>88291</v>
      </c>
      <c r="F19" s="2">
        <v>25.789200000000001</v>
      </c>
      <c r="G19" s="2">
        <v>0.2046</v>
      </c>
      <c r="H19" s="2">
        <v>25.388100000000001</v>
      </c>
      <c r="I19" s="2">
        <v>26.1904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3">
        <v>1</v>
      </c>
      <c r="C20" s="2">
        <v>3582</v>
      </c>
      <c r="D20" s="2">
        <v>2084530</v>
      </c>
      <c r="E20" s="2">
        <v>45444</v>
      </c>
      <c r="F20" s="2">
        <v>6.8906000000000001</v>
      </c>
      <c r="G20" s="2">
        <v>0.13800000000000001</v>
      </c>
      <c r="H20" s="2">
        <v>6.6200999999999999</v>
      </c>
      <c r="I20" s="2">
        <v>7.1611000000000002</v>
      </c>
      <c r="J20" s="2">
        <v>28.476600000000001</v>
      </c>
      <c r="K20" s="2">
        <v>0.49519999999999997</v>
      </c>
      <c r="L20" s="2">
        <v>27.505700000000001</v>
      </c>
      <c r="M20" s="2">
        <v>29.447500000000002</v>
      </c>
      <c r="O20">
        <f t="shared" ref="O20:O22" si="6">J20</f>
        <v>28.476600000000001</v>
      </c>
      <c r="P20">
        <f t="shared" ref="P20:Q22" si="7">L20</f>
        <v>27.505700000000001</v>
      </c>
      <c r="Q20">
        <f t="shared" si="7"/>
        <v>29.447500000000002</v>
      </c>
      <c r="S20" t="str">
        <f t="shared" ref="S20:S22" si="8">TEXT(O20,"0.00")&amp;" ("&amp;TEXT(P20,"0.00")&amp;" to "&amp;TEXT(Q20,"0.00")&amp;")"</f>
        <v>28.48 (27.51 to 29.45)</v>
      </c>
    </row>
    <row r="21" spans="1:19" ht="17.25" thickBot="1" x14ac:dyDescent="0.35">
      <c r="A21" s="6"/>
      <c r="B21" s="13">
        <v>2</v>
      </c>
      <c r="C21" s="2">
        <v>9165</v>
      </c>
      <c r="D21" s="2">
        <v>4063983</v>
      </c>
      <c r="E21" s="2">
        <v>58003</v>
      </c>
      <c r="F21" s="2">
        <v>13.4339</v>
      </c>
      <c r="G21" s="2">
        <v>0.159</v>
      </c>
      <c r="H21" s="2">
        <v>13.1221</v>
      </c>
      <c r="I21" s="2">
        <v>13.745699999999999</v>
      </c>
      <c r="J21" s="2">
        <v>55.517800000000001</v>
      </c>
      <c r="K21" s="2">
        <v>0.48</v>
      </c>
      <c r="L21" s="2">
        <v>54.576599999999999</v>
      </c>
      <c r="M21" s="2">
        <v>56.459000000000003</v>
      </c>
      <c r="O21">
        <f t="shared" si="6"/>
        <v>55.517800000000001</v>
      </c>
      <c r="P21">
        <f t="shared" si="7"/>
        <v>54.576599999999999</v>
      </c>
      <c r="Q21">
        <f t="shared" si="7"/>
        <v>56.459000000000003</v>
      </c>
      <c r="S21" t="str">
        <f t="shared" si="8"/>
        <v>55.52 (54.58 to 56.46)</v>
      </c>
    </row>
    <row r="22" spans="1:19" ht="17.25" thickBot="1" x14ac:dyDescent="0.35">
      <c r="A22" s="6"/>
      <c r="B22" s="13">
        <v>3</v>
      </c>
      <c r="C22" s="2">
        <v>4412</v>
      </c>
      <c r="D22" s="2">
        <v>1171630</v>
      </c>
      <c r="E22" s="2">
        <v>23935</v>
      </c>
      <c r="F22" s="2">
        <v>3.8729</v>
      </c>
      <c r="G22" s="2">
        <v>8.1000000000000003E-2</v>
      </c>
      <c r="H22" s="2">
        <v>3.7141999999999999</v>
      </c>
      <c r="I22" s="2">
        <v>4.0316999999999998</v>
      </c>
      <c r="J22" s="2">
        <v>16.005600000000001</v>
      </c>
      <c r="K22" s="2">
        <v>0.32240000000000002</v>
      </c>
      <c r="L22" s="2">
        <v>15.3733</v>
      </c>
      <c r="M22" s="2">
        <v>16.637799999999999</v>
      </c>
      <c r="O22">
        <f t="shared" si="6"/>
        <v>16.005600000000001</v>
      </c>
      <c r="P22">
        <f t="shared" si="7"/>
        <v>15.3733</v>
      </c>
      <c r="Q22">
        <f t="shared" si="7"/>
        <v>16.637799999999999</v>
      </c>
      <c r="S22" t="str">
        <f t="shared" si="8"/>
        <v>16.01 (15.37 to 16.64)</v>
      </c>
    </row>
    <row r="23" spans="1:19" ht="17.25" thickBot="1" x14ac:dyDescent="0.35">
      <c r="A23" s="6"/>
      <c r="B23" s="13" t="s">
        <v>132</v>
      </c>
      <c r="C23" s="2">
        <v>17159</v>
      </c>
      <c r="D23" s="2">
        <v>7320143</v>
      </c>
      <c r="E23" s="2">
        <v>81075</v>
      </c>
      <c r="F23" s="2">
        <v>24.197399999999998</v>
      </c>
      <c r="G23" s="2">
        <v>0.20150000000000001</v>
      </c>
      <c r="H23" s="2">
        <v>23.802399999999999</v>
      </c>
      <c r="I23" s="2">
        <v>24.592500000000001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3">
        <v>1</v>
      </c>
      <c r="C24" s="2">
        <v>1893</v>
      </c>
      <c r="D24" s="2">
        <v>1102006</v>
      </c>
      <c r="E24" s="2">
        <v>31252</v>
      </c>
      <c r="F24" s="2">
        <v>3.6427999999999998</v>
      </c>
      <c r="G24" s="2">
        <v>9.9900000000000003E-2</v>
      </c>
      <c r="H24" s="2">
        <v>3.4470000000000001</v>
      </c>
      <c r="I24" s="2">
        <v>3.8386</v>
      </c>
      <c r="J24" s="2">
        <v>16.055800000000001</v>
      </c>
      <c r="K24" s="2">
        <v>0.41189999999999999</v>
      </c>
      <c r="L24" s="2">
        <v>15.248200000000001</v>
      </c>
      <c r="M24" s="2">
        <v>16.863399999999999</v>
      </c>
      <c r="O24">
        <f t="shared" ref="O24:O26" si="9">J24</f>
        <v>16.055800000000001</v>
      </c>
      <c r="P24">
        <f t="shared" ref="P24:Q26" si="10">L24</f>
        <v>15.248200000000001</v>
      </c>
      <c r="Q24">
        <f t="shared" si="10"/>
        <v>16.863399999999999</v>
      </c>
      <c r="S24" t="str">
        <f t="shared" ref="S24:S26" si="11">TEXT(O24,"0.00")&amp;" ("&amp;TEXT(P24,"0.00")&amp;" to "&amp;TEXT(Q24,"0.00")&amp;")"</f>
        <v>16.06 (15.25 to 16.86)</v>
      </c>
    </row>
    <row r="25" spans="1:19" ht="17.25" thickBot="1" x14ac:dyDescent="0.35">
      <c r="A25" s="6"/>
      <c r="B25" s="13">
        <v>2</v>
      </c>
      <c r="C25" s="2">
        <v>9000</v>
      </c>
      <c r="D25" s="2">
        <v>4069612</v>
      </c>
      <c r="E25" s="2">
        <v>58519</v>
      </c>
      <c r="F25" s="2">
        <v>13.452500000000001</v>
      </c>
      <c r="G25" s="2">
        <v>0.16689999999999999</v>
      </c>
      <c r="H25" s="2">
        <v>13.125299999999999</v>
      </c>
      <c r="I25" s="2">
        <v>13.7797</v>
      </c>
      <c r="J25" s="2">
        <v>59.292700000000004</v>
      </c>
      <c r="K25" s="2">
        <v>0.47810000000000002</v>
      </c>
      <c r="L25" s="2">
        <v>58.3551</v>
      </c>
      <c r="M25" s="2">
        <v>60.230200000000004</v>
      </c>
      <c r="O25">
        <f t="shared" si="9"/>
        <v>59.292700000000004</v>
      </c>
      <c r="P25">
        <f t="shared" si="10"/>
        <v>58.3551</v>
      </c>
      <c r="Q25">
        <f t="shared" si="10"/>
        <v>60.230200000000004</v>
      </c>
      <c r="S25" t="str">
        <f t="shared" si="11"/>
        <v>59.29 (58.36 to 60.23)</v>
      </c>
    </row>
    <row r="26" spans="1:19" ht="17.25" thickBot="1" x14ac:dyDescent="0.35">
      <c r="A26" s="6"/>
      <c r="B26" s="13">
        <v>3</v>
      </c>
      <c r="C26" s="2">
        <v>6265</v>
      </c>
      <c r="D26" s="2">
        <v>1691984</v>
      </c>
      <c r="E26" s="2">
        <v>30480</v>
      </c>
      <c r="F26" s="2">
        <v>5.593</v>
      </c>
      <c r="G26" s="2">
        <v>0.1045</v>
      </c>
      <c r="H26" s="2">
        <v>5.3882000000000003</v>
      </c>
      <c r="I26" s="2">
        <v>5.7977999999999996</v>
      </c>
      <c r="J26" s="2">
        <v>24.651499999999999</v>
      </c>
      <c r="K26" s="2">
        <v>0.38869999999999999</v>
      </c>
      <c r="L26" s="2">
        <v>23.889299999999999</v>
      </c>
      <c r="M26" s="2">
        <v>25.413799999999998</v>
      </c>
      <c r="O26">
        <f t="shared" si="9"/>
        <v>24.651499999999999</v>
      </c>
      <c r="P26">
        <f t="shared" si="10"/>
        <v>23.889299999999999</v>
      </c>
      <c r="Q26">
        <f t="shared" si="10"/>
        <v>25.413799999999998</v>
      </c>
      <c r="S26" t="str">
        <f t="shared" si="11"/>
        <v>24.65 (23.89 to 25.41)</v>
      </c>
    </row>
    <row r="27" spans="1:19" ht="17.25" thickBot="1" x14ac:dyDescent="0.35">
      <c r="A27" s="6"/>
      <c r="B27" s="13" t="s">
        <v>132</v>
      </c>
      <c r="C27" s="2">
        <v>17158</v>
      </c>
      <c r="D27" s="2">
        <v>6863601</v>
      </c>
      <c r="E27" s="2">
        <v>77106</v>
      </c>
      <c r="F27" s="2">
        <v>22.688300000000002</v>
      </c>
      <c r="G27" s="2">
        <v>0.21809999999999999</v>
      </c>
      <c r="H27" s="2">
        <v>22.2607</v>
      </c>
      <c r="I27" s="2">
        <v>23.1159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3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2">J28</f>
        <v>0</v>
      </c>
      <c r="P28">
        <f t="shared" ref="P28:Q30" si="13">L28</f>
        <v>0</v>
      </c>
      <c r="Q28">
        <f t="shared" si="13"/>
        <v>0</v>
      </c>
      <c r="S28" t="str">
        <f t="shared" ref="S28:S30" si="14">TEXT(O28,"0.00")&amp;" ("&amp;TEXT(P28,"0.00")&amp;" to "&amp;TEXT(Q28,"0.00")&amp;")"</f>
        <v>0.00 (0.00 to 0.00)</v>
      </c>
    </row>
    <row r="29" spans="1:19" ht="17.25" thickBot="1" x14ac:dyDescent="0.35">
      <c r="A29" s="6"/>
      <c r="B29" s="13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2"/>
        <v>0</v>
      </c>
      <c r="P29">
        <f t="shared" si="13"/>
        <v>0</v>
      </c>
      <c r="Q29">
        <f t="shared" si="13"/>
        <v>0</v>
      </c>
      <c r="S29" t="str">
        <f t="shared" si="14"/>
        <v>0.00 (0.00 to 0.00)</v>
      </c>
    </row>
    <row r="30" spans="1:19" ht="17.25" thickBot="1" x14ac:dyDescent="0.35">
      <c r="A30" s="6"/>
      <c r="B30" s="13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2"/>
        <v>0</v>
      </c>
      <c r="P30">
        <f t="shared" si="13"/>
        <v>0</v>
      </c>
      <c r="Q30">
        <f t="shared" si="13"/>
        <v>0</v>
      </c>
      <c r="S30" t="str">
        <f t="shared" si="14"/>
        <v>0.00 (0.00 to 0.00)</v>
      </c>
    </row>
    <row r="31" spans="1:19" x14ac:dyDescent="0.3">
      <c r="A31" s="6"/>
      <c r="B31" s="16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17" t="s">
        <v>168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</row>
    <row r="34" spans="1:19" ht="33" customHeight="1" x14ac:dyDescent="0.3">
      <c r="A34" s="18" t="s">
        <v>41</v>
      </c>
      <c r="B34" s="20" t="s">
        <v>5</v>
      </c>
      <c r="C34" s="20" t="s">
        <v>125</v>
      </c>
      <c r="D34" s="3" t="s">
        <v>126</v>
      </c>
      <c r="E34" s="3" t="s">
        <v>127</v>
      </c>
      <c r="F34" s="20" t="s">
        <v>129</v>
      </c>
      <c r="G34" s="3" t="s">
        <v>127</v>
      </c>
      <c r="H34" s="20" t="s">
        <v>130</v>
      </c>
      <c r="I34" s="20"/>
      <c r="J34" s="3" t="s">
        <v>149</v>
      </c>
      <c r="K34" s="3" t="s">
        <v>127</v>
      </c>
      <c r="L34" s="20" t="s">
        <v>130</v>
      </c>
      <c r="M34" s="20"/>
    </row>
    <row r="35" spans="1:19" ht="33" x14ac:dyDescent="0.3">
      <c r="A35" s="18"/>
      <c r="B35" s="20"/>
      <c r="C35" s="20"/>
      <c r="D35" s="3" t="s">
        <v>125</v>
      </c>
      <c r="E35" s="3" t="s">
        <v>128</v>
      </c>
      <c r="F35" s="20"/>
      <c r="G35" s="3" t="s">
        <v>129</v>
      </c>
      <c r="H35" s="20" t="s">
        <v>131</v>
      </c>
      <c r="I35" s="20"/>
      <c r="J35" s="3" t="s">
        <v>129</v>
      </c>
      <c r="K35" s="3" t="s">
        <v>150</v>
      </c>
      <c r="L35" s="20" t="s">
        <v>151</v>
      </c>
      <c r="M35" s="20"/>
    </row>
    <row r="36" spans="1:19" ht="17.25" thickBot="1" x14ac:dyDescent="0.35">
      <c r="A36" s="6">
        <v>1</v>
      </c>
      <c r="B36" s="13">
        <v>1</v>
      </c>
      <c r="C36" s="2">
        <v>4799</v>
      </c>
      <c r="D36" s="2">
        <v>2833181</v>
      </c>
      <c r="E36" s="2">
        <v>54639</v>
      </c>
      <c r="F36" s="2">
        <v>9.3652999999999995</v>
      </c>
      <c r="G36" s="2">
        <v>0.15970000000000001</v>
      </c>
      <c r="H36" s="2">
        <v>9.0521999999999991</v>
      </c>
      <c r="I36" s="2">
        <v>9.6784999999999997</v>
      </c>
      <c r="J36" s="2">
        <v>34.273800000000001</v>
      </c>
      <c r="K36" s="2">
        <v>0.44550000000000001</v>
      </c>
      <c r="L36" s="2">
        <v>33.400399999999998</v>
      </c>
      <c r="M36" s="2">
        <v>35.147300000000001</v>
      </c>
      <c r="O36">
        <f t="shared" ref="O36:O37" si="15">J36</f>
        <v>34.273800000000001</v>
      </c>
      <c r="P36">
        <f t="shared" ref="P36:Q37" si="16">L36</f>
        <v>33.400399999999998</v>
      </c>
      <c r="Q36">
        <f t="shared" si="16"/>
        <v>35.147300000000001</v>
      </c>
      <c r="S36" t="str">
        <f t="shared" ref="S36:S37" si="17">TEXT(O36,"0.00")&amp;" ("&amp;TEXT(P36,"0.00")&amp;" to "&amp;TEXT(Q36,"0.00")&amp;")"</f>
        <v>34.27 (33.40 to 35.15)</v>
      </c>
    </row>
    <row r="37" spans="1:19" ht="17.25" thickBot="1" x14ac:dyDescent="0.35">
      <c r="A37" s="6"/>
      <c r="B37" s="13">
        <v>2</v>
      </c>
      <c r="C37" s="2">
        <v>12360</v>
      </c>
      <c r="D37" s="2">
        <v>5433131</v>
      </c>
      <c r="E37" s="2">
        <v>71888</v>
      </c>
      <c r="F37" s="2">
        <v>17.959700000000002</v>
      </c>
      <c r="G37" s="2">
        <v>0.18590000000000001</v>
      </c>
      <c r="H37" s="2">
        <v>17.595199999999998</v>
      </c>
      <c r="I37" s="2">
        <v>18.324200000000001</v>
      </c>
      <c r="J37" s="2">
        <v>65.726200000000006</v>
      </c>
      <c r="K37" s="2">
        <v>0.44550000000000001</v>
      </c>
      <c r="L37" s="2">
        <v>64.852699999999999</v>
      </c>
      <c r="M37" s="2">
        <v>66.599599999999995</v>
      </c>
      <c r="O37">
        <f t="shared" si="15"/>
        <v>65.726200000000006</v>
      </c>
      <c r="P37">
        <f t="shared" si="16"/>
        <v>64.852699999999999</v>
      </c>
      <c r="Q37">
        <f t="shared" si="16"/>
        <v>66.599599999999995</v>
      </c>
      <c r="S37" t="str">
        <f t="shared" si="17"/>
        <v>65.73 (64.85 to 66.60)</v>
      </c>
    </row>
    <row r="38" spans="1:19" ht="17.25" thickBot="1" x14ac:dyDescent="0.35">
      <c r="A38" s="6"/>
      <c r="B38" s="13" t="s">
        <v>132</v>
      </c>
      <c r="C38" s="2">
        <v>17159</v>
      </c>
      <c r="D38" s="2">
        <v>8266312</v>
      </c>
      <c r="E38" s="2">
        <v>102733</v>
      </c>
      <c r="F38" s="2">
        <v>27.325099999999999</v>
      </c>
      <c r="G38" s="2">
        <v>0.24740000000000001</v>
      </c>
      <c r="H38" s="2">
        <v>26.8399</v>
      </c>
      <c r="I38" s="2">
        <v>27.810199999999998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3">
        <v>1</v>
      </c>
      <c r="C39" s="2">
        <v>7733</v>
      </c>
      <c r="D39" s="2">
        <v>4085451</v>
      </c>
      <c r="E39" s="2">
        <v>60435</v>
      </c>
      <c r="F39" s="2">
        <v>13.504799999999999</v>
      </c>
      <c r="G39" s="2">
        <v>0.16739999999999999</v>
      </c>
      <c r="H39" s="2">
        <v>13.176600000000001</v>
      </c>
      <c r="I39" s="2">
        <v>13.833</v>
      </c>
      <c r="J39" s="2">
        <v>52.366199999999999</v>
      </c>
      <c r="K39" s="2">
        <v>0.43669999999999998</v>
      </c>
      <c r="L39" s="2">
        <v>51.509900000000002</v>
      </c>
      <c r="M39" s="2">
        <v>53.2224</v>
      </c>
      <c r="O39">
        <f t="shared" ref="O39:O40" si="18">J39</f>
        <v>52.366199999999999</v>
      </c>
      <c r="P39">
        <f t="shared" ref="P39:Q40" si="19">L39</f>
        <v>51.509900000000002</v>
      </c>
      <c r="Q39">
        <f t="shared" si="19"/>
        <v>53.2224</v>
      </c>
      <c r="S39" t="str">
        <f t="shared" ref="S39:S40" si="20">TEXT(O39,"0.00")&amp;" ("&amp;TEXT(P39,"0.00")&amp;" to "&amp;TEXT(Q39,"0.00")&amp;")"</f>
        <v>52.37 (51.51 to 53.22)</v>
      </c>
    </row>
    <row r="40" spans="1:19" ht="17.25" thickBot="1" x14ac:dyDescent="0.35">
      <c r="A40" s="6"/>
      <c r="B40" s="13">
        <v>2</v>
      </c>
      <c r="C40" s="2">
        <v>9425</v>
      </c>
      <c r="D40" s="2">
        <v>3716249</v>
      </c>
      <c r="E40" s="2">
        <v>51062</v>
      </c>
      <c r="F40" s="2">
        <v>12.2844</v>
      </c>
      <c r="G40" s="2">
        <v>0.1366</v>
      </c>
      <c r="H40" s="2">
        <v>12.016500000000001</v>
      </c>
      <c r="I40" s="2">
        <v>12.552300000000001</v>
      </c>
      <c r="J40" s="2">
        <v>47.633800000000001</v>
      </c>
      <c r="K40" s="2">
        <v>0.43669999999999998</v>
      </c>
      <c r="L40" s="2">
        <v>46.7776</v>
      </c>
      <c r="M40" s="2">
        <v>48.490099999999998</v>
      </c>
      <c r="O40">
        <f t="shared" si="18"/>
        <v>47.633800000000001</v>
      </c>
      <c r="P40">
        <f t="shared" si="19"/>
        <v>46.7776</v>
      </c>
      <c r="Q40">
        <f t="shared" si="19"/>
        <v>48.490099999999998</v>
      </c>
      <c r="S40" t="str">
        <f t="shared" si="20"/>
        <v>47.63 (46.78 to 48.49)</v>
      </c>
    </row>
    <row r="41" spans="1:19" ht="17.25" thickBot="1" x14ac:dyDescent="0.35">
      <c r="A41" s="6"/>
      <c r="B41" s="13" t="s">
        <v>132</v>
      </c>
      <c r="C41" s="2">
        <v>17158</v>
      </c>
      <c r="D41" s="2">
        <v>7801700</v>
      </c>
      <c r="E41" s="2">
        <v>88291</v>
      </c>
      <c r="F41" s="2">
        <v>25.789200000000001</v>
      </c>
      <c r="G41" s="2">
        <v>0.2046</v>
      </c>
      <c r="H41" s="2">
        <v>25.388100000000001</v>
      </c>
      <c r="I41" s="2">
        <v>26.1904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3">
        <v>1</v>
      </c>
      <c r="C42" s="2">
        <v>9677</v>
      </c>
      <c r="D42" s="2">
        <v>4658809</v>
      </c>
      <c r="E42" s="2">
        <v>62339</v>
      </c>
      <c r="F42" s="2">
        <v>15.4001</v>
      </c>
      <c r="G42" s="2">
        <v>0.1663</v>
      </c>
      <c r="H42" s="2">
        <v>15.074</v>
      </c>
      <c r="I42" s="2">
        <v>15.7262</v>
      </c>
      <c r="J42" s="2">
        <v>63.643700000000003</v>
      </c>
      <c r="K42" s="2">
        <v>0.41199999999999998</v>
      </c>
      <c r="L42" s="2">
        <v>62.835700000000003</v>
      </c>
      <c r="M42" s="2">
        <v>64.451599999999999</v>
      </c>
      <c r="O42">
        <f t="shared" ref="O42:O43" si="21">J42</f>
        <v>63.643700000000003</v>
      </c>
      <c r="P42">
        <f t="shared" ref="P42:Q43" si="22">L42</f>
        <v>62.835700000000003</v>
      </c>
      <c r="Q42">
        <f t="shared" si="22"/>
        <v>64.451599999999999</v>
      </c>
      <c r="S42" t="str">
        <f t="shared" ref="S42:S43" si="23">TEXT(O42,"0.00")&amp;" ("&amp;TEXT(P42,"0.00")&amp;" to "&amp;TEXT(Q42,"0.00")&amp;")"</f>
        <v>63.64 (62.84 to 64.45)</v>
      </c>
    </row>
    <row r="43" spans="1:19" ht="17.25" thickBot="1" x14ac:dyDescent="0.35">
      <c r="A43" s="6"/>
      <c r="B43" s="13">
        <v>2</v>
      </c>
      <c r="C43" s="2">
        <v>7482</v>
      </c>
      <c r="D43" s="2">
        <v>2661334</v>
      </c>
      <c r="E43" s="2">
        <v>39991</v>
      </c>
      <c r="F43" s="2">
        <v>8.7972999999999999</v>
      </c>
      <c r="G43" s="2">
        <v>0.1207</v>
      </c>
      <c r="H43" s="2">
        <v>8.5606000000000009</v>
      </c>
      <c r="I43" s="2">
        <v>9.0340000000000007</v>
      </c>
      <c r="J43" s="2">
        <v>36.356299999999997</v>
      </c>
      <c r="K43" s="2">
        <v>0.41199999999999998</v>
      </c>
      <c r="L43" s="2">
        <v>35.548400000000001</v>
      </c>
      <c r="M43" s="2">
        <v>37.164299999999997</v>
      </c>
      <c r="O43">
        <f t="shared" si="21"/>
        <v>36.356299999999997</v>
      </c>
      <c r="P43">
        <f t="shared" si="22"/>
        <v>35.548400000000001</v>
      </c>
      <c r="Q43">
        <f t="shared" si="22"/>
        <v>37.164299999999997</v>
      </c>
      <c r="S43" t="str">
        <f t="shared" si="23"/>
        <v>36.36 (35.55 to 37.16)</v>
      </c>
    </row>
    <row r="44" spans="1:19" ht="17.25" thickBot="1" x14ac:dyDescent="0.35">
      <c r="A44" s="6"/>
      <c r="B44" s="13" t="s">
        <v>132</v>
      </c>
      <c r="C44" s="2">
        <v>17159</v>
      </c>
      <c r="D44" s="2">
        <v>7320143</v>
      </c>
      <c r="E44" s="2">
        <v>81075</v>
      </c>
      <c r="F44" s="2">
        <v>24.197399999999998</v>
      </c>
      <c r="G44" s="2">
        <v>0.20150000000000001</v>
      </c>
      <c r="H44" s="2">
        <v>23.802399999999999</v>
      </c>
      <c r="I44" s="2">
        <v>24.592500000000001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3">
        <v>1</v>
      </c>
      <c r="C45" s="2">
        <v>10991</v>
      </c>
      <c r="D45" s="2">
        <v>4871389</v>
      </c>
      <c r="E45" s="2">
        <v>60710</v>
      </c>
      <c r="F45" s="2">
        <v>16.102799999999998</v>
      </c>
      <c r="G45" s="2">
        <v>0.1699</v>
      </c>
      <c r="H45" s="2">
        <v>15.7697</v>
      </c>
      <c r="I45" s="2">
        <v>16.436</v>
      </c>
      <c r="J45" s="2">
        <v>70.974199999999996</v>
      </c>
      <c r="K45" s="2">
        <v>0.37980000000000003</v>
      </c>
      <c r="L45" s="2">
        <v>70.229600000000005</v>
      </c>
      <c r="M45" s="2">
        <v>71.718900000000005</v>
      </c>
      <c r="O45">
        <f t="shared" ref="O45:O46" si="24">J45</f>
        <v>70.974199999999996</v>
      </c>
      <c r="P45">
        <f t="shared" ref="P45:Q46" si="25">L45</f>
        <v>70.229600000000005</v>
      </c>
      <c r="Q45">
        <f t="shared" si="25"/>
        <v>71.718900000000005</v>
      </c>
      <c r="S45" t="str">
        <f t="shared" ref="S45:S46" si="26">TEXT(O45,"0.00")&amp;" ("&amp;TEXT(P45,"0.00")&amp;" to "&amp;TEXT(Q45,"0.00")&amp;")"</f>
        <v>70.97 (70.23 to 71.72)</v>
      </c>
    </row>
    <row r="46" spans="1:19" ht="17.25" thickBot="1" x14ac:dyDescent="0.35">
      <c r="A46" s="6"/>
      <c r="B46" s="13">
        <v>2</v>
      </c>
      <c r="C46" s="2">
        <v>6167</v>
      </c>
      <c r="D46" s="2">
        <v>1992212</v>
      </c>
      <c r="E46" s="2">
        <v>34288</v>
      </c>
      <c r="F46" s="2">
        <v>6.5853999999999999</v>
      </c>
      <c r="G46" s="2">
        <v>0.1116</v>
      </c>
      <c r="H46" s="2">
        <v>6.3666</v>
      </c>
      <c r="I46" s="2">
        <v>6.8042999999999996</v>
      </c>
      <c r="J46" s="2">
        <v>29.0258</v>
      </c>
      <c r="K46" s="2">
        <v>0.37980000000000003</v>
      </c>
      <c r="L46" s="2">
        <v>28.281099999999999</v>
      </c>
      <c r="M46" s="2">
        <v>29.770399999999999</v>
      </c>
      <c r="O46">
        <f t="shared" si="24"/>
        <v>29.0258</v>
      </c>
      <c r="P46">
        <f t="shared" si="25"/>
        <v>28.281099999999999</v>
      </c>
      <c r="Q46">
        <f t="shared" si="25"/>
        <v>29.770399999999999</v>
      </c>
      <c r="S46" t="str">
        <f t="shared" si="26"/>
        <v>29.03 (28.28 to 29.77)</v>
      </c>
    </row>
    <row r="47" spans="1:19" ht="17.25" thickBot="1" x14ac:dyDescent="0.35">
      <c r="A47" s="6"/>
      <c r="B47" s="13" t="s">
        <v>132</v>
      </c>
      <c r="C47" s="2">
        <v>17158</v>
      </c>
      <c r="D47" s="2">
        <v>6863601</v>
      </c>
      <c r="E47" s="2">
        <v>77106</v>
      </c>
      <c r="F47" s="2">
        <v>22.688300000000002</v>
      </c>
      <c r="G47" s="2">
        <v>0.21809999999999999</v>
      </c>
      <c r="H47" s="2">
        <v>22.2607</v>
      </c>
      <c r="I47" s="2">
        <v>23.1159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3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27">J48</f>
        <v>0</v>
      </c>
      <c r="P48">
        <f t="shared" ref="P48:Q49" si="28">L48</f>
        <v>0</v>
      </c>
      <c r="Q48">
        <f t="shared" si="28"/>
        <v>0</v>
      </c>
      <c r="S48" t="str">
        <f t="shared" ref="S48:S49" si="29">TEXT(O48,"0.00")&amp;" ("&amp;TEXT(P48,"0.00")&amp;" to "&amp;TEXT(Q48,"0.00")&amp;")"</f>
        <v>0.00 (0.00 to 0.00)</v>
      </c>
    </row>
    <row r="49" spans="1:19" ht="17.25" thickBot="1" x14ac:dyDescent="0.35">
      <c r="A49" s="6"/>
      <c r="B49" s="13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27"/>
        <v>0</v>
      </c>
      <c r="P49">
        <f t="shared" si="28"/>
        <v>0</v>
      </c>
      <c r="Q49">
        <f t="shared" si="28"/>
        <v>0</v>
      </c>
      <c r="S49" t="str">
        <f t="shared" si="29"/>
        <v>0.00 (0.00 to 0.00)</v>
      </c>
    </row>
    <row r="50" spans="1:19" x14ac:dyDescent="0.3">
      <c r="A50" s="6"/>
      <c r="B50" s="16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17" t="s">
        <v>169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</row>
    <row r="53" spans="1:19" ht="33" customHeight="1" x14ac:dyDescent="0.3">
      <c r="A53" s="18" t="s">
        <v>41</v>
      </c>
      <c r="B53" s="20" t="s">
        <v>6</v>
      </c>
      <c r="C53" s="20" t="s">
        <v>125</v>
      </c>
      <c r="D53" s="3" t="s">
        <v>126</v>
      </c>
      <c r="E53" s="3" t="s">
        <v>127</v>
      </c>
      <c r="F53" s="20" t="s">
        <v>129</v>
      </c>
      <c r="G53" s="3" t="s">
        <v>127</v>
      </c>
      <c r="H53" s="20" t="s">
        <v>130</v>
      </c>
      <c r="I53" s="20"/>
      <c r="J53" s="3" t="s">
        <v>149</v>
      </c>
      <c r="K53" s="3" t="s">
        <v>127</v>
      </c>
      <c r="L53" s="20" t="s">
        <v>130</v>
      </c>
      <c r="M53" s="20"/>
    </row>
    <row r="54" spans="1:19" ht="33" x14ac:dyDescent="0.3">
      <c r="A54" s="18"/>
      <c r="B54" s="20"/>
      <c r="C54" s="20"/>
      <c r="D54" s="3" t="s">
        <v>125</v>
      </c>
      <c r="E54" s="3" t="s">
        <v>128</v>
      </c>
      <c r="F54" s="20"/>
      <c r="G54" s="3" t="s">
        <v>129</v>
      </c>
      <c r="H54" s="20" t="s">
        <v>131</v>
      </c>
      <c r="I54" s="20"/>
      <c r="J54" s="3" t="s">
        <v>129</v>
      </c>
      <c r="K54" s="3" t="s">
        <v>150</v>
      </c>
      <c r="L54" s="20" t="s">
        <v>151</v>
      </c>
      <c r="M54" s="20"/>
    </row>
    <row r="55" spans="1:19" ht="17.25" thickBot="1" x14ac:dyDescent="0.35">
      <c r="A55" s="6">
        <v>1</v>
      </c>
      <c r="B55" s="13">
        <v>1</v>
      </c>
      <c r="C55" s="2">
        <v>14821</v>
      </c>
      <c r="D55" s="2">
        <v>7275899</v>
      </c>
      <c r="E55" s="2">
        <v>110281</v>
      </c>
      <c r="F55" s="2">
        <v>24.051200000000001</v>
      </c>
      <c r="G55" s="2">
        <v>0.2923</v>
      </c>
      <c r="H55" s="2">
        <v>23.478000000000002</v>
      </c>
      <c r="I55" s="2">
        <v>24.624300000000002</v>
      </c>
      <c r="J55" s="2">
        <v>88.018699999999995</v>
      </c>
      <c r="K55" s="2">
        <v>0.62839999999999996</v>
      </c>
      <c r="L55" s="2">
        <v>86.7864</v>
      </c>
      <c r="M55" s="2">
        <v>89.251000000000005</v>
      </c>
      <c r="O55">
        <f t="shared" ref="O55:O56" si="30">J55</f>
        <v>88.018699999999995</v>
      </c>
      <c r="P55">
        <f t="shared" ref="P55:Q56" si="31">L55</f>
        <v>86.7864</v>
      </c>
      <c r="Q55">
        <f t="shared" si="31"/>
        <v>89.251000000000005</v>
      </c>
      <c r="S55" t="str">
        <f t="shared" ref="S55:S56" si="32">TEXT(O55,"0.00")&amp;" ("&amp;TEXT(P55,"0.00")&amp;" to "&amp;TEXT(Q55,"0.00")&amp;")"</f>
        <v>88.02 (86.79 to 89.25)</v>
      </c>
    </row>
    <row r="56" spans="1:19" ht="17.25" thickBot="1" x14ac:dyDescent="0.35">
      <c r="A56" s="6"/>
      <c r="B56" s="13">
        <v>2</v>
      </c>
      <c r="C56" s="2">
        <v>2338</v>
      </c>
      <c r="D56" s="2">
        <v>990413</v>
      </c>
      <c r="E56" s="2">
        <v>51722</v>
      </c>
      <c r="F56" s="2">
        <v>3.2738999999999998</v>
      </c>
      <c r="G56" s="2">
        <v>0.1709</v>
      </c>
      <c r="H56" s="2">
        <v>2.9388000000000001</v>
      </c>
      <c r="I56" s="2">
        <v>3.609</v>
      </c>
      <c r="J56" s="2">
        <v>11.981299999999999</v>
      </c>
      <c r="K56" s="2">
        <v>0.62839999999999996</v>
      </c>
      <c r="L56" s="2">
        <v>10.749000000000001</v>
      </c>
      <c r="M56" s="2">
        <v>13.2136</v>
      </c>
      <c r="O56">
        <f t="shared" si="30"/>
        <v>11.981299999999999</v>
      </c>
      <c r="P56">
        <f t="shared" si="31"/>
        <v>10.749000000000001</v>
      </c>
      <c r="Q56">
        <f t="shared" si="31"/>
        <v>13.2136</v>
      </c>
      <c r="S56" t="str">
        <f t="shared" si="32"/>
        <v>11.98 (10.75 to 13.21)</v>
      </c>
    </row>
    <row r="57" spans="1:19" ht="17.25" thickBot="1" x14ac:dyDescent="0.35">
      <c r="A57" s="6"/>
      <c r="B57" s="13" t="s">
        <v>132</v>
      </c>
      <c r="C57" s="2">
        <v>17159</v>
      </c>
      <c r="D57" s="2">
        <v>8266312</v>
      </c>
      <c r="E57" s="2">
        <v>102733</v>
      </c>
      <c r="F57" s="2">
        <v>27.325099999999999</v>
      </c>
      <c r="G57" s="2">
        <v>0.24740000000000001</v>
      </c>
      <c r="H57" s="2">
        <v>26.8399</v>
      </c>
      <c r="I57" s="2">
        <v>27.810199999999998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3">
        <v>1</v>
      </c>
      <c r="C58" s="2">
        <v>14030</v>
      </c>
      <c r="D58" s="2">
        <v>6629558</v>
      </c>
      <c r="E58" s="2">
        <v>96978</v>
      </c>
      <c r="F58" s="2">
        <v>21.9146</v>
      </c>
      <c r="G58" s="2">
        <v>0.25380000000000003</v>
      </c>
      <c r="H58" s="2">
        <v>21.416899999999998</v>
      </c>
      <c r="I58" s="2">
        <v>22.412299999999998</v>
      </c>
      <c r="J58" s="2">
        <v>84.975800000000007</v>
      </c>
      <c r="K58" s="2">
        <v>0.67859999999999998</v>
      </c>
      <c r="L58" s="2">
        <v>83.645200000000003</v>
      </c>
      <c r="M58" s="2">
        <v>86.3065</v>
      </c>
      <c r="O58">
        <f t="shared" ref="O58:O59" si="33">J58</f>
        <v>84.975800000000007</v>
      </c>
      <c r="P58">
        <f t="shared" ref="P58:Q59" si="34">L58</f>
        <v>83.645200000000003</v>
      </c>
      <c r="Q58">
        <f t="shared" si="34"/>
        <v>86.3065</v>
      </c>
      <c r="S58" t="str">
        <f t="shared" ref="S58:S59" si="35">TEXT(O58,"0.00")&amp;" ("&amp;TEXT(P58,"0.00")&amp;" to "&amp;TEXT(Q58,"0.00")&amp;")"</f>
        <v>84.98 (83.65 to 86.31)</v>
      </c>
    </row>
    <row r="59" spans="1:19" ht="17.25" thickBot="1" x14ac:dyDescent="0.35">
      <c r="A59" s="6"/>
      <c r="B59" s="13">
        <v>2</v>
      </c>
      <c r="C59" s="2">
        <v>3128</v>
      </c>
      <c r="D59" s="2">
        <v>1172142</v>
      </c>
      <c r="E59" s="2">
        <v>52982</v>
      </c>
      <c r="F59" s="2">
        <v>3.8746</v>
      </c>
      <c r="G59" s="2">
        <v>0.1759</v>
      </c>
      <c r="H59" s="2">
        <v>3.5297000000000001</v>
      </c>
      <c r="I59" s="2">
        <v>4.2195</v>
      </c>
      <c r="J59" s="2">
        <v>15.0242</v>
      </c>
      <c r="K59" s="2">
        <v>0.67859999999999998</v>
      </c>
      <c r="L59" s="2">
        <v>13.6935</v>
      </c>
      <c r="M59" s="2">
        <v>16.354800000000001</v>
      </c>
      <c r="O59">
        <f t="shared" si="33"/>
        <v>15.0242</v>
      </c>
      <c r="P59">
        <f t="shared" si="34"/>
        <v>13.6935</v>
      </c>
      <c r="Q59">
        <f t="shared" si="34"/>
        <v>16.354800000000001</v>
      </c>
      <c r="S59" t="str">
        <f t="shared" si="35"/>
        <v>15.02 (13.69 to 16.35)</v>
      </c>
    </row>
    <row r="60" spans="1:19" ht="17.25" thickBot="1" x14ac:dyDescent="0.35">
      <c r="A60" s="6"/>
      <c r="B60" s="13" t="s">
        <v>132</v>
      </c>
      <c r="C60" s="2">
        <v>17158</v>
      </c>
      <c r="D60" s="2">
        <v>7801700</v>
      </c>
      <c r="E60" s="2">
        <v>88291</v>
      </c>
      <c r="F60" s="2">
        <v>25.789200000000001</v>
      </c>
      <c r="G60" s="2">
        <v>0.2046</v>
      </c>
      <c r="H60" s="2">
        <v>25.388100000000001</v>
      </c>
      <c r="I60" s="2">
        <v>26.1904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3">
        <v>1</v>
      </c>
      <c r="C61" s="2">
        <v>13477</v>
      </c>
      <c r="D61" s="2">
        <v>6025002</v>
      </c>
      <c r="E61" s="2">
        <v>89307</v>
      </c>
      <c r="F61" s="2">
        <v>19.9162</v>
      </c>
      <c r="G61" s="2">
        <v>0.24349999999999999</v>
      </c>
      <c r="H61" s="2">
        <v>19.438700000000001</v>
      </c>
      <c r="I61" s="2">
        <v>20.393799999999999</v>
      </c>
      <c r="J61" s="2">
        <v>82.307199999999995</v>
      </c>
      <c r="K61" s="2">
        <v>0.74980000000000002</v>
      </c>
      <c r="L61" s="2">
        <v>80.8369</v>
      </c>
      <c r="M61" s="2">
        <v>83.7774</v>
      </c>
      <c r="O61">
        <f t="shared" ref="O61:O62" si="36">J61</f>
        <v>82.307199999999995</v>
      </c>
      <c r="P61">
        <f t="shared" ref="P61:Q62" si="37">L61</f>
        <v>80.8369</v>
      </c>
      <c r="Q61">
        <f t="shared" si="37"/>
        <v>83.7774</v>
      </c>
      <c r="S61" t="str">
        <f t="shared" ref="S61:S62" si="38">TEXT(O61,"0.00")&amp;" ("&amp;TEXT(P61,"0.00")&amp;" to "&amp;TEXT(Q61,"0.00")&amp;")"</f>
        <v>82.31 (80.84 to 83.78)</v>
      </c>
    </row>
    <row r="62" spans="1:19" ht="17.25" thickBot="1" x14ac:dyDescent="0.35">
      <c r="A62" s="6"/>
      <c r="B62" s="13">
        <v>2</v>
      </c>
      <c r="C62" s="2">
        <v>3682</v>
      </c>
      <c r="D62" s="2">
        <v>1295141</v>
      </c>
      <c r="E62" s="2">
        <v>55758</v>
      </c>
      <c r="F62" s="2">
        <v>4.2812000000000001</v>
      </c>
      <c r="G62" s="2">
        <v>0.18559999999999999</v>
      </c>
      <c r="H62" s="2">
        <v>3.9174000000000002</v>
      </c>
      <c r="I62" s="2">
        <v>4.6449999999999996</v>
      </c>
      <c r="J62" s="2">
        <v>17.692799999999998</v>
      </c>
      <c r="K62" s="2">
        <v>0.74980000000000002</v>
      </c>
      <c r="L62" s="2">
        <v>16.2226</v>
      </c>
      <c r="M62" s="2">
        <v>19.1631</v>
      </c>
      <c r="O62">
        <f t="shared" si="36"/>
        <v>17.692799999999998</v>
      </c>
      <c r="P62">
        <f t="shared" si="37"/>
        <v>16.2226</v>
      </c>
      <c r="Q62">
        <f t="shared" si="37"/>
        <v>19.1631</v>
      </c>
      <c r="S62" t="str">
        <f t="shared" si="38"/>
        <v>17.69 (16.22 to 19.16)</v>
      </c>
    </row>
    <row r="63" spans="1:19" ht="17.25" thickBot="1" x14ac:dyDescent="0.35">
      <c r="A63" s="6"/>
      <c r="B63" s="13" t="s">
        <v>132</v>
      </c>
      <c r="C63" s="2">
        <v>17159</v>
      </c>
      <c r="D63" s="2">
        <v>7320143</v>
      </c>
      <c r="E63" s="2">
        <v>81075</v>
      </c>
      <c r="F63" s="2">
        <v>24.197399999999998</v>
      </c>
      <c r="G63" s="2">
        <v>0.20150000000000001</v>
      </c>
      <c r="H63" s="2">
        <v>23.802399999999999</v>
      </c>
      <c r="I63" s="2">
        <v>24.592500000000001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3">
        <v>1</v>
      </c>
      <c r="C64" s="2">
        <v>12848</v>
      </c>
      <c r="D64" s="2">
        <v>5461618</v>
      </c>
      <c r="E64" s="2">
        <v>82765</v>
      </c>
      <c r="F64" s="2">
        <v>18.053899999999999</v>
      </c>
      <c r="G64" s="2">
        <v>0.23980000000000001</v>
      </c>
      <c r="H64" s="2">
        <v>17.5837</v>
      </c>
      <c r="I64" s="2">
        <v>18.524100000000001</v>
      </c>
      <c r="J64" s="2">
        <v>79.573700000000002</v>
      </c>
      <c r="K64" s="2">
        <v>0.81410000000000005</v>
      </c>
      <c r="L64" s="2">
        <v>77.9773</v>
      </c>
      <c r="M64" s="2">
        <v>81.17</v>
      </c>
      <c r="O64">
        <f t="shared" ref="O64:O65" si="39">J64</f>
        <v>79.573700000000002</v>
      </c>
      <c r="P64">
        <f t="shared" ref="P64:Q65" si="40">L64</f>
        <v>77.9773</v>
      </c>
      <c r="Q64">
        <f t="shared" si="40"/>
        <v>81.17</v>
      </c>
      <c r="S64" t="str">
        <f t="shared" ref="S64:S65" si="41">TEXT(O64,"0.00")&amp;" ("&amp;TEXT(P64,"0.00")&amp;" to "&amp;TEXT(Q64,"0.00")&amp;")"</f>
        <v>79.57 (77.98 to 81.17)</v>
      </c>
    </row>
    <row r="65" spans="1:19" ht="17.25" thickBot="1" x14ac:dyDescent="0.35">
      <c r="A65" s="6"/>
      <c r="B65" s="13">
        <v>2</v>
      </c>
      <c r="C65" s="2">
        <v>4310</v>
      </c>
      <c r="D65" s="2">
        <v>1401983</v>
      </c>
      <c r="E65" s="2">
        <v>58138</v>
      </c>
      <c r="F65" s="2">
        <v>4.6344000000000003</v>
      </c>
      <c r="G65" s="2">
        <v>0.19450000000000001</v>
      </c>
      <c r="H65" s="2">
        <v>4.2530000000000001</v>
      </c>
      <c r="I65" s="2">
        <v>5.0157999999999996</v>
      </c>
      <c r="J65" s="2">
        <v>20.426300000000001</v>
      </c>
      <c r="K65" s="2">
        <v>0.81410000000000005</v>
      </c>
      <c r="L65" s="2">
        <v>18.829999999999998</v>
      </c>
      <c r="M65" s="2">
        <v>22.0227</v>
      </c>
      <c r="O65">
        <f t="shared" si="39"/>
        <v>20.426300000000001</v>
      </c>
      <c r="P65">
        <f t="shared" si="40"/>
        <v>18.829999999999998</v>
      </c>
      <c r="Q65">
        <f t="shared" si="40"/>
        <v>22.0227</v>
      </c>
      <c r="S65" t="str">
        <f t="shared" si="41"/>
        <v>20.43 (18.83 to 22.02)</v>
      </c>
    </row>
    <row r="66" spans="1:19" ht="17.25" thickBot="1" x14ac:dyDescent="0.35">
      <c r="A66" s="6"/>
      <c r="B66" s="13" t="s">
        <v>132</v>
      </c>
      <c r="C66" s="2">
        <v>17158</v>
      </c>
      <c r="D66" s="2">
        <v>6863601</v>
      </c>
      <c r="E66" s="2">
        <v>77106</v>
      </c>
      <c r="F66" s="2">
        <v>22.688300000000002</v>
      </c>
      <c r="G66" s="2">
        <v>0.21809999999999999</v>
      </c>
      <c r="H66" s="2">
        <v>22.2607</v>
      </c>
      <c r="I66" s="2">
        <v>23.1159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3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42">J67</f>
        <v>0</v>
      </c>
      <c r="P67">
        <f t="shared" ref="P67:Q68" si="43">L67</f>
        <v>0</v>
      </c>
      <c r="Q67">
        <f t="shared" si="43"/>
        <v>0</v>
      </c>
      <c r="S67" t="str">
        <f t="shared" ref="S67:S68" si="44">TEXT(O67,"0.00")&amp;" ("&amp;TEXT(P67,"0.00")&amp;" to "&amp;TEXT(Q67,"0.00")&amp;")"</f>
        <v>0.00 (0.00 to 0.00)</v>
      </c>
    </row>
    <row r="68" spans="1:19" ht="17.25" thickBot="1" x14ac:dyDescent="0.35">
      <c r="A68" s="6"/>
      <c r="B68" s="13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42"/>
        <v>0</v>
      </c>
      <c r="P68">
        <f t="shared" si="43"/>
        <v>0</v>
      </c>
      <c r="Q68">
        <f t="shared" si="43"/>
        <v>0</v>
      </c>
      <c r="S68" t="str">
        <f t="shared" si="44"/>
        <v>0.00 (0.00 to 0.00)</v>
      </c>
    </row>
    <row r="69" spans="1:19" x14ac:dyDescent="0.3">
      <c r="A69" s="6"/>
      <c r="B69" s="16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17" t="s">
        <v>170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</row>
    <row r="72" spans="1:19" ht="33" customHeight="1" x14ac:dyDescent="0.3">
      <c r="A72" s="18" t="s">
        <v>41</v>
      </c>
      <c r="B72" s="20" t="s">
        <v>7</v>
      </c>
      <c r="C72" s="20" t="s">
        <v>125</v>
      </c>
      <c r="D72" s="3" t="s">
        <v>126</v>
      </c>
      <c r="E72" s="3" t="s">
        <v>127</v>
      </c>
      <c r="F72" s="20" t="s">
        <v>129</v>
      </c>
      <c r="G72" s="3" t="s">
        <v>127</v>
      </c>
      <c r="H72" s="20" t="s">
        <v>130</v>
      </c>
      <c r="I72" s="20"/>
      <c r="J72" s="3" t="s">
        <v>149</v>
      </c>
      <c r="K72" s="3" t="s">
        <v>127</v>
      </c>
      <c r="L72" s="20" t="s">
        <v>130</v>
      </c>
      <c r="M72" s="20"/>
    </row>
    <row r="73" spans="1:19" ht="33" x14ac:dyDescent="0.3">
      <c r="A73" s="18"/>
      <c r="B73" s="20"/>
      <c r="C73" s="20"/>
      <c r="D73" s="3" t="s">
        <v>125</v>
      </c>
      <c r="E73" s="3" t="s">
        <v>128</v>
      </c>
      <c r="F73" s="20"/>
      <c r="G73" s="3" t="s">
        <v>129</v>
      </c>
      <c r="H73" s="20" t="s">
        <v>131</v>
      </c>
      <c r="I73" s="20"/>
      <c r="J73" s="3" t="s">
        <v>129</v>
      </c>
      <c r="K73" s="3" t="s">
        <v>150</v>
      </c>
      <c r="L73" s="20" t="s">
        <v>151</v>
      </c>
      <c r="M73" s="20"/>
    </row>
    <row r="74" spans="1:19" ht="17.25" thickBot="1" x14ac:dyDescent="0.35">
      <c r="A74" s="6">
        <v>1</v>
      </c>
      <c r="B74" s="13">
        <v>1</v>
      </c>
      <c r="C74" s="2">
        <v>657</v>
      </c>
      <c r="D74" s="2">
        <v>220641</v>
      </c>
      <c r="E74" s="2">
        <v>11383</v>
      </c>
      <c r="F74" s="2">
        <v>0.72929999999999995</v>
      </c>
      <c r="G74" s="2">
        <v>3.7600000000000001E-2</v>
      </c>
      <c r="H74" s="2">
        <v>0.65559999999999996</v>
      </c>
      <c r="I74" s="2">
        <v>0.80310000000000004</v>
      </c>
      <c r="J74" s="2">
        <v>2.6692</v>
      </c>
      <c r="K74" s="2">
        <v>0.13619999999999999</v>
      </c>
      <c r="L74" s="2">
        <v>2.4020999999999999</v>
      </c>
      <c r="M74" s="2">
        <v>2.9361999999999999</v>
      </c>
      <c r="O74">
        <f t="shared" ref="O74:O77" si="45">J74</f>
        <v>2.6692</v>
      </c>
      <c r="P74">
        <f t="shared" ref="P74:Q77" si="46">L74</f>
        <v>2.4020999999999999</v>
      </c>
      <c r="Q74">
        <f t="shared" si="46"/>
        <v>2.9361999999999999</v>
      </c>
      <c r="S74" t="str">
        <f t="shared" ref="S74:S77" si="47">TEXT(O74,"0.00")&amp;" ("&amp;TEXT(P74,"0.00")&amp;" to "&amp;TEXT(Q74,"0.00")&amp;")"</f>
        <v>2.67 (2.40 to 2.94)</v>
      </c>
    </row>
    <row r="75" spans="1:19" ht="17.25" thickBot="1" x14ac:dyDescent="0.35">
      <c r="A75" s="6"/>
      <c r="B75" s="13">
        <v>2</v>
      </c>
      <c r="C75" s="2">
        <v>883</v>
      </c>
      <c r="D75" s="2">
        <v>313440</v>
      </c>
      <c r="E75" s="2">
        <v>12788</v>
      </c>
      <c r="F75" s="2">
        <v>1.0361</v>
      </c>
      <c r="G75" s="2">
        <v>4.24E-2</v>
      </c>
      <c r="H75" s="2">
        <v>0.95299999999999996</v>
      </c>
      <c r="I75" s="2">
        <v>1.1192</v>
      </c>
      <c r="J75" s="2">
        <v>3.7917999999999998</v>
      </c>
      <c r="K75" s="2">
        <v>0.15440000000000001</v>
      </c>
      <c r="L75" s="2">
        <v>3.4889999999999999</v>
      </c>
      <c r="M75" s="2">
        <v>4.0945</v>
      </c>
      <c r="O75">
        <f t="shared" si="45"/>
        <v>3.7917999999999998</v>
      </c>
      <c r="P75">
        <f t="shared" si="46"/>
        <v>3.4889999999999999</v>
      </c>
      <c r="Q75">
        <f t="shared" si="46"/>
        <v>4.0945</v>
      </c>
      <c r="S75" t="str">
        <f t="shared" si="47"/>
        <v>3.79 (3.49 to 4.09)</v>
      </c>
    </row>
    <row r="76" spans="1:19" ht="17.25" thickBot="1" x14ac:dyDescent="0.35">
      <c r="A76" s="6"/>
      <c r="B76" s="13">
        <v>3</v>
      </c>
      <c r="C76" s="2">
        <v>3835</v>
      </c>
      <c r="D76" s="2">
        <v>1805329</v>
      </c>
      <c r="E76" s="2">
        <v>37739</v>
      </c>
      <c r="F76" s="2">
        <v>5.9676999999999998</v>
      </c>
      <c r="G76" s="2">
        <v>0.11650000000000001</v>
      </c>
      <c r="H76" s="2">
        <v>5.7392000000000003</v>
      </c>
      <c r="I76" s="2">
        <v>6.1962000000000002</v>
      </c>
      <c r="J76" s="2">
        <v>21.839600000000001</v>
      </c>
      <c r="K76" s="2">
        <v>0.40189999999999998</v>
      </c>
      <c r="L76" s="2">
        <v>21.051600000000001</v>
      </c>
      <c r="M76" s="2">
        <v>22.627600000000001</v>
      </c>
      <c r="O76">
        <f t="shared" si="45"/>
        <v>21.839600000000001</v>
      </c>
      <c r="P76">
        <f t="shared" si="46"/>
        <v>21.051600000000001</v>
      </c>
      <c r="Q76">
        <f t="shared" si="46"/>
        <v>22.627600000000001</v>
      </c>
      <c r="S76" t="str">
        <f t="shared" si="47"/>
        <v>21.84 (21.05 to 22.63)</v>
      </c>
    </row>
    <row r="77" spans="1:19" ht="17.25" thickBot="1" x14ac:dyDescent="0.35">
      <c r="A77" s="6"/>
      <c r="B77" s="13">
        <v>4</v>
      </c>
      <c r="C77" s="2">
        <v>11784</v>
      </c>
      <c r="D77" s="2">
        <v>5926902</v>
      </c>
      <c r="E77" s="2">
        <v>88288</v>
      </c>
      <c r="F77" s="2">
        <v>19.591899999999999</v>
      </c>
      <c r="G77" s="2">
        <v>0.2298</v>
      </c>
      <c r="H77" s="2">
        <v>19.141300000000001</v>
      </c>
      <c r="I77" s="2">
        <v>20.0425</v>
      </c>
      <c r="J77" s="2">
        <v>71.6995</v>
      </c>
      <c r="K77" s="2">
        <v>0.44750000000000001</v>
      </c>
      <c r="L77" s="2">
        <v>70.822000000000003</v>
      </c>
      <c r="M77" s="2">
        <v>72.576899999999995</v>
      </c>
      <c r="O77">
        <f t="shared" si="45"/>
        <v>71.6995</v>
      </c>
      <c r="P77">
        <f t="shared" si="46"/>
        <v>70.822000000000003</v>
      </c>
      <c r="Q77">
        <f t="shared" si="46"/>
        <v>72.576899999999995</v>
      </c>
      <c r="S77" t="str">
        <f t="shared" si="47"/>
        <v>71.70 (70.82 to 72.58)</v>
      </c>
    </row>
    <row r="78" spans="1:19" ht="17.25" thickBot="1" x14ac:dyDescent="0.35">
      <c r="A78" s="6"/>
      <c r="B78" s="13" t="s">
        <v>132</v>
      </c>
      <c r="C78" s="2">
        <v>17159</v>
      </c>
      <c r="D78" s="2">
        <v>8266312</v>
      </c>
      <c r="E78" s="2">
        <v>102733</v>
      </c>
      <c r="F78" s="2">
        <v>27.325099999999999</v>
      </c>
      <c r="G78" s="2">
        <v>0.24740000000000001</v>
      </c>
      <c r="H78" s="2">
        <v>26.8399</v>
      </c>
      <c r="I78" s="2">
        <v>27.810199999999998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3">
        <v>1</v>
      </c>
      <c r="C79" s="2">
        <v>1735</v>
      </c>
      <c r="D79" s="2">
        <v>535728</v>
      </c>
      <c r="E79" s="2">
        <v>17372</v>
      </c>
      <c r="F79" s="2">
        <v>1.7708999999999999</v>
      </c>
      <c r="G79" s="2">
        <v>5.7599999999999998E-2</v>
      </c>
      <c r="H79" s="2">
        <v>1.6580999999999999</v>
      </c>
      <c r="I79" s="2">
        <v>1.8836999999999999</v>
      </c>
      <c r="J79" s="2">
        <v>6.8667999999999996</v>
      </c>
      <c r="K79" s="2">
        <v>0.2223</v>
      </c>
      <c r="L79" s="2">
        <v>6.4309000000000003</v>
      </c>
      <c r="M79" s="2">
        <v>7.3026999999999997</v>
      </c>
      <c r="O79">
        <f t="shared" ref="O79:O82" si="48">J79</f>
        <v>6.8667999999999996</v>
      </c>
      <c r="P79">
        <f t="shared" ref="P79:Q82" si="49">L79</f>
        <v>6.4309000000000003</v>
      </c>
      <c r="Q79">
        <f t="shared" si="49"/>
        <v>7.3026999999999997</v>
      </c>
      <c r="S79" t="str">
        <f t="shared" ref="S79:S82" si="50">TEXT(O79,"0.00")&amp;" ("&amp;TEXT(P79,"0.00")&amp;" to "&amp;TEXT(Q79,"0.00")&amp;")"</f>
        <v>6.87 (6.43 to 7.30)</v>
      </c>
    </row>
    <row r="80" spans="1:19" ht="17.25" thickBot="1" x14ac:dyDescent="0.35">
      <c r="A80" s="6"/>
      <c r="B80" s="13">
        <v>2</v>
      </c>
      <c r="C80" s="2">
        <v>1738</v>
      </c>
      <c r="D80" s="2">
        <v>591509</v>
      </c>
      <c r="E80" s="2">
        <v>18462</v>
      </c>
      <c r="F80" s="2">
        <v>1.9553</v>
      </c>
      <c r="G80" s="2">
        <v>6.0499999999999998E-2</v>
      </c>
      <c r="H80" s="2">
        <v>1.8367</v>
      </c>
      <c r="I80" s="2">
        <v>2.0739000000000001</v>
      </c>
      <c r="J80" s="2">
        <v>7.5818000000000003</v>
      </c>
      <c r="K80" s="2">
        <v>0.23269999999999999</v>
      </c>
      <c r="L80" s="2">
        <v>7.1256000000000004</v>
      </c>
      <c r="M80" s="2">
        <v>8.0380000000000003</v>
      </c>
      <c r="O80">
        <f t="shared" si="48"/>
        <v>7.5818000000000003</v>
      </c>
      <c r="P80">
        <f t="shared" si="49"/>
        <v>7.1256000000000004</v>
      </c>
      <c r="Q80">
        <f t="shared" si="49"/>
        <v>8.0380000000000003</v>
      </c>
      <c r="S80" t="str">
        <f t="shared" si="50"/>
        <v>7.58 (7.13 to 8.04)</v>
      </c>
    </row>
    <row r="81" spans="1:19" ht="17.25" thickBot="1" x14ac:dyDescent="0.35">
      <c r="A81" s="6"/>
      <c r="B81" s="13">
        <v>3</v>
      </c>
      <c r="C81" s="2">
        <v>4612</v>
      </c>
      <c r="D81" s="2">
        <v>2108465</v>
      </c>
      <c r="E81" s="2">
        <v>40174</v>
      </c>
      <c r="F81" s="2">
        <v>6.9696999999999996</v>
      </c>
      <c r="G81" s="2">
        <v>0.12180000000000001</v>
      </c>
      <c r="H81" s="2">
        <v>6.7309000000000001</v>
      </c>
      <c r="I81" s="2">
        <v>7.2084999999999999</v>
      </c>
      <c r="J81" s="2">
        <v>27.025700000000001</v>
      </c>
      <c r="K81" s="2">
        <v>0.42680000000000001</v>
      </c>
      <c r="L81" s="2">
        <v>26.1889</v>
      </c>
      <c r="M81" s="2">
        <v>27.8626</v>
      </c>
      <c r="O81">
        <f t="shared" si="48"/>
        <v>27.025700000000001</v>
      </c>
      <c r="P81">
        <f t="shared" si="49"/>
        <v>26.1889</v>
      </c>
      <c r="Q81">
        <f t="shared" si="49"/>
        <v>27.8626</v>
      </c>
      <c r="S81" t="str">
        <f t="shared" si="50"/>
        <v>27.03 (26.19 to 27.86)</v>
      </c>
    </row>
    <row r="82" spans="1:19" ht="17.25" thickBot="1" x14ac:dyDescent="0.35">
      <c r="A82" s="6"/>
      <c r="B82" s="13">
        <v>4</v>
      </c>
      <c r="C82" s="2">
        <v>9073</v>
      </c>
      <c r="D82" s="2">
        <v>4565997</v>
      </c>
      <c r="E82" s="2">
        <v>70458</v>
      </c>
      <c r="F82" s="2">
        <v>15.093299999999999</v>
      </c>
      <c r="G82" s="2">
        <v>0.188</v>
      </c>
      <c r="H82" s="2">
        <v>14.7247</v>
      </c>
      <c r="I82" s="2">
        <v>15.462</v>
      </c>
      <c r="J82" s="2">
        <v>58.525700000000001</v>
      </c>
      <c r="K82" s="2">
        <v>0.51160000000000005</v>
      </c>
      <c r="L82" s="2">
        <v>57.522599999999997</v>
      </c>
      <c r="M82" s="2">
        <v>59.528799999999997</v>
      </c>
      <c r="O82">
        <f t="shared" si="48"/>
        <v>58.525700000000001</v>
      </c>
      <c r="P82">
        <f t="shared" si="49"/>
        <v>57.522599999999997</v>
      </c>
      <c r="Q82">
        <f t="shared" si="49"/>
        <v>59.528799999999997</v>
      </c>
      <c r="S82" t="str">
        <f t="shared" si="50"/>
        <v>58.53 (57.52 to 59.53)</v>
      </c>
    </row>
    <row r="83" spans="1:19" ht="17.25" thickBot="1" x14ac:dyDescent="0.35">
      <c r="A83" s="6"/>
      <c r="B83" s="13" t="s">
        <v>132</v>
      </c>
      <c r="C83" s="2">
        <v>17158</v>
      </c>
      <c r="D83" s="2">
        <v>7801700</v>
      </c>
      <c r="E83" s="2">
        <v>88291</v>
      </c>
      <c r="F83" s="2">
        <v>25.789200000000001</v>
      </c>
      <c r="G83" s="2">
        <v>0.2046</v>
      </c>
      <c r="H83" s="2">
        <v>25.388100000000001</v>
      </c>
      <c r="I83" s="2">
        <v>26.1904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3">
        <v>1</v>
      </c>
      <c r="C84" s="2">
        <v>2846</v>
      </c>
      <c r="D84" s="2">
        <v>837222</v>
      </c>
      <c r="E84" s="2">
        <v>20259</v>
      </c>
      <c r="F84" s="2">
        <v>2.7675000000000001</v>
      </c>
      <c r="G84" s="2">
        <v>6.8900000000000003E-2</v>
      </c>
      <c r="H84" s="2">
        <v>2.6322999999999999</v>
      </c>
      <c r="I84" s="2">
        <v>2.9026999999999998</v>
      </c>
      <c r="J84" s="2">
        <v>11.437200000000001</v>
      </c>
      <c r="K84" s="2">
        <v>0.27879999999999999</v>
      </c>
      <c r="L84" s="2">
        <v>10.890599999999999</v>
      </c>
      <c r="M84" s="2">
        <v>11.9838</v>
      </c>
      <c r="O84">
        <f t="shared" ref="O84:O87" si="51">J84</f>
        <v>11.437200000000001</v>
      </c>
      <c r="P84">
        <f t="shared" ref="P84:Q87" si="52">L84</f>
        <v>10.890599999999999</v>
      </c>
      <c r="Q84">
        <f t="shared" si="52"/>
        <v>11.9838</v>
      </c>
      <c r="S84" t="str">
        <f t="shared" ref="S84:S87" si="53">TEXT(O84,"0.00")&amp;" ("&amp;TEXT(P84,"0.00")&amp;" to "&amp;TEXT(Q84,"0.00")&amp;")"</f>
        <v>11.44 (10.89 to 11.98)</v>
      </c>
    </row>
    <row r="85" spans="1:19" ht="17.25" thickBot="1" x14ac:dyDescent="0.35">
      <c r="A85" s="6"/>
      <c r="B85" s="13">
        <v>2</v>
      </c>
      <c r="C85" s="2">
        <v>2357</v>
      </c>
      <c r="D85" s="2">
        <v>792503</v>
      </c>
      <c r="E85" s="2">
        <v>21059</v>
      </c>
      <c r="F85" s="2">
        <v>2.6196999999999999</v>
      </c>
      <c r="G85" s="2">
        <v>6.9800000000000001E-2</v>
      </c>
      <c r="H85" s="2">
        <v>2.4826999999999999</v>
      </c>
      <c r="I85" s="2">
        <v>2.7566000000000002</v>
      </c>
      <c r="J85" s="2">
        <v>10.8263</v>
      </c>
      <c r="K85" s="2">
        <v>0.27660000000000001</v>
      </c>
      <c r="L85" s="2">
        <v>10.284000000000001</v>
      </c>
      <c r="M85" s="2">
        <v>11.3687</v>
      </c>
      <c r="O85">
        <f t="shared" si="51"/>
        <v>10.8263</v>
      </c>
      <c r="P85">
        <f t="shared" si="52"/>
        <v>10.284000000000001</v>
      </c>
      <c r="Q85">
        <f t="shared" si="52"/>
        <v>11.3687</v>
      </c>
      <c r="S85" t="str">
        <f t="shared" si="53"/>
        <v>10.83 (10.28 to 11.37)</v>
      </c>
    </row>
    <row r="86" spans="1:19" ht="17.25" thickBot="1" x14ac:dyDescent="0.35">
      <c r="A86" s="6"/>
      <c r="B86" s="13">
        <v>3</v>
      </c>
      <c r="C86" s="2">
        <v>4681</v>
      </c>
      <c r="D86" s="2">
        <v>2074237</v>
      </c>
      <c r="E86" s="2">
        <v>40526</v>
      </c>
      <c r="F86" s="2">
        <v>6.8566000000000003</v>
      </c>
      <c r="G86" s="2">
        <v>0.124</v>
      </c>
      <c r="H86" s="2">
        <v>6.6135000000000002</v>
      </c>
      <c r="I86" s="2">
        <v>7.0997000000000003</v>
      </c>
      <c r="J86" s="2">
        <v>28.335999999999999</v>
      </c>
      <c r="K86" s="2">
        <v>0.44690000000000002</v>
      </c>
      <c r="L86" s="2">
        <v>27.459800000000001</v>
      </c>
      <c r="M86" s="2">
        <v>29.212199999999999</v>
      </c>
      <c r="O86">
        <f t="shared" si="51"/>
        <v>28.335999999999999</v>
      </c>
      <c r="P86">
        <f t="shared" si="52"/>
        <v>27.459800000000001</v>
      </c>
      <c r="Q86">
        <f t="shared" si="52"/>
        <v>29.212199999999999</v>
      </c>
      <c r="S86" t="str">
        <f t="shared" si="53"/>
        <v>28.34 (27.46 to 29.21)</v>
      </c>
    </row>
    <row r="87" spans="1:19" ht="17.25" thickBot="1" x14ac:dyDescent="0.35">
      <c r="A87" s="6"/>
      <c r="B87" s="13">
        <v>4</v>
      </c>
      <c r="C87" s="2">
        <v>7275</v>
      </c>
      <c r="D87" s="2">
        <v>3616181</v>
      </c>
      <c r="E87" s="2">
        <v>60721</v>
      </c>
      <c r="F87" s="2">
        <v>11.9536</v>
      </c>
      <c r="G87" s="2">
        <v>0.16750000000000001</v>
      </c>
      <c r="H87" s="2">
        <v>11.6252</v>
      </c>
      <c r="I87" s="2">
        <v>12.282</v>
      </c>
      <c r="J87" s="2">
        <v>49.400399999999998</v>
      </c>
      <c r="K87" s="2">
        <v>0.54049999999999998</v>
      </c>
      <c r="L87" s="2">
        <v>48.340600000000002</v>
      </c>
      <c r="M87" s="2">
        <v>50.4602</v>
      </c>
      <c r="O87">
        <f t="shared" si="51"/>
        <v>49.400399999999998</v>
      </c>
      <c r="P87">
        <f t="shared" si="52"/>
        <v>48.340600000000002</v>
      </c>
      <c r="Q87">
        <f t="shared" si="52"/>
        <v>50.4602</v>
      </c>
      <c r="S87" t="str">
        <f t="shared" si="53"/>
        <v>49.40 (48.34 to 50.46)</v>
      </c>
    </row>
    <row r="88" spans="1:19" ht="17.25" thickBot="1" x14ac:dyDescent="0.35">
      <c r="A88" s="6"/>
      <c r="B88" s="13" t="s">
        <v>132</v>
      </c>
      <c r="C88" s="2">
        <v>17159</v>
      </c>
      <c r="D88" s="2">
        <v>7320143</v>
      </c>
      <c r="E88" s="2">
        <v>81075</v>
      </c>
      <c r="F88" s="2">
        <v>24.197399999999998</v>
      </c>
      <c r="G88" s="2">
        <v>0.20150000000000001</v>
      </c>
      <c r="H88" s="2">
        <v>23.802399999999999</v>
      </c>
      <c r="I88" s="2">
        <v>24.592500000000001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3">
        <v>1</v>
      </c>
      <c r="C89" s="2">
        <v>3961</v>
      </c>
      <c r="D89" s="2">
        <v>1185117</v>
      </c>
      <c r="E89" s="2">
        <v>27852</v>
      </c>
      <c r="F89" s="2">
        <v>3.9175</v>
      </c>
      <c r="G89" s="2">
        <v>9.4600000000000004E-2</v>
      </c>
      <c r="H89" s="2">
        <v>3.7319</v>
      </c>
      <c r="I89" s="2">
        <v>4.1031000000000004</v>
      </c>
      <c r="J89" s="2">
        <v>17.2667</v>
      </c>
      <c r="K89" s="2">
        <v>0.36330000000000001</v>
      </c>
      <c r="L89" s="2">
        <v>16.554300000000001</v>
      </c>
      <c r="M89" s="2">
        <v>17.979099999999999</v>
      </c>
      <c r="O89">
        <f t="shared" ref="O89:O92" si="54">J89</f>
        <v>17.2667</v>
      </c>
      <c r="P89">
        <f t="shared" ref="P89:Q92" si="55">L89</f>
        <v>16.554300000000001</v>
      </c>
      <c r="Q89">
        <f t="shared" si="55"/>
        <v>17.979099999999999</v>
      </c>
      <c r="S89" t="str">
        <f t="shared" ref="S89:S92" si="56">TEXT(O89,"0.00")&amp;" ("&amp;TEXT(P89,"0.00")&amp;" to "&amp;TEXT(Q89,"0.00")&amp;")"</f>
        <v>17.27 (16.55 to 17.98)</v>
      </c>
    </row>
    <row r="90" spans="1:19" ht="17.25" thickBot="1" x14ac:dyDescent="0.35">
      <c r="A90" s="6"/>
      <c r="B90" s="13">
        <v>2</v>
      </c>
      <c r="C90" s="2">
        <v>2958</v>
      </c>
      <c r="D90" s="2">
        <v>984873</v>
      </c>
      <c r="E90" s="2">
        <v>24429</v>
      </c>
      <c r="F90" s="2">
        <v>3.2555999999999998</v>
      </c>
      <c r="G90" s="2">
        <v>8.09E-2</v>
      </c>
      <c r="H90" s="2">
        <v>3.0969000000000002</v>
      </c>
      <c r="I90" s="2">
        <v>3.4142999999999999</v>
      </c>
      <c r="J90" s="2">
        <v>14.3492</v>
      </c>
      <c r="K90" s="2">
        <v>0.3236</v>
      </c>
      <c r="L90" s="2">
        <v>13.7148</v>
      </c>
      <c r="M90" s="2">
        <v>14.983700000000001</v>
      </c>
      <c r="O90">
        <f t="shared" si="54"/>
        <v>14.3492</v>
      </c>
      <c r="P90">
        <f t="shared" si="55"/>
        <v>13.7148</v>
      </c>
      <c r="Q90">
        <f t="shared" si="55"/>
        <v>14.983700000000001</v>
      </c>
      <c r="S90" t="str">
        <f t="shared" si="56"/>
        <v>14.35 (13.71 to 14.98)</v>
      </c>
    </row>
    <row r="91" spans="1:19" ht="17.25" thickBot="1" x14ac:dyDescent="0.35">
      <c r="A91" s="6"/>
      <c r="B91" s="13">
        <v>3</v>
      </c>
      <c r="C91" s="2">
        <v>4630</v>
      </c>
      <c r="D91" s="2">
        <v>1999764</v>
      </c>
      <c r="E91" s="2">
        <v>38457</v>
      </c>
      <c r="F91" s="2">
        <v>6.6104000000000003</v>
      </c>
      <c r="G91" s="2">
        <v>0.1225</v>
      </c>
      <c r="H91" s="2">
        <v>6.3700999999999999</v>
      </c>
      <c r="I91" s="2">
        <v>6.8506999999999998</v>
      </c>
      <c r="J91" s="2">
        <v>29.1358</v>
      </c>
      <c r="K91" s="2">
        <v>0.4481</v>
      </c>
      <c r="L91" s="2">
        <v>28.257100000000001</v>
      </c>
      <c r="M91" s="2">
        <v>30.014500000000002</v>
      </c>
      <c r="O91">
        <f t="shared" si="54"/>
        <v>29.1358</v>
      </c>
      <c r="P91">
        <f t="shared" si="55"/>
        <v>28.257100000000001</v>
      </c>
      <c r="Q91">
        <f t="shared" si="55"/>
        <v>30.014500000000002</v>
      </c>
      <c r="S91" t="str">
        <f t="shared" si="56"/>
        <v>29.14 (28.26 to 30.01)</v>
      </c>
    </row>
    <row r="92" spans="1:19" ht="17.25" thickBot="1" x14ac:dyDescent="0.35">
      <c r="A92" s="6"/>
      <c r="B92" s="13">
        <v>4</v>
      </c>
      <c r="C92" s="2">
        <v>5609</v>
      </c>
      <c r="D92" s="2">
        <v>2693847</v>
      </c>
      <c r="E92" s="2">
        <v>50057</v>
      </c>
      <c r="F92" s="2">
        <v>8.9047999999999998</v>
      </c>
      <c r="G92" s="2">
        <v>0.14460000000000001</v>
      </c>
      <c r="H92" s="2">
        <v>8.6212</v>
      </c>
      <c r="I92" s="2">
        <v>9.1882999999999999</v>
      </c>
      <c r="J92" s="2">
        <v>39.2483</v>
      </c>
      <c r="K92" s="2">
        <v>0.56869999999999998</v>
      </c>
      <c r="L92" s="2">
        <v>38.133299999999998</v>
      </c>
      <c r="M92" s="2">
        <v>40.363300000000002</v>
      </c>
      <c r="O92">
        <f t="shared" si="54"/>
        <v>39.2483</v>
      </c>
      <c r="P92">
        <f t="shared" si="55"/>
        <v>38.133299999999998</v>
      </c>
      <c r="Q92">
        <f t="shared" si="55"/>
        <v>40.363300000000002</v>
      </c>
      <c r="S92" t="str">
        <f t="shared" si="56"/>
        <v>39.25 (38.13 to 40.36)</v>
      </c>
    </row>
    <row r="93" spans="1:19" ht="17.25" thickBot="1" x14ac:dyDescent="0.35">
      <c r="A93" s="6"/>
      <c r="B93" s="13" t="s">
        <v>132</v>
      </c>
      <c r="C93" s="2">
        <v>17158</v>
      </c>
      <c r="D93" s="2">
        <v>6863601</v>
      </c>
      <c r="E93" s="2">
        <v>77106</v>
      </c>
      <c r="F93" s="2">
        <v>22.688300000000002</v>
      </c>
      <c r="G93" s="2">
        <v>0.21809999999999999</v>
      </c>
      <c r="H93" s="2">
        <v>22.2607</v>
      </c>
      <c r="I93" s="2">
        <v>23.1159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3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57">J94</f>
        <v>0</v>
      </c>
      <c r="P94">
        <f t="shared" ref="P94:Q97" si="58">L94</f>
        <v>0</v>
      </c>
      <c r="Q94">
        <f t="shared" si="58"/>
        <v>0</v>
      </c>
      <c r="S94" t="str">
        <f t="shared" ref="S94:S97" si="59">TEXT(O94,"0.00")&amp;" ("&amp;TEXT(P94,"0.00")&amp;" to "&amp;TEXT(Q94,"0.00")&amp;")"</f>
        <v>0.00 (0.00 to 0.00)</v>
      </c>
    </row>
    <row r="95" spans="1:19" ht="17.25" thickBot="1" x14ac:dyDescent="0.35">
      <c r="A95" s="6"/>
      <c r="B95" s="13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57"/>
        <v>0</v>
      </c>
      <c r="P95">
        <f t="shared" si="58"/>
        <v>0</v>
      </c>
      <c r="Q95">
        <f t="shared" si="58"/>
        <v>0</v>
      </c>
      <c r="S95" t="str">
        <f t="shared" si="59"/>
        <v>0.00 (0.00 to 0.00)</v>
      </c>
    </row>
    <row r="96" spans="1:19" ht="17.25" thickBot="1" x14ac:dyDescent="0.35">
      <c r="A96" s="6"/>
      <c r="B96" s="13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57"/>
        <v>0</v>
      </c>
      <c r="P96">
        <f t="shared" si="58"/>
        <v>0</v>
      </c>
      <c r="Q96">
        <f t="shared" si="58"/>
        <v>0</v>
      </c>
      <c r="S96" t="str">
        <f t="shared" si="59"/>
        <v>0.00 (0.00 to 0.00)</v>
      </c>
    </row>
    <row r="97" spans="1:19" ht="17.25" thickBot="1" x14ac:dyDescent="0.35">
      <c r="A97" s="6"/>
      <c r="B97" s="13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57"/>
        <v>0</v>
      </c>
      <c r="P97">
        <f t="shared" si="58"/>
        <v>0</v>
      </c>
      <c r="Q97">
        <f t="shared" si="58"/>
        <v>0</v>
      </c>
      <c r="S97" t="str">
        <f t="shared" si="59"/>
        <v>0.00 (0.00 to 0.00)</v>
      </c>
    </row>
    <row r="98" spans="1:19" x14ac:dyDescent="0.3">
      <c r="A98" s="6"/>
      <c r="B98" s="16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17" t="s">
        <v>171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</row>
    <row r="101" spans="1:19" ht="33" customHeight="1" x14ac:dyDescent="0.3">
      <c r="A101" s="18" t="s">
        <v>41</v>
      </c>
      <c r="B101" s="20" t="s">
        <v>8</v>
      </c>
      <c r="C101" s="20" t="s">
        <v>125</v>
      </c>
      <c r="D101" s="3" t="s">
        <v>126</v>
      </c>
      <c r="E101" s="3" t="s">
        <v>127</v>
      </c>
      <c r="F101" s="20" t="s">
        <v>129</v>
      </c>
      <c r="G101" s="3" t="s">
        <v>127</v>
      </c>
      <c r="H101" s="20" t="s">
        <v>130</v>
      </c>
      <c r="I101" s="20"/>
      <c r="J101" s="3" t="s">
        <v>149</v>
      </c>
      <c r="K101" s="3" t="s">
        <v>127</v>
      </c>
      <c r="L101" s="20" t="s">
        <v>130</v>
      </c>
      <c r="M101" s="20"/>
    </row>
    <row r="102" spans="1:19" ht="33" x14ac:dyDescent="0.3">
      <c r="A102" s="18"/>
      <c r="B102" s="20"/>
      <c r="C102" s="20"/>
      <c r="D102" s="3" t="s">
        <v>125</v>
      </c>
      <c r="E102" s="3" t="s">
        <v>128</v>
      </c>
      <c r="F102" s="20"/>
      <c r="G102" s="3" t="s">
        <v>129</v>
      </c>
      <c r="H102" s="20" t="s">
        <v>131</v>
      </c>
      <c r="I102" s="20"/>
      <c r="J102" s="3" t="s">
        <v>129</v>
      </c>
      <c r="K102" s="3" t="s">
        <v>150</v>
      </c>
      <c r="L102" s="20" t="s">
        <v>151</v>
      </c>
      <c r="M102" s="20"/>
    </row>
    <row r="103" spans="1:19" ht="17.25" thickBot="1" x14ac:dyDescent="0.35">
      <c r="A103" s="6">
        <v>1</v>
      </c>
      <c r="B103" s="13">
        <v>1</v>
      </c>
      <c r="C103" s="2">
        <v>1519</v>
      </c>
      <c r="D103" s="2">
        <v>711061</v>
      </c>
      <c r="E103" s="2">
        <v>28613</v>
      </c>
      <c r="F103" s="2">
        <v>2.3504999999999998</v>
      </c>
      <c r="G103" s="2">
        <v>9.3899999999999997E-2</v>
      </c>
      <c r="H103" s="2">
        <v>2.1663999999999999</v>
      </c>
      <c r="I103" s="2">
        <v>2.5346000000000002</v>
      </c>
      <c r="J103" s="2">
        <v>8.6019000000000005</v>
      </c>
      <c r="K103" s="2">
        <v>0.32969999999999999</v>
      </c>
      <c r="L103" s="2">
        <v>7.9554</v>
      </c>
      <c r="M103" s="2">
        <v>9.2484000000000002</v>
      </c>
      <c r="O103">
        <f t="shared" ref="O103:O106" si="60">J103</f>
        <v>8.6019000000000005</v>
      </c>
      <c r="P103">
        <f t="shared" ref="P103:Q106" si="61">L103</f>
        <v>7.9554</v>
      </c>
      <c r="Q103">
        <f t="shared" si="61"/>
        <v>9.2484000000000002</v>
      </c>
      <c r="S103" t="str">
        <f t="shared" ref="S103:S106" si="62">TEXT(O103,"0.00")&amp;" ("&amp;TEXT(P103,"0.00")&amp;" to "&amp;TEXT(Q103,"0.00")&amp;")"</f>
        <v>8.60 (7.96 to 9.25)</v>
      </c>
    </row>
    <row r="104" spans="1:19" ht="17.25" thickBot="1" x14ac:dyDescent="0.35">
      <c r="A104" s="6"/>
      <c r="B104" s="13">
        <v>2</v>
      </c>
      <c r="C104" s="2">
        <v>3910</v>
      </c>
      <c r="D104" s="2">
        <v>1907792</v>
      </c>
      <c r="E104" s="2">
        <v>43868</v>
      </c>
      <c r="F104" s="2">
        <v>6.3064</v>
      </c>
      <c r="G104" s="2">
        <v>0.13800000000000001</v>
      </c>
      <c r="H104" s="2">
        <v>6.0358000000000001</v>
      </c>
      <c r="I104" s="2">
        <v>6.577</v>
      </c>
      <c r="J104" s="2">
        <v>23.0791</v>
      </c>
      <c r="K104" s="2">
        <v>0.46589999999999998</v>
      </c>
      <c r="L104" s="2">
        <v>22.165600000000001</v>
      </c>
      <c r="M104" s="2">
        <v>23.992699999999999</v>
      </c>
      <c r="O104">
        <f t="shared" si="60"/>
        <v>23.0791</v>
      </c>
      <c r="P104">
        <f t="shared" si="61"/>
        <v>22.165600000000001</v>
      </c>
      <c r="Q104">
        <f t="shared" si="61"/>
        <v>23.992699999999999</v>
      </c>
      <c r="S104" t="str">
        <f t="shared" si="62"/>
        <v>23.08 (22.17 to 23.99)</v>
      </c>
    </row>
    <row r="105" spans="1:19" ht="17.25" thickBot="1" x14ac:dyDescent="0.35">
      <c r="A105" s="6"/>
      <c r="B105" s="13">
        <v>3</v>
      </c>
      <c r="C105" s="2">
        <v>5398</v>
      </c>
      <c r="D105" s="2">
        <v>2606137</v>
      </c>
      <c r="E105" s="2">
        <v>52281</v>
      </c>
      <c r="F105" s="2">
        <v>8.6148000000000007</v>
      </c>
      <c r="G105" s="2">
        <v>0.15479999999999999</v>
      </c>
      <c r="H105" s="2">
        <v>8.3114000000000008</v>
      </c>
      <c r="I105" s="2">
        <v>8.9183000000000003</v>
      </c>
      <c r="J105" s="2">
        <v>31.527200000000001</v>
      </c>
      <c r="K105" s="2">
        <v>0.50249999999999995</v>
      </c>
      <c r="L105" s="2">
        <v>30.541899999999998</v>
      </c>
      <c r="M105" s="2">
        <v>32.512500000000003</v>
      </c>
      <c r="O105">
        <f t="shared" si="60"/>
        <v>31.527200000000001</v>
      </c>
      <c r="P105">
        <f t="shared" si="61"/>
        <v>30.541899999999998</v>
      </c>
      <c r="Q105">
        <f t="shared" si="61"/>
        <v>32.512500000000003</v>
      </c>
      <c r="S105" t="str">
        <f t="shared" si="62"/>
        <v>31.53 (30.54 to 32.51)</v>
      </c>
    </row>
    <row r="106" spans="1:19" ht="17.25" thickBot="1" x14ac:dyDescent="0.35">
      <c r="A106" s="6"/>
      <c r="B106" s="13">
        <v>4</v>
      </c>
      <c r="C106" s="2">
        <v>6332</v>
      </c>
      <c r="D106" s="2">
        <v>3041321</v>
      </c>
      <c r="E106" s="2">
        <v>64341</v>
      </c>
      <c r="F106" s="2">
        <v>10.0534</v>
      </c>
      <c r="G106" s="2">
        <v>0.18959999999999999</v>
      </c>
      <c r="H106" s="2">
        <v>9.6815999999999995</v>
      </c>
      <c r="I106" s="2">
        <v>10.4251</v>
      </c>
      <c r="J106" s="2">
        <v>36.791800000000002</v>
      </c>
      <c r="K106" s="2">
        <v>0.60009999999999997</v>
      </c>
      <c r="L106" s="2">
        <v>35.615200000000002</v>
      </c>
      <c r="M106" s="2">
        <v>37.968400000000003</v>
      </c>
      <c r="O106">
        <f t="shared" si="60"/>
        <v>36.791800000000002</v>
      </c>
      <c r="P106">
        <f t="shared" si="61"/>
        <v>35.615200000000002</v>
      </c>
      <c r="Q106">
        <f t="shared" si="61"/>
        <v>37.968400000000003</v>
      </c>
      <c r="S106" t="str">
        <f t="shared" si="62"/>
        <v>36.79 (35.62 to 37.97)</v>
      </c>
    </row>
    <row r="107" spans="1:19" ht="17.25" thickBot="1" x14ac:dyDescent="0.35">
      <c r="A107" s="6"/>
      <c r="B107" s="13" t="s">
        <v>132</v>
      </c>
      <c r="C107" s="2">
        <v>17159</v>
      </c>
      <c r="D107" s="2">
        <v>8266312</v>
      </c>
      <c r="E107" s="2">
        <v>102733</v>
      </c>
      <c r="F107" s="2">
        <v>27.325099999999999</v>
      </c>
      <c r="G107" s="2">
        <v>0.24740000000000001</v>
      </c>
      <c r="H107" s="2">
        <v>26.8399</v>
      </c>
      <c r="I107" s="2">
        <v>27.810199999999998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3">
        <v>1</v>
      </c>
      <c r="C108" s="2">
        <v>2329</v>
      </c>
      <c r="D108" s="2">
        <v>878879</v>
      </c>
      <c r="E108" s="2">
        <v>26108</v>
      </c>
      <c r="F108" s="2">
        <v>2.9051999999999998</v>
      </c>
      <c r="G108" s="2">
        <v>8.6599999999999996E-2</v>
      </c>
      <c r="H108" s="2">
        <v>2.7355</v>
      </c>
      <c r="I108" s="2">
        <v>3.0750000000000002</v>
      </c>
      <c r="J108" s="2">
        <v>11.2652</v>
      </c>
      <c r="K108" s="2">
        <v>0.32719999999999999</v>
      </c>
      <c r="L108" s="2">
        <v>10.623699999999999</v>
      </c>
      <c r="M108" s="2">
        <v>11.9068</v>
      </c>
      <c r="O108">
        <f t="shared" ref="O108:O111" si="63">J108</f>
        <v>11.2652</v>
      </c>
      <c r="P108">
        <f t="shared" ref="P108:Q111" si="64">L108</f>
        <v>10.623699999999999</v>
      </c>
      <c r="Q108">
        <f t="shared" si="64"/>
        <v>11.9068</v>
      </c>
      <c r="S108" t="str">
        <f t="shared" ref="S108:S111" si="65">TEXT(O108,"0.00")&amp;" ("&amp;TEXT(P108,"0.00")&amp;" to "&amp;TEXT(Q108,"0.00")&amp;")"</f>
        <v>11.27 (10.62 to 11.91)</v>
      </c>
    </row>
    <row r="109" spans="1:19" ht="17.25" thickBot="1" x14ac:dyDescent="0.35">
      <c r="A109" s="6"/>
      <c r="B109" s="13">
        <v>2</v>
      </c>
      <c r="C109" s="2">
        <v>4093</v>
      </c>
      <c r="D109" s="2">
        <v>1822235</v>
      </c>
      <c r="E109" s="2">
        <v>38565</v>
      </c>
      <c r="F109" s="2">
        <v>6.0236000000000001</v>
      </c>
      <c r="G109" s="2">
        <v>0.1215</v>
      </c>
      <c r="H109" s="2">
        <v>5.7854000000000001</v>
      </c>
      <c r="I109" s="2">
        <v>6.2617000000000003</v>
      </c>
      <c r="J109" s="2">
        <v>23.3569</v>
      </c>
      <c r="K109" s="2">
        <v>0.44500000000000001</v>
      </c>
      <c r="L109" s="2">
        <v>22.484300000000001</v>
      </c>
      <c r="M109" s="2">
        <v>24.229600000000001</v>
      </c>
      <c r="O109">
        <f t="shared" si="63"/>
        <v>23.3569</v>
      </c>
      <c r="P109">
        <f t="shared" si="64"/>
        <v>22.484300000000001</v>
      </c>
      <c r="Q109">
        <f t="shared" si="64"/>
        <v>24.229600000000001</v>
      </c>
      <c r="S109" t="str">
        <f t="shared" si="65"/>
        <v>23.36 (22.48 to 24.23)</v>
      </c>
    </row>
    <row r="110" spans="1:19" ht="17.25" thickBot="1" x14ac:dyDescent="0.35">
      <c r="A110" s="6"/>
      <c r="B110" s="13">
        <v>3</v>
      </c>
      <c r="C110" s="2">
        <v>5185</v>
      </c>
      <c r="D110" s="2">
        <v>2481287</v>
      </c>
      <c r="E110" s="2">
        <v>48075</v>
      </c>
      <c r="F110" s="2">
        <v>8.2020999999999997</v>
      </c>
      <c r="G110" s="2">
        <v>0.1426</v>
      </c>
      <c r="H110" s="2">
        <v>7.9225000000000003</v>
      </c>
      <c r="I110" s="2">
        <v>8.4817999999999998</v>
      </c>
      <c r="J110" s="2">
        <v>31.804400000000001</v>
      </c>
      <c r="K110" s="2">
        <v>0.48139999999999999</v>
      </c>
      <c r="L110" s="2">
        <v>30.860600000000002</v>
      </c>
      <c r="M110" s="2">
        <v>32.7483</v>
      </c>
      <c r="O110">
        <f t="shared" si="63"/>
        <v>31.804400000000001</v>
      </c>
      <c r="P110">
        <f t="shared" si="64"/>
        <v>30.860600000000002</v>
      </c>
      <c r="Q110">
        <f t="shared" si="64"/>
        <v>32.7483</v>
      </c>
      <c r="S110" t="str">
        <f t="shared" si="65"/>
        <v>31.80 (30.86 to 32.75)</v>
      </c>
    </row>
    <row r="111" spans="1:19" ht="17.25" thickBot="1" x14ac:dyDescent="0.35">
      <c r="A111" s="6"/>
      <c r="B111" s="13">
        <v>4</v>
      </c>
      <c r="C111" s="2">
        <v>5551</v>
      </c>
      <c r="D111" s="2">
        <v>2619298</v>
      </c>
      <c r="E111" s="2">
        <v>55579</v>
      </c>
      <c r="F111" s="2">
        <v>8.6583000000000006</v>
      </c>
      <c r="G111" s="2">
        <v>0.16250000000000001</v>
      </c>
      <c r="H111" s="2">
        <v>8.3397000000000006</v>
      </c>
      <c r="I111" s="2">
        <v>8.9770000000000003</v>
      </c>
      <c r="J111" s="2">
        <v>33.573399999999999</v>
      </c>
      <c r="K111" s="2">
        <v>0.56120000000000003</v>
      </c>
      <c r="L111" s="2">
        <v>32.472999999999999</v>
      </c>
      <c r="M111" s="2">
        <v>34.673900000000003</v>
      </c>
      <c r="O111">
        <f t="shared" si="63"/>
        <v>33.573399999999999</v>
      </c>
      <c r="P111">
        <f t="shared" si="64"/>
        <v>32.472999999999999</v>
      </c>
      <c r="Q111">
        <f t="shared" si="64"/>
        <v>34.673900000000003</v>
      </c>
      <c r="S111" t="str">
        <f t="shared" si="65"/>
        <v>33.57 (32.47 to 34.67)</v>
      </c>
    </row>
    <row r="112" spans="1:19" ht="17.25" thickBot="1" x14ac:dyDescent="0.35">
      <c r="A112" s="6"/>
      <c r="B112" s="13" t="s">
        <v>132</v>
      </c>
      <c r="C112" s="2">
        <v>17158</v>
      </c>
      <c r="D112" s="2">
        <v>7801700</v>
      </c>
      <c r="E112" s="2">
        <v>88291</v>
      </c>
      <c r="F112" s="2">
        <v>25.789200000000001</v>
      </c>
      <c r="G112" s="2">
        <v>0.2046</v>
      </c>
      <c r="H112" s="2">
        <v>25.388100000000001</v>
      </c>
      <c r="I112" s="2">
        <v>26.1904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3">
        <v>1</v>
      </c>
      <c r="C113" s="2">
        <v>3103</v>
      </c>
      <c r="D113" s="2">
        <v>1011055</v>
      </c>
      <c r="E113" s="2">
        <v>25108</v>
      </c>
      <c r="F113" s="2">
        <v>3.3420999999999998</v>
      </c>
      <c r="G113" s="2">
        <v>8.4900000000000003E-2</v>
      </c>
      <c r="H113" s="2">
        <v>3.1757</v>
      </c>
      <c r="I113" s="2">
        <v>3.5085999999999999</v>
      </c>
      <c r="J113" s="2">
        <v>13.811999999999999</v>
      </c>
      <c r="K113" s="2">
        <v>0.33610000000000001</v>
      </c>
      <c r="L113" s="2">
        <v>13.152900000000001</v>
      </c>
      <c r="M113" s="2">
        <v>14.471</v>
      </c>
      <c r="O113">
        <f t="shared" ref="O113:O116" si="66">J113</f>
        <v>13.811999999999999</v>
      </c>
      <c r="P113">
        <f t="shared" ref="P113:Q116" si="67">L113</f>
        <v>13.152900000000001</v>
      </c>
      <c r="Q113">
        <f t="shared" si="67"/>
        <v>14.471</v>
      </c>
      <c r="S113" t="str">
        <f t="shared" ref="S113:S116" si="68">TEXT(O113,"0.00")&amp;" ("&amp;TEXT(P113,"0.00")&amp;" to "&amp;TEXT(Q113,"0.00")&amp;")"</f>
        <v>13.81 (13.15 to 14.47)</v>
      </c>
    </row>
    <row r="114" spans="1:19" ht="17.25" thickBot="1" x14ac:dyDescent="0.35">
      <c r="A114" s="6"/>
      <c r="B114" s="13">
        <v>2</v>
      </c>
      <c r="C114" s="2">
        <v>4271</v>
      </c>
      <c r="D114" s="2">
        <v>1758332</v>
      </c>
      <c r="E114" s="2">
        <v>36475</v>
      </c>
      <c r="F114" s="2">
        <v>5.8122999999999996</v>
      </c>
      <c r="G114" s="2">
        <v>0.1179</v>
      </c>
      <c r="H114" s="2">
        <v>5.5811999999999999</v>
      </c>
      <c r="I114" s="2">
        <v>6.0434000000000001</v>
      </c>
      <c r="J114" s="2">
        <v>24.020499999999998</v>
      </c>
      <c r="K114" s="2">
        <v>0.44600000000000001</v>
      </c>
      <c r="L114" s="2">
        <v>23.145900000000001</v>
      </c>
      <c r="M114" s="2">
        <v>24.895</v>
      </c>
      <c r="O114">
        <f t="shared" si="66"/>
        <v>24.020499999999998</v>
      </c>
      <c r="P114">
        <f t="shared" si="67"/>
        <v>23.145900000000001</v>
      </c>
      <c r="Q114">
        <f t="shared" si="67"/>
        <v>24.895</v>
      </c>
      <c r="S114" t="str">
        <f t="shared" si="68"/>
        <v>24.02 (23.15 to 24.90)</v>
      </c>
    </row>
    <row r="115" spans="1:19" ht="17.25" thickBot="1" x14ac:dyDescent="0.35">
      <c r="A115" s="6"/>
      <c r="B115" s="13">
        <v>3</v>
      </c>
      <c r="C115" s="2">
        <v>4836</v>
      </c>
      <c r="D115" s="2">
        <v>2246418</v>
      </c>
      <c r="E115" s="2">
        <v>44145</v>
      </c>
      <c r="F115" s="2">
        <v>7.4257</v>
      </c>
      <c r="G115" s="2">
        <v>0.13150000000000001</v>
      </c>
      <c r="H115" s="2">
        <v>7.1679000000000004</v>
      </c>
      <c r="I115" s="2">
        <v>7.6835000000000004</v>
      </c>
      <c r="J115" s="2">
        <v>30.688199999999998</v>
      </c>
      <c r="K115" s="2">
        <v>0.46550000000000002</v>
      </c>
      <c r="L115" s="2">
        <v>29.775400000000001</v>
      </c>
      <c r="M115" s="2">
        <v>31.600999999999999</v>
      </c>
      <c r="O115">
        <f t="shared" si="66"/>
        <v>30.688199999999998</v>
      </c>
      <c r="P115">
        <f t="shared" si="67"/>
        <v>29.775400000000001</v>
      </c>
      <c r="Q115">
        <f t="shared" si="67"/>
        <v>31.600999999999999</v>
      </c>
      <c r="S115" t="str">
        <f t="shared" si="68"/>
        <v>30.69 (29.78 to 31.60)</v>
      </c>
    </row>
    <row r="116" spans="1:19" ht="17.25" thickBot="1" x14ac:dyDescent="0.35">
      <c r="A116" s="6"/>
      <c r="B116" s="13">
        <v>4</v>
      </c>
      <c r="C116" s="2">
        <v>4949</v>
      </c>
      <c r="D116" s="2">
        <v>2304337</v>
      </c>
      <c r="E116" s="2">
        <v>50099</v>
      </c>
      <c r="F116" s="2">
        <v>7.6172000000000004</v>
      </c>
      <c r="G116" s="2">
        <v>0.14779999999999999</v>
      </c>
      <c r="H116" s="2">
        <v>7.3274999999999997</v>
      </c>
      <c r="I116" s="2">
        <v>7.9069000000000003</v>
      </c>
      <c r="J116" s="2">
        <v>31.479399999999998</v>
      </c>
      <c r="K116" s="2">
        <v>0.55530000000000002</v>
      </c>
      <c r="L116" s="2">
        <v>30.390599999999999</v>
      </c>
      <c r="M116" s="2">
        <v>32.568199999999997</v>
      </c>
      <c r="O116">
        <f t="shared" si="66"/>
        <v>31.479399999999998</v>
      </c>
      <c r="P116">
        <f t="shared" si="67"/>
        <v>30.390599999999999</v>
      </c>
      <c r="Q116">
        <f t="shared" si="67"/>
        <v>32.568199999999997</v>
      </c>
      <c r="S116" t="str">
        <f t="shared" si="68"/>
        <v>31.48 (30.39 to 32.57)</v>
      </c>
    </row>
    <row r="117" spans="1:19" ht="17.25" thickBot="1" x14ac:dyDescent="0.35">
      <c r="A117" s="6"/>
      <c r="B117" s="13" t="s">
        <v>132</v>
      </c>
      <c r="C117" s="2">
        <v>17159</v>
      </c>
      <c r="D117" s="2">
        <v>7320143</v>
      </c>
      <c r="E117" s="2">
        <v>81075</v>
      </c>
      <c r="F117" s="2">
        <v>24.197399999999998</v>
      </c>
      <c r="G117" s="2">
        <v>0.20150000000000001</v>
      </c>
      <c r="H117" s="2">
        <v>23.802399999999999</v>
      </c>
      <c r="I117" s="2">
        <v>24.592500000000001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3">
        <v>1</v>
      </c>
      <c r="C118" s="2">
        <v>4314</v>
      </c>
      <c r="D118" s="2">
        <v>1335160</v>
      </c>
      <c r="E118" s="2">
        <v>30144</v>
      </c>
      <c r="F118" s="2">
        <v>4.4135</v>
      </c>
      <c r="G118" s="2">
        <v>0.105</v>
      </c>
      <c r="H118" s="2">
        <v>4.2076000000000002</v>
      </c>
      <c r="I118" s="2">
        <v>4.6193999999999997</v>
      </c>
      <c r="J118" s="2">
        <v>19.4528</v>
      </c>
      <c r="K118" s="2">
        <v>0.40410000000000001</v>
      </c>
      <c r="L118" s="2">
        <v>18.660499999999999</v>
      </c>
      <c r="M118" s="2">
        <v>20.245100000000001</v>
      </c>
      <c r="O118">
        <f t="shared" ref="O118:O121" si="69">J118</f>
        <v>19.4528</v>
      </c>
      <c r="P118">
        <f t="shared" ref="P118:Q121" si="70">L118</f>
        <v>18.660499999999999</v>
      </c>
      <c r="Q118">
        <f t="shared" si="70"/>
        <v>20.245100000000001</v>
      </c>
      <c r="S118" t="str">
        <f t="shared" ref="S118:S121" si="71">TEXT(O118,"0.00")&amp;" ("&amp;TEXT(P118,"0.00")&amp;" to "&amp;TEXT(Q118,"0.00")&amp;")"</f>
        <v>19.45 (18.66 to 20.25)</v>
      </c>
    </row>
    <row r="119" spans="1:19" ht="17.25" thickBot="1" x14ac:dyDescent="0.35">
      <c r="A119" s="6"/>
      <c r="B119" s="13">
        <v>2</v>
      </c>
      <c r="C119" s="2">
        <v>4560</v>
      </c>
      <c r="D119" s="2">
        <v>1779165</v>
      </c>
      <c r="E119" s="2">
        <v>37274</v>
      </c>
      <c r="F119" s="2">
        <v>5.8811999999999998</v>
      </c>
      <c r="G119" s="2">
        <v>0.12139999999999999</v>
      </c>
      <c r="H119" s="2">
        <v>5.6432000000000002</v>
      </c>
      <c r="I119" s="2">
        <v>6.1192000000000002</v>
      </c>
      <c r="J119" s="2">
        <v>25.921700000000001</v>
      </c>
      <c r="K119" s="2">
        <v>0.4506</v>
      </c>
      <c r="L119" s="2">
        <v>25.0382</v>
      </c>
      <c r="M119" s="2">
        <v>26.805299999999999</v>
      </c>
      <c r="O119">
        <f t="shared" si="69"/>
        <v>25.921700000000001</v>
      </c>
      <c r="P119">
        <f t="shared" si="70"/>
        <v>25.0382</v>
      </c>
      <c r="Q119">
        <f t="shared" si="70"/>
        <v>26.805299999999999</v>
      </c>
      <c r="S119" t="str">
        <f t="shared" si="71"/>
        <v>25.92 (25.04 to 26.81)</v>
      </c>
    </row>
    <row r="120" spans="1:19" ht="17.25" thickBot="1" x14ac:dyDescent="0.35">
      <c r="A120" s="6"/>
      <c r="B120" s="13">
        <v>3</v>
      </c>
      <c r="C120" s="2">
        <v>4166</v>
      </c>
      <c r="D120" s="2">
        <v>1856087</v>
      </c>
      <c r="E120" s="2">
        <v>39007</v>
      </c>
      <c r="F120" s="2">
        <v>6.1355000000000004</v>
      </c>
      <c r="G120" s="2">
        <v>0.11799999999999999</v>
      </c>
      <c r="H120" s="2">
        <v>5.9040999999999997</v>
      </c>
      <c r="I120" s="2">
        <v>6.3669000000000002</v>
      </c>
      <c r="J120" s="2">
        <v>27.0425</v>
      </c>
      <c r="K120" s="2">
        <v>0.45810000000000001</v>
      </c>
      <c r="L120" s="2">
        <v>26.144200000000001</v>
      </c>
      <c r="M120" s="2">
        <v>27.9407</v>
      </c>
      <c r="O120">
        <f t="shared" si="69"/>
        <v>27.0425</v>
      </c>
      <c r="P120">
        <f t="shared" si="70"/>
        <v>26.144200000000001</v>
      </c>
      <c r="Q120">
        <f t="shared" si="70"/>
        <v>27.9407</v>
      </c>
      <c r="S120" t="str">
        <f t="shared" si="71"/>
        <v>27.04 (26.14 to 27.94)</v>
      </c>
    </row>
    <row r="121" spans="1:19" ht="17.25" thickBot="1" x14ac:dyDescent="0.35">
      <c r="A121" s="6"/>
      <c r="B121" s="13">
        <v>4</v>
      </c>
      <c r="C121" s="2">
        <v>4118</v>
      </c>
      <c r="D121" s="2">
        <v>1893189</v>
      </c>
      <c r="E121" s="2">
        <v>41281</v>
      </c>
      <c r="F121" s="2">
        <v>6.2580999999999998</v>
      </c>
      <c r="G121" s="2">
        <v>0.1244</v>
      </c>
      <c r="H121" s="2">
        <v>6.0141</v>
      </c>
      <c r="I121" s="2">
        <v>6.5021000000000004</v>
      </c>
      <c r="J121" s="2">
        <v>27.582999999999998</v>
      </c>
      <c r="K121" s="2">
        <v>0.51849999999999996</v>
      </c>
      <c r="L121" s="2">
        <v>26.566400000000002</v>
      </c>
      <c r="M121" s="2">
        <v>28.599599999999999</v>
      </c>
      <c r="O121">
        <f t="shared" si="69"/>
        <v>27.582999999999998</v>
      </c>
      <c r="P121">
        <f t="shared" si="70"/>
        <v>26.566400000000002</v>
      </c>
      <c r="Q121">
        <f t="shared" si="70"/>
        <v>28.599599999999999</v>
      </c>
      <c r="S121" t="str">
        <f t="shared" si="71"/>
        <v>27.58 (26.57 to 28.60)</v>
      </c>
    </row>
    <row r="122" spans="1:19" ht="17.25" thickBot="1" x14ac:dyDescent="0.35">
      <c r="A122" s="6"/>
      <c r="B122" s="13" t="s">
        <v>132</v>
      </c>
      <c r="C122" s="2">
        <v>17158</v>
      </c>
      <c r="D122" s="2">
        <v>6863601</v>
      </c>
      <c r="E122" s="2">
        <v>77106</v>
      </c>
      <c r="F122" s="2">
        <v>22.688300000000002</v>
      </c>
      <c r="G122" s="2">
        <v>0.21809999999999999</v>
      </c>
      <c r="H122" s="2">
        <v>22.2607</v>
      </c>
      <c r="I122" s="2">
        <v>23.1159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3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72">J123</f>
        <v>0</v>
      </c>
      <c r="P123">
        <f t="shared" ref="P123:Q126" si="73">L123</f>
        <v>0</v>
      </c>
      <c r="Q123">
        <f t="shared" si="73"/>
        <v>0</v>
      </c>
      <c r="S123" t="str">
        <f t="shared" ref="S123:S126" si="74">TEXT(O123,"0.00")&amp;" ("&amp;TEXT(P123,"0.00")&amp;" to "&amp;TEXT(Q123,"0.00")&amp;")"</f>
        <v>0.00 (0.00 to 0.00)</v>
      </c>
    </row>
    <row r="124" spans="1:19" ht="17.25" thickBot="1" x14ac:dyDescent="0.35">
      <c r="A124" s="6"/>
      <c r="B124" s="13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72"/>
        <v>0</v>
      </c>
      <c r="P124">
        <f t="shared" si="73"/>
        <v>0</v>
      </c>
      <c r="Q124">
        <f t="shared" si="73"/>
        <v>0</v>
      </c>
      <c r="S124" t="str">
        <f t="shared" si="74"/>
        <v>0.00 (0.00 to 0.00)</v>
      </c>
    </row>
    <row r="125" spans="1:19" ht="17.25" thickBot="1" x14ac:dyDescent="0.35">
      <c r="A125" s="6"/>
      <c r="B125" s="13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72"/>
        <v>0</v>
      </c>
      <c r="P125">
        <f t="shared" si="73"/>
        <v>0</v>
      </c>
      <c r="Q125">
        <f t="shared" si="73"/>
        <v>0</v>
      </c>
      <c r="S125" t="str">
        <f t="shared" si="74"/>
        <v>0.00 (0.00 to 0.00)</v>
      </c>
    </row>
    <row r="126" spans="1:19" ht="17.25" thickBot="1" x14ac:dyDescent="0.35">
      <c r="A126" s="6"/>
      <c r="B126" s="13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72"/>
        <v>0</v>
      </c>
      <c r="P126">
        <f t="shared" si="73"/>
        <v>0</v>
      </c>
      <c r="Q126">
        <f t="shared" si="73"/>
        <v>0</v>
      </c>
      <c r="S126" t="str">
        <f t="shared" si="74"/>
        <v>0.00 (0.00 to 0.00)</v>
      </c>
    </row>
    <row r="127" spans="1:19" x14ac:dyDescent="0.3">
      <c r="A127" s="6"/>
      <c r="B127" s="16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17" t="s">
        <v>172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</row>
    <row r="130" spans="1:19" ht="33" customHeight="1" x14ac:dyDescent="0.3">
      <c r="A130" s="18" t="s">
        <v>41</v>
      </c>
      <c r="B130" s="20" t="s">
        <v>9</v>
      </c>
      <c r="C130" s="20" t="s">
        <v>125</v>
      </c>
      <c r="D130" s="3" t="s">
        <v>126</v>
      </c>
      <c r="E130" s="3" t="s">
        <v>127</v>
      </c>
      <c r="F130" s="20" t="s">
        <v>129</v>
      </c>
      <c r="G130" s="3" t="s">
        <v>127</v>
      </c>
      <c r="H130" s="20" t="s">
        <v>130</v>
      </c>
      <c r="I130" s="20"/>
      <c r="J130" s="3" t="s">
        <v>149</v>
      </c>
      <c r="K130" s="3" t="s">
        <v>127</v>
      </c>
      <c r="L130" s="20" t="s">
        <v>130</v>
      </c>
      <c r="M130" s="20"/>
    </row>
    <row r="131" spans="1:19" ht="33" x14ac:dyDescent="0.3">
      <c r="A131" s="18"/>
      <c r="B131" s="20"/>
      <c r="C131" s="20"/>
      <c r="D131" s="3" t="s">
        <v>125</v>
      </c>
      <c r="E131" s="3" t="s">
        <v>128</v>
      </c>
      <c r="F131" s="20"/>
      <c r="G131" s="3" t="s">
        <v>129</v>
      </c>
      <c r="H131" s="20" t="s">
        <v>131</v>
      </c>
      <c r="I131" s="20"/>
      <c r="J131" s="3" t="s">
        <v>129</v>
      </c>
      <c r="K131" s="3" t="s">
        <v>150</v>
      </c>
      <c r="L131" s="20" t="s">
        <v>151</v>
      </c>
      <c r="M131" s="20"/>
    </row>
    <row r="132" spans="1:19" ht="17.25" thickBot="1" x14ac:dyDescent="0.35">
      <c r="A132" s="6">
        <v>1</v>
      </c>
      <c r="B132" s="13">
        <v>1</v>
      </c>
      <c r="C132" s="2">
        <v>1535</v>
      </c>
      <c r="D132" s="2">
        <v>764796</v>
      </c>
      <c r="E132" s="2">
        <v>24079</v>
      </c>
      <c r="F132" s="2">
        <v>2.5280999999999998</v>
      </c>
      <c r="G132" s="2">
        <v>7.6799999999999993E-2</v>
      </c>
      <c r="H132" s="2">
        <v>2.3776000000000002</v>
      </c>
      <c r="I132" s="2">
        <v>2.6785999999999999</v>
      </c>
      <c r="J132" s="2">
        <v>9.2520000000000007</v>
      </c>
      <c r="K132" s="2">
        <v>0.2676</v>
      </c>
      <c r="L132" s="2">
        <v>8.7271999999999998</v>
      </c>
      <c r="M132" s="2">
        <v>9.7766999999999999</v>
      </c>
      <c r="O132">
        <f t="shared" ref="O132:O135" si="75">J132</f>
        <v>9.2520000000000007</v>
      </c>
      <c r="P132">
        <f t="shared" ref="P132:Q135" si="76">L132</f>
        <v>8.7271999999999998</v>
      </c>
      <c r="Q132">
        <f t="shared" si="76"/>
        <v>9.7766999999999999</v>
      </c>
      <c r="S132" t="str">
        <f t="shared" ref="S132:S135" si="77">TEXT(O132,"0.00")&amp;" ("&amp;TEXT(P132,"0.00")&amp;" to "&amp;TEXT(Q132,"0.00")&amp;")"</f>
        <v>9.25 (8.73 to 9.78)</v>
      </c>
    </row>
    <row r="133" spans="1:19" ht="17.25" thickBot="1" x14ac:dyDescent="0.35">
      <c r="A133" s="6"/>
      <c r="B133" s="13">
        <v>2</v>
      </c>
      <c r="C133" s="2">
        <v>9952</v>
      </c>
      <c r="D133" s="2">
        <v>4743828</v>
      </c>
      <c r="E133" s="2">
        <v>69433</v>
      </c>
      <c r="F133" s="2">
        <v>15.6812</v>
      </c>
      <c r="G133" s="2">
        <v>0.18440000000000001</v>
      </c>
      <c r="H133" s="2">
        <v>15.3195</v>
      </c>
      <c r="I133" s="2">
        <v>16.0428</v>
      </c>
      <c r="J133" s="2">
        <v>57.387500000000003</v>
      </c>
      <c r="K133" s="2">
        <v>0.44409999999999999</v>
      </c>
      <c r="L133" s="2">
        <v>56.516800000000003</v>
      </c>
      <c r="M133" s="2">
        <v>58.258200000000002</v>
      </c>
      <c r="O133">
        <f t="shared" si="75"/>
        <v>57.387500000000003</v>
      </c>
      <c r="P133">
        <f t="shared" si="76"/>
        <v>56.516800000000003</v>
      </c>
      <c r="Q133">
        <f t="shared" si="76"/>
        <v>58.258200000000002</v>
      </c>
      <c r="S133" t="str">
        <f t="shared" si="77"/>
        <v>57.39 (56.52 to 58.26)</v>
      </c>
    </row>
    <row r="134" spans="1:19" ht="17.25" thickBot="1" x14ac:dyDescent="0.35">
      <c r="A134" s="6"/>
      <c r="B134" s="13">
        <v>3</v>
      </c>
      <c r="C134" s="2">
        <v>3145</v>
      </c>
      <c r="D134" s="2">
        <v>1537392</v>
      </c>
      <c r="E134" s="2">
        <v>35342</v>
      </c>
      <c r="F134" s="2">
        <v>5.0819999999999999</v>
      </c>
      <c r="G134" s="2">
        <v>0.10829999999999999</v>
      </c>
      <c r="H134" s="2">
        <v>4.8696999999999999</v>
      </c>
      <c r="I134" s="2">
        <v>5.2942999999999998</v>
      </c>
      <c r="J134" s="2">
        <v>18.598299999999998</v>
      </c>
      <c r="K134" s="2">
        <v>0.35170000000000001</v>
      </c>
      <c r="L134" s="2">
        <v>17.9086</v>
      </c>
      <c r="M134" s="2">
        <v>19.2879</v>
      </c>
      <c r="O134">
        <f t="shared" si="75"/>
        <v>18.598299999999998</v>
      </c>
      <c r="P134">
        <f t="shared" si="76"/>
        <v>17.9086</v>
      </c>
      <c r="Q134">
        <f t="shared" si="76"/>
        <v>19.2879</v>
      </c>
      <c r="S134" t="str">
        <f t="shared" si="77"/>
        <v>18.60 (17.91 to 19.29)</v>
      </c>
    </row>
    <row r="135" spans="1:19" ht="17.25" thickBot="1" x14ac:dyDescent="0.35">
      <c r="A135" s="6"/>
      <c r="B135" s="13">
        <v>4</v>
      </c>
      <c r="C135" s="2">
        <v>2527</v>
      </c>
      <c r="D135" s="2">
        <v>1220296</v>
      </c>
      <c r="E135" s="2">
        <v>31080</v>
      </c>
      <c r="F135" s="2">
        <v>4.0338000000000003</v>
      </c>
      <c r="G135" s="2">
        <v>9.8000000000000004E-2</v>
      </c>
      <c r="H135" s="2">
        <v>3.8416000000000001</v>
      </c>
      <c r="I135" s="2">
        <v>4.226</v>
      </c>
      <c r="J135" s="2">
        <v>14.7623</v>
      </c>
      <c r="K135" s="2">
        <v>0.33489999999999998</v>
      </c>
      <c r="L135" s="2">
        <v>14.105700000000001</v>
      </c>
      <c r="M135" s="2">
        <v>15.418900000000001</v>
      </c>
      <c r="O135">
        <f t="shared" si="75"/>
        <v>14.7623</v>
      </c>
      <c r="P135">
        <f t="shared" si="76"/>
        <v>14.105700000000001</v>
      </c>
      <c r="Q135">
        <f t="shared" si="76"/>
        <v>15.418900000000001</v>
      </c>
      <c r="S135" t="str">
        <f t="shared" si="77"/>
        <v>14.76 (14.11 to 15.42)</v>
      </c>
    </row>
    <row r="136" spans="1:19" ht="17.25" thickBot="1" x14ac:dyDescent="0.35">
      <c r="A136" s="6"/>
      <c r="B136" s="13" t="s">
        <v>132</v>
      </c>
      <c r="C136" s="2">
        <v>17159</v>
      </c>
      <c r="D136" s="2">
        <v>8266312</v>
      </c>
      <c r="E136" s="2">
        <v>102733</v>
      </c>
      <c r="F136" s="2">
        <v>27.325099999999999</v>
      </c>
      <c r="G136" s="2">
        <v>0.24740000000000001</v>
      </c>
      <c r="H136" s="2">
        <v>26.8399</v>
      </c>
      <c r="I136" s="2">
        <v>27.810199999999998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3">
        <v>1</v>
      </c>
      <c r="C137" s="2">
        <v>788</v>
      </c>
      <c r="D137" s="2">
        <v>354604</v>
      </c>
      <c r="E137" s="2">
        <v>16305</v>
      </c>
      <c r="F137" s="2">
        <v>1.1721999999999999</v>
      </c>
      <c r="G137" s="2">
        <v>5.2900000000000003E-2</v>
      </c>
      <c r="H137" s="2">
        <v>1.0684</v>
      </c>
      <c r="I137" s="2">
        <v>1.276</v>
      </c>
      <c r="J137" s="2">
        <v>4.5452000000000004</v>
      </c>
      <c r="K137" s="2">
        <v>0.20080000000000001</v>
      </c>
      <c r="L137" s="2">
        <v>4.1515000000000004</v>
      </c>
      <c r="M137" s="2">
        <v>4.9389000000000003</v>
      </c>
      <c r="O137">
        <f t="shared" ref="O137:O140" si="78">J137</f>
        <v>4.5452000000000004</v>
      </c>
      <c r="P137">
        <f t="shared" ref="P137:Q140" si="79">L137</f>
        <v>4.1515000000000004</v>
      </c>
      <c r="Q137">
        <f t="shared" si="79"/>
        <v>4.9389000000000003</v>
      </c>
      <c r="S137" t="str">
        <f t="shared" ref="S137:S140" si="80">TEXT(O137,"0.00")&amp;" ("&amp;TEXT(P137,"0.00")&amp;" to "&amp;TEXT(Q137,"0.00")&amp;")"</f>
        <v>4.55 (4.15 to 4.94)</v>
      </c>
    </row>
    <row r="138" spans="1:19" ht="17.25" thickBot="1" x14ac:dyDescent="0.35">
      <c r="A138" s="6"/>
      <c r="B138" s="13">
        <v>2</v>
      </c>
      <c r="C138" s="2">
        <v>7183</v>
      </c>
      <c r="D138" s="2">
        <v>3214076</v>
      </c>
      <c r="E138" s="2">
        <v>50650</v>
      </c>
      <c r="F138" s="2">
        <v>10.6244</v>
      </c>
      <c r="G138" s="2">
        <v>0.14169999999999999</v>
      </c>
      <c r="H138" s="2">
        <v>10.3466</v>
      </c>
      <c r="I138" s="2">
        <v>10.902200000000001</v>
      </c>
      <c r="J138" s="2">
        <v>41.197099999999999</v>
      </c>
      <c r="K138" s="2">
        <v>0.45229999999999998</v>
      </c>
      <c r="L138" s="2">
        <v>40.310200000000002</v>
      </c>
      <c r="M138" s="2">
        <v>42.084000000000003</v>
      </c>
      <c r="O138">
        <f t="shared" si="78"/>
        <v>41.197099999999999</v>
      </c>
      <c r="P138">
        <f t="shared" si="79"/>
        <v>40.310200000000002</v>
      </c>
      <c r="Q138">
        <f t="shared" si="79"/>
        <v>42.084000000000003</v>
      </c>
      <c r="S138" t="str">
        <f t="shared" si="80"/>
        <v>41.20 (40.31 to 42.08)</v>
      </c>
    </row>
    <row r="139" spans="1:19" ht="17.25" thickBot="1" x14ac:dyDescent="0.35">
      <c r="A139" s="6"/>
      <c r="B139" s="13">
        <v>3</v>
      </c>
      <c r="C139" s="2">
        <v>4188</v>
      </c>
      <c r="D139" s="2">
        <v>1878207</v>
      </c>
      <c r="E139" s="2">
        <v>36390</v>
      </c>
      <c r="F139" s="2">
        <v>6.2085999999999997</v>
      </c>
      <c r="G139" s="2">
        <v>0.1103</v>
      </c>
      <c r="H139" s="2">
        <v>5.9923000000000002</v>
      </c>
      <c r="I139" s="2">
        <v>6.4248000000000003</v>
      </c>
      <c r="J139" s="2">
        <v>24.074300000000001</v>
      </c>
      <c r="K139" s="2">
        <v>0.38819999999999999</v>
      </c>
      <c r="L139" s="2">
        <v>23.313099999999999</v>
      </c>
      <c r="M139" s="2">
        <v>24.835599999999999</v>
      </c>
      <c r="O139">
        <f t="shared" si="78"/>
        <v>24.074300000000001</v>
      </c>
      <c r="P139">
        <f t="shared" si="79"/>
        <v>23.313099999999999</v>
      </c>
      <c r="Q139">
        <f t="shared" si="79"/>
        <v>24.835599999999999</v>
      </c>
      <c r="S139" t="str">
        <f t="shared" si="80"/>
        <v>24.07 (23.31 to 24.84)</v>
      </c>
    </row>
    <row r="140" spans="1:19" ht="17.25" thickBot="1" x14ac:dyDescent="0.35">
      <c r="A140" s="6"/>
      <c r="B140" s="13">
        <v>4</v>
      </c>
      <c r="C140" s="2">
        <v>4999</v>
      </c>
      <c r="D140" s="2">
        <v>2354813</v>
      </c>
      <c r="E140" s="2">
        <v>43312</v>
      </c>
      <c r="F140" s="2">
        <v>7.7840999999999996</v>
      </c>
      <c r="G140" s="2">
        <v>0.12970000000000001</v>
      </c>
      <c r="H140" s="2">
        <v>7.5297000000000001</v>
      </c>
      <c r="I140" s="2">
        <v>8.0383999999999993</v>
      </c>
      <c r="J140" s="2">
        <v>30.183299999999999</v>
      </c>
      <c r="K140" s="2">
        <v>0.43209999999999998</v>
      </c>
      <c r="L140" s="2">
        <v>29.336099999999998</v>
      </c>
      <c r="M140" s="2">
        <v>31.0306</v>
      </c>
      <c r="O140">
        <f t="shared" si="78"/>
        <v>30.183299999999999</v>
      </c>
      <c r="P140">
        <f t="shared" si="79"/>
        <v>29.336099999999998</v>
      </c>
      <c r="Q140">
        <f t="shared" si="79"/>
        <v>31.0306</v>
      </c>
      <c r="S140" t="str">
        <f t="shared" si="80"/>
        <v>30.18 (29.34 to 31.03)</v>
      </c>
    </row>
    <row r="141" spans="1:19" ht="17.25" thickBot="1" x14ac:dyDescent="0.35">
      <c r="A141" s="6"/>
      <c r="B141" s="13" t="s">
        <v>132</v>
      </c>
      <c r="C141" s="2">
        <v>17158</v>
      </c>
      <c r="D141" s="2">
        <v>7801700</v>
      </c>
      <c r="E141" s="2">
        <v>88291</v>
      </c>
      <c r="F141" s="2">
        <v>25.789200000000001</v>
      </c>
      <c r="G141" s="2">
        <v>0.2046</v>
      </c>
      <c r="H141" s="2">
        <v>25.388100000000001</v>
      </c>
      <c r="I141" s="2">
        <v>26.1904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3">
        <v>1</v>
      </c>
      <c r="C142" s="2">
        <v>320</v>
      </c>
      <c r="D142" s="2">
        <v>129948</v>
      </c>
      <c r="E142" s="2">
        <v>8680</v>
      </c>
      <c r="F142" s="2">
        <v>0.42959999999999998</v>
      </c>
      <c r="G142" s="2">
        <v>2.86E-2</v>
      </c>
      <c r="H142" s="2">
        <v>0.37340000000000001</v>
      </c>
      <c r="I142" s="2">
        <v>0.48570000000000002</v>
      </c>
      <c r="J142" s="2">
        <v>1.7751999999999999</v>
      </c>
      <c r="K142" s="2">
        <v>0.1173</v>
      </c>
      <c r="L142" s="2">
        <v>1.5451999999999999</v>
      </c>
      <c r="M142" s="2">
        <v>2.0051999999999999</v>
      </c>
      <c r="O142">
        <f t="shared" ref="O142:O145" si="81">J142</f>
        <v>1.7751999999999999</v>
      </c>
      <c r="P142">
        <f t="shared" ref="P142:Q145" si="82">L142</f>
        <v>1.5451999999999999</v>
      </c>
      <c r="Q142">
        <f t="shared" si="82"/>
        <v>2.0051999999999999</v>
      </c>
      <c r="S142" t="str">
        <f t="shared" ref="S142:S145" si="83">TEXT(O142,"0.00")&amp;" ("&amp;TEXT(P142,"0.00")&amp;" to "&amp;TEXT(Q142,"0.00")&amp;")"</f>
        <v>1.78 (1.55 to 2.01)</v>
      </c>
    </row>
    <row r="143" spans="1:19" ht="17.25" thickBot="1" x14ac:dyDescent="0.35">
      <c r="A143" s="6"/>
      <c r="B143" s="13">
        <v>2</v>
      </c>
      <c r="C143" s="2">
        <v>5208</v>
      </c>
      <c r="D143" s="2">
        <v>2100660</v>
      </c>
      <c r="E143" s="2">
        <v>37849</v>
      </c>
      <c r="F143" s="2">
        <v>6.9439000000000002</v>
      </c>
      <c r="G143" s="2">
        <v>0.11509999999999999</v>
      </c>
      <c r="H143" s="2">
        <v>6.7183000000000002</v>
      </c>
      <c r="I143" s="2">
        <v>7.1696</v>
      </c>
      <c r="J143" s="2">
        <v>28.696999999999999</v>
      </c>
      <c r="K143" s="2">
        <v>0.41620000000000001</v>
      </c>
      <c r="L143" s="2">
        <v>27.880800000000001</v>
      </c>
      <c r="M143" s="2">
        <v>29.513100000000001</v>
      </c>
      <c r="O143">
        <f t="shared" si="81"/>
        <v>28.696999999999999</v>
      </c>
      <c r="P143">
        <f t="shared" si="82"/>
        <v>27.880800000000001</v>
      </c>
      <c r="Q143">
        <f t="shared" si="82"/>
        <v>29.513100000000001</v>
      </c>
      <c r="S143" t="str">
        <f t="shared" si="83"/>
        <v>28.70 (27.88 to 29.51)</v>
      </c>
    </row>
    <row r="144" spans="1:19" ht="17.25" thickBot="1" x14ac:dyDescent="0.35">
      <c r="A144" s="6"/>
      <c r="B144" s="13">
        <v>3</v>
      </c>
      <c r="C144" s="2">
        <v>4468</v>
      </c>
      <c r="D144" s="2">
        <v>1858791</v>
      </c>
      <c r="E144" s="2">
        <v>34576</v>
      </c>
      <c r="F144" s="2">
        <v>6.1444000000000001</v>
      </c>
      <c r="G144" s="2">
        <v>0.1065</v>
      </c>
      <c r="H144" s="2">
        <v>5.9355000000000002</v>
      </c>
      <c r="I144" s="2">
        <v>6.3532999999999999</v>
      </c>
      <c r="J144" s="2">
        <v>25.392800000000001</v>
      </c>
      <c r="K144" s="2">
        <v>0.39250000000000002</v>
      </c>
      <c r="L144" s="2">
        <v>24.6233</v>
      </c>
      <c r="M144" s="2">
        <v>26.162400000000002</v>
      </c>
      <c r="O144">
        <f t="shared" si="81"/>
        <v>25.392800000000001</v>
      </c>
      <c r="P144">
        <f t="shared" si="82"/>
        <v>24.6233</v>
      </c>
      <c r="Q144">
        <f t="shared" si="82"/>
        <v>26.162400000000002</v>
      </c>
      <c r="S144" t="str">
        <f t="shared" si="83"/>
        <v>25.39 (24.62 to 26.16)</v>
      </c>
    </row>
    <row r="145" spans="1:19" ht="17.25" thickBot="1" x14ac:dyDescent="0.35">
      <c r="A145" s="6"/>
      <c r="B145" s="13">
        <v>4</v>
      </c>
      <c r="C145" s="2">
        <v>7163</v>
      </c>
      <c r="D145" s="2">
        <v>3230745</v>
      </c>
      <c r="E145" s="2">
        <v>50652</v>
      </c>
      <c r="F145" s="2">
        <v>10.679500000000001</v>
      </c>
      <c r="G145" s="2">
        <v>0.1449</v>
      </c>
      <c r="H145" s="2">
        <v>10.395300000000001</v>
      </c>
      <c r="I145" s="2">
        <v>10.963699999999999</v>
      </c>
      <c r="J145" s="2">
        <v>44.134999999999998</v>
      </c>
      <c r="K145" s="2">
        <v>0.45789999999999997</v>
      </c>
      <c r="L145" s="2">
        <v>43.237200000000001</v>
      </c>
      <c r="M145" s="2">
        <v>45.032800000000002</v>
      </c>
      <c r="O145">
        <f t="shared" si="81"/>
        <v>44.134999999999998</v>
      </c>
      <c r="P145">
        <f t="shared" si="82"/>
        <v>43.237200000000001</v>
      </c>
      <c r="Q145">
        <f t="shared" si="82"/>
        <v>45.032800000000002</v>
      </c>
      <c r="S145" t="str">
        <f t="shared" si="83"/>
        <v>44.14 (43.24 to 45.03)</v>
      </c>
    </row>
    <row r="146" spans="1:19" ht="17.25" thickBot="1" x14ac:dyDescent="0.35">
      <c r="A146" s="6"/>
      <c r="B146" s="13" t="s">
        <v>132</v>
      </c>
      <c r="C146" s="2">
        <v>17159</v>
      </c>
      <c r="D146" s="2">
        <v>7320143</v>
      </c>
      <c r="E146" s="2">
        <v>81075</v>
      </c>
      <c r="F146" s="2">
        <v>24.197399999999998</v>
      </c>
      <c r="G146" s="2">
        <v>0.20150000000000001</v>
      </c>
      <c r="H146" s="2">
        <v>23.802399999999999</v>
      </c>
      <c r="I146" s="2">
        <v>24.592500000000001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3">
        <v>1</v>
      </c>
      <c r="C147" s="2">
        <v>134</v>
      </c>
      <c r="D147" s="2">
        <v>46844</v>
      </c>
      <c r="E147" s="2">
        <v>4943</v>
      </c>
      <c r="F147" s="2">
        <v>0.15479999999999999</v>
      </c>
      <c r="G147" s="2">
        <v>1.6299999999999999E-2</v>
      </c>
      <c r="H147" s="2">
        <v>0.1229</v>
      </c>
      <c r="I147" s="2">
        <v>0.18679999999999999</v>
      </c>
      <c r="J147" s="2">
        <v>0.6825</v>
      </c>
      <c r="K147" s="2">
        <v>7.17E-2</v>
      </c>
      <c r="L147" s="2">
        <v>0.54200000000000004</v>
      </c>
      <c r="M147" s="2">
        <v>0.82299999999999995</v>
      </c>
      <c r="O147">
        <f t="shared" ref="O147:O150" si="84">J147</f>
        <v>0.6825</v>
      </c>
      <c r="P147">
        <f t="shared" ref="P147:Q150" si="85">L147</f>
        <v>0.54200000000000004</v>
      </c>
      <c r="Q147">
        <f t="shared" si="85"/>
        <v>0.82299999999999995</v>
      </c>
      <c r="S147" t="str">
        <f t="shared" ref="S147:S150" si="86">TEXT(O147,"0.00")&amp;" ("&amp;TEXT(P147,"0.00")&amp;" to "&amp;TEXT(Q147,"0.00")&amp;")"</f>
        <v>0.68 (0.54 to 0.82)</v>
      </c>
    </row>
    <row r="148" spans="1:19" ht="17.25" thickBot="1" x14ac:dyDescent="0.35">
      <c r="A148" s="6"/>
      <c r="B148" s="13">
        <v>2</v>
      </c>
      <c r="C148" s="2">
        <v>4092</v>
      </c>
      <c r="D148" s="2">
        <v>1527084</v>
      </c>
      <c r="E148" s="2">
        <v>31225</v>
      </c>
      <c r="F148" s="2">
        <v>5.0479000000000003</v>
      </c>
      <c r="G148" s="2">
        <v>9.98E-2</v>
      </c>
      <c r="H148" s="2">
        <v>4.8521999999999998</v>
      </c>
      <c r="I148" s="2">
        <v>5.2435999999999998</v>
      </c>
      <c r="J148" s="2">
        <v>22.248999999999999</v>
      </c>
      <c r="K148" s="2">
        <v>0.3785</v>
      </c>
      <c r="L148" s="2">
        <v>21.506799999999998</v>
      </c>
      <c r="M148" s="2">
        <v>22.991299999999999</v>
      </c>
      <c r="O148">
        <f t="shared" si="84"/>
        <v>22.248999999999999</v>
      </c>
      <c r="P148">
        <f t="shared" si="85"/>
        <v>21.506799999999998</v>
      </c>
      <c r="Q148">
        <f t="shared" si="85"/>
        <v>22.991299999999999</v>
      </c>
      <c r="S148" t="str">
        <f t="shared" si="86"/>
        <v>22.25 (21.51 to 22.99)</v>
      </c>
    </row>
    <row r="149" spans="1:19" ht="17.25" thickBot="1" x14ac:dyDescent="0.35">
      <c r="A149" s="6"/>
      <c r="B149" s="13">
        <v>3</v>
      </c>
      <c r="C149" s="2">
        <v>4463</v>
      </c>
      <c r="D149" s="2">
        <v>1742261</v>
      </c>
      <c r="E149" s="2">
        <v>33556</v>
      </c>
      <c r="F149" s="2">
        <v>5.7591999999999999</v>
      </c>
      <c r="G149" s="2">
        <v>0.1052</v>
      </c>
      <c r="H149" s="2">
        <v>5.5529999999999999</v>
      </c>
      <c r="I149" s="2">
        <v>5.9653999999999998</v>
      </c>
      <c r="J149" s="2">
        <v>25.3841</v>
      </c>
      <c r="K149" s="2">
        <v>0.39639999999999997</v>
      </c>
      <c r="L149" s="2">
        <v>24.6068</v>
      </c>
      <c r="M149" s="2">
        <v>26.1614</v>
      </c>
      <c r="O149">
        <f t="shared" si="84"/>
        <v>25.3841</v>
      </c>
      <c r="P149">
        <f t="shared" si="85"/>
        <v>24.6068</v>
      </c>
      <c r="Q149">
        <f t="shared" si="85"/>
        <v>26.1614</v>
      </c>
      <c r="S149" t="str">
        <f t="shared" si="86"/>
        <v>25.38 (24.61 to 26.16)</v>
      </c>
    </row>
    <row r="150" spans="1:19" ht="17.25" thickBot="1" x14ac:dyDescent="0.35">
      <c r="A150" s="6"/>
      <c r="B150" s="13">
        <v>4</v>
      </c>
      <c r="C150" s="2">
        <v>8469</v>
      </c>
      <c r="D150" s="2">
        <v>3547412</v>
      </c>
      <c r="E150" s="2">
        <v>51289</v>
      </c>
      <c r="F150" s="2">
        <v>11.7263</v>
      </c>
      <c r="G150" s="2">
        <v>0.1547</v>
      </c>
      <c r="H150" s="2">
        <v>11.4229</v>
      </c>
      <c r="I150" s="2">
        <v>12.0297</v>
      </c>
      <c r="J150" s="2">
        <v>51.684399999999997</v>
      </c>
      <c r="K150" s="2">
        <v>0.47410000000000002</v>
      </c>
      <c r="L150" s="2">
        <v>50.754800000000003</v>
      </c>
      <c r="M150" s="2">
        <v>52.613999999999997</v>
      </c>
      <c r="O150">
        <f t="shared" si="84"/>
        <v>51.684399999999997</v>
      </c>
      <c r="P150">
        <f t="shared" si="85"/>
        <v>50.754800000000003</v>
      </c>
      <c r="Q150">
        <f t="shared" si="85"/>
        <v>52.613999999999997</v>
      </c>
      <c r="S150" t="str">
        <f t="shared" si="86"/>
        <v>51.68 (50.75 to 52.61)</v>
      </c>
    </row>
    <row r="151" spans="1:19" ht="17.25" thickBot="1" x14ac:dyDescent="0.35">
      <c r="A151" s="6"/>
      <c r="B151" s="13" t="s">
        <v>132</v>
      </c>
      <c r="C151" s="2">
        <v>17158</v>
      </c>
      <c r="D151" s="2">
        <v>6863601</v>
      </c>
      <c r="E151" s="2">
        <v>77106</v>
      </c>
      <c r="F151" s="2">
        <v>22.688300000000002</v>
      </c>
      <c r="G151" s="2">
        <v>0.21809999999999999</v>
      </c>
      <c r="H151" s="2">
        <v>22.2607</v>
      </c>
      <c r="I151" s="2">
        <v>23.1159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3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87">J152</f>
        <v>0</v>
      </c>
      <c r="P152">
        <f t="shared" ref="P152:Q155" si="88">L152</f>
        <v>0</v>
      </c>
      <c r="Q152">
        <f t="shared" si="88"/>
        <v>0</v>
      </c>
      <c r="S152" t="str">
        <f t="shared" ref="S152:S155" si="8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3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87"/>
        <v>0</v>
      </c>
      <c r="P153">
        <f t="shared" si="88"/>
        <v>0</v>
      </c>
      <c r="Q153">
        <f t="shared" si="88"/>
        <v>0</v>
      </c>
      <c r="S153" t="str">
        <f t="shared" si="89"/>
        <v>0.00 (0.00 to 0.00)</v>
      </c>
    </row>
    <row r="154" spans="1:19" ht="17.25" thickBot="1" x14ac:dyDescent="0.35">
      <c r="A154" s="6"/>
      <c r="B154" s="13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87"/>
        <v>0</v>
      </c>
      <c r="P154">
        <f t="shared" si="88"/>
        <v>0</v>
      </c>
      <c r="Q154">
        <f t="shared" si="88"/>
        <v>0</v>
      </c>
      <c r="S154" t="str">
        <f t="shared" si="89"/>
        <v>0.00 (0.00 to 0.00)</v>
      </c>
    </row>
    <row r="155" spans="1:19" ht="17.25" thickBot="1" x14ac:dyDescent="0.35">
      <c r="A155" s="6"/>
      <c r="B155" s="13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87"/>
        <v>0</v>
      </c>
      <c r="P155">
        <f t="shared" si="88"/>
        <v>0</v>
      </c>
      <c r="Q155">
        <f t="shared" si="88"/>
        <v>0</v>
      </c>
      <c r="S155" t="str">
        <f t="shared" si="89"/>
        <v>0.00 (0.00 to 0.00)</v>
      </c>
    </row>
    <row r="156" spans="1:19" x14ac:dyDescent="0.3">
      <c r="A156" s="6"/>
      <c r="B156" s="16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17" t="s">
        <v>173</v>
      </c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</row>
    <row r="159" spans="1:19" ht="33" customHeight="1" x14ac:dyDescent="0.3">
      <c r="A159" s="18" t="s">
        <v>41</v>
      </c>
      <c r="B159" s="20" t="s">
        <v>10</v>
      </c>
      <c r="C159" s="20" t="s">
        <v>125</v>
      </c>
      <c r="D159" s="3" t="s">
        <v>126</v>
      </c>
      <c r="E159" s="3" t="s">
        <v>127</v>
      </c>
      <c r="F159" s="20" t="s">
        <v>129</v>
      </c>
      <c r="G159" s="3" t="s">
        <v>127</v>
      </c>
      <c r="H159" s="20" t="s">
        <v>130</v>
      </c>
      <c r="I159" s="20"/>
      <c r="J159" s="3" t="s">
        <v>149</v>
      </c>
      <c r="K159" s="3" t="s">
        <v>127</v>
      </c>
      <c r="L159" s="20" t="s">
        <v>130</v>
      </c>
      <c r="M159" s="20"/>
    </row>
    <row r="160" spans="1:19" ht="33" x14ac:dyDescent="0.3">
      <c r="A160" s="18"/>
      <c r="B160" s="20"/>
      <c r="C160" s="20"/>
      <c r="D160" s="3" t="s">
        <v>125</v>
      </c>
      <c r="E160" s="3" t="s">
        <v>128</v>
      </c>
      <c r="F160" s="20"/>
      <c r="G160" s="3" t="s">
        <v>129</v>
      </c>
      <c r="H160" s="20" t="s">
        <v>131</v>
      </c>
      <c r="I160" s="20"/>
      <c r="J160" s="3" t="s">
        <v>129</v>
      </c>
      <c r="K160" s="3" t="s">
        <v>150</v>
      </c>
      <c r="L160" s="20" t="s">
        <v>151</v>
      </c>
      <c r="M160" s="20"/>
    </row>
    <row r="161" spans="1:19" ht="17.25" thickBot="1" x14ac:dyDescent="0.35">
      <c r="A161" s="6">
        <v>1</v>
      </c>
      <c r="B161" s="13">
        <v>1</v>
      </c>
      <c r="C161" s="2">
        <v>11331</v>
      </c>
      <c r="D161" s="2">
        <v>4739592</v>
      </c>
      <c r="E161" s="2">
        <v>65794</v>
      </c>
      <c r="F161" s="2">
        <v>15.667199999999999</v>
      </c>
      <c r="G161" s="2">
        <v>0.18179999999999999</v>
      </c>
      <c r="H161" s="2">
        <v>15.310700000000001</v>
      </c>
      <c r="I161" s="2">
        <v>16.023599999999998</v>
      </c>
      <c r="J161" s="2">
        <v>57.336199999999998</v>
      </c>
      <c r="K161" s="2">
        <v>0.54020000000000001</v>
      </c>
      <c r="L161" s="2">
        <v>56.277000000000001</v>
      </c>
      <c r="M161" s="2">
        <v>58.395499999999998</v>
      </c>
      <c r="O161">
        <f t="shared" ref="O161:O162" si="90">J161</f>
        <v>57.336199999999998</v>
      </c>
      <c r="P161">
        <f t="shared" ref="P161:Q162" si="91">L161</f>
        <v>56.277000000000001</v>
      </c>
      <c r="Q161">
        <f t="shared" si="91"/>
        <v>58.395499999999998</v>
      </c>
      <c r="S161" t="str">
        <f t="shared" ref="S161:S162" si="92">TEXT(O161,"0.00")&amp;" ("&amp;TEXT(P161,"0.00")&amp;" to "&amp;TEXT(Q161,"0.00")&amp;")"</f>
        <v>57.34 (56.28 to 58.40)</v>
      </c>
    </row>
    <row r="162" spans="1:19" ht="17.25" thickBot="1" x14ac:dyDescent="0.35">
      <c r="A162" s="6"/>
      <c r="B162" s="13">
        <v>2</v>
      </c>
      <c r="C162" s="2">
        <v>5828</v>
      </c>
      <c r="D162" s="2">
        <v>3526720</v>
      </c>
      <c r="E162" s="2">
        <v>68989</v>
      </c>
      <c r="F162" s="2">
        <v>11.6579</v>
      </c>
      <c r="G162" s="2">
        <v>0.1988</v>
      </c>
      <c r="H162" s="2">
        <v>11.2681</v>
      </c>
      <c r="I162" s="2">
        <v>12.047800000000001</v>
      </c>
      <c r="J162" s="2">
        <v>42.663800000000002</v>
      </c>
      <c r="K162" s="2">
        <v>0.54020000000000001</v>
      </c>
      <c r="L162" s="2">
        <v>41.604500000000002</v>
      </c>
      <c r="M162" s="2">
        <v>43.722999999999999</v>
      </c>
      <c r="O162">
        <f t="shared" si="90"/>
        <v>42.663800000000002</v>
      </c>
      <c r="P162">
        <f t="shared" si="91"/>
        <v>41.604500000000002</v>
      </c>
      <c r="Q162">
        <f t="shared" si="91"/>
        <v>43.722999999999999</v>
      </c>
      <c r="S162" t="str">
        <f t="shared" si="92"/>
        <v>42.66 (41.60 to 43.72)</v>
      </c>
    </row>
    <row r="163" spans="1:19" ht="17.25" thickBot="1" x14ac:dyDescent="0.35">
      <c r="A163" s="6"/>
      <c r="B163" s="13" t="s">
        <v>132</v>
      </c>
      <c r="C163" s="2">
        <v>17159</v>
      </c>
      <c r="D163" s="2">
        <v>8266312</v>
      </c>
      <c r="E163" s="2">
        <v>102733</v>
      </c>
      <c r="F163" s="2">
        <v>27.325099999999999</v>
      </c>
      <c r="G163" s="2">
        <v>0.24740000000000001</v>
      </c>
      <c r="H163" s="2">
        <v>26.8399</v>
      </c>
      <c r="I163" s="2">
        <v>27.810199999999998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3">
        <v>1</v>
      </c>
      <c r="C164" s="2">
        <v>14047</v>
      </c>
      <c r="D164" s="2">
        <v>5800747</v>
      </c>
      <c r="E164" s="2">
        <v>70930</v>
      </c>
      <c r="F164" s="2">
        <v>19.174900000000001</v>
      </c>
      <c r="G164" s="2">
        <v>0.1835</v>
      </c>
      <c r="H164" s="2">
        <v>18.815200000000001</v>
      </c>
      <c r="I164" s="2">
        <v>19.534700000000001</v>
      </c>
      <c r="J164" s="2">
        <v>74.352400000000003</v>
      </c>
      <c r="K164" s="2">
        <v>0.49440000000000001</v>
      </c>
      <c r="L164" s="2">
        <v>73.382999999999996</v>
      </c>
      <c r="M164" s="2">
        <v>75.321700000000007</v>
      </c>
      <c r="O164">
        <f t="shared" ref="O164:O165" si="93">J164</f>
        <v>74.352400000000003</v>
      </c>
      <c r="P164">
        <f t="shared" ref="P164:Q165" si="94">L164</f>
        <v>73.382999999999996</v>
      </c>
      <c r="Q164">
        <f t="shared" si="94"/>
        <v>75.321700000000007</v>
      </c>
      <c r="S164" t="str">
        <f t="shared" ref="S164:S165" si="95">TEXT(O164,"0.00")&amp;" ("&amp;TEXT(P164,"0.00")&amp;" to "&amp;TEXT(Q164,"0.00")&amp;")"</f>
        <v>74.35 (73.38 to 75.32)</v>
      </c>
    </row>
    <row r="165" spans="1:19" ht="17.25" thickBot="1" x14ac:dyDescent="0.35">
      <c r="A165" s="6"/>
      <c r="B165" s="13">
        <v>2</v>
      </c>
      <c r="C165" s="2">
        <v>3111</v>
      </c>
      <c r="D165" s="2">
        <v>2000953</v>
      </c>
      <c r="E165" s="2">
        <v>47587</v>
      </c>
      <c r="F165" s="2">
        <v>6.6143000000000001</v>
      </c>
      <c r="G165" s="2">
        <v>0.1449</v>
      </c>
      <c r="H165" s="2">
        <v>6.3303000000000003</v>
      </c>
      <c r="I165" s="2">
        <v>6.8983999999999996</v>
      </c>
      <c r="J165" s="2">
        <v>25.647600000000001</v>
      </c>
      <c r="K165" s="2">
        <v>0.49440000000000001</v>
      </c>
      <c r="L165" s="2">
        <v>24.6783</v>
      </c>
      <c r="M165" s="2">
        <v>26.617000000000001</v>
      </c>
      <c r="O165">
        <f t="shared" si="93"/>
        <v>25.647600000000001</v>
      </c>
      <c r="P165">
        <f t="shared" si="94"/>
        <v>24.6783</v>
      </c>
      <c r="Q165">
        <f t="shared" si="94"/>
        <v>26.617000000000001</v>
      </c>
      <c r="S165" t="str">
        <f t="shared" si="95"/>
        <v>25.65 (24.68 to 26.62)</v>
      </c>
    </row>
    <row r="166" spans="1:19" ht="17.25" thickBot="1" x14ac:dyDescent="0.35">
      <c r="A166" s="6"/>
      <c r="B166" s="13" t="s">
        <v>132</v>
      </c>
      <c r="C166" s="2">
        <v>17158</v>
      </c>
      <c r="D166" s="2">
        <v>7801700</v>
      </c>
      <c r="E166" s="2">
        <v>88291</v>
      </c>
      <c r="F166" s="2">
        <v>25.789200000000001</v>
      </c>
      <c r="G166" s="2">
        <v>0.2046</v>
      </c>
      <c r="H166" s="2">
        <v>25.388100000000001</v>
      </c>
      <c r="I166" s="2">
        <v>26.1904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3">
        <v>1</v>
      </c>
      <c r="C167" s="2">
        <v>15387</v>
      </c>
      <c r="D167" s="2">
        <v>6182128</v>
      </c>
      <c r="E167" s="2">
        <v>71636</v>
      </c>
      <c r="F167" s="2">
        <v>20.435600000000001</v>
      </c>
      <c r="G167" s="2">
        <v>0.18779999999999999</v>
      </c>
      <c r="H167" s="2">
        <v>20.067399999999999</v>
      </c>
      <c r="I167" s="2">
        <v>20.803799999999999</v>
      </c>
      <c r="J167" s="2">
        <v>84.453599999999994</v>
      </c>
      <c r="K167" s="2">
        <v>0.40239999999999998</v>
      </c>
      <c r="L167" s="2">
        <v>83.664599999999993</v>
      </c>
      <c r="M167" s="2">
        <v>85.242699999999999</v>
      </c>
      <c r="O167">
        <f t="shared" ref="O167:O168" si="96">J167</f>
        <v>84.453599999999994</v>
      </c>
      <c r="P167">
        <f t="shared" ref="P167:Q168" si="97">L167</f>
        <v>83.664599999999993</v>
      </c>
      <c r="Q167">
        <f t="shared" si="97"/>
        <v>85.242699999999999</v>
      </c>
      <c r="S167" t="str">
        <f t="shared" ref="S167:S168" si="98">TEXT(O167,"0.00")&amp;" ("&amp;TEXT(P167,"0.00")&amp;" to "&amp;TEXT(Q167,"0.00")&amp;")"</f>
        <v>84.45 (83.66 to 85.24)</v>
      </c>
    </row>
    <row r="168" spans="1:19" ht="17.25" thickBot="1" x14ac:dyDescent="0.35">
      <c r="A168" s="6"/>
      <c r="B168" s="13">
        <v>2</v>
      </c>
      <c r="C168" s="2">
        <v>1772</v>
      </c>
      <c r="D168" s="2">
        <v>1138016</v>
      </c>
      <c r="E168" s="2">
        <v>33236</v>
      </c>
      <c r="F168" s="2">
        <v>3.7618</v>
      </c>
      <c r="G168" s="2">
        <v>0.1051</v>
      </c>
      <c r="H168" s="2">
        <v>3.5556999999999999</v>
      </c>
      <c r="I168" s="2">
        <v>3.9679000000000002</v>
      </c>
      <c r="J168" s="2">
        <v>15.5464</v>
      </c>
      <c r="K168" s="2">
        <v>0.40239999999999998</v>
      </c>
      <c r="L168" s="2">
        <v>14.757300000000001</v>
      </c>
      <c r="M168" s="2">
        <v>16.3354</v>
      </c>
      <c r="O168">
        <f t="shared" si="96"/>
        <v>15.5464</v>
      </c>
      <c r="P168">
        <f t="shared" si="97"/>
        <v>14.757300000000001</v>
      </c>
      <c r="Q168">
        <f t="shared" si="97"/>
        <v>16.3354</v>
      </c>
      <c r="S168" t="str">
        <f t="shared" si="98"/>
        <v>15.55 (14.76 to 16.34)</v>
      </c>
    </row>
    <row r="169" spans="1:19" ht="17.25" thickBot="1" x14ac:dyDescent="0.35">
      <c r="A169" s="6"/>
      <c r="B169" s="13" t="s">
        <v>132</v>
      </c>
      <c r="C169" s="2">
        <v>17159</v>
      </c>
      <c r="D169" s="2">
        <v>7320143</v>
      </c>
      <c r="E169" s="2">
        <v>81075</v>
      </c>
      <c r="F169" s="2">
        <v>24.197399999999998</v>
      </c>
      <c r="G169" s="2">
        <v>0.20150000000000001</v>
      </c>
      <c r="H169" s="2">
        <v>23.802399999999999</v>
      </c>
      <c r="I169" s="2">
        <v>24.592500000000001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3">
        <v>1</v>
      </c>
      <c r="C170" s="2">
        <v>16048</v>
      </c>
      <c r="D170" s="2">
        <v>6176120</v>
      </c>
      <c r="E170" s="2">
        <v>72504</v>
      </c>
      <c r="F170" s="2">
        <v>20.415700000000001</v>
      </c>
      <c r="G170" s="2">
        <v>0.2064</v>
      </c>
      <c r="H170" s="2">
        <v>20.010999999999999</v>
      </c>
      <c r="I170" s="2">
        <v>20.820499999999999</v>
      </c>
      <c r="J170" s="2">
        <v>89.983699999999999</v>
      </c>
      <c r="K170" s="2">
        <v>0.33169999999999999</v>
      </c>
      <c r="L170" s="2">
        <v>89.333200000000005</v>
      </c>
      <c r="M170" s="2">
        <v>90.634200000000007</v>
      </c>
      <c r="O170">
        <f t="shared" ref="O170:O171" si="99">J170</f>
        <v>89.983699999999999</v>
      </c>
      <c r="P170">
        <f t="shared" ref="P170:Q171" si="100">L170</f>
        <v>89.333200000000005</v>
      </c>
      <c r="Q170">
        <f t="shared" si="100"/>
        <v>90.634200000000007</v>
      </c>
      <c r="S170" t="str">
        <f t="shared" ref="S170:S171" si="101">TEXT(O170,"0.00")&amp;" ("&amp;TEXT(P170,"0.00")&amp;" to "&amp;TEXT(Q170,"0.00")&amp;")"</f>
        <v>89.98 (89.33 to 90.63)</v>
      </c>
    </row>
    <row r="171" spans="1:19" ht="17.25" thickBot="1" x14ac:dyDescent="0.35">
      <c r="A171" s="6"/>
      <c r="B171" s="13">
        <v>2</v>
      </c>
      <c r="C171" s="2">
        <v>1110</v>
      </c>
      <c r="D171" s="2">
        <v>687481</v>
      </c>
      <c r="E171" s="2">
        <v>24218</v>
      </c>
      <c r="F171" s="2">
        <v>2.2725</v>
      </c>
      <c r="G171" s="2">
        <v>7.9500000000000001E-2</v>
      </c>
      <c r="H171" s="2">
        <v>2.1166999999999998</v>
      </c>
      <c r="I171" s="2">
        <v>2.4283999999999999</v>
      </c>
      <c r="J171" s="2">
        <v>10.016299999999999</v>
      </c>
      <c r="K171" s="2">
        <v>0.33169999999999999</v>
      </c>
      <c r="L171" s="2">
        <v>9.3658000000000001</v>
      </c>
      <c r="M171" s="2">
        <v>10.6668</v>
      </c>
      <c r="O171">
        <f t="shared" si="99"/>
        <v>10.016299999999999</v>
      </c>
      <c r="P171">
        <f t="shared" si="100"/>
        <v>9.3658000000000001</v>
      </c>
      <c r="Q171">
        <f t="shared" si="100"/>
        <v>10.6668</v>
      </c>
      <c r="S171" t="str">
        <f t="shared" si="101"/>
        <v>10.02 (9.37 to 10.67)</v>
      </c>
    </row>
    <row r="172" spans="1:19" ht="17.25" thickBot="1" x14ac:dyDescent="0.35">
      <c r="A172" s="6"/>
      <c r="B172" s="13" t="s">
        <v>132</v>
      </c>
      <c r="C172" s="2">
        <v>17158</v>
      </c>
      <c r="D172" s="2">
        <v>6863601</v>
      </c>
      <c r="E172" s="2">
        <v>77106</v>
      </c>
      <c r="F172" s="2">
        <v>22.688300000000002</v>
      </c>
      <c r="G172" s="2">
        <v>0.21809999999999999</v>
      </c>
      <c r="H172" s="2">
        <v>22.2607</v>
      </c>
      <c r="I172" s="2">
        <v>23.1159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3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02">J173</f>
        <v>0</v>
      </c>
      <c r="P173">
        <f t="shared" ref="P173:Q174" si="103">L173</f>
        <v>0</v>
      </c>
      <c r="Q173">
        <f t="shared" si="103"/>
        <v>0</v>
      </c>
      <c r="S173" t="str">
        <f t="shared" ref="S173:S174" si="104">TEXT(O173,"0.00")&amp;" ("&amp;TEXT(P173,"0.00")&amp;" to "&amp;TEXT(Q173,"0.00")&amp;")"</f>
        <v>0.00 (0.00 to 0.00)</v>
      </c>
    </row>
    <row r="174" spans="1:19" ht="17.25" thickBot="1" x14ac:dyDescent="0.35">
      <c r="A174" s="6"/>
      <c r="B174" s="13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02"/>
        <v>0</v>
      </c>
      <c r="P174">
        <f t="shared" si="103"/>
        <v>0</v>
      </c>
      <c r="Q174">
        <f t="shared" si="103"/>
        <v>0</v>
      </c>
      <c r="S174" t="str">
        <f t="shared" si="104"/>
        <v>0.00 (0.00 to 0.00)</v>
      </c>
    </row>
    <row r="175" spans="1:19" x14ac:dyDescent="0.3">
      <c r="A175" s="6"/>
      <c r="B175" s="16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17" t="s">
        <v>174</v>
      </c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</row>
    <row r="178" spans="1:19" ht="33" customHeight="1" x14ac:dyDescent="0.3">
      <c r="A178" s="18" t="s">
        <v>41</v>
      </c>
      <c r="B178" s="20" t="s">
        <v>11</v>
      </c>
      <c r="C178" s="20" t="s">
        <v>125</v>
      </c>
      <c r="D178" s="3" t="s">
        <v>126</v>
      </c>
      <c r="E178" s="3" t="s">
        <v>127</v>
      </c>
      <c r="F178" s="20" t="s">
        <v>129</v>
      </c>
      <c r="G178" s="3" t="s">
        <v>127</v>
      </c>
      <c r="H178" s="20" t="s">
        <v>130</v>
      </c>
      <c r="I178" s="20"/>
      <c r="J178" s="3" t="s">
        <v>149</v>
      </c>
      <c r="K178" s="3" t="s">
        <v>127</v>
      </c>
      <c r="L178" s="20" t="s">
        <v>130</v>
      </c>
      <c r="M178" s="20"/>
    </row>
    <row r="179" spans="1:19" ht="33" x14ac:dyDescent="0.3">
      <c r="A179" s="18"/>
      <c r="B179" s="20"/>
      <c r="C179" s="20"/>
      <c r="D179" s="3" t="s">
        <v>125</v>
      </c>
      <c r="E179" s="3" t="s">
        <v>128</v>
      </c>
      <c r="F179" s="20"/>
      <c r="G179" s="3" t="s">
        <v>129</v>
      </c>
      <c r="H179" s="20" t="s">
        <v>131</v>
      </c>
      <c r="I179" s="20"/>
      <c r="J179" s="3" t="s">
        <v>129</v>
      </c>
      <c r="K179" s="3" t="s">
        <v>150</v>
      </c>
      <c r="L179" s="20" t="s">
        <v>151</v>
      </c>
      <c r="M179" s="20"/>
    </row>
    <row r="180" spans="1:19" ht="17.25" thickBot="1" x14ac:dyDescent="0.35">
      <c r="A180" s="6">
        <v>1</v>
      </c>
      <c r="B180" s="13">
        <v>1</v>
      </c>
      <c r="C180" s="2">
        <v>7181</v>
      </c>
      <c r="D180" s="2">
        <v>3560889</v>
      </c>
      <c r="E180" s="2">
        <v>59315</v>
      </c>
      <c r="F180" s="2">
        <v>11.770899999999999</v>
      </c>
      <c r="G180" s="2">
        <v>0.16739999999999999</v>
      </c>
      <c r="H180" s="2">
        <v>11.442600000000001</v>
      </c>
      <c r="I180" s="2">
        <v>12.0991</v>
      </c>
      <c r="J180" s="2">
        <v>43.077100000000002</v>
      </c>
      <c r="K180" s="2">
        <v>0.45140000000000002</v>
      </c>
      <c r="L180" s="2">
        <v>42.192</v>
      </c>
      <c r="M180" s="2">
        <v>43.962200000000003</v>
      </c>
      <c r="O180">
        <f t="shared" ref="O180:O182" si="105">J180</f>
        <v>43.077100000000002</v>
      </c>
      <c r="P180">
        <f t="shared" ref="P180:Q182" si="106">L180</f>
        <v>42.192</v>
      </c>
      <c r="Q180">
        <f t="shared" si="106"/>
        <v>43.962200000000003</v>
      </c>
      <c r="S180" t="str">
        <f t="shared" ref="S180:S182" si="107">TEXT(O180,"0.00")&amp;" ("&amp;TEXT(P180,"0.00")&amp;" to "&amp;TEXT(Q180,"0.00")&amp;")"</f>
        <v>43.08 (42.19 to 43.96)</v>
      </c>
    </row>
    <row r="181" spans="1:19" ht="17.25" thickBot="1" x14ac:dyDescent="0.35">
      <c r="A181" s="6"/>
      <c r="B181" s="13">
        <v>2</v>
      </c>
      <c r="C181" s="2">
        <v>7855</v>
      </c>
      <c r="D181" s="2">
        <v>3735644</v>
      </c>
      <c r="E181" s="2">
        <v>60127</v>
      </c>
      <c r="F181" s="2">
        <v>12.3485</v>
      </c>
      <c r="G181" s="2">
        <v>0.16769999999999999</v>
      </c>
      <c r="H181" s="2">
        <v>12.0197</v>
      </c>
      <c r="I181" s="2">
        <v>12.677300000000001</v>
      </c>
      <c r="J181" s="2">
        <v>45.191200000000002</v>
      </c>
      <c r="K181" s="2">
        <v>0.4748</v>
      </c>
      <c r="L181" s="2">
        <v>44.260100000000001</v>
      </c>
      <c r="M181" s="2">
        <v>46.122300000000003</v>
      </c>
      <c r="O181">
        <f t="shared" si="105"/>
        <v>45.191200000000002</v>
      </c>
      <c r="P181">
        <f t="shared" si="106"/>
        <v>44.260100000000001</v>
      </c>
      <c r="Q181">
        <f t="shared" si="106"/>
        <v>46.122300000000003</v>
      </c>
      <c r="S181" t="str">
        <f t="shared" si="107"/>
        <v>45.19 (44.26 to 46.12)</v>
      </c>
    </row>
    <row r="182" spans="1:19" ht="17.25" thickBot="1" x14ac:dyDescent="0.35">
      <c r="A182" s="6"/>
      <c r="B182" s="13">
        <v>3</v>
      </c>
      <c r="C182" s="2">
        <v>2123</v>
      </c>
      <c r="D182" s="2">
        <v>969779</v>
      </c>
      <c r="E182" s="2">
        <v>26576</v>
      </c>
      <c r="F182" s="2">
        <v>3.2057000000000002</v>
      </c>
      <c r="G182" s="2">
        <v>8.4599999999999995E-2</v>
      </c>
      <c r="H182" s="2">
        <v>3.0396999999999998</v>
      </c>
      <c r="I182" s="2">
        <v>3.3717000000000001</v>
      </c>
      <c r="J182" s="2">
        <v>11.7317</v>
      </c>
      <c r="K182" s="2">
        <v>0.2928</v>
      </c>
      <c r="L182" s="2">
        <v>11.1577</v>
      </c>
      <c r="M182" s="2">
        <v>12.3058</v>
      </c>
      <c r="O182">
        <f t="shared" si="105"/>
        <v>11.7317</v>
      </c>
      <c r="P182">
        <f t="shared" si="106"/>
        <v>11.1577</v>
      </c>
      <c r="Q182">
        <f t="shared" si="106"/>
        <v>12.3058</v>
      </c>
      <c r="S182" t="str">
        <f t="shared" si="107"/>
        <v>11.73 (11.16 to 12.31)</v>
      </c>
    </row>
    <row r="183" spans="1:19" ht="17.25" thickBot="1" x14ac:dyDescent="0.35">
      <c r="A183" s="6"/>
      <c r="B183" s="13" t="s">
        <v>132</v>
      </c>
      <c r="C183" s="2">
        <v>17159</v>
      </c>
      <c r="D183" s="2">
        <v>8266312</v>
      </c>
      <c r="E183" s="2">
        <v>102733</v>
      </c>
      <c r="F183" s="2">
        <v>27.325099999999999</v>
      </c>
      <c r="G183" s="2">
        <v>0.24740000000000001</v>
      </c>
      <c r="H183" s="2">
        <v>26.8399</v>
      </c>
      <c r="I183" s="2">
        <v>27.810199999999998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3">
        <v>1</v>
      </c>
      <c r="C184" s="2">
        <v>5995</v>
      </c>
      <c r="D184" s="2">
        <v>2816835</v>
      </c>
      <c r="E184" s="2">
        <v>48206</v>
      </c>
      <c r="F184" s="2">
        <v>9.3112999999999992</v>
      </c>
      <c r="G184" s="2">
        <v>0.1376</v>
      </c>
      <c r="H184" s="2">
        <v>9.0414999999999992</v>
      </c>
      <c r="I184" s="2">
        <v>9.5810999999999993</v>
      </c>
      <c r="J184" s="2">
        <v>36.105400000000003</v>
      </c>
      <c r="K184" s="2">
        <v>0.44890000000000002</v>
      </c>
      <c r="L184" s="2">
        <v>35.225099999999998</v>
      </c>
      <c r="M184" s="2">
        <v>36.985700000000001</v>
      </c>
      <c r="O184">
        <f t="shared" ref="O184:O186" si="108">J184</f>
        <v>36.105400000000003</v>
      </c>
      <c r="P184">
        <f t="shared" ref="P184:Q186" si="109">L184</f>
        <v>35.225099999999998</v>
      </c>
      <c r="Q184">
        <f t="shared" si="109"/>
        <v>36.985700000000001</v>
      </c>
      <c r="S184" t="str">
        <f t="shared" ref="S184:S186" si="110">TEXT(O184,"0.00")&amp;" ("&amp;TEXT(P184,"0.00")&amp;" to "&amp;TEXT(Q184,"0.00")&amp;")"</f>
        <v>36.11 (35.23 to 36.99)</v>
      </c>
    </row>
    <row r="185" spans="1:19" ht="17.25" thickBot="1" x14ac:dyDescent="0.35">
      <c r="A185" s="6"/>
      <c r="B185" s="13">
        <v>2</v>
      </c>
      <c r="C185" s="2">
        <v>8439</v>
      </c>
      <c r="D185" s="2">
        <v>3874545</v>
      </c>
      <c r="E185" s="2">
        <v>57099</v>
      </c>
      <c r="F185" s="2">
        <v>12.807700000000001</v>
      </c>
      <c r="G185" s="2">
        <v>0.15809999999999999</v>
      </c>
      <c r="H185" s="2">
        <v>12.4976</v>
      </c>
      <c r="I185" s="2">
        <v>13.117699999999999</v>
      </c>
      <c r="J185" s="2">
        <v>49.662799999999997</v>
      </c>
      <c r="K185" s="2">
        <v>0.46489999999999998</v>
      </c>
      <c r="L185" s="2">
        <v>48.751199999999997</v>
      </c>
      <c r="M185" s="2">
        <v>50.5745</v>
      </c>
      <c r="O185">
        <f t="shared" si="108"/>
        <v>49.662799999999997</v>
      </c>
      <c r="P185">
        <f t="shared" si="109"/>
        <v>48.751199999999997</v>
      </c>
      <c r="Q185">
        <f t="shared" si="109"/>
        <v>50.5745</v>
      </c>
      <c r="S185" t="str">
        <f t="shared" si="110"/>
        <v>49.66 (48.75 to 50.57)</v>
      </c>
    </row>
    <row r="186" spans="1:19" ht="17.25" thickBot="1" x14ac:dyDescent="0.35">
      <c r="A186" s="6"/>
      <c r="B186" s="13">
        <v>3</v>
      </c>
      <c r="C186" s="2">
        <v>2724</v>
      </c>
      <c r="D186" s="2">
        <v>1110320</v>
      </c>
      <c r="E186" s="2">
        <v>26501</v>
      </c>
      <c r="F186" s="2">
        <v>3.6703000000000001</v>
      </c>
      <c r="G186" s="2">
        <v>8.4199999999999997E-2</v>
      </c>
      <c r="H186" s="2">
        <v>3.5051000000000001</v>
      </c>
      <c r="I186" s="2">
        <v>3.8353999999999999</v>
      </c>
      <c r="J186" s="2">
        <v>14.2318</v>
      </c>
      <c r="K186" s="2">
        <v>0.30940000000000001</v>
      </c>
      <c r="L186" s="2">
        <v>13.6251</v>
      </c>
      <c r="M186" s="2">
        <v>14.8384</v>
      </c>
      <c r="O186">
        <f t="shared" si="108"/>
        <v>14.2318</v>
      </c>
      <c r="P186">
        <f t="shared" si="109"/>
        <v>13.6251</v>
      </c>
      <c r="Q186">
        <f t="shared" si="109"/>
        <v>14.8384</v>
      </c>
      <c r="S186" t="str">
        <f t="shared" si="110"/>
        <v>14.23 (13.63 to 14.84)</v>
      </c>
    </row>
    <row r="187" spans="1:19" ht="17.25" thickBot="1" x14ac:dyDescent="0.35">
      <c r="A187" s="6"/>
      <c r="B187" s="13" t="s">
        <v>132</v>
      </c>
      <c r="C187" s="2">
        <v>17158</v>
      </c>
      <c r="D187" s="2">
        <v>7801700</v>
      </c>
      <c r="E187" s="2">
        <v>88291</v>
      </c>
      <c r="F187" s="2">
        <v>25.789200000000001</v>
      </c>
      <c r="G187" s="2">
        <v>0.2046</v>
      </c>
      <c r="H187" s="2">
        <v>25.388100000000001</v>
      </c>
      <c r="I187" s="2">
        <v>26.1904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3">
        <v>1</v>
      </c>
      <c r="C188" s="2">
        <v>5315</v>
      </c>
      <c r="D188" s="2">
        <v>2308837</v>
      </c>
      <c r="E188" s="2">
        <v>41302</v>
      </c>
      <c r="F188" s="2">
        <v>7.6321000000000003</v>
      </c>
      <c r="G188" s="2">
        <v>0.12139999999999999</v>
      </c>
      <c r="H188" s="2">
        <v>7.3940000000000001</v>
      </c>
      <c r="I188" s="2">
        <v>7.8700999999999999</v>
      </c>
      <c r="J188" s="2">
        <v>31.540900000000001</v>
      </c>
      <c r="K188" s="2">
        <v>0.437</v>
      </c>
      <c r="L188" s="2">
        <v>30.684000000000001</v>
      </c>
      <c r="M188" s="2">
        <v>32.397799999999997</v>
      </c>
      <c r="O188">
        <f t="shared" ref="O188:O190" si="111">J188</f>
        <v>31.540900000000001</v>
      </c>
      <c r="P188">
        <f t="shared" ref="P188:Q190" si="112">L188</f>
        <v>30.684000000000001</v>
      </c>
      <c r="Q188">
        <f t="shared" si="112"/>
        <v>32.397799999999997</v>
      </c>
      <c r="S188" t="str">
        <f t="shared" ref="S188:S190" si="113">TEXT(O188,"0.00")&amp;" ("&amp;TEXT(P188,"0.00")&amp;" to "&amp;TEXT(Q188,"0.00")&amp;")"</f>
        <v>31.54 (30.68 to 32.40)</v>
      </c>
    </row>
    <row r="189" spans="1:19" ht="17.25" thickBot="1" x14ac:dyDescent="0.35">
      <c r="A189" s="6"/>
      <c r="B189" s="13">
        <v>2</v>
      </c>
      <c r="C189" s="2">
        <v>8493</v>
      </c>
      <c r="D189" s="2">
        <v>3724290</v>
      </c>
      <c r="E189" s="2">
        <v>54306</v>
      </c>
      <c r="F189" s="2">
        <v>12.311</v>
      </c>
      <c r="G189" s="2">
        <v>0.1547</v>
      </c>
      <c r="H189" s="2">
        <v>12.0076</v>
      </c>
      <c r="I189" s="2">
        <v>12.6144</v>
      </c>
      <c r="J189" s="2">
        <v>50.877299999999998</v>
      </c>
      <c r="K189" s="2">
        <v>0.46139999999999998</v>
      </c>
      <c r="L189" s="2">
        <v>49.972700000000003</v>
      </c>
      <c r="M189" s="2">
        <v>51.7819</v>
      </c>
      <c r="O189">
        <f t="shared" si="111"/>
        <v>50.877299999999998</v>
      </c>
      <c r="P189">
        <f t="shared" si="112"/>
        <v>49.972700000000003</v>
      </c>
      <c r="Q189">
        <f t="shared" si="112"/>
        <v>51.7819</v>
      </c>
      <c r="S189" t="str">
        <f t="shared" si="113"/>
        <v>50.88 (49.97 to 51.78)</v>
      </c>
    </row>
    <row r="190" spans="1:19" ht="17.25" thickBot="1" x14ac:dyDescent="0.35">
      <c r="A190" s="6"/>
      <c r="B190" s="13">
        <v>3</v>
      </c>
      <c r="C190" s="2">
        <v>3351</v>
      </c>
      <c r="D190" s="2">
        <v>1287016</v>
      </c>
      <c r="E190" s="2">
        <v>28561</v>
      </c>
      <c r="F190" s="2">
        <v>4.2544000000000004</v>
      </c>
      <c r="G190" s="2">
        <v>9.1999999999999998E-2</v>
      </c>
      <c r="H190" s="2">
        <v>4.0739999999999998</v>
      </c>
      <c r="I190" s="2">
        <v>4.4347000000000003</v>
      </c>
      <c r="J190" s="2">
        <v>17.581800000000001</v>
      </c>
      <c r="K190" s="2">
        <v>0.35239999999999999</v>
      </c>
      <c r="L190" s="2">
        <v>16.890799999999999</v>
      </c>
      <c r="M190" s="2">
        <v>18.2729</v>
      </c>
      <c r="O190">
        <f t="shared" si="111"/>
        <v>17.581800000000001</v>
      </c>
      <c r="P190">
        <f t="shared" si="112"/>
        <v>16.890799999999999</v>
      </c>
      <c r="Q190">
        <f t="shared" si="112"/>
        <v>18.2729</v>
      </c>
      <c r="S190" t="str">
        <f t="shared" si="113"/>
        <v>17.58 (16.89 to 18.27)</v>
      </c>
    </row>
    <row r="191" spans="1:19" ht="17.25" thickBot="1" x14ac:dyDescent="0.35">
      <c r="A191" s="6"/>
      <c r="B191" s="13" t="s">
        <v>132</v>
      </c>
      <c r="C191" s="2">
        <v>17159</v>
      </c>
      <c r="D191" s="2">
        <v>7320143</v>
      </c>
      <c r="E191" s="2">
        <v>81075</v>
      </c>
      <c r="F191" s="2">
        <v>24.197399999999998</v>
      </c>
      <c r="G191" s="2">
        <v>0.20150000000000001</v>
      </c>
      <c r="H191" s="2">
        <v>23.802399999999999</v>
      </c>
      <c r="I191" s="2">
        <v>24.592500000000001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3">
        <v>1</v>
      </c>
      <c r="C192" s="2">
        <v>4385</v>
      </c>
      <c r="D192" s="2">
        <v>1736462</v>
      </c>
      <c r="E192" s="2">
        <v>34075</v>
      </c>
      <c r="F192" s="2">
        <v>5.74</v>
      </c>
      <c r="G192" s="2">
        <v>0.1075</v>
      </c>
      <c r="H192" s="2">
        <v>5.5292000000000003</v>
      </c>
      <c r="I192" s="2">
        <v>5.9508999999999999</v>
      </c>
      <c r="J192" s="2">
        <v>25.299600000000002</v>
      </c>
      <c r="K192" s="2">
        <v>0.41070000000000001</v>
      </c>
      <c r="L192" s="2">
        <v>24.494299999999999</v>
      </c>
      <c r="M192" s="2">
        <v>26.104800000000001</v>
      </c>
      <c r="O192">
        <f t="shared" ref="O192:O194" si="114">J192</f>
        <v>25.299600000000002</v>
      </c>
      <c r="P192">
        <f t="shared" ref="P192:Q194" si="115">L192</f>
        <v>24.494299999999999</v>
      </c>
      <c r="Q192">
        <f t="shared" si="115"/>
        <v>26.104800000000001</v>
      </c>
      <c r="S192" t="str">
        <f t="shared" ref="S192:S194" si="116">TEXT(O192,"0.00")&amp;" ("&amp;TEXT(P192,"0.00")&amp;" to "&amp;TEXT(Q192,"0.00")&amp;")"</f>
        <v>25.30 (24.49 to 26.10)</v>
      </c>
    </row>
    <row r="193" spans="1:19" ht="17.25" thickBot="1" x14ac:dyDescent="0.35">
      <c r="A193" s="6"/>
      <c r="B193" s="13">
        <v>2</v>
      </c>
      <c r="C193" s="2">
        <v>8423</v>
      </c>
      <c r="D193" s="2">
        <v>3553096</v>
      </c>
      <c r="E193" s="2">
        <v>53084</v>
      </c>
      <c r="F193" s="2">
        <v>11.745100000000001</v>
      </c>
      <c r="G193" s="2">
        <v>0.15740000000000001</v>
      </c>
      <c r="H193" s="2">
        <v>11.436500000000001</v>
      </c>
      <c r="I193" s="2">
        <v>12.053699999999999</v>
      </c>
      <c r="J193" s="2">
        <v>51.767200000000003</v>
      </c>
      <c r="K193" s="2">
        <v>0.48180000000000001</v>
      </c>
      <c r="L193" s="2">
        <v>50.822600000000001</v>
      </c>
      <c r="M193" s="2">
        <v>52.7119</v>
      </c>
      <c r="O193">
        <f t="shared" si="114"/>
        <v>51.767200000000003</v>
      </c>
      <c r="P193">
        <f t="shared" si="115"/>
        <v>50.822600000000001</v>
      </c>
      <c r="Q193">
        <f t="shared" si="115"/>
        <v>52.7119</v>
      </c>
      <c r="S193" t="str">
        <f t="shared" si="116"/>
        <v>51.77 (50.82 to 52.71)</v>
      </c>
    </row>
    <row r="194" spans="1:19" ht="17.25" thickBot="1" x14ac:dyDescent="0.35">
      <c r="A194" s="6"/>
      <c r="B194" s="13">
        <v>3</v>
      </c>
      <c r="C194" s="2">
        <v>4350</v>
      </c>
      <c r="D194" s="2">
        <v>1574043</v>
      </c>
      <c r="E194" s="2">
        <v>30897</v>
      </c>
      <c r="F194" s="2">
        <v>5.2031000000000001</v>
      </c>
      <c r="G194" s="2">
        <v>0.10059999999999999</v>
      </c>
      <c r="H194" s="2">
        <v>5.0057999999999998</v>
      </c>
      <c r="I194" s="2">
        <v>5.4005000000000001</v>
      </c>
      <c r="J194" s="2">
        <v>22.933199999999999</v>
      </c>
      <c r="K194" s="2">
        <v>0.38200000000000001</v>
      </c>
      <c r="L194" s="2">
        <v>22.184100000000001</v>
      </c>
      <c r="M194" s="2">
        <v>23.682200000000002</v>
      </c>
      <c r="O194">
        <f t="shared" si="114"/>
        <v>22.933199999999999</v>
      </c>
      <c r="P194">
        <f t="shared" si="115"/>
        <v>22.184100000000001</v>
      </c>
      <c r="Q194">
        <f t="shared" si="115"/>
        <v>23.682200000000002</v>
      </c>
      <c r="S194" t="str">
        <f t="shared" si="116"/>
        <v>22.93 (22.18 to 23.68)</v>
      </c>
    </row>
    <row r="195" spans="1:19" ht="17.25" thickBot="1" x14ac:dyDescent="0.35">
      <c r="A195" s="6"/>
      <c r="B195" s="13" t="s">
        <v>132</v>
      </c>
      <c r="C195" s="2">
        <v>17158</v>
      </c>
      <c r="D195" s="2">
        <v>6863601</v>
      </c>
      <c r="E195" s="2">
        <v>77106</v>
      </c>
      <c r="F195" s="2">
        <v>22.688300000000002</v>
      </c>
      <c r="G195" s="2">
        <v>0.21809999999999999</v>
      </c>
      <c r="H195" s="2">
        <v>22.2607</v>
      </c>
      <c r="I195" s="2">
        <v>23.1159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3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17">J196</f>
        <v>0</v>
      </c>
      <c r="P196">
        <f t="shared" ref="P196:Q198" si="118">L196</f>
        <v>0</v>
      </c>
      <c r="Q196">
        <f t="shared" si="118"/>
        <v>0</v>
      </c>
      <c r="S196" t="str">
        <f t="shared" ref="S196:S198" si="11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3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17"/>
        <v>0</v>
      </c>
      <c r="P197">
        <f t="shared" si="118"/>
        <v>0</v>
      </c>
      <c r="Q197">
        <f t="shared" si="118"/>
        <v>0</v>
      </c>
      <c r="S197" t="str">
        <f t="shared" si="119"/>
        <v>0.00 (0.00 to 0.00)</v>
      </c>
    </row>
    <row r="198" spans="1:19" ht="17.25" thickBot="1" x14ac:dyDescent="0.35">
      <c r="A198" s="6"/>
      <c r="B198" s="13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17"/>
        <v>0</v>
      </c>
      <c r="P198">
        <f t="shared" si="118"/>
        <v>0</v>
      </c>
      <c r="Q198">
        <f t="shared" si="118"/>
        <v>0</v>
      </c>
      <c r="S198" t="str">
        <f t="shared" si="119"/>
        <v>0.00 (0.00 to 0.00)</v>
      </c>
    </row>
    <row r="199" spans="1:19" x14ac:dyDescent="0.3">
      <c r="A199" s="6"/>
      <c r="B199" s="16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17" t="s">
        <v>175</v>
      </c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</row>
    <row r="202" spans="1:19" ht="33" customHeight="1" x14ac:dyDescent="0.3">
      <c r="A202" s="18" t="s">
        <v>41</v>
      </c>
      <c r="B202" s="20" t="s">
        <v>12</v>
      </c>
      <c r="C202" s="20" t="s">
        <v>125</v>
      </c>
      <c r="D202" s="3" t="s">
        <v>126</v>
      </c>
      <c r="E202" s="3" t="s">
        <v>127</v>
      </c>
      <c r="F202" s="20" t="s">
        <v>129</v>
      </c>
      <c r="G202" s="3" t="s">
        <v>127</v>
      </c>
      <c r="H202" s="20" t="s">
        <v>130</v>
      </c>
      <c r="I202" s="20"/>
      <c r="J202" s="3" t="s">
        <v>149</v>
      </c>
      <c r="K202" s="3" t="s">
        <v>127</v>
      </c>
      <c r="L202" s="20" t="s">
        <v>130</v>
      </c>
      <c r="M202" s="20"/>
    </row>
    <row r="203" spans="1:19" ht="33" x14ac:dyDescent="0.3">
      <c r="A203" s="18"/>
      <c r="B203" s="20"/>
      <c r="C203" s="20"/>
      <c r="D203" s="3" t="s">
        <v>125</v>
      </c>
      <c r="E203" s="3" t="s">
        <v>128</v>
      </c>
      <c r="F203" s="20"/>
      <c r="G203" s="3" t="s">
        <v>129</v>
      </c>
      <c r="H203" s="20" t="s">
        <v>131</v>
      </c>
      <c r="I203" s="20"/>
      <c r="J203" s="3" t="s">
        <v>129</v>
      </c>
      <c r="K203" s="3" t="s">
        <v>150</v>
      </c>
      <c r="L203" s="20" t="s">
        <v>151</v>
      </c>
      <c r="M203" s="20"/>
    </row>
    <row r="204" spans="1:19" ht="17.25" thickBot="1" x14ac:dyDescent="0.35">
      <c r="A204" s="6">
        <v>1</v>
      </c>
      <c r="B204" s="13">
        <v>1</v>
      </c>
      <c r="C204" s="2">
        <v>4902</v>
      </c>
      <c r="D204" s="2">
        <v>2387368</v>
      </c>
      <c r="E204" s="2">
        <v>45257</v>
      </c>
      <c r="F204" s="2">
        <v>7.8917000000000002</v>
      </c>
      <c r="G204" s="2">
        <v>0.13639999999999999</v>
      </c>
      <c r="H204" s="2">
        <v>7.6241000000000003</v>
      </c>
      <c r="I204" s="2">
        <v>8.1592000000000002</v>
      </c>
      <c r="J204" s="2">
        <v>28.880700000000001</v>
      </c>
      <c r="K204" s="2">
        <v>0.4158</v>
      </c>
      <c r="L204" s="2">
        <v>28.0654</v>
      </c>
      <c r="M204" s="2">
        <v>29.696000000000002</v>
      </c>
      <c r="O204">
        <f t="shared" ref="O204:O206" si="120">J204</f>
        <v>28.880700000000001</v>
      </c>
      <c r="P204">
        <f t="shared" ref="P204:Q206" si="121">L204</f>
        <v>28.0654</v>
      </c>
      <c r="Q204">
        <f t="shared" si="121"/>
        <v>29.696000000000002</v>
      </c>
      <c r="S204" t="str">
        <f t="shared" ref="S204:S206" si="122">TEXT(O204,"0.00")&amp;" ("&amp;TEXT(P204,"0.00")&amp;" to "&amp;TEXT(Q204,"0.00")&amp;")"</f>
        <v>28.88 (28.07 to 29.70)</v>
      </c>
    </row>
    <row r="205" spans="1:19" ht="17.25" thickBot="1" x14ac:dyDescent="0.35">
      <c r="A205" s="6"/>
      <c r="B205" s="13">
        <v>2</v>
      </c>
      <c r="C205" s="2">
        <v>10255</v>
      </c>
      <c r="D205" s="2">
        <v>4946867</v>
      </c>
      <c r="E205" s="2">
        <v>72270</v>
      </c>
      <c r="F205" s="2">
        <v>16.3523</v>
      </c>
      <c r="G205" s="2">
        <v>0.19089999999999999</v>
      </c>
      <c r="H205" s="2">
        <v>15.9781</v>
      </c>
      <c r="I205" s="2">
        <v>16.726600000000001</v>
      </c>
      <c r="J205" s="2">
        <v>59.843699999999998</v>
      </c>
      <c r="K205" s="2">
        <v>0.43840000000000001</v>
      </c>
      <c r="L205" s="2">
        <v>58.984099999999998</v>
      </c>
      <c r="M205" s="2">
        <v>60.703299999999999</v>
      </c>
      <c r="O205">
        <f t="shared" si="120"/>
        <v>59.843699999999998</v>
      </c>
      <c r="P205">
        <f t="shared" si="121"/>
        <v>58.984099999999998</v>
      </c>
      <c r="Q205">
        <f t="shared" si="121"/>
        <v>60.703299999999999</v>
      </c>
      <c r="S205" t="str">
        <f t="shared" si="122"/>
        <v>59.84 (58.98 to 60.70)</v>
      </c>
    </row>
    <row r="206" spans="1:19" ht="17.25" thickBot="1" x14ac:dyDescent="0.35">
      <c r="A206" s="6"/>
      <c r="B206" s="13">
        <v>3</v>
      </c>
      <c r="C206" s="2">
        <v>2002</v>
      </c>
      <c r="D206" s="2">
        <v>932078</v>
      </c>
      <c r="E206" s="2">
        <v>26251</v>
      </c>
      <c r="F206" s="2">
        <v>3.0811000000000002</v>
      </c>
      <c r="G206" s="2">
        <v>8.2400000000000001E-2</v>
      </c>
      <c r="H206" s="2">
        <v>2.9195000000000002</v>
      </c>
      <c r="I206" s="2">
        <v>3.2425999999999999</v>
      </c>
      <c r="J206" s="2">
        <v>11.275600000000001</v>
      </c>
      <c r="K206" s="2">
        <v>0.28989999999999999</v>
      </c>
      <c r="L206" s="2">
        <v>10.7072</v>
      </c>
      <c r="M206" s="2">
        <v>11.843999999999999</v>
      </c>
      <c r="O206">
        <f t="shared" si="120"/>
        <v>11.275600000000001</v>
      </c>
      <c r="P206">
        <f t="shared" si="121"/>
        <v>10.7072</v>
      </c>
      <c r="Q206">
        <f t="shared" si="121"/>
        <v>11.843999999999999</v>
      </c>
      <c r="S206" t="str">
        <f t="shared" si="122"/>
        <v>11.28 (10.71 to 11.84)</v>
      </c>
    </row>
    <row r="207" spans="1:19" ht="17.25" thickBot="1" x14ac:dyDescent="0.35">
      <c r="A207" s="6"/>
      <c r="B207" s="13" t="s">
        <v>132</v>
      </c>
      <c r="C207" s="2">
        <v>17159</v>
      </c>
      <c r="D207" s="2">
        <v>8266312</v>
      </c>
      <c r="E207" s="2">
        <v>102733</v>
      </c>
      <c r="F207" s="2">
        <v>27.325099999999999</v>
      </c>
      <c r="G207" s="2">
        <v>0.24740000000000001</v>
      </c>
      <c r="H207" s="2">
        <v>26.8399</v>
      </c>
      <c r="I207" s="2">
        <v>27.810199999999998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3">
        <v>1</v>
      </c>
      <c r="C208" s="2">
        <v>4618</v>
      </c>
      <c r="D208" s="2">
        <v>2196710</v>
      </c>
      <c r="E208" s="2">
        <v>42575</v>
      </c>
      <c r="F208" s="2">
        <v>7.2614000000000001</v>
      </c>
      <c r="G208" s="2">
        <v>0.12740000000000001</v>
      </c>
      <c r="H208" s="2">
        <v>7.0117000000000003</v>
      </c>
      <c r="I208" s="2">
        <v>7.5110999999999999</v>
      </c>
      <c r="J208" s="2">
        <v>28.1568</v>
      </c>
      <c r="K208" s="2">
        <v>0.43330000000000002</v>
      </c>
      <c r="L208" s="2">
        <v>27.307200000000002</v>
      </c>
      <c r="M208" s="2">
        <v>29.006399999999999</v>
      </c>
      <c r="O208">
        <f t="shared" ref="O208:O210" si="123">J208</f>
        <v>28.1568</v>
      </c>
      <c r="P208">
        <f t="shared" ref="P208:Q210" si="124">L208</f>
        <v>27.307200000000002</v>
      </c>
      <c r="Q208">
        <f t="shared" si="124"/>
        <v>29.006399999999999</v>
      </c>
      <c r="S208" t="str">
        <f t="shared" ref="S208:S210" si="125">TEXT(O208,"0.00")&amp;" ("&amp;TEXT(P208,"0.00")&amp;" to "&amp;TEXT(Q208,"0.00")&amp;")"</f>
        <v>28.16 (27.31 to 29.01)</v>
      </c>
    </row>
    <row r="209" spans="1:19" ht="17.25" thickBot="1" x14ac:dyDescent="0.35">
      <c r="A209" s="6"/>
      <c r="B209" s="13">
        <v>2</v>
      </c>
      <c r="C209" s="2">
        <v>10079</v>
      </c>
      <c r="D209" s="2">
        <v>4591054</v>
      </c>
      <c r="E209" s="2">
        <v>62251</v>
      </c>
      <c r="F209" s="2">
        <v>15.1762</v>
      </c>
      <c r="G209" s="2">
        <v>0.16370000000000001</v>
      </c>
      <c r="H209" s="2">
        <v>14.8551</v>
      </c>
      <c r="I209" s="2">
        <v>15.497199999999999</v>
      </c>
      <c r="J209" s="2">
        <v>58.846800000000002</v>
      </c>
      <c r="K209" s="2">
        <v>0.46100000000000002</v>
      </c>
      <c r="L209" s="2">
        <v>57.942900000000002</v>
      </c>
      <c r="M209" s="2">
        <v>59.750799999999998</v>
      </c>
      <c r="O209">
        <f t="shared" si="123"/>
        <v>58.846800000000002</v>
      </c>
      <c r="P209">
        <f t="shared" si="124"/>
        <v>57.942900000000002</v>
      </c>
      <c r="Q209">
        <f t="shared" si="124"/>
        <v>59.750799999999998</v>
      </c>
      <c r="S209" t="str">
        <f t="shared" si="125"/>
        <v>58.85 (57.94 to 59.75)</v>
      </c>
    </row>
    <row r="210" spans="1:19" ht="17.25" thickBot="1" x14ac:dyDescent="0.35">
      <c r="A210" s="6"/>
      <c r="B210" s="13">
        <v>3</v>
      </c>
      <c r="C210" s="2">
        <v>2461</v>
      </c>
      <c r="D210" s="2">
        <v>1013935</v>
      </c>
      <c r="E210" s="2">
        <v>27136</v>
      </c>
      <c r="F210" s="2">
        <v>3.3517000000000001</v>
      </c>
      <c r="G210" s="2">
        <v>8.6599999999999996E-2</v>
      </c>
      <c r="H210" s="2">
        <v>3.1818</v>
      </c>
      <c r="I210" s="2">
        <v>3.5215000000000001</v>
      </c>
      <c r="J210" s="2">
        <v>12.9963</v>
      </c>
      <c r="K210" s="2">
        <v>0.31459999999999999</v>
      </c>
      <c r="L210" s="2">
        <v>12.3794</v>
      </c>
      <c r="M210" s="2">
        <v>13.613300000000001</v>
      </c>
      <c r="O210">
        <f t="shared" si="123"/>
        <v>12.9963</v>
      </c>
      <c r="P210">
        <f t="shared" si="124"/>
        <v>12.3794</v>
      </c>
      <c r="Q210">
        <f t="shared" si="124"/>
        <v>13.613300000000001</v>
      </c>
      <c r="S210" t="str">
        <f t="shared" si="125"/>
        <v>13.00 (12.38 to 13.61)</v>
      </c>
    </row>
    <row r="211" spans="1:19" ht="17.25" thickBot="1" x14ac:dyDescent="0.35">
      <c r="A211" s="6"/>
      <c r="B211" s="13" t="s">
        <v>132</v>
      </c>
      <c r="C211" s="2">
        <v>17158</v>
      </c>
      <c r="D211" s="2">
        <v>7801700</v>
      </c>
      <c r="E211" s="2">
        <v>88291</v>
      </c>
      <c r="F211" s="2">
        <v>25.789200000000001</v>
      </c>
      <c r="G211" s="2">
        <v>0.2046</v>
      </c>
      <c r="H211" s="2">
        <v>25.388100000000001</v>
      </c>
      <c r="I211" s="2">
        <v>26.1904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3">
        <v>1</v>
      </c>
      <c r="C212" s="2">
        <v>4515</v>
      </c>
      <c r="D212" s="2">
        <v>2027231</v>
      </c>
      <c r="E212" s="2">
        <v>37821</v>
      </c>
      <c r="F212" s="2">
        <v>6.7012</v>
      </c>
      <c r="G212" s="2">
        <v>0.11459999999999999</v>
      </c>
      <c r="H212" s="2">
        <v>6.4763999999999999</v>
      </c>
      <c r="I212" s="2">
        <v>6.9260000000000002</v>
      </c>
      <c r="J212" s="2">
        <v>27.693899999999999</v>
      </c>
      <c r="K212" s="2">
        <v>0.42</v>
      </c>
      <c r="L212" s="2">
        <v>26.870200000000001</v>
      </c>
      <c r="M212" s="2">
        <v>28.517499999999998</v>
      </c>
      <c r="O212">
        <f t="shared" ref="O212:O214" si="126">J212</f>
        <v>27.693899999999999</v>
      </c>
      <c r="P212">
        <f t="shared" ref="P212:Q214" si="127">L212</f>
        <v>26.870200000000001</v>
      </c>
      <c r="Q212">
        <f t="shared" si="127"/>
        <v>28.517499999999998</v>
      </c>
      <c r="S212" t="str">
        <f t="shared" ref="S212:S214" si="128">TEXT(O212,"0.00")&amp;" ("&amp;TEXT(P212,"0.00")&amp;" to "&amp;TEXT(Q212,"0.00")&amp;")"</f>
        <v>27.69 (26.87 to 28.52)</v>
      </c>
    </row>
    <row r="213" spans="1:19" ht="17.25" thickBot="1" x14ac:dyDescent="0.35">
      <c r="A213" s="6"/>
      <c r="B213" s="13">
        <v>2</v>
      </c>
      <c r="C213" s="2">
        <v>9774</v>
      </c>
      <c r="D213" s="2">
        <v>4226481</v>
      </c>
      <c r="E213" s="2">
        <v>57777</v>
      </c>
      <c r="F213" s="2">
        <v>13.971</v>
      </c>
      <c r="G213" s="2">
        <v>0.15989999999999999</v>
      </c>
      <c r="H213" s="2">
        <v>13.657400000000001</v>
      </c>
      <c r="I213" s="2">
        <v>14.284599999999999</v>
      </c>
      <c r="J213" s="2">
        <v>57.737699999999997</v>
      </c>
      <c r="K213" s="2">
        <v>0.44429999999999997</v>
      </c>
      <c r="L213" s="2">
        <v>56.866500000000002</v>
      </c>
      <c r="M213" s="2">
        <v>58.608899999999998</v>
      </c>
      <c r="O213">
        <f t="shared" si="126"/>
        <v>57.737699999999997</v>
      </c>
      <c r="P213">
        <f t="shared" si="127"/>
        <v>56.866500000000002</v>
      </c>
      <c r="Q213">
        <f t="shared" si="127"/>
        <v>58.608899999999998</v>
      </c>
      <c r="S213" t="str">
        <f t="shared" si="128"/>
        <v>57.74 (56.87 to 58.61)</v>
      </c>
    </row>
    <row r="214" spans="1:19" ht="17.25" thickBot="1" x14ac:dyDescent="0.35">
      <c r="A214" s="6"/>
      <c r="B214" s="13">
        <v>3</v>
      </c>
      <c r="C214" s="2">
        <v>2870</v>
      </c>
      <c r="D214" s="2">
        <v>1066432</v>
      </c>
      <c r="E214" s="2">
        <v>25295</v>
      </c>
      <c r="F214" s="2">
        <v>3.5251999999999999</v>
      </c>
      <c r="G214" s="2">
        <v>8.0600000000000005E-2</v>
      </c>
      <c r="H214" s="2">
        <v>3.3671000000000002</v>
      </c>
      <c r="I214" s="2">
        <v>3.6833</v>
      </c>
      <c r="J214" s="2">
        <v>14.5685</v>
      </c>
      <c r="K214" s="2">
        <v>0.30930000000000002</v>
      </c>
      <c r="L214" s="2">
        <v>13.9619</v>
      </c>
      <c r="M214" s="2">
        <v>15.175000000000001</v>
      </c>
      <c r="O214">
        <f t="shared" si="126"/>
        <v>14.5685</v>
      </c>
      <c r="P214">
        <f t="shared" si="127"/>
        <v>13.9619</v>
      </c>
      <c r="Q214">
        <f t="shared" si="127"/>
        <v>15.175000000000001</v>
      </c>
      <c r="S214" t="str">
        <f t="shared" si="128"/>
        <v>14.57 (13.96 to 15.18)</v>
      </c>
    </row>
    <row r="215" spans="1:19" ht="17.25" thickBot="1" x14ac:dyDescent="0.35">
      <c r="A215" s="6"/>
      <c r="B215" s="13" t="s">
        <v>132</v>
      </c>
      <c r="C215" s="2">
        <v>17159</v>
      </c>
      <c r="D215" s="2">
        <v>7320143</v>
      </c>
      <c r="E215" s="2">
        <v>81075</v>
      </c>
      <c r="F215" s="2">
        <v>24.197399999999998</v>
      </c>
      <c r="G215" s="2">
        <v>0.20150000000000001</v>
      </c>
      <c r="H215" s="2">
        <v>23.802399999999999</v>
      </c>
      <c r="I215" s="2">
        <v>24.592500000000001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3">
        <v>1</v>
      </c>
      <c r="C216" s="2">
        <v>4222</v>
      </c>
      <c r="D216" s="2">
        <v>1801737</v>
      </c>
      <c r="E216" s="2">
        <v>34673</v>
      </c>
      <c r="F216" s="2">
        <v>5.9558</v>
      </c>
      <c r="G216" s="2">
        <v>0.1084</v>
      </c>
      <c r="H216" s="2">
        <v>5.7432999999999996</v>
      </c>
      <c r="I216" s="2">
        <v>6.1683000000000003</v>
      </c>
      <c r="J216" s="2">
        <v>26.250599999999999</v>
      </c>
      <c r="K216" s="2">
        <v>0.40820000000000001</v>
      </c>
      <c r="L216" s="2">
        <v>25.450299999999999</v>
      </c>
      <c r="M216" s="2">
        <v>27.050999999999998</v>
      </c>
      <c r="O216">
        <f t="shared" ref="O216:O218" si="129">J216</f>
        <v>26.250599999999999</v>
      </c>
      <c r="P216">
        <f t="shared" ref="P216:Q218" si="130">L216</f>
        <v>25.450299999999999</v>
      </c>
      <c r="Q216">
        <f t="shared" si="130"/>
        <v>27.050999999999998</v>
      </c>
      <c r="S216" t="str">
        <f t="shared" ref="S216:S218" si="131">TEXT(O216,"0.00")&amp;" ("&amp;TEXT(P216,"0.00")&amp;" to "&amp;TEXT(Q216,"0.00")&amp;")"</f>
        <v>26.25 (25.45 to 27.05)</v>
      </c>
    </row>
    <row r="217" spans="1:19" ht="17.25" thickBot="1" x14ac:dyDescent="0.35">
      <c r="A217" s="6"/>
      <c r="B217" s="13">
        <v>2</v>
      </c>
      <c r="C217" s="2">
        <v>9443</v>
      </c>
      <c r="D217" s="2">
        <v>3857066</v>
      </c>
      <c r="E217" s="2">
        <v>54620</v>
      </c>
      <c r="F217" s="2">
        <v>12.7499</v>
      </c>
      <c r="G217" s="2">
        <v>0.1623</v>
      </c>
      <c r="H217" s="2">
        <v>12.4316</v>
      </c>
      <c r="I217" s="2">
        <v>13.068199999999999</v>
      </c>
      <c r="J217" s="2">
        <v>56.195999999999998</v>
      </c>
      <c r="K217" s="2">
        <v>0.45390000000000003</v>
      </c>
      <c r="L217" s="2">
        <v>55.305900000000001</v>
      </c>
      <c r="M217" s="2">
        <v>57.085999999999999</v>
      </c>
      <c r="O217">
        <f t="shared" si="129"/>
        <v>56.195999999999998</v>
      </c>
      <c r="P217">
        <f t="shared" si="130"/>
        <v>55.305900000000001</v>
      </c>
      <c r="Q217">
        <f t="shared" si="130"/>
        <v>57.085999999999999</v>
      </c>
      <c r="S217" t="str">
        <f t="shared" si="131"/>
        <v>56.20 (55.31 to 57.09)</v>
      </c>
    </row>
    <row r="218" spans="1:19" ht="17.25" thickBot="1" x14ac:dyDescent="0.35">
      <c r="A218" s="6"/>
      <c r="B218" s="13">
        <v>3</v>
      </c>
      <c r="C218" s="2">
        <v>3493</v>
      </c>
      <c r="D218" s="2">
        <v>1204798</v>
      </c>
      <c r="E218" s="2">
        <v>25667</v>
      </c>
      <c r="F218" s="2">
        <v>3.9826000000000001</v>
      </c>
      <c r="G218" s="2">
        <v>8.3799999999999999E-2</v>
      </c>
      <c r="H218" s="2">
        <v>3.8182</v>
      </c>
      <c r="I218" s="2">
        <v>4.1468999999999996</v>
      </c>
      <c r="J218" s="2">
        <v>17.5534</v>
      </c>
      <c r="K218" s="2">
        <v>0.3332</v>
      </c>
      <c r="L218" s="2">
        <v>16.900099999999998</v>
      </c>
      <c r="M218" s="2">
        <v>18.206700000000001</v>
      </c>
      <c r="O218">
        <f t="shared" si="129"/>
        <v>17.5534</v>
      </c>
      <c r="P218">
        <f t="shared" si="130"/>
        <v>16.900099999999998</v>
      </c>
      <c r="Q218">
        <f t="shared" si="130"/>
        <v>18.206700000000001</v>
      </c>
      <c r="S218" t="str">
        <f t="shared" si="131"/>
        <v>17.55 (16.90 to 18.21)</v>
      </c>
    </row>
    <row r="219" spans="1:19" ht="17.25" thickBot="1" x14ac:dyDescent="0.35">
      <c r="A219" s="6"/>
      <c r="B219" s="13" t="s">
        <v>132</v>
      </c>
      <c r="C219" s="2">
        <v>17158</v>
      </c>
      <c r="D219" s="2">
        <v>6863601</v>
      </c>
      <c r="E219" s="2">
        <v>77106</v>
      </c>
      <c r="F219" s="2">
        <v>22.688300000000002</v>
      </c>
      <c r="G219" s="2">
        <v>0.21809999999999999</v>
      </c>
      <c r="H219" s="2">
        <v>22.2607</v>
      </c>
      <c r="I219" s="2">
        <v>23.1159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3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32">J220</f>
        <v>0</v>
      </c>
      <c r="P220">
        <f t="shared" ref="P220:Q222" si="133">L220</f>
        <v>0</v>
      </c>
      <c r="Q220">
        <f t="shared" si="133"/>
        <v>0</v>
      </c>
      <c r="S220" t="str">
        <f t="shared" ref="S220:S222" si="134">TEXT(O220,"0.00")&amp;" ("&amp;TEXT(P220,"0.00")&amp;" to "&amp;TEXT(Q220,"0.00")&amp;")"</f>
        <v>0.00 (0.00 to 0.00)</v>
      </c>
    </row>
    <row r="221" spans="1:19" ht="17.25" thickBot="1" x14ac:dyDescent="0.35">
      <c r="A221" s="6"/>
      <c r="B221" s="13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32"/>
        <v>0</v>
      </c>
      <c r="P221">
        <f t="shared" si="133"/>
        <v>0</v>
      </c>
      <c r="Q221">
        <f t="shared" si="133"/>
        <v>0</v>
      </c>
      <c r="S221" t="str">
        <f t="shared" si="134"/>
        <v>0.00 (0.00 to 0.00)</v>
      </c>
    </row>
    <row r="222" spans="1:19" ht="17.25" thickBot="1" x14ac:dyDescent="0.35">
      <c r="A222" s="6"/>
      <c r="B222" s="13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32"/>
        <v>0</v>
      </c>
      <c r="P222">
        <f t="shared" si="133"/>
        <v>0</v>
      </c>
      <c r="Q222">
        <f t="shared" si="133"/>
        <v>0</v>
      </c>
      <c r="S222" t="str">
        <f t="shared" si="134"/>
        <v>0.00 (0.00 to 0.00)</v>
      </c>
    </row>
    <row r="223" spans="1:19" x14ac:dyDescent="0.3">
      <c r="A223" s="6"/>
      <c r="B223" s="16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17" t="s">
        <v>176</v>
      </c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</row>
    <row r="226" spans="1:19" ht="33" customHeight="1" x14ac:dyDescent="0.3">
      <c r="A226" s="18" t="s">
        <v>41</v>
      </c>
      <c r="B226" s="20" t="s">
        <v>13</v>
      </c>
      <c r="C226" s="20" t="s">
        <v>125</v>
      </c>
      <c r="D226" s="3" t="s">
        <v>126</v>
      </c>
      <c r="E226" s="3" t="s">
        <v>127</v>
      </c>
      <c r="F226" s="20" t="s">
        <v>129</v>
      </c>
      <c r="G226" s="3" t="s">
        <v>127</v>
      </c>
      <c r="H226" s="20" t="s">
        <v>130</v>
      </c>
      <c r="I226" s="20"/>
      <c r="J226" s="3" t="s">
        <v>149</v>
      </c>
      <c r="K226" s="3" t="s">
        <v>127</v>
      </c>
      <c r="L226" s="20" t="s">
        <v>130</v>
      </c>
      <c r="M226" s="20"/>
    </row>
    <row r="227" spans="1:19" ht="33" x14ac:dyDescent="0.3">
      <c r="A227" s="18"/>
      <c r="B227" s="20"/>
      <c r="C227" s="20"/>
      <c r="D227" s="3" t="s">
        <v>125</v>
      </c>
      <c r="E227" s="3" t="s">
        <v>128</v>
      </c>
      <c r="F227" s="20"/>
      <c r="G227" s="3" t="s">
        <v>129</v>
      </c>
      <c r="H227" s="20" t="s">
        <v>131</v>
      </c>
      <c r="I227" s="20"/>
      <c r="J227" s="3" t="s">
        <v>129</v>
      </c>
      <c r="K227" s="3" t="s">
        <v>150</v>
      </c>
      <c r="L227" s="20" t="s">
        <v>151</v>
      </c>
      <c r="M227" s="20"/>
    </row>
    <row r="228" spans="1:19" ht="17.25" thickBot="1" x14ac:dyDescent="0.35">
      <c r="A228" s="6">
        <v>1</v>
      </c>
      <c r="B228" s="13">
        <v>1</v>
      </c>
      <c r="C228" s="2">
        <v>6912</v>
      </c>
      <c r="D228" s="2">
        <v>3138171</v>
      </c>
      <c r="E228" s="2">
        <v>52439</v>
      </c>
      <c r="F228" s="2">
        <v>10.3735</v>
      </c>
      <c r="G228" s="2">
        <v>0.1525</v>
      </c>
      <c r="H228" s="2">
        <v>10.0745</v>
      </c>
      <c r="I228" s="2">
        <v>10.672599999999999</v>
      </c>
      <c r="J228" s="2">
        <v>37.9634</v>
      </c>
      <c r="K228" s="2">
        <v>0.45329999999999998</v>
      </c>
      <c r="L228" s="2">
        <v>37.0745</v>
      </c>
      <c r="M228" s="2">
        <v>38.852200000000003</v>
      </c>
      <c r="O228">
        <f t="shared" ref="O228:O230" si="135">J228</f>
        <v>37.9634</v>
      </c>
      <c r="P228">
        <f t="shared" ref="P228:Q230" si="136">L228</f>
        <v>37.0745</v>
      </c>
      <c r="Q228">
        <f t="shared" si="136"/>
        <v>38.852200000000003</v>
      </c>
      <c r="S228" t="str">
        <f t="shared" ref="S228:S230" si="137">TEXT(O228,"0.00")&amp;" ("&amp;TEXT(P228,"0.00")&amp;" to "&amp;TEXT(Q228,"0.00")&amp;")"</f>
        <v>37.96 (37.07 to 38.85)</v>
      </c>
    </row>
    <row r="229" spans="1:19" ht="17.25" thickBot="1" x14ac:dyDescent="0.35">
      <c r="A229" s="6"/>
      <c r="B229" s="13">
        <v>2</v>
      </c>
      <c r="C229" s="2">
        <v>7524</v>
      </c>
      <c r="D229" s="2">
        <v>3783775</v>
      </c>
      <c r="E229" s="2">
        <v>62589</v>
      </c>
      <c r="F229" s="2">
        <v>12.5076</v>
      </c>
      <c r="G229" s="2">
        <v>0.17130000000000001</v>
      </c>
      <c r="H229" s="2">
        <v>12.171799999999999</v>
      </c>
      <c r="I229" s="2">
        <v>12.843400000000001</v>
      </c>
      <c r="J229" s="2">
        <v>45.773400000000002</v>
      </c>
      <c r="K229" s="2">
        <v>0.46079999999999999</v>
      </c>
      <c r="L229" s="2">
        <v>44.869900000000001</v>
      </c>
      <c r="M229" s="2">
        <v>46.677</v>
      </c>
      <c r="O229">
        <f t="shared" si="135"/>
        <v>45.773400000000002</v>
      </c>
      <c r="P229">
        <f t="shared" si="136"/>
        <v>44.869900000000001</v>
      </c>
      <c r="Q229">
        <f t="shared" si="136"/>
        <v>46.677</v>
      </c>
      <c r="S229" t="str">
        <f t="shared" si="137"/>
        <v>45.77 (44.87 to 46.68)</v>
      </c>
    </row>
    <row r="230" spans="1:19" ht="17.25" thickBot="1" x14ac:dyDescent="0.35">
      <c r="A230" s="6"/>
      <c r="B230" s="13">
        <v>3</v>
      </c>
      <c r="C230" s="2">
        <v>2723</v>
      </c>
      <c r="D230" s="2">
        <v>1344366</v>
      </c>
      <c r="E230" s="2">
        <v>32514</v>
      </c>
      <c r="F230" s="2">
        <v>4.4439000000000002</v>
      </c>
      <c r="G230" s="2">
        <v>0.1022</v>
      </c>
      <c r="H230" s="2">
        <v>4.2435</v>
      </c>
      <c r="I230" s="2">
        <v>4.6443000000000003</v>
      </c>
      <c r="J230" s="2">
        <v>16.263200000000001</v>
      </c>
      <c r="K230" s="2">
        <v>0.34079999999999999</v>
      </c>
      <c r="L230" s="2">
        <v>15.595000000000001</v>
      </c>
      <c r="M230" s="2">
        <v>16.9314</v>
      </c>
      <c r="O230">
        <f t="shared" si="135"/>
        <v>16.263200000000001</v>
      </c>
      <c r="P230">
        <f t="shared" si="136"/>
        <v>15.595000000000001</v>
      </c>
      <c r="Q230">
        <f t="shared" si="136"/>
        <v>16.9314</v>
      </c>
      <c r="S230" t="str">
        <f t="shared" si="137"/>
        <v>16.26 (15.60 to 16.93)</v>
      </c>
    </row>
    <row r="231" spans="1:19" ht="17.25" thickBot="1" x14ac:dyDescent="0.35">
      <c r="A231" s="6"/>
      <c r="B231" s="13" t="s">
        <v>132</v>
      </c>
      <c r="C231" s="2">
        <v>17159</v>
      </c>
      <c r="D231" s="2">
        <v>8266312</v>
      </c>
      <c r="E231" s="2">
        <v>102733</v>
      </c>
      <c r="F231" s="2">
        <v>27.325099999999999</v>
      </c>
      <c r="G231" s="2">
        <v>0.24740000000000001</v>
      </c>
      <c r="H231" s="2">
        <v>26.8399</v>
      </c>
      <c r="I231" s="2">
        <v>27.810199999999998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3">
        <v>1</v>
      </c>
      <c r="C232" s="2">
        <v>6915</v>
      </c>
      <c r="D232" s="2">
        <v>2819792</v>
      </c>
      <c r="E232" s="2">
        <v>45041</v>
      </c>
      <c r="F232" s="2">
        <v>9.3210999999999995</v>
      </c>
      <c r="G232" s="2">
        <v>0.13070000000000001</v>
      </c>
      <c r="H232" s="2">
        <v>9.0647000000000002</v>
      </c>
      <c r="I232" s="2">
        <v>9.5774000000000008</v>
      </c>
      <c r="J232" s="2">
        <v>36.143300000000004</v>
      </c>
      <c r="K232" s="2">
        <v>0.44290000000000002</v>
      </c>
      <c r="L232" s="2">
        <v>35.274799999999999</v>
      </c>
      <c r="M232" s="2">
        <v>37.011800000000001</v>
      </c>
      <c r="O232">
        <f t="shared" ref="O232:O234" si="138">J232</f>
        <v>36.143300000000004</v>
      </c>
      <c r="P232">
        <f t="shared" ref="P232:Q234" si="139">L232</f>
        <v>35.274799999999999</v>
      </c>
      <c r="Q232">
        <f t="shared" si="139"/>
        <v>37.011800000000001</v>
      </c>
      <c r="S232" t="str">
        <f t="shared" ref="S232:S234" si="140">TEXT(O232,"0.00")&amp;" ("&amp;TEXT(P232,"0.00")&amp;" to "&amp;TEXT(Q232,"0.00")&amp;")"</f>
        <v>36.14 (35.27 to 37.01)</v>
      </c>
    </row>
    <row r="233" spans="1:19" ht="17.25" thickBot="1" x14ac:dyDescent="0.35">
      <c r="A233" s="6"/>
      <c r="B233" s="13">
        <v>2</v>
      </c>
      <c r="C233" s="2">
        <v>6534</v>
      </c>
      <c r="D233" s="2">
        <v>3174209</v>
      </c>
      <c r="E233" s="2">
        <v>52245</v>
      </c>
      <c r="F233" s="2">
        <v>10.492599999999999</v>
      </c>
      <c r="G233" s="2">
        <v>0.14710000000000001</v>
      </c>
      <c r="H233" s="2">
        <v>10.2043</v>
      </c>
      <c r="I233" s="2">
        <v>10.781000000000001</v>
      </c>
      <c r="J233" s="2">
        <v>40.686100000000003</v>
      </c>
      <c r="K233" s="2">
        <v>0.45390000000000003</v>
      </c>
      <c r="L233" s="2">
        <v>39.796100000000003</v>
      </c>
      <c r="M233" s="2">
        <v>41.5762</v>
      </c>
      <c r="O233">
        <f t="shared" si="138"/>
        <v>40.686100000000003</v>
      </c>
      <c r="P233">
        <f t="shared" si="139"/>
        <v>39.796100000000003</v>
      </c>
      <c r="Q233">
        <f t="shared" si="139"/>
        <v>41.5762</v>
      </c>
      <c r="S233" t="str">
        <f t="shared" si="140"/>
        <v>40.69 (39.80 to 41.58)</v>
      </c>
    </row>
    <row r="234" spans="1:19" ht="17.25" thickBot="1" x14ac:dyDescent="0.35">
      <c r="A234" s="6"/>
      <c r="B234" s="13">
        <v>3</v>
      </c>
      <c r="C234" s="2">
        <v>3709</v>
      </c>
      <c r="D234" s="2">
        <v>1807700</v>
      </c>
      <c r="E234" s="2">
        <v>37577</v>
      </c>
      <c r="F234" s="2">
        <v>5.9755000000000003</v>
      </c>
      <c r="G234" s="2">
        <v>0.1154</v>
      </c>
      <c r="H234" s="2">
        <v>5.7492999999999999</v>
      </c>
      <c r="I234" s="2">
        <v>6.2016999999999998</v>
      </c>
      <c r="J234" s="2">
        <v>23.1706</v>
      </c>
      <c r="K234" s="2">
        <v>0.40150000000000002</v>
      </c>
      <c r="L234" s="2">
        <v>22.383299999999998</v>
      </c>
      <c r="M234" s="2">
        <v>23.957799999999999</v>
      </c>
      <c r="O234">
        <f t="shared" si="138"/>
        <v>23.1706</v>
      </c>
      <c r="P234">
        <f t="shared" si="139"/>
        <v>22.383299999999998</v>
      </c>
      <c r="Q234">
        <f t="shared" si="139"/>
        <v>23.957799999999999</v>
      </c>
      <c r="S234" t="str">
        <f t="shared" si="140"/>
        <v>23.17 (22.38 to 23.96)</v>
      </c>
    </row>
    <row r="235" spans="1:19" ht="17.25" thickBot="1" x14ac:dyDescent="0.35">
      <c r="A235" s="6"/>
      <c r="B235" s="13" t="s">
        <v>132</v>
      </c>
      <c r="C235" s="2">
        <v>17158</v>
      </c>
      <c r="D235" s="2">
        <v>7801700</v>
      </c>
      <c r="E235" s="2">
        <v>88291</v>
      </c>
      <c r="F235" s="2">
        <v>25.789200000000001</v>
      </c>
      <c r="G235" s="2">
        <v>0.2046</v>
      </c>
      <c r="H235" s="2">
        <v>25.388100000000001</v>
      </c>
      <c r="I235" s="2">
        <v>26.1904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3">
        <v>1</v>
      </c>
      <c r="C236" s="2">
        <v>6753</v>
      </c>
      <c r="D236" s="2">
        <v>2567154</v>
      </c>
      <c r="E236" s="2">
        <v>40310</v>
      </c>
      <c r="F236" s="2">
        <v>8.4860000000000007</v>
      </c>
      <c r="G236" s="2">
        <v>0.123</v>
      </c>
      <c r="H236" s="2">
        <v>8.2447999999999997</v>
      </c>
      <c r="I236" s="2">
        <v>8.7271000000000001</v>
      </c>
      <c r="J236" s="2">
        <v>35.069699999999997</v>
      </c>
      <c r="K236" s="2">
        <v>0.43030000000000002</v>
      </c>
      <c r="L236" s="2">
        <v>34.225999999999999</v>
      </c>
      <c r="M236" s="2">
        <v>35.913499999999999</v>
      </c>
      <c r="O236">
        <f t="shared" ref="O236:O238" si="141">J236</f>
        <v>35.069699999999997</v>
      </c>
      <c r="P236">
        <f t="shared" ref="P236:Q238" si="142">L236</f>
        <v>34.225999999999999</v>
      </c>
      <c r="Q236">
        <f t="shared" si="142"/>
        <v>35.913499999999999</v>
      </c>
      <c r="S236" t="str">
        <f t="shared" ref="S236:S238" si="143">TEXT(O236,"0.00")&amp;" ("&amp;TEXT(P236,"0.00")&amp;" to "&amp;TEXT(Q236,"0.00")&amp;")"</f>
        <v>35.07 (34.23 to 35.91)</v>
      </c>
    </row>
    <row r="237" spans="1:19" ht="17.25" thickBot="1" x14ac:dyDescent="0.35">
      <c r="A237" s="6"/>
      <c r="B237" s="13">
        <v>2</v>
      </c>
      <c r="C237" s="2">
        <v>5906</v>
      </c>
      <c r="D237" s="2">
        <v>2667133</v>
      </c>
      <c r="E237" s="2">
        <v>45628</v>
      </c>
      <c r="F237" s="2">
        <v>8.8164999999999996</v>
      </c>
      <c r="G237" s="2">
        <v>0.13400000000000001</v>
      </c>
      <c r="H237" s="2">
        <v>8.5535999999999994</v>
      </c>
      <c r="I237" s="2">
        <v>9.0792999999999999</v>
      </c>
      <c r="J237" s="2">
        <v>36.435499999999998</v>
      </c>
      <c r="K237" s="2">
        <v>0.4481</v>
      </c>
      <c r="L237" s="2">
        <v>35.556899999999999</v>
      </c>
      <c r="M237" s="2">
        <v>37.314100000000003</v>
      </c>
      <c r="O237">
        <f t="shared" si="141"/>
        <v>36.435499999999998</v>
      </c>
      <c r="P237">
        <f t="shared" si="142"/>
        <v>35.556899999999999</v>
      </c>
      <c r="Q237">
        <f t="shared" si="142"/>
        <v>37.314100000000003</v>
      </c>
      <c r="S237" t="str">
        <f t="shared" si="143"/>
        <v>36.44 (35.56 to 37.31)</v>
      </c>
    </row>
    <row r="238" spans="1:19" ht="17.25" thickBot="1" x14ac:dyDescent="0.35">
      <c r="A238" s="6"/>
      <c r="B238" s="13">
        <v>3</v>
      </c>
      <c r="C238" s="2">
        <v>4500</v>
      </c>
      <c r="D238" s="2">
        <v>2085857</v>
      </c>
      <c r="E238" s="2">
        <v>38835</v>
      </c>
      <c r="F238" s="2">
        <v>6.8949999999999996</v>
      </c>
      <c r="G238" s="2">
        <v>0.11600000000000001</v>
      </c>
      <c r="H238" s="2">
        <v>6.6675000000000004</v>
      </c>
      <c r="I238" s="2">
        <v>7.1224999999999996</v>
      </c>
      <c r="J238" s="2">
        <v>28.494800000000001</v>
      </c>
      <c r="K238" s="2">
        <v>0.41789999999999999</v>
      </c>
      <c r="L238" s="2">
        <v>27.6752</v>
      </c>
      <c r="M238" s="2">
        <v>29.314299999999999</v>
      </c>
      <c r="O238">
        <f t="shared" si="141"/>
        <v>28.494800000000001</v>
      </c>
      <c r="P238">
        <f t="shared" si="142"/>
        <v>27.6752</v>
      </c>
      <c r="Q238">
        <f t="shared" si="142"/>
        <v>29.314299999999999</v>
      </c>
      <c r="S238" t="str">
        <f t="shared" si="143"/>
        <v>28.49 (27.68 to 29.31)</v>
      </c>
    </row>
    <row r="239" spans="1:19" ht="17.25" thickBot="1" x14ac:dyDescent="0.35">
      <c r="A239" s="6"/>
      <c r="B239" s="13" t="s">
        <v>132</v>
      </c>
      <c r="C239" s="2">
        <v>17159</v>
      </c>
      <c r="D239" s="2">
        <v>7320143</v>
      </c>
      <c r="E239" s="2">
        <v>81075</v>
      </c>
      <c r="F239" s="2">
        <v>24.197399999999998</v>
      </c>
      <c r="G239" s="2">
        <v>0.20150000000000001</v>
      </c>
      <c r="H239" s="2">
        <v>23.802399999999999</v>
      </c>
      <c r="I239" s="2">
        <v>24.592500000000001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3">
        <v>1</v>
      </c>
      <c r="C240" s="2">
        <v>6328</v>
      </c>
      <c r="D240" s="2">
        <v>2213953</v>
      </c>
      <c r="E240" s="2">
        <v>37446</v>
      </c>
      <c r="F240" s="2">
        <v>7.3183999999999996</v>
      </c>
      <c r="G240" s="2">
        <v>0.1195</v>
      </c>
      <c r="H240" s="2">
        <v>7.0841000000000003</v>
      </c>
      <c r="I240" s="2">
        <v>7.5526999999999997</v>
      </c>
      <c r="J240" s="2">
        <v>32.256399999999999</v>
      </c>
      <c r="K240" s="2">
        <v>0.42799999999999999</v>
      </c>
      <c r="L240" s="2">
        <v>31.417300000000001</v>
      </c>
      <c r="M240" s="2">
        <v>33.095599999999997</v>
      </c>
      <c r="O240">
        <f t="shared" ref="O240:O242" si="144">J240</f>
        <v>32.256399999999999</v>
      </c>
      <c r="P240">
        <f t="shared" ref="P240:Q242" si="145">L240</f>
        <v>31.417300000000001</v>
      </c>
      <c r="Q240">
        <f t="shared" si="145"/>
        <v>33.095599999999997</v>
      </c>
      <c r="S240" t="str">
        <f t="shared" ref="S240:S242" si="146">TEXT(O240,"0.00")&amp;" ("&amp;TEXT(P240,"0.00")&amp;" to "&amp;TEXT(Q240,"0.00")&amp;")"</f>
        <v>32.26 (31.42 to 33.10)</v>
      </c>
    </row>
    <row r="241" spans="1:19" ht="17.25" thickBot="1" x14ac:dyDescent="0.35">
      <c r="A241" s="6"/>
      <c r="B241" s="13">
        <v>2</v>
      </c>
      <c r="C241" s="2">
        <v>5034</v>
      </c>
      <c r="D241" s="2">
        <v>2115263</v>
      </c>
      <c r="E241" s="2">
        <v>38338</v>
      </c>
      <c r="F241" s="2">
        <v>6.9922000000000004</v>
      </c>
      <c r="G241" s="2">
        <v>0.1182</v>
      </c>
      <c r="H241" s="2">
        <v>6.7603999999999997</v>
      </c>
      <c r="I241" s="2">
        <v>7.2240000000000002</v>
      </c>
      <c r="J241" s="2">
        <v>30.8186</v>
      </c>
      <c r="K241" s="2">
        <v>0.43980000000000002</v>
      </c>
      <c r="L241" s="2">
        <v>29.956199999999999</v>
      </c>
      <c r="M241" s="2">
        <v>31.680900000000001</v>
      </c>
      <c r="O241">
        <f t="shared" si="144"/>
        <v>30.8186</v>
      </c>
      <c r="P241">
        <f t="shared" si="145"/>
        <v>29.956199999999999</v>
      </c>
      <c r="Q241">
        <f t="shared" si="145"/>
        <v>31.680900000000001</v>
      </c>
      <c r="S241" t="str">
        <f t="shared" si="146"/>
        <v>30.82 (29.96 to 31.68)</v>
      </c>
    </row>
    <row r="242" spans="1:19" ht="17.25" thickBot="1" x14ac:dyDescent="0.35">
      <c r="A242" s="6"/>
      <c r="B242" s="13">
        <v>3</v>
      </c>
      <c r="C242" s="2">
        <v>5796</v>
      </c>
      <c r="D242" s="2">
        <v>2534386</v>
      </c>
      <c r="E242" s="2">
        <v>43279</v>
      </c>
      <c r="F242" s="2">
        <v>8.3775999999999993</v>
      </c>
      <c r="G242" s="2">
        <v>0.13320000000000001</v>
      </c>
      <c r="H242" s="2">
        <v>8.1165000000000003</v>
      </c>
      <c r="I242" s="2">
        <v>8.6387999999999998</v>
      </c>
      <c r="J242" s="2">
        <v>36.924999999999997</v>
      </c>
      <c r="K242" s="2">
        <v>0.45250000000000001</v>
      </c>
      <c r="L242" s="2">
        <v>36.037799999999997</v>
      </c>
      <c r="M242" s="2">
        <v>37.8123</v>
      </c>
      <c r="O242">
        <f t="shared" si="144"/>
        <v>36.924999999999997</v>
      </c>
      <c r="P242">
        <f t="shared" si="145"/>
        <v>36.037799999999997</v>
      </c>
      <c r="Q242">
        <f t="shared" si="145"/>
        <v>37.8123</v>
      </c>
      <c r="S242" t="str">
        <f t="shared" si="146"/>
        <v>36.93 (36.04 to 37.81)</v>
      </c>
    </row>
    <row r="243" spans="1:19" ht="17.25" thickBot="1" x14ac:dyDescent="0.35">
      <c r="A243" s="6"/>
      <c r="B243" s="13" t="s">
        <v>132</v>
      </c>
      <c r="C243" s="2">
        <v>17158</v>
      </c>
      <c r="D243" s="2">
        <v>6863601</v>
      </c>
      <c r="E243" s="2">
        <v>77106</v>
      </c>
      <c r="F243" s="2">
        <v>22.688300000000002</v>
      </c>
      <c r="G243" s="2">
        <v>0.21809999999999999</v>
      </c>
      <c r="H243" s="2">
        <v>22.2607</v>
      </c>
      <c r="I243" s="2">
        <v>23.1159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3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47">J244</f>
        <v>0</v>
      </c>
      <c r="P244">
        <f t="shared" ref="P244:Q246" si="148">L244</f>
        <v>0</v>
      </c>
      <c r="Q244">
        <f t="shared" si="148"/>
        <v>0</v>
      </c>
      <c r="S244" t="str">
        <f t="shared" ref="S244:S246" si="14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3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47"/>
        <v>0</v>
      </c>
      <c r="P245">
        <f t="shared" si="148"/>
        <v>0</v>
      </c>
      <c r="Q245">
        <f t="shared" si="148"/>
        <v>0</v>
      </c>
      <c r="S245" t="str">
        <f t="shared" si="149"/>
        <v>0.00 (0.00 to 0.00)</v>
      </c>
    </row>
    <row r="246" spans="1:19" ht="17.25" thickBot="1" x14ac:dyDescent="0.35">
      <c r="A246" s="6"/>
      <c r="B246" s="13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47"/>
        <v>0</v>
      </c>
      <c r="P246">
        <f t="shared" si="148"/>
        <v>0</v>
      </c>
      <c r="Q246">
        <f t="shared" si="148"/>
        <v>0</v>
      </c>
      <c r="S246" t="str">
        <f t="shared" si="149"/>
        <v>0.00 (0.00 to 0.00)</v>
      </c>
    </row>
    <row r="247" spans="1:19" x14ac:dyDescent="0.3">
      <c r="A247" s="6"/>
      <c r="B247" s="16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17" t="s">
        <v>177</v>
      </c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</row>
    <row r="250" spans="1:19" ht="33" customHeight="1" x14ac:dyDescent="0.3">
      <c r="A250" s="18" t="s">
        <v>41</v>
      </c>
      <c r="B250" s="20" t="s">
        <v>14</v>
      </c>
      <c r="C250" s="20" t="s">
        <v>125</v>
      </c>
      <c r="D250" s="3" t="s">
        <v>126</v>
      </c>
      <c r="E250" s="3" t="s">
        <v>127</v>
      </c>
      <c r="F250" s="20" t="s">
        <v>129</v>
      </c>
      <c r="G250" s="3" t="s">
        <v>127</v>
      </c>
      <c r="H250" s="20" t="s">
        <v>130</v>
      </c>
      <c r="I250" s="20"/>
      <c r="J250" s="3" t="s">
        <v>149</v>
      </c>
      <c r="K250" s="3" t="s">
        <v>127</v>
      </c>
      <c r="L250" s="20" t="s">
        <v>130</v>
      </c>
      <c r="M250" s="20"/>
    </row>
    <row r="251" spans="1:19" ht="33" x14ac:dyDescent="0.3">
      <c r="A251" s="18"/>
      <c r="B251" s="20"/>
      <c r="C251" s="20"/>
      <c r="D251" s="3" t="s">
        <v>125</v>
      </c>
      <c r="E251" s="3" t="s">
        <v>128</v>
      </c>
      <c r="F251" s="20"/>
      <c r="G251" s="3" t="s">
        <v>129</v>
      </c>
      <c r="H251" s="20" t="s">
        <v>131</v>
      </c>
      <c r="I251" s="20"/>
      <c r="J251" s="3" t="s">
        <v>129</v>
      </c>
      <c r="K251" s="3" t="s">
        <v>150</v>
      </c>
      <c r="L251" s="20" t="s">
        <v>151</v>
      </c>
      <c r="M251" s="20"/>
    </row>
    <row r="252" spans="1:19" ht="17.25" thickBot="1" x14ac:dyDescent="0.35">
      <c r="A252" s="6">
        <v>1</v>
      </c>
      <c r="B252" s="13">
        <v>0</v>
      </c>
      <c r="C252" s="2">
        <v>14569</v>
      </c>
      <c r="D252" s="2">
        <v>6817892</v>
      </c>
      <c r="E252" s="2">
        <v>89319</v>
      </c>
      <c r="F252" s="2">
        <v>22.537199999999999</v>
      </c>
      <c r="G252" s="2">
        <v>0.22370000000000001</v>
      </c>
      <c r="H252" s="2">
        <v>22.098500000000001</v>
      </c>
      <c r="I252" s="2">
        <v>22.975899999999999</v>
      </c>
      <c r="J252" s="2">
        <v>82.477999999999994</v>
      </c>
      <c r="K252" s="2">
        <v>0.37</v>
      </c>
      <c r="L252" s="2">
        <v>81.752600000000001</v>
      </c>
      <c r="M252" s="2">
        <v>83.203400000000002</v>
      </c>
      <c r="O252">
        <f t="shared" ref="O252:O253" si="150">J252</f>
        <v>82.477999999999994</v>
      </c>
      <c r="P252">
        <f t="shared" ref="P252:Q253" si="151">L252</f>
        <v>81.752600000000001</v>
      </c>
      <c r="Q252">
        <f t="shared" si="151"/>
        <v>83.203400000000002</v>
      </c>
      <c r="S252" t="str">
        <f t="shared" ref="S252:S253" si="152">TEXT(O252,"0.00")&amp;" ("&amp;TEXT(P252,"0.00")&amp;" to "&amp;TEXT(Q252,"0.00")&amp;")"</f>
        <v>82.48 (81.75 to 83.20)</v>
      </c>
    </row>
    <row r="253" spans="1:19" ht="17.25" thickBot="1" x14ac:dyDescent="0.35">
      <c r="A253" s="6"/>
      <c r="B253" s="13">
        <v>1</v>
      </c>
      <c r="C253" s="2">
        <v>2590</v>
      </c>
      <c r="D253" s="2">
        <v>1448420</v>
      </c>
      <c r="E253" s="2">
        <v>35893</v>
      </c>
      <c r="F253" s="2">
        <v>4.7878999999999996</v>
      </c>
      <c r="G253" s="2">
        <v>0.11169999999999999</v>
      </c>
      <c r="H253" s="2">
        <v>4.5688000000000004</v>
      </c>
      <c r="I253" s="2">
        <v>5.0069999999999997</v>
      </c>
      <c r="J253" s="2">
        <v>17.521999999999998</v>
      </c>
      <c r="K253" s="2">
        <v>0.37</v>
      </c>
      <c r="L253" s="2">
        <v>16.796600000000002</v>
      </c>
      <c r="M253" s="2">
        <v>18.247399999999999</v>
      </c>
      <c r="O253">
        <f t="shared" si="150"/>
        <v>17.521999999999998</v>
      </c>
      <c r="P253">
        <f t="shared" si="151"/>
        <v>16.796600000000002</v>
      </c>
      <c r="Q253">
        <f t="shared" si="151"/>
        <v>18.247399999999999</v>
      </c>
      <c r="S253" t="str">
        <f t="shared" si="152"/>
        <v>17.52 (16.80 to 18.25)</v>
      </c>
    </row>
    <row r="254" spans="1:19" ht="17.25" thickBot="1" x14ac:dyDescent="0.35">
      <c r="A254" s="6"/>
      <c r="B254" s="13" t="s">
        <v>132</v>
      </c>
      <c r="C254" s="2">
        <v>17159</v>
      </c>
      <c r="D254" s="2">
        <v>8266312</v>
      </c>
      <c r="E254" s="2">
        <v>102733</v>
      </c>
      <c r="F254" s="2">
        <v>27.325099999999999</v>
      </c>
      <c r="G254" s="2">
        <v>0.24740000000000001</v>
      </c>
      <c r="H254" s="2">
        <v>26.8399</v>
      </c>
      <c r="I254" s="2">
        <v>27.810199999999998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3">
        <v>0</v>
      </c>
      <c r="C255" s="2">
        <v>13378</v>
      </c>
      <c r="D255" s="2">
        <v>5845252</v>
      </c>
      <c r="E255" s="2">
        <v>74125</v>
      </c>
      <c r="F255" s="2">
        <v>19.321999999999999</v>
      </c>
      <c r="G255" s="2">
        <v>0.1827</v>
      </c>
      <c r="H255" s="2">
        <v>18.963699999999999</v>
      </c>
      <c r="I255" s="2">
        <v>19.680299999999999</v>
      </c>
      <c r="J255" s="2">
        <v>74.922799999999995</v>
      </c>
      <c r="K255" s="2">
        <v>0.41639999999999999</v>
      </c>
      <c r="L255" s="2">
        <v>74.106200000000001</v>
      </c>
      <c r="M255" s="2">
        <v>75.739400000000003</v>
      </c>
      <c r="O255">
        <f t="shared" ref="O255:O256" si="153">J255</f>
        <v>74.922799999999995</v>
      </c>
      <c r="P255">
        <f t="shared" ref="P255:Q256" si="154">L255</f>
        <v>74.106200000000001</v>
      </c>
      <c r="Q255">
        <f t="shared" si="154"/>
        <v>75.739400000000003</v>
      </c>
      <c r="S255" t="str">
        <f t="shared" ref="S255:S256" si="155">TEXT(O255,"0.00")&amp;" ("&amp;TEXT(P255,"0.00")&amp;" to "&amp;TEXT(Q255,"0.00")&amp;")"</f>
        <v>74.92 (74.11 to 75.74)</v>
      </c>
    </row>
    <row r="256" spans="1:19" ht="17.25" thickBot="1" x14ac:dyDescent="0.35">
      <c r="A256" s="6"/>
      <c r="B256" s="13">
        <v>1</v>
      </c>
      <c r="C256" s="2">
        <v>3780</v>
      </c>
      <c r="D256" s="2">
        <v>1956448</v>
      </c>
      <c r="E256" s="2">
        <v>39047</v>
      </c>
      <c r="F256" s="2">
        <v>6.4672000000000001</v>
      </c>
      <c r="G256" s="2">
        <v>0.12130000000000001</v>
      </c>
      <c r="H256" s="2">
        <v>6.2294</v>
      </c>
      <c r="I256" s="2">
        <v>6.7050999999999998</v>
      </c>
      <c r="J256" s="2">
        <v>25.077200000000001</v>
      </c>
      <c r="K256" s="2">
        <v>0.41639999999999999</v>
      </c>
      <c r="L256" s="2">
        <v>24.2606</v>
      </c>
      <c r="M256" s="2">
        <v>25.893799999999999</v>
      </c>
      <c r="O256">
        <f t="shared" si="153"/>
        <v>25.077200000000001</v>
      </c>
      <c r="P256">
        <f t="shared" si="154"/>
        <v>24.2606</v>
      </c>
      <c r="Q256">
        <f t="shared" si="154"/>
        <v>25.893799999999999</v>
      </c>
      <c r="S256" t="str">
        <f t="shared" si="155"/>
        <v>25.08 (24.26 to 25.89)</v>
      </c>
    </row>
    <row r="257" spans="1:19" ht="17.25" thickBot="1" x14ac:dyDescent="0.35">
      <c r="A257" s="6"/>
      <c r="B257" s="13" t="s">
        <v>132</v>
      </c>
      <c r="C257" s="2">
        <v>17158</v>
      </c>
      <c r="D257" s="2">
        <v>7801700</v>
      </c>
      <c r="E257" s="2">
        <v>88291</v>
      </c>
      <c r="F257" s="2">
        <v>25.789200000000001</v>
      </c>
      <c r="G257" s="2">
        <v>0.2046</v>
      </c>
      <c r="H257" s="2">
        <v>25.388100000000001</v>
      </c>
      <c r="I257" s="2">
        <v>26.1904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3">
        <v>0</v>
      </c>
      <c r="C258" s="2">
        <v>12591</v>
      </c>
      <c r="D258" s="2">
        <v>5077988</v>
      </c>
      <c r="E258" s="2">
        <v>64627</v>
      </c>
      <c r="F258" s="2">
        <v>16.785799999999998</v>
      </c>
      <c r="G258" s="2">
        <v>0.17519999999999999</v>
      </c>
      <c r="H258" s="2">
        <v>16.4422</v>
      </c>
      <c r="I258" s="2">
        <v>17.129300000000001</v>
      </c>
      <c r="J258" s="2">
        <v>69.370099999999994</v>
      </c>
      <c r="K258" s="2">
        <v>0.4501</v>
      </c>
      <c r="L258" s="2">
        <v>68.487499999999997</v>
      </c>
      <c r="M258" s="2">
        <v>70.252700000000004</v>
      </c>
      <c r="O258">
        <f t="shared" ref="O258:O259" si="156">J258</f>
        <v>69.370099999999994</v>
      </c>
      <c r="P258">
        <f t="shared" ref="P258:Q259" si="157">L258</f>
        <v>68.487499999999997</v>
      </c>
      <c r="Q258">
        <f t="shared" si="157"/>
        <v>70.252700000000004</v>
      </c>
      <c r="S258" t="str">
        <f t="shared" ref="S258:S259" si="158">TEXT(O258,"0.00")&amp;" ("&amp;TEXT(P258,"0.00")&amp;" to "&amp;TEXT(Q258,"0.00")&amp;")"</f>
        <v>69.37 (68.49 to 70.25)</v>
      </c>
    </row>
    <row r="259" spans="1:19" ht="17.25" thickBot="1" x14ac:dyDescent="0.35">
      <c r="A259" s="6"/>
      <c r="B259" s="13">
        <v>1</v>
      </c>
      <c r="C259" s="2">
        <v>4568</v>
      </c>
      <c r="D259" s="2">
        <v>2242156</v>
      </c>
      <c r="E259" s="2">
        <v>41644</v>
      </c>
      <c r="F259" s="2">
        <v>7.4116999999999997</v>
      </c>
      <c r="G259" s="2">
        <v>0.12640000000000001</v>
      </c>
      <c r="H259" s="2">
        <v>7.1638000000000002</v>
      </c>
      <c r="I259" s="2">
        <v>7.6595000000000004</v>
      </c>
      <c r="J259" s="2">
        <v>30.629899999999999</v>
      </c>
      <c r="K259" s="2">
        <v>0.4501</v>
      </c>
      <c r="L259" s="2">
        <v>29.747299999999999</v>
      </c>
      <c r="M259" s="2">
        <v>31.512499999999999</v>
      </c>
      <c r="O259">
        <f t="shared" si="156"/>
        <v>30.629899999999999</v>
      </c>
      <c r="P259">
        <f t="shared" si="157"/>
        <v>29.747299999999999</v>
      </c>
      <c r="Q259">
        <f t="shared" si="157"/>
        <v>31.512499999999999</v>
      </c>
      <c r="S259" t="str">
        <f t="shared" si="158"/>
        <v>30.63 (29.75 to 31.51)</v>
      </c>
    </row>
    <row r="260" spans="1:19" ht="17.25" thickBot="1" x14ac:dyDescent="0.35">
      <c r="A260" s="6"/>
      <c r="B260" s="13" t="s">
        <v>132</v>
      </c>
      <c r="C260" s="2">
        <v>17159</v>
      </c>
      <c r="D260" s="2">
        <v>7320143</v>
      </c>
      <c r="E260" s="2">
        <v>81075</v>
      </c>
      <c r="F260" s="2">
        <v>24.197399999999998</v>
      </c>
      <c r="G260" s="2">
        <v>0.20150000000000001</v>
      </c>
      <c r="H260" s="2">
        <v>23.802399999999999</v>
      </c>
      <c r="I260" s="2">
        <v>24.592500000000001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3">
        <v>0</v>
      </c>
      <c r="C261" s="2">
        <v>11525</v>
      </c>
      <c r="D261" s="2">
        <v>4326852</v>
      </c>
      <c r="E261" s="2">
        <v>57820</v>
      </c>
      <c r="F261" s="2">
        <v>14.3028</v>
      </c>
      <c r="G261" s="2">
        <v>0.17419999999999999</v>
      </c>
      <c r="H261" s="2">
        <v>13.9613</v>
      </c>
      <c r="I261" s="2">
        <v>14.644299999999999</v>
      </c>
      <c r="J261" s="2">
        <v>63.040599999999998</v>
      </c>
      <c r="K261" s="2">
        <v>0.46860000000000002</v>
      </c>
      <c r="L261" s="2">
        <v>62.121600000000001</v>
      </c>
      <c r="M261" s="2">
        <v>63.959499999999998</v>
      </c>
      <c r="O261">
        <f t="shared" ref="O261:O262" si="159">J261</f>
        <v>63.040599999999998</v>
      </c>
      <c r="P261">
        <f t="shared" ref="P261:Q262" si="160">L261</f>
        <v>62.121600000000001</v>
      </c>
      <c r="Q261">
        <f t="shared" si="160"/>
        <v>63.959499999999998</v>
      </c>
      <c r="S261" t="str">
        <f t="shared" ref="S261:S262" si="161">TEXT(O261,"0.00")&amp;" ("&amp;TEXT(P261,"0.00")&amp;" to "&amp;TEXT(Q261,"0.00")&amp;")"</f>
        <v>63.04 (62.12 to 63.96)</v>
      </c>
    </row>
    <row r="262" spans="1:19" ht="17.25" thickBot="1" x14ac:dyDescent="0.35">
      <c r="A262" s="6"/>
      <c r="B262" s="13">
        <v>1</v>
      </c>
      <c r="C262" s="2">
        <v>5633</v>
      </c>
      <c r="D262" s="2">
        <v>2536749</v>
      </c>
      <c r="E262" s="2">
        <v>43343</v>
      </c>
      <c r="F262" s="2">
        <v>8.3855000000000004</v>
      </c>
      <c r="G262" s="2">
        <v>0.1331</v>
      </c>
      <c r="H262" s="2">
        <v>8.1243999999999996</v>
      </c>
      <c r="I262" s="2">
        <v>8.6464999999999996</v>
      </c>
      <c r="J262" s="2">
        <v>36.959400000000002</v>
      </c>
      <c r="K262" s="2">
        <v>0.46860000000000002</v>
      </c>
      <c r="L262" s="2">
        <v>36.040500000000002</v>
      </c>
      <c r="M262" s="2">
        <v>37.878399999999999</v>
      </c>
      <c r="O262">
        <f t="shared" si="159"/>
        <v>36.959400000000002</v>
      </c>
      <c r="P262">
        <f t="shared" si="160"/>
        <v>36.040500000000002</v>
      </c>
      <c r="Q262">
        <f t="shared" si="160"/>
        <v>37.878399999999999</v>
      </c>
      <c r="S262" t="str">
        <f t="shared" si="161"/>
        <v>36.96 (36.04 to 37.88)</v>
      </c>
    </row>
    <row r="263" spans="1:19" ht="17.25" thickBot="1" x14ac:dyDescent="0.35">
      <c r="A263" s="6"/>
      <c r="B263" s="13" t="s">
        <v>132</v>
      </c>
      <c r="C263" s="2">
        <v>17158</v>
      </c>
      <c r="D263" s="2">
        <v>6863601</v>
      </c>
      <c r="E263" s="2">
        <v>77106</v>
      </c>
      <c r="F263" s="2">
        <v>22.688300000000002</v>
      </c>
      <c r="G263" s="2">
        <v>0.21809999999999999</v>
      </c>
      <c r="H263" s="2">
        <v>22.2607</v>
      </c>
      <c r="I263" s="2">
        <v>23.1159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3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162">J264</f>
        <v>0</v>
      </c>
      <c r="P264">
        <f t="shared" ref="P264:Q265" si="163">L264</f>
        <v>0</v>
      </c>
      <c r="Q264">
        <f t="shared" si="163"/>
        <v>0</v>
      </c>
      <c r="S264" t="str">
        <f t="shared" ref="S264:S265" si="164">TEXT(O264,"0.00")&amp;" ("&amp;TEXT(P264,"0.00")&amp;" to "&amp;TEXT(Q264,"0.00")&amp;")"</f>
        <v>0.00 (0.00 to 0.00)</v>
      </c>
    </row>
    <row r="265" spans="1:19" ht="17.25" thickBot="1" x14ac:dyDescent="0.35">
      <c r="A265" s="6"/>
      <c r="B265" s="13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162"/>
        <v>0</v>
      </c>
      <c r="P265">
        <f t="shared" si="163"/>
        <v>0</v>
      </c>
      <c r="Q265">
        <f t="shared" si="163"/>
        <v>0</v>
      </c>
      <c r="S265" t="str">
        <f t="shared" si="164"/>
        <v>0.00 (0.00 to 0.00)</v>
      </c>
    </row>
    <row r="266" spans="1:19" x14ac:dyDescent="0.3">
      <c r="A266" s="6"/>
      <c r="B266" s="16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17" t="s">
        <v>178</v>
      </c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 spans="1:19" ht="33" customHeight="1" x14ac:dyDescent="0.3">
      <c r="A269" s="18" t="s">
        <v>41</v>
      </c>
      <c r="B269" s="20" t="s">
        <v>15</v>
      </c>
      <c r="C269" s="20" t="s">
        <v>125</v>
      </c>
      <c r="D269" s="3" t="s">
        <v>126</v>
      </c>
      <c r="E269" s="3" t="s">
        <v>127</v>
      </c>
      <c r="F269" s="20" t="s">
        <v>129</v>
      </c>
      <c r="G269" s="3" t="s">
        <v>127</v>
      </c>
      <c r="H269" s="20" t="s">
        <v>130</v>
      </c>
      <c r="I269" s="20"/>
      <c r="J269" s="3" t="s">
        <v>149</v>
      </c>
      <c r="K269" s="3" t="s">
        <v>127</v>
      </c>
      <c r="L269" s="20" t="s">
        <v>130</v>
      </c>
      <c r="M269" s="20"/>
    </row>
    <row r="270" spans="1:19" ht="33" x14ac:dyDescent="0.3">
      <c r="A270" s="18"/>
      <c r="B270" s="20"/>
      <c r="C270" s="20"/>
      <c r="D270" s="3" t="s">
        <v>125</v>
      </c>
      <c r="E270" s="3" t="s">
        <v>128</v>
      </c>
      <c r="F270" s="20"/>
      <c r="G270" s="3" t="s">
        <v>129</v>
      </c>
      <c r="H270" s="20" t="s">
        <v>131</v>
      </c>
      <c r="I270" s="20"/>
      <c r="J270" s="3" t="s">
        <v>129</v>
      </c>
      <c r="K270" s="3" t="s">
        <v>150</v>
      </c>
      <c r="L270" s="20" t="s">
        <v>151</v>
      </c>
      <c r="M270" s="20"/>
    </row>
    <row r="271" spans="1:19" ht="17.25" thickBot="1" x14ac:dyDescent="0.35">
      <c r="A271" s="6">
        <v>1</v>
      </c>
      <c r="B271" s="13">
        <v>0</v>
      </c>
      <c r="C271" s="2">
        <v>16198</v>
      </c>
      <c r="D271" s="2">
        <v>7912898</v>
      </c>
      <c r="E271" s="2">
        <v>100466</v>
      </c>
      <c r="F271" s="2">
        <v>26.1568</v>
      </c>
      <c r="G271" s="2">
        <v>0.24379999999999999</v>
      </c>
      <c r="H271" s="2">
        <v>25.678799999999999</v>
      </c>
      <c r="I271" s="2">
        <v>26.634799999999998</v>
      </c>
      <c r="J271" s="2">
        <v>95.724699999999999</v>
      </c>
      <c r="K271" s="2">
        <v>0.1646</v>
      </c>
      <c r="L271" s="2">
        <v>95.401899999999998</v>
      </c>
      <c r="M271" s="2">
        <v>96.047399999999996</v>
      </c>
      <c r="O271">
        <f t="shared" ref="O271:O272" si="165">J271</f>
        <v>95.724699999999999</v>
      </c>
      <c r="P271">
        <f t="shared" ref="P271:Q272" si="166">L271</f>
        <v>95.401899999999998</v>
      </c>
      <c r="Q271">
        <f t="shared" si="166"/>
        <v>96.047399999999996</v>
      </c>
      <c r="S271" t="str">
        <f t="shared" ref="S271:S272" si="167">TEXT(O271,"0.00")&amp;" ("&amp;TEXT(P271,"0.00")&amp;" to "&amp;TEXT(Q271,"0.00")&amp;")"</f>
        <v>95.72 (95.40 to 96.05)</v>
      </c>
    </row>
    <row r="272" spans="1:19" ht="17.25" thickBot="1" x14ac:dyDescent="0.35">
      <c r="A272" s="6"/>
      <c r="B272" s="13">
        <v>1</v>
      </c>
      <c r="C272" s="2">
        <v>961</v>
      </c>
      <c r="D272" s="2">
        <v>353414</v>
      </c>
      <c r="E272" s="2">
        <v>13922</v>
      </c>
      <c r="F272" s="2">
        <v>1.1681999999999999</v>
      </c>
      <c r="G272" s="2">
        <v>4.5600000000000002E-2</v>
      </c>
      <c r="H272" s="2">
        <v>1.0789</v>
      </c>
      <c r="I272" s="2">
        <v>1.2576000000000001</v>
      </c>
      <c r="J272" s="2">
        <v>4.2752999999999997</v>
      </c>
      <c r="K272" s="2">
        <v>0.1646</v>
      </c>
      <c r="L272" s="2">
        <v>3.9525999999999999</v>
      </c>
      <c r="M272" s="2">
        <v>4.5980999999999996</v>
      </c>
      <c r="O272">
        <f t="shared" si="165"/>
        <v>4.2752999999999997</v>
      </c>
      <c r="P272">
        <f t="shared" si="166"/>
        <v>3.9525999999999999</v>
      </c>
      <c r="Q272">
        <f t="shared" si="166"/>
        <v>4.5980999999999996</v>
      </c>
      <c r="S272" t="str">
        <f t="shared" si="167"/>
        <v>4.28 (3.95 to 4.60)</v>
      </c>
    </row>
    <row r="273" spans="1:19" ht="17.25" thickBot="1" x14ac:dyDescent="0.35">
      <c r="A273" s="6"/>
      <c r="B273" s="13" t="s">
        <v>132</v>
      </c>
      <c r="C273" s="2">
        <v>17159</v>
      </c>
      <c r="D273" s="2">
        <v>8266312</v>
      </c>
      <c r="E273" s="2">
        <v>102733</v>
      </c>
      <c r="F273" s="2">
        <v>27.325099999999999</v>
      </c>
      <c r="G273" s="2">
        <v>0.24740000000000001</v>
      </c>
      <c r="H273" s="2">
        <v>26.8399</v>
      </c>
      <c r="I273" s="2">
        <v>27.810199999999998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3">
        <v>0</v>
      </c>
      <c r="C274" s="2">
        <v>14524</v>
      </c>
      <c r="D274" s="2">
        <v>6867445</v>
      </c>
      <c r="E274" s="2">
        <v>82686</v>
      </c>
      <c r="F274" s="2">
        <v>22.701000000000001</v>
      </c>
      <c r="G274" s="2">
        <v>0.19819999999999999</v>
      </c>
      <c r="H274" s="2">
        <v>22.3124</v>
      </c>
      <c r="I274" s="2">
        <v>23.089600000000001</v>
      </c>
      <c r="J274" s="2">
        <v>88.025000000000006</v>
      </c>
      <c r="K274" s="2">
        <v>0.27800000000000002</v>
      </c>
      <c r="L274" s="2">
        <v>87.479799999999997</v>
      </c>
      <c r="M274" s="2">
        <v>88.570099999999996</v>
      </c>
      <c r="O274">
        <f t="shared" ref="O274:O275" si="168">J274</f>
        <v>88.025000000000006</v>
      </c>
      <c r="P274">
        <f t="shared" ref="P274:Q275" si="169">L274</f>
        <v>87.479799999999997</v>
      </c>
      <c r="Q274">
        <f t="shared" si="169"/>
        <v>88.570099999999996</v>
      </c>
      <c r="S274" t="str">
        <f t="shared" ref="S274:S275" si="170">TEXT(O274,"0.00")&amp;" ("&amp;TEXT(P274,"0.00")&amp;" to "&amp;TEXT(Q274,"0.00")&amp;")"</f>
        <v>88.03 (87.48 to 88.57)</v>
      </c>
    </row>
    <row r="275" spans="1:19" ht="17.25" thickBot="1" x14ac:dyDescent="0.35">
      <c r="A275" s="6"/>
      <c r="B275" s="13">
        <v>1</v>
      </c>
      <c r="C275" s="2">
        <v>2634</v>
      </c>
      <c r="D275" s="2">
        <v>934255</v>
      </c>
      <c r="E275" s="2">
        <v>23193</v>
      </c>
      <c r="F275" s="2">
        <v>3.0882999999999998</v>
      </c>
      <c r="G275" s="2">
        <v>7.4200000000000002E-2</v>
      </c>
      <c r="H275" s="2">
        <v>2.9426999999999999</v>
      </c>
      <c r="I275" s="2">
        <v>3.2338</v>
      </c>
      <c r="J275" s="2">
        <v>11.975</v>
      </c>
      <c r="K275" s="2">
        <v>0.27800000000000002</v>
      </c>
      <c r="L275" s="2">
        <v>11.4299</v>
      </c>
      <c r="M275" s="2">
        <v>12.520200000000001</v>
      </c>
      <c r="O275">
        <f t="shared" si="168"/>
        <v>11.975</v>
      </c>
      <c r="P275">
        <f t="shared" si="169"/>
        <v>11.4299</v>
      </c>
      <c r="Q275">
        <f t="shared" si="169"/>
        <v>12.520200000000001</v>
      </c>
      <c r="S275" t="str">
        <f t="shared" si="170"/>
        <v>11.98 (11.43 to 12.52)</v>
      </c>
    </row>
    <row r="276" spans="1:19" ht="17.25" thickBot="1" x14ac:dyDescent="0.35">
      <c r="A276" s="6"/>
      <c r="B276" s="13" t="s">
        <v>132</v>
      </c>
      <c r="C276" s="2">
        <v>17158</v>
      </c>
      <c r="D276" s="2">
        <v>7801700</v>
      </c>
      <c r="E276" s="2">
        <v>88291</v>
      </c>
      <c r="F276" s="2">
        <v>25.789200000000001</v>
      </c>
      <c r="G276" s="2">
        <v>0.2046</v>
      </c>
      <c r="H276" s="2">
        <v>25.388100000000001</v>
      </c>
      <c r="I276" s="2">
        <v>26.1904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3">
        <v>0</v>
      </c>
      <c r="C277" s="2">
        <v>12670</v>
      </c>
      <c r="D277" s="2">
        <v>5759173</v>
      </c>
      <c r="E277" s="2">
        <v>72329</v>
      </c>
      <c r="F277" s="2">
        <v>19.037500000000001</v>
      </c>
      <c r="G277" s="2">
        <v>0.1852</v>
      </c>
      <c r="H277" s="2">
        <v>18.674299999999999</v>
      </c>
      <c r="I277" s="2">
        <v>19.400700000000001</v>
      </c>
      <c r="J277" s="2">
        <v>78.675700000000006</v>
      </c>
      <c r="K277" s="2">
        <v>0.37580000000000002</v>
      </c>
      <c r="L277" s="2">
        <v>77.938800000000001</v>
      </c>
      <c r="M277" s="2">
        <v>79.412599999999998</v>
      </c>
      <c r="O277">
        <f t="shared" ref="O277:O278" si="171">J277</f>
        <v>78.675700000000006</v>
      </c>
      <c r="P277">
        <f t="shared" ref="P277:Q278" si="172">L277</f>
        <v>77.938800000000001</v>
      </c>
      <c r="Q277">
        <f t="shared" si="172"/>
        <v>79.412599999999998</v>
      </c>
      <c r="S277" t="str">
        <f t="shared" ref="S277:S278" si="173">TEXT(O277,"0.00")&amp;" ("&amp;TEXT(P277,"0.00")&amp;" to "&amp;TEXT(Q277,"0.00")&amp;")"</f>
        <v>78.68 (77.94 to 79.41)</v>
      </c>
    </row>
    <row r="278" spans="1:19" ht="17.25" thickBot="1" x14ac:dyDescent="0.35">
      <c r="A278" s="6"/>
      <c r="B278" s="13">
        <v>1</v>
      </c>
      <c r="C278" s="2">
        <v>4489</v>
      </c>
      <c r="D278" s="2">
        <v>1560970</v>
      </c>
      <c r="E278" s="2">
        <v>30751</v>
      </c>
      <c r="F278" s="2">
        <v>5.1599000000000004</v>
      </c>
      <c r="G278" s="2">
        <v>9.9299999999999999E-2</v>
      </c>
      <c r="H278" s="2">
        <v>4.9652000000000003</v>
      </c>
      <c r="I278" s="2">
        <v>5.3547000000000002</v>
      </c>
      <c r="J278" s="2">
        <v>21.324300000000001</v>
      </c>
      <c r="K278" s="2">
        <v>0.37580000000000002</v>
      </c>
      <c r="L278" s="2">
        <v>20.587399999999999</v>
      </c>
      <c r="M278" s="2">
        <v>22.061199999999999</v>
      </c>
      <c r="O278">
        <f t="shared" si="171"/>
        <v>21.324300000000001</v>
      </c>
      <c r="P278">
        <f t="shared" si="172"/>
        <v>20.587399999999999</v>
      </c>
      <c r="Q278">
        <f t="shared" si="172"/>
        <v>22.061199999999999</v>
      </c>
      <c r="S278" t="str">
        <f t="shared" si="173"/>
        <v>21.32 (20.59 to 22.06)</v>
      </c>
    </row>
    <row r="279" spans="1:19" ht="17.25" thickBot="1" x14ac:dyDescent="0.35">
      <c r="A279" s="6"/>
      <c r="B279" s="13" t="s">
        <v>132</v>
      </c>
      <c r="C279" s="2">
        <v>17159</v>
      </c>
      <c r="D279" s="2">
        <v>7320143</v>
      </c>
      <c r="E279" s="2">
        <v>81075</v>
      </c>
      <c r="F279" s="2">
        <v>24.197399999999998</v>
      </c>
      <c r="G279" s="2">
        <v>0.20150000000000001</v>
      </c>
      <c r="H279" s="2">
        <v>23.802399999999999</v>
      </c>
      <c r="I279" s="2">
        <v>24.592500000000001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3">
        <v>0</v>
      </c>
      <c r="C280" s="2">
        <v>10518</v>
      </c>
      <c r="D280" s="2">
        <v>4581231</v>
      </c>
      <c r="E280" s="2">
        <v>60726</v>
      </c>
      <c r="F280" s="2">
        <v>15.143700000000001</v>
      </c>
      <c r="G280" s="2">
        <v>0.17380000000000001</v>
      </c>
      <c r="H280" s="2">
        <v>14.802899999999999</v>
      </c>
      <c r="I280" s="2">
        <v>15.484400000000001</v>
      </c>
      <c r="J280" s="2">
        <v>66.746799999999993</v>
      </c>
      <c r="K280" s="2">
        <v>0.44440000000000002</v>
      </c>
      <c r="L280" s="2">
        <v>65.875399999999999</v>
      </c>
      <c r="M280" s="2">
        <v>67.618099999999998</v>
      </c>
      <c r="O280">
        <f t="shared" ref="O280:O281" si="174">J280</f>
        <v>66.746799999999993</v>
      </c>
      <c r="P280">
        <f t="shared" ref="P280:Q281" si="175">L280</f>
        <v>65.875399999999999</v>
      </c>
      <c r="Q280">
        <f t="shared" si="175"/>
        <v>67.618099999999998</v>
      </c>
      <c r="S280" t="str">
        <f t="shared" ref="S280:S281" si="176">TEXT(O280,"0.00")&amp;" ("&amp;TEXT(P280,"0.00")&amp;" to "&amp;TEXT(Q280,"0.00")&amp;")"</f>
        <v>66.75 (65.88 to 67.62)</v>
      </c>
    </row>
    <row r="281" spans="1:19" ht="17.25" thickBot="1" x14ac:dyDescent="0.35">
      <c r="A281" s="6"/>
      <c r="B281" s="13">
        <v>1</v>
      </c>
      <c r="C281" s="2">
        <v>6640</v>
      </c>
      <c r="D281" s="2">
        <v>2282370</v>
      </c>
      <c r="E281" s="2">
        <v>39163</v>
      </c>
      <c r="F281" s="2">
        <v>7.5446</v>
      </c>
      <c r="G281" s="2">
        <v>0.1265</v>
      </c>
      <c r="H281" s="2">
        <v>7.2965999999999998</v>
      </c>
      <c r="I281" s="2">
        <v>7.7926000000000002</v>
      </c>
      <c r="J281" s="2">
        <v>33.2532</v>
      </c>
      <c r="K281" s="2">
        <v>0.44440000000000002</v>
      </c>
      <c r="L281" s="2">
        <v>32.381900000000002</v>
      </c>
      <c r="M281" s="2">
        <v>34.124600000000001</v>
      </c>
      <c r="O281">
        <f t="shared" si="174"/>
        <v>33.2532</v>
      </c>
      <c r="P281">
        <f t="shared" si="175"/>
        <v>32.381900000000002</v>
      </c>
      <c r="Q281">
        <f t="shared" si="175"/>
        <v>34.124600000000001</v>
      </c>
      <c r="S281" t="str">
        <f t="shared" si="176"/>
        <v>33.25 (32.38 to 34.12)</v>
      </c>
    </row>
    <row r="282" spans="1:19" ht="17.25" thickBot="1" x14ac:dyDescent="0.35">
      <c r="A282" s="6"/>
      <c r="B282" s="13" t="s">
        <v>132</v>
      </c>
      <c r="C282" s="2">
        <v>17158</v>
      </c>
      <c r="D282" s="2">
        <v>6863601</v>
      </c>
      <c r="E282" s="2">
        <v>77106</v>
      </c>
      <c r="F282" s="2">
        <v>22.688300000000002</v>
      </c>
      <c r="G282" s="2">
        <v>0.21809999999999999</v>
      </c>
      <c r="H282" s="2">
        <v>22.2607</v>
      </c>
      <c r="I282" s="2">
        <v>23.1159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3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177">J283</f>
        <v>0</v>
      </c>
      <c r="P283">
        <f t="shared" ref="P283:Q284" si="178">L283</f>
        <v>0</v>
      </c>
      <c r="Q283">
        <f t="shared" si="178"/>
        <v>0</v>
      </c>
      <c r="S283" t="str">
        <f t="shared" ref="S283:S284" si="17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3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177"/>
        <v>0</v>
      </c>
      <c r="P284">
        <f t="shared" si="178"/>
        <v>0</v>
      </c>
      <c r="Q284">
        <f t="shared" si="178"/>
        <v>0</v>
      </c>
      <c r="S284" t="str">
        <f t="shared" si="179"/>
        <v>0.00 (0.00 to 0.00)</v>
      </c>
    </row>
    <row r="285" spans="1:19" x14ac:dyDescent="0.3">
      <c r="A285" s="6"/>
      <c r="B285" s="16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17" t="s">
        <v>179</v>
      </c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</row>
    <row r="288" spans="1:19" ht="33" customHeight="1" x14ac:dyDescent="0.3">
      <c r="A288" s="18" t="s">
        <v>41</v>
      </c>
      <c r="B288" s="20" t="s">
        <v>16</v>
      </c>
      <c r="C288" s="20" t="s">
        <v>125</v>
      </c>
      <c r="D288" s="3" t="s">
        <v>126</v>
      </c>
      <c r="E288" s="3" t="s">
        <v>127</v>
      </c>
      <c r="F288" s="20" t="s">
        <v>129</v>
      </c>
      <c r="G288" s="3" t="s">
        <v>127</v>
      </c>
      <c r="H288" s="20" t="s">
        <v>130</v>
      </c>
      <c r="I288" s="20"/>
      <c r="J288" s="3" t="s">
        <v>149</v>
      </c>
      <c r="K288" s="3" t="s">
        <v>127</v>
      </c>
      <c r="L288" s="20" t="s">
        <v>130</v>
      </c>
      <c r="M288" s="20"/>
    </row>
    <row r="289" spans="1:19" ht="33" x14ac:dyDescent="0.3">
      <c r="A289" s="18"/>
      <c r="B289" s="20"/>
      <c r="C289" s="20"/>
      <c r="D289" s="3" t="s">
        <v>125</v>
      </c>
      <c r="E289" s="3" t="s">
        <v>128</v>
      </c>
      <c r="F289" s="20"/>
      <c r="G289" s="3" t="s">
        <v>129</v>
      </c>
      <c r="H289" s="20" t="s">
        <v>131</v>
      </c>
      <c r="I289" s="20"/>
      <c r="J289" s="3" t="s">
        <v>129</v>
      </c>
      <c r="K289" s="3" t="s">
        <v>150</v>
      </c>
      <c r="L289" s="20" t="s">
        <v>151</v>
      </c>
      <c r="M289" s="20"/>
    </row>
    <row r="290" spans="1:19" ht="17.25" thickBot="1" x14ac:dyDescent="0.35">
      <c r="A290" s="6">
        <v>1</v>
      </c>
      <c r="B290" s="13">
        <v>0</v>
      </c>
      <c r="C290" s="2">
        <v>16432</v>
      </c>
      <c r="D290" s="2">
        <v>7987712</v>
      </c>
      <c r="E290" s="2">
        <v>99964</v>
      </c>
      <c r="F290" s="2">
        <v>26.4041</v>
      </c>
      <c r="G290" s="2">
        <v>0.24099999999999999</v>
      </c>
      <c r="H290" s="2">
        <v>25.9315</v>
      </c>
      <c r="I290" s="2">
        <v>26.8767</v>
      </c>
      <c r="J290" s="2">
        <v>96.6297</v>
      </c>
      <c r="K290" s="2">
        <v>0.14349999999999999</v>
      </c>
      <c r="L290" s="2">
        <v>96.348399999999998</v>
      </c>
      <c r="M290" s="2">
        <v>96.911000000000001</v>
      </c>
      <c r="O290">
        <f t="shared" ref="O290:O291" si="180">J290</f>
        <v>96.6297</v>
      </c>
      <c r="P290">
        <f t="shared" ref="P290:Q291" si="181">L290</f>
        <v>96.348399999999998</v>
      </c>
      <c r="Q290">
        <f t="shared" si="181"/>
        <v>96.911000000000001</v>
      </c>
      <c r="S290" t="str">
        <f t="shared" ref="S290:S291" si="182">TEXT(O290,"0.00")&amp;" ("&amp;TEXT(P290,"0.00")&amp;" to "&amp;TEXT(Q290,"0.00")&amp;")"</f>
        <v>96.63 (96.35 to 96.91)</v>
      </c>
    </row>
    <row r="291" spans="1:19" ht="17.25" thickBot="1" x14ac:dyDescent="0.35">
      <c r="A291" s="6"/>
      <c r="B291" s="13">
        <v>1</v>
      </c>
      <c r="C291" s="2">
        <v>727</v>
      </c>
      <c r="D291" s="2">
        <v>278600</v>
      </c>
      <c r="E291" s="2">
        <v>12357</v>
      </c>
      <c r="F291" s="2">
        <v>0.92090000000000005</v>
      </c>
      <c r="G291" s="2">
        <v>4.0300000000000002E-2</v>
      </c>
      <c r="H291" s="2">
        <v>0.84179999999999999</v>
      </c>
      <c r="I291" s="2">
        <v>1</v>
      </c>
      <c r="J291" s="2">
        <v>3.3702999999999999</v>
      </c>
      <c r="K291" s="2">
        <v>0.14349999999999999</v>
      </c>
      <c r="L291" s="2">
        <v>3.089</v>
      </c>
      <c r="M291" s="2">
        <v>3.6516000000000002</v>
      </c>
      <c r="O291">
        <f t="shared" si="180"/>
        <v>3.3702999999999999</v>
      </c>
      <c r="P291">
        <f t="shared" si="181"/>
        <v>3.089</v>
      </c>
      <c r="Q291">
        <f t="shared" si="181"/>
        <v>3.6516000000000002</v>
      </c>
      <c r="S291" t="str">
        <f t="shared" si="182"/>
        <v>3.37 (3.09 to 3.65)</v>
      </c>
    </row>
    <row r="292" spans="1:19" ht="17.25" thickBot="1" x14ac:dyDescent="0.35">
      <c r="A292" s="6"/>
      <c r="B292" s="13" t="s">
        <v>132</v>
      </c>
      <c r="C292" s="2">
        <v>17159</v>
      </c>
      <c r="D292" s="2">
        <v>8266312</v>
      </c>
      <c r="E292" s="2">
        <v>102733</v>
      </c>
      <c r="F292" s="2">
        <v>27.325099999999999</v>
      </c>
      <c r="G292" s="2">
        <v>0.24740000000000001</v>
      </c>
      <c r="H292" s="2">
        <v>26.8399</v>
      </c>
      <c r="I292" s="2">
        <v>27.810199999999998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3">
        <v>0</v>
      </c>
      <c r="C293" s="2">
        <v>15200</v>
      </c>
      <c r="D293" s="2">
        <v>7078350</v>
      </c>
      <c r="E293" s="2">
        <v>83843</v>
      </c>
      <c r="F293" s="2">
        <v>23.398099999999999</v>
      </c>
      <c r="G293" s="2">
        <v>0.19939999999999999</v>
      </c>
      <c r="H293" s="2">
        <v>23.007200000000001</v>
      </c>
      <c r="I293" s="2">
        <v>23.789100000000001</v>
      </c>
      <c r="J293" s="2">
        <v>90.728300000000004</v>
      </c>
      <c r="K293" s="2">
        <v>0.2445</v>
      </c>
      <c r="L293" s="2">
        <v>90.248900000000006</v>
      </c>
      <c r="M293" s="2">
        <v>91.207800000000006</v>
      </c>
      <c r="O293">
        <f t="shared" ref="O293:O294" si="183">J293</f>
        <v>90.728300000000004</v>
      </c>
      <c r="P293">
        <f t="shared" ref="P293:Q294" si="184">L293</f>
        <v>90.248900000000006</v>
      </c>
      <c r="Q293">
        <f t="shared" si="184"/>
        <v>91.207800000000006</v>
      </c>
      <c r="S293" t="str">
        <f t="shared" ref="S293:S294" si="185">TEXT(O293,"0.00")&amp;" ("&amp;TEXT(P293,"0.00")&amp;" to "&amp;TEXT(Q293,"0.00")&amp;")"</f>
        <v>90.73 (90.25 to 91.21)</v>
      </c>
    </row>
    <row r="294" spans="1:19" ht="17.25" thickBot="1" x14ac:dyDescent="0.35">
      <c r="A294" s="6"/>
      <c r="B294" s="13">
        <v>1</v>
      </c>
      <c r="C294" s="2">
        <v>1958</v>
      </c>
      <c r="D294" s="2">
        <v>723350</v>
      </c>
      <c r="E294" s="2">
        <v>20137</v>
      </c>
      <c r="F294" s="2">
        <v>2.3910999999999998</v>
      </c>
      <c r="G294" s="2">
        <v>6.4799999999999996E-2</v>
      </c>
      <c r="H294" s="2">
        <v>2.2639999999999998</v>
      </c>
      <c r="I294" s="2">
        <v>2.5182000000000002</v>
      </c>
      <c r="J294" s="2">
        <v>9.2716999999999992</v>
      </c>
      <c r="K294" s="2">
        <v>0.2445</v>
      </c>
      <c r="L294" s="2">
        <v>8.7921999999999993</v>
      </c>
      <c r="M294" s="2">
        <v>9.7510999999999992</v>
      </c>
      <c r="O294">
        <f t="shared" si="183"/>
        <v>9.2716999999999992</v>
      </c>
      <c r="P294">
        <f t="shared" si="184"/>
        <v>8.7921999999999993</v>
      </c>
      <c r="Q294">
        <f t="shared" si="184"/>
        <v>9.7510999999999992</v>
      </c>
      <c r="S294" t="str">
        <f t="shared" si="185"/>
        <v>9.27 (8.79 to 9.75)</v>
      </c>
    </row>
    <row r="295" spans="1:19" ht="17.25" thickBot="1" x14ac:dyDescent="0.35">
      <c r="A295" s="6"/>
      <c r="B295" s="13" t="s">
        <v>132</v>
      </c>
      <c r="C295" s="2">
        <v>17158</v>
      </c>
      <c r="D295" s="2">
        <v>7801700</v>
      </c>
      <c r="E295" s="2">
        <v>88291</v>
      </c>
      <c r="F295" s="2">
        <v>25.789200000000001</v>
      </c>
      <c r="G295" s="2">
        <v>0.2046</v>
      </c>
      <c r="H295" s="2">
        <v>25.388100000000001</v>
      </c>
      <c r="I295" s="2">
        <v>26.1904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3">
        <v>0</v>
      </c>
      <c r="C296" s="2">
        <v>14040</v>
      </c>
      <c r="D296" s="2">
        <v>6158234</v>
      </c>
      <c r="E296" s="2">
        <v>73270</v>
      </c>
      <c r="F296" s="2">
        <v>20.3566</v>
      </c>
      <c r="G296" s="2">
        <v>0.18709999999999999</v>
      </c>
      <c r="H296" s="2">
        <v>19.989799999999999</v>
      </c>
      <c r="I296" s="2">
        <v>20.723400000000002</v>
      </c>
      <c r="J296" s="2">
        <v>84.127200000000002</v>
      </c>
      <c r="K296" s="2">
        <v>0.32350000000000001</v>
      </c>
      <c r="L296" s="2">
        <v>83.492900000000006</v>
      </c>
      <c r="M296" s="2">
        <v>84.761499999999998</v>
      </c>
      <c r="O296">
        <f t="shared" ref="O296:O297" si="186">J296</f>
        <v>84.127200000000002</v>
      </c>
      <c r="P296">
        <f t="shared" ref="P296:Q297" si="187">L296</f>
        <v>83.492900000000006</v>
      </c>
      <c r="Q296">
        <f t="shared" si="187"/>
        <v>84.761499999999998</v>
      </c>
      <c r="S296" t="str">
        <f t="shared" ref="S296:S297" si="188">TEXT(O296,"0.00")&amp;" ("&amp;TEXT(P296,"0.00")&amp;" to "&amp;TEXT(Q296,"0.00")&amp;")"</f>
        <v>84.13 (83.49 to 84.76)</v>
      </c>
    </row>
    <row r="297" spans="1:19" ht="17.25" thickBot="1" x14ac:dyDescent="0.35">
      <c r="A297" s="6"/>
      <c r="B297" s="13">
        <v>1</v>
      </c>
      <c r="C297" s="2">
        <v>3119</v>
      </c>
      <c r="D297" s="2">
        <v>1161910</v>
      </c>
      <c r="E297" s="2">
        <v>26400</v>
      </c>
      <c r="F297" s="2">
        <v>3.8408000000000002</v>
      </c>
      <c r="G297" s="2">
        <v>8.4400000000000003E-2</v>
      </c>
      <c r="H297" s="2">
        <v>3.6753</v>
      </c>
      <c r="I297" s="2">
        <v>4.0063000000000004</v>
      </c>
      <c r="J297" s="2">
        <v>15.8728</v>
      </c>
      <c r="K297" s="2">
        <v>0.32350000000000001</v>
      </c>
      <c r="L297" s="2">
        <v>15.2385</v>
      </c>
      <c r="M297" s="2">
        <v>16.507100000000001</v>
      </c>
      <c r="O297">
        <f t="shared" si="186"/>
        <v>15.8728</v>
      </c>
      <c r="P297">
        <f t="shared" si="187"/>
        <v>15.2385</v>
      </c>
      <c r="Q297">
        <f t="shared" si="187"/>
        <v>16.507100000000001</v>
      </c>
      <c r="S297" t="str">
        <f t="shared" si="188"/>
        <v>15.87 (15.24 to 16.51)</v>
      </c>
    </row>
    <row r="298" spans="1:19" ht="17.25" thickBot="1" x14ac:dyDescent="0.35">
      <c r="A298" s="6"/>
      <c r="B298" s="13" t="s">
        <v>132</v>
      </c>
      <c r="C298" s="2">
        <v>17159</v>
      </c>
      <c r="D298" s="2">
        <v>7320143</v>
      </c>
      <c r="E298" s="2">
        <v>81075</v>
      </c>
      <c r="F298" s="2">
        <v>24.197399999999998</v>
      </c>
      <c r="G298" s="2">
        <v>0.20150000000000001</v>
      </c>
      <c r="H298" s="2">
        <v>23.802399999999999</v>
      </c>
      <c r="I298" s="2">
        <v>24.592500000000001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3">
        <v>0</v>
      </c>
      <c r="C299" s="2">
        <v>12794</v>
      </c>
      <c r="D299" s="2">
        <v>5232732</v>
      </c>
      <c r="E299" s="2">
        <v>65642</v>
      </c>
      <c r="F299" s="2">
        <v>17.2973</v>
      </c>
      <c r="G299" s="2">
        <v>0.19059999999999999</v>
      </c>
      <c r="H299" s="2">
        <v>16.9236</v>
      </c>
      <c r="I299" s="2">
        <v>17.6709</v>
      </c>
      <c r="J299" s="2">
        <v>76.238900000000001</v>
      </c>
      <c r="K299" s="2">
        <v>0.39579999999999999</v>
      </c>
      <c r="L299" s="2">
        <v>75.462699999999998</v>
      </c>
      <c r="M299" s="2">
        <v>77.015000000000001</v>
      </c>
      <c r="O299">
        <f t="shared" ref="O299:O300" si="189">J299</f>
        <v>76.238900000000001</v>
      </c>
      <c r="P299">
        <f t="shared" ref="P299:Q300" si="190">L299</f>
        <v>75.462699999999998</v>
      </c>
      <c r="Q299">
        <f t="shared" si="190"/>
        <v>77.015000000000001</v>
      </c>
      <c r="S299" t="str">
        <f t="shared" ref="S299:S300" si="191">TEXT(O299,"0.00")&amp;" ("&amp;TEXT(P299,"0.00")&amp;" to "&amp;TEXT(Q299,"0.00")&amp;")"</f>
        <v>76.24 (75.46 to 77.02)</v>
      </c>
    </row>
    <row r="300" spans="1:19" ht="17.25" thickBot="1" x14ac:dyDescent="0.35">
      <c r="A300" s="6"/>
      <c r="B300" s="13">
        <v>1</v>
      </c>
      <c r="C300" s="2">
        <v>4364</v>
      </c>
      <c r="D300" s="2">
        <v>1630870</v>
      </c>
      <c r="E300" s="2">
        <v>32218</v>
      </c>
      <c r="F300" s="2">
        <v>5.391</v>
      </c>
      <c r="G300" s="2">
        <v>0.1028</v>
      </c>
      <c r="H300" s="2">
        <v>5.1894999999999998</v>
      </c>
      <c r="I300" s="2">
        <v>5.5925000000000002</v>
      </c>
      <c r="J300" s="2">
        <v>23.761099999999999</v>
      </c>
      <c r="K300" s="2">
        <v>0.39579999999999999</v>
      </c>
      <c r="L300" s="2">
        <v>22.984999999999999</v>
      </c>
      <c r="M300" s="2">
        <v>24.537299999999998</v>
      </c>
      <c r="O300">
        <f t="shared" si="189"/>
        <v>23.761099999999999</v>
      </c>
      <c r="P300">
        <f t="shared" si="190"/>
        <v>22.984999999999999</v>
      </c>
      <c r="Q300">
        <f t="shared" si="190"/>
        <v>24.537299999999998</v>
      </c>
      <c r="S300" t="str">
        <f t="shared" si="191"/>
        <v>23.76 (22.99 to 24.54)</v>
      </c>
    </row>
    <row r="301" spans="1:19" ht="17.25" thickBot="1" x14ac:dyDescent="0.35">
      <c r="A301" s="6"/>
      <c r="B301" s="13" t="s">
        <v>132</v>
      </c>
      <c r="C301" s="2">
        <v>17158</v>
      </c>
      <c r="D301" s="2">
        <v>6863601</v>
      </c>
      <c r="E301" s="2">
        <v>77106</v>
      </c>
      <c r="F301" s="2">
        <v>22.688300000000002</v>
      </c>
      <c r="G301" s="2">
        <v>0.21809999999999999</v>
      </c>
      <c r="H301" s="2">
        <v>22.2607</v>
      </c>
      <c r="I301" s="2">
        <v>23.1159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3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192">J302</f>
        <v>0</v>
      </c>
      <c r="P302">
        <f t="shared" ref="P302:Q303" si="193">L302</f>
        <v>0</v>
      </c>
      <c r="Q302">
        <f t="shared" si="193"/>
        <v>0</v>
      </c>
      <c r="S302" t="str">
        <f t="shared" ref="S302:S303" si="194">TEXT(O302,"0.00")&amp;" ("&amp;TEXT(P302,"0.00")&amp;" to "&amp;TEXT(Q302,"0.00")&amp;")"</f>
        <v>0.00 (0.00 to 0.00)</v>
      </c>
    </row>
    <row r="303" spans="1:19" ht="17.25" thickBot="1" x14ac:dyDescent="0.35">
      <c r="A303" s="6"/>
      <c r="B303" s="13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192"/>
        <v>0</v>
      </c>
      <c r="P303">
        <f t="shared" si="193"/>
        <v>0</v>
      </c>
      <c r="Q303">
        <f t="shared" si="193"/>
        <v>0</v>
      </c>
      <c r="S303" t="str">
        <f t="shared" si="194"/>
        <v>0.00 (0.00 to 0.00)</v>
      </c>
    </row>
    <row r="304" spans="1:19" x14ac:dyDescent="0.3">
      <c r="A304" s="6"/>
      <c r="B304" s="16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17" t="s">
        <v>180</v>
      </c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</row>
    <row r="307" spans="1:19" ht="33" customHeight="1" x14ac:dyDescent="0.3">
      <c r="A307" s="18" t="s">
        <v>41</v>
      </c>
      <c r="B307" s="20" t="s">
        <v>17</v>
      </c>
      <c r="C307" s="20" t="s">
        <v>125</v>
      </c>
      <c r="D307" s="3" t="s">
        <v>126</v>
      </c>
      <c r="E307" s="3" t="s">
        <v>127</v>
      </c>
      <c r="F307" s="20" t="s">
        <v>129</v>
      </c>
      <c r="G307" s="3" t="s">
        <v>127</v>
      </c>
      <c r="H307" s="20" t="s">
        <v>130</v>
      </c>
      <c r="I307" s="20"/>
      <c r="J307" s="3" t="s">
        <v>149</v>
      </c>
      <c r="K307" s="3" t="s">
        <v>127</v>
      </c>
      <c r="L307" s="20" t="s">
        <v>130</v>
      </c>
      <c r="M307" s="20"/>
    </row>
    <row r="308" spans="1:19" ht="33" x14ac:dyDescent="0.3">
      <c r="A308" s="18"/>
      <c r="B308" s="20"/>
      <c r="C308" s="20"/>
      <c r="D308" s="3" t="s">
        <v>125</v>
      </c>
      <c r="E308" s="3" t="s">
        <v>128</v>
      </c>
      <c r="F308" s="20"/>
      <c r="G308" s="3" t="s">
        <v>129</v>
      </c>
      <c r="H308" s="20" t="s">
        <v>131</v>
      </c>
      <c r="I308" s="20"/>
      <c r="J308" s="3" t="s">
        <v>129</v>
      </c>
      <c r="K308" s="3" t="s">
        <v>150</v>
      </c>
      <c r="L308" s="20" t="s">
        <v>151</v>
      </c>
      <c r="M308" s="20"/>
    </row>
    <row r="309" spans="1:19" ht="17.25" thickBot="1" x14ac:dyDescent="0.35">
      <c r="A309" s="6">
        <v>1</v>
      </c>
      <c r="B309" s="13">
        <v>0</v>
      </c>
      <c r="C309" s="2">
        <v>17079</v>
      </c>
      <c r="D309" s="2">
        <v>8236816</v>
      </c>
      <c r="E309" s="2">
        <v>102679</v>
      </c>
      <c r="F309" s="2">
        <v>27.227599999999999</v>
      </c>
      <c r="G309" s="2">
        <v>0.2472</v>
      </c>
      <c r="H309" s="2">
        <v>26.742799999999999</v>
      </c>
      <c r="I309" s="2">
        <v>27.712299999999999</v>
      </c>
      <c r="J309" s="2">
        <v>99.643199999999993</v>
      </c>
      <c r="K309" s="2">
        <v>4.8899999999999999E-2</v>
      </c>
      <c r="L309" s="2">
        <v>99.547300000000007</v>
      </c>
      <c r="M309" s="2">
        <v>99.739000000000004</v>
      </c>
      <c r="O309">
        <f t="shared" ref="O309:O310" si="195">J309</f>
        <v>99.643199999999993</v>
      </c>
      <c r="P309">
        <f t="shared" ref="P309:Q310" si="196">L309</f>
        <v>99.547300000000007</v>
      </c>
      <c r="Q309">
        <f t="shared" si="196"/>
        <v>99.739000000000004</v>
      </c>
      <c r="S309" t="str">
        <f t="shared" ref="S309:S310" si="197">TEXT(O309,"0.00")&amp;" ("&amp;TEXT(P309,"0.00")&amp;" to "&amp;TEXT(Q309,"0.00")&amp;")"</f>
        <v>99.64 (99.55 to 99.74)</v>
      </c>
    </row>
    <row r="310" spans="1:19" ht="17.25" thickBot="1" x14ac:dyDescent="0.35">
      <c r="A310" s="6"/>
      <c r="B310" s="13">
        <v>1</v>
      </c>
      <c r="C310" s="2">
        <v>80</v>
      </c>
      <c r="D310" s="2">
        <v>29496</v>
      </c>
      <c r="E310" s="2">
        <v>4037</v>
      </c>
      <c r="F310" s="2">
        <v>9.7500000000000003E-2</v>
      </c>
      <c r="G310" s="2">
        <v>1.34E-2</v>
      </c>
      <c r="H310" s="2">
        <v>7.1300000000000002E-2</v>
      </c>
      <c r="I310" s="2">
        <v>0.1237</v>
      </c>
      <c r="J310" s="2">
        <v>0.35680000000000001</v>
      </c>
      <c r="K310" s="2">
        <v>4.8899999999999999E-2</v>
      </c>
      <c r="L310" s="2">
        <v>0.26100000000000001</v>
      </c>
      <c r="M310" s="2">
        <v>0.45269999999999999</v>
      </c>
      <c r="O310">
        <f t="shared" si="195"/>
        <v>0.35680000000000001</v>
      </c>
      <c r="P310">
        <f t="shared" si="196"/>
        <v>0.26100000000000001</v>
      </c>
      <c r="Q310">
        <f t="shared" si="196"/>
        <v>0.45269999999999999</v>
      </c>
      <c r="S310" t="str">
        <f t="shared" si="197"/>
        <v>0.36 (0.26 to 0.45)</v>
      </c>
    </row>
    <row r="311" spans="1:19" ht="17.25" thickBot="1" x14ac:dyDescent="0.35">
      <c r="A311" s="6"/>
      <c r="B311" s="13" t="s">
        <v>132</v>
      </c>
      <c r="C311" s="2">
        <v>17159</v>
      </c>
      <c r="D311" s="2">
        <v>8266312</v>
      </c>
      <c r="E311" s="2">
        <v>102733</v>
      </c>
      <c r="F311" s="2">
        <v>27.325099999999999</v>
      </c>
      <c r="G311" s="2">
        <v>0.24740000000000001</v>
      </c>
      <c r="H311" s="2">
        <v>26.8399</v>
      </c>
      <c r="I311" s="2">
        <v>27.810199999999998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3">
        <v>0</v>
      </c>
      <c r="C312" s="2">
        <v>16925</v>
      </c>
      <c r="D312" s="2">
        <v>7723690</v>
      </c>
      <c r="E312" s="2">
        <v>87880</v>
      </c>
      <c r="F312" s="2">
        <v>25.531400000000001</v>
      </c>
      <c r="G312" s="2">
        <v>0.20399999999999999</v>
      </c>
      <c r="H312" s="2">
        <v>25.1313</v>
      </c>
      <c r="I312" s="2">
        <v>25.9314</v>
      </c>
      <c r="J312" s="2">
        <v>99.000100000000003</v>
      </c>
      <c r="K312" s="2">
        <v>8.1199999999999994E-2</v>
      </c>
      <c r="L312" s="2">
        <v>98.840900000000005</v>
      </c>
      <c r="M312" s="2">
        <v>99.159300000000002</v>
      </c>
      <c r="O312">
        <f t="shared" ref="O312:O313" si="198">J312</f>
        <v>99.000100000000003</v>
      </c>
      <c r="P312">
        <f t="shared" ref="P312:Q313" si="199">L312</f>
        <v>98.840900000000005</v>
      </c>
      <c r="Q312">
        <f t="shared" si="199"/>
        <v>99.159300000000002</v>
      </c>
      <c r="S312" t="str">
        <f t="shared" ref="S312:S313" si="200">TEXT(O312,"0.00")&amp;" ("&amp;TEXT(P312,"0.00")&amp;" to "&amp;TEXT(Q312,"0.00")&amp;")"</f>
        <v>99.00 (98.84 to 99.16)</v>
      </c>
    </row>
    <row r="313" spans="1:19" ht="17.25" thickBot="1" x14ac:dyDescent="0.35">
      <c r="A313" s="6"/>
      <c r="B313" s="13">
        <v>1</v>
      </c>
      <c r="C313" s="2">
        <v>233</v>
      </c>
      <c r="D313" s="2">
        <v>78010</v>
      </c>
      <c r="E313" s="2">
        <v>6361</v>
      </c>
      <c r="F313" s="2">
        <v>0.25790000000000002</v>
      </c>
      <c r="G313" s="2">
        <v>2.1000000000000001E-2</v>
      </c>
      <c r="H313" s="2">
        <v>0.2167</v>
      </c>
      <c r="I313" s="2">
        <v>0.29899999999999999</v>
      </c>
      <c r="J313" s="2">
        <v>0.99990000000000001</v>
      </c>
      <c r="K313" s="2">
        <v>8.1199999999999994E-2</v>
      </c>
      <c r="L313" s="2">
        <v>0.8407</v>
      </c>
      <c r="M313" s="2">
        <v>1.1591</v>
      </c>
      <c r="O313">
        <f t="shared" si="198"/>
        <v>0.99990000000000001</v>
      </c>
      <c r="P313">
        <f t="shared" si="199"/>
        <v>0.8407</v>
      </c>
      <c r="Q313">
        <f t="shared" si="199"/>
        <v>1.1591</v>
      </c>
      <c r="S313" t="str">
        <f t="shared" si="200"/>
        <v>1.00 (0.84 to 1.16)</v>
      </c>
    </row>
    <row r="314" spans="1:19" ht="17.25" thickBot="1" x14ac:dyDescent="0.35">
      <c r="A314" s="6"/>
      <c r="B314" s="13" t="s">
        <v>132</v>
      </c>
      <c r="C314" s="2">
        <v>17158</v>
      </c>
      <c r="D314" s="2">
        <v>7801700</v>
      </c>
      <c r="E314" s="2">
        <v>88291</v>
      </c>
      <c r="F314" s="2">
        <v>25.789200000000001</v>
      </c>
      <c r="G314" s="2">
        <v>0.2046</v>
      </c>
      <c r="H314" s="2">
        <v>25.388100000000001</v>
      </c>
      <c r="I314" s="2">
        <v>26.1904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3">
        <v>0</v>
      </c>
      <c r="C315" s="2">
        <v>16793</v>
      </c>
      <c r="D315" s="2">
        <v>7204366</v>
      </c>
      <c r="E315" s="2">
        <v>80609</v>
      </c>
      <c r="F315" s="2">
        <v>23.814699999999998</v>
      </c>
      <c r="G315" s="2">
        <v>0.2006</v>
      </c>
      <c r="H315" s="2">
        <v>23.421399999999998</v>
      </c>
      <c r="I315" s="2">
        <v>24.207999999999998</v>
      </c>
      <c r="J315" s="2">
        <v>98.418400000000005</v>
      </c>
      <c r="K315" s="2">
        <v>0.1036</v>
      </c>
      <c r="L315" s="2">
        <v>98.215299999999999</v>
      </c>
      <c r="M315" s="2">
        <v>98.621499999999997</v>
      </c>
      <c r="O315">
        <f t="shared" ref="O315:O316" si="201">J315</f>
        <v>98.418400000000005</v>
      </c>
      <c r="P315">
        <f t="shared" ref="P315:Q316" si="202">L315</f>
        <v>98.215299999999999</v>
      </c>
      <c r="Q315">
        <f t="shared" si="202"/>
        <v>98.621499999999997</v>
      </c>
      <c r="S315" t="str">
        <f t="shared" ref="S315:S316" si="203">TEXT(O315,"0.00")&amp;" ("&amp;TEXT(P315,"0.00")&amp;" to "&amp;TEXT(Q315,"0.00")&amp;")"</f>
        <v>98.42 (98.22 to 98.62)</v>
      </c>
    </row>
    <row r="316" spans="1:19" ht="17.25" thickBot="1" x14ac:dyDescent="0.35">
      <c r="A316" s="6"/>
      <c r="B316" s="13">
        <v>1</v>
      </c>
      <c r="C316" s="2">
        <v>366</v>
      </c>
      <c r="D316" s="2">
        <v>115777</v>
      </c>
      <c r="E316" s="2">
        <v>7613</v>
      </c>
      <c r="F316" s="2">
        <v>0.38269999999999998</v>
      </c>
      <c r="G316" s="2">
        <v>2.52E-2</v>
      </c>
      <c r="H316" s="2">
        <v>0.33339999999999997</v>
      </c>
      <c r="I316" s="2">
        <v>0.43209999999999998</v>
      </c>
      <c r="J316" s="2">
        <v>1.5815999999999999</v>
      </c>
      <c r="K316" s="2">
        <v>0.1036</v>
      </c>
      <c r="L316" s="2">
        <v>1.3785000000000001</v>
      </c>
      <c r="M316" s="2">
        <v>1.7847</v>
      </c>
      <c r="O316">
        <f t="shared" si="201"/>
        <v>1.5815999999999999</v>
      </c>
      <c r="P316">
        <f t="shared" si="202"/>
        <v>1.3785000000000001</v>
      </c>
      <c r="Q316">
        <f t="shared" si="202"/>
        <v>1.7847</v>
      </c>
      <c r="S316" t="str">
        <f t="shared" si="203"/>
        <v>1.58 (1.38 to 1.78)</v>
      </c>
    </row>
    <row r="317" spans="1:19" ht="17.25" thickBot="1" x14ac:dyDescent="0.35">
      <c r="A317" s="6"/>
      <c r="B317" s="13" t="s">
        <v>132</v>
      </c>
      <c r="C317" s="2">
        <v>17159</v>
      </c>
      <c r="D317" s="2">
        <v>7320143</v>
      </c>
      <c r="E317" s="2">
        <v>81075</v>
      </c>
      <c r="F317" s="2">
        <v>24.197399999999998</v>
      </c>
      <c r="G317" s="2">
        <v>0.20150000000000001</v>
      </c>
      <c r="H317" s="2">
        <v>23.802399999999999</v>
      </c>
      <c r="I317" s="2">
        <v>24.592500000000001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3">
        <v>0</v>
      </c>
      <c r="C318" s="2">
        <v>16546</v>
      </c>
      <c r="D318" s="2">
        <v>6674273</v>
      </c>
      <c r="E318" s="2">
        <v>75779</v>
      </c>
      <c r="F318" s="2">
        <v>22.0624</v>
      </c>
      <c r="G318" s="2">
        <v>0.2135</v>
      </c>
      <c r="H318" s="2">
        <v>21.643699999999999</v>
      </c>
      <c r="I318" s="2">
        <v>22.481200000000001</v>
      </c>
      <c r="J318" s="2">
        <v>97.241600000000005</v>
      </c>
      <c r="K318" s="2">
        <v>0.13250000000000001</v>
      </c>
      <c r="L318" s="2">
        <v>96.981700000000004</v>
      </c>
      <c r="M318" s="2">
        <v>97.501400000000004</v>
      </c>
      <c r="O318">
        <f t="shared" ref="O318:O319" si="204">J318</f>
        <v>97.241600000000005</v>
      </c>
      <c r="P318">
        <f t="shared" ref="P318:Q319" si="205">L318</f>
        <v>96.981700000000004</v>
      </c>
      <c r="Q318">
        <f t="shared" si="205"/>
        <v>97.501400000000004</v>
      </c>
      <c r="S318" t="str">
        <f t="shared" ref="S318:S319" si="206">TEXT(O318,"0.00")&amp;" ("&amp;TEXT(P318,"0.00")&amp;" to "&amp;TEXT(Q318,"0.00")&amp;")"</f>
        <v>97.24 (96.98 to 97.50)</v>
      </c>
    </row>
    <row r="319" spans="1:19" ht="17.25" thickBot="1" x14ac:dyDescent="0.35">
      <c r="A319" s="6"/>
      <c r="B319" s="13">
        <v>1</v>
      </c>
      <c r="C319" s="2">
        <v>612</v>
      </c>
      <c r="D319" s="2">
        <v>189329</v>
      </c>
      <c r="E319" s="2">
        <v>9285</v>
      </c>
      <c r="F319" s="2">
        <v>0.62580000000000002</v>
      </c>
      <c r="G319" s="2">
        <v>3.0800000000000001E-2</v>
      </c>
      <c r="H319" s="2">
        <v>0.5655</v>
      </c>
      <c r="I319" s="2">
        <v>0.68620000000000003</v>
      </c>
      <c r="J319" s="2">
        <v>2.7584</v>
      </c>
      <c r="K319" s="2">
        <v>0.13250000000000001</v>
      </c>
      <c r="L319" s="2">
        <v>2.4986000000000002</v>
      </c>
      <c r="M319" s="2">
        <v>3.0183</v>
      </c>
      <c r="O319">
        <f t="shared" si="204"/>
        <v>2.7584</v>
      </c>
      <c r="P319">
        <f t="shared" si="205"/>
        <v>2.4986000000000002</v>
      </c>
      <c r="Q319">
        <f t="shared" si="205"/>
        <v>3.0183</v>
      </c>
      <c r="S319" t="str">
        <f t="shared" si="206"/>
        <v>2.76 (2.50 to 3.02)</v>
      </c>
    </row>
    <row r="320" spans="1:19" ht="17.25" thickBot="1" x14ac:dyDescent="0.35">
      <c r="A320" s="6"/>
      <c r="B320" s="13" t="s">
        <v>132</v>
      </c>
      <c r="C320" s="2">
        <v>17158</v>
      </c>
      <c r="D320" s="2">
        <v>6863601</v>
      </c>
      <c r="E320" s="2">
        <v>77106</v>
      </c>
      <c r="F320" s="2">
        <v>22.688300000000002</v>
      </c>
      <c r="G320" s="2">
        <v>0.21809999999999999</v>
      </c>
      <c r="H320" s="2">
        <v>22.2607</v>
      </c>
      <c r="I320" s="2">
        <v>23.1159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3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07">J321</f>
        <v>0</v>
      </c>
      <c r="P321">
        <f t="shared" ref="P321:Q322" si="208">L321</f>
        <v>0</v>
      </c>
      <c r="Q321">
        <f t="shared" si="208"/>
        <v>0</v>
      </c>
      <c r="S321" t="str">
        <f t="shared" ref="S321:S322" si="20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3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07"/>
        <v>0</v>
      </c>
      <c r="P322">
        <f t="shared" si="208"/>
        <v>0</v>
      </c>
      <c r="Q322">
        <f t="shared" si="208"/>
        <v>0</v>
      </c>
      <c r="S322" t="str">
        <f t="shared" si="209"/>
        <v>0.00 (0.00 to 0.00)</v>
      </c>
    </row>
    <row r="323" spans="1:19" x14ac:dyDescent="0.3">
      <c r="A323" s="6"/>
      <c r="B323" s="16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17" t="s">
        <v>181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</row>
    <row r="326" spans="1:19" ht="33" customHeight="1" x14ac:dyDescent="0.3">
      <c r="A326" s="18" t="s">
        <v>41</v>
      </c>
      <c r="B326" s="20" t="s">
        <v>18</v>
      </c>
      <c r="C326" s="20" t="s">
        <v>125</v>
      </c>
      <c r="D326" s="3" t="s">
        <v>126</v>
      </c>
      <c r="E326" s="3" t="s">
        <v>127</v>
      </c>
      <c r="F326" s="20" t="s">
        <v>129</v>
      </c>
      <c r="G326" s="3" t="s">
        <v>127</v>
      </c>
      <c r="H326" s="20" t="s">
        <v>130</v>
      </c>
      <c r="I326" s="20"/>
      <c r="J326" s="3" t="s">
        <v>149</v>
      </c>
      <c r="K326" s="3" t="s">
        <v>127</v>
      </c>
      <c r="L326" s="20" t="s">
        <v>130</v>
      </c>
      <c r="M326" s="20"/>
    </row>
    <row r="327" spans="1:19" ht="33" x14ac:dyDescent="0.3">
      <c r="A327" s="18"/>
      <c r="B327" s="20"/>
      <c r="C327" s="20"/>
      <c r="D327" s="3" t="s">
        <v>125</v>
      </c>
      <c r="E327" s="3" t="s">
        <v>128</v>
      </c>
      <c r="F327" s="20"/>
      <c r="G327" s="3" t="s">
        <v>129</v>
      </c>
      <c r="H327" s="20" t="s">
        <v>131</v>
      </c>
      <c r="I327" s="20"/>
      <c r="J327" s="3" t="s">
        <v>129</v>
      </c>
      <c r="K327" s="3" t="s">
        <v>150</v>
      </c>
      <c r="L327" s="20" t="s">
        <v>151</v>
      </c>
      <c r="M327" s="20"/>
    </row>
    <row r="328" spans="1:19" ht="17.25" thickBot="1" x14ac:dyDescent="0.35">
      <c r="A328" s="6">
        <v>1</v>
      </c>
      <c r="B328" s="13">
        <v>0</v>
      </c>
      <c r="C328" s="2">
        <v>17128</v>
      </c>
      <c r="D328" s="2">
        <v>8256405</v>
      </c>
      <c r="E328" s="2">
        <v>102687</v>
      </c>
      <c r="F328" s="2">
        <v>27.292300000000001</v>
      </c>
      <c r="G328" s="2">
        <v>0.24740000000000001</v>
      </c>
      <c r="H328" s="2">
        <v>26.807200000000002</v>
      </c>
      <c r="I328" s="2">
        <v>27.7775</v>
      </c>
      <c r="J328" s="2">
        <v>99.880200000000002</v>
      </c>
      <c r="K328" s="2">
        <v>2.5399999999999999E-2</v>
      </c>
      <c r="L328" s="2">
        <v>99.830399999999997</v>
      </c>
      <c r="M328" s="2">
        <v>99.929900000000004</v>
      </c>
      <c r="O328">
        <f t="shared" ref="O328:O329" si="210">J328</f>
        <v>99.880200000000002</v>
      </c>
      <c r="P328">
        <f t="shared" ref="P328:Q329" si="211">L328</f>
        <v>99.830399999999997</v>
      </c>
      <c r="Q328">
        <f t="shared" si="211"/>
        <v>99.929900000000004</v>
      </c>
      <c r="S328" t="str">
        <f t="shared" ref="S328:S329" si="212">TEXT(O328,"0.00")&amp;" ("&amp;TEXT(P328,"0.00")&amp;" to "&amp;TEXT(Q328,"0.00")&amp;")"</f>
        <v>99.88 (99.83 to 99.93)</v>
      </c>
    </row>
    <row r="329" spans="1:19" ht="17.25" thickBot="1" x14ac:dyDescent="0.35">
      <c r="A329" s="6"/>
      <c r="B329" s="13">
        <v>1</v>
      </c>
      <c r="C329" s="2">
        <v>31</v>
      </c>
      <c r="D329" s="2">
        <v>9907</v>
      </c>
      <c r="E329" s="2">
        <v>2099</v>
      </c>
      <c r="F329" s="2">
        <v>3.27E-2</v>
      </c>
      <c r="G329" s="2">
        <v>6.8999999999999999E-3</v>
      </c>
      <c r="H329" s="2">
        <v>1.9199999999999998E-2</v>
      </c>
      <c r="I329" s="2">
        <v>4.6300000000000001E-2</v>
      </c>
      <c r="J329" s="2">
        <v>0.1198</v>
      </c>
      <c r="K329" s="2">
        <v>2.5399999999999999E-2</v>
      </c>
      <c r="L329" s="2">
        <v>7.0099999999999996E-2</v>
      </c>
      <c r="M329" s="2">
        <v>0.1696</v>
      </c>
      <c r="O329">
        <f t="shared" si="210"/>
        <v>0.1198</v>
      </c>
      <c r="P329">
        <f t="shared" si="211"/>
        <v>7.0099999999999996E-2</v>
      </c>
      <c r="Q329">
        <f t="shared" si="211"/>
        <v>0.1696</v>
      </c>
      <c r="S329" t="str">
        <f t="shared" si="212"/>
        <v>0.12 (0.07 to 0.17)</v>
      </c>
    </row>
    <row r="330" spans="1:19" ht="17.25" thickBot="1" x14ac:dyDescent="0.35">
      <c r="A330" s="6"/>
      <c r="B330" s="13" t="s">
        <v>132</v>
      </c>
      <c r="C330" s="2">
        <v>17159</v>
      </c>
      <c r="D330" s="2">
        <v>8266312</v>
      </c>
      <c r="E330" s="2">
        <v>102733</v>
      </c>
      <c r="F330" s="2">
        <v>27.325099999999999</v>
      </c>
      <c r="G330" s="2">
        <v>0.24740000000000001</v>
      </c>
      <c r="H330" s="2">
        <v>26.8399</v>
      </c>
      <c r="I330" s="2">
        <v>27.810199999999998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3">
        <v>0</v>
      </c>
      <c r="C331" s="2">
        <v>17037</v>
      </c>
      <c r="D331" s="2">
        <v>7762133</v>
      </c>
      <c r="E331" s="2">
        <v>88182</v>
      </c>
      <c r="F331" s="2">
        <v>25.6585</v>
      </c>
      <c r="G331" s="2">
        <v>0.2046</v>
      </c>
      <c r="H331" s="2">
        <v>25.257200000000001</v>
      </c>
      <c r="I331" s="2">
        <v>26.059699999999999</v>
      </c>
      <c r="J331" s="2">
        <v>99.492800000000003</v>
      </c>
      <c r="K331" s="2">
        <v>5.62E-2</v>
      </c>
      <c r="L331" s="2">
        <v>99.3827</v>
      </c>
      <c r="M331" s="2">
        <v>99.602999999999994</v>
      </c>
      <c r="O331">
        <f t="shared" ref="O331:O332" si="213">J331</f>
        <v>99.492800000000003</v>
      </c>
      <c r="P331">
        <f t="shared" ref="P331:Q332" si="214">L331</f>
        <v>99.3827</v>
      </c>
      <c r="Q331">
        <f t="shared" si="214"/>
        <v>99.602999999999994</v>
      </c>
      <c r="S331" t="str">
        <f t="shared" ref="S331:S332" si="215">TEXT(O331,"0.00")&amp;" ("&amp;TEXT(P331,"0.00")&amp;" to "&amp;TEXT(Q331,"0.00")&amp;")"</f>
        <v>99.49 (99.38 to 99.60)</v>
      </c>
    </row>
    <row r="332" spans="1:19" ht="17.25" thickBot="1" x14ac:dyDescent="0.35">
      <c r="A332" s="6"/>
      <c r="B332" s="13">
        <v>1</v>
      </c>
      <c r="C332" s="2">
        <v>121</v>
      </c>
      <c r="D332" s="2">
        <v>39566</v>
      </c>
      <c r="E332" s="2">
        <v>4383</v>
      </c>
      <c r="F332" s="2">
        <v>0.1308</v>
      </c>
      <c r="G332" s="2">
        <v>1.4500000000000001E-2</v>
      </c>
      <c r="H332" s="2">
        <v>0.1024</v>
      </c>
      <c r="I332" s="2">
        <v>0.15920000000000001</v>
      </c>
      <c r="J332" s="2">
        <v>0.50719999999999998</v>
      </c>
      <c r="K332" s="2">
        <v>5.62E-2</v>
      </c>
      <c r="L332" s="2">
        <v>0.39700000000000002</v>
      </c>
      <c r="M332" s="2">
        <v>0.61729999999999996</v>
      </c>
      <c r="O332">
        <f t="shared" si="213"/>
        <v>0.50719999999999998</v>
      </c>
      <c r="P332">
        <f t="shared" si="214"/>
        <v>0.39700000000000002</v>
      </c>
      <c r="Q332">
        <f t="shared" si="214"/>
        <v>0.61729999999999996</v>
      </c>
      <c r="S332" t="str">
        <f t="shared" si="215"/>
        <v>0.51 (0.40 to 0.62)</v>
      </c>
    </row>
    <row r="333" spans="1:19" ht="17.25" thickBot="1" x14ac:dyDescent="0.35">
      <c r="A333" s="6"/>
      <c r="B333" s="13" t="s">
        <v>132</v>
      </c>
      <c r="C333" s="2">
        <v>17158</v>
      </c>
      <c r="D333" s="2">
        <v>7801700</v>
      </c>
      <c r="E333" s="2">
        <v>88291</v>
      </c>
      <c r="F333" s="2">
        <v>25.789200000000001</v>
      </c>
      <c r="G333" s="2">
        <v>0.2046</v>
      </c>
      <c r="H333" s="2">
        <v>25.388100000000001</v>
      </c>
      <c r="I333" s="2">
        <v>26.1904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3">
        <v>0</v>
      </c>
      <c r="C334" s="2">
        <v>16971</v>
      </c>
      <c r="D334" s="2">
        <v>7262491</v>
      </c>
      <c r="E334" s="2">
        <v>80797</v>
      </c>
      <c r="F334" s="2">
        <v>24.006799999999998</v>
      </c>
      <c r="G334" s="2">
        <v>0.2014</v>
      </c>
      <c r="H334" s="2">
        <v>23.611899999999999</v>
      </c>
      <c r="I334" s="2">
        <v>24.401800000000001</v>
      </c>
      <c r="J334" s="2">
        <v>99.212400000000002</v>
      </c>
      <c r="K334" s="2">
        <v>6.8400000000000002E-2</v>
      </c>
      <c r="L334" s="2">
        <v>99.078400000000002</v>
      </c>
      <c r="M334" s="2">
        <v>99.346400000000003</v>
      </c>
      <c r="O334">
        <f t="shared" ref="O334:O335" si="216">J334</f>
        <v>99.212400000000002</v>
      </c>
      <c r="P334">
        <f t="shared" ref="P334:Q335" si="217">L334</f>
        <v>99.078400000000002</v>
      </c>
      <c r="Q334">
        <f t="shared" si="217"/>
        <v>99.346400000000003</v>
      </c>
      <c r="S334" t="str">
        <f t="shared" ref="S334:S335" si="218">TEXT(O334,"0.00")&amp;" ("&amp;TEXT(P334,"0.00")&amp;" to "&amp;TEXT(Q334,"0.00")&amp;")"</f>
        <v>99.21 (99.08 to 99.35)</v>
      </c>
    </row>
    <row r="335" spans="1:19" ht="17.25" thickBot="1" x14ac:dyDescent="0.35">
      <c r="A335" s="6"/>
      <c r="B335" s="13">
        <v>1</v>
      </c>
      <c r="C335" s="2">
        <v>188</v>
      </c>
      <c r="D335" s="2">
        <v>57653</v>
      </c>
      <c r="E335" s="2">
        <v>5018</v>
      </c>
      <c r="F335" s="2">
        <v>0.19059999999999999</v>
      </c>
      <c r="G335" s="2">
        <v>1.6500000000000001E-2</v>
      </c>
      <c r="H335" s="2">
        <v>0.15820000000000001</v>
      </c>
      <c r="I335" s="2">
        <v>0.223</v>
      </c>
      <c r="J335" s="2">
        <v>0.78759999999999997</v>
      </c>
      <c r="K335" s="2">
        <v>6.8400000000000002E-2</v>
      </c>
      <c r="L335" s="2">
        <v>0.65359999999999996</v>
      </c>
      <c r="M335" s="2">
        <v>0.92159999999999997</v>
      </c>
      <c r="O335">
        <f t="shared" si="216"/>
        <v>0.78759999999999997</v>
      </c>
      <c r="P335">
        <f t="shared" si="217"/>
        <v>0.65359999999999996</v>
      </c>
      <c r="Q335">
        <f t="shared" si="217"/>
        <v>0.92159999999999997</v>
      </c>
      <c r="S335" t="str">
        <f t="shared" si="218"/>
        <v>0.79 (0.65 to 0.92)</v>
      </c>
    </row>
    <row r="336" spans="1:19" ht="17.25" thickBot="1" x14ac:dyDescent="0.35">
      <c r="A336" s="6"/>
      <c r="B336" s="13" t="s">
        <v>132</v>
      </c>
      <c r="C336" s="2">
        <v>17159</v>
      </c>
      <c r="D336" s="2">
        <v>7320143</v>
      </c>
      <c r="E336" s="2">
        <v>81075</v>
      </c>
      <c r="F336" s="2">
        <v>24.197399999999998</v>
      </c>
      <c r="G336" s="2">
        <v>0.20150000000000001</v>
      </c>
      <c r="H336" s="2">
        <v>23.802399999999999</v>
      </c>
      <c r="I336" s="2">
        <v>24.592500000000001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3">
        <v>0</v>
      </c>
      <c r="C337" s="2">
        <v>16861</v>
      </c>
      <c r="D337" s="2">
        <v>6766581</v>
      </c>
      <c r="E337" s="2">
        <v>76560</v>
      </c>
      <c r="F337" s="2">
        <v>22.367599999999999</v>
      </c>
      <c r="G337" s="2">
        <v>0.21690000000000001</v>
      </c>
      <c r="H337" s="2">
        <v>21.9422</v>
      </c>
      <c r="I337" s="2">
        <v>22.792999999999999</v>
      </c>
      <c r="J337" s="2">
        <v>98.586399999999998</v>
      </c>
      <c r="K337" s="2">
        <v>9.5799999999999996E-2</v>
      </c>
      <c r="L337" s="2">
        <v>98.398499999999999</v>
      </c>
      <c r="M337" s="2">
        <v>98.7744</v>
      </c>
      <c r="O337">
        <f t="shared" ref="O337:O338" si="219">J337</f>
        <v>98.586399999999998</v>
      </c>
      <c r="P337">
        <f t="shared" ref="P337:Q338" si="220">L337</f>
        <v>98.398499999999999</v>
      </c>
      <c r="Q337">
        <f t="shared" si="220"/>
        <v>98.7744</v>
      </c>
      <c r="S337" t="str">
        <f t="shared" ref="S337:S338" si="221">TEXT(O337,"0.00")&amp;" ("&amp;TEXT(P337,"0.00")&amp;" to "&amp;TEXT(Q337,"0.00")&amp;")"</f>
        <v>98.59 (98.40 to 98.77)</v>
      </c>
    </row>
    <row r="338" spans="1:19" ht="17.25" thickBot="1" x14ac:dyDescent="0.35">
      <c r="A338" s="6"/>
      <c r="B338" s="13">
        <v>1</v>
      </c>
      <c r="C338" s="2">
        <v>297</v>
      </c>
      <c r="D338" s="2">
        <v>97020</v>
      </c>
      <c r="E338" s="2">
        <v>6625</v>
      </c>
      <c r="F338" s="2">
        <v>0.32069999999999999</v>
      </c>
      <c r="G338" s="2">
        <v>2.18E-2</v>
      </c>
      <c r="H338" s="2">
        <v>0.27789999999999998</v>
      </c>
      <c r="I338" s="2">
        <v>0.36349999999999999</v>
      </c>
      <c r="J338" s="2">
        <v>1.4136</v>
      </c>
      <c r="K338" s="2">
        <v>9.5799999999999996E-2</v>
      </c>
      <c r="L338" s="2">
        <v>1.2256</v>
      </c>
      <c r="M338" s="2">
        <v>1.6014999999999999</v>
      </c>
      <c r="O338">
        <f t="shared" si="219"/>
        <v>1.4136</v>
      </c>
      <c r="P338">
        <f t="shared" si="220"/>
        <v>1.2256</v>
      </c>
      <c r="Q338">
        <f t="shared" si="220"/>
        <v>1.6014999999999999</v>
      </c>
      <c r="S338" t="str">
        <f t="shared" si="221"/>
        <v>1.41 (1.23 to 1.60)</v>
      </c>
    </row>
    <row r="339" spans="1:19" ht="17.25" thickBot="1" x14ac:dyDescent="0.35">
      <c r="A339" s="6"/>
      <c r="B339" s="13" t="s">
        <v>132</v>
      </c>
      <c r="C339" s="2">
        <v>17158</v>
      </c>
      <c r="D339" s="2">
        <v>6863601</v>
      </c>
      <c r="E339" s="2">
        <v>77106</v>
      </c>
      <c r="F339" s="2">
        <v>22.688300000000002</v>
      </c>
      <c r="G339" s="2">
        <v>0.21809999999999999</v>
      </c>
      <c r="H339" s="2">
        <v>22.2607</v>
      </c>
      <c r="I339" s="2">
        <v>23.1159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3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22">J340</f>
        <v>0</v>
      </c>
      <c r="P340">
        <f t="shared" ref="P340:Q341" si="223">L340</f>
        <v>0</v>
      </c>
      <c r="Q340">
        <f t="shared" si="223"/>
        <v>0</v>
      </c>
      <c r="S340" t="str">
        <f t="shared" ref="S340:S341" si="224">TEXT(O340,"0.00")&amp;" ("&amp;TEXT(P340,"0.00")&amp;" to "&amp;TEXT(Q340,"0.00")&amp;")"</f>
        <v>0.00 (0.00 to 0.00)</v>
      </c>
    </row>
    <row r="341" spans="1:19" ht="17.25" thickBot="1" x14ac:dyDescent="0.35">
      <c r="A341" s="6"/>
      <c r="B341" s="13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22"/>
        <v>0</v>
      </c>
      <c r="P341">
        <f t="shared" si="223"/>
        <v>0</v>
      </c>
      <c r="Q341">
        <f t="shared" si="223"/>
        <v>0</v>
      </c>
      <c r="S341" t="str">
        <f t="shared" si="224"/>
        <v>0.00 (0.00 to 0.00)</v>
      </c>
    </row>
    <row r="342" spans="1:19" x14ac:dyDescent="0.3">
      <c r="A342" s="6"/>
      <c r="B342" s="16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17" t="s">
        <v>182</v>
      </c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</row>
    <row r="345" spans="1:19" ht="33" customHeight="1" x14ac:dyDescent="0.3">
      <c r="A345" s="18" t="s">
        <v>41</v>
      </c>
      <c r="B345" s="20" t="s">
        <v>19</v>
      </c>
      <c r="C345" s="20" t="s">
        <v>125</v>
      </c>
      <c r="D345" s="3" t="s">
        <v>126</v>
      </c>
      <c r="E345" s="3" t="s">
        <v>127</v>
      </c>
      <c r="F345" s="20" t="s">
        <v>129</v>
      </c>
      <c r="G345" s="3" t="s">
        <v>127</v>
      </c>
      <c r="H345" s="20" t="s">
        <v>130</v>
      </c>
      <c r="I345" s="20"/>
      <c r="J345" s="3" t="s">
        <v>149</v>
      </c>
      <c r="K345" s="3" t="s">
        <v>127</v>
      </c>
      <c r="L345" s="20" t="s">
        <v>130</v>
      </c>
      <c r="M345" s="20"/>
    </row>
    <row r="346" spans="1:19" ht="33" x14ac:dyDescent="0.3">
      <c r="A346" s="18"/>
      <c r="B346" s="20"/>
      <c r="C346" s="20"/>
      <c r="D346" s="3" t="s">
        <v>125</v>
      </c>
      <c r="E346" s="3" t="s">
        <v>128</v>
      </c>
      <c r="F346" s="20"/>
      <c r="G346" s="3" t="s">
        <v>129</v>
      </c>
      <c r="H346" s="20" t="s">
        <v>131</v>
      </c>
      <c r="I346" s="20"/>
      <c r="J346" s="3" t="s">
        <v>129</v>
      </c>
      <c r="K346" s="3" t="s">
        <v>150</v>
      </c>
      <c r="L346" s="20" t="s">
        <v>151</v>
      </c>
      <c r="M346" s="20"/>
    </row>
    <row r="347" spans="1:19" ht="17.25" thickBot="1" x14ac:dyDescent="0.35">
      <c r="A347" s="6">
        <v>1</v>
      </c>
      <c r="B347" s="13">
        <v>0</v>
      </c>
      <c r="C347" s="2">
        <v>17071</v>
      </c>
      <c r="D347" s="2">
        <v>8235175</v>
      </c>
      <c r="E347" s="2">
        <v>102475</v>
      </c>
      <c r="F347" s="2">
        <v>27.222100000000001</v>
      </c>
      <c r="G347" s="2">
        <v>0.24679999999999999</v>
      </c>
      <c r="H347" s="2">
        <v>26.738199999999999</v>
      </c>
      <c r="I347" s="2">
        <v>27.706099999999999</v>
      </c>
      <c r="J347" s="2">
        <v>99.6233</v>
      </c>
      <c r="K347" s="2">
        <v>5.04E-2</v>
      </c>
      <c r="L347" s="2">
        <v>99.524500000000003</v>
      </c>
      <c r="M347" s="2">
        <v>99.722099999999998</v>
      </c>
      <c r="O347">
        <f t="shared" ref="O347:O348" si="225">J347</f>
        <v>99.6233</v>
      </c>
      <c r="P347">
        <f t="shared" ref="P347:Q348" si="226">L347</f>
        <v>99.524500000000003</v>
      </c>
      <c r="Q347">
        <f t="shared" si="226"/>
        <v>99.722099999999998</v>
      </c>
      <c r="S347" t="str">
        <f t="shared" ref="S347:S348" si="227">TEXT(O347,"0.00")&amp;" ("&amp;TEXT(P347,"0.00")&amp;" to "&amp;TEXT(Q347,"0.00")&amp;")"</f>
        <v>99.62 (99.52 to 99.72)</v>
      </c>
    </row>
    <row r="348" spans="1:19" ht="17.25" thickBot="1" x14ac:dyDescent="0.35">
      <c r="A348" s="6"/>
      <c r="B348" s="13">
        <v>1</v>
      </c>
      <c r="C348" s="2">
        <v>88</v>
      </c>
      <c r="D348" s="2">
        <v>31137</v>
      </c>
      <c r="E348" s="2">
        <v>4178</v>
      </c>
      <c r="F348" s="2">
        <v>0.10290000000000001</v>
      </c>
      <c r="G348" s="2">
        <v>1.38E-2</v>
      </c>
      <c r="H348" s="2">
        <v>7.5899999999999995E-2</v>
      </c>
      <c r="I348" s="2">
        <v>0.13</v>
      </c>
      <c r="J348" s="2">
        <v>0.37669999999999998</v>
      </c>
      <c r="K348" s="2">
        <v>5.04E-2</v>
      </c>
      <c r="L348" s="2">
        <v>0.27789999999999998</v>
      </c>
      <c r="M348" s="2">
        <v>0.47549999999999998</v>
      </c>
      <c r="O348">
        <f t="shared" si="225"/>
        <v>0.37669999999999998</v>
      </c>
      <c r="P348">
        <f t="shared" si="226"/>
        <v>0.27789999999999998</v>
      </c>
      <c r="Q348">
        <f t="shared" si="226"/>
        <v>0.47549999999999998</v>
      </c>
      <c r="S348" t="str">
        <f t="shared" si="227"/>
        <v>0.38 (0.28 to 0.48)</v>
      </c>
    </row>
    <row r="349" spans="1:19" ht="17.25" thickBot="1" x14ac:dyDescent="0.35">
      <c r="A349" s="6"/>
      <c r="B349" s="13" t="s">
        <v>132</v>
      </c>
      <c r="C349" s="2">
        <v>17159</v>
      </c>
      <c r="D349" s="2">
        <v>8266312</v>
      </c>
      <c r="E349" s="2">
        <v>102733</v>
      </c>
      <c r="F349" s="2">
        <v>27.325099999999999</v>
      </c>
      <c r="G349" s="2">
        <v>0.24740000000000001</v>
      </c>
      <c r="H349" s="2">
        <v>26.8399</v>
      </c>
      <c r="I349" s="2">
        <v>27.810199999999998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3">
        <v>0</v>
      </c>
      <c r="C350" s="2">
        <v>16943</v>
      </c>
      <c r="D350" s="2">
        <v>7733676</v>
      </c>
      <c r="E350" s="2">
        <v>87957</v>
      </c>
      <c r="F350" s="2">
        <v>25.564399999999999</v>
      </c>
      <c r="G350" s="2">
        <v>0.2044</v>
      </c>
      <c r="H350" s="2">
        <v>25.163499999999999</v>
      </c>
      <c r="I350" s="2">
        <v>25.965299999999999</v>
      </c>
      <c r="J350" s="2">
        <v>99.128100000000003</v>
      </c>
      <c r="K350" s="2">
        <v>7.2499999999999995E-2</v>
      </c>
      <c r="L350" s="2">
        <v>98.985900000000001</v>
      </c>
      <c r="M350" s="2">
        <v>99.270300000000006</v>
      </c>
      <c r="O350">
        <f t="shared" ref="O350:O351" si="228">J350</f>
        <v>99.128100000000003</v>
      </c>
      <c r="P350">
        <f t="shared" ref="P350:Q351" si="229">L350</f>
        <v>98.985900000000001</v>
      </c>
      <c r="Q350">
        <f t="shared" si="229"/>
        <v>99.270300000000006</v>
      </c>
      <c r="S350" t="str">
        <f t="shared" ref="S350:S351" si="230">TEXT(O350,"0.00")&amp;" ("&amp;TEXT(P350,"0.00")&amp;" to "&amp;TEXT(Q350,"0.00")&amp;")"</f>
        <v>99.13 (98.99 to 99.27)</v>
      </c>
    </row>
    <row r="351" spans="1:19" ht="17.25" thickBot="1" x14ac:dyDescent="0.35">
      <c r="A351" s="6"/>
      <c r="B351" s="13">
        <v>1</v>
      </c>
      <c r="C351" s="2">
        <v>215</v>
      </c>
      <c r="D351" s="2">
        <v>68024</v>
      </c>
      <c r="E351" s="2">
        <v>5677</v>
      </c>
      <c r="F351" s="2">
        <v>0.22489999999999999</v>
      </c>
      <c r="G351" s="2">
        <v>1.8700000000000001E-2</v>
      </c>
      <c r="H351" s="2">
        <v>0.18820000000000001</v>
      </c>
      <c r="I351" s="2">
        <v>0.2616</v>
      </c>
      <c r="J351" s="2">
        <v>0.87190000000000001</v>
      </c>
      <c r="K351" s="2">
        <v>7.2499999999999995E-2</v>
      </c>
      <c r="L351" s="2">
        <v>0.72970000000000002</v>
      </c>
      <c r="M351" s="2">
        <v>1.0141</v>
      </c>
      <c r="O351">
        <f t="shared" si="228"/>
        <v>0.87190000000000001</v>
      </c>
      <c r="P351">
        <f t="shared" si="229"/>
        <v>0.72970000000000002</v>
      </c>
      <c r="Q351">
        <f t="shared" si="229"/>
        <v>1.0141</v>
      </c>
      <c r="S351" t="str">
        <f t="shared" si="230"/>
        <v>0.87 (0.73 to 1.01)</v>
      </c>
    </row>
    <row r="352" spans="1:19" ht="17.25" thickBot="1" x14ac:dyDescent="0.35">
      <c r="A352" s="6"/>
      <c r="B352" s="13" t="s">
        <v>132</v>
      </c>
      <c r="C352" s="2">
        <v>17158</v>
      </c>
      <c r="D352" s="2">
        <v>7801700</v>
      </c>
      <c r="E352" s="2">
        <v>88291</v>
      </c>
      <c r="F352" s="2">
        <v>25.789200000000001</v>
      </c>
      <c r="G352" s="2">
        <v>0.2046</v>
      </c>
      <c r="H352" s="2">
        <v>25.388100000000001</v>
      </c>
      <c r="I352" s="2">
        <v>26.1904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3">
        <v>0</v>
      </c>
      <c r="C353" s="2">
        <v>16800</v>
      </c>
      <c r="D353" s="2">
        <v>7210832</v>
      </c>
      <c r="E353" s="2">
        <v>80580</v>
      </c>
      <c r="F353" s="2">
        <v>23.836099999999998</v>
      </c>
      <c r="G353" s="2">
        <v>0.20039999999999999</v>
      </c>
      <c r="H353" s="2">
        <v>23.443100000000001</v>
      </c>
      <c r="I353" s="2">
        <v>24.228999999999999</v>
      </c>
      <c r="J353" s="2">
        <v>98.506699999999995</v>
      </c>
      <c r="K353" s="2">
        <v>9.2399999999999996E-2</v>
      </c>
      <c r="L353" s="2">
        <v>98.325599999999994</v>
      </c>
      <c r="M353" s="2">
        <v>98.687799999999996</v>
      </c>
      <c r="O353">
        <f t="shared" ref="O353:O354" si="231">J353</f>
        <v>98.506699999999995</v>
      </c>
      <c r="P353">
        <f t="shared" ref="P353:Q354" si="232">L353</f>
        <v>98.325599999999994</v>
      </c>
      <c r="Q353">
        <f t="shared" si="232"/>
        <v>98.687799999999996</v>
      </c>
      <c r="S353" t="str">
        <f t="shared" ref="S353:S354" si="233">TEXT(O353,"0.00")&amp;" ("&amp;TEXT(P353,"0.00")&amp;" to "&amp;TEXT(Q353,"0.00")&amp;")"</f>
        <v>98.51 (98.33 to 98.69)</v>
      </c>
    </row>
    <row r="354" spans="1:19" ht="17.25" thickBot="1" x14ac:dyDescent="0.35">
      <c r="A354" s="6"/>
      <c r="B354" s="13">
        <v>1</v>
      </c>
      <c r="C354" s="2">
        <v>359</v>
      </c>
      <c r="D354" s="2">
        <v>109311</v>
      </c>
      <c r="E354" s="2">
        <v>6791</v>
      </c>
      <c r="F354" s="2">
        <v>0.36130000000000001</v>
      </c>
      <c r="G354" s="2">
        <v>2.2499999999999999E-2</v>
      </c>
      <c r="H354" s="2">
        <v>0.31730000000000003</v>
      </c>
      <c r="I354" s="2">
        <v>0.40539999999999998</v>
      </c>
      <c r="J354" s="2">
        <v>1.4933000000000001</v>
      </c>
      <c r="K354" s="2">
        <v>9.2399999999999996E-2</v>
      </c>
      <c r="L354" s="2">
        <v>1.3122</v>
      </c>
      <c r="M354" s="2">
        <v>1.6744000000000001</v>
      </c>
      <c r="O354">
        <f t="shared" si="231"/>
        <v>1.4933000000000001</v>
      </c>
      <c r="P354">
        <f t="shared" si="232"/>
        <v>1.3122</v>
      </c>
      <c r="Q354">
        <f t="shared" si="232"/>
        <v>1.6744000000000001</v>
      </c>
      <c r="S354" t="str">
        <f t="shared" si="233"/>
        <v>1.49 (1.31 to 1.67)</v>
      </c>
    </row>
    <row r="355" spans="1:19" ht="17.25" thickBot="1" x14ac:dyDescent="0.35">
      <c r="A355" s="6"/>
      <c r="B355" s="13" t="s">
        <v>132</v>
      </c>
      <c r="C355" s="2">
        <v>17159</v>
      </c>
      <c r="D355" s="2">
        <v>7320143</v>
      </c>
      <c r="E355" s="2">
        <v>81075</v>
      </c>
      <c r="F355" s="2">
        <v>24.197399999999998</v>
      </c>
      <c r="G355" s="2">
        <v>0.20150000000000001</v>
      </c>
      <c r="H355" s="2">
        <v>23.802399999999999</v>
      </c>
      <c r="I355" s="2">
        <v>24.592500000000001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3">
        <v>0</v>
      </c>
      <c r="C356" s="2">
        <v>16619</v>
      </c>
      <c r="D356" s="2">
        <v>6694329</v>
      </c>
      <c r="E356" s="2">
        <v>75966</v>
      </c>
      <c r="F356" s="2">
        <v>22.128699999999998</v>
      </c>
      <c r="G356" s="2">
        <v>0.21540000000000001</v>
      </c>
      <c r="H356" s="2">
        <v>21.706399999999999</v>
      </c>
      <c r="I356" s="2">
        <v>22.551100000000002</v>
      </c>
      <c r="J356" s="2">
        <v>97.533799999999999</v>
      </c>
      <c r="K356" s="2">
        <v>0.1236</v>
      </c>
      <c r="L356" s="2">
        <v>97.291300000000007</v>
      </c>
      <c r="M356" s="2">
        <v>97.776200000000003</v>
      </c>
      <c r="O356">
        <f t="shared" ref="O356:O357" si="234">J356</f>
        <v>97.533799999999999</v>
      </c>
      <c r="P356">
        <f t="shared" ref="P356:Q357" si="235">L356</f>
        <v>97.291300000000007</v>
      </c>
      <c r="Q356">
        <f t="shared" si="235"/>
        <v>97.776200000000003</v>
      </c>
      <c r="S356" t="str">
        <f t="shared" ref="S356:S357" si="236">TEXT(O356,"0.00")&amp;" ("&amp;TEXT(P356,"0.00")&amp;" to "&amp;TEXT(Q356,"0.00")&amp;")"</f>
        <v>97.53 (97.29 to 97.78)</v>
      </c>
    </row>
    <row r="357" spans="1:19" ht="17.25" thickBot="1" x14ac:dyDescent="0.35">
      <c r="A357" s="6"/>
      <c r="B357" s="13">
        <v>1</v>
      </c>
      <c r="C357" s="2">
        <v>539</v>
      </c>
      <c r="D357" s="2">
        <v>169273</v>
      </c>
      <c r="E357" s="2">
        <v>8633</v>
      </c>
      <c r="F357" s="2">
        <v>0.5595</v>
      </c>
      <c r="G357" s="2">
        <v>2.8400000000000002E-2</v>
      </c>
      <c r="H357" s="2">
        <v>0.50390000000000001</v>
      </c>
      <c r="I357" s="2">
        <v>0.61519999999999997</v>
      </c>
      <c r="J357" s="2">
        <v>2.4662000000000002</v>
      </c>
      <c r="K357" s="2">
        <v>0.1236</v>
      </c>
      <c r="L357" s="2">
        <v>2.2238000000000002</v>
      </c>
      <c r="M357" s="2">
        <v>2.7086999999999999</v>
      </c>
      <c r="O357">
        <f t="shared" si="234"/>
        <v>2.4662000000000002</v>
      </c>
      <c r="P357">
        <f t="shared" si="235"/>
        <v>2.2238000000000002</v>
      </c>
      <c r="Q357">
        <f t="shared" si="235"/>
        <v>2.7086999999999999</v>
      </c>
      <c r="S357" t="str">
        <f t="shared" si="236"/>
        <v>2.47 (2.22 to 2.71)</v>
      </c>
    </row>
    <row r="358" spans="1:19" ht="17.25" thickBot="1" x14ac:dyDescent="0.35">
      <c r="A358" s="6"/>
      <c r="B358" s="13" t="s">
        <v>132</v>
      </c>
      <c r="C358" s="2">
        <v>17158</v>
      </c>
      <c r="D358" s="2">
        <v>6863601</v>
      </c>
      <c r="E358" s="2">
        <v>77106</v>
      </c>
      <c r="F358" s="2">
        <v>22.688300000000002</v>
      </c>
      <c r="G358" s="2">
        <v>0.21809999999999999</v>
      </c>
      <c r="H358" s="2">
        <v>22.2607</v>
      </c>
      <c r="I358" s="2">
        <v>23.1159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3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237">J359</f>
        <v>0</v>
      </c>
      <c r="P359">
        <f t="shared" ref="P359:Q360" si="238">L359</f>
        <v>0</v>
      </c>
      <c r="Q359">
        <f t="shared" si="238"/>
        <v>0</v>
      </c>
      <c r="S359" t="str">
        <f t="shared" ref="S359:S360" si="23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3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237"/>
        <v>0</v>
      </c>
      <c r="P360">
        <f t="shared" si="238"/>
        <v>0</v>
      </c>
      <c r="Q360">
        <f t="shared" si="238"/>
        <v>0</v>
      </c>
      <c r="S360" t="str">
        <f t="shared" si="239"/>
        <v>0.00 (0.00 to 0.00)</v>
      </c>
    </row>
    <row r="361" spans="1:19" x14ac:dyDescent="0.3">
      <c r="A361" s="6"/>
      <c r="B361" s="16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:B3"/>
    <mergeCell ref="A9:M9"/>
    <mergeCell ref="A10:A11"/>
    <mergeCell ref="B10:B11"/>
    <mergeCell ref="C10:C11"/>
    <mergeCell ref="F10:F11"/>
    <mergeCell ref="H10:I10"/>
    <mergeCell ref="L10:M10"/>
    <mergeCell ref="H11:I11"/>
    <mergeCell ref="L11:M11"/>
    <mergeCell ref="A33:M33"/>
    <mergeCell ref="A34:A35"/>
    <mergeCell ref="B34:B35"/>
    <mergeCell ref="C34:C35"/>
    <mergeCell ref="F34:F35"/>
    <mergeCell ref="H34:I34"/>
    <mergeCell ref="L34:M34"/>
    <mergeCell ref="H35:I35"/>
    <mergeCell ref="L35:M35"/>
    <mergeCell ref="A52:M52"/>
    <mergeCell ref="A53:A54"/>
    <mergeCell ref="B53:B54"/>
    <mergeCell ref="C53:C54"/>
    <mergeCell ref="F53:F54"/>
    <mergeCell ref="H53:I53"/>
    <mergeCell ref="L53:M53"/>
    <mergeCell ref="H54:I54"/>
    <mergeCell ref="L54:M54"/>
    <mergeCell ref="A71:M71"/>
    <mergeCell ref="A72:A73"/>
    <mergeCell ref="B72:B73"/>
    <mergeCell ref="C72:C73"/>
    <mergeCell ref="F72:F73"/>
    <mergeCell ref="H72:I72"/>
    <mergeCell ref="L72:M72"/>
    <mergeCell ref="H73:I73"/>
    <mergeCell ref="L73:M73"/>
    <mergeCell ref="A100:M100"/>
    <mergeCell ref="A101:A102"/>
    <mergeCell ref="B101:B102"/>
    <mergeCell ref="C101:C102"/>
    <mergeCell ref="F101:F102"/>
    <mergeCell ref="H101:I101"/>
    <mergeCell ref="L101:M101"/>
    <mergeCell ref="H102:I102"/>
    <mergeCell ref="L102:M102"/>
    <mergeCell ref="A129:M129"/>
    <mergeCell ref="A130:A131"/>
    <mergeCell ref="B130:B131"/>
    <mergeCell ref="C130:C131"/>
    <mergeCell ref="F130:F131"/>
    <mergeCell ref="H130:I130"/>
    <mergeCell ref="L130:M130"/>
    <mergeCell ref="H131:I131"/>
    <mergeCell ref="L131:M131"/>
    <mergeCell ref="A158:M158"/>
    <mergeCell ref="A159:A160"/>
    <mergeCell ref="B159:B160"/>
    <mergeCell ref="C159:C160"/>
    <mergeCell ref="F159:F160"/>
    <mergeCell ref="H159:I159"/>
    <mergeCell ref="L159:M159"/>
    <mergeCell ref="H160:I160"/>
    <mergeCell ref="L160:M160"/>
    <mergeCell ref="A177:M177"/>
    <mergeCell ref="A178:A179"/>
    <mergeCell ref="B178:B179"/>
    <mergeCell ref="C178:C179"/>
    <mergeCell ref="F178:F179"/>
    <mergeCell ref="H178:I178"/>
    <mergeCell ref="L178:M178"/>
    <mergeCell ref="H179:I179"/>
    <mergeCell ref="L179:M179"/>
    <mergeCell ref="A201:M201"/>
    <mergeCell ref="A202:A203"/>
    <mergeCell ref="B202:B203"/>
    <mergeCell ref="C202:C203"/>
    <mergeCell ref="F202:F203"/>
    <mergeCell ref="H202:I202"/>
    <mergeCell ref="L202:M202"/>
    <mergeCell ref="H203:I203"/>
    <mergeCell ref="L203:M203"/>
    <mergeCell ref="A225:M225"/>
    <mergeCell ref="A226:A227"/>
    <mergeCell ref="B226:B227"/>
    <mergeCell ref="C226:C227"/>
    <mergeCell ref="F226:F227"/>
    <mergeCell ref="H226:I226"/>
    <mergeCell ref="L226:M226"/>
    <mergeCell ref="H227:I227"/>
    <mergeCell ref="L227:M227"/>
    <mergeCell ref="A249:M249"/>
    <mergeCell ref="A250:A251"/>
    <mergeCell ref="B250:B251"/>
    <mergeCell ref="C250:C251"/>
    <mergeCell ref="F250:F251"/>
    <mergeCell ref="H250:I250"/>
    <mergeCell ref="L250:M250"/>
    <mergeCell ref="H251:I251"/>
    <mergeCell ref="L251:M251"/>
    <mergeCell ref="A268:M268"/>
    <mergeCell ref="A269:A270"/>
    <mergeCell ref="B269:B270"/>
    <mergeCell ref="C269:C270"/>
    <mergeCell ref="F269:F270"/>
    <mergeCell ref="H269:I269"/>
    <mergeCell ref="L269:M269"/>
    <mergeCell ref="H270:I270"/>
    <mergeCell ref="L270:M270"/>
    <mergeCell ref="A287:M287"/>
    <mergeCell ref="A288:A289"/>
    <mergeCell ref="B288:B289"/>
    <mergeCell ref="C288:C289"/>
    <mergeCell ref="F288:F289"/>
    <mergeCell ref="H288:I288"/>
    <mergeCell ref="L288:M288"/>
    <mergeCell ref="H289:I289"/>
    <mergeCell ref="L289:M289"/>
    <mergeCell ref="A306:M306"/>
    <mergeCell ref="A307:A308"/>
    <mergeCell ref="B307:B308"/>
    <mergeCell ref="C307:C308"/>
    <mergeCell ref="F307:F308"/>
    <mergeCell ref="H307:I307"/>
    <mergeCell ref="L307:M307"/>
    <mergeCell ref="H308:I308"/>
    <mergeCell ref="L308:M308"/>
    <mergeCell ref="A325:M325"/>
    <mergeCell ref="A326:A327"/>
    <mergeCell ref="B326:B327"/>
    <mergeCell ref="C326:C327"/>
    <mergeCell ref="F326:F327"/>
    <mergeCell ref="H326:I326"/>
    <mergeCell ref="L326:M326"/>
    <mergeCell ref="H327:I327"/>
    <mergeCell ref="L327:M327"/>
    <mergeCell ref="A344:M344"/>
    <mergeCell ref="A345:A346"/>
    <mergeCell ref="B345:B346"/>
    <mergeCell ref="C345:C346"/>
    <mergeCell ref="F345:F346"/>
    <mergeCell ref="H345:I345"/>
    <mergeCell ref="L345:M345"/>
    <mergeCell ref="H346:I346"/>
    <mergeCell ref="L346:M346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0E-E132-4897-A1FB-AE76CCA97653}">
  <dimension ref="A1:S361"/>
  <sheetViews>
    <sheetView topLeftCell="A339" workbookViewId="0">
      <selection activeCell="S356" sqref="S356:S357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17" t="s">
        <v>119</v>
      </c>
      <c r="B3" s="19"/>
    </row>
    <row r="4" spans="1:19" ht="26.25" thickBot="1" x14ac:dyDescent="0.35">
      <c r="A4" s="14" t="s">
        <v>120</v>
      </c>
      <c r="B4" s="2">
        <v>183</v>
      </c>
    </row>
    <row r="5" spans="1:19" ht="26.25" thickBot="1" x14ac:dyDescent="0.35">
      <c r="A5" s="14" t="s">
        <v>121</v>
      </c>
      <c r="B5" s="2">
        <v>2982</v>
      </c>
    </row>
    <row r="6" spans="1:19" ht="39" thickBot="1" x14ac:dyDescent="0.35">
      <c r="A6" s="14" t="s">
        <v>122</v>
      </c>
      <c r="B6" s="2">
        <v>68634</v>
      </c>
    </row>
    <row r="7" spans="1:19" ht="25.5" x14ac:dyDescent="0.3">
      <c r="A7" s="15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17" t="s">
        <v>183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</row>
    <row r="10" spans="1:19" ht="33" customHeight="1" x14ac:dyDescent="0.3">
      <c r="A10" s="18" t="s">
        <v>58</v>
      </c>
      <c r="B10" s="20" t="s">
        <v>1</v>
      </c>
      <c r="C10" s="20" t="s">
        <v>125</v>
      </c>
      <c r="D10" s="3" t="s">
        <v>126</v>
      </c>
      <c r="E10" s="3" t="s">
        <v>127</v>
      </c>
      <c r="F10" s="20" t="s">
        <v>129</v>
      </c>
      <c r="G10" s="3" t="s">
        <v>127</v>
      </c>
      <c r="H10" s="20" t="s">
        <v>130</v>
      </c>
      <c r="I10" s="20"/>
      <c r="J10" s="3" t="s">
        <v>149</v>
      </c>
      <c r="K10" s="3" t="s">
        <v>127</v>
      </c>
      <c r="L10" s="20" t="s">
        <v>130</v>
      </c>
      <c r="M10" s="20"/>
    </row>
    <row r="11" spans="1:19" ht="33" x14ac:dyDescent="0.3">
      <c r="A11" s="18"/>
      <c r="B11" s="20"/>
      <c r="C11" s="20"/>
      <c r="D11" s="3" t="s">
        <v>125</v>
      </c>
      <c r="E11" s="3" t="s">
        <v>128</v>
      </c>
      <c r="F11" s="20"/>
      <c r="G11" s="3" t="s">
        <v>129</v>
      </c>
      <c r="H11" s="20" t="s">
        <v>131</v>
      </c>
      <c r="I11" s="20"/>
      <c r="J11" s="3" t="s">
        <v>129</v>
      </c>
      <c r="K11" s="3" t="s">
        <v>150</v>
      </c>
      <c r="L11" s="20" t="s">
        <v>151</v>
      </c>
      <c r="M11" s="20"/>
    </row>
    <row r="12" spans="1:19" ht="17.25" thickBot="1" x14ac:dyDescent="0.35">
      <c r="A12" s="6">
        <v>1</v>
      </c>
      <c r="B12" s="13">
        <v>1</v>
      </c>
      <c r="C12" s="2">
        <v>7540</v>
      </c>
      <c r="D12" s="2">
        <v>4030349</v>
      </c>
      <c r="E12" s="2">
        <v>63787</v>
      </c>
      <c r="F12" s="2">
        <v>13.322699999999999</v>
      </c>
      <c r="G12" s="2">
        <v>0.1754</v>
      </c>
      <c r="H12" s="2">
        <v>12.9787</v>
      </c>
      <c r="I12" s="2">
        <v>13.666700000000001</v>
      </c>
      <c r="J12" s="2">
        <v>52.372300000000003</v>
      </c>
      <c r="K12" s="2">
        <v>0.47620000000000001</v>
      </c>
      <c r="L12" s="2">
        <v>51.438499999999998</v>
      </c>
      <c r="M12" s="2">
        <v>53.306100000000001</v>
      </c>
      <c r="O12">
        <f>J12</f>
        <v>52.372300000000003</v>
      </c>
      <c r="P12">
        <f>L12</f>
        <v>51.438499999999998</v>
      </c>
      <c r="Q12">
        <f>M12</f>
        <v>53.306100000000001</v>
      </c>
      <c r="S12" t="str">
        <f>TEXT(O12,"0.00")&amp;" ("&amp;TEXT(P12,"0.00")&amp;" to "&amp;TEXT(Q12,"0.00")&amp;")"</f>
        <v>52.37 (51.44 to 53.31)</v>
      </c>
    </row>
    <row r="13" spans="1:19" ht="17.25" thickBot="1" x14ac:dyDescent="0.35">
      <c r="A13" s="6"/>
      <c r="B13" s="13">
        <v>2</v>
      </c>
      <c r="C13" s="2">
        <v>7246</v>
      </c>
      <c r="D13" s="2">
        <v>3026905</v>
      </c>
      <c r="E13" s="2">
        <v>46654</v>
      </c>
      <c r="F13" s="2">
        <v>10.005699999999999</v>
      </c>
      <c r="G13" s="2">
        <v>0.13350000000000001</v>
      </c>
      <c r="H13" s="2">
        <v>9.7439999999999998</v>
      </c>
      <c r="I13" s="2">
        <v>10.2675</v>
      </c>
      <c r="J13" s="2">
        <v>39.332999999999998</v>
      </c>
      <c r="K13" s="2">
        <v>0.43769999999999998</v>
      </c>
      <c r="L13" s="2">
        <v>38.474699999999999</v>
      </c>
      <c r="M13" s="2">
        <v>40.191400000000002</v>
      </c>
      <c r="O13">
        <f t="shared" ref="O13:O14" si="0">J13</f>
        <v>39.332999999999998</v>
      </c>
      <c r="P13">
        <f t="shared" ref="P13:Q14" si="1">L13</f>
        <v>38.474699999999999</v>
      </c>
      <c r="Q13">
        <f t="shared" si="1"/>
        <v>40.191400000000002</v>
      </c>
      <c r="S13" t="str">
        <f t="shared" ref="S13:S14" si="2">TEXT(O13,"0.00")&amp;" ("&amp;TEXT(P13,"0.00")&amp;" to "&amp;TEXT(Q13,"0.00")&amp;")"</f>
        <v>39.33 (38.47 to 40.19)</v>
      </c>
    </row>
    <row r="14" spans="1:19" ht="17.25" thickBot="1" x14ac:dyDescent="0.35">
      <c r="A14" s="6"/>
      <c r="B14" s="13">
        <v>3</v>
      </c>
      <c r="C14" s="2">
        <v>2371</v>
      </c>
      <c r="D14" s="2">
        <v>638324</v>
      </c>
      <c r="E14" s="2">
        <v>16219</v>
      </c>
      <c r="F14" s="2">
        <v>2.11</v>
      </c>
      <c r="G14" s="2">
        <v>5.4399999999999997E-2</v>
      </c>
      <c r="H14" s="2">
        <v>2.0034000000000001</v>
      </c>
      <c r="I14" s="2">
        <v>2.2166999999999999</v>
      </c>
      <c r="J14" s="2">
        <v>8.2947000000000006</v>
      </c>
      <c r="K14" s="2">
        <v>0.21429999999999999</v>
      </c>
      <c r="L14" s="2">
        <v>7.8745000000000003</v>
      </c>
      <c r="M14" s="2">
        <v>8.7149000000000001</v>
      </c>
      <c r="O14">
        <f t="shared" si="0"/>
        <v>8.2947000000000006</v>
      </c>
      <c r="P14">
        <f t="shared" si="1"/>
        <v>7.8745000000000003</v>
      </c>
      <c r="Q14">
        <f t="shared" si="1"/>
        <v>8.7149000000000001</v>
      </c>
      <c r="S14" t="str">
        <f t="shared" si="2"/>
        <v>8.29 (7.87 to 8.71)</v>
      </c>
    </row>
    <row r="15" spans="1:19" ht="17.25" thickBot="1" x14ac:dyDescent="0.35">
      <c r="A15" s="6"/>
      <c r="B15" s="13" t="s">
        <v>132</v>
      </c>
      <c r="C15" s="2">
        <v>17157</v>
      </c>
      <c r="D15" s="2">
        <v>7695579</v>
      </c>
      <c r="E15" s="2">
        <v>88007</v>
      </c>
      <c r="F15" s="2">
        <v>25.438500000000001</v>
      </c>
      <c r="G15" s="2">
        <v>0.21060000000000001</v>
      </c>
      <c r="H15" s="2">
        <v>25.025600000000001</v>
      </c>
      <c r="I15" s="2">
        <v>25.851299999999998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3">
        <v>1</v>
      </c>
      <c r="C16" s="2">
        <v>5553</v>
      </c>
      <c r="D16" s="2">
        <v>3141670</v>
      </c>
      <c r="E16" s="2">
        <v>56651</v>
      </c>
      <c r="F16" s="2">
        <v>10.3851</v>
      </c>
      <c r="G16" s="2">
        <v>0.1598</v>
      </c>
      <c r="H16" s="2">
        <v>10.0718</v>
      </c>
      <c r="I16" s="2">
        <v>10.6983</v>
      </c>
      <c r="J16" s="2">
        <v>41.730499999999999</v>
      </c>
      <c r="K16" s="2">
        <v>0.50239999999999996</v>
      </c>
      <c r="L16" s="2">
        <v>40.7453</v>
      </c>
      <c r="M16" s="2">
        <v>42.715699999999998</v>
      </c>
      <c r="O16">
        <f t="shared" ref="O16:O18" si="3">J16</f>
        <v>41.730499999999999</v>
      </c>
      <c r="P16">
        <f t="shared" ref="P16:Q18" si="4">L16</f>
        <v>40.7453</v>
      </c>
      <c r="Q16">
        <f t="shared" si="4"/>
        <v>42.715699999999998</v>
      </c>
      <c r="S16" t="str">
        <f t="shared" ref="S16:S18" si="5">TEXT(O16,"0.00")&amp;" ("&amp;TEXT(P16,"0.00")&amp;" to "&amp;TEXT(Q16,"0.00")&amp;")"</f>
        <v>41.73 (40.75 to 42.72)</v>
      </c>
    </row>
    <row r="17" spans="1:19" ht="17.25" thickBot="1" x14ac:dyDescent="0.35">
      <c r="A17" s="6"/>
      <c r="B17" s="13">
        <v>2</v>
      </c>
      <c r="C17" s="2">
        <v>8025</v>
      </c>
      <c r="D17" s="2">
        <v>3427157</v>
      </c>
      <c r="E17" s="2">
        <v>51266</v>
      </c>
      <c r="F17" s="2">
        <v>11.328799999999999</v>
      </c>
      <c r="G17" s="2">
        <v>0.1444</v>
      </c>
      <c r="H17" s="2">
        <v>11.0456</v>
      </c>
      <c r="I17" s="2">
        <v>11.612</v>
      </c>
      <c r="J17" s="2">
        <v>45.522599999999997</v>
      </c>
      <c r="K17" s="2">
        <v>0.46739999999999998</v>
      </c>
      <c r="L17" s="2">
        <v>44.606200000000001</v>
      </c>
      <c r="M17" s="2">
        <v>46.439</v>
      </c>
      <c r="O17">
        <f t="shared" si="3"/>
        <v>45.522599999999997</v>
      </c>
      <c r="P17">
        <f t="shared" si="4"/>
        <v>44.606200000000001</v>
      </c>
      <c r="Q17">
        <f t="shared" si="4"/>
        <v>46.439</v>
      </c>
      <c r="S17" t="str">
        <f t="shared" si="5"/>
        <v>45.52 (44.61 to 46.44)</v>
      </c>
    </row>
    <row r="18" spans="1:19" ht="17.25" thickBot="1" x14ac:dyDescent="0.35">
      <c r="A18" s="6"/>
      <c r="B18" s="13">
        <v>3</v>
      </c>
      <c r="C18" s="2">
        <v>3582</v>
      </c>
      <c r="D18" s="2">
        <v>959647</v>
      </c>
      <c r="E18" s="2">
        <v>21454</v>
      </c>
      <c r="F18" s="2">
        <v>3.1722000000000001</v>
      </c>
      <c r="G18" s="2">
        <v>7.2400000000000006E-2</v>
      </c>
      <c r="H18" s="2">
        <v>3.0301999999999998</v>
      </c>
      <c r="I18" s="2">
        <v>3.3142</v>
      </c>
      <c r="J18" s="2">
        <v>12.7469</v>
      </c>
      <c r="K18" s="2">
        <v>0.29060000000000002</v>
      </c>
      <c r="L18" s="2">
        <v>12.177099999999999</v>
      </c>
      <c r="M18" s="2">
        <v>13.316700000000001</v>
      </c>
      <c r="O18">
        <f t="shared" si="3"/>
        <v>12.7469</v>
      </c>
      <c r="P18">
        <f t="shared" si="4"/>
        <v>12.177099999999999</v>
      </c>
      <c r="Q18">
        <f t="shared" si="4"/>
        <v>13.316700000000001</v>
      </c>
      <c r="S18" t="str">
        <f t="shared" si="5"/>
        <v>12.75 (12.18 to 13.32)</v>
      </c>
    </row>
    <row r="19" spans="1:19" ht="17.25" thickBot="1" x14ac:dyDescent="0.35">
      <c r="A19" s="6"/>
      <c r="B19" s="13" t="s">
        <v>132</v>
      </c>
      <c r="C19" s="2">
        <v>17160</v>
      </c>
      <c r="D19" s="2">
        <v>7528473</v>
      </c>
      <c r="E19" s="2">
        <v>84684</v>
      </c>
      <c r="F19" s="2">
        <v>24.886099999999999</v>
      </c>
      <c r="G19" s="2">
        <v>0.19980000000000001</v>
      </c>
      <c r="H19" s="2">
        <v>24.494299999999999</v>
      </c>
      <c r="I19" s="2">
        <v>25.277799999999999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3">
        <v>1</v>
      </c>
      <c r="C20" s="2">
        <v>4250</v>
      </c>
      <c r="D20" s="2">
        <v>2447227</v>
      </c>
      <c r="E20" s="2">
        <v>49290</v>
      </c>
      <c r="F20" s="2">
        <v>8.0894999999999992</v>
      </c>
      <c r="G20" s="2">
        <v>0.14660000000000001</v>
      </c>
      <c r="H20" s="2">
        <v>7.8021000000000003</v>
      </c>
      <c r="I20" s="2">
        <v>8.3770000000000007</v>
      </c>
      <c r="J20" s="2">
        <v>33.1248</v>
      </c>
      <c r="K20" s="2">
        <v>0.50929999999999997</v>
      </c>
      <c r="L20" s="2">
        <v>32.126100000000001</v>
      </c>
      <c r="M20" s="2">
        <v>34.123600000000003</v>
      </c>
      <c r="O20">
        <f t="shared" ref="O20:O22" si="6">J20</f>
        <v>33.1248</v>
      </c>
      <c r="P20">
        <f t="shared" ref="P20:Q22" si="7">L20</f>
        <v>32.126100000000001</v>
      </c>
      <c r="Q20">
        <f t="shared" si="7"/>
        <v>34.123600000000003</v>
      </c>
      <c r="S20" t="str">
        <f t="shared" ref="S20:S22" si="8">TEXT(O20,"0.00")&amp;" ("&amp;TEXT(P20,"0.00")&amp;" to "&amp;TEXT(Q20,"0.00")&amp;")"</f>
        <v>33.12 (32.13 to 34.12)</v>
      </c>
    </row>
    <row r="21" spans="1:19" ht="17.25" thickBot="1" x14ac:dyDescent="0.35">
      <c r="A21" s="6"/>
      <c r="B21" s="13">
        <v>2</v>
      </c>
      <c r="C21" s="2">
        <v>8640</v>
      </c>
      <c r="D21" s="2">
        <v>3810767</v>
      </c>
      <c r="E21" s="2">
        <v>55950</v>
      </c>
      <c r="F21" s="2">
        <v>12.5968</v>
      </c>
      <c r="G21" s="2">
        <v>0.15260000000000001</v>
      </c>
      <c r="H21" s="2">
        <v>12.297599999999999</v>
      </c>
      <c r="I21" s="2">
        <v>12.896100000000001</v>
      </c>
      <c r="J21" s="2">
        <v>51.581299999999999</v>
      </c>
      <c r="K21" s="2">
        <v>0.49080000000000001</v>
      </c>
      <c r="L21" s="2">
        <v>50.6188</v>
      </c>
      <c r="M21" s="2">
        <v>52.543700000000001</v>
      </c>
      <c r="O21">
        <f t="shared" si="6"/>
        <v>51.581299999999999</v>
      </c>
      <c r="P21">
        <f t="shared" si="7"/>
        <v>50.6188</v>
      </c>
      <c r="Q21">
        <f t="shared" si="7"/>
        <v>52.543700000000001</v>
      </c>
      <c r="S21" t="str">
        <f t="shared" si="8"/>
        <v>51.58 (50.62 to 52.54)</v>
      </c>
    </row>
    <row r="22" spans="1:19" ht="17.25" thickBot="1" x14ac:dyDescent="0.35">
      <c r="A22" s="6"/>
      <c r="B22" s="13">
        <v>3</v>
      </c>
      <c r="C22" s="2">
        <v>4268</v>
      </c>
      <c r="D22" s="2">
        <v>1129897</v>
      </c>
      <c r="E22" s="2">
        <v>23939</v>
      </c>
      <c r="F22" s="2">
        <v>3.7349999999999999</v>
      </c>
      <c r="G22" s="2">
        <v>8.1000000000000003E-2</v>
      </c>
      <c r="H22" s="2">
        <v>3.5760999999999998</v>
      </c>
      <c r="I22" s="2">
        <v>3.8938000000000001</v>
      </c>
      <c r="J22" s="2">
        <v>15.293900000000001</v>
      </c>
      <c r="K22" s="2">
        <v>0.32029999999999997</v>
      </c>
      <c r="L22" s="2">
        <v>14.665900000000001</v>
      </c>
      <c r="M22" s="2">
        <v>15.921900000000001</v>
      </c>
      <c r="O22">
        <f t="shared" si="6"/>
        <v>15.293900000000001</v>
      </c>
      <c r="P22">
        <f t="shared" si="7"/>
        <v>14.665900000000001</v>
      </c>
      <c r="Q22">
        <f t="shared" si="7"/>
        <v>15.921900000000001</v>
      </c>
      <c r="S22" t="str">
        <f t="shared" si="8"/>
        <v>15.29 (14.67 to 15.92)</v>
      </c>
    </row>
    <row r="23" spans="1:19" ht="17.25" thickBot="1" x14ac:dyDescent="0.35">
      <c r="A23" s="6"/>
      <c r="B23" s="13" t="s">
        <v>132</v>
      </c>
      <c r="C23" s="2">
        <v>17158</v>
      </c>
      <c r="D23" s="2">
        <v>7387892</v>
      </c>
      <c r="E23" s="2">
        <v>81641</v>
      </c>
      <c r="F23" s="2">
        <v>24.421399999999998</v>
      </c>
      <c r="G23" s="2">
        <v>0.19589999999999999</v>
      </c>
      <c r="H23" s="2">
        <v>24.037199999999999</v>
      </c>
      <c r="I23" s="2">
        <v>24.805499999999999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3">
        <v>1</v>
      </c>
      <c r="C24" s="2">
        <v>3736</v>
      </c>
      <c r="D24" s="2">
        <v>2215268</v>
      </c>
      <c r="E24" s="2">
        <v>46037</v>
      </c>
      <c r="F24" s="2">
        <v>7.3228</v>
      </c>
      <c r="G24" s="2">
        <v>0.14069999999999999</v>
      </c>
      <c r="H24" s="2">
        <v>7.0468000000000002</v>
      </c>
      <c r="I24" s="2">
        <v>7.5987</v>
      </c>
      <c r="J24" s="2">
        <v>28.996400000000001</v>
      </c>
      <c r="K24" s="2">
        <v>0.48320000000000002</v>
      </c>
      <c r="L24" s="2">
        <v>28.0488</v>
      </c>
      <c r="M24" s="2">
        <v>29.943899999999999</v>
      </c>
      <c r="O24">
        <f t="shared" ref="O24:O26" si="9">J24</f>
        <v>28.996400000000001</v>
      </c>
      <c r="P24">
        <f t="shared" ref="P24:Q26" si="10">L24</f>
        <v>28.0488</v>
      </c>
      <c r="Q24">
        <f t="shared" si="10"/>
        <v>29.943899999999999</v>
      </c>
      <c r="S24" t="str">
        <f t="shared" ref="S24:S26" si="11">TEXT(O24,"0.00")&amp;" ("&amp;TEXT(P24,"0.00")&amp;" to "&amp;TEXT(Q24,"0.00")&amp;")"</f>
        <v>29.00 (28.05 to 29.94)</v>
      </c>
    </row>
    <row r="25" spans="1:19" ht="17.25" thickBot="1" x14ac:dyDescent="0.35">
      <c r="A25" s="6"/>
      <c r="B25" s="13">
        <v>2</v>
      </c>
      <c r="C25" s="2">
        <v>9559</v>
      </c>
      <c r="D25" s="2">
        <v>4402561</v>
      </c>
      <c r="E25" s="2">
        <v>60120</v>
      </c>
      <c r="F25" s="2">
        <v>14.553100000000001</v>
      </c>
      <c r="G25" s="2">
        <v>0.16789999999999999</v>
      </c>
      <c r="H25" s="2">
        <v>14.223800000000001</v>
      </c>
      <c r="I25" s="2">
        <v>14.882400000000001</v>
      </c>
      <c r="J25" s="2">
        <v>57.626600000000003</v>
      </c>
      <c r="K25" s="2">
        <v>0.47849999999999998</v>
      </c>
      <c r="L25" s="2">
        <v>56.688299999999998</v>
      </c>
      <c r="M25" s="2">
        <v>58.564799999999998</v>
      </c>
      <c r="O25">
        <f t="shared" si="9"/>
        <v>57.626600000000003</v>
      </c>
      <c r="P25">
        <f t="shared" si="10"/>
        <v>56.688299999999998</v>
      </c>
      <c r="Q25">
        <f t="shared" si="10"/>
        <v>58.564799999999998</v>
      </c>
      <c r="S25" t="str">
        <f t="shared" si="11"/>
        <v>57.63 (56.69 to 58.56)</v>
      </c>
    </row>
    <row r="26" spans="1:19" ht="17.25" thickBot="1" x14ac:dyDescent="0.35">
      <c r="A26" s="6"/>
      <c r="B26" s="13">
        <v>3</v>
      </c>
      <c r="C26" s="2">
        <v>3864</v>
      </c>
      <c r="D26" s="2">
        <v>1021985</v>
      </c>
      <c r="E26" s="2">
        <v>22171</v>
      </c>
      <c r="F26" s="2">
        <v>3.3782999999999999</v>
      </c>
      <c r="G26" s="2">
        <v>7.46E-2</v>
      </c>
      <c r="H26" s="2">
        <v>3.2321</v>
      </c>
      <c r="I26" s="2">
        <v>3.5244</v>
      </c>
      <c r="J26" s="2">
        <v>13.3771</v>
      </c>
      <c r="K26" s="2">
        <v>0.28079999999999999</v>
      </c>
      <c r="L26" s="2">
        <v>12.826499999999999</v>
      </c>
      <c r="M26" s="2">
        <v>13.9277</v>
      </c>
      <c r="O26">
        <f t="shared" si="9"/>
        <v>13.3771</v>
      </c>
      <c r="P26">
        <f t="shared" si="10"/>
        <v>12.826499999999999</v>
      </c>
      <c r="Q26">
        <f t="shared" si="10"/>
        <v>13.9277</v>
      </c>
      <c r="S26" t="str">
        <f t="shared" si="11"/>
        <v>13.38 (12.83 to 13.93)</v>
      </c>
    </row>
    <row r="27" spans="1:19" ht="17.25" thickBot="1" x14ac:dyDescent="0.35">
      <c r="A27" s="6"/>
      <c r="B27" s="13" t="s">
        <v>132</v>
      </c>
      <c r="C27" s="2">
        <v>17159</v>
      </c>
      <c r="D27" s="2">
        <v>7639813</v>
      </c>
      <c r="E27" s="2">
        <v>82439</v>
      </c>
      <c r="F27" s="2">
        <v>25.254100000000001</v>
      </c>
      <c r="G27" s="2">
        <v>0.2109</v>
      </c>
      <c r="H27" s="2">
        <v>24.840499999999999</v>
      </c>
      <c r="I27" s="2">
        <v>25.6677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3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2">J28</f>
        <v>0</v>
      </c>
      <c r="P28">
        <f t="shared" ref="P28:Q30" si="13">L28</f>
        <v>0</v>
      </c>
      <c r="Q28">
        <f t="shared" si="13"/>
        <v>0</v>
      </c>
      <c r="S28" t="str">
        <f t="shared" ref="S28:S30" si="14">TEXT(O28,"0.00")&amp;" ("&amp;TEXT(P28,"0.00")&amp;" to "&amp;TEXT(Q28,"0.00")&amp;")"</f>
        <v>0.00 (0.00 to 0.00)</v>
      </c>
    </row>
    <row r="29" spans="1:19" ht="17.25" thickBot="1" x14ac:dyDescent="0.35">
      <c r="A29" s="6"/>
      <c r="B29" s="13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2"/>
        <v>0</v>
      </c>
      <c r="P29">
        <f t="shared" si="13"/>
        <v>0</v>
      </c>
      <c r="Q29">
        <f t="shared" si="13"/>
        <v>0</v>
      </c>
      <c r="S29" t="str">
        <f t="shared" si="14"/>
        <v>0.00 (0.00 to 0.00)</v>
      </c>
    </row>
    <row r="30" spans="1:19" ht="17.25" thickBot="1" x14ac:dyDescent="0.35">
      <c r="A30" s="6"/>
      <c r="B30" s="13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2"/>
        <v>0</v>
      </c>
      <c r="P30">
        <f t="shared" si="13"/>
        <v>0</v>
      </c>
      <c r="Q30">
        <f t="shared" si="13"/>
        <v>0</v>
      </c>
      <c r="S30" t="str">
        <f t="shared" si="14"/>
        <v>0.00 (0.00 to 0.00)</v>
      </c>
    </row>
    <row r="31" spans="1:19" x14ac:dyDescent="0.3">
      <c r="A31" s="6"/>
      <c r="B31" s="16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17" t="s">
        <v>184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</row>
    <row r="34" spans="1:19" ht="33" customHeight="1" x14ac:dyDescent="0.3">
      <c r="A34" s="18" t="s">
        <v>58</v>
      </c>
      <c r="B34" s="20" t="s">
        <v>5</v>
      </c>
      <c r="C34" s="20" t="s">
        <v>125</v>
      </c>
      <c r="D34" s="3" t="s">
        <v>126</v>
      </c>
      <c r="E34" s="3" t="s">
        <v>127</v>
      </c>
      <c r="F34" s="20" t="s">
        <v>129</v>
      </c>
      <c r="G34" s="3" t="s">
        <v>127</v>
      </c>
      <c r="H34" s="20" t="s">
        <v>130</v>
      </c>
      <c r="I34" s="20"/>
      <c r="J34" s="3" t="s">
        <v>149</v>
      </c>
      <c r="K34" s="3" t="s">
        <v>127</v>
      </c>
      <c r="L34" s="20" t="s">
        <v>130</v>
      </c>
      <c r="M34" s="20"/>
    </row>
    <row r="35" spans="1:19" ht="33" x14ac:dyDescent="0.3">
      <c r="A35" s="18"/>
      <c r="B35" s="20"/>
      <c r="C35" s="20"/>
      <c r="D35" s="3" t="s">
        <v>125</v>
      </c>
      <c r="E35" s="3" t="s">
        <v>128</v>
      </c>
      <c r="F35" s="20"/>
      <c r="G35" s="3" t="s">
        <v>129</v>
      </c>
      <c r="H35" s="20" t="s">
        <v>131</v>
      </c>
      <c r="I35" s="20"/>
      <c r="J35" s="3" t="s">
        <v>129</v>
      </c>
      <c r="K35" s="3" t="s">
        <v>150</v>
      </c>
      <c r="L35" s="20" t="s">
        <v>151</v>
      </c>
      <c r="M35" s="20"/>
    </row>
    <row r="36" spans="1:19" ht="17.25" thickBot="1" x14ac:dyDescent="0.35">
      <c r="A36" s="6">
        <v>1</v>
      </c>
      <c r="B36" s="13">
        <v>1</v>
      </c>
      <c r="C36" s="2">
        <v>4894</v>
      </c>
      <c r="D36" s="2">
        <v>2498152</v>
      </c>
      <c r="E36" s="2">
        <v>47267</v>
      </c>
      <c r="F36" s="2">
        <v>8.2578999999999994</v>
      </c>
      <c r="G36" s="2">
        <v>0.1399</v>
      </c>
      <c r="H36" s="2">
        <v>7.9836</v>
      </c>
      <c r="I36" s="2">
        <v>8.5321999999999996</v>
      </c>
      <c r="J36" s="2">
        <v>32.462200000000003</v>
      </c>
      <c r="K36" s="2">
        <v>0.44419999999999998</v>
      </c>
      <c r="L36" s="2">
        <v>31.591100000000001</v>
      </c>
      <c r="M36" s="2">
        <v>33.333199999999998</v>
      </c>
      <c r="O36">
        <f t="shared" ref="O36:O37" si="15">J36</f>
        <v>32.462200000000003</v>
      </c>
      <c r="P36">
        <f t="shared" ref="P36:Q37" si="16">L36</f>
        <v>31.591100000000001</v>
      </c>
      <c r="Q36">
        <f t="shared" si="16"/>
        <v>33.333199999999998</v>
      </c>
      <c r="S36" t="str">
        <f t="shared" ref="S36:S37" si="17">TEXT(O36,"0.00")&amp;" ("&amp;TEXT(P36,"0.00")&amp;" to "&amp;TEXT(Q36,"0.00")&amp;")"</f>
        <v>32.46 (31.59 to 33.33)</v>
      </c>
    </row>
    <row r="37" spans="1:19" ht="17.25" thickBot="1" x14ac:dyDescent="0.35">
      <c r="A37" s="6"/>
      <c r="B37" s="13">
        <v>2</v>
      </c>
      <c r="C37" s="2">
        <v>12263</v>
      </c>
      <c r="D37" s="2">
        <v>5197426</v>
      </c>
      <c r="E37" s="2">
        <v>64677</v>
      </c>
      <c r="F37" s="2">
        <v>17.180599999999998</v>
      </c>
      <c r="G37" s="2">
        <v>0.16900000000000001</v>
      </c>
      <c r="H37" s="2">
        <v>16.8491</v>
      </c>
      <c r="I37" s="2">
        <v>17.512</v>
      </c>
      <c r="J37" s="2">
        <v>67.537800000000004</v>
      </c>
      <c r="K37" s="2">
        <v>0.44419999999999998</v>
      </c>
      <c r="L37" s="2">
        <v>66.666799999999995</v>
      </c>
      <c r="M37" s="2">
        <v>68.408900000000003</v>
      </c>
      <c r="O37">
        <f t="shared" si="15"/>
        <v>67.537800000000004</v>
      </c>
      <c r="P37">
        <f t="shared" si="16"/>
        <v>66.666799999999995</v>
      </c>
      <c r="Q37">
        <f t="shared" si="16"/>
        <v>68.408900000000003</v>
      </c>
      <c r="S37" t="str">
        <f t="shared" si="17"/>
        <v>67.54 (66.67 to 68.41)</v>
      </c>
    </row>
    <row r="38" spans="1:19" ht="17.25" thickBot="1" x14ac:dyDescent="0.35">
      <c r="A38" s="6"/>
      <c r="B38" s="13" t="s">
        <v>132</v>
      </c>
      <c r="C38" s="2">
        <v>17157</v>
      </c>
      <c r="D38" s="2">
        <v>7695579</v>
      </c>
      <c r="E38" s="2">
        <v>88007</v>
      </c>
      <c r="F38" s="2">
        <v>25.438500000000001</v>
      </c>
      <c r="G38" s="2">
        <v>0.21060000000000001</v>
      </c>
      <c r="H38" s="2">
        <v>25.025600000000001</v>
      </c>
      <c r="I38" s="2">
        <v>25.851299999999998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3">
        <v>1</v>
      </c>
      <c r="C39" s="2">
        <v>7481</v>
      </c>
      <c r="D39" s="2">
        <v>3755909</v>
      </c>
      <c r="E39" s="2">
        <v>56238</v>
      </c>
      <c r="F39" s="2">
        <v>12.4155</v>
      </c>
      <c r="G39" s="2">
        <v>0.15670000000000001</v>
      </c>
      <c r="H39" s="2">
        <v>12.1083</v>
      </c>
      <c r="I39" s="2">
        <v>12.722799999999999</v>
      </c>
      <c r="J39" s="2">
        <v>49.889400000000002</v>
      </c>
      <c r="K39" s="2">
        <v>0.43819999999999998</v>
      </c>
      <c r="L39" s="2">
        <v>49.030200000000001</v>
      </c>
      <c r="M39" s="2">
        <v>50.748600000000003</v>
      </c>
      <c r="O39">
        <f t="shared" ref="O39:O40" si="18">J39</f>
        <v>49.889400000000002</v>
      </c>
      <c r="P39">
        <f t="shared" ref="P39:Q40" si="19">L39</f>
        <v>49.030200000000001</v>
      </c>
      <c r="Q39">
        <f t="shared" si="19"/>
        <v>50.748600000000003</v>
      </c>
      <c r="S39" t="str">
        <f t="shared" ref="S39:S40" si="20">TEXT(O39,"0.00")&amp;" ("&amp;TEXT(P39,"0.00")&amp;" to "&amp;TEXT(Q39,"0.00")&amp;")"</f>
        <v>49.89 (49.03 to 50.75)</v>
      </c>
    </row>
    <row r="40" spans="1:19" ht="17.25" thickBot="1" x14ac:dyDescent="0.35">
      <c r="A40" s="6"/>
      <c r="B40" s="13">
        <v>2</v>
      </c>
      <c r="C40" s="2">
        <v>9679</v>
      </c>
      <c r="D40" s="2">
        <v>3772564</v>
      </c>
      <c r="E40" s="2">
        <v>50973</v>
      </c>
      <c r="F40" s="2">
        <v>12.470599999999999</v>
      </c>
      <c r="G40" s="2">
        <v>0.13850000000000001</v>
      </c>
      <c r="H40" s="2">
        <v>12.199</v>
      </c>
      <c r="I40" s="2">
        <v>12.742100000000001</v>
      </c>
      <c r="J40" s="2">
        <v>50.110599999999998</v>
      </c>
      <c r="K40" s="2">
        <v>0.43819999999999998</v>
      </c>
      <c r="L40" s="2">
        <v>49.251399999999997</v>
      </c>
      <c r="M40" s="2">
        <v>50.969799999999999</v>
      </c>
      <c r="O40">
        <f t="shared" si="18"/>
        <v>50.110599999999998</v>
      </c>
      <c r="P40">
        <f t="shared" si="19"/>
        <v>49.251399999999997</v>
      </c>
      <c r="Q40">
        <f t="shared" si="19"/>
        <v>50.969799999999999</v>
      </c>
      <c r="S40" t="str">
        <f t="shared" si="20"/>
        <v>50.11 (49.25 to 50.97)</v>
      </c>
    </row>
    <row r="41" spans="1:19" ht="17.25" thickBot="1" x14ac:dyDescent="0.35">
      <c r="A41" s="6"/>
      <c r="B41" s="13" t="s">
        <v>132</v>
      </c>
      <c r="C41" s="2">
        <v>17160</v>
      </c>
      <c r="D41" s="2">
        <v>7528473</v>
      </c>
      <c r="E41" s="2">
        <v>84684</v>
      </c>
      <c r="F41" s="2">
        <v>24.886099999999999</v>
      </c>
      <c r="G41" s="2">
        <v>0.19980000000000001</v>
      </c>
      <c r="H41" s="2">
        <v>24.494299999999999</v>
      </c>
      <c r="I41" s="2">
        <v>25.277799999999999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3">
        <v>1</v>
      </c>
      <c r="C42" s="2">
        <v>9361</v>
      </c>
      <c r="D42" s="2">
        <v>4542814</v>
      </c>
      <c r="E42" s="2">
        <v>60967</v>
      </c>
      <c r="F42" s="2">
        <v>15.0167</v>
      </c>
      <c r="G42" s="2">
        <v>0.16539999999999999</v>
      </c>
      <c r="H42" s="2">
        <v>14.692399999999999</v>
      </c>
      <c r="I42" s="2">
        <v>15.340999999999999</v>
      </c>
      <c r="J42" s="2">
        <v>61.49</v>
      </c>
      <c r="K42" s="2">
        <v>0.4269</v>
      </c>
      <c r="L42" s="2">
        <v>60.652900000000002</v>
      </c>
      <c r="M42" s="2">
        <v>62.327100000000002</v>
      </c>
      <c r="O42">
        <f t="shared" ref="O42:O43" si="21">J42</f>
        <v>61.49</v>
      </c>
      <c r="P42">
        <f t="shared" ref="P42:Q43" si="22">L42</f>
        <v>60.652900000000002</v>
      </c>
      <c r="Q42">
        <f t="shared" si="22"/>
        <v>62.327100000000002</v>
      </c>
      <c r="S42" t="str">
        <f t="shared" ref="S42:S43" si="23">TEXT(O42,"0.00")&amp;" ("&amp;TEXT(P42,"0.00")&amp;" to "&amp;TEXT(Q42,"0.00")&amp;")"</f>
        <v>61.49 (60.65 to 62.33)</v>
      </c>
    </row>
    <row r="43" spans="1:19" ht="17.25" thickBot="1" x14ac:dyDescent="0.35">
      <c r="A43" s="6"/>
      <c r="B43" s="13">
        <v>2</v>
      </c>
      <c r="C43" s="2">
        <v>7797</v>
      </c>
      <c r="D43" s="2">
        <v>2845077</v>
      </c>
      <c r="E43" s="2">
        <v>43091</v>
      </c>
      <c r="F43" s="2">
        <v>9.4047000000000001</v>
      </c>
      <c r="G43" s="2">
        <v>0.12379999999999999</v>
      </c>
      <c r="H43" s="2">
        <v>9.1618999999999993</v>
      </c>
      <c r="I43" s="2">
        <v>9.6475000000000009</v>
      </c>
      <c r="J43" s="2">
        <v>38.51</v>
      </c>
      <c r="K43" s="2">
        <v>0.4269</v>
      </c>
      <c r="L43" s="2">
        <v>37.672899999999998</v>
      </c>
      <c r="M43" s="2">
        <v>39.347099999999998</v>
      </c>
      <c r="O43">
        <f t="shared" si="21"/>
        <v>38.51</v>
      </c>
      <c r="P43">
        <f t="shared" si="22"/>
        <v>37.672899999999998</v>
      </c>
      <c r="Q43">
        <f t="shared" si="22"/>
        <v>39.347099999999998</v>
      </c>
      <c r="S43" t="str">
        <f t="shared" si="23"/>
        <v>38.51 (37.67 to 39.35)</v>
      </c>
    </row>
    <row r="44" spans="1:19" ht="17.25" thickBot="1" x14ac:dyDescent="0.35">
      <c r="A44" s="6"/>
      <c r="B44" s="13" t="s">
        <v>132</v>
      </c>
      <c r="C44" s="2">
        <v>17158</v>
      </c>
      <c r="D44" s="2">
        <v>7387892</v>
      </c>
      <c r="E44" s="2">
        <v>81641</v>
      </c>
      <c r="F44" s="2">
        <v>24.421399999999998</v>
      </c>
      <c r="G44" s="2">
        <v>0.19589999999999999</v>
      </c>
      <c r="H44" s="2">
        <v>24.037199999999999</v>
      </c>
      <c r="I44" s="2">
        <v>24.805499999999999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3">
        <v>1</v>
      </c>
      <c r="C45" s="2">
        <v>11464</v>
      </c>
      <c r="D45" s="2">
        <v>5651954</v>
      </c>
      <c r="E45" s="2">
        <v>69326</v>
      </c>
      <c r="F45" s="2">
        <v>18.6831</v>
      </c>
      <c r="G45" s="2">
        <v>0.1822</v>
      </c>
      <c r="H45" s="2">
        <v>18.325800000000001</v>
      </c>
      <c r="I45" s="2">
        <v>19.040299999999998</v>
      </c>
      <c r="J45" s="2">
        <v>73.9803</v>
      </c>
      <c r="K45" s="2">
        <v>0.35909999999999997</v>
      </c>
      <c r="L45" s="2">
        <v>73.2761</v>
      </c>
      <c r="M45" s="2">
        <v>74.684399999999997</v>
      </c>
      <c r="O45">
        <f t="shared" ref="O45:O46" si="24">J45</f>
        <v>73.9803</v>
      </c>
      <c r="P45">
        <f t="shared" ref="P45:Q46" si="25">L45</f>
        <v>73.2761</v>
      </c>
      <c r="Q45">
        <f t="shared" si="25"/>
        <v>74.684399999999997</v>
      </c>
      <c r="S45" t="str">
        <f t="shared" ref="S45:S46" si="26">TEXT(O45,"0.00")&amp;" ("&amp;TEXT(P45,"0.00")&amp;" to "&amp;TEXT(Q45,"0.00")&amp;")"</f>
        <v>73.98 (73.28 to 74.68)</v>
      </c>
    </row>
    <row r="46" spans="1:19" ht="17.25" thickBot="1" x14ac:dyDescent="0.35">
      <c r="A46" s="6"/>
      <c r="B46" s="13">
        <v>2</v>
      </c>
      <c r="C46" s="2">
        <v>5695</v>
      </c>
      <c r="D46" s="2">
        <v>1987859</v>
      </c>
      <c r="E46" s="2">
        <v>33096</v>
      </c>
      <c r="F46" s="2">
        <v>6.5711000000000004</v>
      </c>
      <c r="G46" s="2">
        <v>0.105</v>
      </c>
      <c r="H46" s="2">
        <v>6.3651999999999997</v>
      </c>
      <c r="I46" s="2">
        <v>6.7769000000000004</v>
      </c>
      <c r="J46" s="2">
        <v>26.0197</v>
      </c>
      <c r="K46" s="2">
        <v>0.35909999999999997</v>
      </c>
      <c r="L46" s="2">
        <v>25.3156</v>
      </c>
      <c r="M46" s="2">
        <v>26.7239</v>
      </c>
      <c r="O46">
        <f t="shared" si="24"/>
        <v>26.0197</v>
      </c>
      <c r="P46">
        <f t="shared" si="25"/>
        <v>25.3156</v>
      </c>
      <c r="Q46">
        <f t="shared" si="25"/>
        <v>26.7239</v>
      </c>
      <c r="S46" t="str">
        <f t="shared" si="26"/>
        <v>26.02 (25.32 to 26.72)</v>
      </c>
    </row>
    <row r="47" spans="1:19" ht="17.25" thickBot="1" x14ac:dyDescent="0.35">
      <c r="A47" s="6"/>
      <c r="B47" s="13" t="s">
        <v>132</v>
      </c>
      <c r="C47" s="2">
        <v>17159</v>
      </c>
      <c r="D47" s="2">
        <v>7639813</v>
      </c>
      <c r="E47" s="2">
        <v>82439</v>
      </c>
      <c r="F47" s="2">
        <v>25.254100000000001</v>
      </c>
      <c r="G47" s="2">
        <v>0.2109</v>
      </c>
      <c r="H47" s="2">
        <v>24.840499999999999</v>
      </c>
      <c r="I47" s="2">
        <v>25.6677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3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27">J48</f>
        <v>0</v>
      </c>
      <c r="P48">
        <f t="shared" ref="P48:Q49" si="28">L48</f>
        <v>0</v>
      </c>
      <c r="Q48">
        <f t="shared" si="28"/>
        <v>0</v>
      </c>
      <c r="S48" t="str">
        <f t="shared" ref="S48:S49" si="29">TEXT(O48,"0.00")&amp;" ("&amp;TEXT(P48,"0.00")&amp;" to "&amp;TEXT(Q48,"0.00")&amp;")"</f>
        <v>0.00 (0.00 to 0.00)</v>
      </c>
    </row>
    <row r="49" spans="1:19" ht="17.25" thickBot="1" x14ac:dyDescent="0.35">
      <c r="A49" s="6"/>
      <c r="B49" s="13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27"/>
        <v>0</v>
      </c>
      <c r="P49">
        <f t="shared" si="28"/>
        <v>0</v>
      </c>
      <c r="Q49">
        <f t="shared" si="28"/>
        <v>0</v>
      </c>
      <c r="S49" t="str">
        <f t="shared" si="29"/>
        <v>0.00 (0.00 to 0.00)</v>
      </c>
    </row>
    <row r="50" spans="1:19" x14ac:dyDescent="0.3">
      <c r="A50" s="6"/>
      <c r="B50" s="16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17" t="s">
        <v>185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</row>
    <row r="53" spans="1:19" ht="33" customHeight="1" x14ac:dyDescent="0.3">
      <c r="A53" s="18" t="s">
        <v>58</v>
      </c>
      <c r="B53" s="20" t="s">
        <v>6</v>
      </c>
      <c r="C53" s="20" t="s">
        <v>125</v>
      </c>
      <c r="D53" s="3" t="s">
        <v>126</v>
      </c>
      <c r="E53" s="3" t="s">
        <v>127</v>
      </c>
      <c r="F53" s="20" t="s">
        <v>129</v>
      </c>
      <c r="G53" s="3" t="s">
        <v>127</v>
      </c>
      <c r="H53" s="20" t="s">
        <v>130</v>
      </c>
      <c r="I53" s="20"/>
      <c r="J53" s="3" t="s">
        <v>149</v>
      </c>
      <c r="K53" s="3" t="s">
        <v>127</v>
      </c>
      <c r="L53" s="20" t="s">
        <v>130</v>
      </c>
      <c r="M53" s="20"/>
    </row>
    <row r="54" spans="1:19" ht="33" x14ac:dyDescent="0.3">
      <c r="A54" s="18"/>
      <c r="B54" s="20"/>
      <c r="C54" s="20"/>
      <c r="D54" s="3" t="s">
        <v>125</v>
      </c>
      <c r="E54" s="3" t="s">
        <v>128</v>
      </c>
      <c r="F54" s="20"/>
      <c r="G54" s="3" t="s">
        <v>129</v>
      </c>
      <c r="H54" s="20" t="s">
        <v>131</v>
      </c>
      <c r="I54" s="20"/>
      <c r="J54" s="3" t="s">
        <v>129</v>
      </c>
      <c r="K54" s="3" t="s">
        <v>150</v>
      </c>
      <c r="L54" s="20" t="s">
        <v>151</v>
      </c>
      <c r="M54" s="20"/>
    </row>
    <row r="55" spans="1:19" ht="17.25" thickBot="1" x14ac:dyDescent="0.35">
      <c r="A55" s="6">
        <v>1</v>
      </c>
      <c r="B55" s="13">
        <v>1</v>
      </c>
      <c r="C55" s="2">
        <v>14369</v>
      </c>
      <c r="D55" s="2">
        <v>6651345</v>
      </c>
      <c r="E55" s="2">
        <v>95781</v>
      </c>
      <c r="F55" s="2">
        <v>21.986599999999999</v>
      </c>
      <c r="G55" s="2">
        <v>0.25359999999999999</v>
      </c>
      <c r="H55" s="2">
        <v>21.4894</v>
      </c>
      <c r="I55" s="2">
        <v>22.483899999999998</v>
      </c>
      <c r="J55" s="2">
        <v>86.430700000000002</v>
      </c>
      <c r="K55" s="2">
        <v>0.64539999999999997</v>
      </c>
      <c r="L55" s="2">
        <v>85.165099999999995</v>
      </c>
      <c r="M55" s="2">
        <v>87.696299999999994</v>
      </c>
      <c r="O55">
        <f t="shared" ref="O55:O56" si="30">J55</f>
        <v>86.430700000000002</v>
      </c>
      <c r="P55">
        <f t="shared" ref="P55:Q56" si="31">L55</f>
        <v>85.165099999999995</v>
      </c>
      <c r="Q55">
        <f t="shared" si="31"/>
        <v>87.696299999999994</v>
      </c>
      <c r="S55" t="str">
        <f t="shared" ref="S55:S56" si="32">TEXT(O55,"0.00")&amp;" ("&amp;TEXT(P55,"0.00")&amp;" to "&amp;TEXT(Q55,"0.00")&amp;")"</f>
        <v>86.43 (85.17 to 87.70)</v>
      </c>
    </row>
    <row r="56" spans="1:19" ht="17.25" thickBot="1" x14ac:dyDescent="0.35">
      <c r="A56" s="6"/>
      <c r="B56" s="13">
        <v>2</v>
      </c>
      <c r="C56" s="2">
        <v>2788</v>
      </c>
      <c r="D56" s="2">
        <v>1044233</v>
      </c>
      <c r="E56" s="2">
        <v>49651</v>
      </c>
      <c r="F56" s="2">
        <v>3.4518</v>
      </c>
      <c r="G56" s="2">
        <v>0.16470000000000001</v>
      </c>
      <c r="H56" s="2">
        <v>3.129</v>
      </c>
      <c r="I56" s="2">
        <v>3.7747000000000002</v>
      </c>
      <c r="J56" s="2">
        <v>13.5693</v>
      </c>
      <c r="K56" s="2">
        <v>0.64539999999999997</v>
      </c>
      <c r="L56" s="2">
        <v>12.303699999999999</v>
      </c>
      <c r="M56" s="2">
        <v>14.834899999999999</v>
      </c>
      <c r="O56">
        <f t="shared" si="30"/>
        <v>13.5693</v>
      </c>
      <c r="P56">
        <f t="shared" si="31"/>
        <v>12.303699999999999</v>
      </c>
      <c r="Q56">
        <f t="shared" si="31"/>
        <v>14.834899999999999</v>
      </c>
      <c r="S56" t="str">
        <f t="shared" si="32"/>
        <v>13.57 (12.30 to 14.83)</v>
      </c>
    </row>
    <row r="57" spans="1:19" ht="17.25" thickBot="1" x14ac:dyDescent="0.35">
      <c r="A57" s="6"/>
      <c r="B57" s="13" t="s">
        <v>132</v>
      </c>
      <c r="C57" s="2">
        <v>17157</v>
      </c>
      <c r="D57" s="2">
        <v>7695579</v>
      </c>
      <c r="E57" s="2">
        <v>88007</v>
      </c>
      <c r="F57" s="2">
        <v>25.438500000000001</v>
      </c>
      <c r="G57" s="2">
        <v>0.21060000000000001</v>
      </c>
      <c r="H57" s="2">
        <v>25.025600000000001</v>
      </c>
      <c r="I57" s="2">
        <v>25.851299999999998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3">
        <v>1</v>
      </c>
      <c r="C58" s="2">
        <v>13852</v>
      </c>
      <c r="D58" s="2">
        <v>6348128</v>
      </c>
      <c r="E58" s="2">
        <v>92456</v>
      </c>
      <c r="F58" s="2">
        <v>20.984300000000001</v>
      </c>
      <c r="G58" s="2">
        <v>0.24460000000000001</v>
      </c>
      <c r="H58" s="2">
        <v>20.5047</v>
      </c>
      <c r="I58" s="2">
        <v>21.463999999999999</v>
      </c>
      <c r="J58" s="2">
        <v>84.321600000000004</v>
      </c>
      <c r="K58" s="2">
        <v>0.70099999999999996</v>
      </c>
      <c r="L58" s="2">
        <v>82.947100000000006</v>
      </c>
      <c r="M58" s="2">
        <v>85.696100000000001</v>
      </c>
      <c r="O58">
        <f t="shared" ref="O58:O59" si="33">J58</f>
        <v>84.321600000000004</v>
      </c>
      <c r="P58">
        <f t="shared" ref="P58:Q59" si="34">L58</f>
        <v>82.947100000000006</v>
      </c>
      <c r="Q58">
        <f t="shared" si="34"/>
        <v>85.696100000000001</v>
      </c>
      <c r="S58" t="str">
        <f t="shared" ref="S58:S59" si="35">TEXT(O58,"0.00")&amp;" ("&amp;TEXT(P58,"0.00")&amp;" to "&amp;TEXT(Q58,"0.00")&amp;")"</f>
        <v>84.32 (82.95 to 85.70)</v>
      </c>
    </row>
    <row r="59" spans="1:19" ht="17.25" thickBot="1" x14ac:dyDescent="0.35">
      <c r="A59" s="6"/>
      <c r="B59" s="13">
        <v>2</v>
      </c>
      <c r="C59" s="2">
        <v>3308</v>
      </c>
      <c r="D59" s="2">
        <v>1180346</v>
      </c>
      <c r="E59" s="2">
        <v>53271</v>
      </c>
      <c r="F59" s="2">
        <v>3.9016999999999999</v>
      </c>
      <c r="G59" s="2">
        <v>0.1767</v>
      </c>
      <c r="H59" s="2">
        <v>3.5552999999999999</v>
      </c>
      <c r="I59" s="2">
        <v>4.2481999999999998</v>
      </c>
      <c r="J59" s="2">
        <v>15.6784</v>
      </c>
      <c r="K59" s="2">
        <v>0.70099999999999996</v>
      </c>
      <c r="L59" s="2">
        <v>14.303900000000001</v>
      </c>
      <c r="M59" s="2">
        <v>17.052900000000001</v>
      </c>
      <c r="O59">
        <f t="shared" si="33"/>
        <v>15.6784</v>
      </c>
      <c r="P59">
        <f t="shared" si="34"/>
        <v>14.303900000000001</v>
      </c>
      <c r="Q59">
        <f t="shared" si="34"/>
        <v>17.052900000000001</v>
      </c>
      <c r="S59" t="str">
        <f t="shared" si="35"/>
        <v>15.68 (14.30 to 17.05)</v>
      </c>
    </row>
    <row r="60" spans="1:19" ht="17.25" thickBot="1" x14ac:dyDescent="0.35">
      <c r="A60" s="6"/>
      <c r="B60" s="13" t="s">
        <v>132</v>
      </c>
      <c r="C60" s="2">
        <v>17160</v>
      </c>
      <c r="D60" s="2">
        <v>7528473</v>
      </c>
      <c r="E60" s="2">
        <v>84684</v>
      </c>
      <c r="F60" s="2">
        <v>24.886099999999999</v>
      </c>
      <c r="G60" s="2">
        <v>0.19980000000000001</v>
      </c>
      <c r="H60" s="2">
        <v>24.494299999999999</v>
      </c>
      <c r="I60" s="2">
        <v>25.277799999999999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3">
        <v>1</v>
      </c>
      <c r="C61" s="2">
        <v>13625</v>
      </c>
      <c r="D61" s="2">
        <v>6148461</v>
      </c>
      <c r="E61" s="2">
        <v>89750</v>
      </c>
      <c r="F61" s="2">
        <v>20.324300000000001</v>
      </c>
      <c r="G61" s="2">
        <v>0.24099999999999999</v>
      </c>
      <c r="H61" s="2">
        <v>19.851700000000001</v>
      </c>
      <c r="I61" s="2">
        <v>20.797000000000001</v>
      </c>
      <c r="J61" s="2">
        <v>83.223500000000001</v>
      </c>
      <c r="K61" s="2">
        <v>0.72199999999999998</v>
      </c>
      <c r="L61" s="2">
        <v>81.8078</v>
      </c>
      <c r="M61" s="2">
        <v>84.639200000000002</v>
      </c>
      <c r="O61">
        <f t="shared" ref="O61:O62" si="36">J61</f>
        <v>83.223500000000001</v>
      </c>
      <c r="P61">
        <f t="shared" ref="P61:Q62" si="37">L61</f>
        <v>81.8078</v>
      </c>
      <c r="Q61">
        <f t="shared" si="37"/>
        <v>84.639200000000002</v>
      </c>
      <c r="S61" t="str">
        <f t="shared" ref="S61:S62" si="38">TEXT(O61,"0.00")&amp;" ("&amp;TEXT(P61,"0.00")&amp;" to "&amp;TEXT(Q61,"0.00")&amp;")"</f>
        <v>83.22 (81.81 to 84.64)</v>
      </c>
    </row>
    <row r="62" spans="1:19" ht="17.25" thickBot="1" x14ac:dyDescent="0.35">
      <c r="A62" s="6"/>
      <c r="B62" s="13">
        <v>2</v>
      </c>
      <c r="C62" s="2">
        <v>3533</v>
      </c>
      <c r="D62" s="2">
        <v>1239430</v>
      </c>
      <c r="E62" s="2">
        <v>53975</v>
      </c>
      <c r="F62" s="2">
        <v>4.0971000000000002</v>
      </c>
      <c r="G62" s="2">
        <v>0.17910000000000001</v>
      </c>
      <c r="H62" s="2">
        <v>3.7458</v>
      </c>
      <c r="I62" s="2">
        <v>4.4482999999999997</v>
      </c>
      <c r="J62" s="2">
        <v>16.776499999999999</v>
      </c>
      <c r="K62" s="2">
        <v>0.72199999999999998</v>
      </c>
      <c r="L62" s="2">
        <v>15.360799999999999</v>
      </c>
      <c r="M62" s="2">
        <v>18.1922</v>
      </c>
      <c r="O62">
        <f t="shared" si="36"/>
        <v>16.776499999999999</v>
      </c>
      <c r="P62">
        <f t="shared" si="37"/>
        <v>15.360799999999999</v>
      </c>
      <c r="Q62">
        <f t="shared" si="37"/>
        <v>18.1922</v>
      </c>
      <c r="S62" t="str">
        <f t="shared" si="38"/>
        <v>16.78 (15.36 to 18.19)</v>
      </c>
    </row>
    <row r="63" spans="1:19" ht="17.25" thickBot="1" x14ac:dyDescent="0.35">
      <c r="A63" s="6"/>
      <c r="B63" s="13" t="s">
        <v>132</v>
      </c>
      <c r="C63" s="2">
        <v>17158</v>
      </c>
      <c r="D63" s="2">
        <v>7387892</v>
      </c>
      <c r="E63" s="2">
        <v>81641</v>
      </c>
      <c r="F63" s="2">
        <v>24.421399999999998</v>
      </c>
      <c r="G63" s="2">
        <v>0.19589999999999999</v>
      </c>
      <c r="H63" s="2">
        <v>24.037199999999999</v>
      </c>
      <c r="I63" s="2">
        <v>24.805499999999999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3">
        <v>1</v>
      </c>
      <c r="C64" s="2">
        <v>13330</v>
      </c>
      <c r="D64" s="2">
        <v>6244144</v>
      </c>
      <c r="E64" s="2">
        <v>91595</v>
      </c>
      <c r="F64" s="2">
        <v>20.640599999999999</v>
      </c>
      <c r="G64" s="2">
        <v>0.25159999999999999</v>
      </c>
      <c r="H64" s="2">
        <v>20.147300000000001</v>
      </c>
      <c r="I64" s="2">
        <v>21.133900000000001</v>
      </c>
      <c r="J64" s="2">
        <v>81.7316</v>
      </c>
      <c r="K64" s="2">
        <v>0.75260000000000005</v>
      </c>
      <c r="L64" s="2">
        <v>80.256</v>
      </c>
      <c r="M64" s="2">
        <v>83.2072</v>
      </c>
      <c r="O64">
        <f t="shared" ref="O64:O65" si="39">J64</f>
        <v>81.7316</v>
      </c>
      <c r="P64">
        <f t="shared" ref="P64:Q65" si="40">L64</f>
        <v>80.256</v>
      </c>
      <c r="Q64">
        <f t="shared" si="40"/>
        <v>83.2072</v>
      </c>
      <c r="S64" t="str">
        <f t="shared" ref="S64:S65" si="41">TEXT(O64,"0.00")&amp;" ("&amp;TEXT(P64,"0.00")&amp;" to "&amp;TEXT(Q64,"0.00")&amp;")"</f>
        <v>81.73 (80.26 to 83.21)</v>
      </c>
    </row>
    <row r="65" spans="1:19" ht="17.25" thickBot="1" x14ac:dyDescent="0.35">
      <c r="A65" s="6"/>
      <c r="B65" s="13">
        <v>2</v>
      </c>
      <c r="C65" s="2">
        <v>3829</v>
      </c>
      <c r="D65" s="2">
        <v>1395669</v>
      </c>
      <c r="E65" s="2">
        <v>58401</v>
      </c>
      <c r="F65" s="2">
        <v>4.6135000000000002</v>
      </c>
      <c r="G65" s="2">
        <v>0.19539999999999999</v>
      </c>
      <c r="H65" s="2">
        <v>4.2304000000000004</v>
      </c>
      <c r="I65" s="2">
        <v>4.9965999999999999</v>
      </c>
      <c r="J65" s="2">
        <v>18.2684</v>
      </c>
      <c r="K65" s="2">
        <v>0.75260000000000005</v>
      </c>
      <c r="L65" s="2">
        <v>16.7928</v>
      </c>
      <c r="M65" s="2">
        <v>19.744</v>
      </c>
      <c r="O65">
        <f t="shared" si="39"/>
        <v>18.2684</v>
      </c>
      <c r="P65">
        <f t="shared" si="40"/>
        <v>16.7928</v>
      </c>
      <c r="Q65">
        <f t="shared" si="40"/>
        <v>19.744</v>
      </c>
      <c r="S65" t="str">
        <f t="shared" si="41"/>
        <v>18.27 (16.79 to 19.74)</v>
      </c>
    </row>
    <row r="66" spans="1:19" ht="17.25" thickBot="1" x14ac:dyDescent="0.35">
      <c r="A66" s="6"/>
      <c r="B66" s="13" t="s">
        <v>132</v>
      </c>
      <c r="C66" s="2">
        <v>17159</v>
      </c>
      <c r="D66" s="2">
        <v>7639813</v>
      </c>
      <c r="E66" s="2">
        <v>82439</v>
      </c>
      <c r="F66" s="2">
        <v>25.254100000000001</v>
      </c>
      <c r="G66" s="2">
        <v>0.2109</v>
      </c>
      <c r="H66" s="2">
        <v>24.840499999999999</v>
      </c>
      <c r="I66" s="2">
        <v>25.6677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3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42">J67</f>
        <v>0</v>
      </c>
      <c r="P67">
        <f t="shared" ref="P67:Q68" si="43">L67</f>
        <v>0</v>
      </c>
      <c r="Q67">
        <f t="shared" si="43"/>
        <v>0</v>
      </c>
      <c r="S67" t="str">
        <f t="shared" ref="S67:S68" si="44">TEXT(O67,"0.00")&amp;" ("&amp;TEXT(P67,"0.00")&amp;" to "&amp;TEXT(Q67,"0.00")&amp;")"</f>
        <v>0.00 (0.00 to 0.00)</v>
      </c>
    </row>
    <row r="68" spans="1:19" ht="17.25" thickBot="1" x14ac:dyDescent="0.35">
      <c r="A68" s="6"/>
      <c r="B68" s="13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42"/>
        <v>0</v>
      </c>
      <c r="P68">
        <f t="shared" si="43"/>
        <v>0</v>
      </c>
      <c r="Q68">
        <f t="shared" si="43"/>
        <v>0</v>
      </c>
      <c r="S68" t="str">
        <f t="shared" si="44"/>
        <v>0.00 (0.00 to 0.00)</v>
      </c>
    </row>
    <row r="69" spans="1:19" x14ac:dyDescent="0.3">
      <c r="A69" s="6"/>
      <c r="B69" s="16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17" t="s">
        <v>186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</row>
    <row r="72" spans="1:19" ht="33" customHeight="1" x14ac:dyDescent="0.3">
      <c r="A72" s="18" t="s">
        <v>58</v>
      </c>
      <c r="B72" s="20" t="s">
        <v>7</v>
      </c>
      <c r="C72" s="20" t="s">
        <v>125</v>
      </c>
      <c r="D72" s="3" t="s">
        <v>126</v>
      </c>
      <c r="E72" s="3" t="s">
        <v>127</v>
      </c>
      <c r="F72" s="20" t="s">
        <v>129</v>
      </c>
      <c r="G72" s="3" t="s">
        <v>127</v>
      </c>
      <c r="H72" s="20" t="s">
        <v>130</v>
      </c>
      <c r="I72" s="20"/>
      <c r="J72" s="3" t="s">
        <v>149</v>
      </c>
      <c r="K72" s="3" t="s">
        <v>127</v>
      </c>
      <c r="L72" s="20" t="s">
        <v>130</v>
      </c>
      <c r="M72" s="20"/>
    </row>
    <row r="73" spans="1:19" ht="33" x14ac:dyDescent="0.3">
      <c r="A73" s="18"/>
      <c r="B73" s="20"/>
      <c r="C73" s="20"/>
      <c r="D73" s="3" t="s">
        <v>125</v>
      </c>
      <c r="E73" s="3" t="s">
        <v>128</v>
      </c>
      <c r="F73" s="20"/>
      <c r="G73" s="3" t="s">
        <v>129</v>
      </c>
      <c r="H73" s="20" t="s">
        <v>131</v>
      </c>
      <c r="I73" s="20"/>
      <c r="J73" s="3" t="s">
        <v>129</v>
      </c>
      <c r="K73" s="3" t="s">
        <v>150</v>
      </c>
      <c r="L73" s="20" t="s">
        <v>151</v>
      </c>
      <c r="M73" s="20"/>
    </row>
    <row r="74" spans="1:19" ht="17.25" thickBot="1" x14ac:dyDescent="0.35">
      <c r="A74" s="6">
        <v>1</v>
      </c>
      <c r="B74" s="13">
        <v>1</v>
      </c>
      <c r="C74" s="2">
        <v>1485</v>
      </c>
      <c r="D74" s="2">
        <v>461173</v>
      </c>
      <c r="E74" s="2">
        <v>15855</v>
      </c>
      <c r="F74" s="2">
        <v>1.5244</v>
      </c>
      <c r="G74" s="2">
        <v>5.2699999999999997E-2</v>
      </c>
      <c r="H74" s="2">
        <v>1.4211</v>
      </c>
      <c r="I74" s="2">
        <v>1.6277999999999999</v>
      </c>
      <c r="J74" s="2">
        <v>5.9927000000000001</v>
      </c>
      <c r="K74" s="2">
        <v>0.2064</v>
      </c>
      <c r="L74" s="2">
        <v>5.5880999999999998</v>
      </c>
      <c r="M74" s="2">
        <v>6.3973000000000004</v>
      </c>
      <c r="O74">
        <f t="shared" ref="O74:O77" si="45">J74</f>
        <v>5.9927000000000001</v>
      </c>
      <c r="P74">
        <f t="shared" ref="P74:Q77" si="46">L74</f>
        <v>5.5880999999999998</v>
      </c>
      <c r="Q74">
        <f t="shared" si="46"/>
        <v>6.3973000000000004</v>
      </c>
      <c r="S74" t="str">
        <f t="shared" ref="S74:S77" si="47">TEXT(O74,"0.00")&amp;" ("&amp;TEXT(P74,"0.00")&amp;" to "&amp;TEXT(Q74,"0.00")&amp;")"</f>
        <v>5.99 (5.59 to 6.40)</v>
      </c>
    </row>
    <row r="75" spans="1:19" ht="17.25" thickBot="1" x14ac:dyDescent="0.35">
      <c r="A75" s="6"/>
      <c r="B75" s="13">
        <v>2</v>
      </c>
      <c r="C75" s="2">
        <v>1418</v>
      </c>
      <c r="D75" s="2">
        <v>478639</v>
      </c>
      <c r="E75" s="2">
        <v>15809</v>
      </c>
      <c r="F75" s="2">
        <v>1.5822000000000001</v>
      </c>
      <c r="G75" s="2">
        <v>5.2299999999999999E-2</v>
      </c>
      <c r="H75" s="2">
        <v>1.4796</v>
      </c>
      <c r="I75" s="2">
        <v>1.6848000000000001</v>
      </c>
      <c r="J75" s="2">
        <v>6.2196999999999996</v>
      </c>
      <c r="K75" s="2">
        <v>0.20449999999999999</v>
      </c>
      <c r="L75" s="2">
        <v>5.8186</v>
      </c>
      <c r="M75" s="2">
        <v>6.6207000000000003</v>
      </c>
      <c r="O75">
        <f t="shared" si="45"/>
        <v>6.2196999999999996</v>
      </c>
      <c r="P75">
        <f t="shared" si="46"/>
        <v>5.8186</v>
      </c>
      <c r="Q75">
        <f t="shared" si="46"/>
        <v>6.6207000000000003</v>
      </c>
      <c r="S75" t="str">
        <f t="shared" si="47"/>
        <v>6.22 (5.82 to 6.62)</v>
      </c>
    </row>
    <row r="76" spans="1:19" ht="17.25" thickBot="1" x14ac:dyDescent="0.35">
      <c r="A76" s="6"/>
      <c r="B76" s="13">
        <v>3</v>
      </c>
      <c r="C76" s="2">
        <v>4119</v>
      </c>
      <c r="D76" s="2">
        <v>1823540</v>
      </c>
      <c r="E76" s="2">
        <v>36213</v>
      </c>
      <c r="F76" s="2">
        <v>6.0278999999999998</v>
      </c>
      <c r="G76" s="2">
        <v>0.11219999999999999</v>
      </c>
      <c r="H76" s="2">
        <v>5.8079000000000001</v>
      </c>
      <c r="I76" s="2">
        <v>6.2477999999999998</v>
      </c>
      <c r="J76" s="2">
        <v>23.695900000000002</v>
      </c>
      <c r="K76" s="2">
        <v>0.41670000000000001</v>
      </c>
      <c r="L76" s="2">
        <v>22.878900000000002</v>
      </c>
      <c r="M76" s="2">
        <v>24.513000000000002</v>
      </c>
      <c r="O76">
        <f t="shared" si="45"/>
        <v>23.695900000000002</v>
      </c>
      <c r="P76">
        <f t="shared" si="46"/>
        <v>22.878900000000002</v>
      </c>
      <c r="Q76">
        <f t="shared" si="46"/>
        <v>24.513000000000002</v>
      </c>
      <c r="S76" t="str">
        <f t="shared" si="47"/>
        <v>23.70 (22.88 to 24.51)</v>
      </c>
    </row>
    <row r="77" spans="1:19" ht="17.25" thickBot="1" x14ac:dyDescent="0.35">
      <c r="A77" s="6"/>
      <c r="B77" s="13">
        <v>4</v>
      </c>
      <c r="C77" s="2">
        <v>10135</v>
      </c>
      <c r="D77" s="2">
        <v>4932227</v>
      </c>
      <c r="E77" s="2">
        <v>75172</v>
      </c>
      <c r="F77" s="2">
        <v>16.303899999999999</v>
      </c>
      <c r="G77" s="2">
        <v>0.20050000000000001</v>
      </c>
      <c r="H77" s="2">
        <v>15.9108</v>
      </c>
      <c r="I77" s="2">
        <v>16.697099999999999</v>
      </c>
      <c r="J77" s="2">
        <v>64.091700000000003</v>
      </c>
      <c r="K77" s="2">
        <v>0.49740000000000001</v>
      </c>
      <c r="L77" s="2">
        <v>63.116300000000003</v>
      </c>
      <c r="M77" s="2">
        <v>65.067099999999996</v>
      </c>
      <c r="O77">
        <f t="shared" si="45"/>
        <v>64.091700000000003</v>
      </c>
      <c r="P77">
        <f t="shared" si="46"/>
        <v>63.116300000000003</v>
      </c>
      <c r="Q77">
        <f t="shared" si="46"/>
        <v>65.067099999999996</v>
      </c>
      <c r="S77" t="str">
        <f t="shared" si="47"/>
        <v>64.09 (63.12 to 65.07)</v>
      </c>
    </row>
    <row r="78" spans="1:19" ht="17.25" thickBot="1" x14ac:dyDescent="0.35">
      <c r="A78" s="6"/>
      <c r="B78" s="13" t="s">
        <v>132</v>
      </c>
      <c r="C78" s="2">
        <v>17157</v>
      </c>
      <c r="D78" s="2">
        <v>7695579</v>
      </c>
      <c r="E78" s="2">
        <v>88007</v>
      </c>
      <c r="F78" s="2">
        <v>25.438500000000001</v>
      </c>
      <c r="G78" s="2">
        <v>0.21060000000000001</v>
      </c>
      <c r="H78" s="2">
        <v>25.025600000000001</v>
      </c>
      <c r="I78" s="2">
        <v>25.851299999999998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3">
        <v>1</v>
      </c>
      <c r="C79" s="2">
        <v>2281</v>
      </c>
      <c r="D79" s="2">
        <v>683091</v>
      </c>
      <c r="E79" s="2">
        <v>19091</v>
      </c>
      <c r="F79" s="2">
        <v>2.258</v>
      </c>
      <c r="G79" s="2">
        <v>6.4199999999999993E-2</v>
      </c>
      <c r="H79" s="2">
        <v>2.1322000000000001</v>
      </c>
      <c r="I79" s="2">
        <v>2.3839000000000001</v>
      </c>
      <c r="J79" s="2">
        <v>9.0733999999999995</v>
      </c>
      <c r="K79" s="2">
        <v>0.25480000000000003</v>
      </c>
      <c r="L79" s="2">
        <v>8.5739000000000001</v>
      </c>
      <c r="M79" s="2">
        <v>9.5730000000000004</v>
      </c>
      <c r="O79">
        <f t="shared" ref="O79:O82" si="48">J79</f>
        <v>9.0733999999999995</v>
      </c>
      <c r="P79">
        <f t="shared" ref="P79:Q82" si="49">L79</f>
        <v>8.5739000000000001</v>
      </c>
      <c r="Q79">
        <f t="shared" si="49"/>
        <v>9.5730000000000004</v>
      </c>
      <c r="S79" t="str">
        <f t="shared" ref="S79:S82" si="50">TEXT(O79,"0.00")&amp;" ("&amp;TEXT(P79,"0.00")&amp;" to "&amp;TEXT(Q79,"0.00")&amp;")"</f>
        <v>9.07 (8.57 to 9.57)</v>
      </c>
    </row>
    <row r="80" spans="1:19" ht="17.25" thickBot="1" x14ac:dyDescent="0.35">
      <c r="A80" s="6"/>
      <c r="B80" s="13">
        <v>2</v>
      </c>
      <c r="C80" s="2">
        <v>1850</v>
      </c>
      <c r="D80" s="2">
        <v>610459</v>
      </c>
      <c r="E80" s="2">
        <v>17790</v>
      </c>
      <c r="F80" s="2">
        <v>2.0179</v>
      </c>
      <c r="G80" s="2">
        <v>5.8799999999999998E-2</v>
      </c>
      <c r="H80" s="2">
        <v>1.9026000000000001</v>
      </c>
      <c r="I80" s="2">
        <v>2.1333000000000002</v>
      </c>
      <c r="J80" s="2">
        <v>8.1087000000000007</v>
      </c>
      <c r="K80" s="2">
        <v>0.2311</v>
      </c>
      <c r="L80" s="2">
        <v>7.6555999999999997</v>
      </c>
      <c r="M80" s="2">
        <v>8.5617000000000001</v>
      </c>
      <c r="O80">
        <f t="shared" si="48"/>
        <v>8.1087000000000007</v>
      </c>
      <c r="P80">
        <f t="shared" si="49"/>
        <v>7.6555999999999997</v>
      </c>
      <c r="Q80">
        <f t="shared" si="49"/>
        <v>8.5617000000000001</v>
      </c>
      <c r="S80" t="str">
        <f t="shared" si="50"/>
        <v>8.11 (7.66 to 8.56)</v>
      </c>
    </row>
    <row r="81" spans="1:19" ht="17.25" thickBot="1" x14ac:dyDescent="0.35">
      <c r="A81" s="6"/>
      <c r="B81" s="13">
        <v>3</v>
      </c>
      <c r="C81" s="2">
        <v>4457</v>
      </c>
      <c r="D81" s="2">
        <v>1968945</v>
      </c>
      <c r="E81" s="2">
        <v>38591</v>
      </c>
      <c r="F81" s="2">
        <v>6.5084999999999997</v>
      </c>
      <c r="G81" s="2">
        <v>0.1177</v>
      </c>
      <c r="H81" s="2">
        <v>6.2777000000000003</v>
      </c>
      <c r="I81" s="2">
        <v>6.7393999999999998</v>
      </c>
      <c r="J81" s="2">
        <v>26.153300000000002</v>
      </c>
      <c r="K81" s="2">
        <v>0.42480000000000001</v>
      </c>
      <c r="L81" s="2">
        <v>25.3203</v>
      </c>
      <c r="M81" s="2">
        <v>26.9863</v>
      </c>
      <c r="O81">
        <f t="shared" si="48"/>
        <v>26.153300000000002</v>
      </c>
      <c r="P81">
        <f t="shared" si="49"/>
        <v>25.3203</v>
      </c>
      <c r="Q81">
        <f t="shared" si="49"/>
        <v>26.9863</v>
      </c>
      <c r="S81" t="str">
        <f t="shared" si="50"/>
        <v>26.15 (25.32 to 26.99)</v>
      </c>
    </row>
    <row r="82" spans="1:19" ht="17.25" thickBot="1" x14ac:dyDescent="0.35">
      <c r="A82" s="6"/>
      <c r="B82" s="13">
        <v>4</v>
      </c>
      <c r="C82" s="2">
        <v>8572</v>
      </c>
      <c r="D82" s="2">
        <v>4265978</v>
      </c>
      <c r="E82" s="2">
        <v>66860</v>
      </c>
      <c r="F82" s="2">
        <v>14.101599999999999</v>
      </c>
      <c r="G82" s="2">
        <v>0.17730000000000001</v>
      </c>
      <c r="H82" s="2">
        <v>13.754</v>
      </c>
      <c r="I82" s="2">
        <v>14.449199999999999</v>
      </c>
      <c r="J82" s="2">
        <v>56.6646</v>
      </c>
      <c r="K82" s="2">
        <v>0.51329999999999998</v>
      </c>
      <c r="L82" s="2">
        <v>55.658000000000001</v>
      </c>
      <c r="M82" s="2">
        <v>57.671100000000003</v>
      </c>
      <c r="O82">
        <f t="shared" si="48"/>
        <v>56.6646</v>
      </c>
      <c r="P82">
        <f t="shared" si="49"/>
        <v>55.658000000000001</v>
      </c>
      <c r="Q82">
        <f t="shared" si="49"/>
        <v>57.671100000000003</v>
      </c>
      <c r="S82" t="str">
        <f t="shared" si="50"/>
        <v>56.66 (55.66 to 57.67)</v>
      </c>
    </row>
    <row r="83" spans="1:19" ht="17.25" thickBot="1" x14ac:dyDescent="0.35">
      <c r="A83" s="6"/>
      <c r="B83" s="13" t="s">
        <v>132</v>
      </c>
      <c r="C83" s="2">
        <v>17160</v>
      </c>
      <c r="D83" s="2">
        <v>7528473</v>
      </c>
      <c r="E83" s="2">
        <v>84684</v>
      </c>
      <c r="F83" s="2">
        <v>24.886099999999999</v>
      </c>
      <c r="G83" s="2">
        <v>0.19980000000000001</v>
      </c>
      <c r="H83" s="2">
        <v>24.494299999999999</v>
      </c>
      <c r="I83" s="2">
        <v>25.277799999999999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3">
        <v>1</v>
      </c>
      <c r="C84" s="2">
        <v>2709</v>
      </c>
      <c r="D84" s="2">
        <v>792264</v>
      </c>
      <c r="E84" s="2">
        <v>20162</v>
      </c>
      <c r="F84" s="2">
        <v>2.6189</v>
      </c>
      <c r="G84" s="2">
        <v>6.7900000000000002E-2</v>
      </c>
      <c r="H84" s="2">
        <v>2.4857</v>
      </c>
      <c r="I84" s="2">
        <v>2.7521</v>
      </c>
      <c r="J84" s="2">
        <v>10.723800000000001</v>
      </c>
      <c r="K84" s="2">
        <v>0.2727</v>
      </c>
      <c r="L84" s="2">
        <v>10.189</v>
      </c>
      <c r="M84" s="2">
        <v>11.258599999999999</v>
      </c>
      <c r="O84">
        <f t="shared" ref="O84:O87" si="51">J84</f>
        <v>10.723800000000001</v>
      </c>
      <c r="P84">
        <f t="shared" ref="P84:Q87" si="52">L84</f>
        <v>10.189</v>
      </c>
      <c r="Q84">
        <f t="shared" si="52"/>
        <v>11.258599999999999</v>
      </c>
      <c r="S84" t="str">
        <f t="shared" ref="S84:S87" si="53">TEXT(O84,"0.00")&amp;" ("&amp;TEXT(P84,"0.00")&amp;" to "&amp;TEXT(Q84,"0.00")&amp;")"</f>
        <v>10.72 (10.19 to 11.26)</v>
      </c>
    </row>
    <row r="85" spans="1:19" ht="17.25" thickBot="1" x14ac:dyDescent="0.35">
      <c r="A85" s="6"/>
      <c r="B85" s="13">
        <v>2</v>
      </c>
      <c r="C85" s="2">
        <v>2324</v>
      </c>
      <c r="D85" s="2">
        <v>767303</v>
      </c>
      <c r="E85" s="2">
        <v>21566</v>
      </c>
      <c r="F85" s="2">
        <v>2.5364</v>
      </c>
      <c r="G85" s="2">
        <v>7.0699999999999999E-2</v>
      </c>
      <c r="H85" s="2">
        <v>2.3978999999999999</v>
      </c>
      <c r="I85" s="2">
        <v>2.6749000000000001</v>
      </c>
      <c r="J85" s="2">
        <v>10.385999999999999</v>
      </c>
      <c r="K85" s="2">
        <v>0.27939999999999998</v>
      </c>
      <c r="L85" s="2">
        <v>9.8381000000000007</v>
      </c>
      <c r="M85" s="2">
        <v>10.9338</v>
      </c>
      <c r="O85">
        <f t="shared" si="51"/>
        <v>10.385999999999999</v>
      </c>
      <c r="P85">
        <f t="shared" si="52"/>
        <v>9.8381000000000007</v>
      </c>
      <c r="Q85">
        <f t="shared" si="52"/>
        <v>10.9338</v>
      </c>
      <c r="S85" t="str">
        <f t="shared" si="53"/>
        <v>10.39 (9.84 to 10.93)</v>
      </c>
    </row>
    <row r="86" spans="1:19" ht="17.25" thickBot="1" x14ac:dyDescent="0.35">
      <c r="A86" s="6"/>
      <c r="B86" s="13">
        <v>3</v>
      </c>
      <c r="C86" s="2">
        <v>4509</v>
      </c>
      <c r="D86" s="2">
        <v>2017645</v>
      </c>
      <c r="E86" s="2">
        <v>39996</v>
      </c>
      <c r="F86" s="2">
        <v>6.6695000000000002</v>
      </c>
      <c r="G86" s="2">
        <v>0.1236</v>
      </c>
      <c r="H86" s="2">
        <v>6.4271000000000003</v>
      </c>
      <c r="I86" s="2">
        <v>6.9119000000000002</v>
      </c>
      <c r="J86" s="2">
        <v>27.310199999999998</v>
      </c>
      <c r="K86" s="2">
        <v>0.44850000000000001</v>
      </c>
      <c r="L86" s="2">
        <v>26.430800000000001</v>
      </c>
      <c r="M86" s="2">
        <v>28.189499999999999</v>
      </c>
      <c r="O86">
        <f t="shared" si="51"/>
        <v>27.310199999999998</v>
      </c>
      <c r="P86">
        <f t="shared" si="52"/>
        <v>26.430800000000001</v>
      </c>
      <c r="Q86">
        <f t="shared" si="52"/>
        <v>28.189499999999999</v>
      </c>
      <c r="S86" t="str">
        <f t="shared" si="53"/>
        <v>27.31 (26.43 to 28.19)</v>
      </c>
    </row>
    <row r="87" spans="1:19" ht="17.25" thickBot="1" x14ac:dyDescent="0.35">
      <c r="A87" s="6"/>
      <c r="B87" s="13">
        <v>4</v>
      </c>
      <c r="C87" s="2">
        <v>7616</v>
      </c>
      <c r="D87" s="2">
        <v>3810681</v>
      </c>
      <c r="E87" s="2">
        <v>63247</v>
      </c>
      <c r="F87" s="2">
        <v>12.5966</v>
      </c>
      <c r="G87" s="2">
        <v>0.1724</v>
      </c>
      <c r="H87" s="2">
        <v>12.2585</v>
      </c>
      <c r="I87" s="2">
        <v>12.9346</v>
      </c>
      <c r="J87" s="2">
        <v>51.580100000000002</v>
      </c>
      <c r="K87" s="2">
        <v>0.55910000000000004</v>
      </c>
      <c r="L87" s="2">
        <v>50.483699999999999</v>
      </c>
      <c r="M87" s="2">
        <v>52.676400000000001</v>
      </c>
      <c r="O87">
        <f t="shared" si="51"/>
        <v>51.580100000000002</v>
      </c>
      <c r="P87">
        <f t="shared" si="52"/>
        <v>50.483699999999999</v>
      </c>
      <c r="Q87">
        <f t="shared" si="52"/>
        <v>52.676400000000001</v>
      </c>
      <c r="S87" t="str">
        <f t="shared" si="53"/>
        <v>51.58 (50.48 to 52.68)</v>
      </c>
    </row>
    <row r="88" spans="1:19" ht="17.25" thickBot="1" x14ac:dyDescent="0.35">
      <c r="A88" s="6"/>
      <c r="B88" s="13" t="s">
        <v>132</v>
      </c>
      <c r="C88" s="2">
        <v>17158</v>
      </c>
      <c r="D88" s="2">
        <v>7387892</v>
      </c>
      <c r="E88" s="2">
        <v>81641</v>
      </c>
      <c r="F88" s="2">
        <v>24.421399999999998</v>
      </c>
      <c r="G88" s="2">
        <v>0.19589999999999999</v>
      </c>
      <c r="H88" s="2">
        <v>24.037199999999999</v>
      </c>
      <c r="I88" s="2">
        <v>24.805499999999999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3">
        <v>1</v>
      </c>
      <c r="C89" s="2">
        <v>2724</v>
      </c>
      <c r="D89" s="2">
        <v>842181</v>
      </c>
      <c r="E89" s="2">
        <v>22426</v>
      </c>
      <c r="F89" s="2">
        <v>2.7839</v>
      </c>
      <c r="G89" s="2">
        <v>7.5600000000000001E-2</v>
      </c>
      <c r="H89" s="2">
        <v>2.6358000000000001</v>
      </c>
      <c r="I89" s="2">
        <v>2.9319999999999999</v>
      </c>
      <c r="J89" s="2">
        <v>11.0236</v>
      </c>
      <c r="K89" s="2">
        <v>0.28270000000000001</v>
      </c>
      <c r="L89" s="2">
        <v>10.4693</v>
      </c>
      <c r="M89" s="2">
        <v>11.5778</v>
      </c>
      <c r="O89">
        <f t="shared" ref="O89:O92" si="54">J89</f>
        <v>11.0236</v>
      </c>
      <c r="P89">
        <f t="shared" ref="P89:Q92" si="55">L89</f>
        <v>10.4693</v>
      </c>
      <c r="Q89">
        <f t="shared" si="55"/>
        <v>11.5778</v>
      </c>
      <c r="S89" t="str">
        <f t="shared" ref="S89:S92" si="56">TEXT(O89,"0.00")&amp;" ("&amp;TEXT(P89,"0.00")&amp;" to "&amp;TEXT(Q89,"0.00")&amp;")"</f>
        <v>11.02 (10.47 to 11.58)</v>
      </c>
    </row>
    <row r="90" spans="1:19" ht="17.25" thickBot="1" x14ac:dyDescent="0.35">
      <c r="A90" s="6"/>
      <c r="B90" s="13">
        <v>2</v>
      </c>
      <c r="C90" s="2">
        <v>2344</v>
      </c>
      <c r="D90" s="2">
        <v>825925</v>
      </c>
      <c r="E90" s="2">
        <v>21814</v>
      </c>
      <c r="F90" s="2">
        <v>2.7302</v>
      </c>
      <c r="G90" s="2">
        <v>7.2599999999999998E-2</v>
      </c>
      <c r="H90" s="2">
        <v>2.5878999999999999</v>
      </c>
      <c r="I90" s="2">
        <v>2.8725000000000001</v>
      </c>
      <c r="J90" s="2">
        <v>10.8108</v>
      </c>
      <c r="K90" s="2">
        <v>0.27439999999999998</v>
      </c>
      <c r="L90" s="2">
        <v>10.2727</v>
      </c>
      <c r="M90" s="2">
        <v>11.3489</v>
      </c>
      <c r="O90">
        <f t="shared" si="54"/>
        <v>10.8108</v>
      </c>
      <c r="P90">
        <f t="shared" si="55"/>
        <v>10.2727</v>
      </c>
      <c r="Q90">
        <f t="shared" si="55"/>
        <v>11.3489</v>
      </c>
      <c r="S90" t="str">
        <f t="shared" si="56"/>
        <v>10.81 (10.27 to 11.35)</v>
      </c>
    </row>
    <row r="91" spans="1:19" ht="17.25" thickBot="1" x14ac:dyDescent="0.35">
      <c r="A91" s="6"/>
      <c r="B91" s="13">
        <v>3</v>
      </c>
      <c r="C91" s="2">
        <v>4673</v>
      </c>
      <c r="D91" s="2">
        <v>2177666</v>
      </c>
      <c r="E91" s="2">
        <v>41156</v>
      </c>
      <c r="F91" s="2">
        <v>7.1985000000000001</v>
      </c>
      <c r="G91" s="2">
        <v>0.12809999999999999</v>
      </c>
      <c r="H91" s="2">
        <v>6.9474</v>
      </c>
      <c r="I91" s="2">
        <v>7.4496000000000002</v>
      </c>
      <c r="J91" s="2">
        <v>28.504200000000001</v>
      </c>
      <c r="K91" s="2">
        <v>0.43359999999999999</v>
      </c>
      <c r="L91" s="2">
        <v>27.6541</v>
      </c>
      <c r="M91" s="2">
        <v>29.354299999999999</v>
      </c>
      <c r="O91">
        <f t="shared" si="54"/>
        <v>28.504200000000001</v>
      </c>
      <c r="P91">
        <f t="shared" si="55"/>
        <v>27.6541</v>
      </c>
      <c r="Q91">
        <f t="shared" si="55"/>
        <v>29.354299999999999</v>
      </c>
      <c r="S91" t="str">
        <f t="shared" si="56"/>
        <v>28.50 (27.65 to 29.35)</v>
      </c>
    </row>
    <row r="92" spans="1:19" ht="17.25" thickBot="1" x14ac:dyDescent="0.35">
      <c r="A92" s="6"/>
      <c r="B92" s="13">
        <v>4</v>
      </c>
      <c r="C92" s="2">
        <v>7418</v>
      </c>
      <c r="D92" s="2">
        <v>3794042</v>
      </c>
      <c r="E92" s="2">
        <v>60705</v>
      </c>
      <c r="F92" s="2">
        <v>12.541600000000001</v>
      </c>
      <c r="G92" s="2">
        <v>0.16700000000000001</v>
      </c>
      <c r="H92" s="2">
        <v>12.2141</v>
      </c>
      <c r="I92" s="2">
        <v>12.869</v>
      </c>
      <c r="J92" s="2">
        <v>49.6614</v>
      </c>
      <c r="K92" s="2">
        <v>0.53659999999999997</v>
      </c>
      <c r="L92" s="2">
        <v>48.609200000000001</v>
      </c>
      <c r="M92" s="2">
        <v>50.7136</v>
      </c>
      <c r="O92">
        <f t="shared" si="54"/>
        <v>49.6614</v>
      </c>
      <c r="P92">
        <f t="shared" si="55"/>
        <v>48.609200000000001</v>
      </c>
      <c r="Q92">
        <f t="shared" si="55"/>
        <v>50.7136</v>
      </c>
      <c r="S92" t="str">
        <f t="shared" si="56"/>
        <v>49.66 (48.61 to 50.71)</v>
      </c>
    </row>
    <row r="93" spans="1:19" ht="17.25" thickBot="1" x14ac:dyDescent="0.35">
      <c r="A93" s="6"/>
      <c r="B93" s="13" t="s">
        <v>132</v>
      </c>
      <c r="C93" s="2">
        <v>17159</v>
      </c>
      <c r="D93" s="2">
        <v>7639813</v>
      </c>
      <c r="E93" s="2">
        <v>82439</v>
      </c>
      <c r="F93" s="2">
        <v>25.254100000000001</v>
      </c>
      <c r="G93" s="2">
        <v>0.2109</v>
      </c>
      <c r="H93" s="2">
        <v>24.840499999999999</v>
      </c>
      <c r="I93" s="2">
        <v>25.6677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3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57">J94</f>
        <v>0</v>
      </c>
      <c r="P94">
        <f t="shared" ref="P94:Q97" si="58">L94</f>
        <v>0</v>
      </c>
      <c r="Q94">
        <f t="shared" si="58"/>
        <v>0</v>
      </c>
      <c r="S94" t="str">
        <f t="shared" ref="S94:S97" si="59">TEXT(O94,"0.00")&amp;" ("&amp;TEXT(P94,"0.00")&amp;" to "&amp;TEXT(Q94,"0.00")&amp;")"</f>
        <v>0.00 (0.00 to 0.00)</v>
      </c>
    </row>
    <row r="95" spans="1:19" ht="17.25" thickBot="1" x14ac:dyDescent="0.35">
      <c r="A95" s="6"/>
      <c r="B95" s="13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57"/>
        <v>0</v>
      </c>
      <c r="P95">
        <f t="shared" si="58"/>
        <v>0</v>
      </c>
      <c r="Q95">
        <f t="shared" si="58"/>
        <v>0</v>
      </c>
      <c r="S95" t="str">
        <f t="shared" si="59"/>
        <v>0.00 (0.00 to 0.00)</v>
      </c>
    </row>
    <row r="96" spans="1:19" ht="17.25" thickBot="1" x14ac:dyDescent="0.35">
      <c r="A96" s="6"/>
      <c r="B96" s="13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57"/>
        <v>0</v>
      </c>
      <c r="P96">
        <f t="shared" si="58"/>
        <v>0</v>
      </c>
      <c r="Q96">
        <f t="shared" si="58"/>
        <v>0</v>
      </c>
      <c r="S96" t="str">
        <f t="shared" si="59"/>
        <v>0.00 (0.00 to 0.00)</v>
      </c>
    </row>
    <row r="97" spans="1:19" ht="17.25" thickBot="1" x14ac:dyDescent="0.35">
      <c r="A97" s="6"/>
      <c r="B97" s="13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57"/>
        <v>0</v>
      </c>
      <c r="P97">
        <f t="shared" si="58"/>
        <v>0</v>
      </c>
      <c r="Q97">
        <f t="shared" si="58"/>
        <v>0</v>
      </c>
      <c r="S97" t="str">
        <f t="shared" si="59"/>
        <v>0.00 (0.00 to 0.00)</v>
      </c>
    </row>
    <row r="98" spans="1:19" x14ac:dyDescent="0.3">
      <c r="A98" s="6"/>
      <c r="B98" s="16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17" t="s">
        <v>187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</row>
    <row r="101" spans="1:19" ht="33" customHeight="1" x14ac:dyDescent="0.3">
      <c r="A101" s="18" t="s">
        <v>58</v>
      </c>
      <c r="B101" s="20" t="s">
        <v>8</v>
      </c>
      <c r="C101" s="20" t="s">
        <v>125</v>
      </c>
      <c r="D101" s="3" t="s">
        <v>126</v>
      </c>
      <c r="E101" s="3" t="s">
        <v>127</v>
      </c>
      <c r="F101" s="20" t="s">
        <v>129</v>
      </c>
      <c r="G101" s="3" t="s">
        <v>127</v>
      </c>
      <c r="H101" s="20" t="s">
        <v>130</v>
      </c>
      <c r="I101" s="20"/>
      <c r="J101" s="3" t="s">
        <v>149</v>
      </c>
      <c r="K101" s="3" t="s">
        <v>127</v>
      </c>
      <c r="L101" s="20" t="s">
        <v>130</v>
      </c>
      <c r="M101" s="20"/>
    </row>
    <row r="102" spans="1:19" ht="33" x14ac:dyDescent="0.3">
      <c r="A102" s="18"/>
      <c r="B102" s="20"/>
      <c r="C102" s="20"/>
      <c r="D102" s="3" t="s">
        <v>125</v>
      </c>
      <c r="E102" s="3" t="s">
        <v>128</v>
      </c>
      <c r="F102" s="20"/>
      <c r="G102" s="3" t="s">
        <v>129</v>
      </c>
      <c r="H102" s="20" t="s">
        <v>131</v>
      </c>
      <c r="I102" s="20"/>
      <c r="J102" s="3" t="s">
        <v>129</v>
      </c>
      <c r="K102" s="3" t="s">
        <v>150</v>
      </c>
      <c r="L102" s="20" t="s">
        <v>151</v>
      </c>
      <c r="M102" s="20"/>
    </row>
    <row r="103" spans="1:19" ht="17.25" thickBot="1" x14ac:dyDescent="0.35">
      <c r="A103" s="6">
        <v>1</v>
      </c>
      <c r="B103" s="13">
        <v>1</v>
      </c>
      <c r="C103" s="2">
        <v>2135</v>
      </c>
      <c r="D103" s="2">
        <v>810552</v>
      </c>
      <c r="E103" s="2">
        <v>25369</v>
      </c>
      <c r="F103" s="2">
        <v>2.6793999999999998</v>
      </c>
      <c r="G103" s="2">
        <v>8.4400000000000003E-2</v>
      </c>
      <c r="H103" s="2">
        <v>2.5137999999999998</v>
      </c>
      <c r="I103" s="2">
        <v>2.8449</v>
      </c>
      <c r="J103" s="2">
        <v>10.5327</v>
      </c>
      <c r="K103" s="2">
        <v>0.32429999999999998</v>
      </c>
      <c r="L103" s="2">
        <v>9.8968000000000007</v>
      </c>
      <c r="M103" s="2">
        <v>11.1686</v>
      </c>
      <c r="O103">
        <f t="shared" ref="O103:O106" si="60">J103</f>
        <v>10.5327</v>
      </c>
      <c r="P103">
        <f t="shared" ref="P103:Q106" si="61">L103</f>
        <v>9.8968000000000007</v>
      </c>
      <c r="Q103">
        <f t="shared" si="61"/>
        <v>11.1686</v>
      </c>
      <c r="S103" t="str">
        <f t="shared" ref="S103:S106" si="62">TEXT(O103,"0.00")&amp;" ("&amp;TEXT(P103,"0.00")&amp;" to "&amp;TEXT(Q103,"0.00")&amp;")"</f>
        <v>10.53 (9.90 to 11.17)</v>
      </c>
    </row>
    <row r="104" spans="1:19" ht="17.25" thickBot="1" x14ac:dyDescent="0.35">
      <c r="A104" s="6"/>
      <c r="B104" s="13">
        <v>2</v>
      </c>
      <c r="C104" s="2">
        <v>3962</v>
      </c>
      <c r="D104" s="2">
        <v>1765298</v>
      </c>
      <c r="E104" s="2">
        <v>38270</v>
      </c>
      <c r="F104" s="2">
        <v>5.8353999999999999</v>
      </c>
      <c r="G104" s="2">
        <v>0.121</v>
      </c>
      <c r="H104" s="2">
        <v>5.5979999999999999</v>
      </c>
      <c r="I104" s="2">
        <v>6.0727000000000002</v>
      </c>
      <c r="J104" s="2">
        <v>22.9391</v>
      </c>
      <c r="K104" s="2">
        <v>0.45190000000000002</v>
      </c>
      <c r="L104" s="2">
        <v>22.053000000000001</v>
      </c>
      <c r="M104" s="2">
        <v>23.825199999999999</v>
      </c>
      <c r="O104">
        <f t="shared" si="60"/>
        <v>22.9391</v>
      </c>
      <c r="P104">
        <f t="shared" si="61"/>
        <v>22.053000000000001</v>
      </c>
      <c r="Q104">
        <f t="shared" si="61"/>
        <v>23.825199999999999</v>
      </c>
      <c r="S104" t="str">
        <f t="shared" si="62"/>
        <v>22.94 (22.05 to 23.83)</v>
      </c>
    </row>
    <row r="105" spans="1:19" ht="17.25" thickBot="1" x14ac:dyDescent="0.35">
      <c r="A105" s="6"/>
      <c r="B105" s="13">
        <v>3</v>
      </c>
      <c r="C105" s="2">
        <v>5114</v>
      </c>
      <c r="D105" s="2">
        <v>2356335</v>
      </c>
      <c r="E105" s="2">
        <v>46014</v>
      </c>
      <c r="F105" s="2">
        <v>7.7891000000000004</v>
      </c>
      <c r="G105" s="2">
        <v>0.13700000000000001</v>
      </c>
      <c r="H105" s="2">
        <v>7.5205000000000002</v>
      </c>
      <c r="I105" s="2">
        <v>8.0577000000000005</v>
      </c>
      <c r="J105" s="2">
        <v>30.619299999999999</v>
      </c>
      <c r="K105" s="2">
        <v>0.47910000000000003</v>
      </c>
      <c r="L105" s="2">
        <v>29.6799</v>
      </c>
      <c r="M105" s="2">
        <v>31.558800000000002</v>
      </c>
      <c r="O105">
        <f t="shared" si="60"/>
        <v>30.619299999999999</v>
      </c>
      <c r="P105">
        <f t="shared" si="61"/>
        <v>29.6799</v>
      </c>
      <c r="Q105">
        <f t="shared" si="61"/>
        <v>31.558800000000002</v>
      </c>
      <c r="S105" t="str">
        <f t="shared" si="62"/>
        <v>30.62 (29.68 to 31.56)</v>
      </c>
    </row>
    <row r="106" spans="1:19" ht="17.25" thickBot="1" x14ac:dyDescent="0.35">
      <c r="A106" s="6"/>
      <c r="B106" s="13">
        <v>4</v>
      </c>
      <c r="C106" s="2">
        <v>5946</v>
      </c>
      <c r="D106" s="2">
        <v>2763393</v>
      </c>
      <c r="E106" s="2">
        <v>59483</v>
      </c>
      <c r="F106" s="2">
        <v>9.1347000000000005</v>
      </c>
      <c r="G106" s="2">
        <v>0.1764</v>
      </c>
      <c r="H106" s="2">
        <v>8.7888000000000002</v>
      </c>
      <c r="I106" s="2">
        <v>9.4804999999999993</v>
      </c>
      <c r="J106" s="2">
        <v>35.908799999999999</v>
      </c>
      <c r="K106" s="2">
        <v>0.5978</v>
      </c>
      <c r="L106" s="2">
        <v>34.736699999999999</v>
      </c>
      <c r="M106" s="2">
        <v>37.081000000000003</v>
      </c>
      <c r="O106">
        <f t="shared" si="60"/>
        <v>35.908799999999999</v>
      </c>
      <c r="P106">
        <f t="shared" si="61"/>
        <v>34.736699999999999</v>
      </c>
      <c r="Q106">
        <f t="shared" si="61"/>
        <v>37.081000000000003</v>
      </c>
      <c r="S106" t="str">
        <f t="shared" si="62"/>
        <v>35.91 (34.74 to 37.08)</v>
      </c>
    </row>
    <row r="107" spans="1:19" ht="17.25" thickBot="1" x14ac:dyDescent="0.35">
      <c r="A107" s="6"/>
      <c r="B107" s="13" t="s">
        <v>132</v>
      </c>
      <c r="C107" s="2">
        <v>17157</v>
      </c>
      <c r="D107" s="2">
        <v>7695579</v>
      </c>
      <c r="E107" s="2">
        <v>88007</v>
      </c>
      <c r="F107" s="2">
        <v>25.438500000000001</v>
      </c>
      <c r="G107" s="2">
        <v>0.21060000000000001</v>
      </c>
      <c r="H107" s="2">
        <v>25.025600000000001</v>
      </c>
      <c r="I107" s="2">
        <v>25.851299999999998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3">
        <v>1</v>
      </c>
      <c r="C108" s="2">
        <v>2747</v>
      </c>
      <c r="D108" s="2">
        <v>974758</v>
      </c>
      <c r="E108" s="2">
        <v>26089</v>
      </c>
      <c r="F108" s="2">
        <v>3.2222</v>
      </c>
      <c r="G108" s="2">
        <v>8.7300000000000003E-2</v>
      </c>
      <c r="H108" s="2">
        <v>3.0508999999999999</v>
      </c>
      <c r="I108" s="2">
        <v>3.3934000000000002</v>
      </c>
      <c r="J108" s="2">
        <v>12.9476</v>
      </c>
      <c r="K108" s="2">
        <v>0.34320000000000001</v>
      </c>
      <c r="L108" s="2">
        <v>12.2746</v>
      </c>
      <c r="M108" s="2">
        <v>13.620699999999999</v>
      </c>
      <c r="O108">
        <f t="shared" ref="O108:O111" si="63">J108</f>
        <v>12.9476</v>
      </c>
      <c r="P108">
        <f t="shared" ref="P108:Q111" si="64">L108</f>
        <v>12.2746</v>
      </c>
      <c r="Q108">
        <f t="shared" si="64"/>
        <v>13.620699999999999</v>
      </c>
      <c r="S108" t="str">
        <f t="shared" ref="S108:S111" si="65">TEXT(O108,"0.00")&amp;" ("&amp;TEXT(P108,"0.00")&amp;" to "&amp;TEXT(Q108,"0.00")&amp;")"</f>
        <v>12.95 (12.27 to 13.62)</v>
      </c>
    </row>
    <row r="109" spans="1:19" ht="17.25" thickBot="1" x14ac:dyDescent="0.35">
      <c r="A109" s="6"/>
      <c r="B109" s="13">
        <v>2</v>
      </c>
      <c r="C109" s="2">
        <v>4156</v>
      </c>
      <c r="D109" s="2">
        <v>1773198</v>
      </c>
      <c r="E109" s="2">
        <v>38713</v>
      </c>
      <c r="F109" s="2">
        <v>5.8615000000000004</v>
      </c>
      <c r="G109" s="2">
        <v>0.12239999999999999</v>
      </c>
      <c r="H109" s="2">
        <v>5.6215000000000002</v>
      </c>
      <c r="I109" s="2">
        <v>6.1014999999999997</v>
      </c>
      <c r="J109" s="2">
        <v>23.5532</v>
      </c>
      <c r="K109" s="2">
        <v>0.45650000000000002</v>
      </c>
      <c r="L109" s="2">
        <v>22.658100000000001</v>
      </c>
      <c r="M109" s="2">
        <v>24.448399999999999</v>
      </c>
      <c r="O109">
        <f t="shared" si="63"/>
        <v>23.5532</v>
      </c>
      <c r="P109">
        <f t="shared" si="64"/>
        <v>22.658100000000001</v>
      </c>
      <c r="Q109">
        <f t="shared" si="64"/>
        <v>24.448399999999999</v>
      </c>
      <c r="S109" t="str">
        <f t="shared" si="65"/>
        <v>23.55 (22.66 to 24.45)</v>
      </c>
    </row>
    <row r="110" spans="1:19" ht="17.25" thickBot="1" x14ac:dyDescent="0.35">
      <c r="A110" s="6"/>
      <c r="B110" s="13">
        <v>3</v>
      </c>
      <c r="C110" s="2">
        <v>5021</v>
      </c>
      <c r="D110" s="2">
        <v>2358716</v>
      </c>
      <c r="E110" s="2">
        <v>46515</v>
      </c>
      <c r="F110" s="2">
        <v>7.7969999999999997</v>
      </c>
      <c r="G110" s="2">
        <v>0.13789999999999999</v>
      </c>
      <c r="H110" s="2">
        <v>7.5265000000000004</v>
      </c>
      <c r="I110" s="2">
        <v>8.0673999999999992</v>
      </c>
      <c r="J110" s="2">
        <v>31.3306</v>
      </c>
      <c r="K110" s="2">
        <v>0.48909999999999998</v>
      </c>
      <c r="L110" s="2">
        <v>30.371700000000001</v>
      </c>
      <c r="M110" s="2">
        <v>32.2896</v>
      </c>
      <c r="O110">
        <f t="shared" si="63"/>
        <v>31.3306</v>
      </c>
      <c r="P110">
        <f t="shared" si="64"/>
        <v>30.371700000000001</v>
      </c>
      <c r="Q110">
        <f t="shared" si="64"/>
        <v>32.2896</v>
      </c>
      <c r="S110" t="str">
        <f t="shared" si="65"/>
        <v>31.33 (30.37 to 32.29)</v>
      </c>
    </row>
    <row r="111" spans="1:19" ht="17.25" thickBot="1" x14ac:dyDescent="0.35">
      <c r="A111" s="6"/>
      <c r="B111" s="13">
        <v>4</v>
      </c>
      <c r="C111" s="2">
        <v>5236</v>
      </c>
      <c r="D111" s="2">
        <v>2421801</v>
      </c>
      <c r="E111" s="2">
        <v>52559</v>
      </c>
      <c r="F111" s="2">
        <v>8.0054999999999996</v>
      </c>
      <c r="G111" s="2">
        <v>0.15490000000000001</v>
      </c>
      <c r="H111" s="2">
        <v>7.7018000000000004</v>
      </c>
      <c r="I111" s="2">
        <v>8.3092000000000006</v>
      </c>
      <c r="J111" s="2">
        <v>32.168599999999998</v>
      </c>
      <c r="K111" s="2">
        <v>0.55579999999999996</v>
      </c>
      <c r="L111" s="2">
        <v>31.078800000000001</v>
      </c>
      <c r="M111" s="2">
        <v>33.258299999999998</v>
      </c>
      <c r="O111">
        <f t="shared" si="63"/>
        <v>32.168599999999998</v>
      </c>
      <c r="P111">
        <f t="shared" si="64"/>
        <v>31.078800000000001</v>
      </c>
      <c r="Q111">
        <f t="shared" si="64"/>
        <v>33.258299999999998</v>
      </c>
      <c r="S111" t="str">
        <f t="shared" si="65"/>
        <v>32.17 (31.08 to 33.26)</v>
      </c>
    </row>
    <row r="112" spans="1:19" ht="17.25" thickBot="1" x14ac:dyDescent="0.35">
      <c r="A112" s="6"/>
      <c r="B112" s="13" t="s">
        <v>132</v>
      </c>
      <c r="C112" s="2">
        <v>17160</v>
      </c>
      <c r="D112" s="2">
        <v>7528473</v>
      </c>
      <c r="E112" s="2">
        <v>84684</v>
      </c>
      <c r="F112" s="2">
        <v>24.886099999999999</v>
      </c>
      <c r="G112" s="2">
        <v>0.19980000000000001</v>
      </c>
      <c r="H112" s="2">
        <v>24.494299999999999</v>
      </c>
      <c r="I112" s="2">
        <v>25.277799999999999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3">
        <v>1</v>
      </c>
      <c r="C113" s="2">
        <v>3187</v>
      </c>
      <c r="D113" s="2">
        <v>1062930</v>
      </c>
      <c r="E113" s="2">
        <v>25883</v>
      </c>
      <c r="F113" s="2">
        <v>3.5135999999999998</v>
      </c>
      <c r="G113" s="2">
        <v>8.72E-2</v>
      </c>
      <c r="H113" s="2">
        <v>3.3426999999999998</v>
      </c>
      <c r="I113" s="2">
        <v>3.6844999999999999</v>
      </c>
      <c r="J113" s="2">
        <v>14.387499999999999</v>
      </c>
      <c r="K113" s="2">
        <v>0.34389999999999998</v>
      </c>
      <c r="L113" s="2">
        <v>13.712999999999999</v>
      </c>
      <c r="M113" s="2">
        <v>15.0619</v>
      </c>
      <c r="O113">
        <f t="shared" ref="O113:O116" si="66">J113</f>
        <v>14.387499999999999</v>
      </c>
      <c r="P113">
        <f t="shared" ref="P113:Q116" si="67">L113</f>
        <v>13.712999999999999</v>
      </c>
      <c r="Q113">
        <f t="shared" si="67"/>
        <v>15.0619</v>
      </c>
      <c r="S113" t="str">
        <f t="shared" ref="S113:S116" si="68">TEXT(O113,"0.00")&amp;" ("&amp;TEXT(P113,"0.00")&amp;" to "&amp;TEXT(Q113,"0.00")&amp;")"</f>
        <v>14.39 (13.71 to 15.06)</v>
      </c>
    </row>
    <row r="114" spans="1:19" ht="17.25" thickBot="1" x14ac:dyDescent="0.35">
      <c r="A114" s="6"/>
      <c r="B114" s="13">
        <v>2</v>
      </c>
      <c r="C114" s="2">
        <v>4359</v>
      </c>
      <c r="D114" s="2">
        <v>1833155</v>
      </c>
      <c r="E114" s="2">
        <v>37373</v>
      </c>
      <c r="F114" s="2">
        <v>6.0597000000000003</v>
      </c>
      <c r="G114" s="2">
        <v>0.1195</v>
      </c>
      <c r="H114" s="2">
        <v>5.8254000000000001</v>
      </c>
      <c r="I114" s="2">
        <v>6.2938999999999998</v>
      </c>
      <c r="J114" s="2">
        <v>24.812999999999999</v>
      </c>
      <c r="K114" s="2">
        <v>0.44690000000000002</v>
      </c>
      <c r="L114" s="2">
        <v>23.936699999999998</v>
      </c>
      <c r="M114" s="2">
        <v>25.6892</v>
      </c>
      <c r="O114">
        <f t="shared" si="66"/>
        <v>24.812999999999999</v>
      </c>
      <c r="P114">
        <f t="shared" si="67"/>
        <v>23.936699999999998</v>
      </c>
      <c r="Q114">
        <f t="shared" si="67"/>
        <v>25.6892</v>
      </c>
      <c r="S114" t="str">
        <f t="shared" si="68"/>
        <v>24.81 (23.94 to 25.69)</v>
      </c>
    </row>
    <row r="115" spans="1:19" ht="17.25" thickBot="1" x14ac:dyDescent="0.35">
      <c r="A115" s="6"/>
      <c r="B115" s="13">
        <v>3</v>
      </c>
      <c r="C115" s="2">
        <v>4708</v>
      </c>
      <c r="D115" s="2">
        <v>2172174</v>
      </c>
      <c r="E115" s="2">
        <v>44376</v>
      </c>
      <c r="F115" s="2">
        <v>7.1802999999999999</v>
      </c>
      <c r="G115" s="2">
        <v>0.13250000000000001</v>
      </c>
      <c r="H115" s="2">
        <v>6.9203999999999999</v>
      </c>
      <c r="I115" s="2">
        <v>7.4401999999999999</v>
      </c>
      <c r="J115" s="2">
        <v>29.401800000000001</v>
      </c>
      <c r="K115" s="2">
        <v>0.4803</v>
      </c>
      <c r="L115" s="2">
        <v>28.46</v>
      </c>
      <c r="M115" s="2">
        <v>30.343599999999999</v>
      </c>
      <c r="O115">
        <f t="shared" si="66"/>
        <v>29.401800000000001</v>
      </c>
      <c r="P115">
        <f t="shared" si="67"/>
        <v>28.46</v>
      </c>
      <c r="Q115">
        <f t="shared" si="67"/>
        <v>30.343599999999999</v>
      </c>
      <c r="S115" t="str">
        <f t="shared" si="68"/>
        <v>29.40 (28.46 to 30.34)</v>
      </c>
    </row>
    <row r="116" spans="1:19" ht="17.25" thickBot="1" x14ac:dyDescent="0.35">
      <c r="A116" s="6"/>
      <c r="B116" s="13">
        <v>4</v>
      </c>
      <c r="C116" s="2">
        <v>4904</v>
      </c>
      <c r="D116" s="2">
        <v>2319633</v>
      </c>
      <c r="E116" s="2">
        <v>50264</v>
      </c>
      <c r="F116" s="2">
        <v>7.6677999999999997</v>
      </c>
      <c r="G116" s="2">
        <v>0.1472</v>
      </c>
      <c r="H116" s="2">
        <v>7.3792</v>
      </c>
      <c r="I116" s="2">
        <v>7.9562999999999997</v>
      </c>
      <c r="J116" s="2">
        <v>31.3978</v>
      </c>
      <c r="K116" s="2">
        <v>0.54700000000000004</v>
      </c>
      <c r="L116" s="2">
        <v>30.325299999999999</v>
      </c>
      <c r="M116" s="2">
        <v>32.470300000000002</v>
      </c>
      <c r="O116">
        <f t="shared" si="66"/>
        <v>31.3978</v>
      </c>
      <c r="P116">
        <f t="shared" si="67"/>
        <v>30.325299999999999</v>
      </c>
      <c r="Q116">
        <f t="shared" si="67"/>
        <v>32.470300000000002</v>
      </c>
      <c r="S116" t="str">
        <f t="shared" si="68"/>
        <v>31.40 (30.33 to 32.47)</v>
      </c>
    </row>
    <row r="117" spans="1:19" ht="17.25" thickBot="1" x14ac:dyDescent="0.35">
      <c r="A117" s="6"/>
      <c r="B117" s="13" t="s">
        <v>132</v>
      </c>
      <c r="C117" s="2">
        <v>17158</v>
      </c>
      <c r="D117" s="2">
        <v>7387892</v>
      </c>
      <c r="E117" s="2">
        <v>81641</v>
      </c>
      <c r="F117" s="2">
        <v>24.421399999999998</v>
      </c>
      <c r="G117" s="2">
        <v>0.19589999999999999</v>
      </c>
      <c r="H117" s="2">
        <v>24.037199999999999</v>
      </c>
      <c r="I117" s="2">
        <v>24.805499999999999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3">
        <v>1</v>
      </c>
      <c r="C118" s="2">
        <v>3196</v>
      </c>
      <c r="D118" s="2">
        <v>1087915</v>
      </c>
      <c r="E118" s="2">
        <v>26761</v>
      </c>
      <c r="F118" s="2">
        <v>3.5962000000000001</v>
      </c>
      <c r="G118" s="2">
        <v>9.11E-2</v>
      </c>
      <c r="H118" s="2">
        <v>3.4175</v>
      </c>
      <c r="I118" s="2">
        <v>3.7749000000000001</v>
      </c>
      <c r="J118" s="2">
        <v>14.2401</v>
      </c>
      <c r="K118" s="2">
        <v>0.34110000000000001</v>
      </c>
      <c r="L118" s="2">
        <v>13.571199999999999</v>
      </c>
      <c r="M118" s="2">
        <v>14.908899999999999</v>
      </c>
      <c r="O118">
        <f t="shared" ref="O118:O121" si="69">J118</f>
        <v>14.2401</v>
      </c>
      <c r="P118">
        <f t="shared" ref="P118:Q121" si="70">L118</f>
        <v>13.571199999999999</v>
      </c>
      <c r="Q118">
        <f t="shared" si="70"/>
        <v>14.908899999999999</v>
      </c>
      <c r="S118" t="str">
        <f t="shared" ref="S118:S121" si="71">TEXT(O118,"0.00")&amp;" ("&amp;TEXT(P118,"0.00")&amp;" to "&amp;TEXT(Q118,"0.00")&amp;")"</f>
        <v>14.24 (13.57 to 14.91)</v>
      </c>
    </row>
    <row r="119" spans="1:19" ht="17.25" thickBot="1" x14ac:dyDescent="0.35">
      <c r="A119" s="6"/>
      <c r="B119" s="13">
        <v>2</v>
      </c>
      <c r="C119" s="2">
        <v>4357</v>
      </c>
      <c r="D119" s="2">
        <v>1895874</v>
      </c>
      <c r="E119" s="2">
        <v>39165</v>
      </c>
      <c r="F119" s="2">
        <v>6.2670000000000003</v>
      </c>
      <c r="G119" s="2">
        <v>0.12659999999999999</v>
      </c>
      <c r="H119" s="2">
        <v>6.0186999999999999</v>
      </c>
      <c r="I119" s="2">
        <v>6.5152000000000001</v>
      </c>
      <c r="J119" s="2">
        <v>24.8157</v>
      </c>
      <c r="K119" s="2">
        <v>0.44359999999999999</v>
      </c>
      <c r="L119" s="2">
        <v>23.945799999999998</v>
      </c>
      <c r="M119" s="2">
        <v>25.685600000000001</v>
      </c>
      <c r="O119">
        <f t="shared" si="69"/>
        <v>24.8157</v>
      </c>
      <c r="P119">
        <f t="shared" si="70"/>
        <v>23.945799999999998</v>
      </c>
      <c r="Q119">
        <f t="shared" si="70"/>
        <v>25.685600000000001</v>
      </c>
      <c r="S119" t="str">
        <f t="shared" si="71"/>
        <v>24.82 (23.95 to 25.69)</v>
      </c>
    </row>
    <row r="120" spans="1:19" ht="17.25" thickBot="1" x14ac:dyDescent="0.35">
      <c r="A120" s="6"/>
      <c r="B120" s="13">
        <v>3</v>
      </c>
      <c r="C120" s="2">
        <v>4742</v>
      </c>
      <c r="D120" s="2">
        <v>2302705</v>
      </c>
      <c r="E120" s="2">
        <v>45471</v>
      </c>
      <c r="F120" s="2">
        <v>7.6117999999999997</v>
      </c>
      <c r="G120" s="2">
        <v>0.1353</v>
      </c>
      <c r="H120" s="2">
        <v>7.3464</v>
      </c>
      <c r="I120" s="2">
        <v>7.8772000000000002</v>
      </c>
      <c r="J120" s="2">
        <v>30.140799999999999</v>
      </c>
      <c r="K120" s="2">
        <v>0.46860000000000002</v>
      </c>
      <c r="L120" s="2">
        <v>29.222100000000001</v>
      </c>
      <c r="M120" s="2">
        <v>31.0596</v>
      </c>
      <c r="O120">
        <f t="shared" si="69"/>
        <v>30.140799999999999</v>
      </c>
      <c r="P120">
        <f t="shared" si="70"/>
        <v>29.222100000000001</v>
      </c>
      <c r="Q120">
        <f t="shared" si="70"/>
        <v>31.0596</v>
      </c>
      <c r="S120" t="str">
        <f t="shared" si="71"/>
        <v>30.14 (29.22 to 31.06)</v>
      </c>
    </row>
    <row r="121" spans="1:19" ht="17.25" thickBot="1" x14ac:dyDescent="0.35">
      <c r="A121" s="6"/>
      <c r="B121" s="13">
        <v>4</v>
      </c>
      <c r="C121" s="2">
        <v>4864</v>
      </c>
      <c r="D121" s="2">
        <v>2353319</v>
      </c>
      <c r="E121" s="2">
        <v>49302</v>
      </c>
      <c r="F121" s="2">
        <v>7.7790999999999997</v>
      </c>
      <c r="G121" s="2">
        <v>0.14710000000000001</v>
      </c>
      <c r="H121" s="2">
        <v>7.4907000000000004</v>
      </c>
      <c r="I121" s="2">
        <v>8.0675000000000008</v>
      </c>
      <c r="J121" s="2">
        <v>30.8034</v>
      </c>
      <c r="K121" s="2">
        <v>0.53949999999999998</v>
      </c>
      <c r="L121" s="2">
        <v>29.7455</v>
      </c>
      <c r="M121" s="2">
        <v>31.8612</v>
      </c>
      <c r="O121">
        <f t="shared" si="69"/>
        <v>30.8034</v>
      </c>
      <c r="P121">
        <f t="shared" si="70"/>
        <v>29.7455</v>
      </c>
      <c r="Q121">
        <f t="shared" si="70"/>
        <v>31.8612</v>
      </c>
      <c r="S121" t="str">
        <f t="shared" si="71"/>
        <v>30.80 (29.75 to 31.86)</v>
      </c>
    </row>
    <row r="122" spans="1:19" ht="17.25" thickBot="1" x14ac:dyDescent="0.35">
      <c r="A122" s="6"/>
      <c r="B122" s="13" t="s">
        <v>132</v>
      </c>
      <c r="C122" s="2">
        <v>17159</v>
      </c>
      <c r="D122" s="2">
        <v>7639813</v>
      </c>
      <c r="E122" s="2">
        <v>82439</v>
      </c>
      <c r="F122" s="2">
        <v>25.254100000000001</v>
      </c>
      <c r="G122" s="2">
        <v>0.2109</v>
      </c>
      <c r="H122" s="2">
        <v>24.840499999999999</v>
      </c>
      <c r="I122" s="2">
        <v>25.6677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3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72">J123</f>
        <v>0</v>
      </c>
      <c r="P123">
        <f t="shared" ref="P123:Q126" si="73">L123</f>
        <v>0</v>
      </c>
      <c r="Q123">
        <f t="shared" si="73"/>
        <v>0</v>
      </c>
      <c r="S123" t="str">
        <f t="shared" ref="S123:S126" si="74">TEXT(O123,"0.00")&amp;" ("&amp;TEXT(P123,"0.00")&amp;" to "&amp;TEXT(Q123,"0.00")&amp;")"</f>
        <v>0.00 (0.00 to 0.00)</v>
      </c>
    </row>
    <row r="124" spans="1:19" ht="17.25" thickBot="1" x14ac:dyDescent="0.35">
      <c r="A124" s="6"/>
      <c r="B124" s="13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72"/>
        <v>0</v>
      </c>
      <c r="P124">
        <f t="shared" si="73"/>
        <v>0</v>
      </c>
      <c r="Q124">
        <f t="shared" si="73"/>
        <v>0</v>
      </c>
      <c r="S124" t="str">
        <f t="shared" si="74"/>
        <v>0.00 (0.00 to 0.00)</v>
      </c>
    </row>
    <row r="125" spans="1:19" ht="17.25" thickBot="1" x14ac:dyDescent="0.35">
      <c r="A125" s="6"/>
      <c r="B125" s="13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72"/>
        <v>0</v>
      </c>
      <c r="P125">
        <f t="shared" si="73"/>
        <v>0</v>
      </c>
      <c r="Q125">
        <f t="shared" si="73"/>
        <v>0</v>
      </c>
      <c r="S125" t="str">
        <f t="shared" si="74"/>
        <v>0.00 (0.00 to 0.00)</v>
      </c>
    </row>
    <row r="126" spans="1:19" ht="17.25" thickBot="1" x14ac:dyDescent="0.35">
      <c r="A126" s="6"/>
      <c r="B126" s="13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72"/>
        <v>0</v>
      </c>
      <c r="P126">
        <f t="shared" si="73"/>
        <v>0</v>
      </c>
      <c r="Q126">
        <f t="shared" si="73"/>
        <v>0</v>
      </c>
      <c r="S126" t="str">
        <f t="shared" si="74"/>
        <v>0.00 (0.00 to 0.00)</v>
      </c>
    </row>
    <row r="127" spans="1:19" x14ac:dyDescent="0.3">
      <c r="A127" s="6"/>
      <c r="B127" s="16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17" t="s">
        <v>188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</row>
    <row r="130" spans="1:19" ht="33" customHeight="1" x14ac:dyDescent="0.3">
      <c r="A130" s="18" t="s">
        <v>58</v>
      </c>
      <c r="B130" s="20" t="s">
        <v>9</v>
      </c>
      <c r="C130" s="20" t="s">
        <v>125</v>
      </c>
      <c r="D130" s="3" t="s">
        <v>126</v>
      </c>
      <c r="E130" s="3" t="s">
        <v>127</v>
      </c>
      <c r="F130" s="20" t="s">
        <v>129</v>
      </c>
      <c r="G130" s="3" t="s">
        <v>127</v>
      </c>
      <c r="H130" s="20" t="s">
        <v>130</v>
      </c>
      <c r="I130" s="20"/>
      <c r="J130" s="3" t="s">
        <v>149</v>
      </c>
      <c r="K130" s="3" t="s">
        <v>127</v>
      </c>
      <c r="L130" s="20" t="s">
        <v>130</v>
      </c>
      <c r="M130" s="20"/>
    </row>
    <row r="131" spans="1:19" ht="33" x14ac:dyDescent="0.3">
      <c r="A131" s="18"/>
      <c r="B131" s="20"/>
      <c r="C131" s="20"/>
      <c r="D131" s="3" t="s">
        <v>125</v>
      </c>
      <c r="E131" s="3" t="s">
        <v>128</v>
      </c>
      <c r="F131" s="20"/>
      <c r="G131" s="3" t="s">
        <v>129</v>
      </c>
      <c r="H131" s="20" t="s">
        <v>131</v>
      </c>
      <c r="I131" s="20"/>
      <c r="J131" s="3" t="s">
        <v>129</v>
      </c>
      <c r="K131" s="3" t="s">
        <v>150</v>
      </c>
      <c r="L131" s="20" t="s">
        <v>151</v>
      </c>
      <c r="M131" s="20"/>
    </row>
    <row r="132" spans="1:19" ht="17.25" thickBot="1" x14ac:dyDescent="0.35">
      <c r="A132" s="6">
        <v>1</v>
      </c>
      <c r="B132" s="13">
        <v>1</v>
      </c>
      <c r="C132" s="2">
        <v>1564</v>
      </c>
      <c r="D132" s="2">
        <v>739728</v>
      </c>
      <c r="E132" s="2">
        <v>22570</v>
      </c>
      <c r="F132" s="2">
        <v>2.4451999999999998</v>
      </c>
      <c r="G132" s="2">
        <v>7.1900000000000006E-2</v>
      </c>
      <c r="H132" s="2">
        <v>2.3041999999999998</v>
      </c>
      <c r="I132" s="2">
        <v>2.5863</v>
      </c>
      <c r="J132" s="2">
        <v>9.6123999999999992</v>
      </c>
      <c r="K132" s="2">
        <v>0.26729999999999998</v>
      </c>
      <c r="L132" s="2">
        <v>9.0883000000000003</v>
      </c>
      <c r="M132" s="2">
        <v>10.1364</v>
      </c>
      <c r="O132">
        <f t="shared" ref="O132:O135" si="75">J132</f>
        <v>9.6123999999999992</v>
      </c>
      <c r="P132">
        <f t="shared" ref="P132:Q135" si="76">L132</f>
        <v>9.0883000000000003</v>
      </c>
      <c r="Q132">
        <f t="shared" si="76"/>
        <v>10.1364</v>
      </c>
      <c r="S132" t="str">
        <f t="shared" ref="S132:S135" si="77">TEXT(O132,"0.00")&amp;" ("&amp;TEXT(P132,"0.00")&amp;" to "&amp;TEXT(Q132,"0.00")&amp;")"</f>
        <v>9.61 (9.09 to 10.14)</v>
      </c>
    </row>
    <row r="133" spans="1:19" ht="17.25" thickBot="1" x14ac:dyDescent="0.35">
      <c r="A133" s="6"/>
      <c r="B133" s="13">
        <v>2</v>
      </c>
      <c r="C133" s="2">
        <v>9751</v>
      </c>
      <c r="D133" s="2">
        <v>4422522</v>
      </c>
      <c r="E133" s="2">
        <v>61796</v>
      </c>
      <c r="F133" s="2">
        <v>14.6191</v>
      </c>
      <c r="G133" s="2">
        <v>0.1656</v>
      </c>
      <c r="H133" s="2">
        <v>14.2944</v>
      </c>
      <c r="I133" s="2">
        <v>14.9437</v>
      </c>
      <c r="J133" s="2">
        <v>57.468400000000003</v>
      </c>
      <c r="K133" s="2">
        <v>0.43580000000000002</v>
      </c>
      <c r="L133" s="2">
        <v>56.613799999999998</v>
      </c>
      <c r="M133" s="2">
        <v>58.322899999999997</v>
      </c>
      <c r="O133">
        <f t="shared" si="75"/>
        <v>57.468400000000003</v>
      </c>
      <c r="P133">
        <f t="shared" si="76"/>
        <v>56.613799999999998</v>
      </c>
      <c r="Q133">
        <f t="shared" si="76"/>
        <v>58.322899999999997</v>
      </c>
      <c r="S133" t="str">
        <f t="shared" si="77"/>
        <v>57.47 (56.61 to 58.32)</v>
      </c>
    </row>
    <row r="134" spans="1:19" ht="17.25" thickBot="1" x14ac:dyDescent="0.35">
      <c r="A134" s="6"/>
      <c r="B134" s="13">
        <v>3</v>
      </c>
      <c r="C134" s="2">
        <v>3239</v>
      </c>
      <c r="D134" s="2">
        <v>1429003</v>
      </c>
      <c r="E134" s="2">
        <v>31714</v>
      </c>
      <c r="F134" s="2">
        <v>4.7237</v>
      </c>
      <c r="G134" s="2">
        <v>9.8000000000000004E-2</v>
      </c>
      <c r="H134" s="2">
        <v>4.5315000000000003</v>
      </c>
      <c r="I134" s="2">
        <v>4.9158999999999997</v>
      </c>
      <c r="J134" s="2">
        <v>18.569099999999999</v>
      </c>
      <c r="K134" s="2">
        <v>0.35289999999999999</v>
      </c>
      <c r="L134" s="2">
        <v>17.877099999999999</v>
      </c>
      <c r="M134" s="2">
        <v>19.261099999999999</v>
      </c>
      <c r="O134">
        <f t="shared" si="75"/>
        <v>18.569099999999999</v>
      </c>
      <c r="P134">
        <f t="shared" si="76"/>
        <v>17.877099999999999</v>
      </c>
      <c r="Q134">
        <f t="shared" si="76"/>
        <v>19.261099999999999</v>
      </c>
      <c r="S134" t="str">
        <f t="shared" si="77"/>
        <v>18.57 (17.88 to 19.26)</v>
      </c>
    </row>
    <row r="135" spans="1:19" ht="17.25" thickBot="1" x14ac:dyDescent="0.35">
      <c r="A135" s="6"/>
      <c r="B135" s="13">
        <v>4</v>
      </c>
      <c r="C135" s="2">
        <v>2603</v>
      </c>
      <c r="D135" s="2">
        <v>1104326</v>
      </c>
      <c r="E135" s="2">
        <v>26029</v>
      </c>
      <c r="F135" s="2">
        <v>3.6505000000000001</v>
      </c>
      <c r="G135" s="2">
        <v>8.2699999999999996E-2</v>
      </c>
      <c r="H135" s="2">
        <v>3.4882</v>
      </c>
      <c r="I135" s="2">
        <v>3.8127</v>
      </c>
      <c r="J135" s="2">
        <v>14.350099999999999</v>
      </c>
      <c r="K135" s="2">
        <v>0.31159999999999999</v>
      </c>
      <c r="L135" s="2">
        <v>13.7392</v>
      </c>
      <c r="M135" s="2">
        <v>14.9611</v>
      </c>
      <c r="O135">
        <f t="shared" si="75"/>
        <v>14.350099999999999</v>
      </c>
      <c r="P135">
        <f t="shared" si="76"/>
        <v>13.7392</v>
      </c>
      <c r="Q135">
        <f t="shared" si="76"/>
        <v>14.9611</v>
      </c>
      <c r="S135" t="str">
        <f t="shared" si="77"/>
        <v>14.35 (13.74 to 14.96)</v>
      </c>
    </row>
    <row r="136" spans="1:19" ht="17.25" thickBot="1" x14ac:dyDescent="0.35">
      <c r="A136" s="6"/>
      <c r="B136" s="13" t="s">
        <v>132</v>
      </c>
      <c r="C136" s="2">
        <v>17157</v>
      </c>
      <c r="D136" s="2">
        <v>7695579</v>
      </c>
      <c r="E136" s="2">
        <v>88007</v>
      </c>
      <c r="F136" s="2">
        <v>25.438500000000001</v>
      </c>
      <c r="G136" s="2">
        <v>0.21060000000000001</v>
      </c>
      <c r="H136" s="2">
        <v>25.025600000000001</v>
      </c>
      <c r="I136" s="2">
        <v>25.851299999999998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3">
        <v>1</v>
      </c>
      <c r="C137" s="2">
        <v>787</v>
      </c>
      <c r="D137" s="2">
        <v>370071</v>
      </c>
      <c r="E137" s="2">
        <v>16148</v>
      </c>
      <c r="F137" s="2">
        <v>1.2233000000000001</v>
      </c>
      <c r="G137" s="2">
        <v>5.2499999999999998E-2</v>
      </c>
      <c r="H137" s="2">
        <v>1.1204000000000001</v>
      </c>
      <c r="I137" s="2">
        <v>1.3262</v>
      </c>
      <c r="J137" s="2">
        <v>4.9156000000000004</v>
      </c>
      <c r="K137" s="2">
        <v>0.20499999999999999</v>
      </c>
      <c r="L137" s="2">
        <v>4.5136000000000003</v>
      </c>
      <c r="M137" s="2">
        <v>5.3177000000000003</v>
      </c>
      <c r="O137">
        <f t="shared" ref="O137:O140" si="78">J137</f>
        <v>4.9156000000000004</v>
      </c>
      <c r="P137">
        <f t="shared" ref="P137:Q140" si="79">L137</f>
        <v>4.5136000000000003</v>
      </c>
      <c r="Q137">
        <f t="shared" si="79"/>
        <v>5.3177000000000003</v>
      </c>
      <c r="S137" t="str">
        <f t="shared" ref="S137:S140" si="80">TEXT(O137,"0.00")&amp;" ("&amp;TEXT(P137,"0.00")&amp;" to "&amp;TEXT(Q137,"0.00")&amp;")"</f>
        <v>4.92 (4.51 to 5.32)</v>
      </c>
    </row>
    <row r="138" spans="1:19" ht="17.25" thickBot="1" x14ac:dyDescent="0.35">
      <c r="A138" s="6"/>
      <c r="B138" s="13">
        <v>2</v>
      </c>
      <c r="C138" s="2">
        <v>7529</v>
      </c>
      <c r="D138" s="2">
        <v>3330841</v>
      </c>
      <c r="E138" s="2">
        <v>51673</v>
      </c>
      <c r="F138" s="2">
        <v>11.010400000000001</v>
      </c>
      <c r="G138" s="2">
        <v>0.14280000000000001</v>
      </c>
      <c r="H138" s="2">
        <v>10.730399999999999</v>
      </c>
      <c r="I138" s="2">
        <v>11.2904</v>
      </c>
      <c r="J138" s="2">
        <v>44.243299999999998</v>
      </c>
      <c r="K138" s="2">
        <v>0.45219999999999999</v>
      </c>
      <c r="L138" s="2">
        <v>43.356499999999997</v>
      </c>
      <c r="M138" s="2">
        <v>45.13</v>
      </c>
      <c r="O138">
        <f t="shared" si="78"/>
        <v>44.243299999999998</v>
      </c>
      <c r="P138">
        <f t="shared" si="79"/>
        <v>43.356499999999997</v>
      </c>
      <c r="Q138">
        <f t="shared" si="79"/>
        <v>45.13</v>
      </c>
      <c r="S138" t="str">
        <f t="shared" si="80"/>
        <v>44.24 (43.36 to 45.13)</v>
      </c>
    </row>
    <row r="139" spans="1:19" ht="17.25" thickBot="1" x14ac:dyDescent="0.35">
      <c r="A139" s="6"/>
      <c r="B139" s="13">
        <v>3</v>
      </c>
      <c r="C139" s="2">
        <v>4066</v>
      </c>
      <c r="D139" s="2">
        <v>1752321</v>
      </c>
      <c r="E139" s="2">
        <v>34505</v>
      </c>
      <c r="F139" s="2">
        <v>5.7925000000000004</v>
      </c>
      <c r="G139" s="2">
        <v>0.1062</v>
      </c>
      <c r="H139" s="2">
        <v>5.5842999999999998</v>
      </c>
      <c r="I139" s="2">
        <v>6.0006000000000004</v>
      </c>
      <c r="J139" s="2">
        <v>23.2759</v>
      </c>
      <c r="K139" s="2">
        <v>0.38269999999999998</v>
      </c>
      <c r="L139" s="2">
        <v>22.525500000000001</v>
      </c>
      <c r="M139" s="2">
        <v>24.026399999999999</v>
      </c>
      <c r="O139">
        <f t="shared" si="78"/>
        <v>23.2759</v>
      </c>
      <c r="P139">
        <f t="shared" si="79"/>
        <v>22.525500000000001</v>
      </c>
      <c r="Q139">
        <f t="shared" si="79"/>
        <v>24.026399999999999</v>
      </c>
      <c r="S139" t="str">
        <f t="shared" si="80"/>
        <v>23.28 (22.53 to 24.03)</v>
      </c>
    </row>
    <row r="140" spans="1:19" ht="17.25" thickBot="1" x14ac:dyDescent="0.35">
      <c r="A140" s="6"/>
      <c r="B140" s="13">
        <v>4</v>
      </c>
      <c r="C140" s="2">
        <v>4778</v>
      </c>
      <c r="D140" s="2">
        <v>2075240</v>
      </c>
      <c r="E140" s="2">
        <v>38109</v>
      </c>
      <c r="F140" s="2">
        <v>6.8598999999999997</v>
      </c>
      <c r="G140" s="2">
        <v>0.11550000000000001</v>
      </c>
      <c r="H140" s="2">
        <v>6.6334999999999997</v>
      </c>
      <c r="I140" s="2">
        <v>7.0862999999999996</v>
      </c>
      <c r="J140" s="2">
        <v>27.565200000000001</v>
      </c>
      <c r="K140" s="2">
        <v>0.41360000000000002</v>
      </c>
      <c r="L140" s="2">
        <v>26.754200000000001</v>
      </c>
      <c r="M140" s="2">
        <v>28.376300000000001</v>
      </c>
      <c r="O140">
        <f t="shared" si="78"/>
        <v>27.565200000000001</v>
      </c>
      <c r="P140">
        <f t="shared" si="79"/>
        <v>26.754200000000001</v>
      </c>
      <c r="Q140">
        <f t="shared" si="79"/>
        <v>28.376300000000001</v>
      </c>
      <c r="S140" t="str">
        <f t="shared" si="80"/>
        <v>27.57 (26.75 to 28.38)</v>
      </c>
    </row>
    <row r="141" spans="1:19" ht="17.25" thickBot="1" x14ac:dyDescent="0.35">
      <c r="A141" s="6"/>
      <c r="B141" s="13" t="s">
        <v>132</v>
      </c>
      <c r="C141" s="2">
        <v>17160</v>
      </c>
      <c r="D141" s="2">
        <v>7528473</v>
      </c>
      <c r="E141" s="2">
        <v>84684</v>
      </c>
      <c r="F141" s="2">
        <v>24.886099999999999</v>
      </c>
      <c r="G141" s="2">
        <v>0.19980000000000001</v>
      </c>
      <c r="H141" s="2">
        <v>24.494299999999999</v>
      </c>
      <c r="I141" s="2">
        <v>25.277799999999999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3">
        <v>1</v>
      </c>
      <c r="C142" s="2">
        <v>302</v>
      </c>
      <c r="D142" s="2">
        <v>130484</v>
      </c>
      <c r="E142" s="2">
        <v>9306</v>
      </c>
      <c r="F142" s="2">
        <v>0.43130000000000002</v>
      </c>
      <c r="G142" s="2">
        <v>3.0499999999999999E-2</v>
      </c>
      <c r="H142" s="2">
        <v>0.37140000000000001</v>
      </c>
      <c r="I142" s="2">
        <v>0.49120000000000003</v>
      </c>
      <c r="J142" s="2">
        <v>1.7662</v>
      </c>
      <c r="K142" s="2">
        <v>0.1235</v>
      </c>
      <c r="L142" s="2">
        <v>1.5239</v>
      </c>
      <c r="M142" s="2">
        <v>2.0084</v>
      </c>
      <c r="O142">
        <f t="shared" ref="O142:O145" si="81">J142</f>
        <v>1.7662</v>
      </c>
      <c r="P142">
        <f t="shared" ref="P142:Q145" si="82">L142</f>
        <v>1.5239</v>
      </c>
      <c r="Q142">
        <f t="shared" si="82"/>
        <v>2.0084</v>
      </c>
      <c r="S142" t="str">
        <f t="shared" ref="S142:S145" si="83">TEXT(O142,"0.00")&amp;" ("&amp;TEXT(P142,"0.00")&amp;" to "&amp;TEXT(Q142,"0.00")&amp;")"</f>
        <v>1.77 (1.52 to 2.01)</v>
      </c>
    </row>
    <row r="143" spans="1:19" ht="17.25" thickBot="1" x14ac:dyDescent="0.35">
      <c r="A143" s="6"/>
      <c r="B143" s="13">
        <v>2</v>
      </c>
      <c r="C143" s="2">
        <v>5486</v>
      </c>
      <c r="D143" s="2">
        <v>2301243</v>
      </c>
      <c r="E143" s="2">
        <v>40011</v>
      </c>
      <c r="F143" s="2">
        <v>7.6070000000000002</v>
      </c>
      <c r="G143" s="2">
        <v>0.1195</v>
      </c>
      <c r="H143" s="2">
        <v>7.3726000000000003</v>
      </c>
      <c r="I143" s="2">
        <v>7.8413000000000004</v>
      </c>
      <c r="J143" s="2">
        <v>31.148800000000001</v>
      </c>
      <c r="K143" s="2">
        <v>0.41899999999999998</v>
      </c>
      <c r="L143" s="2">
        <v>30.327300000000001</v>
      </c>
      <c r="M143" s="2">
        <v>31.970400000000001</v>
      </c>
      <c r="O143">
        <f t="shared" si="81"/>
        <v>31.148800000000001</v>
      </c>
      <c r="P143">
        <f t="shared" si="82"/>
        <v>30.327300000000001</v>
      </c>
      <c r="Q143">
        <f t="shared" si="82"/>
        <v>31.970400000000001</v>
      </c>
      <c r="S143" t="str">
        <f t="shared" si="83"/>
        <v>31.15 (30.33 to 31.97)</v>
      </c>
    </row>
    <row r="144" spans="1:19" ht="17.25" thickBot="1" x14ac:dyDescent="0.35">
      <c r="A144" s="6"/>
      <c r="B144" s="13">
        <v>3</v>
      </c>
      <c r="C144" s="2">
        <v>4589</v>
      </c>
      <c r="D144" s="2">
        <v>1956600</v>
      </c>
      <c r="E144" s="2">
        <v>35755</v>
      </c>
      <c r="F144" s="2">
        <v>6.4676999999999998</v>
      </c>
      <c r="G144" s="2">
        <v>0.1074</v>
      </c>
      <c r="H144" s="2">
        <v>6.2571000000000003</v>
      </c>
      <c r="I144" s="2">
        <v>6.6783000000000001</v>
      </c>
      <c r="J144" s="2">
        <v>26.483899999999998</v>
      </c>
      <c r="K144" s="2">
        <v>0.38919999999999999</v>
      </c>
      <c r="L144" s="2">
        <v>25.720700000000001</v>
      </c>
      <c r="M144" s="2">
        <v>27.247</v>
      </c>
      <c r="O144">
        <f t="shared" si="81"/>
        <v>26.483899999999998</v>
      </c>
      <c r="P144">
        <f t="shared" si="82"/>
        <v>25.720700000000001</v>
      </c>
      <c r="Q144">
        <f t="shared" si="82"/>
        <v>27.247</v>
      </c>
      <c r="S144" t="str">
        <f t="shared" si="83"/>
        <v>26.48 (25.72 to 27.25)</v>
      </c>
    </row>
    <row r="145" spans="1:19" ht="17.25" thickBot="1" x14ac:dyDescent="0.35">
      <c r="A145" s="6"/>
      <c r="B145" s="13">
        <v>4</v>
      </c>
      <c r="C145" s="2">
        <v>6781</v>
      </c>
      <c r="D145" s="2">
        <v>2999565</v>
      </c>
      <c r="E145" s="2">
        <v>46704</v>
      </c>
      <c r="F145" s="2">
        <v>9.9153000000000002</v>
      </c>
      <c r="G145" s="2">
        <v>0.13439999999999999</v>
      </c>
      <c r="H145" s="2">
        <v>9.6517999999999997</v>
      </c>
      <c r="I145" s="2">
        <v>10.178900000000001</v>
      </c>
      <c r="J145" s="2">
        <v>40.601100000000002</v>
      </c>
      <c r="K145" s="2">
        <v>0.44500000000000001</v>
      </c>
      <c r="L145" s="2">
        <v>39.728499999999997</v>
      </c>
      <c r="M145" s="2">
        <v>41.473700000000001</v>
      </c>
      <c r="O145">
        <f t="shared" si="81"/>
        <v>40.601100000000002</v>
      </c>
      <c r="P145">
        <f t="shared" si="82"/>
        <v>39.728499999999997</v>
      </c>
      <c r="Q145">
        <f t="shared" si="82"/>
        <v>41.473700000000001</v>
      </c>
      <c r="S145" t="str">
        <f t="shared" si="83"/>
        <v>40.60 (39.73 to 41.47)</v>
      </c>
    </row>
    <row r="146" spans="1:19" ht="17.25" thickBot="1" x14ac:dyDescent="0.35">
      <c r="A146" s="6"/>
      <c r="B146" s="13" t="s">
        <v>132</v>
      </c>
      <c r="C146" s="2">
        <v>17158</v>
      </c>
      <c r="D146" s="2">
        <v>7387892</v>
      </c>
      <c r="E146" s="2">
        <v>81641</v>
      </c>
      <c r="F146" s="2">
        <v>24.421399999999998</v>
      </c>
      <c r="G146" s="2">
        <v>0.19589999999999999</v>
      </c>
      <c r="H146" s="2">
        <v>24.037199999999999</v>
      </c>
      <c r="I146" s="2">
        <v>24.805499999999999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3">
        <v>1</v>
      </c>
      <c r="C147" s="2">
        <v>124</v>
      </c>
      <c r="D147" s="2">
        <v>55910</v>
      </c>
      <c r="E147" s="2">
        <v>6024</v>
      </c>
      <c r="F147" s="2">
        <v>0.18479999999999999</v>
      </c>
      <c r="G147" s="2">
        <v>1.9900000000000001E-2</v>
      </c>
      <c r="H147" s="2">
        <v>0.14580000000000001</v>
      </c>
      <c r="I147" s="2">
        <v>0.2238</v>
      </c>
      <c r="J147" s="2">
        <v>0.73180000000000001</v>
      </c>
      <c r="K147" s="2">
        <v>7.8100000000000003E-2</v>
      </c>
      <c r="L147" s="2">
        <v>0.5786</v>
      </c>
      <c r="M147" s="2">
        <v>0.88500000000000001</v>
      </c>
      <c r="O147">
        <f t="shared" ref="O147:O150" si="84">J147</f>
        <v>0.73180000000000001</v>
      </c>
      <c r="P147">
        <f t="shared" ref="P147:Q150" si="85">L147</f>
        <v>0.5786</v>
      </c>
      <c r="Q147">
        <f t="shared" si="85"/>
        <v>0.88500000000000001</v>
      </c>
      <c r="S147" t="str">
        <f t="shared" ref="S147:S150" si="86">TEXT(O147,"0.00")&amp;" ("&amp;TEXT(P147,"0.00")&amp;" to "&amp;TEXT(Q147,"0.00")&amp;")"</f>
        <v>0.73 (0.58 to 0.89)</v>
      </c>
    </row>
    <row r="148" spans="1:19" ht="17.25" thickBot="1" x14ac:dyDescent="0.35">
      <c r="A148" s="6"/>
      <c r="B148" s="13">
        <v>2</v>
      </c>
      <c r="C148" s="2">
        <v>3669</v>
      </c>
      <c r="D148" s="2">
        <v>1531040</v>
      </c>
      <c r="E148" s="2">
        <v>32985</v>
      </c>
      <c r="F148" s="2">
        <v>5.0609999999999999</v>
      </c>
      <c r="G148" s="2">
        <v>0.1037</v>
      </c>
      <c r="H148" s="2">
        <v>4.8575999999999997</v>
      </c>
      <c r="I148" s="2">
        <v>5.2644000000000002</v>
      </c>
      <c r="J148" s="2">
        <v>20.040299999999998</v>
      </c>
      <c r="K148" s="2">
        <v>0.36759999999999998</v>
      </c>
      <c r="L148" s="2">
        <v>19.319500000000001</v>
      </c>
      <c r="M148" s="2">
        <v>20.761099999999999</v>
      </c>
      <c r="O148">
        <f t="shared" si="84"/>
        <v>20.040299999999998</v>
      </c>
      <c r="P148">
        <f t="shared" si="85"/>
        <v>19.319500000000001</v>
      </c>
      <c r="Q148">
        <f t="shared" si="85"/>
        <v>20.761099999999999</v>
      </c>
      <c r="S148" t="str">
        <f t="shared" si="86"/>
        <v>20.04 (19.32 to 20.76)</v>
      </c>
    </row>
    <row r="149" spans="1:19" ht="17.25" thickBot="1" x14ac:dyDescent="0.35">
      <c r="A149" s="6"/>
      <c r="B149" s="13">
        <v>3</v>
      </c>
      <c r="C149" s="2">
        <v>4370</v>
      </c>
      <c r="D149" s="2">
        <v>1878728</v>
      </c>
      <c r="E149" s="2">
        <v>35119</v>
      </c>
      <c r="F149" s="2">
        <v>6.2103000000000002</v>
      </c>
      <c r="G149" s="2">
        <v>0.1084</v>
      </c>
      <c r="H149" s="2">
        <v>5.9977</v>
      </c>
      <c r="I149" s="2">
        <v>6.4229000000000003</v>
      </c>
      <c r="J149" s="2">
        <v>24.5913</v>
      </c>
      <c r="K149" s="2">
        <v>0.3861</v>
      </c>
      <c r="L149" s="2">
        <v>23.834299999999999</v>
      </c>
      <c r="M149" s="2">
        <v>25.348299999999998</v>
      </c>
      <c r="O149">
        <f t="shared" si="84"/>
        <v>24.5913</v>
      </c>
      <c r="P149">
        <f t="shared" si="85"/>
        <v>23.834299999999999</v>
      </c>
      <c r="Q149">
        <f t="shared" si="85"/>
        <v>25.348299999999998</v>
      </c>
      <c r="S149" t="str">
        <f t="shared" si="86"/>
        <v>24.59 (23.83 to 25.35)</v>
      </c>
    </row>
    <row r="150" spans="1:19" ht="17.25" thickBot="1" x14ac:dyDescent="0.35">
      <c r="A150" s="6"/>
      <c r="B150" s="13">
        <v>4</v>
      </c>
      <c r="C150" s="2">
        <v>8996</v>
      </c>
      <c r="D150" s="2">
        <v>4174135</v>
      </c>
      <c r="E150" s="2">
        <v>57072</v>
      </c>
      <c r="F150" s="2">
        <v>13.798</v>
      </c>
      <c r="G150" s="2">
        <v>0.1623</v>
      </c>
      <c r="H150" s="2">
        <v>13.479799999999999</v>
      </c>
      <c r="I150" s="2">
        <v>14.116199999999999</v>
      </c>
      <c r="J150" s="2">
        <v>54.636600000000001</v>
      </c>
      <c r="K150" s="2">
        <v>0.45660000000000001</v>
      </c>
      <c r="L150" s="2">
        <v>53.741399999999999</v>
      </c>
      <c r="M150" s="2">
        <v>55.531799999999997</v>
      </c>
      <c r="O150">
        <f t="shared" si="84"/>
        <v>54.636600000000001</v>
      </c>
      <c r="P150">
        <f t="shared" si="85"/>
        <v>53.741399999999999</v>
      </c>
      <c r="Q150">
        <f t="shared" si="85"/>
        <v>55.531799999999997</v>
      </c>
      <c r="S150" t="str">
        <f t="shared" si="86"/>
        <v>54.64 (53.74 to 55.53)</v>
      </c>
    </row>
    <row r="151" spans="1:19" ht="17.25" thickBot="1" x14ac:dyDescent="0.35">
      <c r="A151" s="6"/>
      <c r="B151" s="13" t="s">
        <v>132</v>
      </c>
      <c r="C151" s="2">
        <v>17159</v>
      </c>
      <c r="D151" s="2">
        <v>7639813</v>
      </c>
      <c r="E151" s="2">
        <v>82439</v>
      </c>
      <c r="F151" s="2">
        <v>25.254100000000001</v>
      </c>
      <c r="G151" s="2">
        <v>0.2109</v>
      </c>
      <c r="H151" s="2">
        <v>24.840499999999999</v>
      </c>
      <c r="I151" s="2">
        <v>25.6677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3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87">J152</f>
        <v>0</v>
      </c>
      <c r="P152">
        <f t="shared" ref="P152:Q155" si="88">L152</f>
        <v>0</v>
      </c>
      <c r="Q152">
        <f t="shared" si="88"/>
        <v>0</v>
      </c>
      <c r="S152" t="str">
        <f t="shared" ref="S152:S155" si="8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3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87"/>
        <v>0</v>
      </c>
      <c r="P153">
        <f t="shared" si="88"/>
        <v>0</v>
      </c>
      <c r="Q153">
        <f t="shared" si="88"/>
        <v>0</v>
      </c>
      <c r="S153" t="str">
        <f t="shared" si="89"/>
        <v>0.00 (0.00 to 0.00)</v>
      </c>
    </row>
    <row r="154" spans="1:19" ht="17.25" thickBot="1" x14ac:dyDescent="0.35">
      <c r="A154" s="6"/>
      <c r="B154" s="13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87"/>
        <v>0</v>
      </c>
      <c r="P154">
        <f t="shared" si="88"/>
        <v>0</v>
      </c>
      <c r="Q154">
        <f t="shared" si="88"/>
        <v>0</v>
      </c>
      <c r="S154" t="str">
        <f t="shared" si="89"/>
        <v>0.00 (0.00 to 0.00)</v>
      </c>
    </row>
    <row r="155" spans="1:19" ht="17.25" thickBot="1" x14ac:dyDescent="0.35">
      <c r="A155" s="6"/>
      <c r="B155" s="13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87"/>
        <v>0</v>
      </c>
      <c r="P155">
        <f t="shared" si="88"/>
        <v>0</v>
      </c>
      <c r="Q155">
        <f t="shared" si="88"/>
        <v>0</v>
      </c>
      <c r="S155" t="str">
        <f t="shared" si="89"/>
        <v>0.00 (0.00 to 0.00)</v>
      </c>
    </row>
    <row r="156" spans="1:19" x14ac:dyDescent="0.3">
      <c r="A156" s="6"/>
      <c r="B156" s="16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17" t="s">
        <v>189</v>
      </c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</row>
    <row r="159" spans="1:19" ht="33" customHeight="1" x14ac:dyDescent="0.3">
      <c r="A159" s="18" t="s">
        <v>58</v>
      </c>
      <c r="B159" s="20" t="s">
        <v>10</v>
      </c>
      <c r="C159" s="20" t="s">
        <v>125</v>
      </c>
      <c r="D159" s="3" t="s">
        <v>126</v>
      </c>
      <c r="E159" s="3" t="s">
        <v>127</v>
      </c>
      <c r="F159" s="20" t="s">
        <v>129</v>
      </c>
      <c r="G159" s="3" t="s">
        <v>127</v>
      </c>
      <c r="H159" s="20" t="s">
        <v>130</v>
      </c>
      <c r="I159" s="20"/>
      <c r="J159" s="3" t="s">
        <v>149</v>
      </c>
      <c r="K159" s="3" t="s">
        <v>127</v>
      </c>
      <c r="L159" s="20" t="s">
        <v>130</v>
      </c>
      <c r="M159" s="20"/>
    </row>
    <row r="160" spans="1:19" ht="33" x14ac:dyDescent="0.3">
      <c r="A160" s="18"/>
      <c r="B160" s="20"/>
      <c r="C160" s="20"/>
      <c r="D160" s="3" t="s">
        <v>125</v>
      </c>
      <c r="E160" s="3" t="s">
        <v>128</v>
      </c>
      <c r="F160" s="20"/>
      <c r="G160" s="3" t="s">
        <v>129</v>
      </c>
      <c r="H160" s="20" t="s">
        <v>131</v>
      </c>
      <c r="I160" s="20"/>
      <c r="J160" s="3" t="s">
        <v>129</v>
      </c>
      <c r="K160" s="3" t="s">
        <v>150</v>
      </c>
      <c r="L160" s="20" t="s">
        <v>151</v>
      </c>
      <c r="M160" s="20"/>
    </row>
    <row r="161" spans="1:19" ht="17.25" thickBot="1" x14ac:dyDescent="0.35">
      <c r="A161" s="6">
        <v>1</v>
      </c>
      <c r="B161" s="13">
        <v>1</v>
      </c>
      <c r="C161" s="2">
        <v>12809</v>
      </c>
      <c r="D161" s="2">
        <v>5118253</v>
      </c>
      <c r="E161" s="2">
        <v>63227</v>
      </c>
      <c r="F161" s="2">
        <v>16.918900000000001</v>
      </c>
      <c r="G161" s="2">
        <v>0.1711</v>
      </c>
      <c r="H161" s="2">
        <v>16.583400000000001</v>
      </c>
      <c r="I161" s="2">
        <v>17.254300000000001</v>
      </c>
      <c r="J161" s="2">
        <v>66.509</v>
      </c>
      <c r="K161" s="2">
        <v>0.5111</v>
      </c>
      <c r="L161" s="2">
        <v>65.506900000000002</v>
      </c>
      <c r="M161" s="2">
        <v>67.511099999999999</v>
      </c>
      <c r="O161">
        <f t="shared" ref="O161:O162" si="90">J161</f>
        <v>66.509</v>
      </c>
      <c r="P161">
        <f t="shared" ref="P161:Q162" si="91">L161</f>
        <v>65.506900000000002</v>
      </c>
      <c r="Q161">
        <f t="shared" si="91"/>
        <v>67.511099999999999</v>
      </c>
      <c r="S161" t="str">
        <f t="shared" ref="S161:S162" si="92">TEXT(O161,"0.00")&amp;" ("&amp;TEXT(P161,"0.00")&amp;" to "&amp;TEXT(Q161,"0.00")&amp;")"</f>
        <v>66.51 (65.51 to 67.51)</v>
      </c>
    </row>
    <row r="162" spans="1:19" ht="17.25" thickBot="1" x14ac:dyDescent="0.35">
      <c r="A162" s="6"/>
      <c r="B162" s="13">
        <v>2</v>
      </c>
      <c r="C162" s="2">
        <v>4348</v>
      </c>
      <c r="D162" s="2">
        <v>2577326</v>
      </c>
      <c r="E162" s="2">
        <v>53913</v>
      </c>
      <c r="F162" s="2">
        <v>8.5196000000000005</v>
      </c>
      <c r="G162" s="2">
        <v>0.1598</v>
      </c>
      <c r="H162" s="2">
        <v>8.2063000000000006</v>
      </c>
      <c r="I162" s="2">
        <v>8.8329000000000004</v>
      </c>
      <c r="J162" s="2">
        <v>33.491</v>
      </c>
      <c r="K162" s="2">
        <v>0.5111</v>
      </c>
      <c r="L162" s="2">
        <v>32.488900000000001</v>
      </c>
      <c r="M162" s="2">
        <v>34.493099999999998</v>
      </c>
      <c r="O162">
        <f t="shared" si="90"/>
        <v>33.491</v>
      </c>
      <c r="P162">
        <f t="shared" si="91"/>
        <v>32.488900000000001</v>
      </c>
      <c r="Q162">
        <f t="shared" si="91"/>
        <v>34.493099999999998</v>
      </c>
      <c r="S162" t="str">
        <f t="shared" si="92"/>
        <v>33.49 (32.49 to 34.49)</v>
      </c>
    </row>
    <row r="163" spans="1:19" ht="17.25" thickBot="1" x14ac:dyDescent="0.35">
      <c r="A163" s="6"/>
      <c r="B163" s="13" t="s">
        <v>132</v>
      </c>
      <c r="C163" s="2">
        <v>17157</v>
      </c>
      <c r="D163" s="2">
        <v>7695579</v>
      </c>
      <c r="E163" s="2">
        <v>88007</v>
      </c>
      <c r="F163" s="2">
        <v>25.438500000000001</v>
      </c>
      <c r="G163" s="2">
        <v>0.21060000000000001</v>
      </c>
      <c r="H163" s="2">
        <v>25.025600000000001</v>
      </c>
      <c r="I163" s="2">
        <v>25.851299999999998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3">
        <v>1</v>
      </c>
      <c r="C164" s="2">
        <v>13996</v>
      </c>
      <c r="D164" s="2">
        <v>5528940</v>
      </c>
      <c r="E164" s="2">
        <v>66704</v>
      </c>
      <c r="F164" s="2">
        <v>18.276399999999999</v>
      </c>
      <c r="G164" s="2">
        <v>0.1762</v>
      </c>
      <c r="H164" s="2">
        <v>17.930900000000001</v>
      </c>
      <c r="I164" s="2">
        <v>18.622</v>
      </c>
      <c r="J164" s="2">
        <v>73.440399999999997</v>
      </c>
      <c r="K164" s="2">
        <v>0.48270000000000002</v>
      </c>
      <c r="L164" s="2">
        <v>72.494</v>
      </c>
      <c r="M164" s="2">
        <v>74.386799999999994</v>
      </c>
      <c r="O164">
        <f t="shared" ref="O164:O165" si="93">J164</f>
        <v>73.440399999999997</v>
      </c>
      <c r="P164">
        <f t="shared" ref="P164:Q165" si="94">L164</f>
        <v>72.494</v>
      </c>
      <c r="Q164">
        <f t="shared" si="94"/>
        <v>74.386799999999994</v>
      </c>
      <c r="S164" t="str">
        <f t="shared" ref="S164:S165" si="95">TEXT(O164,"0.00")&amp;" ("&amp;TEXT(P164,"0.00")&amp;" to "&amp;TEXT(Q164,"0.00")&amp;")"</f>
        <v>73.44 (72.49 to 74.39)</v>
      </c>
    </row>
    <row r="165" spans="1:19" ht="17.25" thickBot="1" x14ac:dyDescent="0.35">
      <c r="A165" s="6"/>
      <c r="B165" s="13">
        <v>2</v>
      </c>
      <c r="C165" s="2">
        <v>3164</v>
      </c>
      <c r="D165" s="2">
        <v>1999533</v>
      </c>
      <c r="E165" s="2">
        <v>45754</v>
      </c>
      <c r="F165" s="2">
        <v>6.6096000000000004</v>
      </c>
      <c r="G165" s="2">
        <v>0.13789999999999999</v>
      </c>
      <c r="H165" s="2">
        <v>6.3392999999999997</v>
      </c>
      <c r="I165" s="2">
        <v>6.88</v>
      </c>
      <c r="J165" s="2">
        <v>26.5596</v>
      </c>
      <c r="K165" s="2">
        <v>0.48270000000000002</v>
      </c>
      <c r="L165" s="2">
        <v>25.613199999999999</v>
      </c>
      <c r="M165" s="2">
        <v>27.506</v>
      </c>
      <c r="O165">
        <f t="shared" si="93"/>
        <v>26.5596</v>
      </c>
      <c r="P165">
        <f t="shared" si="94"/>
        <v>25.613199999999999</v>
      </c>
      <c r="Q165">
        <f t="shared" si="94"/>
        <v>27.506</v>
      </c>
      <c r="S165" t="str">
        <f t="shared" si="95"/>
        <v>26.56 (25.61 to 27.51)</v>
      </c>
    </row>
    <row r="166" spans="1:19" ht="17.25" thickBot="1" x14ac:dyDescent="0.35">
      <c r="A166" s="6"/>
      <c r="B166" s="13" t="s">
        <v>132</v>
      </c>
      <c r="C166" s="2">
        <v>17160</v>
      </c>
      <c r="D166" s="2">
        <v>7528473</v>
      </c>
      <c r="E166" s="2">
        <v>84684</v>
      </c>
      <c r="F166" s="2">
        <v>24.886099999999999</v>
      </c>
      <c r="G166" s="2">
        <v>0.19980000000000001</v>
      </c>
      <c r="H166" s="2">
        <v>24.494299999999999</v>
      </c>
      <c r="I166" s="2">
        <v>25.277799999999999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3">
        <v>1</v>
      </c>
      <c r="C167" s="2">
        <v>14880</v>
      </c>
      <c r="D167" s="2">
        <v>5929868</v>
      </c>
      <c r="E167" s="2">
        <v>69700</v>
      </c>
      <c r="F167" s="2">
        <v>19.601700000000001</v>
      </c>
      <c r="G167" s="2">
        <v>0.18390000000000001</v>
      </c>
      <c r="H167" s="2">
        <v>19.241199999999999</v>
      </c>
      <c r="I167" s="2">
        <v>19.962299999999999</v>
      </c>
      <c r="J167" s="2">
        <v>80.264700000000005</v>
      </c>
      <c r="K167" s="2">
        <v>0.44390000000000002</v>
      </c>
      <c r="L167" s="2">
        <v>79.394199999999998</v>
      </c>
      <c r="M167" s="2">
        <v>81.135199999999998</v>
      </c>
      <c r="O167">
        <f t="shared" ref="O167:O168" si="96">J167</f>
        <v>80.264700000000005</v>
      </c>
      <c r="P167">
        <f t="shared" ref="P167:Q168" si="97">L167</f>
        <v>79.394199999999998</v>
      </c>
      <c r="Q167">
        <f t="shared" si="97"/>
        <v>81.135199999999998</v>
      </c>
      <c r="S167" t="str">
        <f t="shared" ref="S167:S168" si="98">TEXT(O167,"0.00")&amp;" ("&amp;TEXT(P167,"0.00")&amp;" to "&amp;TEXT(Q167,"0.00")&amp;")"</f>
        <v>80.26 (79.39 to 81.14)</v>
      </c>
    </row>
    <row r="168" spans="1:19" ht="17.25" thickBot="1" x14ac:dyDescent="0.35">
      <c r="A168" s="6"/>
      <c r="B168" s="13">
        <v>2</v>
      </c>
      <c r="C168" s="2">
        <v>2278</v>
      </c>
      <c r="D168" s="2">
        <v>1458024</v>
      </c>
      <c r="E168" s="2">
        <v>38223</v>
      </c>
      <c r="F168" s="2">
        <v>4.8196000000000003</v>
      </c>
      <c r="G168" s="2">
        <v>0.1179</v>
      </c>
      <c r="H168" s="2">
        <v>4.5884</v>
      </c>
      <c r="I168" s="2">
        <v>5.0509000000000004</v>
      </c>
      <c r="J168" s="2">
        <v>19.735299999999999</v>
      </c>
      <c r="K168" s="2">
        <v>0.44390000000000002</v>
      </c>
      <c r="L168" s="2">
        <v>18.864799999999999</v>
      </c>
      <c r="M168" s="2">
        <v>20.605799999999999</v>
      </c>
      <c r="O168">
        <f t="shared" si="96"/>
        <v>19.735299999999999</v>
      </c>
      <c r="P168">
        <f t="shared" si="97"/>
        <v>18.864799999999999</v>
      </c>
      <c r="Q168">
        <f t="shared" si="97"/>
        <v>20.605799999999999</v>
      </c>
      <c r="S168" t="str">
        <f t="shared" si="98"/>
        <v>19.74 (18.86 to 20.61)</v>
      </c>
    </row>
    <row r="169" spans="1:19" ht="17.25" thickBot="1" x14ac:dyDescent="0.35">
      <c r="A169" s="6"/>
      <c r="B169" s="13" t="s">
        <v>132</v>
      </c>
      <c r="C169" s="2">
        <v>17158</v>
      </c>
      <c r="D169" s="2">
        <v>7387892</v>
      </c>
      <c r="E169" s="2">
        <v>81641</v>
      </c>
      <c r="F169" s="2">
        <v>24.421399999999998</v>
      </c>
      <c r="G169" s="2">
        <v>0.19589999999999999</v>
      </c>
      <c r="H169" s="2">
        <v>24.037199999999999</v>
      </c>
      <c r="I169" s="2">
        <v>24.805499999999999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3">
        <v>1</v>
      </c>
      <c r="C170" s="2">
        <v>15128</v>
      </c>
      <c r="D170" s="2">
        <v>6321526</v>
      </c>
      <c r="E170" s="2">
        <v>72820</v>
      </c>
      <c r="F170" s="2">
        <v>20.8964</v>
      </c>
      <c r="G170" s="2">
        <v>0.19409999999999999</v>
      </c>
      <c r="H170" s="2">
        <v>20.515799999999999</v>
      </c>
      <c r="I170" s="2">
        <v>21.277000000000001</v>
      </c>
      <c r="J170" s="2">
        <v>82.744500000000002</v>
      </c>
      <c r="K170" s="2">
        <v>0.40849999999999997</v>
      </c>
      <c r="L170" s="2">
        <v>81.943600000000004</v>
      </c>
      <c r="M170" s="2">
        <v>83.545400000000001</v>
      </c>
      <c r="O170">
        <f t="shared" ref="O170:O171" si="99">J170</f>
        <v>82.744500000000002</v>
      </c>
      <c r="P170">
        <f t="shared" ref="P170:Q171" si="100">L170</f>
        <v>81.943600000000004</v>
      </c>
      <c r="Q170">
        <f t="shared" si="100"/>
        <v>83.545400000000001</v>
      </c>
      <c r="S170" t="str">
        <f t="shared" ref="S170:S171" si="101">TEXT(O170,"0.00")&amp;" ("&amp;TEXT(P170,"0.00")&amp;" to "&amp;TEXT(Q170,"0.00")&amp;")"</f>
        <v>82.74 (81.94 to 83.55)</v>
      </c>
    </row>
    <row r="171" spans="1:19" ht="17.25" thickBot="1" x14ac:dyDescent="0.35">
      <c r="A171" s="6"/>
      <c r="B171" s="13">
        <v>2</v>
      </c>
      <c r="C171" s="2">
        <v>2031</v>
      </c>
      <c r="D171" s="2">
        <v>1318287</v>
      </c>
      <c r="E171" s="2">
        <v>35267</v>
      </c>
      <c r="F171" s="2">
        <v>4.3577000000000004</v>
      </c>
      <c r="G171" s="2">
        <v>0.11260000000000001</v>
      </c>
      <c r="H171" s="2">
        <v>4.1368999999999998</v>
      </c>
      <c r="I171" s="2">
        <v>4.5785</v>
      </c>
      <c r="J171" s="2">
        <v>17.255500000000001</v>
      </c>
      <c r="K171" s="2">
        <v>0.40849999999999997</v>
      </c>
      <c r="L171" s="2">
        <v>16.454599999999999</v>
      </c>
      <c r="M171" s="2">
        <v>18.0564</v>
      </c>
      <c r="O171">
        <f t="shared" si="99"/>
        <v>17.255500000000001</v>
      </c>
      <c r="P171">
        <f t="shared" si="100"/>
        <v>16.454599999999999</v>
      </c>
      <c r="Q171">
        <f t="shared" si="100"/>
        <v>18.0564</v>
      </c>
      <c r="S171" t="str">
        <f t="shared" si="101"/>
        <v>17.26 (16.45 to 18.06)</v>
      </c>
    </row>
    <row r="172" spans="1:19" ht="17.25" thickBot="1" x14ac:dyDescent="0.35">
      <c r="A172" s="6"/>
      <c r="B172" s="13" t="s">
        <v>132</v>
      </c>
      <c r="C172" s="2">
        <v>17159</v>
      </c>
      <c r="D172" s="2">
        <v>7639813</v>
      </c>
      <c r="E172" s="2">
        <v>82439</v>
      </c>
      <c r="F172" s="2">
        <v>25.254100000000001</v>
      </c>
      <c r="G172" s="2">
        <v>0.2109</v>
      </c>
      <c r="H172" s="2">
        <v>24.840499999999999</v>
      </c>
      <c r="I172" s="2">
        <v>25.6677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3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02">J173</f>
        <v>0</v>
      </c>
      <c r="P173">
        <f t="shared" ref="P173:Q174" si="103">L173</f>
        <v>0</v>
      </c>
      <c r="Q173">
        <f t="shared" si="103"/>
        <v>0</v>
      </c>
      <c r="S173" t="str">
        <f t="shared" ref="S173:S174" si="104">TEXT(O173,"0.00")&amp;" ("&amp;TEXT(P173,"0.00")&amp;" to "&amp;TEXT(Q173,"0.00")&amp;")"</f>
        <v>0.00 (0.00 to 0.00)</v>
      </c>
    </row>
    <row r="174" spans="1:19" ht="17.25" thickBot="1" x14ac:dyDescent="0.35">
      <c r="A174" s="6"/>
      <c r="B174" s="13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02"/>
        <v>0</v>
      </c>
      <c r="P174">
        <f t="shared" si="103"/>
        <v>0</v>
      </c>
      <c r="Q174">
        <f t="shared" si="103"/>
        <v>0</v>
      </c>
      <c r="S174" t="str">
        <f t="shared" si="104"/>
        <v>0.00 (0.00 to 0.00)</v>
      </c>
    </row>
    <row r="175" spans="1:19" x14ac:dyDescent="0.3">
      <c r="A175" s="6"/>
      <c r="B175" s="16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17" t="s">
        <v>190</v>
      </c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</row>
    <row r="178" spans="1:19" ht="33" customHeight="1" x14ac:dyDescent="0.3">
      <c r="A178" s="18" t="s">
        <v>58</v>
      </c>
      <c r="B178" s="20" t="s">
        <v>11</v>
      </c>
      <c r="C178" s="20" t="s">
        <v>125</v>
      </c>
      <c r="D178" s="3" t="s">
        <v>126</v>
      </c>
      <c r="E178" s="3" t="s">
        <v>127</v>
      </c>
      <c r="F178" s="20" t="s">
        <v>129</v>
      </c>
      <c r="G178" s="3" t="s">
        <v>127</v>
      </c>
      <c r="H178" s="20" t="s">
        <v>130</v>
      </c>
      <c r="I178" s="20"/>
      <c r="J178" s="3" t="s">
        <v>149</v>
      </c>
      <c r="K178" s="3" t="s">
        <v>127</v>
      </c>
      <c r="L178" s="20" t="s">
        <v>130</v>
      </c>
      <c r="M178" s="20"/>
    </row>
    <row r="179" spans="1:19" ht="33" x14ac:dyDescent="0.3">
      <c r="A179" s="18"/>
      <c r="B179" s="20"/>
      <c r="C179" s="20"/>
      <c r="D179" s="3" t="s">
        <v>125</v>
      </c>
      <c r="E179" s="3" t="s">
        <v>128</v>
      </c>
      <c r="F179" s="20"/>
      <c r="G179" s="3" t="s">
        <v>129</v>
      </c>
      <c r="H179" s="20" t="s">
        <v>131</v>
      </c>
      <c r="I179" s="20"/>
      <c r="J179" s="3" t="s">
        <v>129</v>
      </c>
      <c r="K179" s="3" t="s">
        <v>150</v>
      </c>
      <c r="L179" s="20" t="s">
        <v>151</v>
      </c>
      <c r="M179" s="20"/>
    </row>
    <row r="180" spans="1:19" ht="17.25" thickBot="1" x14ac:dyDescent="0.35">
      <c r="A180" s="6">
        <v>1</v>
      </c>
      <c r="B180" s="13">
        <v>1</v>
      </c>
      <c r="C180" s="2">
        <v>6568</v>
      </c>
      <c r="D180" s="2">
        <v>3055846</v>
      </c>
      <c r="E180" s="2">
        <v>51826</v>
      </c>
      <c r="F180" s="2">
        <v>10.1014</v>
      </c>
      <c r="G180" s="2">
        <v>0.14879999999999999</v>
      </c>
      <c r="H180" s="2">
        <v>9.8095999999999997</v>
      </c>
      <c r="I180" s="2">
        <v>10.3932</v>
      </c>
      <c r="J180" s="2">
        <v>39.709099999999999</v>
      </c>
      <c r="K180" s="2">
        <v>0.45419999999999999</v>
      </c>
      <c r="L180" s="2">
        <v>38.818399999999997</v>
      </c>
      <c r="M180" s="2">
        <v>40.599800000000002</v>
      </c>
      <c r="O180">
        <f t="shared" ref="O180:O182" si="105">J180</f>
        <v>39.709099999999999</v>
      </c>
      <c r="P180">
        <f t="shared" ref="P180:Q182" si="106">L180</f>
        <v>38.818399999999997</v>
      </c>
      <c r="Q180">
        <f t="shared" si="106"/>
        <v>40.599800000000002</v>
      </c>
      <c r="S180" t="str">
        <f t="shared" ref="S180:S182" si="107">TEXT(O180,"0.00")&amp;" ("&amp;TEXT(P180,"0.00")&amp;" to "&amp;TEXT(Q180,"0.00")&amp;")"</f>
        <v>39.71 (38.82 to 40.60)</v>
      </c>
    </row>
    <row r="181" spans="1:19" ht="17.25" thickBot="1" x14ac:dyDescent="0.35">
      <c r="A181" s="6"/>
      <c r="B181" s="13">
        <v>2</v>
      </c>
      <c r="C181" s="2">
        <v>8085</v>
      </c>
      <c r="D181" s="2">
        <v>3621401</v>
      </c>
      <c r="E181" s="2">
        <v>54340</v>
      </c>
      <c r="F181" s="2">
        <v>11.9709</v>
      </c>
      <c r="G181" s="2">
        <v>0.15260000000000001</v>
      </c>
      <c r="H181" s="2">
        <v>11.6717</v>
      </c>
      <c r="I181" s="2">
        <v>12.27</v>
      </c>
      <c r="J181" s="2">
        <v>47.058199999999999</v>
      </c>
      <c r="K181" s="2">
        <v>0.47649999999999998</v>
      </c>
      <c r="L181" s="2">
        <v>46.123899999999999</v>
      </c>
      <c r="M181" s="2">
        <v>47.9925</v>
      </c>
      <c r="O181">
        <f t="shared" si="105"/>
        <v>47.058199999999999</v>
      </c>
      <c r="P181">
        <f t="shared" si="106"/>
        <v>46.123899999999999</v>
      </c>
      <c r="Q181">
        <f t="shared" si="106"/>
        <v>47.9925</v>
      </c>
      <c r="S181" t="str">
        <f t="shared" si="107"/>
        <v>47.06 (46.12 to 47.99)</v>
      </c>
    </row>
    <row r="182" spans="1:19" ht="17.25" thickBot="1" x14ac:dyDescent="0.35">
      <c r="A182" s="6"/>
      <c r="B182" s="13">
        <v>3</v>
      </c>
      <c r="C182" s="2">
        <v>2504</v>
      </c>
      <c r="D182" s="2">
        <v>1018332</v>
      </c>
      <c r="E182" s="2">
        <v>25433</v>
      </c>
      <c r="F182" s="2">
        <v>3.3662000000000001</v>
      </c>
      <c r="G182" s="2">
        <v>8.1600000000000006E-2</v>
      </c>
      <c r="H182" s="2">
        <v>3.2061000000000002</v>
      </c>
      <c r="I182" s="2">
        <v>3.5263</v>
      </c>
      <c r="J182" s="2">
        <v>13.232699999999999</v>
      </c>
      <c r="K182" s="2">
        <v>0.30809999999999998</v>
      </c>
      <c r="L182" s="2">
        <v>12.6286</v>
      </c>
      <c r="M182" s="2">
        <v>13.8368</v>
      </c>
      <c r="O182">
        <f t="shared" si="105"/>
        <v>13.232699999999999</v>
      </c>
      <c r="P182">
        <f t="shared" si="106"/>
        <v>12.6286</v>
      </c>
      <c r="Q182">
        <f t="shared" si="106"/>
        <v>13.8368</v>
      </c>
      <c r="S182" t="str">
        <f t="shared" si="107"/>
        <v>13.23 (12.63 to 13.84)</v>
      </c>
    </row>
    <row r="183" spans="1:19" ht="17.25" thickBot="1" x14ac:dyDescent="0.35">
      <c r="A183" s="6"/>
      <c r="B183" s="13" t="s">
        <v>132</v>
      </c>
      <c r="C183" s="2">
        <v>17157</v>
      </c>
      <c r="D183" s="2">
        <v>7695579</v>
      </c>
      <c r="E183" s="2">
        <v>88007</v>
      </c>
      <c r="F183" s="2">
        <v>25.438500000000001</v>
      </c>
      <c r="G183" s="2">
        <v>0.21060000000000001</v>
      </c>
      <c r="H183" s="2">
        <v>25.025600000000001</v>
      </c>
      <c r="I183" s="2">
        <v>25.851299999999998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3">
        <v>1</v>
      </c>
      <c r="C184" s="2">
        <v>5823</v>
      </c>
      <c r="D184" s="2">
        <v>2683956</v>
      </c>
      <c r="E184" s="2">
        <v>47308</v>
      </c>
      <c r="F184" s="2">
        <v>8.8720999999999997</v>
      </c>
      <c r="G184" s="2">
        <v>0.1366</v>
      </c>
      <c r="H184" s="2">
        <v>8.6042000000000005</v>
      </c>
      <c r="I184" s="2">
        <v>9.1399000000000008</v>
      </c>
      <c r="J184" s="2">
        <v>35.650700000000001</v>
      </c>
      <c r="K184" s="2">
        <v>0.4521</v>
      </c>
      <c r="L184" s="2">
        <v>34.764200000000002</v>
      </c>
      <c r="M184" s="2">
        <v>36.537199999999999</v>
      </c>
      <c r="O184">
        <f t="shared" ref="O184:O186" si="108">J184</f>
        <v>35.650700000000001</v>
      </c>
      <c r="P184">
        <f t="shared" ref="P184:Q186" si="109">L184</f>
        <v>34.764200000000002</v>
      </c>
      <c r="Q184">
        <f t="shared" si="109"/>
        <v>36.537199999999999</v>
      </c>
      <c r="S184" t="str">
        <f t="shared" ref="S184:S186" si="110">TEXT(O184,"0.00")&amp;" ("&amp;TEXT(P184,"0.00")&amp;" to "&amp;TEXT(Q184,"0.00")&amp;")"</f>
        <v>35.65 (34.76 to 36.54)</v>
      </c>
    </row>
    <row r="185" spans="1:19" ht="17.25" thickBot="1" x14ac:dyDescent="0.35">
      <c r="A185" s="6"/>
      <c r="B185" s="13">
        <v>2</v>
      </c>
      <c r="C185" s="2">
        <v>8359</v>
      </c>
      <c r="D185" s="2">
        <v>3681784</v>
      </c>
      <c r="E185" s="2">
        <v>54125</v>
      </c>
      <c r="F185" s="2">
        <v>12.170500000000001</v>
      </c>
      <c r="G185" s="2">
        <v>0.14979999999999999</v>
      </c>
      <c r="H185" s="2">
        <v>11.876799999999999</v>
      </c>
      <c r="I185" s="2">
        <v>12.4641</v>
      </c>
      <c r="J185" s="2">
        <v>48.904800000000002</v>
      </c>
      <c r="K185" s="2">
        <v>0.46010000000000001</v>
      </c>
      <c r="L185" s="2">
        <v>48.002699999999997</v>
      </c>
      <c r="M185" s="2">
        <v>49.806899999999999</v>
      </c>
      <c r="O185">
        <f t="shared" si="108"/>
        <v>48.904800000000002</v>
      </c>
      <c r="P185">
        <f t="shared" si="109"/>
        <v>48.002699999999997</v>
      </c>
      <c r="Q185">
        <f t="shared" si="109"/>
        <v>49.806899999999999</v>
      </c>
      <c r="S185" t="str">
        <f t="shared" si="110"/>
        <v>48.90 (48.00 to 49.81)</v>
      </c>
    </row>
    <row r="186" spans="1:19" ht="17.25" thickBot="1" x14ac:dyDescent="0.35">
      <c r="A186" s="6"/>
      <c r="B186" s="13">
        <v>3</v>
      </c>
      <c r="C186" s="2">
        <v>2978</v>
      </c>
      <c r="D186" s="2">
        <v>1162734</v>
      </c>
      <c r="E186" s="2">
        <v>26883</v>
      </c>
      <c r="F186" s="2">
        <v>3.8435000000000001</v>
      </c>
      <c r="G186" s="2">
        <v>8.6599999999999996E-2</v>
      </c>
      <c r="H186" s="2">
        <v>3.6737000000000002</v>
      </c>
      <c r="I186" s="2">
        <v>4.0133000000000001</v>
      </c>
      <c r="J186" s="2">
        <v>15.4445</v>
      </c>
      <c r="K186" s="2">
        <v>0.3332</v>
      </c>
      <c r="L186" s="2">
        <v>14.7912</v>
      </c>
      <c r="M186" s="2">
        <v>16.097799999999999</v>
      </c>
      <c r="O186">
        <f t="shared" si="108"/>
        <v>15.4445</v>
      </c>
      <c r="P186">
        <f t="shared" si="109"/>
        <v>14.7912</v>
      </c>
      <c r="Q186">
        <f t="shared" si="109"/>
        <v>16.097799999999999</v>
      </c>
      <c r="S186" t="str">
        <f t="shared" si="110"/>
        <v>15.44 (14.79 to 16.10)</v>
      </c>
    </row>
    <row r="187" spans="1:19" ht="17.25" thickBot="1" x14ac:dyDescent="0.35">
      <c r="A187" s="6"/>
      <c r="B187" s="13" t="s">
        <v>132</v>
      </c>
      <c r="C187" s="2">
        <v>17160</v>
      </c>
      <c r="D187" s="2">
        <v>7528473</v>
      </c>
      <c r="E187" s="2">
        <v>84684</v>
      </c>
      <c r="F187" s="2">
        <v>24.886099999999999</v>
      </c>
      <c r="G187" s="2">
        <v>0.19980000000000001</v>
      </c>
      <c r="H187" s="2">
        <v>24.494299999999999</v>
      </c>
      <c r="I187" s="2">
        <v>25.277799999999999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3">
        <v>1</v>
      </c>
      <c r="C188" s="2">
        <v>5415</v>
      </c>
      <c r="D188" s="2">
        <v>2415340</v>
      </c>
      <c r="E188" s="2">
        <v>42967</v>
      </c>
      <c r="F188" s="2">
        <v>7.9840999999999998</v>
      </c>
      <c r="G188" s="2">
        <v>0.1263</v>
      </c>
      <c r="H188" s="2">
        <v>7.7363999999999997</v>
      </c>
      <c r="I188" s="2">
        <v>8.2318999999999996</v>
      </c>
      <c r="J188" s="2">
        <v>32.693199999999997</v>
      </c>
      <c r="K188" s="2">
        <v>0.44950000000000001</v>
      </c>
      <c r="L188" s="2">
        <v>31.811800000000002</v>
      </c>
      <c r="M188" s="2">
        <v>33.574599999999997</v>
      </c>
      <c r="O188">
        <f t="shared" ref="O188:O190" si="111">J188</f>
        <v>32.693199999999997</v>
      </c>
      <c r="P188">
        <f t="shared" ref="P188:Q190" si="112">L188</f>
        <v>31.811800000000002</v>
      </c>
      <c r="Q188">
        <f t="shared" si="112"/>
        <v>33.574599999999997</v>
      </c>
      <c r="S188" t="str">
        <f t="shared" ref="S188:S190" si="113">TEXT(O188,"0.00")&amp;" ("&amp;TEXT(P188,"0.00")&amp;" to "&amp;TEXT(Q188,"0.00")&amp;")"</f>
        <v>32.69 (31.81 to 33.57)</v>
      </c>
    </row>
    <row r="189" spans="1:19" ht="17.25" thickBot="1" x14ac:dyDescent="0.35">
      <c r="A189" s="6"/>
      <c r="B189" s="13">
        <v>2</v>
      </c>
      <c r="C189" s="2">
        <v>8328</v>
      </c>
      <c r="D189" s="2">
        <v>3685021</v>
      </c>
      <c r="E189" s="2">
        <v>53738</v>
      </c>
      <c r="F189" s="2">
        <v>12.1812</v>
      </c>
      <c r="G189" s="2">
        <v>0.15179999999999999</v>
      </c>
      <c r="H189" s="2">
        <v>11.883599999999999</v>
      </c>
      <c r="I189" s="2">
        <v>12.4788</v>
      </c>
      <c r="J189" s="2">
        <v>49.879199999999997</v>
      </c>
      <c r="K189" s="2">
        <v>0.46939999999999998</v>
      </c>
      <c r="L189" s="2">
        <v>48.958799999999997</v>
      </c>
      <c r="M189" s="2">
        <v>50.799599999999998</v>
      </c>
      <c r="O189">
        <f t="shared" si="111"/>
        <v>49.879199999999997</v>
      </c>
      <c r="P189">
        <f t="shared" si="112"/>
        <v>48.958799999999997</v>
      </c>
      <c r="Q189">
        <f t="shared" si="112"/>
        <v>50.799599999999998</v>
      </c>
      <c r="S189" t="str">
        <f t="shared" si="113"/>
        <v>49.88 (48.96 to 50.80)</v>
      </c>
    </row>
    <row r="190" spans="1:19" ht="17.25" thickBot="1" x14ac:dyDescent="0.35">
      <c r="A190" s="6"/>
      <c r="B190" s="13">
        <v>3</v>
      </c>
      <c r="C190" s="2">
        <v>3415</v>
      </c>
      <c r="D190" s="2">
        <v>1287531</v>
      </c>
      <c r="E190" s="2">
        <v>28929</v>
      </c>
      <c r="F190" s="2">
        <v>4.2561</v>
      </c>
      <c r="G190" s="2">
        <v>9.1399999999999995E-2</v>
      </c>
      <c r="H190" s="2">
        <v>4.0768000000000004</v>
      </c>
      <c r="I190" s="2">
        <v>4.4353999999999996</v>
      </c>
      <c r="J190" s="2">
        <v>17.427600000000002</v>
      </c>
      <c r="K190" s="2">
        <v>0.3478</v>
      </c>
      <c r="L190" s="2">
        <v>16.7456</v>
      </c>
      <c r="M190" s="2">
        <v>18.1096</v>
      </c>
      <c r="O190">
        <f t="shared" si="111"/>
        <v>17.427600000000002</v>
      </c>
      <c r="P190">
        <f t="shared" si="112"/>
        <v>16.7456</v>
      </c>
      <c r="Q190">
        <f t="shared" si="112"/>
        <v>18.1096</v>
      </c>
      <c r="S190" t="str">
        <f t="shared" si="113"/>
        <v>17.43 (16.75 to 18.11)</v>
      </c>
    </row>
    <row r="191" spans="1:19" ht="17.25" thickBot="1" x14ac:dyDescent="0.35">
      <c r="A191" s="6"/>
      <c r="B191" s="13" t="s">
        <v>132</v>
      </c>
      <c r="C191" s="2">
        <v>17158</v>
      </c>
      <c r="D191" s="2">
        <v>7387892</v>
      </c>
      <c r="E191" s="2">
        <v>81641</v>
      </c>
      <c r="F191" s="2">
        <v>24.421399999999998</v>
      </c>
      <c r="G191" s="2">
        <v>0.19589999999999999</v>
      </c>
      <c r="H191" s="2">
        <v>24.037199999999999</v>
      </c>
      <c r="I191" s="2">
        <v>24.805499999999999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3">
        <v>1</v>
      </c>
      <c r="C192" s="2">
        <v>5070</v>
      </c>
      <c r="D192" s="2">
        <v>2267881</v>
      </c>
      <c r="E192" s="2">
        <v>41719</v>
      </c>
      <c r="F192" s="2">
        <v>7.4966999999999997</v>
      </c>
      <c r="G192" s="2">
        <v>0.1268</v>
      </c>
      <c r="H192" s="2">
        <v>7.2480000000000002</v>
      </c>
      <c r="I192" s="2">
        <v>7.7453000000000003</v>
      </c>
      <c r="J192" s="2">
        <v>29.684999999999999</v>
      </c>
      <c r="K192" s="2">
        <v>0.4335</v>
      </c>
      <c r="L192" s="2">
        <v>28.835000000000001</v>
      </c>
      <c r="M192" s="2">
        <v>30.5351</v>
      </c>
      <c r="O192">
        <f t="shared" ref="O192:O194" si="114">J192</f>
        <v>29.684999999999999</v>
      </c>
      <c r="P192">
        <f t="shared" ref="P192:Q194" si="115">L192</f>
        <v>28.835000000000001</v>
      </c>
      <c r="Q192">
        <f t="shared" si="115"/>
        <v>30.5351</v>
      </c>
      <c r="S192" t="str">
        <f t="shared" ref="S192:S194" si="116">TEXT(O192,"0.00")&amp;" ("&amp;TEXT(P192,"0.00")&amp;" to "&amp;TEXT(Q192,"0.00")&amp;")"</f>
        <v>29.69 (28.84 to 30.54)</v>
      </c>
    </row>
    <row r="193" spans="1:19" ht="17.25" thickBot="1" x14ac:dyDescent="0.35">
      <c r="A193" s="6"/>
      <c r="B193" s="13">
        <v>2</v>
      </c>
      <c r="C193" s="2">
        <v>8438</v>
      </c>
      <c r="D193" s="2">
        <v>3899370</v>
      </c>
      <c r="E193" s="2">
        <v>55845</v>
      </c>
      <c r="F193" s="2">
        <v>12.889699999999999</v>
      </c>
      <c r="G193" s="2">
        <v>0.1583</v>
      </c>
      <c r="H193" s="2">
        <v>12.5793</v>
      </c>
      <c r="I193" s="2">
        <v>13.200200000000001</v>
      </c>
      <c r="J193" s="2">
        <v>51.040100000000002</v>
      </c>
      <c r="K193" s="2">
        <v>0.46479999999999999</v>
      </c>
      <c r="L193" s="2">
        <v>50.128799999999998</v>
      </c>
      <c r="M193" s="2">
        <v>51.9514</v>
      </c>
      <c r="O193">
        <f t="shared" si="114"/>
        <v>51.040100000000002</v>
      </c>
      <c r="P193">
        <f t="shared" si="115"/>
        <v>50.128799999999998</v>
      </c>
      <c r="Q193">
        <f t="shared" si="115"/>
        <v>51.9514</v>
      </c>
      <c r="S193" t="str">
        <f t="shared" si="116"/>
        <v>51.04 (50.13 to 51.95)</v>
      </c>
    </row>
    <row r="194" spans="1:19" ht="17.25" thickBot="1" x14ac:dyDescent="0.35">
      <c r="A194" s="6"/>
      <c r="B194" s="13">
        <v>3</v>
      </c>
      <c r="C194" s="2">
        <v>3651</v>
      </c>
      <c r="D194" s="2">
        <v>1472561</v>
      </c>
      <c r="E194" s="2">
        <v>29961</v>
      </c>
      <c r="F194" s="2">
        <v>4.8677000000000001</v>
      </c>
      <c r="G194" s="2">
        <v>9.69E-2</v>
      </c>
      <c r="H194" s="2">
        <v>4.6778000000000004</v>
      </c>
      <c r="I194" s="2">
        <v>5.0575999999999999</v>
      </c>
      <c r="J194" s="2">
        <v>19.274799999999999</v>
      </c>
      <c r="K194" s="2">
        <v>0.34810000000000002</v>
      </c>
      <c r="L194" s="2">
        <v>18.592300000000002</v>
      </c>
      <c r="M194" s="2">
        <v>19.9574</v>
      </c>
      <c r="O194">
        <f t="shared" si="114"/>
        <v>19.274799999999999</v>
      </c>
      <c r="P194">
        <f t="shared" si="115"/>
        <v>18.592300000000002</v>
      </c>
      <c r="Q194">
        <f t="shared" si="115"/>
        <v>19.9574</v>
      </c>
      <c r="S194" t="str">
        <f t="shared" si="116"/>
        <v>19.27 (18.59 to 19.96)</v>
      </c>
    </row>
    <row r="195" spans="1:19" ht="17.25" thickBot="1" x14ac:dyDescent="0.35">
      <c r="A195" s="6"/>
      <c r="B195" s="13" t="s">
        <v>132</v>
      </c>
      <c r="C195" s="2">
        <v>17159</v>
      </c>
      <c r="D195" s="2">
        <v>7639813</v>
      </c>
      <c r="E195" s="2">
        <v>82439</v>
      </c>
      <c r="F195" s="2">
        <v>25.254100000000001</v>
      </c>
      <c r="G195" s="2">
        <v>0.2109</v>
      </c>
      <c r="H195" s="2">
        <v>24.840499999999999</v>
      </c>
      <c r="I195" s="2">
        <v>25.6677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3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17">J196</f>
        <v>0</v>
      </c>
      <c r="P196">
        <f t="shared" ref="P196:Q198" si="118">L196</f>
        <v>0</v>
      </c>
      <c r="Q196">
        <f t="shared" si="118"/>
        <v>0</v>
      </c>
      <c r="S196" t="str">
        <f t="shared" ref="S196:S198" si="11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3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17"/>
        <v>0</v>
      </c>
      <c r="P197">
        <f t="shared" si="118"/>
        <v>0</v>
      </c>
      <c r="Q197">
        <f t="shared" si="118"/>
        <v>0</v>
      </c>
      <c r="S197" t="str">
        <f t="shared" si="119"/>
        <v>0.00 (0.00 to 0.00)</v>
      </c>
    </row>
    <row r="198" spans="1:19" ht="17.25" thickBot="1" x14ac:dyDescent="0.35">
      <c r="A198" s="6"/>
      <c r="B198" s="13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17"/>
        <v>0</v>
      </c>
      <c r="P198">
        <f t="shared" si="118"/>
        <v>0</v>
      </c>
      <c r="Q198">
        <f t="shared" si="118"/>
        <v>0</v>
      </c>
      <c r="S198" t="str">
        <f t="shared" si="119"/>
        <v>0.00 (0.00 to 0.00)</v>
      </c>
    </row>
    <row r="199" spans="1:19" x14ac:dyDescent="0.3">
      <c r="A199" s="6"/>
      <c r="B199" s="16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17" t="s">
        <v>191</v>
      </c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</row>
    <row r="202" spans="1:19" ht="33" customHeight="1" x14ac:dyDescent="0.3">
      <c r="A202" s="18" t="s">
        <v>58</v>
      </c>
      <c r="B202" s="20" t="s">
        <v>12</v>
      </c>
      <c r="C202" s="20" t="s">
        <v>125</v>
      </c>
      <c r="D202" s="3" t="s">
        <v>126</v>
      </c>
      <c r="E202" s="3" t="s">
        <v>127</v>
      </c>
      <c r="F202" s="20" t="s">
        <v>129</v>
      </c>
      <c r="G202" s="3" t="s">
        <v>127</v>
      </c>
      <c r="H202" s="20" t="s">
        <v>130</v>
      </c>
      <c r="I202" s="20"/>
      <c r="J202" s="3" t="s">
        <v>149</v>
      </c>
      <c r="K202" s="3" t="s">
        <v>127</v>
      </c>
      <c r="L202" s="20" t="s">
        <v>130</v>
      </c>
      <c r="M202" s="20"/>
    </row>
    <row r="203" spans="1:19" ht="33" x14ac:dyDescent="0.3">
      <c r="A203" s="18"/>
      <c r="B203" s="20"/>
      <c r="C203" s="20"/>
      <c r="D203" s="3" t="s">
        <v>125</v>
      </c>
      <c r="E203" s="3" t="s">
        <v>128</v>
      </c>
      <c r="F203" s="20"/>
      <c r="G203" s="3" t="s">
        <v>129</v>
      </c>
      <c r="H203" s="20" t="s">
        <v>131</v>
      </c>
      <c r="I203" s="20"/>
      <c r="J203" s="3" t="s">
        <v>129</v>
      </c>
      <c r="K203" s="3" t="s">
        <v>150</v>
      </c>
      <c r="L203" s="20" t="s">
        <v>151</v>
      </c>
      <c r="M203" s="20"/>
    </row>
    <row r="204" spans="1:19" ht="17.25" thickBot="1" x14ac:dyDescent="0.35">
      <c r="A204" s="6">
        <v>1</v>
      </c>
      <c r="B204" s="13">
        <v>1</v>
      </c>
      <c r="C204" s="2">
        <v>4651</v>
      </c>
      <c r="D204" s="2">
        <v>2137079</v>
      </c>
      <c r="E204" s="2">
        <v>39381</v>
      </c>
      <c r="F204" s="2">
        <v>7.0643000000000002</v>
      </c>
      <c r="G204" s="2">
        <v>0.1195</v>
      </c>
      <c r="H204" s="2">
        <v>6.8299000000000003</v>
      </c>
      <c r="I204" s="2">
        <v>7.2987000000000002</v>
      </c>
      <c r="J204" s="2">
        <v>27.770199999999999</v>
      </c>
      <c r="K204" s="2">
        <v>0.4128</v>
      </c>
      <c r="L204" s="2">
        <v>26.960899999999999</v>
      </c>
      <c r="M204" s="2">
        <v>28.579599999999999</v>
      </c>
      <c r="O204">
        <f t="shared" ref="O204:O206" si="120">J204</f>
        <v>27.770199999999999</v>
      </c>
      <c r="P204">
        <f t="shared" ref="P204:Q206" si="121">L204</f>
        <v>26.960899999999999</v>
      </c>
      <c r="Q204">
        <f t="shared" si="121"/>
        <v>28.579599999999999</v>
      </c>
      <c r="S204" t="str">
        <f t="shared" ref="S204:S206" si="122">TEXT(O204,"0.00")&amp;" ("&amp;TEXT(P204,"0.00")&amp;" to "&amp;TEXT(Q204,"0.00")&amp;")"</f>
        <v>27.77 (26.96 to 28.58)</v>
      </c>
    </row>
    <row r="205" spans="1:19" ht="17.25" thickBot="1" x14ac:dyDescent="0.35">
      <c r="A205" s="6"/>
      <c r="B205" s="13">
        <v>2</v>
      </c>
      <c r="C205" s="2">
        <v>10097</v>
      </c>
      <c r="D205" s="2">
        <v>4586987</v>
      </c>
      <c r="E205" s="2">
        <v>63950</v>
      </c>
      <c r="F205" s="2">
        <v>15.162699999999999</v>
      </c>
      <c r="G205" s="2">
        <v>0.17030000000000001</v>
      </c>
      <c r="H205" s="2">
        <v>14.828799999999999</v>
      </c>
      <c r="I205" s="2">
        <v>15.496600000000001</v>
      </c>
      <c r="J205" s="2">
        <v>59.605499999999999</v>
      </c>
      <c r="K205" s="2">
        <v>0.4425</v>
      </c>
      <c r="L205" s="2">
        <v>58.737900000000003</v>
      </c>
      <c r="M205" s="2">
        <v>60.473100000000002</v>
      </c>
      <c r="O205">
        <f t="shared" si="120"/>
        <v>59.605499999999999</v>
      </c>
      <c r="P205">
        <f t="shared" si="121"/>
        <v>58.737900000000003</v>
      </c>
      <c r="Q205">
        <f t="shared" si="121"/>
        <v>60.473100000000002</v>
      </c>
      <c r="S205" t="str">
        <f t="shared" si="122"/>
        <v>59.61 (58.74 to 60.47)</v>
      </c>
    </row>
    <row r="206" spans="1:19" ht="17.25" thickBot="1" x14ac:dyDescent="0.35">
      <c r="A206" s="6"/>
      <c r="B206" s="13">
        <v>3</v>
      </c>
      <c r="C206" s="2">
        <v>2409</v>
      </c>
      <c r="D206" s="2">
        <v>971513</v>
      </c>
      <c r="E206" s="2">
        <v>25392</v>
      </c>
      <c r="F206" s="2">
        <v>3.2113999999999998</v>
      </c>
      <c r="G206" s="2">
        <v>8.0500000000000002E-2</v>
      </c>
      <c r="H206" s="2">
        <v>3.0535000000000001</v>
      </c>
      <c r="I206" s="2">
        <v>3.3694000000000002</v>
      </c>
      <c r="J206" s="2">
        <v>12.6243</v>
      </c>
      <c r="K206" s="2">
        <v>0.30030000000000001</v>
      </c>
      <c r="L206" s="2">
        <v>12.035600000000001</v>
      </c>
      <c r="M206" s="2">
        <v>13.212999999999999</v>
      </c>
      <c r="O206">
        <f t="shared" si="120"/>
        <v>12.6243</v>
      </c>
      <c r="P206">
        <f t="shared" si="121"/>
        <v>12.035600000000001</v>
      </c>
      <c r="Q206">
        <f t="shared" si="121"/>
        <v>13.212999999999999</v>
      </c>
      <c r="S206" t="str">
        <f t="shared" si="122"/>
        <v>12.62 (12.04 to 13.21)</v>
      </c>
    </row>
    <row r="207" spans="1:19" ht="17.25" thickBot="1" x14ac:dyDescent="0.35">
      <c r="A207" s="6"/>
      <c r="B207" s="13" t="s">
        <v>132</v>
      </c>
      <c r="C207" s="2">
        <v>17157</v>
      </c>
      <c r="D207" s="2">
        <v>7695579</v>
      </c>
      <c r="E207" s="2">
        <v>88007</v>
      </c>
      <c r="F207" s="2">
        <v>25.438500000000001</v>
      </c>
      <c r="G207" s="2">
        <v>0.21060000000000001</v>
      </c>
      <c r="H207" s="2">
        <v>25.025600000000001</v>
      </c>
      <c r="I207" s="2">
        <v>25.851299999999998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3">
        <v>1</v>
      </c>
      <c r="C208" s="2">
        <v>4495</v>
      </c>
      <c r="D208" s="2">
        <v>2057353</v>
      </c>
      <c r="E208" s="2">
        <v>38380</v>
      </c>
      <c r="F208" s="2">
        <v>6.8007999999999997</v>
      </c>
      <c r="G208" s="2">
        <v>0.115</v>
      </c>
      <c r="H208" s="2">
        <v>6.5753000000000004</v>
      </c>
      <c r="I208" s="2">
        <v>7.0263</v>
      </c>
      <c r="J208" s="2">
        <v>27.3276</v>
      </c>
      <c r="K208" s="2">
        <v>0.41539999999999999</v>
      </c>
      <c r="L208" s="2">
        <v>26.513200000000001</v>
      </c>
      <c r="M208" s="2">
        <v>28.142099999999999</v>
      </c>
      <c r="O208">
        <f t="shared" ref="O208:O210" si="123">J208</f>
        <v>27.3276</v>
      </c>
      <c r="P208">
        <f t="shared" ref="P208:Q210" si="124">L208</f>
        <v>26.513200000000001</v>
      </c>
      <c r="Q208">
        <f t="shared" si="124"/>
        <v>28.142099999999999</v>
      </c>
      <c r="S208" t="str">
        <f t="shared" ref="S208:S210" si="125">TEXT(O208,"0.00")&amp;" ("&amp;TEXT(P208,"0.00")&amp;" to "&amp;TEXT(Q208,"0.00")&amp;")"</f>
        <v>27.33 (26.51 to 28.14)</v>
      </c>
    </row>
    <row r="209" spans="1:19" ht="17.25" thickBot="1" x14ac:dyDescent="0.35">
      <c r="A209" s="6"/>
      <c r="B209" s="13">
        <v>2</v>
      </c>
      <c r="C209" s="2">
        <v>10044</v>
      </c>
      <c r="D209" s="2">
        <v>4443199</v>
      </c>
      <c r="E209" s="2">
        <v>62183</v>
      </c>
      <c r="F209" s="2">
        <v>14.6874</v>
      </c>
      <c r="G209" s="2">
        <v>0.1686</v>
      </c>
      <c r="H209" s="2">
        <v>14.3568</v>
      </c>
      <c r="I209" s="2">
        <v>15.018000000000001</v>
      </c>
      <c r="J209" s="2">
        <v>59.018599999999999</v>
      </c>
      <c r="K209" s="2">
        <v>0.45700000000000002</v>
      </c>
      <c r="L209" s="2">
        <v>58.122500000000002</v>
      </c>
      <c r="M209" s="2">
        <v>59.914700000000003</v>
      </c>
      <c r="O209">
        <f t="shared" si="123"/>
        <v>59.018599999999999</v>
      </c>
      <c r="P209">
        <f t="shared" si="124"/>
        <v>58.122500000000002</v>
      </c>
      <c r="Q209">
        <f t="shared" si="124"/>
        <v>59.914700000000003</v>
      </c>
      <c r="S209" t="str">
        <f t="shared" si="125"/>
        <v>59.02 (58.12 to 59.91)</v>
      </c>
    </row>
    <row r="210" spans="1:19" ht="17.25" thickBot="1" x14ac:dyDescent="0.35">
      <c r="A210" s="6"/>
      <c r="B210" s="13">
        <v>3</v>
      </c>
      <c r="C210" s="2">
        <v>2621</v>
      </c>
      <c r="D210" s="2">
        <v>1027921</v>
      </c>
      <c r="E210" s="2">
        <v>25564</v>
      </c>
      <c r="F210" s="2">
        <v>3.3978999999999999</v>
      </c>
      <c r="G210" s="2">
        <v>8.0799999999999997E-2</v>
      </c>
      <c r="H210" s="2">
        <v>3.2395</v>
      </c>
      <c r="I210" s="2">
        <v>3.5562999999999998</v>
      </c>
      <c r="J210" s="2">
        <v>13.6538</v>
      </c>
      <c r="K210" s="2">
        <v>0.30940000000000001</v>
      </c>
      <c r="L210" s="2">
        <v>13.0472</v>
      </c>
      <c r="M210" s="2">
        <v>14.260400000000001</v>
      </c>
      <c r="O210">
        <f t="shared" si="123"/>
        <v>13.6538</v>
      </c>
      <c r="P210">
        <f t="shared" si="124"/>
        <v>13.0472</v>
      </c>
      <c r="Q210">
        <f t="shared" si="124"/>
        <v>14.260400000000001</v>
      </c>
      <c r="S210" t="str">
        <f t="shared" si="125"/>
        <v>13.65 (13.05 to 14.26)</v>
      </c>
    </row>
    <row r="211" spans="1:19" ht="17.25" thickBot="1" x14ac:dyDescent="0.35">
      <c r="A211" s="6"/>
      <c r="B211" s="13" t="s">
        <v>132</v>
      </c>
      <c r="C211" s="2">
        <v>17160</v>
      </c>
      <c r="D211" s="2">
        <v>7528473</v>
      </c>
      <c r="E211" s="2">
        <v>84684</v>
      </c>
      <c r="F211" s="2">
        <v>24.886099999999999</v>
      </c>
      <c r="G211" s="2">
        <v>0.19980000000000001</v>
      </c>
      <c r="H211" s="2">
        <v>24.494299999999999</v>
      </c>
      <c r="I211" s="2">
        <v>25.277799999999999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3">
        <v>1</v>
      </c>
      <c r="C212" s="2">
        <v>4459</v>
      </c>
      <c r="D212" s="2">
        <v>2031766</v>
      </c>
      <c r="E212" s="2">
        <v>38686</v>
      </c>
      <c r="F212" s="2">
        <v>6.7161999999999997</v>
      </c>
      <c r="G212" s="2">
        <v>0.1169</v>
      </c>
      <c r="H212" s="2">
        <v>6.4870999999999999</v>
      </c>
      <c r="I212" s="2">
        <v>6.9452999999999996</v>
      </c>
      <c r="J212" s="2">
        <v>27.501300000000001</v>
      </c>
      <c r="K212" s="2">
        <v>0.41749999999999998</v>
      </c>
      <c r="L212" s="2">
        <v>26.682700000000001</v>
      </c>
      <c r="M212" s="2">
        <v>28.319900000000001</v>
      </c>
      <c r="O212">
        <f t="shared" ref="O212:O214" si="126">J212</f>
        <v>27.501300000000001</v>
      </c>
      <c r="P212">
        <f t="shared" ref="P212:Q214" si="127">L212</f>
        <v>26.682700000000001</v>
      </c>
      <c r="Q212">
        <f t="shared" si="127"/>
        <v>28.319900000000001</v>
      </c>
      <c r="S212" t="str">
        <f t="shared" ref="S212:S214" si="128">TEXT(O212,"0.00")&amp;" ("&amp;TEXT(P212,"0.00")&amp;" to "&amp;TEXT(Q212,"0.00")&amp;")"</f>
        <v>27.50 (26.68 to 28.32)</v>
      </c>
    </row>
    <row r="213" spans="1:19" ht="17.25" thickBot="1" x14ac:dyDescent="0.35">
      <c r="A213" s="6"/>
      <c r="B213" s="13">
        <v>2</v>
      </c>
      <c r="C213" s="2">
        <v>9766</v>
      </c>
      <c r="D213" s="2">
        <v>4245057</v>
      </c>
      <c r="E213" s="2">
        <v>58124</v>
      </c>
      <c r="F213" s="2">
        <v>14.032400000000001</v>
      </c>
      <c r="G213" s="2">
        <v>0.15679999999999999</v>
      </c>
      <c r="H213" s="2">
        <v>13.7249</v>
      </c>
      <c r="I213" s="2">
        <v>14.3399</v>
      </c>
      <c r="J213" s="2">
        <v>57.459699999999998</v>
      </c>
      <c r="K213" s="2">
        <v>0.45050000000000001</v>
      </c>
      <c r="L213" s="2">
        <v>56.576300000000003</v>
      </c>
      <c r="M213" s="2">
        <v>58.343000000000004</v>
      </c>
      <c r="O213">
        <f t="shared" si="126"/>
        <v>57.459699999999998</v>
      </c>
      <c r="P213">
        <f t="shared" si="127"/>
        <v>56.576300000000003</v>
      </c>
      <c r="Q213">
        <f t="shared" si="127"/>
        <v>58.343000000000004</v>
      </c>
      <c r="S213" t="str">
        <f t="shared" si="128"/>
        <v>57.46 (56.58 to 58.34)</v>
      </c>
    </row>
    <row r="214" spans="1:19" ht="17.25" thickBot="1" x14ac:dyDescent="0.35">
      <c r="A214" s="6"/>
      <c r="B214" s="13">
        <v>3</v>
      </c>
      <c r="C214" s="2">
        <v>2933</v>
      </c>
      <c r="D214" s="2">
        <v>1111069</v>
      </c>
      <c r="E214" s="2">
        <v>25565</v>
      </c>
      <c r="F214" s="2">
        <v>3.6726999999999999</v>
      </c>
      <c r="G214" s="2">
        <v>8.1600000000000006E-2</v>
      </c>
      <c r="H214" s="2">
        <v>3.5127000000000002</v>
      </c>
      <c r="I214" s="2">
        <v>3.8328000000000002</v>
      </c>
      <c r="J214" s="2">
        <v>15.039099999999999</v>
      </c>
      <c r="K214" s="2">
        <v>0.31559999999999999</v>
      </c>
      <c r="L214" s="2">
        <v>14.420199999999999</v>
      </c>
      <c r="M214" s="2">
        <v>15.6579</v>
      </c>
      <c r="O214">
        <f t="shared" si="126"/>
        <v>15.039099999999999</v>
      </c>
      <c r="P214">
        <f t="shared" si="127"/>
        <v>14.420199999999999</v>
      </c>
      <c r="Q214">
        <f t="shared" si="127"/>
        <v>15.6579</v>
      </c>
      <c r="S214" t="str">
        <f t="shared" si="128"/>
        <v>15.04 (14.42 to 15.66)</v>
      </c>
    </row>
    <row r="215" spans="1:19" ht="17.25" thickBot="1" x14ac:dyDescent="0.35">
      <c r="A215" s="6"/>
      <c r="B215" s="13" t="s">
        <v>132</v>
      </c>
      <c r="C215" s="2">
        <v>17158</v>
      </c>
      <c r="D215" s="2">
        <v>7387892</v>
      </c>
      <c r="E215" s="2">
        <v>81641</v>
      </c>
      <c r="F215" s="2">
        <v>24.421399999999998</v>
      </c>
      <c r="G215" s="2">
        <v>0.19589999999999999</v>
      </c>
      <c r="H215" s="2">
        <v>24.037199999999999</v>
      </c>
      <c r="I215" s="2">
        <v>24.805499999999999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3">
        <v>1</v>
      </c>
      <c r="C216" s="2">
        <v>4652</v>
      </c>
      <c r="D216" s="2">
        <v>2186848</v>
      </c>
      <c r="E216" s="2">
        <v>39432</v>
      </c>
      <c r="F216" s="2">
        <v>7.2287999999999997</v>
      </c>
      <c r="G216" s="2">
        <v>0.1195</v>
      </c>
      <c r="H216" s="2">
        <v>6.9946000000000002</v>
      </c>
      <c r="I216" s="2">
        <v>7.4630999999999998</v>
      </c>
      <c r="J216" s="2">
        <v>28.624400000000001</v>
      </c>
      <c r="K216" s="2">
        <v>0.4128</v>
      </c>
      <c r="L216" s="2">
        <v>27.815000000000001</v>
      </c>
      <c r="M216" s="2">
        <v>29.433700000000002</v>
      </c>
      <c r="O216">
        <f t="shared" ref="O216:O218" si="129">J216</f>
        <v>28.624400000000001</v>
      </c>
      <c r="P216">
        <f t="shared" ref="P216:Q218" si="130">L216</f>
        <v>27.815000000000001</v>
      </c>
      <c r="Q216">
        <f t="shared" si="130"/>
        <v>29.433700000000002</v>
      </c>
      <c r="S216" t="str">
        <f t="shared" ref="S216:S218" si="131">TEXT(O216,"0.00")&amp;" ("&amp;TEXT(P216,"0.00")&amp;" to "&amp;TEXT(Q216,"0.00")&amp;")"</f>
        <v>28.62 (27.82 to 29.43)</v>
      </c>
    </row>
    <row r="217" spans="1:19" ht="17.25" thickBot="1" x14ac:dyDescent="0.35">
      <c r="A217" s="6"/>
      <c r="B217" s="13">
        <v>2</v>
      </c>
      <c r="C217" s="2">
        <v>9644</v>
      </c>
      <c r="D217" s="2">
        <v>4346225</v>
      </c>
      <c r="E217" s="2">
        <v>59639</v>
      </c>
      <c r="F217" s="2">
        <v>14.366899999999999</v>
      </c>
      <c r="G217" s="2">
        <v>0.1696</v>
      </c>
      <c r="H217" s="2">
        <v>14.0342</v>
      </c>
      <c r="I217" s="2">
        <v>14.6995</v>
      </c>
      <c r="J217" s="2">
        <v>56.889200000000002</v>
      </c>
      <c r="K217" s="2">
        <v>0.44550000000000001</v>
      </c>
      <c r="L217" s="2">
        <v>56.015599999999999</v>
      </c>
      <c r="M217" s="2">
        <v>57.762799999999999</v>
      </c>
      <c r="O217">
        <f t="shared" si="129"/>
        <v>56.889200000000002</v>
      </c>
      <c r="P217">
        <f t="shared" si="130"/>
        <v>56.015599999999999</v>
      </c>
      <c r="Q217">
        <f t="shared" si="130"/>
        <v>57.762799999999999</v>
      </c>
      <c r="S217" t="str">
        <f t="shared" si="131"/>
        <v>56.89 (56.02 to 57.76)</v>
      </c>
    </row>
    <row r="218" spans="1:19" ht="17.25" thickBot="1" x14ac:dyDescent="0.35">
      <c r="A218" s="6"/>
      <c r="B218" s="13">
        <v>3</v>
      </c>
      <c r="C218" s="2">
        <v>2863</v>
      </c>
      <c r="D218" s="2">
        <v>1106740</v>
      </c>
      <c r="E218" s="2">
        <v>25793</v>
      </c>
      <c r="F218" s="2">
        <v>3.6583999999999999</v>
      </c>
      <c r="G218" s="2">
        <v>8.3099999999999993E-2</v>
      </c>
      <c r="H218" s="2">
        <v>3.4954999999999998</v>
      </c>
      <c r="I218" s="2">
        <v>3.8212999999999999</v>
      </c>
      <c r="J218" s="2">
        <v>14.486499999999999</v>
      </c>
      <c r="K218" s="2">
        <v>0.31390000000000001</v>
      </c>
      <c r="L218" s="2">
        <v>13.871</v>
      </c>
      <c r="M218" s="2">
        <v>15.102</v>
      </c>
      <c r="O218">
        <f t="shared" si="129"/>
        <v>14.486499999999999</v>
      </c>
      <c r="P218">
        <f t="shared" si="130"/>
        <v>13.871</v>
      </c>
      <c r="Q218">
        <f t="shared" si="130"/>
        <v>15.102</v>
      </c>
      <c r="S218" t="str">
        <f t="shared" si="131"/>
        <v>14.49 (13.87 to 15.10)</v>
      </c>
    </row>
    <row r="219" spans="1:19" ht="17.25" thickBot="1" x14ac:dyDescent="0.35">
      <c r="A219" s="6"/>
      <c r="B219" s="13" t="s">
        <v>132</v>
      </c>
      <c r="C219" s="2">
        <v>17159</v>
      </c>
      <c r="D219" s="2">
        <v>7639813</v>
      </c>
      <c r="E219" s="2">
        <v>82439</v>
      </c>
      <c r="F219" s="2">
        <v>25.254100000000001</v>
      </c>
      <c r="G219" s="2">
        <v>0.2109</v>
      </c>
      <c r="H219" s="2">
        <v>24.840499999999999</v>
      </c>
      <c r="I219" s="2">
        <v>25.6677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3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32">J220</f>
        <v>0</v>
      </c>
      <c r="P220">
        <f t="shared" ref="P220:Q222" si="133">L220</f>
        <v>0</v>
      </c>
      <c r="Q220">
        <f t="shared" si="133"/>
        <v>0</v>
      </c>
      <c r="S220" t="str">
        <f t="shared" ref="S220:S222" si="134">TEXT(O220,"0.00")&amp;" ("&amp;TEXT(P220,"0.00")&amp;" to "&amp;TEXT(Q220,"0.00")&amp;")"</f>
        <v>0.00 (0.00 to 0.00)</v>
      </c>
    </row>
    <row r="221" spans="1:19" ht="17.25" thickBot="1" x14ac:dyDescent="0.35">
      <c r="A221" s="6"/>
      <c r="B221" s="13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32"/>
        <v>0</v>
      </c>
      <c r="P221">
        <f t="shared" si="133"/>
        <v>0</v>
      </c>
      <c r="Q221">
        <f t="shared" si="133"/>
        <v>0</v>
      </c>
      <c r="S221" t="str">
        <f t="shared" si="134"/>
        <v>0.00 (0.00 to 0.00)</v>
      </c>
    </row>
    <row r="222" spans="1:19" ht="17.25" thickBot="1" x14ac:dyDescent="0.35">
      <c r="A222" s="6"/>
      <c r="B222" s="13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32"/>
        <v>0</v>
      </c>
      <c r="P222">
        <f t="shared" si="133"/>
        <v>0</v>
      </c>
      <c r="Q222">
        <f t="shared" si="133"/>
        <v>0</v>
      </c>
      <c r="S222" t="str">
        <f t="shared" si="134"/>
        <v>0.00 (0.00 to 0.00)</v>
      </c>
    </row>
    <row r="223" spans="1:19" x14ac:dyDescent="0.3">
      <c r="A223" s="6"/>
      <c r="B223" s="16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17" t="s">
        <v>192</v>
      </c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</row>
    <row r="226" spans="1:19" ht="33" customHeight="1" x14ac:dyDescent="0.3">
      <c r="A226" s="18" t="s">
        <v>58</v>
      </c>
      <c r="B226" s="20" t="s">
        <v>13</v>
      </c>
      <c r="C226" s="20" t="s">
        <v>125</v>
      </c>
      <c r="D226" s="3" t="s">
        <v>126</v>
      </c>
      <c r="E226" s="3" t="s">
        <v>127</v>
      </c>
      <c r="F226" s="20" t="s">
        <v>129</v>
      </c>
      <c r="G226" s="3" t="s">
        <v>127</v>
      </c>
      <c r="H226" s="20" t="s">
        <v>130</v>
      </c>
      <c r="I226" s="20"/>
      <c r="J226" s="3" t="s">
        <v>149</v>
      </c>
      <c r="K226" s="3" t="s">
        <v>127</v>
      </c>
      <c r="L226" s="20" t="s">
        <v>130</v>
      </c>
      <c r="M226" s="20"/>
    </row>
    <row r="227" spans="1:19" ht="33" x14ac:dyDescent="0.3">
      <c r="A227" s="18"/>
      <c r="B227" s="20"/>
      <c r="C227" s="20"/>
      <c r="D227" s="3" t="s">
        <v>125</v>
      </c>
      <c r="E227" s="3" t="s">
        <v>128</v>
      </c>
      <c r="F227" s="20"/>
      <c r="G227" s="3" t="s">
        <v>129</v>
      </c>
      <c r="H227" s="20" t="s">
        <v>131</v>
      </c>
      <c r="I227" s="20"/>
      <c r="J227" s="3" t="s">
        <v>129</v>
      </c>
      <c r="K227" s="3" t="s">
        <v>150</v>
      </c>
      <c r="L227" s="20" t="s">
        <v>151</v>
      </c>
      <c r="M227" s="20"/>
    </row>
    <row r="228" spans="1:19" ht="17.25" thickBot="1" x14ac:dyDescent="0.35">
      <c r="A228" s="6">
        <v>1</v>
      </c>
      <c r="B228" s="13">
        <v>1</v>
      </c>
      <c r="C228" s="2">
        <v>6873</v>
      </c>
      <c r="D228" s="2">
        <v>2888039</v>
      </c>
      <c r="E228" s="2">
        <v>47051</v>
      </c>
      <c r="F228" s="2">
        <v>9.5466999999999995</v>
      </c>
      <c r="G228" s="2">
        <v>0.13780000000000001</v>
      </c>
      <c r="H228" s="2">
        <v>9.2764000000000006</v>
      </c>
      <c r="I228" s="2">
        <v>9.8169000000000004</v>
      </c>
      <c r="J228" s="2">
        <v>37.528500000000001</v>
      </c>
      <c r="K228" s="2">
        <v>0.45569999999999999</v>
      </c>
      <c r="L228" s="2">
        <v>36.634999999999998</v>
      </c>
      <c r="M228" s="2">
        <v>38.4221</v>
      </c>
      <c r="O228">
        <f t="shared" ref="O228:O230" si="135">J228</f>
        <v>37.528500000000001</v>
      </c>
      <c r="P228">
        <f t="shared" ref="P228:Q230" si="136">L228</f>
        <v>36.634999999999998</v>
      </c>
      <c r="Q228">
        <f t="shared" si="136"/>
        <v>38.4221</v>
      </c>
      <c r="S228" t="str">
        <f t="shared" ref="S228:S230" si="137">TEXT(O228,"0.00")&amp;" ("&amp;TEXT(P228,"0.00")&amp;" to "&amp;TEXT(Q228,"0.00")&amp;")"</f>
        <v>37.53 (36.64 to 38.42)</v>
      </c>
    </row>
    <row r="229" spans="1:19" ht="17.25" thickBot="1" x14ac:dyDescent="0.35">
      <c r="A229" s="6"/>
      <c r="B229" s="13">
        <v>2</v>
      </c>
      <c r="C229" s="2">
        <v>6835</v>
      </c>
      <c r="D229" s="2">
        <v>3244816</v>
      </c>
      <c r="E229" s="2">
        <v>52649</v>
      </c>
      <c r="F229" s="2">
        <v>10.726000000000001</v>
      </c>
      <c r="G229" s="2">
        <v>0.1467</v>
      </c>
      <c r="H229" s="2">
        <v>10.4384</v>
      </c>
      <c r="I229" s="2">
        <v>11.0137</v>
      </c>
      <c r="J229" s="2">
        <v>42.164700000000003</v>
      </c>
      <c r="K229" s="2">
        <v>0.45829999999999999</v>
      </c>
      <c r="L229" s="2">
        <v>41.266100000000002</v>
      </c>
      <c r="M229" s="2">
        <v>43.063299999999998</v>
      </c>
      <c r="O229">
        <f t="shared" si="135"/>
        <v>42.164700000000003</v>
      </c>
      <c r="P229">
        <f t="shared" si="136"/>
        <v>41.266100000000002</v>
      </c>
      <c r="Q229">
        <f t="shared" si="136"/>
        <v>43.063299999999998</v>
      </c>
      <c r="S229" t="str">
        <f t="shared" si="137"/>
        <v>42.16 (41.27 to 43.06)</v>
      </c>
    </row>
    <row r="230" spans="1:19" ht="17.25" thickBot="1" x14ac:dyDescent="0.35">
      <c r="A230" s="6"/>
      <c r="B230" s="13">
        <v>3</v>
      </c>
      <c r="C230" s="2">
        <v>3449</v>
      </c>
      <c r="D230" s="2">
        <v>1562723</v>
      </c>
      <c r="E230" s="2">
        <v>33720</v>
      </c>
      <c r="F230" s="2">
        <v>5.1657000000000002</v>
      </c>
      <c r="G230" s="2">
        <v>0.1062</v>
      </c>
      <c r="H230" s="2">
        <v>4.9574999999999996</v>
      </c>
      <c r="I230" s="2">
        <v>5.3738999999999999</v>
      </c>
      <c r="J230" s="2">
        <v>20.306799999999999</v>
      </c>
      <c r="K230" s="2">
        <v>0.37490000000000001</v>
      </c>
      <c r="L230" s="2">
        <v>19.5716</v>
      </c>
      <c r="M230" s="2">
        <v>21.042000000000002</v>
      </c>
      <c r="O230">
        <f t="shared" si="135"/>
        <v>20.306799999999999</v>
      </c>
      <c r="P230">
        <f t="shared" si="136"/>
        <v>19.5716</v>
      </c>
      <c r="Q230">
        <f t="shared" si="136"/>
        <v>21.042000000000002</v>
      </c>
      <c r="S230" t="str">
        <f t="shared" si="137"/>
        <v>20.31 (19.57 to 21.04)</v>
      </c>
    </row>
    <row r="231" spans="1:19" ht="17.25" thickBot="1" x14ac:dyDescent="0.35">
      <c r="A231" s="6"/>
      <c r="B231" s="13" t="s">
        <v>132</v>
      </c>
      <c r="C231" s="2">
        <v>17157</v>
      </c>
      <c r="D231" s="2">
        <v>7695579</v>
      </c>
      <c r="E231" s="2">
        <v>88007</v>
      </c>
      <c r="F231" s="2">
        <v>25.438500000000001</v>
      </c>
      <c r="G231" s="2">
        <v>0.21060000000000001</v>
      </c>
      <c r="H231" s="2">
        <v>25.025600000000001</v>
      </c>
      <c r="I231" s="2">
        <v>25.851299999999998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3">
        <v>1</v>
      </c>
      <c r="C232" s="2">
        <v>7057</v>
      </c>
      <c r="D232" s="2">
        <v>2798534</v>
      </c>
      <c r="E232" s="2">
        <v>43163</v>
      </c>
      <c r="F232" s="2">
        <v>9.2507999999999999</v>
      </c>
      <c r="G232" s="2">
        <v>0.12870000000000001</v>
      </c>
      <c r="H232" s="2">
        <v>8.9984999999999999</v>
      </c>
      <c r="I232" s="2">
        <v>9.5031999999999996</v>
      </c>
      <c r="J232" s="2">
        <v>37.172699999999999</v>
      </c>
      <c r="K232" s="2">
        <v>0.44059999999999999</v>
      </c>
      <c r="L232" s="2">
        <v>36.308799999999998</v>
      </c>
      <c r="M232" s="2">
        <v>38.036499999999997</v>
      </c>
      <c r="O232">
        <f t="shared" ref="O232:O234" si="138">J232</f>
        <v>37.172699999999999</v>
      </c>
      <c r="P232">
        <f t="shared" ref="P232:Q234" si="139">L232</f>
        <v>36.308799999999998</v>
      </c>
      <c r="Q232">
        <f t="shared" si="139"/>
        <v>38.036499999999997</v>
      </c>
      <c r="S232" t="str">
        <f t="shared" ref="S232:S234" si="140">TEXT(O232,"0.00")&amp;" ("&amp;TEXT(P232,"0.00")&amp;" to "&amp;TEXT(Q232,"0.00")&amp;")"</f>
        <v>37.17 (36.31 to 38.04)</v>
      </c>
    </row>
    <row r="233" spans="1:19" ht="17.25" thickBot="1" x14ac:dyDescent="0.35">
      <c r="A233" s="6"/>
      <c r="B233" s="13">
        <v>2</v>
      </c>
      <c r="C233" s="2">
        <v>6397</v>
      </c>
      <c r="D233" s="2">
        <v>3020175</v>
      </c>
      <c r="E233" s="2">
        <v>50879</v>
      </c>
      <c r="F233" s="2">
        <v>9.9834999999999994</v>
      </c>
      <c r="G233" s="2">
        <v>0.14280000000000001</v>
      </c>
      <c r="H233" s="2">
        <v>9.7034000000000002</v>
      </c>
      <c r="I233" s="2">
        <v>10.263500000000001</v>
      </c>
      <c r="J233" s="2">
        <v>40.116700000000002</v>
      </c>
      <c r="K233" s="2">
        <v>0.45739999999999997</v>
      </c>
      <c r="L233" s="2">
        <v>39.219799999999999</v>
      </c>
      <c r="M233" s="2">
        <v>41.013599999999997</v>
      </c>
      <c r="O233">
        <f t="shared" si="138"/>
        <v>40.116700000000002</v>
      </c>
      <c r="P233">
        <f t="shared" si="139"/>
        <v>39.219799999999999</v>
      </c>
      <c r="Q233">
        <f t="shared" si="139"/>
        <v>41.013599999999997</v>
      </c>
      <c r="S233" t="str">
        <f t="shared" si="140"/>
        <v>40.12 (39.22 to 41.01)</v>
      </c>
    </row>
    <row r="234" spans="1:19" ht="17.25" thickBot="1" x14ac:dyDescent="0.35">
      <c r="A234" s="6"/>
      <c r="B234" s="13">
        <v>3</v>
      </c>
      <c r="C234" s="2">
        <v>3706</v>
      </c>
      <c r="D234" s="2">
        <v>1709765</v>
      </c>
      <c r="E234" s="2">
        <v>34965</v>
      </c>
      <c r="F234" s="2">
        <v>5.6517999999999997</v>
      </c>
      <c r="G234" s="2">
        <v>0.10680000000000001</v>
      </c>
      <c r="H234" s="2">
        <v>5.4423000000000004</v>
      </c>
      <c r="I234" s="2">
        <v>5.8613</v>
      </c>
      <c r="J234" s="2">
        <v>22.710599999999999</v>
      </c>
      <c r="K234" s="2">
        <v>0.38819999999999999</v>
      </c>
      <c r="L234" s="2">
        <v>21.949400000000001</v>
      </c>
      <c r="M234" s="2">
        <v>23.471900000000002</v>
      </c>
      <c r="O234">
        <f t="shared" si="138"/>
        <v>22.710599999999999</v>
      </c>
      <c r="P234">
        <f t="shared" si="139"/>
        <v>21.949400000000001</v>
      </c>
      <c r="Q234">
        <f t="shared" si="139"/>
        <v>23.471900000000002</v>
      </c>
      <c r="S234" t="str">
        <f t="shared" si="140"/>
        <v>22.71 (21.95 to 23.47)</v>
      </c>
    </row>
    <row r="235" spans="1:19" ht="17.25" thickBot="1" x14ac:dyDescent="0.35">
      <c r="A235" s="6"/>
      <c r="B235" s="13" t="s">
        <v>132</v>
      </c>
      <c r="C235" s="2">
        <v>17160</v>
      </c>
      <c r="D235" s="2">
        <v>7528473</v>
      </c>
      <c r="E235" s="2">
        <v>84684</v>
      </c>
      <c r="F235" s="2">
        <v>24.886099999999999</v>
      </c>
      <c r="G235" s="2">
        <v>0.19980000000000001</v>
      </c>
      <c r="H235" s="2">
        <v>24.494299999999999</v>
      </c>
      <c r="I235" s="2">
        <v>25.277799999999999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3">
        <v>1</v>
      </c>
      <c r="C236" s="2">
        <v>6858</v>
      </c>
      <c r="D236" s="2">
        <v>2647916</v>
      </c>
      <c r="E236" s="2">
        <v>41568</v>
      </c>
      <c r="F236" s="2">
        <v>8.7529000000000003</v>
      </c>
      <c r="G236" s="2">
        <v>0.12529999999999999</v>
      </c>
      <c r="H236" s="2">
        <v>8.5073000000000008</v>
      </c>
      <c r="I236" s="2">
        <v>8.9984999999999999</v>
      </c>
      <c r="J236" s="2">
        <v>35.841299999999997</v>
      </c>
      <c r="K236" s="2">
        <v>0.436</v>
      </c>
      <c r="L236" s="2">
        <v>34.986400000000003</v>
      </c>
      <c r="M236" s="2">
        <v>36.696199999999997</v>
      </c>
      <c r="O236">
        <f t="shared" ref="O236:O238" si="141">J236</f>
        <v>35.841299999999997</v>
      </c>
      <c r="P236">
        <f t="shared" ref="P236:Q238" si="142">L236</f>
        <v>34.986400000000003</v>
      </c>
      <c r="Q236">
        <f t="shared" si="142"/>
        <v>36.696199999999997</v>
      </c>
      <c r="S236" t="str">
        <f t="shared" ref="S236:S238" si="143">TEXT(O236,"0.00")&amp;" ("&amp;TEXT(P236,"0.00")&amp;" to "&amp;TEXT(Q236,"0.00")&amp;")"</f>
        <v>35.84 (34.99 to 36.70)</v>
      </c>
    </row>
    <row r="237" spans="1:19" ht="17.25" thickBot="1" x14ac:dyDescent="0.35">
      <c r="A237" s="6"/>
      <c r="B237" s="13">
        <v>2</v>
      </c>
      <c r="C237" s="2">
        <v>6004</v>
      </c>
      <c r="D237" s="2">
        <v>2766480</v>
      </c>
      <c r="E237" s="2">
        <v>47575</v>
      </c>
      <c r="F237" s="2">
        <v>9.1448999999999998</v>
      </c>
      <c r="G237" s="2">
        <v>0.1363</v>
      </c>
      <c r="H237" s="2">
        <v>8.8777000000000008</v>
      </c>
      <c r="I237" s="2">
        <v>9.4120000000000008</v>
      </c>
      <c r="J237" s="2">
        <v>37.446100000000001</v>
      </c>
      <c r="K237" s="2">
        <v>0.45739999999999997</v>
      </c>
      <c r="L237" s="2">
        <v>36.549199999999999</v>
      </c>
      <c r="M237" s="2">
        <v>38.343000000000004</v>
      </c>
      <c r="O237">
        <f t="shared" si="141"/>
        <v>37.446100000000001</v>
      </c>
      <c r="P237">
        <f t="shared" si="142"/>
        <v>36.549199999999999</v>
      </c>
      <c r="Q237">
        <f t="shared" si="142"/>
        <v>38.343000000000004</v>
      </c>
      <c r="S237" t="str">
        <f t="shared" si="143"/>
        <v>37.45 (36.55 to 38.34)</v>
      </c>
    </row>
    <row r="238" spans="1:19" ht="17.25" thickBot="1" x14ac:dyDescent="0.35">
      <c r="A238" s="6"/>
      <c r="B238" s="13">
        <v>3</v>
      </c>
      <c r="C238" s="2">
        <v>4296</v>
      </c>
      <c r="D238" s="2">
        <v>1973496</v>
      </c>
      <c r="E238" s="2">
        <v>37460</v>
      </c>
      <c r="F238" s="2">
        <v>6.5236000000000001</v>
      </c>
      <c r="G238" s="2">
        <v>0.11360000000000001</v>
      </c>
      <c r="H238" s="2">
        <v>6.3007999999999997</v>
      </c>
      <c r="I238" s="2">
        <v>6.7464000000000004</v>
      </c>
      <c r="J238" s="2">
        <v>26.712599999999998</v>
      </c>
      <c r="K238" s="2">
        <v>0.41439999999999999</v>
      </c>
      <c r="L238" s="2">
        <v>25.900099999999998</v>
      </c>
      <c r="M238" s="2">
        <v>27.525099999999998</v>
      </c>
      <c r="O238">
        <f t="shared" si="141"/>
        <v>26.712599999999998</v>
      </c>
      <c r="P238">
        <f t="shared" si="142"/>
        <v>25.900099999999998</v>
      </c>
      <c r="Q238">
        <f t="shared" si="142"/>
        <v>27.525099999999998</v>
      </c>
      <c r="S238" t="str">
        <f t="shared" si="143"/>
        <v>26.71 (25.90 to 27.53)</v>
      </c>
    </row>
    <row r="239" spans="1:19" ht="17.25" thickBot="1" x14ac:dyDescent="0.35">
      <c r="A239" s="6"/>
      <c r="B239" s="13" t="s">
        <v>132</v>
      </c>
      <c r="C239" s="2">
        <v>17158</v>
      </c>
      <c r="D239" s="2">
        <v>7387892</v>
      </c>
      <c r="E239" s="2">
        <v>81641</v>
      </c>
      <c r="F239" s="2">
        <v>24.421399999999998</v>
      </c>
      <c r="G239" s="2">
        <v>0.19589999999999999</v>
      </c>
      <c r="H239" s="2">
        <v>24.037199999999999</v>
      </c>
      <c r="I239" s="2">
        <v>24.805499999999999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3">
        <v>1</v>
      </c>
      <c r="C240" s="2">
        <v>6120</v>
      </c>
      <c r="D240" s="2">
        <v>2404581</v>
      </c>
      <c r="E240" s="2">
        <v>40085</v>
      </c>
      <c r="F240" s="2">
        <v>7.9485999999999999</v>
      </c>
      <c r="G240" s="2">
        <v>0.1221</v>
      </c>
      <c r="H240" s="2">
        <v>7.7091000000000003</v>
      </c>
      <c r="I240" s="2">
        <v>8.1881000000000004</v>
      </c>
      <c r="J240" s="2">
        <v>31.474299999999999</v>
      </c>
      <c r="K240" s="2">
        <v>0.41489999999999999</v>
      </c>
      <c r="L240" s="2">
        <v>30.660900000000002</v>
      </c>
      <c r="M240" s="2">
        <v>32.287799999999997</v>
      </c>
      <c r="O240">
        <f t="shared" ref="O240:O242" si="144">J240</f>
        <v>31.474299999999999</v>
      </c>
      <c r="P240">
        <f t="shared" ref="P240:Q242" si="145">L240</f>
        <v>30.660900000000002</v>
      </c>
      <c r="Q240">
        <f t="shared" si="145"/>
        <v>32.287799999999997</v>
      </c>
      <c r="S240" t="str">
        <f t="shared" ref="S240:S242" si="146">TEXT(O240,"0.00")&amp;" ("&amp;TEXT(P240,"0.00")&amp;" to "&amp;TEXT(Q240,"0.00")&amp;")"</f>
        <v>31.47 (30.66 to 32.29)</v>
      </c>
    </row>
    <row r="241" spans="1:19" ht="17.25" thickBot="1" x14ac:dyDescent="0.35">
      <c r="A241" s="6"/>
      <c r="B241" s="13">
        <v>2</v>
      </c>
      <c r="C241" s="2">
        <v>5762</v>
      </c>
      <c r="D241" s="2">
        <v>2708908</v>
      </c>
      <c r="E241" s="2">
        <v>45387</v>
      </c>
      <c r="F241" s="2">
        <v>8.9544999999999995</v>
      </c>
      <c r="G241" s="2">
        <v>0.13700000000000001</v>
      </c>
      <c r="H241" s="2">
        <v>8.6859000000000002</v>
      </c>
      <c r="I241" s="2">
        <v>9.2232000000000003</v>
      </c>
      <c r="J241" s="2">
        <v>35.457799999999999</v>
      </c>
      <c r="K241" s="2">
        <v>0.44669999999999999</v>
      </c>
      <c r="L241" s="2">
        <v>34.581899999999997</v>
      </c>
      <c r="M241" s="2">
        <v>36.333599999999997</v>
      </c>
      <c r="O241">
        <f t="shared" si="144"/>
        <v>35.457799999999999</v>
      </c>
      <c r="P241">
        <f t="shared" si="145"/>
        <v>34.581899999999997</v>
      </c>
      <c r="Q241">
        <f t="shared" si="145"/>
        <v>36.333599999999997</v>
      </c>
      <c r="S241" t="str">
        <f t="shared" si="146"/>
        <v>35.46 (34.58 to 36.33)</v>
      </c>
    </row>
    <row r="242" spans="1:19" ht="17.25" thickBot="1" x14ac:dyDescent="0.35">
      <c r="A242" s="6"/>
      <c r="B242" s="13">
        <v>3</v>
      </c>
      <c r="C242" s="2">
        <v>5277</v>
      </c>
      <c r="D242" s="2">
        <v>2526324</v>
      </c>
      <c r="E242" s="2">
        <v>43149</v>
      </c>
      <c r="F242" s="2">
        <v>8.3510000000000009</v>
      </c>
      <c r="G242" s="2">
        <v>0.1295</v>
      </c>
      <c r="H242" s="2">
        <v>8.0972000000000008</v>
      </c>
      <c r="I242" s="2">
        <v>8.6047999999999991</v>
      </c>
      <c r="J242" s="2">
        <v>33.067900000000002</v>
      </c>
      <c r="K242" s="2">
        <v>0.43059999999999998</v>
      </c>
      <c r="L242" s="2">
        <v>32.223599999999998</v>
      </c>
      <c r="M242" s="2">
        <v>33.912199999999999</v>
      </c>
      <c r="O242">
        <f t="shared" si="144"/>
        <v>33.067900000000002</v>
      </c>
      <c r="P242">
        <f t="shared" si="145"/>
        <v>32.223599999999998</v>
      </c>
      <c r="Q242">
        <f t="shared" si="145"/>
        <v>33.912199999999999</v>
      </c>
      <c r="S242" t="str">
        <f t="shared" si="146"/>
        <v>33.07 (32.22 to 33.91)</v>
      </c>
    </row>
    <row r="243" spans="1:19" ht="17.25" thickBot="1" x14ac:dyDescent="0.35">
      <c r="A243" s="6"/>
      <c r="B243" s="13" t="s">
        <v>132</v>
      </c>
      <c r="C243" s="2">
        <v>17159</v>
      </c>
      <c r="D243" s="2">
        <v>7639813</v>
      </c>
      <c r="E243" s="2">
        <v>82439</v>
      </c>
      <c r="F243" s="2">
        <v>25.254100000000001</v>
      </c>
      <c r="G243" s="2">
        <v>0.2109</v>
      </c>
      <c r="H243" s="2">
        <v>24.840499999999999</v>
      </c>
      <c r="I243" s="2">
        <v>25.6677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3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47">J244</f>
        <v>0</v>
      </c>
      <c r="P244">
        <f t="shared" ref="P244:Q246" si="148">L244</f>
        <v>0</v>
      </c>
      <c r="Q244">
        <f t="shared" si="148"/>
        <v>0</v>
      </c>
      <c r="S244" t="str">
        <f t="shared" ref="S244:S246" si="14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3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47"/>
        <v>0</v>
      </c>
      <c r="P245">
        <f t="shared" si="148"/>
        <v>0</v>
      </c>
      <c r="Q245">
        <f t="shared" si="148"/>
        <v>0</v>
      </c>
      <c r="S245" t="str">
        <f t="shared" si="149"/>
        <v>0.00 (0.00 to 0.00)</v>
      </c>
    </row>
    <row r="246" spans="1:19" ht="17.25" thickBot="1" x14ac:dyDescent="0.35">
      <c r="A246" s="6"/>
      <c r="B246" s="13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47"/>
        <v>0</v>
      </c>
      <c r="P246">
        <f t="shared" si="148"/>
        <v>0</v>
      </c>
      <c r="Q246">
        <f t="shared" si="148"/>
        <v>0</v>
      </c>
      <c r="S246" t="str">
        <f t="shared" si="149"/>
        <v>0.00 (0.00 to 0.00)</v>
      </c>
    </row>
    <row r="247" spans="1:19" x14ac:dyDescent="0.3">
      <c r="A247" s="6"/>
      <c r="B247" s="16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17" t="s">
        <v>193</v>
      </c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</row>
    <row r="250" spans="1:19" ht="33" customHeight="1" x14ac:dyDescent="0.3">
      <c r="A250" s="18" t="s">
        <v>58</v>
      </c>
      <c r="B250" s="20" t="s">
        <v>14</v>
      </c>
      <c r="C250" s="20" t="s">
        <v>125</v>
      </c>
      <c r="D250" s="3" t="s">
        <v>126</v>
      </c>
      <c r="E250" s="3" t="s">
        <v>127</v>
      </c>
      <c r="F250" s="20" t="s">
        <v>129</v>
      </c>
      <c r="G250" s="3" t="s">
        <v>127</v>
      </c>
      <c r="H250" s="20" t="s">
        <v>130</v>
      </c>
      <c r="I250" s="20"/>
      <c r="J250" s="3" t="s">
        <v>149</v>
      </c>
      <c r="K250" s="3" t="s">
        <v>127</v>
      </c>
      <c r="L250" s="20" t="s">
        <v>130</v>
      </c>
      <c r="M250" s="20"/>
    </row>
    <row r="251" spans="1:19" ht="33" x14ac:dyDescent="0.3">
      <c r="A251" s="18"/>
      <c r="B251" s="20"/>
      <c r="C251" s="20"/>
      <c r="D251" s="3" t="s">
        <v>125</v>
      </c>
      <c r="E251" s="3" t="s">
        <v>128</v>
      </c>
      <c r="F251" s="20"/>
      <c r="G251" s="3" t="s">
        <v>129</v>
      </c>
      <c r="H251" s="20" t="s">
        <v>131</v>
      </c>
      <c r="I251" s="20"/>
      <c r="J251" s="3" t="s">
        <v>129</v>
      </c>
      <c r="K251" s="3" t="s">
        <v>150</v>
      </c>
      <c r="L251" s="20" t="s">
        <v>151</v>
      </c>
      <c r="M251" s="20"/>
    </row>
    <row r="252" spans="1:19" ht="17.25" thickBot="1" x14ac:dyDescent="0.35">
      <c r="A252" s="6">
        <v>1</v>
      </c>
      <c r="B252" s="13">
        <v>0</v>
      </c>
      <c r="C252" s="2">
        <v>14867</v>
      </c>
      <c r="D252" s="2">
        <v>6536414</v>
      </c>
      <c r="E252" s="2">
        <v>80103</v>
      </c>
      <c r="F252" s="2">
        <v>21.6067</v>
      </c>
      <c r="G252" s="2">
        <v>0.2</v>
      </c>
      <c r="H252" s="2">
        <v>21.214500000000001</v>
      </c>
      <c r="I252" s="2">
        <v>21.998899999999999</v>
      </c>
      <c r="J252" s="2">
        <v>84.937299999999993</v>
      </c>
      <c r="K252" s="2">
        <v>0.35189999999999999</v>
      </c>
      <c r="L252" s="2">
        <v>84.247299999999996</v>
      </c>
      <c r="M252" s="2">
        <v>85.627200000000002</v>
      </c>
      <c r="O252">
        <f t="shared" ref="O252:O253" si="150">J252</f>
        <v>84.937299999999993</v>
      </c>
      <c r="P252">
        <f t="shared" ref="P252:Q253" si="151">L252</f>
        <v>84.247299999999996</v>
      </c>
      <c r="Q252">
        <f t="shared" si="151"/>
        <v>85.627200000000002</v>
      </c>
      <c r="S252" t="str">
        <f t="shared" ref="S252:S253" si="152">TEXT(O252,"0.00")&amp;" ("&amp;TEXT(P252,"0.00")&amp;" to "&amp;TEXT(Q252,"0.00")&amp;")"</f>
        <v>84.94 (84.25 to 85.63)</v>
      </c>
    </row>
    <row r="253" spans="1:19" ht="17.25" thickBot="1" x14ac:dyDescent="0.35">
      <c r="A253" s="6"/>
      <c r="B253" s="13">
        <v>1</v>
      </c>
      <c r="C253" s="2">
        <v>2290</v>
      </c>
      <c r="D253" s="2">
        <v>1159164</v>
      </c>
      <c r="E253" s="2">
        <v>29867</v>
      </c>
      <c r="F253" s="2">
        <v>3.8317000000000001</v>
      </c>
      <c r="G253" s="2">
        <v>9.5000000000000001E-2</v>
      </c>
      <c r="H253" s="2">
        <v>3.6455000000000002</v>
      </c>
      <c r="I253" s="2">
        <v>4.0179</v>
      </c>
      <c r="J253" s="2">
        <v>15.0627</v>
      </c>
      <c r="K253" s="2">
        <v>0.35189999999999999</v>
      </c>
      <c r="L253" s="2">
        <v>14.3728</v>
      </c>
      <c r="M253" s="2">
        <v>15.752700000000001</v>
      </c>
      <c r="O253">
        <f t="shared" si="150"/>
        <v>15.0627</v>
      </c>
      <c r="P253">
        <f t="shared" si="151"/>
        <v>14.3728</v>
      </c>
      <c r="Q253">
        <f t="shared" si="151"/>
        <v>15.752700000000001</v>
      </c>
      <c r="S253" t="str">
        <f t="shared" si="152"/>
        <v>15.06 (14.37 to 15.75)</v>
      </c>
    </row>
    <row r="254" spans="1:19" ht="17.25" thickBot="1" x14ac:dyDescent="0.35">
      <c r="A254" s="6"/>
      <c r="B254" s="13" t="s">
        <v>132</v>
      </c>
      <c r="C254" s="2">
        <v>17157</v>
      </c>
      <c r="D254" s="2">
        <v>7695579</v>
      </c>
      <c r="E254" s="2">
        <v>88007</v>
      </c>
      <c r="F254" s="2">
        <v>25.438500000000001</v>
      </c>
      <c r="G254" s="2">
        <v>0.21060000000000001</v>
      </c>
      <c r="H254" s="2">
        <v>25.025600000000001</v>
      </c>
      <c r="I254" s="2">
        <v>25.851299999999998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3">
        <v>0</v>
      </c>
      <c r="C255" s="2">
        <v>13680</v>
      </c>
      <c r="D255" s="2">
        <v>5788979</v>
      </c>
      <c r="E255" s="2">
        <v>71239</v>
      </c>
      <c r="F255" s="2">
        <v>19.135999999999999</v>
      </c>
      <c r="G255" s="2">
        <v>0.17860000000000001</v>
      </c>
      <c r="H255" s="2">
        <v>18.785900000000002</v>
      </c>
      <c r="I255" s="2">
        <v>19.4862</v>
      </c>
      <c r="J255" s="2">
        <v>76.894499999999994</v>
      </c>
      <c r="K255" s="2">
        <v>0.41410000000000002</v>
      </c>
      <c r="L255" s="2">
        <v>76.082400000000007</v>
      </c>
      <c r="M255" s="2">
        <v>77.706500000000005</v>
      </c>
      <c r="O255">
        <f t="shared" ref="O255:O256" si="153">J255</f>
        <v>76.894499999999994</v>
      </c>
      <c r="P255">
        <f t="shared" ref="P255:Q256" si="154">L255</f>
        <v>76.082400000000007</v>
      </c>
      <c r="Q255">
        <f t="shared" si="154"/>
        <v>77.706500000000005</v>
      </c>
      <c r="S255" t="str">
        <f t="shared" ref="S255:S256" si="155">TEXT(O255,"0.00")&amp;" ("&amp;TEXT(P255,"0.00")&amp;" to "&amp;TEXT(Q255,"0.00")&amp;")"</f>
        <v>76.89 (76.08 to 77.71)</v>
      </c>
    </row>
    <row r="256" spans="1:19" ht="17.25" thickBot="1" x14ac:dyDescent="0.35">
      <c r="A256" s="6"/>
      <c r="B256" s="13">
        <v>1</v>
      </c>
      <c r="C256" s="2">
        <v>3480</v>
      </c>
      <c r="D256" s="2">
        <v>1739494</v>
      </c>
      <c r="E256" s="2">
        <v>37365</v>
      </c>
      <c r="F256" s="2">
        <v>5.7500999999999998</v>
      </c>
      <c r="G256" s="2">
        <v>0.11600000000000001</v>
      </c>
      <c r="H256" s="2">
        <v>5.5225999999999997</v>
      </c>
      <c r="I256" s="2">
        <v>5.9775</v>
      </c>
      <c r="J256" s="2">
        <v>23.105499999999999</v>
      </c>
      <c r="K256" s="2">
        <v>0.41410000000000002</v>
      </c>
      <c r="L256" s="2">
        <v>22.293500000000002</v>
      </c>
      <c r="M256" s="2">
        <v>23.9176</v>
      </c>
      <c r="O256">
        <f t="shared" si="153"/>
        <v>23.105499999999999</v>
      </c>
      <c r="P256">
        <f t="shared" si="154"/>
        <v>22.293500000000002</v>
      </c>
      <c r="Q256">
        <f t="shared" si="154"/>
        <v>23.9176</v>
      </c>
      <c r="S256" t="str">
        <f t="shared" si="155"/>
        <v>23.11 (22.29 to 23.92)</v>
      </c>
    </row>
    <row r="257" spans="1:19" ht="17.25" thickBot="1" x14ac:dyDescent="0.35">
      <c r="A257" s="6"/>
      <c r="B257" s="13" t="s">
        <v>132</v>
      </c>
      <c r="C257" s="2">
        <v>17160</v>
      </c>
      <c r="D257" s="2">
        <v>7528473</v>
      </c>
      <c r="E257" s="2">
        <v>84684</v>
      </c>
      <c r="F257" s="2">
        <v>24.886099999999999</v>
      </c>
      <c r="G257" s="2">
        <v>0.19980000000000001</v>
      </c>
      <c r="H257" s="2">
        <v>24.494299999999999</v>
      </c>
      <c r="I257" s="2">
        <v>25.277799999999999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3">
        <v>0</v>
      </c>
      <c r="C258" s="2">
        <v>12704</v>
      </c>
      <c r="D258" s="2">
        <v>5241416</v>
      </c>
      <c r="E258" s="2">
        <v>65938</v>
      </c>
      <c r="F258" s="2">
        <v>17.326000000000001</v>
      </c>
      <c r="G258" s="2">
        <v>0.17230000000000001</v>
      </c>
      <c r="H258" s="2">
        <v>16.988099999999999</v>
      </c>
      <c r="I258" s="2">
        <v>17.663900000000002</v>
      </c>
      <c r="J258" s="2">
        <v>70.945999999999998</v>
      </c>
      <c r="K258" s="2">
        <v>0.4355</v>
      </c>
      <c r="L258" s="2">
        <v>70.092100000000002</v>
      </c>
      <c r="M258" s="2">
        <v>71.8</v>
      </c>
      <c r="O258">
        <f t="shared" ref="O258:O259" si="156">J258</f>
        <v>70.945999999999998</v>
      </c>
      <c r="P258">
        <f t="shared" ref="P258:Q259" si="157">L258</f>
        <v>70.092100000000002</v>
      </c>
      <c r="Q258">
        <f t="shared" si="157"/>
        <v>71.8</v>
      </c>
      <c r="S258" t="str">
        <f t="shared" ref="S258:S259" si="158">TEXT(O258,"0.00")&amp;" ("&amp;TEXT(P258,"0.00")&amp;" to "&amp;TEXT(Q258,"0.00")&amp;")"</f>
        <v>70.95 (70.09 to 71.80)</v>
      </c>
    </row>
    <row r="259" spans="1:19" ht="17.25" thickBot="1" x14ac:dyDescent="0.35">
      <c r="A259" s="6"/>
      <c r="B259" s="13">
        <v>1</v>
      </c>
      <c r="C259" s="2">
        <v>4454</v>
      </c>
      <c r="D259" s="2">
        <v>2146476</v>
      </c>
      <c r="E259" s="2">
        <v>40188</v>
      </c>
      <c r="F259" s="2">
        <v>7.0953999999999997</v>
      </c>
      <c r="G259" s="2">
        <v>0.1222</v>
      </c>
      <c r="H259" s="2">
        <v>6.8558000000000003</v>
      </c>
      <c r="I259" s="2">
        <v>7.335</v>
      </c>
      <c r="J259" s="2">
        <v>29.053999999999998</v>
      </c>
      <c r="K259" s="2">
        <v>0.4355</v>
      </c>
      <c r="L259" s="2">
        <v>28.2</v>
      </c>
      <c r="M259" s="2">
        <v>29.907900000000001</v>
      </c>
      <c r="O259">
        <f t="shared" si="156"/>
        <v>29.053999999999998</v>
      </c>
      <c r="P259">
        <f t="shared" si="157"/>
        <v>28.2</v>
      </c>
      <c r="Q259">
        <f t="shared" si="157"/>
        <v>29.907900000000001</v>
      </c>
      <c r="S259" t="str">
        <f t="shared" si="158"/>
        <v>29.05 (28.20 to 29.91)</v>
      </c>
    </row>
    <row r="260" spans="1:19" ht="17.25" thickBot="1" x14ac:dyDescent="0.35">
      <c r="A260" s="6"/>
      <c r="B260" s="13" t="s">
        <v>132</v>
      </c>
      <c r="C260" s="2">
        <v>17158</v>
      </c>
      <c r="D260" s="2">
        <v>7387892</v>
      </c>
      <c r="E260" s="2">
        <v>81641</v>
      </c>
      <c r="F260" s="2">
        <v>24.421399999999998</v>
      </c>
      <c r="G260" s="2">
        <v>0.19589999999999999</v>
      </c>
      <c r="H260" s="2">
        <v>24.037199999999999</v>
      </c>
      <c r="I260" s="2">
        <v>24.805499999999999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3">
        <v>0</v>
      </c>
      <c r="C261" s="2">
        <v>10812</v>
      </c>
      <c r="D261" s="2">
        <v>4501175</v>
      </c>
      <c r="E261" s="2">
        <v>59612</v>
      </c>
      <c r="F261" s="2">
        <v>14.879099999999999</v>
      </c>
      <c r="G261" s="2">
        <v>0.16869999999999999</v>
      </c>
      <c r="H261" s="2">
        <v>14.5482</v>
      </c>
      <c r="I261" s="2">
        <v>15.209899999999999</v>
      </c>
      <c r="J261" s="2">
        <v>58.917299999999997</v>
      </c>
      <c r="K261" s="2">
        <v>0.45540000000000003</v>
      </c>
      <c r="L261" s="2">
        <v>58.024500000000003</v>
      </c>
      <c r="M261" s="2">
        <v>59.810200000000002</v>
      </c>
      <c r="O261">
        <f t="shared" ref="O261:O262" si="159">J261</f>
        <v>58.917299999999997</v>
      </c>
      <c r="P261">
        <f t="shared" ref="P261:Q262" si="160">L261</f>
        <v>58.024500000000003</v>
      </c>
      <c r="Q261">
        <f t="shared" si="160"/>
        <v>59.810200000000002</v>
      </c>
      <c r="S261" t="str">
        <f t="shared" ref="S261:S262" si="161">TEXT(O261,"0.00")&amp;" ("&amp;TEXT(P261,"0.00")&amp;" to "&amp;TEXT(Q261,"0.00")&amp;")"</f>
        <v>58.92 (58.02 to 59.81)</v>
      </c>
    </row>
    <row r="262" spans="1:19" ht="17.25" thickBot="1" x14ac:dyDescent="0.35">
      <c r="A262" s="6"/>
      <c r="B262" s="13">
        <v>1</v>
      </c>
      <c r="C262" s="2">
        <v>6347</v>
      </c>
      <c r="D262" s="2">
        <v>3138639</v>
      </c>
      <c r="E262" s="2">
        <v>48665</v>
      </c>
      <c r="F262" s="2">
        <v>10.3751</v>
      </c>
      <c r="G262" s="2">
        <v>0.14449999999999999</v>
      </c>
      <c r="H262" s="2">
        <v>10.091799999999999</v>
      </c>
      <c r="I262" s="2">
        <v>10.658300000000001</v>
      </c>
      <c r="J262" s="2">
        <v>41.082700000000003</v>
      </c>
      <c r="K262" s="2">
        <v>0.45540000000000003</v>
      </c>
      <c r="L262" s="2">
        <v>40.189799999999998</v>
      </c>
      <c r="M262" s="2">
        <v>41.975499999999997</v>
      </c>
      <c r="O262">
        <f t="shared" si="159"/>
        <v>41.082700000000003</v>
      </c>
      <c r="P262">
        <f t="shared" si="160"/>
        <v>40.189799999999998</v>
      </c>
      <c r="Q262">
        <f t="shared" si="160"/>
        <v>41.975499999999997</v>
      </c>
      <c r="S262" t="str">
        <f t="shared" si="161"/>
        <v>41.08 (40.19 to 41.98)</v>
      </c>
    </row>
    <row r="263" spans="1:19" ht="17.25" thickBot="1" x14ac:dyDescent="0.35">
      <c r="A263" s="6"/>
      <c r="B263" s="13" t="s">
        <v>132</v>
      </c>
      <c r="C263" s="2">
        <v>17159</v>
      </c>
      <c r="D263" s="2">
        <v>7639813</v>
      </c>
      <c r="E263" s="2">
        <v>82439</v>
      </c>
      <c r="F263" s="2">
        <v>25.254100000000001</v>
      </c>
      <c r="G263" s="2">
        <v>0.2109</v>
      </c>
      <c r="H263" s="2">
        <v>24.840499999999999</v>
      </c>
      <c r="I263" s="2">
        <v>25.6677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3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162">J264</f>
        <v>0</v>
      </c>
      <c r="P264">
        <f t="shared" ref="P264:Q265" si="163">L264</f>
        <v>0</v>
      </c>
      <c r="Q264">
        <f t="shared" si="163"/>
        <v>0</v>
      </c>
      <c r="S264" t="str">
        <f t="shared" ref="S264:S265" si="164">TEXT(O264,"0.00")&amp;" ("&amp;TEXT(P264,"0.00")&amp;" to "&amp;TEXT(Q264,"0.00")&amp;")"</f>
        <v>0.00 (0.00 to 0.00)</v>
      </c>
    </row>
    <row r="265" spans="1:19" ht="17.25" thickBot="1" x14ac:dyDescent="0.35">
      <c r="A265" s="6"/>
      <c r="B265" s="13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162"/>
        <v>0</v>
      </c>
      <c r="P265">
        <f t="shared" si="163"/>
        <v>0</v>
      </c>
      <c r="Q265">
        <f t="shared" si="163"/>
        <v>0</v>
      </c>
      <c r="S265" t="str">
        <f t="shared" si="164"/>
        <v>0.00 (0.00 to 0.00)</v>
      </c>
    </row>
    <row r="266" spans="1:19" x14ac:dyDescent="0.3">
      <c r="A266" s="6"/>
      <c r="B266" s="16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17" t="s">
        <v>194</v>
      </c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 spans="1:19" ht="33" customHeight="1" x14ac:dyDescent="0.3">
      <c r="A269" s="18" t="s">
        <v>58</v>
      </c>
      <c r="B269" s="20" t="s">
        <v>15</v>
      </c>
      <c r="C269" s="20" t="s">
        <v>125</v>
      </c>
      <c r="D269" s="3" t="s">
        <v>126</v>
      </c>
      <c r="E269" s="3" t="s">
        <v>127</v>
      </c>
      <c r="F269" s="20" t="s">
        <v>129</v>
      </c>
      <c r="G269" s="3" t="s">
        <v>127</v>
      </c>
      <c r="H269" s="20" t="s">
        <v>130</v>
      </c>
      <c r="I269" s="20"/>
      <c r="J269" s="3" t="s">
        <v>149</v>
      </c>
      <c r="K269" s="3" t="s">
        <v>127</v>
      </c>
      <c r="L269" s="20" t="s">
        <v>130</v>
      </c>
      <c r="M269" s="20"/>
    </row>
    <row r="270" spans="1:19" ht="33" x14ac:dyDescent="0.3">
      <c r="A270" s="18"/>
      <c r="B270" s="20"/>
      <c r="C270" s="20"/>
      <c r="D270" s="3" t="s">
        <v>125</v>
      </c>
      <c r="E270" s="3" t="s">
        <v>128</v>
      </c>
      <c r="F270" s="20"/>
      <c r="G270" s="3" t="s">
        <v>129</v>
      </c>
      <c r="H270" s="20" t="s">
        <v>131</v>
      </c>
      <c r="I270" s="20"/>
      <c r="J270" s="3" t="s">
        <v>129</v>
      </c>
      <c r="K270" s="3" t="s">
        <v>150</v>
      </c>
      <c r="L270" s="20" t="s">
        <v>151</v>
      </c>
      <c r="M270" s="20"/>
    </row>
    <row r="271" spans="1:19" ht="17.25" thickBot="1" x14ac:dyDescent="0.35">
      <c r="A271" s="6">
        <v>1</v>
      </c>
      <c r="B271" s="13">
        <v>0</v>
      </c>
      <c r="C271" s="2">
        <v>15100</v>
      </c>
      <c r="D271" s="2">
        <v>6993753</v>
      </c>
      <c r="E271" s="2">
        <v>84932</v>
      </c>
      <c r="F271" s="2">
        <v>23.118500000000001</v>
      </c>
      <c r="G271" s="2">
        <v>0.20749999999999999</v>
      </c>
      <c r="H271" s="2">
        <v>22.7117</v>
      </c>
      <c r="I271" s="2">
        <v>23.525300000000001</v>
      </c>
      <c r="J271" s="2">
        <v>90.880099999999999</v>
      </c>
      <c r="K271" s="2">
        <v>0.24390000000000001</v>
      </c>
      <c r="L271" s="2">
        <v>90.401899999999998</v>
      </c>
      <c r="M271" s="2">
        <v>91.3583</v>
      </c>
      <c r="O271">
        <f t="shared" ref="O271:O272" si="165">J271</f>
        <v>90.880099999999999</v>
      </c>
      <c r="P271">
        <f t="shared" ref="P271:Q272" si="166">L271</f>
        <v>90.401899999999998</v>
      </c>
      <c r="Q271">
        <f t="shared" si="166"/>
        <v>91.3583</v>
      </c>
      <c r="S271" t="str">
        <f t="shared" ref="S271:S272" si="167">TEXT(O271,"0.00")&amp;" ("&amp;TEXT(P271,"0.00")&amp;" to "&amp;TEXT(Q271,"0.00")&amp;")"</f>
        <v>90.88 (90.40 to 91.36)</v>
      </c>
    </row>
    <row r="272" spans="1:19" ht="17.25" thickBot="1" x14ac:dyDescent="0.35">
      <c r="A272" s="6"/>
      <c r="B272" s="13">
        <v>1</v>
      </c>
      <c r="C272" s="2">
        <v>2057</v>
      </c>
      <c r="D272" s="2">
        <v>701825</v>
      </c>
      <c r="E272" s="2">
        <v>19237</v>
      </c>
      <c r="F272" s="2">
        <v>2.3199000000000001</v>
      </c>
      <c r="G272" s="2">
        <v>6.2899999999999998E-2</v>
      </c>
      <c r="H272" s="2">
        <v>2.1966000000000001</v>
      </c>
      <c r="I272" s="2">
        <v>2.4432999999999998</v>
      </c>
      <c r="J272" s="2">
        <v>9.1198999999999995</v>
      </c>
      <c r="K272" s="2">
        <v>0.24390000000000001</v>
      </c>
      <c r="L272" s="2">
        <v>8.6417000000000002</v>
      </c>
      <c r="M272" s="2">
        <v>9.5981000000000005</v>
      </c>
      <c r="O272">
        <f t="shared" si="165"/>
        <v>9.1198999999999995</v>
      </c>
      <c r="P272">
        <f t="shared" si="166"/>
        <v>8.6417000000000002</v>
      </c>
      <c r="Q272">
        <f t="shared" si="166"/>
        <v>9.5981000000000005</v>
      </c>
      <c r="S272" t="str">
        <f t="shared" si="167"/>
        <v>9.12 (8.64 to 9.60)</v>
      </c>
    </row>
    <row r="273" spans="1:19" ht="17.25" thickBot="1" x14ac:dyDescent="0.35">
      <c r="A273" s="6"/>
      <c r="B273" s="13" t="s">
        <v>132</v>
      </c>
      <c r="C273" s="2">
        <v>17157</v>
      </c>
      <c r="D273" s="2">
        <v>7695579</v>
      </c>
      <c r="E273" s="2">
        <v>88007</v>
      </c>
      <c r="F273" s="2">
        <v>25.438500000000001</v>
      </c>
      <c r="G273" s="2">
        <v>0.21060000000000001</v>
      </c>
      <c r="H273" s="2">
        <v>25.025600000000001</v>
      </c>
      <c r="I273" s="2">
        <v>25.851299999999998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3">
        <v>0</v>
      </c>
      <c r="C274" s="2">
        <v>13883</v>
      </c>
      <c r="D274" s="2">
        <v>6425781</v>
      </c>
      <c r="E274" s="2">
        <v>79543</v>
      </c>
      <c r="F274" s="2">
        <v>21.241</v>
      </c>
      <c r="G274" s="2">
        <v>0.19359999999999999</v>
      </c>
      <c r="H274" s="2">
        <v>20.861499999999999</v>
      </c>
      <c r="I274" s="2">
        <v>21.6206</v>
      </c>
      <c r="J274" s="2">
        <v>85.352999999999994</v>
      </c>
      <c r="K274" s="2">
        <v>0.30459999999999998</v>
      </c>
      <c r="L274" s="2">
        <v>84.755700000000004</v>
      </c>
      <c r="M274" s="2">
        <v>85.950400000000002</v>
      </c>
      <c r="O274">
        <f t="shared" ref="O274:O275" si="168">J274</f>
        <v>85.352999999999994</v>
      </c>
      <c r="P274">
        <f t="shared" ref="P274:Q275" si="169">L274</f>
        <v>84.755700000000004</v>
      </c>
      <c r="Q274">
        <f t="shared" si="169"/>
        <v>85.950400000000002</v>
      </c>
      <c r="S274" t="str">
        <f t="shared" ref="S274:S275" si="170">TEXT(O274,"0.00")&amp;" ("&amp;TEXT(P274,"0.00")&amp;" to "&amp;TEXT(Q274,"0.00")&amp;")"</f>
        <v>85.35 (84.76 to 85.95)</v>
      </c>
    </row>
    <row r="275" spans="1:19" ht="17.25" thickBot="1" x14ac:dyDescent="0.35">
      <c r="A275" s="6"/>
      <c r="B275" s="13">
        <v>1</v>
      </c>
      <c r="C275" s="2">
        <v>3277</v>
      </c>
      <c r="D275" s="2">
        <v>1102692</v>
      </c>
      <c r="E275" s="2">
        <v>24101</v>
      </c>
      <c r="F275" s="2">
        <v>3.6450999999999998</v>
      </c>
      <c r="G275" s="2">
        <v>7.8399999999999997E-2</v>
      </c>
      <c r="H275" s="2">
        <v>3.4912999999999998</v>
      </c>
      <c r="I275" s="2">
        <v>3.7988</v>
      </c>
      <c r="J275" s="2">
        <v>14.647</v>
      </c>
      <c r="K275" s="2">
        <v>0.30459999999999998</v>
      </c>
      <c r="L275" s="2">
        <v>14.0496</v>
      </c>
      <c r="M275" s="2">
        <v>15.244300000000001</v>
      </c>
      <c r="O275">
        <f t="shared" si="168"/>
        <v>14.647</v>
      </c>
      <c r="P275">
        <f t="shared" si="169"/>
        <v>14.0496</v>
      </c>
      <c r="Q275">
        <f t="shared" si="169"/>
        <v>15.244300000000001</v>
      </c>
      <c r="S275" t="str">
        <f t="shared" si="170"/>
        <v>14.65 (14.05 to 15.24)</v>
      </c>
    </row>
    <row r="276" spans="1:19" ht="17.25" thickBot="1" x14ac:dyDescent="0.35">
      <c r="A276" s="6"/>
      <c r="B276" s="13" t="s">
        <v>132</v>
      </c>
      <c r="C276" s="2">
        <v>17160</v>
      </c>
      <c r="D276" s="2">
        <v>7528473</v>
      </c>
      <c r="E276" s="2">
        <v>84684</v>
      </c>
      <c r="F276" s="2">
        <v>24.886099999999999</v>
      </c>
      <c r="G276" s="2">
        <v>0.19980000000000001</v>
      </c>
      <c r="H276" s="2">
        <v>24.494299999999999</v>
      </c>
      <c r="I276" s="2">
        <v>25.277799999999999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3">
        <v>0</v>
      </c>
      <c r="C277" s="2">
        <v>12726</v>
      </c>
      <c r="D277" s="2">
        <v>5873722</v>
      </c>
      <c r="E277" s="2">
        <v>73424</v>
      </c>
      <c r="F277" s="2">
        <v>19.4161</v>
      </c>
      <c r="G277" s="2">
        <v>0.18379999999999999</v>
      </c>
      <c r="H277" s="2">
        <v>19.055800000000001</v>
      </c>
      <c r="I277" s="2">
        <v>19.776499999999999</v>
      </c>
      <c r="J277" s="2">
        <v>79.5047</v>
      </c>
      <c r="K277" s="2">
        <v>0.35859999999999997</v>
      </c>
      <c r="L277" s="2">
        <v>78.801599999999993</v>
      </c>
      <c r="M277" s="2">
        <v>80.207899999999995</v>
      </c>
      <c r="O277">
        <f t="shared" ref="O277:O278" si="171">J277</f>
        <v>79.5047</v>
      </c>
      <c r="P277">
        <f t="shared" ref="P277:Q278" si="172">L277</f>
        <v>78.801599999999993</v>
      </c>
      <c r="Q277">
        <f t="shared" si="172"/>
        <v>80.207899999999995</v>
      </c>
      <c r="S277" t="str">
        <f t="shared" ref="S277:S278" si="173">TEXT(O277,"0.00")&amp;" ("&amp;TEXT(P277,"0.00")&amp;" to "&amp;TEXT(Q277,"0.00")&amp;")"</f>
        <v>79.50 (78.80 to 80.21)</v>
      </c>
    </row>
    <row r="278" spans="1:19" ht="17.25" thickBot="1" x14ac:dyDescent="0.35">
      <c r="A278" s="6"/>
      <c r="B278" s="13">
        <v>1</v>
      </c>
      <c r="C278" s="2">
        <v>4432</v>
      </c>
      <c r="D278" s="2">
        <v>1514169</v>
      </c>
      <c r="E278" s="2">
        <v>29311</v>
      </c>
      <c r="F278" s="2">
        <v>5.0052000000000003</v>
      </c>
      <c r="G278" s="2">
        <v>9.3899999999999997E-2</v>
      </c>
      <c r="H278" s="2">
        <v>4.8212000000000002</v>
      </c>
      <c r="I278" s="2">
        <v>5.1893000000000002</v>
      </c>
      <c r="J278" s="2">
        <v>20.4953</v>
      </c>
      <c r="K278" s="2">
        <v>0.35859999999999997</v>
      </c>
      <c r="L278" s="2">
        <v>19.792100000000001</v>
      </c>
      <c r="M278" s="2">
        <v>21.198399999999999</v>
      </c>
      <c r="O278">
        <f t="shared" si="171"/>
        <v>20.4953</v>
      </c>
      <c r="P278">
        <f t="shared" si="172"/>
        <v>19.792100000000001</v>
      </c>
      <c r="Q278">
        <f t="shared" si="172"/>
        <v>21.198399999999999</v>
      </c>
      <c r="S278" t="str">
        <f t="shared" si="173"/>
        <v>20.50 (19.79 to 21.20)</v>
      </c>
    </row>
    <row r="279" spans="1:19" ht="17.25" thickBot="1" x14ac:dyDescent="0.35">
      <c r="A279" s="6"/>
      <c r="B279" s="13" t="s">
        <v>132</v>
      </c>
      <c r="C279" s="2">
        <v>17158</v>
      </c>
      <c r="D279" s="2">
        <v>7387892</v>
      </c>
      <c r="E279" s="2">
        <v>81641</v>
      </c>
      <c r="F279" s="2">
        <v>24.421399999999998</v>
      </c>
      <c r="G279" s="2">
        <v>0.19589999999999999</v>
      </c>
      <c r="H279" s="2">
        <v>24.037199999999999</v>
      </c>
      <c r="I279" s="2">
        <v>24.805499999999999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3">
        <v>0</v>
      </c>
      <c r="C280" s="2">
        <v>12201</v>
      </c>
      <c r="D280" s="2">
        <v>5827491</v>
      </c>
      <c r="E280" s="2">
        <v>71668</v>
      </c>
      <c r="F280" s="2">
        <v>19.263300000000001</v>
      </c>
      <c r="G280" s="2">
        <v>0.19</v>
      </c>
      <c r="H280" s="2">
        <v>18.890699999999999</v>
      </c>
      <c r="I280" s="2">
        <v>19.635899999999999</v>
      </c>
      <c r="J280" s="2">
        <v>76.277900000000002</v>
      </c>
      <c r="K280" s="2">
        <v>0.38429999999999997</v>
      </c>
      <c r="L280" s="2">
        <v>75.5244</v>
      </c>
      <c r="M280" s="2">
        <v>77.031499999999994</v>
      </c>
      <c r="O280">
        <f t="shared" ref="O280:O281" si="174">J280</f>
        <v>76.277900000000002</v>
      </c>
      <c r="P280">
        <f t="shared" ref="P280:Q281" si="175">L280</f>
        <v>75.5244</v>
      </c>
      <c r="Q280">
        <f t="shared" si="175"/>
        <v>77.031499999999994</v>
      </c>
      <c r="S280" t="str">
        <f t="shared" ref="S280:S281" si="176">TEXT(O280,"0.00")&amp;" ("&amp;TEXT(P280,"0.00")&amp;" to "&amp;TEXT(Q280,"0.00")&amp;")"</f>
        <v>76.28 (75.52 to 77.03)</v>
      </c>
    </row>
    <row r="281" spans="1:19" ht="17.25" thickBot="1" x14ac:dyDescent="0.35">
      <c r="A281" s="6"/>
      <c r="B281" s="13">
        <v>1</v>
      </c>
      <c r="C281" s="2">
        <v>4958</v>
      </c>
      <c r="D281" s="2">
        <v>1812323</v>
      </c>
      <c r="E281" s="2">
        <v>33836</v>
      </c>
      <c r="F281" s="2">
        <v>5.9908000000000001</v>
      </c>
      <c r="G281" s="2">
        <v>0.108</v>
      </c>
      <c r="H281" s="2">
        <v>5.7789999999999999</v>
      </c>
      <c r="I281" s="2">
        <v>6.2026000000000003</v>
      </c>
      <c r="J281" s="2">
        <v>23.722100000000001</v>
      </c>
      <c r="K281" s="2">
        <v>0.38429999999999997</v>
      </c>
      <c r="L281" s="2">
        <v>22.968499999999999</v>
      </c>
      <c r="M281" s="2">
        <v>24.4756</v>
      </c>
      <c r="O281">
        <f t="shared" si="174"/>
        <v>23.722100000000001</v>
      </c>
      <c r="P281">
        <f t="shared" si="175"/>
        <v>22.968499999999999</v>
      </c>
      <c r="Q281">
        <f t="shared" si="175"/>
        <v>24.4756</v>
      </c>
      <c r="S281" t="str">
        <f t="shared" si="176"/>
        <v>23.72 (22.97 to 24.48)</v>
      </c>
    </row>
    <row r="282" spans="1:19" ht="17.25" thickBot="1" x14ac:dyDescent="0.35">
      <c r="A282" s="6"/>
      <c r="B282" s="13" t="s">
        <v>132</v>
      </c>
      <c r="C282" s="2">
        <v>17159</v>
      </c>
      <c r="D282" s="2">
        <v>7639813</v>
      </c>
      <c r="E282" s="2">
        <v>82439</v>
      </c>
      <c r="F282" s="2">
        <v>25.254100000000001</v>
      </c>
      <c r="G282" s="2">
        <v>0.2109</v>
      </c>
      <c r="H282" s="2">
        <v>24.840499999999999</v>
      </c>
      <c r="I282" s="2">
        <v>25.6677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3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177">J283</f>
        <v>0</v>
      </c>
      <c r="P283">
        <f t="shared" ref="P283:Q284" si="178">L283</f>
        <v>0</v>
      </c>
      <c r="Q283">
        <f t="shared" si="178"/>
        <v>0</v>
      </c>
      <c r="S283" t="str">
        <f t="shared" ref="S283:S284" si="17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3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177"/>
        <v>0</v>
      </c>
      <c r="P284">
        <f t="shared" si="178"/>
        <v>0</v>
      </c>
      <c r="Q284">
        <f t="shared" si="178"/>
        <v>0</v>
      </c>
      <c r="S284" t="str">
        <f t="shared" si="179"/>
        <v>0.00 (0.00 to 0.00)</v>
      </c>
    </row>
    <row r="285" spans="1:19" x14ac:dyDescent="0.3">
      <c r="A285" s="6"/>
      <c r="B285" s="16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17" t="s">
        <v>195</v>
      </c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</row>
    <row r="288" spans="1:19" ht="33" customHeight="1" x14ac:dyDescent="0.3">
      <c r="A288" s="18" t="s">
        <v>58</v>
      </c>
      <c r="B288" s="20" t="s">
        <v>16</v>
      </c>
      <c r="C288" s="20" t="s">
        <v>125</v>
      </c>
      <c r="D288" s="3" t="s">
        <v>126</v>
      </c>
      <c r="E288" s="3" t="s">
        <v>127</v>
      </c>
      <c r="F288" s="20" t="s">
        <v>129</v>
      </c>
      <c r="G288" s="3" t="s">
        <v>127</v>
      </c>
      <c r="H288" s="20" t="s">
        <v>130</v>
      </c>
      <c r="I288" s="20"/>
      <c r="J288" s="3" t="s">
        <v>149</v>
      </c>
      <c r="K288" s="3" t="s">
        <v>127</v>
      </c>
      <c r="L288" s="20" t="s">
        <v>130</v>
      </c>
      <c r="M288" s="20"/>
    </row>
    <row r="289" spans="1:19" ht="33" x14ac:dyDescent="0.3">
      <c r="A289" s="18"/>
      <c r="B289" s="20"/>
      <c r="C289" s="20"/>
      <c r="D289" s="3" t="s">
        <v>125</v>
      </c>
      <c r="E289" s="3" t="s">
        <v>128</v>
      </c>
      <c r="F289" s="20"/>
      <c r="G289" s="3" t="s">
        <v>129</v>
      </c>
      <c r="H289" s="20" t="s">
        <v>131</v>
      </c>
      <c r="I289" s="20"/>
      <c r="J289" s="3" t="s">
        <v>129</v>
      </c>
      <c r="K289" s="3" t="s">
        <v>150</v>
      </c>
      <c r="L289" s="20" t="s">
        <v>151</v>
      </c>
      <c r="M289" s="20"/>
    </row>
    <row r="290" spans="1:19" ht="17.25" thickBot="1" x14ac:dyDescent="0.35">
      <c r="A290" s="6">
        <v>1</v>
      </c>
      <c r="B290" s="13">
        <v>0</v>
      </c>
      <c r="C290" s="2">
        <v>15625</v>
      </c>
      <c r="D290" s="2">
        <v>7144912</v>
      </c>
      <c r="E290" s="2">
        <v>85148</v>
      </c>
      <c r="F290" s="2">
        <v>23.618200000000002</v>
      </c>
      <c r="G290" s="2">
        <v>0.20710000000000001</v>
      </c>
      <c r="H290" s="2">
        <v>23.2121</v>
      </c>
      <c r="I290" s="2">
        <v>24.0243</v>
      </c>
      <c r="J290" s="2">
        <v>92.844399999999993</v>
      </c>
      <c r="K290" s="2">
        <v>0.21129999999999999</v>
      </c>
      <c r="L290" s="2">
        <v>92.430099999999996</v>
      </c>
      <c r="M290" s="2">
        <v>93.258600000000001</v>
      </c>
      <c r="O290">
        <f t="shared" ref="O290:O291" si="180">J290</f>
        <v>92.844399999999993</v>
      </c>
      <c r="P290">
        <f t="shared" ref="P290:Q291" si="181">L290</f>
        <v>92.430099999999996</v>
      </c>
      <c r="Q290">
        <f t="shared" si="181"/>
        <v>93.258600000000001</v>
      </c>
      <c r="S290" t="str">
        <f t="shared" ref="S290:S291" si="182">TEXT(O290,"0.00")&amp;" ("&amp;TEXT(P290,"0.00")&amp;" to "&amp;TEXT(Q290,"0.00")&amp;")"</f>
        <v>92.84 (92.43 to 93.26)</v>
      </c>
    </row>
    <row r="291" spans="1:19" ht="17.25" thickBot="1" x14ac:dyDescent="0.35">
      <c r="A291" s="6"/>
      <c r="B291" s="13">
        <v>1</v>
      </c>
      <c r="C291" s="2">
        <v>1532</v>
      </c>
      <c r="D291" s="2">
        <v>550667</v>
      </c>
      <c r="E291" s="2">
        <v>16737</v>
      </c>
      <c r="F291" s="2">
        <v>1.8203</v>
      </c>
      <c r="G291" s="2">
        <v>5.4600000000000003E-2</v>
      </c>
      <c r="H291" s="2">
        <v>1.7133</v>
      </c>
      <c r="I291" s="2">
        <v>1.9273</v>
      </c>
      <c r="J291" s="2">
        <v>7.1555999999999997</v>
      </c>
      <c r="K291" s="2">
        <v>0.21129999999999999</v>
      </c>
      <c r="L291" s="2">
        <v>6.7413999999999996</v>
      </c>
      <c r="M291" s="2">
        <v>7.5698999999999996</v>
      </c>
      <c r="O291">
        <f t="shared" si="180"/>
        <v>7.1555999999999997</v>
      </c>
      <c r="P291">
        <f t="shared" si="181"/>
        <v>6.7413999999999996</v>
      </c>
      <c r="Q291">
        <f t="shared" si="181"/>
        <v>7.5698999999999996</v>
      </c>
      <c r="S291" t="str">
        <f t="shared" si="182"/>
        <v>7.16 (6.74 to 7.57)</v>
      </c>
    </row>
    <row r="292" spans="1:19" ht="17.25" thickBot="1" x14ac:dyDescent="0.35">
      <c r="A292" s="6"/>
      <c r="B292" s="13" t="s">
        <v>132</v>
      </c>
      <c r="C292" s="2">
        <v>17157</v>
      </c>
      <c r="D292" s="2">
        <v>7695579</v>
      </c>
      <c r="E292" s="2">
        <v>88007</v>
      </c>
      <c r="F292" s="2">
        <v>25.438500000000001</v>
      </c>
      <c r="G292" s="2">
        <v>0.21060000000000001</v>
      </c>
      <c r="H292" s="2">
        <v>25.025600000000001</v>
      </c>
      <c r="I292" s="2">
        <v>25.851299999999998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3">
        <v>0</v>
      </c>
      <c r="C293" s="2">
        <v>14816</v>
      </c>
      <c r="D293" s="2">
        <v>6703581</v>
      </c>
      <c r="E293" s="2">
        <v>80636</v>
      </c>
      <c r="F293" s="2">
        <v>22.159300000000002</v>
      </c>
      <c r="G293" s="2">
        <v>0.19670000000000001</v>
      </c>
      <c r="H293" s="2">
        <v>21.773700000000002</v>
      </c>
      <c r="I293" s="2">
        <v>22.544899999999998</v>
      </c>
      <c r="J293" s="2">
        <v>89.043000000000006</v>
      </c>
      <c r="K293" s="2">
        <v>0.2591</v>
      </c>
      <c r="L293" s="2">
        <v>88.534999999999997</v>
      </c>
      <c r="M293" s="2">
        <v>89.551100000000005</v>
      </c>
      <c r="O293">
        <f t="shared" ref="O293:O294" si="183">J293</f>
        <v>89.043000000000006</v>
      </c>
      <c r="P293">
        <f t="shared" ref="P293:Q294" si="184">L293</f>
        <v>88.534999999999997</v>
      </c>
      <c r="Q293">
        <f t="shared" si="184"/>
        <v>89.551100000000005</v>
      </c>
      <c r="S293" t="str">
        <f t="shared" ref="S293:S294" si="185">TEXT(O293,"0.00")&amp;" ("&amp;TEXT(P293,"0.00")&amp;" to "&amp;TEXT(Q293,"0.00")&amp;")"</f>
        <v>89.04 (88.54 to 89.55)</v>
      </c>
    </row>
    <row r="294" spans="1:19" ht="17.25" thickBot="1" x14ac:dyDescent="0.35">
      <c r="A294" s="6"/>
      <c r="B294" s="13">
        <v>1</v>
      </c>
      <c r="C294" s="2">
        <v>2344</v>
      </c>
      <c r="D294" s="2">
        <v>824892</v>
      </c>
      <c r="E294" s="2">
        <v>20321</v>
      </c>
      <c r="F294" s="2">
        <v>2.7267999999999999</v>
      </c>
      <c r="G294" s="2">
        <v>6.54E-2</v>
      </c>
      <c r="H294" s="2">
        <v>2.5983999999999998</v>
      </c>
      <c r="I294" s="2">
        <v>2.8551000000000002</v>
      </c>
      <c r="J294" s="2">
        <v>10.957000000000001</v>
      </c>
      <c r="K294" s="2">
        <v>0.2591</v>
      </c>
      <c r="L294" s="2">
        <v>10.4489</v>
      </c>
      <c r="M294" s="2">
        <v>11.465</v>
      </c>
      <c r="O294">
        <f t="shared" si="183"/>
        <v>10.957000000000001</v>
      </c>
      <c r="P294">
        <f t="shared" si="184"/>
        <v>10.4489</v>
      </c>
      <c r="Q294">
        <f t="shared" si="184"/>
        <v>11.465</v>
      </c>
      <c r="S294" t="str">
        <f t="shared" si="185"/>
        <v>10.96 (10.45 to 11.47)</v>
      </c>
    </row>
    <row r="295" spans="1:19" ht="17.25" thickBot="1" x14ac:dyDescent="0.35">
      <c r="A295" s="6"/>
      <c r="B295" s="13" t="s">
        <v>132</v>
      </c>
      <c r="C295" s="2">
        <v>17160</v>
      </c>
      <c r="D295" s="2">
        <v>7528473</v>
      </c>
      <c r="E295" s="2">
        <v>84684</v>
      </c>
      <c r="F295" s="2">
        <v>24.886099999999999</v>
      </c>
      <c r="G295" s="2">
        <v>0.19980000000000001</v>
      </c>
      <c r="H295" s="2">
        <v>24.494299999999999</v>
      </c>
      <c r="I295" s="2">
        <v>25.277799999999999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3">
        <v>0</v>
      </c>
      <c r="C296" s="2">
        <v>14108</v>
      </c>
      <c r="D296" s="2">
        <v>6257374</v>
      </c>
      <c r="E296" s="2">
        <v>74589</v>
      </c>
      <c r="F296" s="2">
        <v>20.6843</v>
      </c>
      <c r="G296" s="2">
        <v>0.1865</v>
      </c>
      <c r="H296" s="2">
        <v>20.3186</v>
      </c>
      <c r="I296" s="2">
        <v>21.0501</v>
      </c>
      <c r="J296" s="2">
        <v>84.697699999999998</v>
      </c>
      <c r="K296" s="2">
        <v>0.30930000000000002</v>
      </c>
      <c r="L296" s="2">
        <v>84.091300000000004</v>
      </c>
      <c r="M296" s="2">
        <v>85.304100000000005</v>
      </c>
      <c r="O296">
        <f t="shared" ref="O296:O297" si="186">J296</f>
        <v>84.697699999999998</v>
      </c>
      <c r="P296">
        <f t="shared" ref="P296:Q297" si="187">L296</f>
        <v>84.091300000000004</v>
      </c>
      <c r="Q296">
        <f t="shared" si="187"/>
        <v>85.304100000000005</v>
      </c>
      <c r="S296" t="str">
        <f t="shared" ref="S296:S297" si="188">TEXT(O296,"0.00")&amp;" ("&amp;TEXT(P296,"0.00")&amp;" to "&amp;TEXT(Q296,"0.00")&amp;")"</f>
        <v>84.70 (84.09 to 85.30)</v>
      </c>
    </row>
    <row r="297" spans="1:19" ht="17.25" thickBot="1" x14ac:dyDescent="0.35">
      <c r="A297" s="6"/>
      <c r="B297" s="13">
        <v>1</v>
      </c>
      <c r="C297" s="2">
        <v>3050</v>
      </c>
      <c r="D297" s="2">
        <v>1130518</v>
      </c>
      <c r="E297" s="2">
        <v>25123</v>
      </c>
      <c r="F297" s="2">
        <v>3.7370000000000001</v>
      </c>
      <c r="G297" s="2">
        <v>7.9500000000000001E-2</v>
      </c>
      <c r="H297" s="2">
        <v>3.5811000000000002</v>
      </c>
      <c r="I297" s="2">
        <v>3.8929</v>
      </c>
      <c r="J297" s="2">
        <v>15.302300000000001</v>
      </c>
      <c r="K297" s="2">
        <v>0.30930000000000002</v>
      </c>
      <c r="L297" s="2">
        <v>14.6959</v>
      </c>
      <c r="M297" s="2">
        <v>15.9087</v>
      </c>
      <c r="O297">
        <f t="shared" si="186"/>
        <v>15.302300000000001</v>
      </c>
      <c r="P297">
        <f t="shared" si="187"/>
        <v>14.6959</v>
      </c>
      <c r="Q297">
        <f t="shared" si="187"/>
        <v>15.9087</v>
      </c>
      <c r="S297" t="str">
        <f t="shared" si="188"/>
        <v>15.30 (14.70 to 15.91)</v>
      </c>
    </row>
    <row r="298" spans="1:19" ht="17.25" thickBot="1" x14ac:dyDescent="0.35">
      <c r="A298" s="6"/>
      <c r="B298" s="13" t="s">
        <v>132</v>
      </c>
      <c r="C298" s="2">
        <v>17158</v>
      </c>
      <c r="D298" s="2">
        <v>7387892</v>
      </c>
      <c r="E298" s="2">
        <v>81641</v>
      </c>
      <c r="F298" s="2">
        <v>24.421399999999998</v>
      </c>
      <c r="G298" s="2">
        <v>0.19589999999999999</v>
      </c>
      <c r="H298" s="2">
        <v>24.037199999999999</v>
      </c>
      <c r="I298" s="2">
        <v>24.805499999999999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3">
        <v>0</v>
      </c>
      <c r="C299" s="2">
        <v>13917</v>
      </c>
      <c r="D299" s="2">
        <v>6351161</v>
      </c>
      <c r="E299" s="2">
        <v>75183</v>
      </c>
      <c r="F299" s="2">
        <v>20.994399999999999</v>
      </c>
      <c r="G299" s="2">
        <v>0.19939999999999999</v>
      </c>
      <c r="H299" s="2">
        <v>20.603400000000001</v>
      </c>
      <c r="I299" s="2">
        <v>21.385300000000001</v>
      </c>
      <c r="J299" s="2">
        <v>83.132400000000004</v>
      </c>
      <c r="K299" s="2">
        <v>0.34399999999999997</v>
      </c>
      <c r="L299" s="2">
        <v>82.457800000000006</v>
      </c>
      <c r="M299" s="2">
        <v>83.807000000000002</v>
      </c>
      <c r="O299">
        <f t="shared" ref="O299:O300" si="189">J299</f>
        <v>83.132400000000004</v>
      </c>
      <c r="P299">
        <f t="shared" ref="P299:Q300" si="190">L299</f>
        <v>82.457800000000006</v>
      </c>
      <c r="Q299">
        <f t="shared" si="190"/>
        <v>83.807000000000002</v>
      </c>
      <c r="S299" t="str">
        <f t="shared" ref="S299:S300" si="191">TEXT(O299,"0.00")&amp;" ("&amp;TEXT(P299,"0.00")&amp;" to "&amp;TEXT(Q299,"0.00")&amp;")"</f>
        <v>83.13 (82.46 to 83.81)</v>
      </c>
    </row>
    <row r="300" spans="1:19" ht="17.25" thickBot="1" x14ac:dyDescent="0.35">
      <c r="A300" s="6"/>
      <c r="B300" s="13">
        <v>1</v>
      </c>
      <c r="C300" s="2">
        <v>3242</v>
      </c>
      <c r="D300" s="2">
        <v>1288652</v>
      </c>
      <c r="E300" s="2">
        <v>28818</v>
      </c>
      <c r="F300" s="2">
        <v>4.2598000000000003</v>
      </c>
      <c r="G300" s="2">
        <v>9.2299999999999993E-2</v>
      </c>
      <c r="H300" s="2">
        <v>4.0788000000000002</v>
      </c>
      <c r="I300" s="2">
        <v>4.4406999999999996</v>
      </c>
      <c r="J300" s="2">
        <v>16.867599999999999</v>
      </c>
      <c r="K300" s="2">
        <v>0.34399999999999997</v>
      </c>
      <c r="L300" s="2">
        <v>16.193000000000001</v>
      </c>
      <c r="M300" s="2">
        <v>17.542200000000001</v>
      </c>
      <c r="O300">
        <f t="shared" si="189"/>
        <v>16.867599999999999</v>
      </c>
      <c r="P300">
        <f t="shared" si="190"/>
        <v>16.193000000000001</v>
      </c>
      <c r="Q300">
        <f t="shared" si="190"/>
        <v>17.542200000000001</v>
      </c>
      <c r="S300" t="str">
        <f t="shared" si="191"/>
        <v>16.87 (16.19 to 17.54)</v>
      </c>
    </row>
    <row r="301" spans="1:19" ht="17.25" thickBot="1" x14ac:dyDescent="0.35">
      <c r="A301" s="6"/>
      <c r="B301" s="13" t="s">
        <v>132</v>
      </c>
      <c r="C301" s="2">
        <v>17159</v>
      </c>
      <c r="D301" s="2">
        <v>7639813</v>
      </c>
      <c r="E301" s="2">
        <v>82439</v>
      </c>
      <c r="F301" s="2">
        <v>25.254100000000001</v>
      </c>
      <c r="G301" s="2">
        <v>0.2109</v>
      </c>
      <c r="H301" s="2">
        <v>24.840499999999999</v>
      </c>
      <c r="I301" s="2">
        <v>25.6677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3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192">J302</f>
        <v>0</v>
      </c>
      <c r="P302">
        <f t="shared" ref="P302:Q303" si="193">L302</f>
        <v>0</v>
      </c>
      <c r="Q302">
        <f t="shared" si="193"/>
        <v>0</v>
      </c>
      <c r="S302" t="str">
        <f t="shared" ref="S302:S303" si="194">TEXT(O302,"0.00")&amp;" ("&amp;TEXT(P302,"0.00")&amp;" to "&amp;TEXT(Q302,"0.00")&amp;")"</f>
        <v>0.00 (0.00 to 0.00)</v>
      </c>
    </row>
    <row r="303" spans="1:19" ht="17.25" thickBot="1" x14ac:dyDescent="0.35">
      <c r="A303" s="6"/>
      <c r="B303" s="13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192"/>
        <v>0</v>
      </c>
      <c r="P303">
        <f t="shared" si="193"/>
        <v>0</v>
      </c>
      <c r="Q303">
        <f t="shared" si="193"/>
        <v>0</v>
      </c>
      <c r="S303" t="str">
        <f t="shared" si="194"/>
        <v>0.00 (0.00 to 0.00)</v>
      </c>
    </row>
    <row r="304" spans="1:19" x14ac:dyDescent="0.3">
      <c r="A304" s="6"/>
      <c r="B304" s="16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17" t="s">
        <v>196</v>
      </c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</row>
    <row r="307" spans="1:19" ht="33" customHeight="1" x14ac:dyDescent="0.3">
      <c r="A307" s="18" t="s">
        <v>58</v>
      </c>
      <c r="B307" s="20" t="s">
        <v>17</v>
      </c>
      <c r="C307" s="20" t="s">
        <v>125</v>
      </c>
      <c r="D307" s="3" t="s">
        <v>126</v>
      </c>
      <c r="E307" s="3" t="s">
        <v>127</v>
      </c>
      <c r="F307" s="20" t="s">
        <v>129</v>
      </c>
      <c r="G307" s="3" t="s">
        <v>127</v>
      </c>
      <c r="H307" s="20" t="s">
        <v>130</v>
      </c>
      <c r="I307" s="20"/>
      <c r="J307" s="3" t="s">
        <v>149</v>
      </c>
      <c r="K307" s="3" t="s">
        <v>127</v>
      </c>
      <c r="L307" s="20" t="s">
        <v>130</v>
      </c>
      <c r="M307" s="20"/>
    </row>
    <row r="308" spans="1:19" ht="33" x14ac:dyDescent="0.3">
      <c r="A308" s="18"/>
      <c r="B308" s="20"/>
      <c r="C308" s="20"/>
      <c r="D308" s="3" t="s">
        <v>125</v>
      </c>
      <c r="E308" s="3" t="s">
        <v>128</v>
      </c>
      <c r="F308" s="20"/>
      <c r="G308" s="3" t="s">
        <v>129</v>
      </c>
      <c r="H308" s="20" t="s">
        <v>131</v>
      </c>
      <c r="I308" s="20"/>
      <c r="J308" s="3" t="s">
        <v>129</v>
      </c>
      <c r="K308" s="3" t="s">
        <v>150</v>
      </c>
      <c r="L308" s="20" t="s">
        <v>151</v>
      </c>
      <c r="M308" s="20"/>
    </row>
    <row r="309" spans="1:19" ht="17.25" thickBot="1" x14ac:dyDescent="0.35">
      <c r="A309" s="6">
        <v>1</v>
      </c>
      <c r="B309" s="13">
        <v>0</v>
      </c>
      <c r="C309" s="2">
        <v>16992</v>
      </c>
      <c r="D309" s="2">
        <v>7637349</v>
      </c>
      <c r="E309" s="2">
        <v>88036</v>
      </c>
      <c r="F309" s="2">
        <v>25.245999999999999</v>
      </c>
      <c r="G309" s="2">
        <v>0.2112</v>
      </c>
      <c r="H309" s="2">
        <v>24.831800000000001</v>
      </c>
      <c r="I309" s="2">
        <v>25.6602</v>
      </c>
      <c r="J309" s="2">
        <v>99.243300000000005</v>
      </c>
      <c r="K309" s="2">
        <v>7.1599999999999997E-2</v>
      </c>
      <c r="L309" s="2">
        <v>99.102999999999994</v>
      </c>
      <c r="M309" s="2">
        <v>99.383700000000005</v>
      </c>
      <c r="O309">
        <f t="shared" ref="O309:O310" si="195">J309</f>
        <v>99.243300000000005</v>
      </c>
      <c r="P309">
        <f t="shared" ref="P309:Q310" si="196">L309</f>
        <v>99.102999999999994</v>
      </c>
      <c r="Q309">
        <f t="shared" si="196"/>
        <v>99.383700000000005</v>
      </c>
      <c r="S309" t="str">
        <f t="shared" ref="S309:S310" si="197">TEXT(O309,"0.00")&amp;" ("&amp;TEXT(P309,"0.00")&amp;" to "&amp;TEXT(Q309,"0.00")&amp;")"</f>
        <v>99.24 (99.10 to 99.38)</v>
      </c>
    </row>
    <row r="310" spans="1:19" ht="17.25" thickBot="1" x14ac:dyDescent="0.35">
      <c r="A310" s="6"/>
      <c r="B310" s="13">
        <v>1</v>
      </c>
      <c r="C310" s="2">
        <v>165</v>
      </c>
      <c r="D310" s="2">
        <v>58230</v>
      </c>
      <c r="E310" s="2">
        <v>5484</v>
      </c>
      <c r="F310" s="2">
        <v>0.1925</v>
      </c>
      <c r="G310" s="2">
        <v>1.8100000000000002E-2</v>
      </c>
      <c r="H310" s="2">
        <v>0.15690000000000001</v>
      </c>
      <c r="I310" s="2">
        <v>0.2281</v>
      </c>
      <c r="J310" s="2">
        <v>0.75670000000000004</v>
      </c>
      <c r="K310" s="2">
        <v>7.1599999999999997E-2</v>
      </c>
      <c r="L310" s="2">
        <v>0.61629999999999996</v>
      </c>
      <c r="M310" s="2">
        <v>0.89700000000000002</v>
      </c>
      <c r="O310">
        <f t="shared" si="195"/>
        <v>0.75670000000000004</v>
      </c>
      <c r="P310">
        <f t="shared" si="196"/>
        <v>0.61629999999999996</v>
      </c>
      <c r="Q310">
        <f t="shared" si="196"/>
        <v>0.89700000000000002</v>
      </c>
      <c r="S310" t="str">
        <f t="shared" si="197"/>
        <v>0.76 (0.62 to 0.90)</v>
      </c>
    </row>
    <row r="311" spans="1:19" ht="17.25" thickBot="1" x14ac:dyDescent="0.35">
      <c r="A311" s="6"/>
      <c r="B311" s="13" t="s">
        <v>132</v>
      </c>
      <c r="C311" s="2">
        <v>17157</v>
      </c>
      <c r="D311" s="2">
        <v>7695579</v>
      </c>
      <c r="E311" s="2">
        <v>88007</v>
      </c>
      <c r="F311" s="2">
        <v>25.438500000000001</v>
      </c>
      <c r="G311" s="2">
        <v>0.21060000000000001</v>
      </c>
      <c r="H311" s="2">
        <v>25.025600000000001</v>
      </c>
      <c r="I311" s="2">
        <v>25.851299999999998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3">
        <v>0</v>
      </c>
      <c r="C312" s="2">
        <v>16879</v>
      </c>
      <c r="D312" s="2">
        <v>7441884</v>
      </c>
      <c r="E312" s="2">
        <v>84479</v>
      </c>
      <c r="F312" s="2">
        <v>24.599799999999998</v>
      </c>
      <c r="G312" s="2">
        <v>0.1993</v>
      </c>
      <c r="H312" s="2">
        <v>24.209</v>
      </c>
      <c r="I312" s="2">
        <v>24.9907</v>
      </c>
      <c r="J312" s="2">
        <v>98.849800000000002</v>
      </c>
      <c r="K312" s="2">
        <v>8.4099999999999994E-2</v>
      </c>
      <c r="L312" s="2">
        <v>98.684799999999996</v>
      </c>
      <c r="M312" s="2">
        <v>99.014799999999994</v>
      </c>
      <c r="O312">
        <f t="shared" ref="O312:O313" si="198">J312</f>
        <v>98.849800000000002</v>
      </c>
      <c r="P312">
        <f t="shared" ref="P312:Q313" si="199">L312</f>
        <v>98.684799999999996</v>
      </c>
      <c r="Q312">
        <f t="shared" si="199"/>
        <v>99.014799999999994</v>
      </c>
      <c r="S312" t="str">
        <f t="shared" ref="S312:S313" si="200">TEXT(O312,"0.00")&amp;" ("&amp;TEXT(P312,"0.00")&amp;" to "&amp;TEXT(Q312,"0.00")&amp;")"</f>
        <v>98.85 (98.68 to 99.01)</v>
      </c>
    </row>
    <row r="313" spans="1:19" ht="17.25" thickBot="1" x14ac:dyDescent="0.35">
      <c r="A313" s="6"/>
      <c r="B313" s="13">
        <v>1</v>
      </c>
      <c r="C313" s="2">
        <v>281</v>
      </c>
      <c r="D313" s="2">
        <v>86589</v>
      </c>
      <c r="E313" s="2">
        <v>6328</v>
      </c>
      <c r="F313" s="2">
        <v>0.28620000000000001</v>
      </c>
      <c r="G313" s="2">
        <v>2.1000000000000001E-2</v>
      </c>
      <c r="H313" s="2">
        <v>0.24510000000000001</v>
      </c>
      <c r="I313" s="2">
        <v>0.32740000000000002</v>
      </c>
      <c r="J313" s="2">
        <v>1.1501999999999999</v>
      </c>
      <c r="K313" s="2">
        <v>8.4099999999999994E-2</v>
      </c>
      <c r="L313" s="2">
        <v>0.98519999999999996</v>
      </c>
      <c r="M313" s="2">
        <v>1.3151999999999999</v>
      </c>
      <c r="O313">
        <f t="shared" si="198"/>
        <v>1.1501999999999999</v>
      </c>
      <c r="P313">
        <f t="shared" si="199"/>
        <v>0.98519999999999996</v>
      </c>
      <c r="Q313">
        <f t="shared" si="199"/>
        <v>1.3151999999999999</v>
      </c>
      <c r="S313" t="str">
        <f t="shared" si="200"/>
        <v>1.15 (0.99 to 1.32)</v>
      </c>
    </row>
    <row r="314" spans="1:19" ht="17.25" thickBot="1" x14ac:dyDescent="0.35">
      <c r="A314" s="6"/>
      <c r="B314" s="13" t="s">
        <v>132</v>
      </c>
      <c r="C314" s="2">
        <v>17160</v>
      </c>
      <c r="D314" s="2">
        <v>7528473</v>
      </c>
      <c r="E314" s="2">
        <v>84684</v>
      </c>
      <c r="F314" s="2">
        <v>24.886099999999999</v>
      </c>
      <c r="G314" s="2">
        <v>0.19980000000000001</v>
      </c>
      <c r="H314" s="2">
        <v>24.494299999999999</v>
      </c>
      <c r="I314" s="2">
        <v>25.277799999999999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3">
        <v>0</v>
      </c>
      <c r="C315" s="2">
        <v>16730</v>
      </c>
      <c r="D315" s="2">
        <v>7250005</v>
      </c>
      <c r="E315" s="2">
        <v>80972</v>
      </c>
      <c r="F315" s="2">
        <v>23.965599999999998</v>
      </c>
      <c r="G315" s="2">
        <v>0.19520000000000001</v>
      </c>
      <c r="H315" s="2">
        <v>23.582899999999999</v>
      </c>
      <c r="I315" s="2">
        <v>24.348299999999998</v>
      </c>
      <c r="J315" s="2">
        <v>98.133600000000001</v>
      </c>
      <c r="K315" s="2">
        <v>0.11020000000000001</v>
      </c>
      <c r="L315" s="2">
        <v>97.917599999999993</v>
      </c>
      <c r="M315" s="2">
        <v>98.349699999999999</v>
      </c>
      <c r="O315">
        <f t="shared" ref="O315:O316" si="201">J315</f>
        <v>98.133600000000001</v>
      </c>
      <c r="P315">
        <f t="shared" ref="P315:Q316" si="202">L315</f>
        <v>97.917599999999993</v>
      </c>
      <c r="Q315">
        <f t="shared" si="202"/>
        <v>98.349699999999999</v>
      </c>
      <c r="S315" t="str">
        <f t="shared" ref="S315:S316" si="203">TEXT(O315,"0.00")&amp;" ("&amp;TEXT(P315,"0.00")&amp;" to "&amp;TEXT(Q315,"0.00")&amp;")"</f>
        <v>98.13 (97.92 to 98.35)</v>
      </c>
    </row>
    <row r="316" spans="1:19" ht="17.25" thickBot="1" x14ac:dyDescent="0.35">
      <c r="A316" s="6"/>
      <c r="B316" s="13">
        <v>1</v>
      </c>
      <c r="C316" s="2">
        <v>428</v>
      </c>
      <c r="D316" s="2">
        <v>137886</v>
      </c>
      <c r="E316" s="2">
        <v>8199</v>
      </c>
      <c r="F316" s="2">
        <v>0.45579999999999998</v>
      </c>
      <c r="G316" s="2">
        <v>2.7E-2</v>
      </c>
      <c r="H316" s="2">
        <v>0.40279999999999999</v>
      </c>
      <c r="I316" s="2">
        <v>0.50880000000000003</v>
      </c>
      <c r="J316" s="2">
        <v>1.8664000000000001</v>
      </c>
      <c r="K316" s="2">
        <v>0.11020000000000001</v>
      </c>
      <c r="L316" s="2">
        <v>1.6503000000000001</v>
      </c>
      <c r="M316" s="2">
        <v>2.0823999999999998</v>
      </c>
      <c r="O316">
        <f t="shared" si="201"/>
        <v>1.8664000000000001</v>
      </c>
      <c r="P316">
        <f t="shared" si="202"/>
        <v>1.6503000000000001</v>
      </c>
      <c r="Q316">
        <f t="shared" si="202"/>
        <v>2.0823999999999998</v>
      </c>
      <c r="S316" t="str">
        <f t="shared" si="203"/>
        <v>1.87 (1.65 to 2.08)</v>
      </c>
    </row>
    <row r="317" spans="1:19" ht="17.25" thickBot="1" x14ac:dyDescent="0.35">
      <c r="A317" s="6"/>
      <c r="B317" s="13" t="s">
        <v>132</v>
      </c>
      <c r="C317" s="2">
        <v>17158</v>
      </c>
      <c r="D317" s="2">
        <v>7387892</v>
      </c>
      <c r="E317" s="2">
        <v>81641</v>
      </c>
      <c r="F317" s="2">
        <v>24.421399999999998</v>
      </c>
      <c r="G317" s="2">
        <v>0.19589999999999999</v>
      </c>
      <c r="H317" s="2">
        <v>24.037199999999999</v>
      </c>
      <c r="I317" s="2">
        <v>24.805499999999999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3">
        <v>0</v>
      </c>
      <c r="C318" s="2">
        <v>16742</v>
      </c>
      <c r="D318" s="2">
        <v>7509907</v>
      </c>
      <c r="E318" s="2">
        <v>82000</v>
      </c>
      <c r="F318" s="2">
        <v>24.8247</v>
      </c>
      <c r="G318" s="2">
        <v>0.2097</v>
      </c>
      <c r="H318" s="2">
        <v>24.413599999999999</v>
      </c>
      <c r="I318" s="2">
        <v>25.235800000000001</v>
      </c>
      <c r="J318" s="2">
        <v>98.299599999999998</v>
      </c>
      <c r="K318" s="2">
        <v>0.1018</v>
      </c>
      <c r="L318" s="2">
        <v>98.100099999999998</v>
      </c>
      <c r="M318" s="2">
        <v>98.499099999999999</v>
      </c>
      <c r="O318">
        <f t="shared" ref="O318:O319" si="204">J318</f>
        <v>98.299599999999998</v>
      </c>
      <c r="P318">
        <f t="shared" ref="P318:Q319" si="205">L318</f>
        <v>98.100099999999998</v>
      </c>
      <c r="Q318">
        <f t="shared" si="205"/>
        <v>98.499099999999999</v>
      </c>
      <c r="S318" t="str">
        <f t="shared" ref="S318:S319" si="206">TEXT(O318,"0.00")&amp;" ("&amp;TEXT(P318,"0.00")&amp;" to "&amp;TEXT(Q318,"0.00")&amp;")"</f>
        <v>98.30 (98.10 to 98.50)</v>
      </c>
    </row>
    <row r="319" spans="1:19" ht="17.25" thickBot="1" x14ac:dyDescent="0.35">
      <c r="A319" s="6"/>
      <c r="B319" s="13">
        <v>1</v>
      </c>
      <c r="C319" s="2">
        <v>417</v>
      </c>
      <c r="D319" s="2">
        <v>129907</v>
      </c>
      <c r="E319" s="2">
        <v>7793</v>
      </c>
      <c r="F319" s="2">
        <v>0.4294</v>
      </c>
      <c r="G319" s="2">
        <v>2.58E-2</v>
      </c>
      <c r="H319" s="2">
        <v>0.37869999999999998</v>
      </c>
      <c r="I319" s="2">
        <v>0.48010000000000003</v>
      </c>
      <c r="J319" s="2">
        <v>1.7003999999999999</v>
      </c>
      <c r="K319" s="2">
        <v>0.1018</v>
      </c>
      <c r="L319" s="2">
        <v>1.5008999999999999</v>
      </c>
      <c r="M319" s="2">
        <v>1.8998999999999999</v>
      </c>
      <c r="O319">
        <f t="shared" si="204"/>
        <v>1.7003999999999999</v>
      </c>
      <c r="P319">
        <f t="shared" si="205"/>
        <v>1.5008999999999999</v>
      </c>
      <c r="Q319">
        <f t="shared" si="205"/>
        <v>1.8998999999999999</v>
      </c>
      <c r="S319" t="str">
        <f t="shared" si="206"/>
        <v>1.70 (1.50 to 1.90)</v>
      </c>
    </row>
    <row r="320" spans="1:19" ht="17.25" thickBot="1" x14ac:dyDescent="0.35">
      <c r="A320" s="6"/>
      <c r="B320" s="13" t="s">
        <v>132</v>
      </c>
      <c r="C320" s="2">
        <v>17159</v>
      </c>
      <c r="D320" s="2">
        <v>7639813</v>
      </c>
      <c r="E320" s="2">
        <v>82439</v>
      </c>
      <c r="F320" s="2">
        <v>25.254100000000001</v>
      </c>
      <c r="G320" s="2">
        <v>0.2109</v>
      </c>
      <c r="H320" s="2">
        <v>24.840499999999999</v>
      </c>
      <c r="I320" s="2">
        <v>25.6677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3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07">J321</f>
        <v>0</v>
      </c>
      <c r="P321">
        <f t="shared" ref="P321:Q322" si="208">L321</f>
        <v>0</v>
      </c>
      <c r="Q321">
        <f t="shared" si="208"/>
        <v>0</v>
      </c>
      <c r="S321" t="str">
        <f t="shared" ref="S321:S322" si="20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3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07"/>
        <v>0</v>
      </c>
      <c r="P322">
        <f t="shared" si="208"/>
        <v>0</v>
      </c>
      <c r="Q322">
        <f t="shared" si="208"/>
        <v>0</v>
      </c>
      <c r="S322" t="str">
        <f t="shared" si="209"/>
        <v>0.00 (0.00 to 0.00)</v>
      </c>
    </row>
    <row r="323" spans="1:19" x14ac:dyDescent="0.3">
      <c r="A323" s="6"/>
      <c r="B323" s="16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17" t="s">
        <v>197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</row>
    <row r="326" spans="1:19" ht="33" customHeight="1" x14ac:dyDescent="0.3">
      <c r="A326" s="18" t="s">
        <v>58</v>
      </c>
      <c r="B326" s="20" t="s">
        <v>18</v>
      </c>
      <c r="C326" s="20" t="s">
        <v>125</v>
      </c>
      <c r="D326" s="3" t="s">
        <v>126</v>
      </c>
      <c r="E326" s="3" t="s">
        <v>127</v>
      </c>
      <c r="F326" s="20" t="s">
        <v>129</v>
      </c>
      <c r="G326" s="3" t="s">
        <v>127</v>
      </c>
      <c r="H326" s="20" t="s">
        <v>130</v>
      </c>
      <c r="I326" s="20"/>
      <c r="J326" s="3" t="s">
        <v>149</v>
      </c>
      <c r="K326" s="3" t="s">
        <v>127</v>
      </c>
      <c r="L326" s="20" t="s">
        <v>130</v>
      </c>
      <c r="M326" s="20"/>
    </row>
    <row r="327" spans="1:19" ht="33" x14ac:dyDescent="0.3">
      <c r="A327" s="18"/>
      <c r="B327" s="20"/>
      <c r="C327" s="20"/>
      <c r="D327" s="3" t="s">
        <v>125</v>
      </c>
      <c r="E327" s="3" t="s">
        <v>128</v>
      </c>
      <c r="F327" s="20"/>
      <c r="G327" s="3" t="s">
        <v>129</v>
      </c>
      <c r="H327" s="20" t="s">
        <v>131</v>
      </c>
      <c r="I327" s="20"/>
      <c r="J327" s="3" t="s">
        <v>129</v>
      </c>
      <c r="K327" s="3" t="s">
        <v>150</v>
      </c>
      <c r="L327" s="20" t="s">
        <v>151</v>
      </c>
      <c r="M327" s="20"/>
    </row>
    <row r="328" spans="1:19" ht="17.25" thickBot="1" x14ac:dyDescent="0.35">
      <c r="A328" s="6">
        <v>1</v>
      </c>
      <c r="B328" s="13">
        <v>0</v>
      </c>
      <c r="C328" s="2">
        <v>17069</v>
      </c>
      <c r="D328" s="2">
        <v>7669756</v>
      </c>
      <c r="E328" s="2">
        <v>87953</v>
      </c>
      <c r="F328" s="2">
        <v>25.353100000000001</v>
      </c>
      <c r="G328" s="2">
        <v>0.21060000000000001</v>
      </c>
      <c r="H328" s="2">
        <v>24.940100000000001</v>
      </c>
      <c r="I328" s="2">
        <v>25.766100000000002</v>
      </c>
      <c r="J328" s="2">
        <v>99.664400000000001</v>
      </c>
      <c r="K328" s="2">
        <v>4.1500000000000002E-2</v>
      </c>
      <c r="L328" s="2">
        <v>99.583100000000002</v>
      </c>
      <c r="M328" s="2">
        <v>99.745800000000003</v>
      </c>
      <c r="O328">
        <f t="shared" ref="O328:O329" si="210">J328</f>
        <v>99.664400000000001</v>
      </c>
      <c r="P328">
        <f t="shared" ref="P328:Q329" si="211">L328</f>
        <v>99.583100000000002</v>
      </c>
      <c r="Q328">
        <f t="shared" si="211"/>
        <v>99.745800000000003</v>
      </c>
      <c r="S328" t="str">
        <f t="shared" ref="S328:S329" si="212">TEXT(O328,"0.00")&amp;" ("&amp;TEXT(P328,"0.00")&amp;" to "&amp;TEXT(Q328,"0.00")&amp;")"</f>
        <v>99.66 (99.58 to 99.75)</v>
      </c>
    </row>
    <row r="329" spans="1:19" ht="17.25" thickBot="1" x14ac:dyDescent="0.35">
      <c r="A329" s="6"/>
      <c r="B329" s="13">
        <v>1</v>
      </c>
      <c r="C329" s="2">
        <v>88</v>
      </c>
      <c r="D329" s="2">
        <v>25823</v>
      </c>
      <c r="E329" s="2">
        <v>3188</v>
      </c>
      <c r="F329" s="2">
        <v>8.5400000000000004E-2</v>
      </c>
      <c r="G329" s="2">
        <v>1.0500000000000001E-2</v>
      </c>
      <c r="H329" s="2">
        <v>6.4699999999999994E-2</v>
      </c>
      <c r="I329" s="2">
        <v>0.106</v>
      </c>
      <c r="J329" s="2">
        <v>0.33560000000000001</v>
      </c>
      <c r="K329" s="2">
        <v>4.1500000000000002E-2</v>
      </c>
      <c r="L329" s="2">
        <v>0.25419999999999998</v>
      </c>
      <c r="M329" s="2">
        <v>0.41689999999999999</v>
      </c>
      <c r="O329">
        <f t="shared" si="210"/>
        <v>0.33560000000000001</v>
      </c>
      <c r="P329">
        <f t="shared" si="211"/>
        <v>0.25419999999999998</v>
      </c>
      <c r="Q329">
        <f t="shared" si="211"/>
        <v>0.41689999999999999</v>
      </c>
      <c r="S329" t="str">
        <f t="shared" si="212"/>
        <v>0.34 (0.25 to 0.42)</v>
      </c>
    </row>
    <row r="330" spans="1:19" ht="17.25" thickBot="1" x14ac:dyDescent="0.35">
      <c r="A330" s="6"/>
      <c r="B330" s="13" t="s">
        <v>132</v>
      </c>
      <c r="C330" s="2">
        <v>17157</v>
      </c>
      <c r="D330" s="2">
        <v>7695579</v>
      </c>
      <c r="E330" s="2">
        <v>88007</v>
      </c>
      <c r="F330" s="2">
        <v>25.438500000000001</v>
      </c>
      <c r="G330" s="2">
        <v>0.21060000000000001</v>
      </c>
      <c r="H330" s="2">
        <v>25.025600000000001</v>
      </c>
      <c r="I330" s="2">
        <v>25.851299999999998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3">
        <v>0</v>
      </c>
      <c r="C331" s="2">
        <v>17001</v>
      </c>
      <c r="D331" s="2">
        <v>7481450</v>
      </c>
      <c r="E331" s="2">
        <v>84415</v>
      </c>
      <c r="F331" s="2">
        <v>24.730599999999999</v>
      </c>
      <c r="G331" s="2">
        <v>0.19919999999999999</v>
      </c>
      <c r="H331" s="2">
        <v>24.3401</v>
      </c>
      <c r="I331" s="2">
        <v>25.121200000000002</v>
      </c>
      <c r="J331" s="2">
        <v>99.375399999999999</v>
      </c>
      <c r="K331" s="2">
        <v>5.8000000000000003E-2</v>
      </c>
      <c r="L331" s="2">
        <v>99.261700000000005</v>
      </c>
      <c r="M331" s="2">
        <v>99.489099999999993</v>
      </c>
      <c r="O331">
        <f t="shared" ref="O331:O332" si="213">J331</f>
        <v>99.375399999999999</v>
      </c>
      <c r="P331">
        <f t="shared" ref="P331:Q332" si="214">L331</f>
        <v>99.261700000000005</v>
      </c>
      <c r="Q331">
        <f t="shared" si="214"/>
        <v>99.489099999999993</v>
      </c>
      <c r="S331" t="str">
        <f t="shared" ref="S331:S332" si="215">TEXT(O331,"0.00")&amp;" ("&amp;TEXT(P331,"0.00")&amp;" to "&amp;TEXT(Q331,"0.00")&amp;")"</f>
        <v>99.38 (99.26 to 99.49)</v>
      </c>
    </row>
    <row r="332" spans="1:19" ht="17.25" thickBot="1" x14ac:dyDescent="0.35">
      <c r="A332" s="6"/>
      <c r="B332" s="13">
        <v>1</v>
      </c>
      <c r="C332" s="2">
        <v>159</v>
      </c>
      <c r="D332" s="2">
        <v>47024</v>
      </c>
      <c r="E332" s="2">
        <v>4381</v>
      </c>
      <c r="F332" s="2">
        <v>0.15540000000000001</v>
      </c>
      <c r="G332" s="2">
        <v>1.4500000000000001E-2</v>
      </c>
      <c r="H332" s="2">
        <v>0.12709999999999999</v>
      </c>
      <c r="I332" s="2">
        <v>0.18379999999999999</v>
      </c>
      <c r="J332" s="2">
        <v>0.62460000000000004</v>
      </c>
      <c r="K332" s="2">
        <v>5.8000000000000003E-2</v>
      </c>
      <c r="L332" s="2">
        <v>0.51090000000000002</v>
      </c>
      <c r="M332" s="2">
        <v>0.73829999999999996</v>
      </c>
      <c r="O332">
        <f t="shared" si="213"/>
        <v>0.62460000000000004</v>
      </c>
      <c r="P332">
        <f t="shared" si="214"/>
        <v>0.51090000000000002</v>
      </c>
      <c r="Q332">
        <f t="shared" si="214"/>
        <v>0.73829999999999996</v>
      </c>
      <c r="S332" t="str">
        <f t="shared" si="215"/>
        <v>0.62 (0.51 to 0.74)</v>
      </c>
    </row>
    <row r="333" spans="1:19" ht="17.25" thickBot="1" x14ac:dyDescent="0.35">
      <c r="A333" s="6"/>
      <c r="B333" s="13" t="s">
        <v>132</v>
      </c>
      <c r="C333" s="2">
        <v>17160</v>
      </c>
      <c r="D333" s="2">
        <v>7528473</v>
      </c>
      <c r="E333" s="2">
        <v>84684</v>
      </c>
      <c r="F333" s="2">
        <v>24.886099999999999</v>
      </c>
      <c r="G333" s="2">
        <v>0.19980000000000001</v>
      </c>
      <c r="H333" s="2">
        <v>24.494299999999999</v>
      </c>
      <c r="I333" s="2">
        <v>25.277799999999999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3">
        <v>0</v>
      </c>
      <c r="C334" s="2">
        <v>16974</v>
      </c>
      <c r="D334" s="2">
        <v>7327164</v>
      </c>
      <c r="E334" s="2">
        <v>81198</v>
      </c>
      <c r="F334" s="2">
        <v>24.220600000000001</v>
      </c>
      <c r="G334" s="2">
        <v>0.19500000000000001</v>
      </c>
      <c r="H334" s="2">
        <v>23.838200000000001</v>
      </c>
      <c r="I334" s="2">
        <v>24.603000000000002</v>
      </c>
      <c r="J334" s="2">
        <v>99.177999999999997</v>
      </c>
      <c r="K334" s="2">
        <v>7.1900000000000006E-2</v>
      </c>
      <c r="L334" s="2">
        <v>99.037099999999995</v>
      </c>
      <c r="M334" s="2">
        <v>99.319000000000003</v>
      </c>
      <c r="O334">
        <f t="shared" ref="O334:O335" si="216">J334</f>
        <v>99.177999999999997</v>
      </c>
      <c r="P334">
        <f t="shared" ref="P334:Q335" si="217">L334</f>
        <v>99.037099999999995</v>
      </c>
      <c r="Q334">
        <f t="shared" si="217"/>
        <v>99.319000000000003</v>
      </c>
      <c r="S334" t="str">
        <f t="shared" ref="S334:S335" si="218">TEXT(O334,"0.00")&amp;" ("&amp;TEXT(P334,"0.00")&amp;" to "&amp;TEXT(Q334,"0.00")&amp;")"</f>
        <v>99.18 (99.04 to 99.32)</v>
      </c>
    </row>
    <row r="335" spans="1:19" ht="17.25" thickBot="1" x14ac:dyDescent="0.35">
      <c r="A335" s="6"/>
      <c r="B335" s="13">
        <v>1</v>
      </c>
      <c r="C335" s="2">
        <v>184</v>
      </c>
      <c r="D335" s="2">
        <v>60728</v>
      </c>
      <c r="E335" s="2">
        <v>5346</v>
      </c>
      <c r="F335" s="2">
        <v>0.20069999999999999</v>
      </c>
      <c r="G335" s="2">
        <v>1.7600000000000001E-2</v>
      </c>
      <c r="H335" s="2">
        <v>0.16619999999999999</v>
      </c>
      <c r="I335" s="2">
        <v>0.23530000000000001</v>
      </c>
      <c r="J335" s="2">
        <v>0.82199999999999995</v>
      </c>
      <c r="K335" s="2">
        <v>7.1900000000000006E-2</v>
      </c>
      <c r="L335" s="2">
        <v>0.68100000000000005</v>
      </c>
      <c r="M335" s="2">
        <v>0.96289999999999998</v>
      </c>
      <c r="O335">
        <f t="shared" si="216"/>
        <v>0.82199999999999995</v>
      </c>
      <c r="P335">
        <f t="shared" si="217"/>
        <v>0.68100000000000005</v>
      </c>
      <c r="Q335">
        <f t="shared" si="217"/>
        <v>0.96289999999999998</v>
      </c>
      <c r="S335" t="str">
        <f t="shared" si="218"/>
        <v>0.82 (0.68 to 0.96)</v>
      </c>
    </row>
    <row r="336" spans="1:19" ht="17.25" thickBot="1" x14ac:dyDescent="0.35">
      <c r="A336" s="6"/>
      <c r="B336" s="13" t="s">
        <v>132</v>
      </c>
      <c r="C336" s="2">
        <v>17158</v>
      </c>
      <c r="D336" s="2">
        <v>7387892</v>
      </c>
      <c r="E336" s="2">
        <v>81641</v>
      </c>
      <c r="F336" s="2">
        <v>24.421399999999998</v>
      </c>
      <c r="G336" s="2">
        <v>0.19589999999999999</v>
      </c>
      <c r="H336" s="2">
        <v>24.037199999999999</v>
      </c>
      <c r="I336" s="2">
        <v>24.805499999999999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3">
        <v>0</v>
      </c>
      <c r="C337" s="2">
        <v>16953</v>
      </c>
      <c r="D337" s="2">
        <v>7569241</v>
      </c>
      <c r="E337" s="2">
        <v>82087</v>
      </c>
      <c r="F337" s="2">
        <v>25.020800000000001</v>
      </c>
      <c r="G337" s="2">
        <v>0.21079999999999999</v>
      </c>
      <c r="H337" s="2">
        <v>24.607399999999998</v>
      </c>
      <c r="I337" s="2">
        <v>25.4343</v>
      </c>
      <c r="J337" s="2">
        <v>99.076300000000003</v>
      </c>
      <c r="K337" s="2">
        <v>7.6799999999999993E-2</v>
      </c>
      <c r="L337" s="2">
        <v>98.925700000000006</v>
      </c>
      <c r="M337" s="2">
        <v>99.226799999999997</v>
      </c>
      <c r="O337">
        <f t="shared" ref="O337:O338" si="219">J337</f>
        <v>99.076300000000003</v>
      </c>
      <c r="P337">
        <f t="shared" ref="P337:Q338" si="220">L337</f>
        <v>98.925700000000006</v>
      </c>
      <c r="Q337">
        <f t="shared" si="220"/>
        <v>99.226799999999997</v>
      </c>
      <c r="S337" t="str">
        <f t="shared" ref="S337:S338" si="221">TEXT(O337,"0.00")&amp;" ("&amp;TEXT(P337,"0.00")&amp;" to "&amp;TEXT(Q337,"0.00")&amp;")"</f>
        <v>99.08 (98.93 to 99.23)</v>
      </c>
    </row>
    <row r="338" spans="1:19" ht="17.25" thickBot="1" x14ac:dyDescent="0.35">
      <c r="A338" s="6"/>
      <c r="B338" s="13">
        <v>1</v>
      </c>
      <c r="C338" s="2">
        <v>206</v>
      </c>
      <c r="D338" s="2">
        <v>70572</v>
      </c>
      <c r="E338" s="2">
        <v>5889</v>
      </c>
      <c r="F338" s="2">
        <v>0.23330000000000001</v>
      </c>
      <c r="G338" s="2">
        <v>1.9400000000000001E-2</v>
      </c>
      <c r="H338" s="2">
        <v>0.1953</v>
      </c>
      <c r="I338" s="2">
        <v>0.27129999999999999</v>
      </c>
      <c r="J338" s="2">
        <v>0.92369999999999997</v>
      </c>
      <c r="K338" s="2">
        <v>7.6799999999999993E-2</v>
      </c>
      <c r="L338" s="2">
        <v>0.7732</v>
      </c>
      <c r="M338" s="2">
        <v>1.0743</v>
      </c>
      <c r="O338">
        <f t="shared" si="219"/>
        <v>0.92369999999999997</v>
      </c>
      <c r="P338">
        <f t="shared" si="220"/>
        <v>0.7732</v>
      </c>
      <c r="Q338">
        <f t="shared" si="220"/>
        <v>1.0743</v>
      </c>
      <c r="S338" t="str">
        <f t="shared" si="221"/>
        <v>0.92 (0.77 to 1.07)</v>
      </c>
    </row>
    <row r="339" spans="1:19" ht="17.25" thickBot="1" x14ac:dyDescent="0.35">
      <c r="A339" s="6"/>
      <c r="B339" s="13" t="s">
        <v>132</v>
      </c>
      <c r="C339" s="2">
        <v>17159</v>
      </c>
      <c r="D339" s="2">
        <v>7639813</v>
      </c>
      <c r="E339" s="2">
        <v>82439</v>
      </c>
      <c r="F339" s="2">
        <v>25.254100000000001</v>
      </c>
      <c r="G339" s="2">
        <v>0.2109</v>
      </c>
      <c r="H339" s="2">
        <v>24.840499999999999</v>
      </c>
      <c r="I339" s="2">
        <v>25.6677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3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22">J340</f>
        <v>0</v>
      </c>
      <c r="P340">
        <f t="shared" ref="P340:Q341" si="223">L340</f>
        <v>0</v>
      </c>
      <c r="Q340">
        <f t="shared" si="223"/>
        <v>0</v>
      </c>
      <c r="S340" t="str">
        <f t="shared" ref="S340:S341" si="224">TEXT(O340,"0.00")&amp;" ("&amp;TEXT(P340,"0.00")&amp;" to "&amp;TEXT(Q340,"0.00")&amp;")"</f>
        <v>0.00 (0.00 to 0.00)</v>
      </c>
    </row>
    <row r="341" spans="1:19" ht="17.25" thickBot="1" x14ac:dyDescent="0.35">
      <c r="A341" s="6"/>
      <c r="B341" s="13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22"/>
        <v>0</v>
      </c>
      <c r="P341">
        <f t="shared" si="223"/>
        <v>0</v>
      </c>
      <c r="Q341">
        <f t="shared" si="223"/>
        <v>0</v>
      </c>
      <c r="S341" t="str">
        <f t="shared" si="224"/>
        <v>0.00 (0.00 to 0.00)</v>
      </c>
    </row>
    <row r="342" spans="1:19" x14ac:dyDescent="0.3">
      <c r="A342" s="6"/>
      <c r="B342" s="16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17" t="s">
        <v>198</v>
      </c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</row>
    <row r="345" spans="1:19" ht="33" customHeight="1" x14ac:dyDescent="0.3">
      <c r="A345" s="18" t="s">
        <v>58</v>
      </c>
      <c r="B345" s="20" t="s">
        <v>19</v>
      </c>
      <c r="C345" s="20" t="s">
        <v>125</v>
      </c>
      <c r="D345" s="3" t="s">
        <v>126</v>
      </c>
      <c r="E345" s="3" t="s">
        <v>127</v>
      </c>
      <c r="F345" s="20" t="s">
        <v>129</v>
      </c>
      <c r="G345" s="3" t="s">
        <v>127</v>
      </c>
      <c r="H345" s="20" t="s">
        <v>130</v>
      </c>
      <c r="I345" s="20"/>
      <c r="J345" s="3" t="s">
        <v>149</v>
      </c>
      <c r="K345" s="3" t="s">
        <v>127</v>
      </c>
      <c r="L345" s="20" t="s">
        <v>130</v>
      </c>
      <c r="M345" s="20"/>
    </row>
    <row r="346" spans="1:19" ht="33" x14ac:dyDescent="0.3">
      <c r="A346" s="18"/>
      <c r="B346" s="20"/>
      <c r="C346" s="20"/>
      <c r="D346" s="3" t="s">
        <v>125</v>
      </c>
      <c r="E346" s="3" t="s">
        <v>128</v>
      </c>
      <c r="F346" s="20"/>
      <c r="G346" s="3" t="s">
        <v>129</v>
      </c>
      <c r="H346" s="20" t="s">
        <v>131</v>
      </c>
      <c r="I346" s="20"/>
      <c r="J346" s="3" t="s">
        <v>129</v>
      </c>
      <c r="K346" s="3" t="s">
        <v>150</v>
      </c>
      <c r="L346" s="20" t="s">
        <v>151</v>
      </c>
      <c r="M346" s="20"/>
    </row>
    <row r="347" spans="1:19" ht="17.25" thickBot="1" x14ac:dyDescent="0.35">
      <c r="A347" s="6">
        <v>1</v>
      </c>
      <c r="B347" s="13">
        <v>0</v>
      </c>
      <c r="C347" s="2">
        <v>16967</v>
      </c>
      <c r="D347" s="2">
        <v>7636757</v>
      </c>
      <c r="E347" s="2">
        <v>87707</v>
      </c>
      <c r="F347" s="2">
        <v>25.244</v>
      </c>
      <c r="G347" s="2">
        <v>0.20979999999999999</v>
      </c>
      <c r="H347" s="2">
        <v>24.832599999999999</v>
      </c>
      <c r="I347" s="2">
        <v>25.6554</v>
      </c>
      <c r="J347" s="2">
        <v>99.235600000000005</v>
      </c>
      <c r="K347" s="2">
        <v>6.7699999999999996E-2</v>
      </c>
      <c r="L347" s="2">
        <v>99.102999999999994</v>
      </c>
      <c r="M347" s="2">
        <v>99.368300000000005</v>
      </c>
      <c r="O347">
        <f t="shared" ref="O347:O348" si="225">J347</f>
        <v>99.235600000000005</v>
      </c>
      <c r="P347">
        <f t="shared" ref="P347:Q348" si="226">L347</f>
        <v>99.102999999999994</v>
      </c>
      <c r="Q347">
        <f t="shared" si="226"/>
        <v>99.368300000000005</v>
      </c>
      <c r="S347" t="str">
        <f t="shared" ref="S347:S348" si="227">TEXT(O347,"0.00")&amp;" ("&amp;TEXT(P347,"0.00")&amp;" to "&amp;TEXT(Q347,"0.00")&amp;")"</f>
        <v>99.24 (99.10 to 99.37)</v>
      </c>
    </row>
    <row r="348" spans="1:19" ht="17.25" thickBot="1" x14ac:dyDescent="0.35">
      <c r="A348" s="6"/>
      <c r="B348" s="13">
        <v>1</v>
      </c>
      <c r="C348" s="2">
        <v>190</v>
      </c>
      <c r="D348" s="2">
        <v>58821</v>
      </c>
      <c r="E348" s="2">
        <v>5222</v>
      </c>
      <c r="F348" s="2">
        <v>0.19439999999999999</v>
      </c>
      <c r="G348" s="2">
        <v>1.7299999999999999E-2</v>
      </c>
      <c r="H348" s="2">
        <v>0.16059999999999999</v>
      </c>
      <c r="I348" s="2">
        <v>0.2283</v>
      </c>
      <c r="J348" s="2">
        <v>0.76439999999999997</v>
      </c>
      <c r="K348" s="2">
        <v>6.7699999999999996E-2</v>
      </c>
      <c r="L348" s="2">
        <v>0.63170000000000004</v>
      </c>
      <c r="M348" s="2">
        <v>0.89700000000000002</v>
      </c>
      <c r="O348">
        <f t="shared" si="225"/>
        <v>0.76439999999999997</v>
      </c>
      <c r="P348">
        <f t="shared" si="226"/>
        <v>0.63170000000000004</v>
      </c>
      <c r="Q348">
        <f t="shared" si="226"/>
        <v>0.89700000000000002</v>
      </c>
      <c r="S348" t="str">
        <f t="shared" si="227"/>
        <v>0.76 (0.63 to 0.90)</v>
      </c>
    </row>
    <row r="349" spans="1:19" ht="17.25" thickBot="1" x14ac:dyDescent="0.35">
      <c r="A349" s="6"/>
      <c r="B349" s="13" t="s">
        <v>132</v>
      </c>
      <c r="C349" s="2">
        <v>17157</v>
      </c>
      <c r="D349" s="2">
        <v>7695579</v>
      </c>
      <c r="E349" s="2">
        <v>88007</v>
      </c>
      <c r="F349" s="2">
        <v>25.438500000000001</v>
      </c>
      <c r="G349" s="2">
        <v>0.21060000000000001</v>
      </c>
      <c r="H349" s="2">
        <v>25.025600000000001</v>
      </c>
      <c r="I349" s="2">
        <v>25.851299999999998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3">
        <v>0</v>
      </c>
      <c r="C350" s="2">
        <v>16862</v>
      </c>
      <c r="D350" s="2">
        <v>7438877</v>
      </c>
      <c r="E350" s="2">
        <v>84218</v>
      </c>
      <c r="F350" s="2">
        <v>24.5899</v>
      </c>
      <c r="G350" s="2">
        <v>0.19900000000000001</v>
      </c>
      <c r="H350" s="2">
        <v>24.1997</v>
      </c>
      <c r="I350" s="2">
        <v>24.9801</v>
      </c>
      <c r="J350" s="2">
        <v>98.809899999999999</v>
      </c>
      <c r="K350" s="2">
        <v>8.2500000000000004E-2</v>
      </c>
      <c r="L350" s="2">
        <v>98.648099999999999</v>
      </c>
      <c r="M350" s="2">
        <v>98.971699999999998</v>
      </c>
      <c r="O350">
        <f t="shared" ref="O350:O351" si="228">J350</f>
        <v>98.809899999999999</v>
      </c>
      <c r="P350">
        <f t="shared" ref="P350:Q351" si="229">L350</f>
        <v>98.648099999999999</v>
      </c>
      <c r="Q350">
        <f t="shared" si="229"/>
        <v>98.971699999999998</v>
      </c>
      <c r="S350" t="str">
        <f t="shared" ref="S350:S351" si="230">TEXT(O350,"0.00")&amp;" ("&amp;TEXT(P350,"0.00")&amp;" to "&amp;TEXT(Q350,"0.00")&amp;")"</f>
        <v>98.81 (98.65 to 98.97)</v>
      </c>
    </row>
    <row r="351" spans="1:19" ht="17.25" thickBot="1" x14ac:dyDescent="0.35">
      <c r="A351" s="6"/>
      <c r="B351" s="13">
        <v>1</v>
      </c>
      <c r="C351" s="2">
        <v>298</v>
      </c>
      <c r="D351" s="2">
        <v>89597</v>
      </c>
      <c r="E351" s="2">
        <v>6242</v>
      </c>
      <c r="F351" s="2">
        <v>0.29620000000000002</v>
      </c>
      <c r="G351" s="2">
        <v>2.06E-2</v>
      </c>
      <c r="H351" s="2">
        <v>0.25580000000000003</v>
      </c>
      <c r="I351" s="2">
        <v>0.33660000000000001</v>
      </c>
      <c r="J351" s="2">
        <v>1.1900999999999999</v>
      </c>
      <c r="K351" s="2">
        <v>8.2500000000000004E-2</v>
      </c>
      <c r="L351" s="2">
        <v>1.0283</v>
      </c>
      <c r="M351" s="2">
        <v>1.3519000000000001</v>
      </c>
      <c r="O351">
        <f t="shared" si="228"/>
        <v>1.1900999999999999</v>
      </c>
      <c r="P351">
        <f t="shared" si="229"/>
        <v>1.0283</v>
      </c>
      <c r="Q351">
        <f t="shared" si="229"/>
        <v>1.3519000000000001</v>
      </c>
      <c r="S351" t="str">
        <f t="shared" si="230"/>
        <v>1.19 (1.03 to 1.35)</v>
      </c>
    </row>
    <row r="352" spans="1:19" ht="17.25" thickBot="1" x14ac:dyDescent="0.35">
      <c r="A352" s="6"/>
      <c r="B352" s="13" t="s">
        <v>132</v>
      </c>
      <c r="C352" s="2">
        <v>17160</v>
      </c>
      <c r="D352" s="2">
        <v>7528473</v>
      </c>
      <c r="E352" s="2">
        <v>84684</v>
      </c>
      <c r="F352" s="2">
        <v>24.886099999999999</v>
      </c>
      <c r="G352" s="2">
        <v>0.19980000000000001</v>
      </c>
      <c r="H352" s="2">
        <v>24.494299999999999</v>
      </c>
      <c r="I352" s="2">
        <v>25.277799999999999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3">
        <v>0</v>
      </c>
      <c r="C353" s="2">
        <v>16798</v>
      </c>
      <c r="D353" s="2">
        <v>7271274</v>
      </c>
      <c r="E353" s="2">
        <v>80927</v>
      </c>
      <c r="F353" s="2">
        <v>24.035900000000002</v>
      </c>
      <c r="G353" s="2">
        <v>0.19439999999999999</v>
      </c>
      <c r="H353" s="2">
        <v>23.654699999999998</v>
      </c>
      <c r="I353" s="2">
        <v>24.417000000000002</v>
      </c>
      <c r="J353" s="2">
        <v>98.421499999999995</v>
      </c>
      <c r="K353" s="2">
        <v>9.8299999999999998E-2</v>
      </c>
      <c r="L353" s="2">
        <v>98.228800000000007</v>
      </c>
      <c r="M353" s="2">
        <v>98.614199999999997</v>
      </c>
      <c r="O353">
        <f t="shared" ref="O353:O354" si="231">J353</f>
        <v>98.421499999999995</v>
      </c>
      <c r="P353">
        <f t="shared" ref="P353:Q354" si="232">L353</f>
        <v>98.228800000000007</v>
      </c>
      <c r="Q353">
        <f t="shared" si="232"/>
        <v>98.614199999999997</v>
      </c>
      <c r="S353" t="str">
        <f t="shared" ref="S353:S354" si="233">TEXT(O353,"0.00")&amp;" ("&amp;TEXT(P353,"0.00")&amp;" to "&amp;TEXT(Q353,"0.00")&amp;")"</f>
        <v>98.42 (98.23 to 98.61)</v>
      </c>
    </row>
    <row r="354" spans="1:19" ht="17.25" thickBot="1" x14ac:dyDescent="0.35">
      <c r="A354" s="6"/>
      <c r="B354" s="13">
        <v>1</v>
      </c>
      <c r="C354" s="2">
        <v>360</v>
      </c>
      <c r="D354" s="2">
        <v>116617</v>
      </c>
      <c r="E354" s="2">
        <v>7329</v>
      </c>
      <c r="F354" s="2">
        <v>0.38550000000000001</v>
      </c>
      <c r="G354" s="2">
        <v>2.4199999999999999E-2</v>
      </c>
      <c r="H354" s="2">
        <v>0.33810000000000001</v>
      </c>
      <c r="I354" s="2">
        <v>0.43290000000000001</v>
      </c>
      <c r="J354" s="2">
        <v>1.5785</v>
      </c>
      <c r="K354" s="2">
        <v>9.8299999999999998E-2</v>
      </c>
      <c r="L354" s="2">
        <v>1.3857999999999999</v>
      </c>
      <c r="M354" s="2">
        <v>1.7712000000000001</v>
      </c>
      <c r="O354">
        <f t="shared" si="231"/>
        <v>1.5785</v>
      </c>
      <c r="P354">
        <f t="shared" si="232"/>
        <v>1.3857999999999999</v>
      </c>
      <c r="Q354">
        <f t="shared" si="232"/>
        <v>1.7712000000000001</v>
      </c>
      <c r="S354" t="str">
        <f t="shared" si="233"/>
        <v>1.58 (1.39 to 1.77)</v>
      </c>
    </row>
    <row r="355" spans="1:19" ht="17.25" thickBot="1" x14ac:dyDescent="0.35">
      <c r="A355" s="6"/>
      <c r="B355" s="13" t="s">
        <v>132</v>
      </c>
      <c r="C355" s="2">
        <v>17158</v>
      </c>
      <c r="D355" s="2">
        <v>7387892</v>
      </c>
      <c r="E355" s="2">
        <v>81641</v>
      </c>
      <c r="F355" s="2">
        <v>24.421399999999998</v>
      </c>
      <c r="G355" s="2">
        <v>0.19589999999999999</v>
      </c>
      <c r="H355" s="2">
        <v>24.037199999999999</v>
      </c>
      <c r="I355" s="2">
        <v>24.805499999999999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3">
        <v>0</v>
      </c>
      <c r="C356" s="2">
        <v>16806</v>
      </c>
      <c r="D356" s="2">
        <v>7527104</v>
      </c>
      <c r="E356" s="2">
        <v>81719</v>
      </c>
      <c r="F356" s="2">
        <v>24.881499999999999</v>
      </c>
      <c r="G356" s="2">
        <v>0.21</v>
      </c>
      <c r="H356" s="2">
        <v>24.469799999999999</v>
      </c>
      <c r="I356" s="2">
        <v>25.293199999999999</v>
      </c>
      <c r="J356" s="2">
        <v>98.524699999999996</v>
      </c>
      <c r="K356" s="2">
        <v>9.4600000000000004E-2</v>
      </c>
      <c r="L356" s="2">
        <v>98.339100000000002</v>
      </c>
      <c r="M356" s="2">
        <v>98.710300000000004</v>
      </c>
      <c r="O356">
        <f t="shared" ref="O356:O357" si="234">J356</f>
        <v>98.524699999999996</v>
      </c>
      <c r="P356">
        <f t="shared" ref="P356:Q357" si="235">L356</f>
        <v>98.339100000000002</v>
      </c>
      <c r="Q356">
        <f t="shared" si="235"/>
        <v>98.710300000000004</v>
      </c>
      <c r="S356" t="str">
        <f t="shared" ref="S356:S357" si="236">TEXT(O356,"0.00")&amp;" ("&amp;TEXT(P356,"0.00")&amp;" to "&amp;TEXT(Q356,"0.00")&amp;")"</f>
        <v>98.52 (98.34 to 98.71)</v>
      </c>
    </row>
    <row r="357" spans="1:19" ht="17.25" thickBot="1" x14ac:dyDescent="0.35">
      <c r="A357" s="6"/>
      <c r="B357" s="13">
        <v>1</v>
      </c>
      <c r="C357" s="2">
        <v>353</v>
      </c>
      <c r="D357" s="2">
        <v>112709</v>
      </c>
      <c r="E357" s="2">
        <v>7303</v>
      </c>
      <c r="F357" s="2">
        <v>0.37259999999999999</v>
      </c>
      <c r="G357" s="2">
        <v>2.4E-2</v>
      </c>
      <c r="H357" s="2">
        <v>0.32550000000000001</v>
      </c>
      <c r="I357" s="2">
        <v>0.41959999999999997</v>
      </c>
      <c r="J357" s="2">
        <v>1.4753000000000001</v>
      </c>
      <c r="K357" s="2">
        <v>9.4600000000000004E-2</v>
      </c>
      <c r="L357" s="2">
        <v>1.2897000000000001</v>
      </c>
      <c r="M357" s="2">
        <v>1.6609</v>
      </c>
      <c r="O357">
        <f t="shared" si="234"/>
        <v>1.4753000000000001</v>
      </c>
      <c r="P357">
        <f t="shared" si="235"/>
        <v>1.2897000000000001</v>
      </c>
      <c r="Q357">
        <f t="shared" si="235"/>
        <v>1.6609</v>
      </c>
      <c r="S357" t="str">
        <f t="shared" si="236"/>
        <v>1.48 (1.29 to 1.66)</v>
      </c>
    </row>
    <row r="358" spans="1:19" ht="17.25" thickBot="1" x14ac:dyDescent="0.35">
      <c r="A358" s="6"/>
      <c r="B358" s="13" t="s">
        <v>132</v>
      </c>
      <c r="C358" s="2">
        <v>17159</v>
      </c>
      <c r="D358" s="2">
        <v>7639813</v>
      </c>
      <c r="E358" s="2">
        <v>82439</v>
      </c>
      <c r="F358" s="2">
        <v>25.254100000000001</v>
      </c>
      <c r="G358" s="2">
        <v>0.2109</v>
      </c>
      <c r="H358" s="2">
        <v>24.840499999999999</v>
      </c>
      <c r="I358" s="2">
        <v>25.6677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3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237">J359</f>
        <v>0</v>
      </c>
      <c r="P359">
        <f t="shared" ref="P359:Q360" si="238">L359</f>
        <v>0</v>
      </c>
      <c r="Q359">
        <f t="shared" si="238"/>
        <v>0</v>
      </c>
      <c r="S359" t="str">
        <f t="shared" ref="S359:S360" si="23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3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237"/>
        <v>0</v>
      </c>
      <c r="P360">
        <f t="shared" si="238"/>
        <v>0</v>
      </c>
      <c r="Q360">
        <f t="shared" si="238"/>
        <v>0</v>
      </c>
      <c r="S360" t="str">
        <f t="shared" si="239"/>
        <v>0.00 (0.00 to 0.00)</v>
      </c>
    </row>
    <row r="361" spans="1:19" x14ac:dyDescent="0.3">
      <c r="A361" s="6"/>
      <c r="B361" s="16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:B3"/>
    <mergeCell ref="A9:M9"/>
    <mergeCell ref="A10:A11"/>
    <mergeCell ref="B10:B11"/>
    <mergeCell ref="C10:C11"/>
    <mergeCell ref="F10:F11"/>
    <mergeCell ref="H10:I10"/>
    <mergeCell ref="L10:M10"/>
    <mergeCell ref="H11:I11"/>
    <mergeCell ref="L11:M11"/>
    <mergeCell ref="A33:M33"/>
    <mergeCell ref="A34:A35"/>
    <mergeCell ref="B34:B35"/>
    <mergeCell ref="C34:C35"/>
    <mergeCell ref="F34:F35"/>
    <mergeCell ref="H34:I34"/>
    <mergeCell ref="L34:M34"/>
    <mergeCell ref="H35:I35"/>
    <mergeCell ref="L35:M35"/>
    <mergeCell ref="A52:M52"/>
    <mergeCell ref="A53:A54"/>
    <mergeCell ref="B53:B54"/>
    <mergeCell ref="C53:C54"/>
    <mergeCell ref="F53:F54"/>
    <mergeCell ref="H53:I53"/>
    <mergeCell ref="L53:M53"/>
    <mergeCell ref="H54:I54"/>
    <mergeCell ref="L54:M54"/>
    <mergeCell ref="A71:M71"/>
    <mergeCell ref="A72:A73"/>
    <mergeCell ref="B72:B73"/>
    <mergeCell ref="C72:C73"/>
    <mergeCell ref="F72:F73"/>
    <mergeCell ref="H72:I72"/>
    <mergeCell ref="L72:M72"/>
    <mergeCell ref="H73:I73"/>
    <mergeCell ref="L73:M73"/>
    <mergeCell ref="A100:M100"/>
    <mergeCell ref="A101:A102"/>
    <mergeCell ref="B101:B102"/>
    <mergeCell ref="C101:C102"/>
    <mergeCell ref="F101:F102"/>
    <mergeCell ref="H101:I101"/>
    <mergeCell ref="L101:M101"/>
    <mergeCell ref="H102:I102"/>
    <mergeCell ref="L102:M102"/>
    <mergeCell ref="A129:M129"/>
    <mergeCell ref="A130:A131"/>
    <mergeCell ref="B130:B131"/>
    <mergeCell ref="C130:C131"/>
    <mergeCell ref="F130:F131"/>
    <mergeCell ref="H130:I130"/>
    <mergeCell ref="L130:M130"/>
    <mergeCell ref="H131:I131"/>
    <mergeCell ref="L131:M131"/>
    <mergeCell ref="A158:M158"/>
    <mergeCell ref="A159:A160"/>
    <mergeCell ref="B159:B160"/>
    <mergeCell ref="C159:C160"/>
    <mergeCell ref="F159:F160"/>
    <mergeCell ref="H159:I159"/>
    <mergeCell ref="L159:M159"/>
    <mergeCell ref="H160:I160"/>
    <mergeCell ref="L160:M160"/>
    <mergeCell ref="A177:M177"/>
    <mergeCell ref="A178:A179"/>
    <mergeCell ref="B178:B179"/>
    <mergeCell ref="C178:C179"/>
    <mergeCell ref="F178:F179"/>
    <mergeCell ref="H178:I178"/>
    <mergeCell ref="L178:M178"/>
    <mergeCell ref="H179:I179"/>
    <mergeCell ref="L179:M179"/>
    <mergeCell ref="A201:M201"/>
    <mergeCell ref="A202:A203"/>
    <mergeCell ref="B202:B203"/>
    <mergeCell ref="C202:C203"/>
    <mergeCell ref="F202:F203"/>
    <mergeCell ref="H202:I202"/>
    <mergeCell ref="L202:M202"/>
    <mergeCell ref="H203:I203"/>
    <mergeCell ref="L203:M203"/>
    <mergeCell ref="A225:M225"/>
    <mergeCell ref="A226:A227"/>
    <mergeCell ref="B226:B227"/>
    <mergeCell ref="C226:C227"/>
    <mergeCell ref="F226:F227"/>
    <mergeCell ref="H226:I226"/>
    <mergeCell ref="L226:M226"/>
    <mergeCell ref="H227:I227"/>
    <mergeCell ref="L227:M227"/>
    <mergeCell ref="A249:M249"/>
    <mergeCell ref="A250:A251"/>
    <mergeCell ref="B250:B251"/>
    <mergeCell ref="C250:C251"/>
    <mergeCell ref="F250:F251"/>
    <mergeCell ref="H250:I250"/>
    <mergeCell ref="L250:M250"/>
    <mergeCell ref="H251:I251"/>
    <mergeCell ref="L251:M251"/>
    <mergeCell ref="A268:M268"/>
    <mergeCell ref="A269:A270"/>
    <mergeCell ref="B269:B270"/>
    <mergeCell ref="C269:C270"/>
    <mergeCell ref="F269:F270"/>
    <mergeCell ref="H269:I269"/>
    <mergeCell ref="L269:M269"/>
    <mergeCell ref="H270:I270"/>
    <mergeCell ref="L270:M270"/>
    <mergeCell ref="A287:M287"/>
    <mergeCell ref="A288:A289"/>
    <mergeCell ref="B288:B289"/>
    <mergeCell ref="C288:C289"/>
    <mergeCell ref="F288:F289"/>
    <mergeCell ref="H288:I288"/>
    <mergeCell ref="L288:M288"/>
    <mergeCell ref="H289:I289"/>
    <mergeCell ref="L289:M289"/>
    <mergeCell ref="A306:M306"/>
    <mergeCell ref="A307:A308"/>
    <mergeCell ref="B307:B308"/>
    <mergeCell ref="C307:C308"/>
    <mergeCell ref="F307:F308"/>
    <mergeCell ref="H307:I307"/>
    <mergeCell ref="L307:M307"/>
    <mergeCell ref="H308:I308"/>
    <mergeCell ref="L308:M308"/>
    <mergeCell ref="A325:M325"/>
    <mergeCell ref="A326:A327"/>
    <mergeCell ref="B326:B327"/>
    <mergeCell ref="C326:C327"/>
    <mergeCell ref="F326:F327"/>
    <mergeCell ref="H326:I326"/>
    <mergeCell ref="L326:M326"/>
    <mergeCell ref="H327:I327"/>
    <mergeCell ref="L327:M327"/>
    <mergeCell ref="A344:M344"/>
    <mergeCell ref="A345:A346"/>
    <mergeCell ref="B345:B346"/>
    <mergeCell ref="C345:C346"/>
    <mergeCell ref="F345:F346"/>
    <mergeCell ref="H345:I345"/>
    <mergeCell ref="L345:M345"/>
    <mergeCell ref="H346:I346"/>
    <mergeCell ref="L346:M346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FAD2-08B2-4F5D-BDBC-D4BDEEC97CA5}">
  <dimension ref="A1:S361"/>
  <sheetViews>
    <sheetView workbookViewId="0">
      <selection activeCell="S12" sqref="S12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17" t="s">
        <v>119</v>
      </c>
      <c r="B3" s="19"/>
    </row>
    <row r="4" spans="1:19" ht="26.25" thickBot="1" x14ac:dyDescent="0.35">
      <c r="A4" s="14" t="s">
        <v>120</v>
      </c>
      <c r="B4" s="2">
        <v>183</v>
      </c>
    </row>
    <row r="5" spans="1:19" ht="26.25" thickBot="1" x14ac:dyDescent="0.35">
      <c r="A5" s="14" t="s">
        <v>121</v>
      </c>
      <c r="B5" s="2">
        <v>2982</v>
      </c>
    </row>
    <row r="6" spans="1:19" ht="39" thickBot="1" x14ac:dyDescent="0.35">
      <c r="A6" s="14" t="s">
        <v>122</v>
      </c>
      <c r="B6" s="2">
        <v>68634</v>
      </c>
    </row>
    <row r="7" spans="1:19" ht="25.5" x14ac:dyDescent="0.3">
      <c r="A7" s="15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17" t="s">
        <v>199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</row>
    <row r="10" spans="1:19" ht="33" customHeight="1" x14ac:dyDescent="0.3">
      <c r="A10" s="18" t="s">
        <v>75</v>
      </c>
      <c r="B10" s="20" t="s">
        <v>1</v>
      </c>
      <c r="C10" s="20" t="s">
        <v>125</v>
      </c>
      <c r="D10" s="3" t="s">
        <v>126</v>
      </c>
      <c r="E10" s="3" t="s">
        <v>127</v>
      </c>
      <c r="F10" s="20" t="s">
        <v>129</v>
      </c>
      <c r="G10" s="3" t="s">
        <v>127</v>
      </c>
      <c r="H10" s="20" t="s">
        <v>130</v>
      </c>
      <c r="I10" s="20"/>
      <c r="J10" s="3" t="s">
        <v>149</v>
      </c>
      <c r="K10" s="3" t="s">
        <v>127</v>
      </c>
      <c r="L10" s="20" t="s">
        <v>130</v>
      </c>
      <c r="M10" s="20"/>
    </row>
    <row r="11" spans="1:19" ht="33" x14ac:dyDescent="0.3">
      <c r="A11" s="18"/>
      <c r="B11" s="20"/>
      <c r="C11" s="20"/>
      <c r="D11" s="3" t="s">
        <v>125</v>
      </c>
      <c r="E11" s="3" t="s">
        <v>128</v>
      </c>
      <c r="F11" s="20"/>
      <c r="G11" s="3" t="s">
        <v>129</v>
      </c>
      <c r="H11" s="20" t="s">
        <v>131</v>
      </c>
      <c r="I11" s="20"/>
      <c r="J11" s="3" t="s">
        <v>129</v>
      </c>
      <c r="K11" s="3" t="s">
        <v>150</v>
      </c>
      <c r="L11" s="20" t="s">
        <v>151</v>
      </c>
      <c r="M11" s="20"/>
    </row>
    <row r="12" spans="1:19" ht="17.25" thickBot="1" x14ac:dyDescent="0.35">
      <c r="A12" s="6">
        <v>1</v>
      </c>
      <c r="B12" s="13">
        <v>1</v>
      </c>
      <c r="C12" s="2">
        <v>8096</v>
      </c>
      <c r="D12" s="2">
        <v>4298790</v>
      </c>
      <c r="E12" s="2">
        <v>67578</v>
      </c>
      <c r="F12" s="2">
        <v>14.21</v>
      </c>
      <c r="G12" s="2">
        <v>0.18190000000000001</v>
      </c>
      <c r="H12" s="2">
        <v>13.853400000000001</v>
      </c>
      <c r="I12" s="2">
        <v>14.566700000000001</v>
      </c>
      <c r="J12" s="2">
        <v>55.2209</v>
      </c>
      <c r="K12" s="2">
        <v>0.46879999999999999</v>
      </c>
      <c r="L12" s="2">
        <v>54.301699999999997</v>
      </c>
      <c r="M12" s="2">
        <v>56.14</v>
      </c>
      <c r="O12">
        <f>J12</f>
        <v>55.2209</v>
      </c>
      <c r="P12">
        <f>L12</f>
        <v>54.301699999999997</v>
      </c>
      <c r="Q12">
        <f>M12</f>
        <v>56.14</v>
      </c>
      <c r="S12" t="str">
        <f>TEXT(O12,"0.00")&amp;" ("&amp;TEXT(P12,"0.00")&amp;" to "&amp;TEXT(Q12,"0.00")&amp;")"</f>
        <v>55.22 (54.30 to 56.14)</v>
      </c>
    </row>
    <row r="13" spans="1:19" ht="17.25" thickBot="1" x14ac:dyDescent="0.35">
      <c r="A13" s="6"/>
      <c r="B13" s="13">
        <v>2</v>
      </c>
      <c r="C13" s="2">
        <v>6822</v>
      </c>
      <c r="D13" s="2">
        <v>2898175</v>
      </c>
      <c r="E13" s="2">
        <v>46227</v>
      </c>
      <c r="F13" s="2">
        <v>9.5801999999999996</v>
      </c>
      <c r="G13" s="2">
        <v>0.13320000000000001</v>
      </c>
      <c r="H13" s="2">
        <v>9.3188999999999993</v>
      </c>
      <c r="I13" s="2">
        <v>9.8414999999999999</v>
      </c>
      <c r="J13" s="2">
        <v>37.228999999999999</v>
      </c>
      <c r="K13" s="2">
        <v>0.43569999999999998</v>
      </c>
      <c r="L13" s="2">
        <v>36.374600000000001</v>
      </c>
      <c r="M13" s="2">
        <v>38.083399999999997</v>
      </c>
      <c r="O13">
        <f t="shared" ref="O13:O14" si="0">J13</f>
        <v>37.228999999999999</v>
      </c>
      <c r="P13">
        <f t="shared" ref="P13:Q14" si="1">L13</f>
        <v>36.374600000000001</v>
      </c>
      <c r="Q13">
        <f t="shared" si="1"/>
        <v>38.083399999999997</v>
      </c>
      <c r="S13" t="str">
        <f t="shared" ref="S13:S14" si="2">TEXT(O13,"0.00")&amp;" ("&amp;TEXT(P13,"0.00")&amp;" to "&amp;TEXT(Q13,"0.00")&amp;")"</f>
        <v>37.23 (36.37 to 38.08)</v>
      </c>
    </row>
    <row r="14" spans="1:19" ht="17.25" thickBot="1" x14ac:dyDescent="0.35">
      <c r="A14" s="6"/>
      <c r="B14" s="13">
        <v>3</v>
      </c>
      <c r="C14" s="2">
        <v>2241</v>
      </c>
      <c r="D14" s="2">
        <v>587758</v>
      </c>
      <c r="E14" s="2">
        <v>15604</v>
      </c>
      <c r="F14" s="2">
        <v>1.9429000000000001</v>
      </c>
      <c r="G14" s="2">
        <v>5.2400000000000002E-2</v>
      </c>
      <c r="H14" s="2">
        <v>1.8402000000000001</v>
      </c>
      <c r="I14" s="2">
        <v>2.0455999999999999</v>
      </c>
      <c r="J14" s="2">
        <v>7.5500999999999996</v>
      </c>
      <c r="K14" s="2">
        <v>0.2064</v>
      </c>
      <c r="L14" s="2">
        <v>7.1455000000000002</v>
      </c>
      <c r="M14" s="2">
        <v>7.9547999999999996</v>
      </c>
      <c r="O14">
        <f t="shared" si="0"/>
        <v>7.5500999999999996</v>
      </c>
      <c r="P14">
        <f t="shared" si="1"/>
        <v>7.1455000000000002</v>
      </c>
      <c r="Q14">
        <f t="shared" si="1"/>
        <v>7.9547999999999996</v>
      </c>
      <c r="S14" t="str">
        <f t="shared" si="2"/>
        <v>7.55 (7.15 to 7.95)</v>
      </c>
    </row>
    <row r="15" spans="1:19" ht="17.25" thickBot="1" x14ac:dyDescent="0.35">
      <c r="A15" s="6"/>
      <c r="B15" s="13" t="s">
        <v>132</v>
      </c>
      <c r="C15" s="2">
        <v>17159</v>
      </c>
      <c r="D15" s="2">
        <v>7784722</v>
      </c>
      <c r="E15" s="2">
        <v>91183</v>
      </c>
      <c r="F15" s="2">
        <v>25.7331</v>
      </c>
      <c r="G15" s="2">
        <v>0.21560000000000001</v>
      </c>
      <c r="H15" s="2">
        <v>25.310400000000001</v>
      </c>
      <c r="I15" s="2">
        <v>26.155799999999999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3">
        <v>1</v>
      </c>
      <c r="C16" s="2">
        <v>5098</v>
      </c>
      <c r="D16" s="2">
        <v>2875532</v>
      </c>
      <c r="E16" s="2">
        <v>54186</v>
      </c>
      <c r="F16" s="2">
        <v>9.5053000000000001</v>
      </c>
      <c r="G16" s="2">
        <v>0.15720000000000001</v>
      </c>
      <c r="H16" s="2">
        <v>9.1969999999999992</v>
      </c>
      <c r="I16" s="2">
        <v>9.8137000000000008</v>
      </c>
      <c r="J16" s="2">
        <v>38.654000000000003</v>
      </c>
      <c r="K16" s="2">
        <v>0.53120000000000001</v>
      </c>
      <c r="L16" s="2">
        <v>37.612499999999997</v>
      </c>
      <c r="M16" s="2">
        <v>39.695500000000003</v>
      </c>
      <c r="O16">
        <f t="shared" ref="O16:O18" si="3">J16</f>
        <v>38.654000000000003</v>
      </c>
      <c r="P16">
        <f t="shared" ref="P16:Q18" si="4">L16</f>
        <v>37.612499999999997</v>
      </c>
      <c r="Q16">
        <f t="shared" si="4"/>
        <v>39.695500000000003</v>
      </c>
      <c r="S16" t="str">
        <f t="shared" ref="S16:S18" si="5">TEXT(O16,"0.00")&amp;" ("&amp;TEXT(P16,"0.00")&amp;" to "&amp;TEXT(Q16,"0.00")&amp;")"</f>
        <v>38.65 (37.61 to 39.70)</v>
      </c>
    </row>
    <row r="17" spans="1:19" ht="17.25" thickBot="1" x14ac:dyDescent="0.35">
      <c r="A17" s="6"/>
      <c r="B17" s="13">
        <v>2</v>
      </c>
      <c r="C17" s="2">
        <v>8472</v>
      </c>
      <c r="D17" s="2">
        <v>3608251</v>
      </c>
      <c r="E17" s="2">
        <v>54220</v>
      </c>
      <c r="F17" s="2">
        <v>11.9274</v>
      </c>
      <c r="G17" s="2">
        <v>0.1515</v>
      </c>
      <c r="H17" s="2">
        <v>11.6303</v>
      </c>
      <c r="I17" s="2">
        <v>12.224500000000001</v>
      </c>
      <c r="J17" s="2">
        <v>48.503399999999999</v>
      </c>
      <c r="K17" s="2">
        <v>0.50180000000000002</v>
      </c>
      <c r="L17" s="2">
        <v>47.519500000000001</v>
      </c>
      <c r="M17" s="2">
        <v>49.487400000000001</v>
      </c>
      <c r="O17">
        <f t="shared" si="3"/>
        <v>48.503399999999999</v>
      </c>
      <c r="P17">
        <f t="shared" si="4"/>
        <v>47.519500000000001</v>
      </c>
      <c r="Q17">
        <f t="shared" si="4"/>
        <v>49.487400000000001</v>
      </c>
      <c r="S17" t="str">
        <f t="shared" si="5"/>
        <v>48.50 (47.52 to 49.49)</v>
      </c>
    </row>
    <row r="18" spans="1:19" ht="17.25" thickBot="1" x14ac:dyDescent="0.35">
      <c r="A18" s="6"/>
      <c r="B18" s="13">
        <v>3</v>
      </c>
      <c r="C18" s="2">
        <v>3588</v>
      </c>
      <c r="D18" s="2">
        <v>955382</v>
      </c>
      <c r="E18" s="2">
        <v>20498</v>
      </c>
      <c r="F18" s="2">
        <v>3.1581000000000001</v>
      </c>
      <c r="G18" s="2">
        <v>6.93E-2</v>
      </c>
      <c r="H18" s="2">
        <v>3.0222000000000002</v>
      </c>
      <c r="I18" s="2">
        <v>3.294</v>
      </c>
      <c r="J18" s="2">
        <v>12.842599999999999</v>
      </c>
      <c r="K18" s="2">
        <v>0.2797</v>
      </c>
      <c r="L18" s="2">
        <v>12.2942</v>
      </c>
      <c r="M18" s="2">
        <v>13.391</v>
      </c>
      <c r="O18">
        <f t="shared" si="3"/>
        <v>12.842599999999999</v>
      </c>
      <c r="P18">
        <f t="shared" si="4"/>
        <v>12.2942</v>
      </c>
      <c r="Q18">
        <f t="shared" si="4"/>
        <v>13.391</v>
      </c>
      <c r="S18" t="str">
        <f t="shared" si="5"/>
        <v>12.84 (12.29 to 13.39)</v>
      </c>
    </row>
    <row r="19" spans="1:19" ht="17.25" thickBot="1" x14ac:dyDescent="0.35">
      <c r="A19" s="6"/>
      <c r="B19" s="13" t="s">
        <v>132</v>
      </c>
      <c r="C19" s="2">
        <v>17158</v>
      </c>
      <c r="D19" s="2">
        <v>7439164</v>
      </c>
      <c r="E19" s="2">
        <v>81523</v>
      </c>
      <c r="F19" s="2">
        <v>24.590900000000001</v>
      </c>
      <c r="G19" s="2">
        <v>0.19059999999999999</v>
      </c>
      <c r="H19" s="2">
        <v>24.217099999999999</v>
      </c>
      <c r="I19" s="2">
        <v>24.964600000000001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3">
        <v>1</v>
      </c>
      <c r="C20" s="2">
        <v>3738</v>
      </c>
      <c r="D20" s="2">
        <v>2183894</v>
      </c>
      <c r="E20" s="2">
        <v>45439</v>
      </c>
      <c r="F20" s="2">
        <v>7.2191000000000001</v>
      </c>
      <c r="G20" s="2">
        <v>0.13650000000000001</v>
      </c>
      <c r="H20" s="2">
        <v>6.9512999999999998</v>
      </c>
      <c r="I20" s="2">
        <v>7.4867999999999997</v>
      </c>
      <c r="J20" s="2">
        <v>29.8185</v>
      </c>
      <c r="K20" s="2">
        <v>0.48709999999999998</v>
      </c>
      <c r="L20" s="2">
        <v>28.863399999999999</v>
      </c>
      <c r="M20" s="2">
        <v>30.773499999999999</v>
      </c>
      <c r="O20">
        <f t="shared" ref="O20:O22" si="6">J20</f>
        <v>29.8185</v>
      </c>
      <c r="P20">
        <f t="shared" ref="P20:Q22" si="7">L20</f>
        <v>28.863399999999999</v>
      </c>
      <c r="Q20">
        <f t="shared" si="7"/>
        <v>30.773499999999999</v>
      </c>
      <c r="S20" t="str">
        <f t="shared" ref="S20:S22" si="8">TEXT(O20,"0.00")&amp;" ("&amp;TEXT(P20,"0.00")&amp;" to "&amp;TEXT(Q20,"0.00")&amp;")"</f>
        <v>29.82 (28.86 to 30.77)</v>
      </c>
    </row>
    <row r="21" spans="1:19" ht="17.25" thickBot="1" x14ac:dyDescent="0.35">
      <c r="A21" s="6"/>
      <c r="B21" s="13">
        <v>2</v>
      </c>
      <c r="C21" s="2">
        <v>8940</v>
      </c>
      <c r="D21" s="2">
        <v>3938979</v>
      </c>
      <c r="E21" s="2">
        <v>54640</v>
      </c>
      <c r="F21" s="2">
        <v>13.0207</v>
      </c>
      <c r="G21" s="2">
        <v>0.14949999999999999</v>
      </c>
      <c r="H21" s="2">
        <v>12.727499999999999</v>
      </c>
      <c r="I21" s="2">
        <v>13.313800000000001</v>
      </c>
      <c r="J21" s="2">
        <v>53.7821</v>
      </c>
      <c r="K21" s="2">
        <v>0.46660000000000001</v>
      </c>
      <c r="L21" s="2">
        <v>52.867100000000001</v>
      </c>
      <c r="M21" s="2">
        <v>54.697099999999999</v>
      </c>
      <c r="O21">
        <f t="shared" si="6"/>
        <v>53.7821</v>
      </c>
      <c r="P21">
        <f t="shared" si="7"/>
        <v>52.867100000000001</v>
      </c>
      <c r="Q21">
        <f t="shared" si="7"/>
        <v>54.697099999999999</v>
      </c>
      <c r="S21" t="str">
        <f t="shared" si="8"/>
        <v>53.78 (52.87 to 54.70)</v>
      </c>
    </row>
    <row r="22" spans="1:19" ht="17.25" thickBot="1" x14ac:dyDescent="0.35">
      <c r="A22" s="6"/>
      <c r="B22" s="13">
        <v>3</v>
      </c>
      <c r="C22" s="2">
        <v>4481</v>
      </c>
      <c r="D22" s="2">
        <v>1201086</v>
      </c>
      <c r="E22" s="2">
        <v>24032</v>
      </c>
      <c r="F22" s="2">
        <v>3.9702999999999999</v>
      </c>
      <c r="G22" s="2">
        <v>8.1100000000000005E-2</v>
      </c>
      <c r="H22" s="2">
        <v>3.8111999999999999</v>
      </c>
      <c r="I22" s="2">
        <v>4.1294000000000004</v>
      </c>
      <c r="J22" s="2">
        <v>16.3994</v>
      </c>
      <c r="K22" s="2">
        <v>0.32150000000000001</v>
      </c>
      <c r="L22" s="2">
        <v>15.769</v>
      </c>
      <c r="M22" s="2">
        <v>17.029800000000002</v>
      </c>
      <c r="O22">
        <f t="shared" si="6"/>
        <v>16.3994</v>
      </c>
      <c r="P22">
        <f t="shared" si="7"/>
        <v>15.769</v>
      </c>
      <c r="Q22">
        <f t="shared" si="7"/>
        <v>17.029800000000002</v>
      </c>
      <c r="S22" t="str">
        <f t="shared" si="8"/>
        <v>16.40 (15.77 to 17.03)</v>
      </c>
    </row>
    <row r="23" spans="1:19" ht="17.25" thickBot="1" x14ac:dyDescent="0.35">
      <c r="A23" s="6"/>
      <c r="B23" s="13" t="s">
        <v>132</v>
      </c>
      <c r="C23" s="2">
        <v>17159</v>
      </c>
      <c r="D23" s="2">
        <v>7323958</v>
      </c>
      <c r="E23" s="2">
        <v>78593</v>
      </c>
      <c r="F23" s="2">
        <v>24.21</v>
      </c>
      <c r="G23" s="2">
        <v>0.19209999999999999</v>
      </c>
      <c r="H23" s="2">
        <v>23.833300000000001</v>
      </c>
      <c r="I23" s="2">
        <v>24.5868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3">
        <v>1</v>
      </c>
      <c r="C24" s="2">
        <v>4147</v>
      </c>
      <c r="D24" s="2">
        <v>2476298</v>
      </c>
      <c r="E24" s="2">
        <v>48471</v>
      </c>
      <c r="F24" s="2">
        <v>8.1856000000000009</v>
      </c>
      <c r="G24" s="2">
        <v>0.14610000000000001</v>
      </c>
      <c r="H24" s="2">
        <v>7.8990999999999998</v>
      </c>
      <c r="I24" s="2">
        <v>8.4720999999999993</v>
      </c>
      <c r="J24" s="2">
        <v>32.1434</v>
      </c>
      <c r="K24" s="2">
        <v>0.49819999999999998</v>
      </c>
      <c r="L24" s="2">
        <v>31.166499999999999</v>
      </c>
      <c r="M24" s="2">
        <v>33.1203</v>
      </c>
      <c r="O24">
        <f t="shared" ref="O24:O26" si="9">J24</f>
        <v>32.1434</v>
      </c>
      <c r="P24">
        <f t="shared" ref="P24:Q26" si="10">L24</f>
        <v>31.166499999999999</v>
      </c>
      <c r="Q24">
        <f t="shared" si="10"/>
        <v>33.1203</v>
      </c>
      <c r="S24" t="str">
        <f t="shared" ref="S24:S26" si="11">TEXT(O24,"0.00")&amp;" ("&amp;TEXT(P24,"0.00")&amp;" to "&amp;TEXT(Q24,"0.00")&amp;")"</f>
        <v>32.14 (31.17 to 33.12)</v>
      </c>
    </row>
    <row r="25" spans="1:19" ht="17.25" thickBot="1" x14ac:dyDescent="0.35">
      <c r="A25" s="6"/>
      <c r="B25" s="13">
        <v>2</v>
      </c>
      <c r="C25" s="2">
        <v>9236</v>
      </c>
      <c r="D25" s="2">
        <v>4221986</v>
      </c>
      <c r="E25" s="2">
        <v>59492</v>
      </c>
      <c r="F25" s="2">
        <v>13.956200000000001</v>
      </c>
      <c r="G25" s="2">
        <v>0.16619999999999999</v>
      </c>
      <c r="H25" s="2">
        <v>13.6303</v>
      </c>
      <c r="I25" s="2">
        <v>14.2821</v>
      </c>
      <c r="J25" s="2">
        <v>54.803100000000001</v>
      </c>
      <c r="K25" s="2">
        <v>0.4819</v>
      </c>
      <c r="L25" s="2">
        <v>53.8583</v>
      </c>
      <c r="M25" s="2">
        <v>55.747999999999998</v>
      </c>
      <c r="O25">
        <f t="shared" si="9"/>
        <v>54.803100000000001</v>
      </c>
      <c r="P25">
        <f t="shared" si="10"/>
        <v>53.8583</v>
      </c>
      <c r="Q25">
        <f t="shared" si="10"/>
        <v>55.747999999999998</v>
      </c>
      <c r="S25" t="str">
        <f t="shared" si="11"/>
        <v>54.80 (53.86 to 55.75)</v>
      </c>
    </row>
    <row r="26" spans="1:19" ht="17.25" thickBot="1" x14ac:dyDescent="0.35">
      <c r="A26" s="6"/>
      <c r="B26" s="13">
        <v>3</v>
      </c>
      <c r="C26" s="2">
        <v>3775</v>
      </c>
      <c r="D26" s="2">
        <v>1005628</v>
      </c>
      <c r="E26" s="2">
        <v>21994</v>
      </c>
      <c r="F26" s="2">
        <v>3.3241999999999998</v>
      </c>
      <c r="G26" s="2">
        <v>7.4200000000000002E-2</v>
      </c>
      <c r="H26" s="2">
        <v>3.1787999999999998</v>
      </c>
      <c r="I26" s="2">
        <v>3.4695999999999998</v>
      </c>
      <c r="J26" s="2">
        <v>13.0535</v>
      </c>
      <c r="K26" s="2">
        <v>0.27650000000000002</v>
      </c>
      <c r="L26" s="2">
        <v>12.5114</v>
      </c>
      <c r="M26" s="2">
        <v>13.595599999999999</v>
      </c>
      <c r="O26">
        <f t="shared" si="9"/>
        <v>13.0535</v>
      </c>
      <c r="P26">
        <f t="shared" si="10"/>
        <v>12.5114</v>
      </c>
      <c r="Q26">
        <f t="shared" si="10"/>
        <v>13.595599999999999</v>
      </c>
      <c r="S26" t="str">
        <f t="shared" si="11"/>
        <v>13.05 (12.51 to 13.60)</v>
      </c>
    </row>
    <row r="27" spans="1:19" ht="17.25" thickBot="1" x14ac:dyDescent="0.35">
      <c r="A27" s="6"/>
      <c r="B27" s="13" t="s">
        <v>132</v>
      </c>
      <c r="C27" s="2">
        <v>17158</v>
      </c>
      <c r="D27" s="2">
        <v>7703912</v>
      </c>
      <c r="E27" s="2">
        <v>83068</v>
      </c>
      <c r="F27" s="2">
        <v>25.466000000000001</v>
      </c>
      <c r="G27" s="2">
        <v>0.2084</v>
      </c>
      <c r="H27" s="2">
        <v>25.057300000000001</v>
      </c>
      <c r="I27" s="2">
        <v>25.874700000000001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3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2">J28</f>
        <v>0</v>
      </c>
      <c r="P28">
        <f t="shared" ref="P28:Q30" si="13">L28</f>
        <v>0</v>
      </c>
      <c r="Q28">
        <f t="shared" si="13"/>
        <v>0</v>
      </c>
      <c r="S28" t="str">
        <f t="shared" ref="S28:S30" si="14">TEXT(O28,"0.00")&amp;" ("&amp;TEXT(P28,"0.00")&amp;" to "&amp;TEXT(Q28,"0.00")&amp;")"</f>
        <v>0.00 (0.00 to 0.00)</v>
      </c>
    </row>
    <row r="29" spans="1:19" ht="17.25" thickBot="1" x14ac:dyDescent="0.35">
      <c r="A29" s="6"/>
      <c r="B29" s="13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2"/>
        <v>0</v>
      </c>
      <c r="P29">
        <f t="shared" si="13"/>
        <v>0</v>
      </c>
      <c r="Q29">
        <f t="shared" si="13"/>
        <v>0</v>
      </c>
      <c r="S29" t="str">
        <f t="shared" si="14"/>
        <v>0.00 (0.00 to 0.00)</v>
      </c>
    </row>
    <row r="30" spans="1:19" ht="17.25" thickBot="1" x14ac:dyDescent="0.35">
      <c r="A30" s="6"/>
      <c r="B30" s="13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2"/>
        <v>0</v>
      </c>
      <c r="P30">
        <f t="shared" si="13"/>
        <v>0</v>
      </c>
      <c r="Q30">
        <f t="shared" si="13"/>
        <v>0</v>
      </c>
      <c r="S30" t="str">
        <f t="shared" si="14"/>
        <v>0.00 (0.00 to 0.00)</v>
      </c>
    </row>
    <row r="31" spans="1:19" x14ac:dyDescent="0.3">
      <c r="A31" s="6"/>
      <c r="B31" s="16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17" t="s">
        <v>200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</row>
    <row r="34" spans="1:19" ht="33" customHeight="1" x14ac:dyDescent="0.3">
      <c r="A34" s="18" t="s">
        <v>75</v>
      </c>
      <c r="B34" s="20" t="s">
        <v>5</v>
      </c>
      <c r="C34" s="20" t="s">
        <v>125</v>
      </c>
      <c r="D34" s="3" t="s">
        <v>126</v>
      </c>
      <c r="E34" s="3" t="s">
        <v>127</v>
      </c>
      <c r="F34" s="20" t="s">
        <v>129</v>
      </c>
      <c r="G34" s="3" t="s">
        <v>127</v>
      </c>
      <c r="H34" s="20" t="s">
        <v>130</v>
      </c>
      <c r="I34" s="20"/>
      <c r="J34" s="3" t="s">
        <v>149</v>
      </c>
      <c r="K34" s="3" t="s">
        <v>127</v>
      </c>
      <c r="L34" s="20" t="s">
        <v>130</v>
      </c>
      <c r="M34" s="20"/>
    </row>
    <row r="35" spans="1:19" ht="33" x14ac:dyDescent="0.3">
      <c r="A35" s="18"/>
      <c r="B35" s="20"/>
      <c r="C35" s="20"/>
      <c r="D35" s="3" t="s">
        <v>125</v>
      </c>
      <c r="E35" s="3" t="s">
        <v>128</v>
      </c>
      <c r="F35" s="20"/>
      <c r="G35" s="3" t="s">
        <v>129</v>
      </c>
      <c r="H35" s="20" t="s">
        <v>131</v>
      </c>
      <c r="I35" s="20"/>
      <c r="J35" s="3" t="s">
        <v>129</v>
      </c>
      <c r="K35" s="3" t="s">
        <v>150</v>
      </c>
      <c r="L35" s="20" t="s">
        <v>151</v>
      </c>
      <c r="M35" s="20"/>
    </row>
    <row r="36" spans="1:19" ht="17.25" thickBot="1" x14ac:dyDescent="0.35">
      <c r="A36" s="6">
        <v>1</v>
      </c>
      <c r="B36" s="13">
        <v>1</v>
      </c>
      <c r="C36" s="2">
        <v>4964</v>
      </c>
      <c r="D36" s="2">
        <v>2526576</v>
      </c>
      <c r="E36" s="2">
        <v>48322</v>
      </c>
      <c r="F36" s="2">
        <v>8.3518000000000008</v>
      </c>
      <c r="G36" s="2">
        <v>0.1431</v>
      </c>
      <c r="H36" s="2">
        <v>8.0711999999999993</v>
      </c>
      <c r="I36" s="2">
        <v>8.6324000000000005</v>
      </c>
      <c r="J36" s="2">
        <v>32.455599999999997</v>
      </c>
      <c r="K36" s="2">
        <v>0.45140000000000002</v>
      </c>
      <c r="L36" s="2">
        <v>31.570399999999999</v>
      </c>
      <c r="M36" s="2">
        <v>33.340699999999998</v>
      </c>
      <c r="O36">
        <f t="shared" ref="O36:O37" si="15">J36</f>
        <v>32.455599999999997</v>
      </c>
      <c r="P36">
        <f t="shared" ref="P36:Q37" si="16">L36</f>
        <v>31.570399999999999</v>
      </c>
      <c r="Q36">
        <f t="shared" si="16"/>
        <v>33.340699999999998</v>
      </c>
      <c r="S36" t="str">
        <f t="shared" ref="S36:S37" si="17">TEXT(O36,"0.00")&amp;" ("&amp;TEXT(P36,"0.00")&amp;" to "&amp;TEXT(Q36,"0.00")&amp;")"</f>
        <v>32.46 (31.57 to 33.34)</v>
      </c>
    </row>
    <row r="37" spans="1:19" ht="17.25" thickBot="1" x14ac:dyDescent="0.35">
      <c r="A37" s="6"/>
      <c r="B37" s="13">
        <v>2</v>
      </c>
      <c r="C37" s="2">
        <v>12195</v>
      </c>
      <c r="D37" s="2">
        <v>5258146</v>
      </c>
      <c r="E37" s="2">
        <v>67540</v>
      </c>
      <c r="F37" s="2">
        <v>17.3813</v>
      </c>
      <c r="G37" s="2">
        <v>0.17419999999999999</v>
      </c>
      <c r="H37" s="2">
        <v>17.0397</v>
      </c>
      <c r="I37" s="2">
        <v>17.722899999999999</v>
      </c>
      <c r="J37" s="2">
        <v>67.544399999999996</v>
      </c>
      <c r="K37" s="2">
        <v>0.45140000000000002</v>
      </c>
      <c r="L37" s="2">
        <v>66.659300000000002</v>
      </c>
      <c r="M37" s="2">
        <v>68.429599999999994</v>
      </c>
      <c r="O37">
        <f t="shared" si="15"/>
        <v>67.544399999999996</v>
      </c>
      <c r="P37">
        <f t="shared" si="16"/>
        <v>66.659300000000002</v>
      </c>
      <c r="Q37">
        <f t="shared" si="16"/>
        <v>68.429599999999994</v>
      </c>
      <c r="S37" t="str">
        <f t="shared" si="17"/>
        <v>67.54 (66.66 to 68.43)</v>
      </c>
    </row>
    <row r="38" spans="1:19" ht="17.25" thickBot="1" x14ac:dyDescent="0.35">
      <c r="A38" s="6"/>
      <c r="B38" s="13" t="s">
        <v>132</v>
      </c>
      <c r="C38" s="2">
        <v>17159</v>
      </c>
      <c r="D38" s="2">
        <v>7784722</v>
      </c>
      <c r="E38" s="2">
        <v>91183</v>
      </c>
      <c r="F38" s="2">
        <v>25.7331</v>
      </c>
      <c r="G38" s="2">
        <v>0.21560000000000001</v>
      </c>
      <c r="H38" s="2">
        <v>25.310400000000001</v>
      </c>
      <c r="I38" s="2">
        <v>26.155799999999999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3">
        <v>1</v>
      </c>
      <c r="C39" s="2">
        <v>7769</v>
      </c>
      <c r="D39" s="2">
        <v>3847690</v>
      </c>
      <c r="E39" s="2">
        <v>55139</v>
      </c>
      <c r="F39" s="2">
        <v>12.7189</v>
      </c>
      <c r="G39" s="2">
        <v>0.15409999999999999</v>
      </c>
      <c r="H39" s="2">
        <v>12.4168</v>
      </c>
      <c r="I39" s="2">
        <v>13.021000000000001</v>
      </c>
      <c r="J39" s="2">
        <v>51.722099999999998</v>
      </c>
      <c r="K39" s="2">
        <v>0.43809999999999999</v>
      </c>
      <c r="L39" s="2">
        <v>50.863</v>
      </c>
      <c r="M39" s="2">
        <v>52.581099999999999</v>
      </c>
      <c r="O39">
        <f t="shared" ref="O39:O40" si="18">J39</f>
        <v>51.722099999999998</v>
      </c>
      <c r="P39">
        <f t="shared" ref="P39:Q40" si="19">L39</f>
        <v>50.863</v>
      </c>
      <c r="Q39">
        <f t="shared" si="19"/>
        <v>52.581099999999999</v>
      </c>
      <c r="S39" t="str">
        <f t="shared" ref="S39:S40" si="20">TEXT(O39,"0.00")&amp;" ("&amp;TEXT(P39,"0.00")&amp;" to "&amp;TEXT(Q39,"0.00")&amp;")"</f>
        <v>51.72 (50.86 to 52.58)</v>
      </c>
    </row>
    <row r="40" spans="1:19" ht="17.25" thickBot="1" x14ac:dyDescent="0.35">
      <c r="A40" s="6"/>
      <c r="B40" s="13">
        <v>2</v>
      </c>
      <c r="C40" s="2">
        <v>9389</v>
      </c>
      <c r="D40" s="2">
        <v>3591474</v>
      </c>
      <c r="E40" s="2">
        <v>49238</v>
      </c>
      <c r="F40" s="2">
        <v>11.872</v>
      </c>
      <c r="G40" s="2">
        <v>0.13350000000000001</v>
      </c>
      <c r="H40" s="2">
        <v>11.610200000000001</v>
      </c>
      <c r="I40" s="2">
        <v>12.133699999999999</v>
      </c>
      <c r="J40" s="2">
        <v>48.277900000000002</v>
      </c>
      <c r="K40" s="2">
        <v>0.43809999999999999</v>
      </c>
      <c r="L40" s="2">
        <v>47.418900000000001</v>
      </c>
      <c r="M40" s="2">
        <v>49.137</v>
      </c>
      <c r="O40">
        <f t="shared" si="18"/>
        <v>48.277900000000002</v>
      </c>
      <c r="P40">
        <f t="shared" si="19"/>
        <v>47.418900000000001</v>
      </c>
      <c r="Q40">
        <f t="shared" si="19"/>
        <v>49.137</v>
      </c>
      <c r="S40" t="str">
        <f t="shared" si="20"/>
        <v>48.28 (47.42 to 49.14)</v>
      </c>
    </row>
    <row r="41" spans="1:19" ht="17.25" thickBot="1" x14ac:dyDescent="0.35">
      <c r="A41" s="6"/>
      <c r="B41" s="13" t="s">
        <v>132</v>
      </c>
      <c r="C41" s="2">
        <v>17158</v>
      </c>
      <c r="D41" s="2">
        <v>7439164</v>
      </c>
      <c r="E41" s="2">
        <v>81523</v>
      </c>
      <c r="F41" s="2">
        <v>24.590900000000001</v>
      </c>
      <c r="G41" s="2">
        <v>0.19059999999999999</v>
      </c>
      <c r="H41" s="2">
        <v>24.217099999999999</v>
      </c>
      <c r="I41" s="2">
        <v>24.964600000000001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3">
        <v>1</v>
      </c>
      <c r="C42" s="2">
        <v>9655</v>
      </c>
      <c r="D42" s="2">
        <v>4638434</v>
      </c>
      <c r="E42" s="2">
        <v>60858</v>
      </c>
      <c r="F42" s="2">
        <v>15.332800000000001</v>
      </c>
      <c r="G42" s="2">
        <v>0.16200000000000001</v>
      </c>
      <c r="H42" s="2">
        <v>15.0152</v>
      </c>
      <c r="I42" s="2">
        <v>15.6503</v>
      </c>
      <c r="J42" s="2">
        <v>63.332299999999996</v>
      </c>
      <c r="K42" s="2">
        <v>0.40500000000000003</v>
      </c>
      <c r="L42" s="2">
        <v>62.538200000000003</v>
      </c>
      <c r="M42" s="2">
        <v>64.126499999999993</v>
      </c>
      <c r="O42">
        <f t="shared" ref="O42:O43" si="21">J42</f>
        <v>63.332299999999996</v>
      </c>
      <c r="P42">
        <f t="shared" ref="P42:Q43" si="22">L42</f>
        <v>62.538200000000003</v>
      </c>
      <c r="Q42">
        <f t="shared" si="22"/>
        <v>64.126499999999993</v>
      </c>
      <c r="S42" t="str">
        <f t="shared" ref="S42:S43" si="23">TEXT(O42,"0.00")&amp;" ("&amp;TEXT(P42,"0.00")&amp;" to "&amp;TEXT(Q42,"0.00")&amp;")"</f>
        <v>63.33 (62.54 to 64.13)</v>
      </c>
    </row>
    <row r="43" spans="1:19" ht="17.25" thickBot="1" x14ac:dyDescent="0.35">
      <c r="A43" s="6"/>
      <c r="B43" s="13">
        <v>2</v>
      </c>
      <c r="C43" s="2">
        <v>7504</v>
      </c>
      <c r="D43" s="2">
        <v>2685524</v>
      </c>
      <c r="E43" s="2">
        <v>38857</v>
      </c>
      <c r="F43" s="2">
        <v>8.8773</v>
      </c>
      <c r="G43" s="2">
        <v>0.1163</v>
      </c>
      <c r="H43" s="2">
        <v>8.6492000000000004</v>
      </c>
      <c r="I43" s="2">
        <v>9.1052999999999997</v>
      </c>
      <c r="J43" s="2">
        <v>36.667700000000004</v>
      </c>
      <c r="K43" s="2">
        <v>0.40500000000000003</v>
      </c>
      <c r="L43" s="2">
        <v>35.8735</v>
      </c>
      <c r="M43" s="2">
        <v>37.461799999999997</v>
      </c>
      <c r="O43">
        <f t="shared" si="21"/>
        <v>36.667700000000004</v>
      </c>
      <c r="P43">
        <f t="shared" si="22"/>
        <v>35.8735</v>
      </c>
      <c r="Q43">
        <f t="shared" si="22"/>
        <v>37.461799999999997</v>
      </c>
      <c r="S43" t="str">
        <f t="shared" si="23"/>
        <v>36.67 (35.87 to 37.46)</v>
      </c>
    </row>
    <row r="44" spans="1:19" ht="17.25" thickBot="1" x14ac:dyDescent="0.35">
      <c r="A44" s="6"/>
      <c r="B44" s="13" t="s">
        <v>132</v>
      </c>
      <c r="C44" s="2">
        <v>17159</v>
      </c>
      <c r="D44" s="2">
        <v>7323958</v>
      </c>
      <c r="E44" s="2">
        <v>78593</v>
      </c>
      <c r="F44" s="2">
        <v>24.21</v>
      </c>
      <c r="G44" s="2">
        <v>0.19209999999999999</v>
      </c>
      <c r="H44" s="2">
        <v>23.833300000000001</v>
      </c>
      <c r="I44" s="2">
        <v>24.5868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3">
        <v>1</v>
      </c>
      <c r="C45" s="2">
        <v>10812</v>
      </c>
      <c r="D45" s="2">
        <v>5436130</v>
      </c>
      <c r="E45" s="2">
        <v>67644</v>
      </c>
      <c r="F45" s="2">
        <v>17.9696</v>
      </c>
      <c r="G45" s="2">
        <v>0.17730000000000001</v>
      </c>
      <c r="H45" s="2">
        <v>17.6219</v>
      </c>
      <c r="I45" s="2">
        <v>18.317299999999999</v>
      </c>
      <c r="J45" s="2">
        <v>70.563199999999995</v>
      </c>
      <c r="K45" s="2">
        <v>0.38619999999999999</v>
      </c>
      <c r="L45" s="2">
        <v>69.806100000000001</v>
      </c>
      <c r="M45" s="2">
        <v>71.320400000000006</v>
      </c>
      <c r="O45">
        <f t="shared" ref="O45:O46" si="24">J45</f>
        <v>70.563199999999995</v>
      </c>
      <c r="P45">
        <f t="shared" ref="P45:Q46" si="25">L45</f>
        <v>69.806100000000001</v>
      </c>
      <c r="Q45">
        <f t="shared" si="25"/>
        <v>71.320400000000006</v>
      </c>
      <c r="S45" t="str">
        <f t="shared" ref="S45:S46" si="26">TEXT(O45,"0.00")&amp;" ("&amp;TEXT(P45,"0.00")&amp;" to "&amp;TEXT(Q45,"0.00")&amp;")"</f>
        <v>70.56 (69.81 to 71.32)</v>
      </c>
    </row>
    <row r="46" spans="1:19" ht="17.25" thickBot="1" x14ac:dyDescent="0.35">
      <c r="A46" s="6"/>
      <c r="B46" s="13">
        <v>2</v>
      </c>
      <c r="C46" s="2">
        <v>6346</v>
      </c>
      <c r="D46" s="2">
        <v>2267782</v>
      </c>
      <c r="E46" s="2">
        <v>37103</v>
      </c>
      <c r="F46" s="2">
        <v>7.4964000000000004</v>
      </c>
      <c r="G46" s="2">
        <v>0.1157</v>
      </c>
      <c r="H46" s="2">
        <v>7.2695999999999996</v>
      </c>
      <c r="I46" s="2">
        <v>7.7230999999999996</v>
      </c>
      <c r="J46" s="2">
        <v>29.436800000000002</v>
      </c>
      <c r="K46" s="2">
        <v>0.38619999999999999</v>
      </c>
      <c r="L46" s="2">
        <v>28.679600000000001</v>
      </c>
      <c r="M46" s="2">
        <v>30.193899999999999</v>
      </c>
      <c r="O46">
        <f t="shared" si="24"/>
        <v>29.436800000000002</v>
      </c>
      <c r="P46">
        <f t="shared" si="25"/>
        <v>28.679600000000001</v>
      </c>
      <c r="Q46">
        <f t="shared" si="25"/>
        <v>30.193899999999999</v>
      </c>
      <c r="S46" t="str">
        <f t="shared" si="26"/>
        <v>29.44 (28.68 to 30.19)</v>
      </c>
    </row>
    <row r="47" spans="1:19" ht="17.25" thickBot="1" x14ac:dyDescent="0.35">
      <c r="A47" s="6"/>
      <c r="B47" s="13" t="s">
        <v>132</v>
      </c>
      <c r="C47" s="2">
        <v>17158</v>
      </c>
      <c r="D47" s="2">
        <v>7703912</v>
      </c>
      <c r="E47" s="2">
        <v>83068</v>
      </c>
      <c r="F47" s="2">
        <v>25.466000000000001</v>
      </c>
      <c r="G47" s="2">
        <v>0.2084</v>
      </c>
      <c r="H47" s="2">
        <v>25.057300000000001</v>
      </c>
      <c r="I47" s="2">
        <v>25.874700000000001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3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27">J48</f>
        <v>0</v>
      </c>
      <c r="P48">
        <f t="shared" ref="P48:Q49" si="28">L48</f>
        <v>0</v>
      </c>
      <c r="Q48">
        <f t="shared" si="28"/>
        <v>0</v>
      </c>
      <c r="S48" t="str">
        <f t="shared" ref="S48:S49" si="29">TEXT(O48,"0.00")&amp;" ("&amp;TEXT(P48,"0.00")&amp;" to "&amp;TEXT(Q48,"0.00")&amp;")"</f>
        <v>0.00 (0.00 to 0.00)</v>
      </c>
    </row>
    <row r="49" spans="1:19" ht="17.25" thickBot="1" x14ac:dyDescent="0.35">
      <c r="A49" s="6"/>
      <c r="B49" s="13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27"/>
        <v>0</v>
      </c>
      <c r="P49">
        <f t="shared" si="28"/>
        <v>0</v>
      </c>
      <c r="Q49">
        <f t="shared" si="28"/>
        <v>0</v>
      </c>
      <c r="S49" t="str">
        <f t="shared" si="29"/>
        <v>0.00 (0.00 to 0.00)</v>
      </c>
    </row>
    <row r="50" spans="1:19" x14ac:dyDescent="0.3">
      <c r="A50" s="6"/>
      <c r="B50" s="16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17" t="s">
        <v>201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</row>
    <row r="53" spans="1:19" ht="33" customHeight="1" x14ac:dyDescent="0.3">
      <c r="A53" s="18" t="s">
        <v>75</v>
      </c>
      <c r="B53" s="20" t="s">
        <v>6</v>
      </c>
      <c r="C53" s="20" t="s">
        <v>125</v>
      </c>
      <c r="D53" s="3" t="s">
        <v>126</v>
      </c>
      <c r="E53" s="3" t="s">
        <v>127</v>
      </c>
      <c r="F53" s="20" t="s">
        <v>129</v>
      </c>
      <c r="G53" s="3" t="s">
        <v>127</v>
      </c>
      <c r="H53" s="20" t="s">
        <v>130</v>
      </c>
      <c r="I53" s="20"/>
      <c r="J53" s="3" t="s">
        <v>149</v>
      </c>
      <c r="K53" s="3" t="s">
        <v>127</v>
      </c>
      <c r="L53" s="20" t="s">
        <v>130</v>
      </c>
      <c r="M53" s="20"/>
    </row>
    <row r="54" spans="1:19" ht="33" x14ac:dyDescent="0.3">
      <c r="A54" s="18"/>
      <c r="B54" s="20"/>
      <c r="C54" s="20"/>
      <c r="D54" s="3" t="s">
        <v>125</v>
      </c>
      <c r="E54" s="3" t="s">
        <v>128</v>
      </c>
      <c r="F54" s="20"/>
      <c r="G54" s="3" t="s">
        <v>129</v>
      </c>
      <c r="H54" s="20" t="s">
        <v>131</v>
      </c>
      <c r="I54" s="20"/>
      <c r="J54" s="3" t="s">
        <v>129</v>
      </c>
      <c r="K54" s="3" t="s">
        <v>150</v>
      </c>
      <c r="L54" s="20" t="s">
        <v>151</v>
      </c>
      <c r="M54" s="20"/>
    </row>
    <row r="55" spans="1:19" ht="17.25" thickBot="1" x14ac:dyDescent="0.35">
      <c r="A55" s="6">
        <v>1</v>
      </c>
      <c r="B55" s="13">
        <v>1</v>
      </c>
      <c r="C55" s="2">
        <v>14439</v>
      </c>
      <c r="D55" s="2">
        <v>6777242</v>
      </c>
      <c r="E55" s="2">
        <v>99000</v>
      </c>
      <c r="F55" s="2">
        <v>22.402799999999999</v>
      </c>
      <c r="G55" s="2">
        <v>0.26029999999999998</v>
      </c>
      <c r="H55" s="2">
        <v>21.892299999999999</v>
      </c>
      <c r="I55" s="2">
        <v>22.9133</v>
      </c>
      <c r="J55" s="2">
        <v>87.058199999999999</v>
      </c>
      <c r="K55" s="2">
        <v>0.62480000000000002</v>
      </c>
      <c r="L55" s="2">
        <v>85.833200000000005</v>
      </c>
      <c r="M55" s="2">
        <v>88.283299999999997</v>
      </c>
      <c r="O55">
        <f t="shared" ref="O55:O56" si="30">J55</f>
        <v>87.058199999999999</v>
      </c>
      <c r="P55">
        <f t="shared" ref="P55:Q56" si="31">L55</f>
        <v>85.833200000000005</v>
      </c>
      <c r="Q55">
        <f t="shared" si="31"/>
        <v>88.283299999999997</v>
      </c>
      <c r="S55" t="str">
        <f t="shared" ref="S55:S56" si="32">TEXT(O55,"0.00")&amp;" ("&amp;TEXT(P55,"0.00")&amp;" to "&amp;TEXT(Q55,"0.00")&amp;")"</f>
        <v>87.06 (85.83 to 88.28)</v>
      </c>
    </row>
    <row r="56" spans="1:19" ht="17.25" thickBot="1" x14ac:dyDescent="0.35">
      <c r="A56" s="6"/>
      <c r="B56" s="13">
        <v>2</v>
      </c>
      <c r="C56" s="2">
        <v>2720</v>
      </c>
      <c r="D56" s="2">
        <v>1007480</v>
      </c>
      <c r="E56" s="2">
        <v>48332</v>
      </c>
      <c r="F56" s="2">
        <v>3.3302999999999998</v>
      </c>
      <c r="G56" s="2">
        <v>0.16009999999999999</v>
      </c>
      <c r="H56" s="2">
        <v>3.0164</v>
      </c>
      <c r="I56" s="2">
        <v>3.6442000000000001</v>
      </c>
      <c r="J56" s="2">
        <v>12.941800000000001</v>
      </c>
      <c r="K56" s="2">
        <v>0.62480000000000002</v>
      </c>
      <c r="L56" s="2">
        <v>11.716699999999999</v>
      </c>
      <c r="M56" s="2">
        <v>14.1668</v>
      </c>
      <c r="O56">
        <f t="shared" si="30"/>
        <v>12.941800000000001</v>
      </c>
      <c r="P56">
        <f t="shared" si="31"/>
        <v>11.716699999999999</v>
      </c>
      <c r="Q56">
        <f t="shared" si="31"/>
        <v>14.1668</v>
      </c>
      <c r="S56" t="str">
        <f t="shared" si="32"/>
        <v>12.94 (11.72 to 14.17)</v>
      </c>
    </row>
    <row r="57" spans="1:19" ht="17.25" thickBot="1" x14ac:dyDescent="0.35">
      <c r="A57" s="6"/>
      <c r="B57" s="13" t="s">
        <v>132</v>
      </c>
      <c r="C57" s="2">
        <v>17159</v>
      </c>
      <c r="D57" s="2">
        <v>7784722</v>
      </c>
      <c r="E57" s="2">
        <v>91183</v>
      </c>
      <c r="F57" s="2">
        <v>25.7331</v>
      </c>
      <c r="G57" s="2">
        <v>0.21560000000000001</v>
      </c>
      <c r="H57" s="2">
        <v>25.310400000000001</v>
      </c>
      <c r="I57" s="2">
        <v>26.155799999999999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3">
        <v>1</v>
      </c>
      <c r="C58" s="2">
        <v>13795</v>
      </c>
      <c r="D58" s="2">
        <v>6240809</v>
      </c>
      <c r="E58" s="2">
        <v>89438</v>
      </c>
      <c r="F58" s="2">
        <v>20.6296</v>
      </c>
      <c r="G58" s="2">
        <v>0.2354</v>
      </c>
      <c r="H58" s="2">
        <v>20.167999999999999</v>
      </c>
      <c r="I58" s="2">
        <v>21.091200000000001</v>
      </c>
      <c r="J58" s="2">
        <v>83.891300000000001</v>
      </c>
      <c r="K58" s="2">
        <v>0.70289999999999997</v>
      </c>
      <c r="L58" s="2">
        <v>82.513000000000005</v>
      </c>
      <c r="M58" s="2">
        <v>85.269599999999997</v>
      </c>
      <c r="O58">
        <f t="shared" ref="O58:O59" si="33">J58</f>
        <v>83.891300000000001</v>
      </c>
      <c r="P58">
        <f t="shared" ref="P58:Q59" si="34">L58</f>
        <v>82.513000000000005</v>
      </c>
      <c r="Q58">
        <f t="shared" si="34"/>
        <v>85.269599999999997</v>
      </c>
      <c r="S58" t="str">
        <f t="shared" ref="S58:S59" si="35">TEXT(O58,"0.00")&amp;" ("&amp;TEXT(P58,"0.00")&amp;" to "&amp;TEXT(Q58,"0.00")&amp;")"</f>
        <v>83.89 (82.51 to 85.27)</v>
      </c>
    </row>
    <row r="59" spans="1:19" ht="17.25" thickBot="1" x14ac:dyDescent="0.35">
      <c r="A59" s="6"/>
      <c r="B59" s="13">
        <v>2</v>
      </c>
      <c r="C59" s="2">
        <v>3363</v>
      </c>
      <c r="D59" s="2">
        <v>1198355</v>
      </c>
      <c r="E59" s="2">
        <v>52859</v>
      </c>
      <c r="F59" s="2">
        <v>3.9613</v>
      </c>
      <c r="G59" s="2">
        <v>0.17560000000000001</v>
      </c>
      <c r="H59" s="2">
        <v>3.617</v>
      </c>
      <c r="I59" s="2">
        <v>4.3056000000000001</v>
      </c>
      <c r="J59" s="2">
        <v>16.108699999999999</v>
      </c>
      <c r="K59" s="2">
        <v>0.70289999999999997</v>
      </c>
      <c r="L59" s="2">
        <v>14.730399999999999</v>
      </c>
      <c r="M59" s="2">
        <v>17.486999999999998</v>
      </c>
      <c r="O59">
        <f t="shared" si="33"/>
        <v>16.108699999999999</v>
      </c>
      <c r="P59">
        <f t="shared" si="34"/>
        <v>14.730399999999999</v>
      </c>
      <c r="Q59">
        <f t="shared" si="34"/>
        <v>17.486999999999998</v>
      </c>
      <c r="S59" t="str">
        <f t="shared" si="35"/>
        <v>16.11 (14.73 to 17.49)</v>
      </c>
    </row>
    <row r="60" spans="1:19" ht="17.25" thickBot="1" x14ac:dyDescent="0.35">
      <c r="A60" s="6"/>
      <c r="B60" s="13" t="s">
        <v>132</v>
      </c>
      <c r="C60" s="2">
        <v>17158</v>
      </c>
      <c r="D60" s="2">
        <v>7439164</v>
      </c>
      <c r="E60" s="2">
        <v>81523</v>
      </c>
      <c r="F60" s="2">
        <v>24.590900000000001</v>
      </c>
      <c r="G60" s="2">
        <v>0.19059999999999999</v>
      </c>
      <c r="H60" s="2">
        <v>24.217099999999999</v>
      </c>
      <c r="I60" s="2">
        <v>24.964600000000001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3">
        <v>1</v>
      </c>
      <c r="C61" s="2">
        <v>13574</v>
      </c>
      <c r="D61" s="2">
        <v>6083116</v>
      </c>
      <c r="E61" s="2">
        <v>86400</v>
      </c>
      <c r="F61" s="2">
        <v>20.1083</v>
      </c>
      <c r="G61" s="2">
        <v>0.23369999999999999</v>
      </c>
      <c r="H61" s="2">
        <v>19.650099999999998</v>
      </c>
      <c r="I61" s="2">
        <v>20.566500000000001</v>
      </c>
      <c r="J61" s="2">
        <v>83.0578</v>
      </c>
      <c r="K61" s="2">
        <v>0.71060000000000001</v>
      </c>
      <c r="L61" s="2">
        <v>81.664299999999997</v>
      </c>
      <c r="M61" s="2">
        <v>84.4512</v>
      </c>
      <c r="O61">
        <f t="shared" ref="O61:O62" si="36">J61</f>
        <v>83.0578</v>
      </c>
      <c r="P61">
        <f t="shared" ref="P61:Q62" si="37">L61</f>
        <v>81.664299999999997</v>
      </c>
      <c r="Q61">
        <f t="shared" si="37"/>
        <v>84.4512</v>
      </c>
      <c r="S61" t="str">
        <f t="shared" ref="S61:S62" si="38">TEXT(O61,"0.00")&amp;" ("&amp;TEXT(P61,"0.00")&amp;" to "&amp;TEXT(Q61,"0.00")&amp;")"</f>
        <v>83.06 (81.66 to 84.45)</v>
      </c>
    </row>
    <row r="62" spans="1:19" ht="17.25" thickBot="1" x14ac:dyDescent="0.35">
      <c r="A62" s="6"/>
      <c r="B62" s="13">
        <v>2</v>
      </c>
      <c r="C62" s="2">
        <v>3585</v>
      </c>
      <c r="D62" s="2">
        <v>1240842</v>
      </c>
      <c r="E62" s="2">
        <v>52776</v>
      </c>
      <c r="F62" s="2">
        <v>4.1017000000000001</v>
      </c>
      <c r="G62" s="2">
        <v>0.1754</v>
      </c>
      <c r="H62" s="2">
        <v>3.7578999999999998</v>
      </c>
      <c r="I62" s="2">
        <v>4.4455999999999998</v>
      </c>
      <c r="J62" s="2">
        <v>16.9422</v>
      </c>
      <c r="K62" s="2">
        <v>0.71060000000000001</v>
      </c>
      <c r="L62" s="2">
        <v>15.5488</v>
      </c>
      <c r="M62" s="2">
        <v>18.335699999999999</v>
      </c>
      <c r="O62">
        <f t="shared" si="36"/>
        <v>16.9422</v>
      </c>
      <c r="P62">
        <f t="shared" si="37"/>
        <v>15.5488</v>
      </c>
      <c r="Q62">
        <f t="shared" si="37"/>
        <v>18.335699999999999</v>
      </c>
      <c r="S62" t="str">
        <f t="shared" si="38"/>
        <v>16.94 (15.55 to 18.34)</v>
      </c>
    </row>
    <row r="63" spans="1:19" ht="17.25" thickBot="1" x14ac:dyDescent="0.35">
      <c r="A63" s="6"/>
      <c r="B63" s="13" t="s">
        <v>132</v>
      </c>
      <c r="C63" s="2">
        <v>17159</v>
      </c>
      <c r="D63" s="2">
        <v>7323958</v>
      </c>
      <c r="E63" s="2">
        <v>78593</v>
      </c>
      <c r="F63" s="2">
        <v>24.21</v>
      </c>
      <c r="G63" s="2">
        <v>0.19209999999999999</v>
      </c>
      <c r="H63" s="2">
        <v>23.833300000000001</v>
      </c>
      <c r="I63" s="2">
        <v>24.5868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3">
        <v>1</v>
      </c>
      <c r="C64" s="2">
        <v>13368</v>
      </c>
      <c r="D64" s="2">
        <v>6290911</v>
      </c>
      <c r="E64" s="2">
        <v>92478</v>
      </c>
      <c r="F64" s="2">
        <v>20.795200000000001</v>
      </c>
      <c r="G64" s="2">
        <v>0.25219999999999998</v>
      </c>
      <c r="H64" s="2">
        <v>20.300599999999999</v>
      </c>
      <c r="I64" s="2">
        <v>21.2898</v>
      </c>
      <c r="J64" s="2">
        <v>81.658699999999996</v>
      </c>
      <c r="K64" s="2">
        <v>0.7732</v>
      </c>
      <c r="L64" s="2">
        <v>80.142499999999998</v>
      </c>
      <c r="M64" s="2">
        <v>83.174800000000005</v>
      </c>
      <c r="O64">
        <f t="shared" ref="O64:O65" si="39">J64</f>
        <v>81.658699999999996</v>
      </c>
      <c r="P64">
        <f t="shared" ref="P64:Q65" si="40">L64</f>
        <v>80.142499999999998</v>
      </c>
      <c r="Q64">
        <f t="shared" si="40"/>
        <v>83.174800000000005</v>
      </c>
      <c r="S64" t="str">
        <f t="shared" ref="S64:S65" si="41">TEXT(O64,"0.00")&amp;" ("&amp;TEXT(P64,"0.00")&amp;" to "&amp;TEXT(Q64,"0.00")&amp;")"</f>
        <v>81.66 (80.14 to 83.17)</v>
      </c>
    </row>
    <row r="65" spans="1:19" ht="17.25" thickBot="1" x14ac:dyDescent="0.35">
      <c r="A65" s="6"/>
      <c r="B65" s="13">
        <v>2</v>
      </c>
      <c r="C65" s="2">
        <v>3790</v>
      </c>
      <c r="D65" s="2">
        <v>1413001</v>
      </c>
      <c r="E65" s="2">
        <v>60745</v>
      </c>
      <c r="F65" s="2">
        <v>4.6707999999999998</v>
      </c>
      <c r="G65" s="2">
        <v>0.2029</v>
      </c>
      <c r="H65" s="2">
        <v>4.2729999999999997</v>
      </c>
      <c r="I65" s="2">
        <v>5.0686</v>
      </c>
      <c r="J65" s="2">
        <v>18.3413</v>
      </c>
      <c r="K65" s="2">
        <v>0.7732</v>
      </c>
      <c r="L65" s="2">
        <v>16.825199999999999</v>
      </c>
      <c r="M65" s="2">
        <v>19.857500000000002</v>
      </c>
      <c r="O65">
        <f t="shared" si="39"/>
        <v>18.3413</v>
      </c>
      <c r="P65">
        <f t="shared" si="40"/>
        <v>16.825199999999999</v>
      </c>
      <c r="Q65">
        <f t="shared" si="40"/>
        <v>19.857500000000002</v>
      </c>
      <c r="S65" t="str">
        <f t="shared" si="41"/>
        <v>18.34 (16.83 to 19.86)</v>
      </c>
    </row>
    <row r="66" spans="1:19" ht="17.25" thickBot="1" x14ac:dyDescent="0.35">
      <c r="A66" s="6"/>
      <c r="B66" s="13" t="s">
        <v>132</v>
      </c>
      <c r="C66" s="2">
        <v>17158</v>
      </c>
      <c r="D66" s="2">
        <v>7703912</v>
      </c>
      <c r="E66" s="2">
        <v>83068</v>
      </c>
      <c r="F66" s="2">
        <v>25.466000000000001</v>
      </c>
      <c r="G66" s="2">
        <v>0.2084</v>
      </c>
      <c r="H66" s="2">
        <v>25.057300000000001</v>
      </c>
      <c r="I66" s="2">
        <v>25.874700000000001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3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42">J67</f>
        <v>0</v>
      </c>
      <c r="P67">
        <f t="shared" ref="P67:Q68" si="43">L67</f>
        <v>0</v>
      </c>
      <c r="Q67">
        <f t="shared" si="43"/>
        <v>0</v>
      </c>
      <c r="S67" t="str">
        <f t="shared" ref="S67:S68" si="44">TEXT(O67,"0.00")&amp;" ("&amp;TEXT(P67,"0.00")&amp;" to "&amp;TEXT(Q67,"0.00")&amp;")"</f>
        <v>0.00 (0.00 to 0.00)</v>
      </c>
    </row>
    <row r="68" spans="1:19" ht="17.25" thickBot="1" x14ac:dyDescent="0.35">
      <c r="A68" s="6"/>
      <c r="B68" s="13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42"/>
        <v>0</v>
      </c>
      <c r="P68">
        <f t="shared" si="43"/>
        <v>0</v>
      </c>
      <c r="Q68">
        <f t="shared" si="43"/>
        <v>0</v>
      </c>
      <c r="S68" t="str">
        <f t="shared" si="44"/>
        <v>0.00 (0.00 to 0.00)</v>
      </c>
    </row>
    <row r="69" spans="1:19" x14ac:dyDescent="0.3">
      <c r="A69" s="6"/>
      <c r="B69" s="16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17" t="s">
        <v>202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</row>
    <row r="72" spans="1:19" ht="33" customHeight="1" x14ac:dyDescent="0.3">
      <c r="A72" s="18" t="s">
        <v>75</v>
      </c>
      <c r="B72" s="20" t="s">
        <v>7</v>
      </c>
      <c r="C72" s="20" t="s">
        <v>125</v>
      </c>
      <c r="D72" s="3" t="s">
        <v>126</v>
      </c>
      <c r="E72" s="3" t="s">
        <v>127</v>
      </c>
      <c r="F72" s="20" t="s">
        <v>129</v>
      </c>
      <c r="G72" s="3" t="s">
        <v>127</v>
      </c>
      <c r="H72" s="20" t="s">
        <v>130</v>
      </c>
      <c r="I72" s="20"/>
      <c r="J72" s="3" t="s">
        <v>149</v>
      </c>
      <c r="K72" s="3" t="s">
        <v>127</v>
      </c>
      <c r="L72" s="20" t="s">
        <v>130</v>
      </c>
      <c r="M72" s="20"/>
    </row>
    <row r="73" spans="1:19" ht="33" x14ac:dyDescent="0.3">
      <c r="A73" s="18"/>
      <c r="B73" s="20"/>
      <c r="C73" s="20"/>
      <c r="D73" s="3" t="s">
        <v>125</v>
      </c>
      <c r="E73" s="3" t="s">
        <v>128</v>
      </c>
      <c r="F73" s="20"/>
      <c r="G73" s="3" t="s">
        <v>129</v>
      </c>
      <c r="H73" s="20" t="s">
        <v>131</v>
      </c>
      <c r="I73" s="20"/>
      <c r="J73" s="3" t="s">
        <v>129</v>
      </c>
      <c r="K73" s="3" t="s">
        <v>150</v>
      </c>
      <c r="L73" s="20" t="s">
        <v>151</v>
      </c>
      <c r="M73" s="20"/>
    </row>
    <row r="74" spans="1:19" ht="17.25" thickBot="1" x14ac:dyDescent="0.35">
      <c r="A74" s="6">
        <v>1</v>
      </c>
      <c r="B74" s="13">
        <v>1</v>
      </c>
      <c r="C74" s="2">
        <v>1337</v>
      </c>
      <c r="D74" s="2">
        <v>405273</v>
      </c>
      <c r="E74" s="2">
        <v>14263</v>
      </c>
      <c r="F74" s="2">
        <v>1.3396999999999999</v>
      </c>
      <c r="G74" s="2">
        <v>4.7500000000000001E-2</v>
      </c>
      <c r="H74" s="2">
        <v>1.2465999999999999</v>
      </c>
      <c r="I74" s="2">
        <v>1.4328000000000001</v>
      </c>
      <c r="J74" s="2">
        <v>5.2060000000000004</v>
      </c>
      <c r="K74" s="2">
        <v>0.1855</v>
      </c>
      <c r="L74" s="2">
        <v>4.8422999999999998</v>
      </c>
      <c r="M74" s="2">
        <v>5.5697000000000001</v>
      </c>
      <c r="O74">
        <f t="shared" ref="O74:O77" si="45">J74</f>
        <v>5.2060000000000004</v>
      </c>
      <c r="P74">
        <f t="shared" ref="P74:Q77" si="46">L74</f>
        <v>4.8422999999999998</v>
      </c>
      <c r="Q74">
        <f t="shared" si="46"/>
        <v>5.5697000000000001</v>
      </c>
      <c r="S74" t="str">
        <f t="shared" ref="S74:S77" si="47">TEXT(O74,"0.00")&amp;" ("&amp;TEXT(P74,"0.00")&amp;" to "&amp;TEXT(Q74,"0.00")&amp;")"</f>
        <v>5.21 (4.84 to 5.57)</v>
      </c>
    </row>
    <row r="75" spans="1:19" ht="17.25" thickBot="1" x14ac:dyDescent="0.35">
      <c r="A75" s="6"/>
      <c r="B75" s="13">
        <v>2</v>
      </c>
      <c r="C75" s="2">
        <v>1259</v>
      </c>
      <c r="D75" s="2">
        <v>422526</v>
      </c>
      <c r="E75" s="2">
        <v>14942</v>
      </c>
      <c r="F75" s="2">
        <v>1.3967000000000001</v>
      </c>
      <c r="G75" s="2">
        <v>4.9599999999999998E-2</v>
      </c>
      <c r="H75" s="2">
        <v>1.2994000000000001</v>
      </c>
      <c r="I75" s="2">
        <v>1.494</v>
      </c>
      <c r="J75" s="2">
        <v>5.4276</v>
      </c>
      <c r="K75" s="2">
        <v>0.19270000000000001</v>
      </c>
      <c r="L75" s="2">
        <v>5.0498000000000003</v>
      </c>
      <c r="M75" s="2">
        <v>5.8055000000000003</v>
      </c>
      <c r="O75">
        <f t="shared" si="45"/>
        <v>5.4276</v>
      </c>
      <c r="P75">
        <f t="shared" si="46"/>
        <v>5.0498000000000003</v>
      </c>
      <c r="Q75">
        <f t="shared" si="46"/>
        <v>5.8055000000000003</v>
      </c>
      <c r="S75" t="str">
        <f t="shared" si="47"/>
        <v>5.43 (5.05 to 5.81)</v>
      </c>
    </row>
    <row r="76" spans="1:19" ht="17.25" thickBot="1" x14ac:dyDescent="0.35">
      <c r="A76" s="6"/>
      <c r="B76" s="13">
        <v>3</v>
      </c>
      <c r="C76" s="2">
        <v>3978</v>
      </c>
      <c r="D76" s="2">
        <v>1791833</v>
      </c>
      <c r="E76" s="2">
        <v>36406</v>
      </c>
      <c r="F76" s="2">
        <v>5.9230999999999998</v>
      </c>
      <c r="G76" s="2">
        <v>0.11260000000000001</v>
      </c>
      <c r="H76" s="2">
        <v>5.7022000000000004</v>
      </c>
      <c r="I76" s="2">
        <v>6.1439000000000004</v>
      </c>
      <c r="J76" s="2">
        <v>23.017299999999999</v>
      </c>
      <c r="K76" s="2">
        <v>0.41260000000000002</v>
      </c>
      <c r="L76" s="2">
        <v>22.208200000000001</v>
      </c>
      <c r="M76" s="2">
        <v>23.8264</v>
      </c>
      <c r="O76">
        <f t="shared" si="45"/>
        <v>23.017299999999999</v>
      </c>
      <c r="P76">
        <f t="shared" si="46"/>
        <v>22.208200000000001</v>
      </c>
      <c r="Q76">
        <f t="shared" si="46"/>
        <v>23.8264</v>
      </c>
      <c r="S76" t="str">
        <f t="shared" si="47"/>
        <v>23.02 (22.21 to 23.83)</v>
      </c>
    </row>
    <row r="77" spans="1:19" ht="17.25" thickBot="1" x14ac:dyDescent="0.35">
      <c r="A77" s="6"/>
      <c r="B77" s="13">
        <v>4</v>
      </c>
      <c r="C77" s="2">
        <v>10585</v>
      </c>
      <c r="D77" s="2">
        <v>5165090</v>
      </c>
      <c r="E77" s="2">
        <v>78713</v>
      </c>
      <c r="F77" s="2">
        <v>17.073699999999999</v>
      </c>
      <c r="G77" s="2">
        <v>0.20680000000000001</v>
      </c>
      <c r="H77" s="2">
        <v>16.668299999999999</v>
      </c>
      <c r="I77" s="2">
        <v>17.479099999999999</v>
      </c>
      <c r="J77" s="2">
        <v>66.349100000000007</v>
      </c>
      <c r="K77" s="2">
        <v>0.48730000000000001</v>
      </c>
      <c r="L77" s="2">
        <v>65.393500000000003</v>
      </c>
      <c r="M77" s="2">
        <v>67.304599999999994</v>
      </c>
      <c r="O77">
        <f t="shared" si="45"/>
        <v>66.349100000000007</v>
      </c>
      <c r="P77">
        <f t="shared" si="46"/>
        <v>65.393500000000003</v>
      </c>
      <c r="Q77">
        <f t="shared" si="46"/>
        <v>67.304599999999994</v>
      </c>
      <c r="S77" t="str">
        <f t="shared" si="47"/>
        <v>66.35 (65.39 to 67.30)</v>
      </c>
    </row>
    <row r="78" spans="1:19" ht="17.25" thickBot="1" x14ac:dyDescent="0.35">
      <c r="A78" s="6"/>
      <c r="B78" s="13" t="s">
        <v>132</v>
      </c>
      <c r="C78" s="2">
        <v>17159</v>
      </c>
      <c r="D78" s="2">
        <v>7784722</v>
      </c>
      <c r="E78" s="2">
        <v>91183</v>
      </c>
      <c r="F78" s="2">
        <v>25.7331</v>
      </c>
      <c r="G78" s="2">
        <v>0.21560000000000001</v>
      </c>
      <c r="H78" s="2">
        <v>25.310400000000001</v>
      </c>
      <c r="I78" s="2">
        <v>26.155799999999999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3">
        <v>1</v>
      </c>
      <c r="C79" s="2">
        <v>2289</v>
      </c>
      <c r="D79" s="2">
        <v>694947</v>
      </c>
      <c r="E79" s="2">
        <v>18999</v>
      </c>
      <c r="F79" s="2">
        <v>2.2972000000000001</v>
      </c>
      <c r="G79" s="2">
        <v>6.4000000000000001E-2</v>
      </c>
      <c r="H79" s="2">
        <v>2.1717</v>
      </c>
      <c r="I79" s="2">
        <v>2.4226999999999999</v>
      </c>
      <c r="J79" s="2">
        <v>9.3416999999999994</v>
      </c>
      <c r="K79" s="2">
        <v>0.2571</v>
      </c>
      <c r="L79" s="2">
        <v>8.8376999999999999</v>
      </c>
      <c r="M79" s="2">
        <v>9.8458000000000006</v>
      </c>
      <c r="O79">
        <f t="shared" ref="O79:O82" si="48">J79</f>
        <v>9.3416999999999994</v>
      </c>
      <c r="P79">
        <f t="shared" ref="P79:Q82" si="49">L79</f>
        <v>8.8376999999999999</v>
      </c>
      <c r="Q79">
        <f t="shared" si="49"/>
        <v>9.8458000000000006</v>
      </c>
      <c r="S79" t="str">
        <f t="shared" ref="S79:S82" si="50">TEXT(O79,"0.00")&amp;" ("&amp;TEXT(P79,"0.00")&amp;" to "&amp;TEXT(Q79,"0.00")&amp;")"</f>
        <v>9.34 (8.84 to 9.85)</v>
      </c>
    </row>
    <row r="80" spans="1:19" ht="17.25" thickBot="1" x14ac:dyDescent="0.35">
      <c r="A80" s="6"/>
      <c r="B80" s="13">
        <v>2</v>
      </c>
      <c r="C80" s="2">
        <v>1968</v>
      </c>
      <c r="D80" s="2">
        <v>650634</v>
      </c>
      <c r="E80" s="2">
        <v>18850</v>
      </c>
      <c r="F80" s="2">
        <v>2.1507000000000001</v>
      </c>
      <c r="G80" s="2">
        <v>6.2E-2</v>
      </c>
      <c r="H80" s="2">
        <v>2.0291000000000001</v>
      </c>
      <c r="I80" s="2">
        <v>2.2724000000000002</v>
      </c>
      <c r="J80" s="2">
        <v>8.7461000000000002</v>
      </c>
      <c r="K80" s="2">
        <v>0.24859999999999999</v>
      </c>
      <c r="L80" s="2">
        <v>8.2585999999999995</v>
      </c>
      <c r="M80" s="2">
        <v>9.2334999999999994</v>
      </c>
      <c r="O80">
        <f t="shared" si="48"/>
        <v>8.7461000000000002</v>
      </c>
      <c r="P80">
        <f t="shared" si="49"/>
        <v>8.2585999999999995</v>
      </c>
      <c r="Q80">
        <f t="shared" si="49"/>
        <v>9.2334999999999994</v>
      </c>
      <c r="S80" t="str">
        <f t="shared" si="50"/>
        <v>8.75 (8.26 to 9.23)</v>
      </c>
    </row>
    <row r="81" spans="1:19" ht="17.25" thickBot="1" x14ac:dyDescent="0.35">
      <c r="A81" s="6"/>
      <c r="B81" s="13">
        <v>3</v>
      </c>
      <c r="C81" s="2">
        <v>4511</v>
      </c>
      <c r="D81" s="2">
        <v>1985997</v>
      </c>
      <c r="E81" s="2">
        <v>38946</v>
      </c>
      <c r="F81" s="2">
        <v>6.5648999999999997</v>
      </c>
      <c r="G81" s="2">
        <v>0.11849999999999999</v>
      </c>
      <c r="H81" s="2">
        <v>6.3324999999999996</v>
      </c>
      <c r="I81" s="2">
        <v>6.7972999999999999</v>
      </c>
      <c r="J81" s="2">
        <v>26.6965</v>
      </c>
      <c r="K81" s="2">
        <v>0.43149999999999999</v>
      </c>
      <c r="L81" s="2">
        <v>25.8504</v>
      </c>
      <c r="M81" s="2">
        <v>27.5426</v>
      </c>
      <c r="O81">
        <f t="shared" si="48"/>
        <v>26.6965</v>
      </c>
      <c r="P81">
        <f t="shared" si="49"/>
        <v>25.8504</v>
      </c>
      <c r="Q81">
        <f t="shared" si="49"/>
        <v>27.5426</v>
      </c>
      <c r="S81" t="str">
        <f t="shared" si="50"/>
        <v>26.70 (25.85 to 27.54)</v>
      </c>
    </row>
    <row r="82" spans="1:19" ht="17.25" thickBot="1" x14ac:dyDescent="0.35">
      <c r="A82" s="6"/>
      <c r="B82" s="13">
        <v>4</v>
      </c>
      <c r="C82" s="2">
        <v>8390</v>
      </c>
      <c r="D82" s="2">
        <v>4107587</v>
      </c>
      <c r="E82" s="2">
        <v>64420</v>
      </c>
      <c r="F82" s="2">
        <v>13.577999999999999</v>
      </c>
      <c r="G82" s="2">
        <v>0.17280000000000001</v>
      </c>
      <c r="H82" s="2">
        <v>13.2392</v>
      </c>
      <c r="I82" s="2">
        <v>13.9168</v>
      </c>
      <c r="J82" s="2">
        <v>55.215699999999998</v>
      </c>
      <c r="K82" s="2">
        <v>0.52790000000000004</v>
      </c>
      <c r="L82" s="2">
        <v>54.180500000000002</v>
      </c>
      <c r="M82" s="2">
        <v>56.250900000000001</v>
      </c>
      <c r="O82">
        <f t="shared" si="48"/>
        <v>55.215699999999998</v>
      </c>
      <c r="P82">
        <f t="shared" si="49"/>
        <v>54.180500000000002</v>
      </c>
      <c r="Q82">
        <f t="shared" si="49"/>
        <v>56.250900000000001</v>
      </c>
      <c r="S82" t="str">
        <f t="shared" si="50"/>
        <v>55.22 (54.18 to 56.25)</v>
      </c>
    </row>
    <row r="83" spans="1:19" ht="17.25" thickBot="1" x14ac:dyDescent="0.35">
      <c r="A83" s="6"/>
      <c r="B83" s="13" t="s">
        <v>132</v>
      </c>
      <c r="C83" s="2">
        <v>17158</v>
      </c>
      <c r="D83" s="2">
        <v>7439164</v>
      </c>
      <c r="E83" s="2">
        <v>81523</v>
      </c>
      <c r="F83" s="2">
        <v>24.590900000000001</v>
      </c>
      <c r="G83" s="2">
        <v>0.19059999999999999</v>
      </c>
      <c r="H83" s="2">
        <v>24.217099999999999</v>
      </c>
      <c r="I83" s="2">
        <v>24.964600000000001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3">
        <v>1</v>
      </c>
      <c r="C84" s="2">
        <v>2859</v>
      </c>
      <c r="D84" s="2">
        <v>864041</v>
      </c>
      <c r="E84" s="2">
        <v>22025</v>
      </c>
      <c r="F84" s="2">
        <v>2.8561999999999999</v>
      </c>
      <c r="G84" s="2">
        <v>7.4399999999999994E-2</v>
      </c>
      <c r="H84" s="2">
        <v>2.7103000000000002</v>
      </c>
      <c r="I84" s="2">
        <v>3.0019999999999998</v>
      </c>
      <c r="J84" s="2">
        <v>11.797499999999999</v>
      </c>
      <c r="K84" s="2">
        <v>0.29470000000000002</v>
      </c>
      <c r="L84" s="2">
        <v>11.2196</v>
      </c>
      <c r="M84" s="2">
        <v>12.375299999999999</v>
      </c>
      <c r="O84">
        <f t="shared" ref="O84:O87" si="51">J84</f>
        <v>11.797499999999999</v>
      </c>
      <c r="P84">
        <f t="shared" ref="P84:Q87" si="52">L84</f>
        <v>11.2196</v>
      </c>
      <c r="Q84">
        <f t="shared" si="52"/>
        <v>12.375299999999999</v>
      </c>
      <c r="S84" t="str">
        <f t="shared" ref="S84:S87" si="53">TEXT(O84,"0.00")&amp;" ("&amp;TEXT(P84,"0.00")&amp;" to "&amp;TEXT(Q84,"0.00")&amp;")"</f>
        <v>11.80 (11.22 to 12.38)</v>
      </c>
    </row>
    <row r="85" spans="1:19" ht="17.25" thickBot="1" x14ac:dyDescent="0.35">
      <c r="A85" s="6"/>
      <c r="B85" s="13">
        <v>2</v>
      </c>
      <c r="C85" s="2">
        <v>2417</v>
      </c>
      <c r="D85" s="2">
        <v>811525</v>
      </c>
      <c r="E85" s="2">
        <v>21866</v>
      </c>
      <c r="F85" s="2">
        <v>2.6825999999999999</v>
      </c>
      <c r="G85" s="2">
        <v>7.17E-2</v>
      </c>
      <c r="H85" s="2">
        <v>2.5419</v>
      </c>
      <c r="I85" s="2">
        <v>2.8231999999999999</v>
      </c>
      <c r="J85" s="2">
        <v>11.080399999999999</v>
      </c>
      <c r="K85" s="2">
        <v>0.28320000000000001</v>
      </c>
      <c r="L85" s="2">
        <v>10.5252</v>
      </c>
      <c r="M85" s="2">
        <v>11.6357</v>
      </c>
      <c r="O85">
        <f t="shared" si="51"/>
        <v>11.080399999999999</v>
      </c>
      <c r="P85">
        <f t="shared" si="52"/>
        <v>10.5252</v>
      </c>
      <c r="Q85">
        <f t="shared" si="52"/>
        <v>11.6357</v>
      </c>
      <c r="S85" t="str">
        <f t="shared" si="53"/>
        <v>11.08 (10.53 to 11.64)</v>
      </c>
    </row>
    <row r="86" spans="1:19" ht="17.25" thickBot="1" x14ac:dyDescent="0.35">
      <c r="A86" s="6"/>
      <c r="B86" s="13">
        <v>3</v>
      </c>
      <c r="C86" s="2">
        <v>4644</v>
      </c>
      <c r="D86" s="2">
        <v>2048742</v>
      </c>
      <c r="E86" s="2">
        <v>38697</v>
      </c>
      <c r="F86" s="2">
        <v>6.7723000000000004</v>
      </c>
      <c r="G86" s="2">
        <v>0.1176</v>
      </c>
      <c r="H86" s="2">
        <v>6.5418000000000003</v>
      </c>
      <c r="I86" s="2">
        <v>7.0027999999999997</v>
      </c>
      <c r="J86" s="2">
        <v>27.973099999999999</v>
      </c>
      <c r="K86" s="2">
        <v>0.43419999999999997</v>
      </c>
      <c r="L86" s="2">
        <v>27.1218</v>
      </c>
      <c r="M86" s="2">
        <v>28.8245</v>
      </c>
      <c r="O86">
        <f t="shared" si="51"/>
        <v>27.973099999999999</v>
      </c>
      <c r="P86">
        <f t="shared" si="52"/>
        <v>27.1218</v>
      </c>
      <c r="Q86">
        <f t="shared" si="52"/>
        <v>28.8245</v>
      </c>
      <c r="S86" t="str">
        <f t="shared" si="53"/>
        <v>27.97 (27.12 to 28.82)</v>
      </c>
    </row>
    <row r="87" spans="1:19" ht="17.25" thickBot="1" x14ac:dyDescent="0.35">
      <c r="A87" s="6"/>
      <c r="B87" s="13">
        <v>4</v>
      </c>
      <c r="C87" s="2">
        <v>7239</v>
      </c>
      <c r="D87" s="2">
        <v>3599650</v>
      </c>
      <c r="E87" s="2">
        <v>58515</v>
      </c>
      <c r="F87" s="2">
        <v>11.898999999999999</v>
      </c>
      <c r="G87" s="2">
        <v>0.16200000000000001</v>
      </c>
      <c r="H87" s="2">
        <v>11.5814</v>
      </c>
      <c r="I87" s="2">
        <v>12.2165</v>
      </c>
      <c r="J87" s="2">
        <v>49.149000000000001</v>
      </c>
      <c r="K87" s="2">
        <v>0.53510000000000002</v>
      </c>
      <c r="L87" s="2">
        <v>48.099800000000002</v>
      </c>
      <c r="M87" s="2">
        <v>50.1982</v>
      </c>
      <c r="O87">
        <f t="shared" si="51"/>
        <v>49.149000000000001</v>
      </c>
      <c r="P87">
        <f t="shared" si="52"/>
        <v>48.099800000000002</v>
      </c>
      <c r="Q87">
        <f t="shared" si="52"/>
        <v>50.1982</v>
      </c>
      <c r="S87" t="str">
        <f t="shared" si="53"/>
        <v>49.15 (48.10 to 50.20)</v>
      </c>
    </row>
    <row r="88" spans="1:19" ht="17.25" thickBot="1" x14ac:dyDescent="0.35">
      <c r="A88" s="6"/>
      <c r="B88" s="13" t="s">
        <v>132</v>
      </c>
      <c r="C88" s="2">
        <v>17159</v>
      </c>
      <c r="D88" s="2">
        <v>7323958</v>
      </c>
      <c r="E88" s="2">
        <v>78593</v>
      </c>
      <c r="F88" s="2">
        <v>24.21</v>
      </c>
      <c r="G88" s="2">
        <v>0.19209999999999999</v>
      </c>
      <c r="H88" s="2">
        <v>23.833300000000001</v>
      </c>
      <c r="I88" s="2">
        <v>24.5868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3">
        <v>1</v>
      </c>
      <c r="C89" s="2">
        <v>2714</v>
      </c>
      <c r="D89" s="2">
        <v>814448</v>
      </c>
      <c r="E89" s="2">
        <v>21316</v>
      </c>
      <c r="F89" s="2">
        <v>2.6922000000000001</v>
      </c>
      <c r="G89" s="2">
        <v>7.1499999999999994E-2</v>
      </c>
      <c r="H89" s="2">
        <v>2.5520999999999998</v>
      </c>
      <c r="I89" s="2">
        <v>2.8323999999999998</v>
      </c>
      <c r="J89" s="2">
        <v>10.571899999999999</v>
      </c>
      <c r="K89" s="2">
        <v>0.2681</v>
      </c>
      <c r="L89" s="2">
        <v>10.046099999999999</v>
      </c>
      <c r="M89" s="2">
        <v>11.0976</v>
      </c>
      <c r="O89">
        <f t="shared" ref="O89:O92" si="54">J89</f>
        <v>10.571899999999999</v>
      </c>
      <c r="P89">
        <f t="shared" ref="P89:Q92" si="55">L89</f>
        <v>10.046099999999999</v>
      </c>
      <c r="Q89">
        <f t="shared" si="55"/>
        <v>11.0976</v>
      </c>
      <c r="S89" t="str">
        <f t="shared" ref="S89:S92" si="56">TEXT(O89,"0.00")&amp;" ("&amp;TEXT(P89,"0.00")&amp;" to "&amp;TEXT(Q89,"0.00")&amp;")"</f>
        <v>10.57 (10.05 to 11.10)</v>
      </c>
    </row>
    <row r="90" spans="1:19" ht="17.25" thickBot="1" x14ac:dyDescent="0.35">
      <c r="A90" s="6"/>
      <c r="B90" s="13">
        <v>2</v>
      </c>
      <c r="C90" s="2">
        <v>2292</v>
      </c>
      <c r="D90" s="2">
        <v>797640</v>
      </c>
      <c r="E90" s="2">
        <v>21252</v>
      </c>
      <c r="F90" s="2">
        <v>2.6366999999999998</v>
      </c>
      <c r="G90" s="2">
        <v>7.0699999999999999E-2</v>
      </c>
      <c r="H90" s="2">
        <v>2.4981</v>
      </c>
      <c r="I90" s="2">
        <v>2.7753000000000001</v>
      </c>
      <c r="J90" s="2">
        <v>10.3537</v>
      </c>
      <c r="K90" s="2">
        <v>0.26519999999999999</v>
      </c>
      <c r="L90" s="2">
        <v>9.8337000000000003</v>
      </c>
      <c r="M90" s="2">
        <v>10.873699999999999</v>
      </c>
      <c r="O90">
        <f t="shared" si="54"/>
        <v>10.3537</v>
      </c>
      <c r="P90">
        <f t="shared" si="55"/>
        <v>9.8337000000000003</v>
      </c>
      <c r="Q90">
        <f t="shared" si="55"/>
        <v>10.873699999999999</v>
      </c>
      <c r="S90" t="str">
        <f t="shared" si="56"/>
        <v>10.35 (9.83 to 10.87)</v>
      </c>
    </row>
    <row r="91" spans="1:19" ht="17.25" thickBot="1" x14ac:dyDescent="0.35">
      <c r="A91" s="6"/>
      <c r="B91" s="13">
        <v>3</v>
      </c>
      <c r="C91" s="2">
        <v>4625</v>
      </c>
      <c r="D91" s="2">
        <v>2161224</v>
      </c>
      <c r="E91" s="2">
        <v>41821</v>
      </c>
      <c r="F91" s="2">
        <v>7.1440999999999999</v>
      </c>
      <c r="G91" s="2">
        <v>0.13239999999999999</v>
      </c>
      <c r="H91" s="2">
        <v>6.8845000000000001</v>
      </c>
      <c r="I91" s="2">
        <v>7.4038000000000004</v>
      </c>
      <c r="J91" s="2">
        <v>28.053599999999999</v>
      </c>
      <c r="K91" s="2">
        <v>0.44750000000000001</v>
      </c>
      <c r="L91" s="2">
        <v>27.176100000000002</v>
      </c>
      <c r="M91" s="2">
        <v>28.931100000000001</v>
      </c>
      <c r="O91">
        <f t="shared" si="54"/>
        <v>28.053599999999999</v>
      </c>
      <c r="P91">
        <f t="shared" si="55"/>
        <v>27.176100000000002</v>
      </c>
      <c r="Q91">
        <f t="shared" si="55"/>
        <v>28.931100000000001</v>
      </c>
      <c r="S91" t="str">
        <f t="shared" si="56"/>
        <v>28.05 (27.18 to 28.93)</v>
      </c>
    </row>
    <row r="92" spans="1:19" ht="17.25" thickBot="1" x14ac:dyDescent="0.35">
      <c r="A92" s="6"/>
      <c r="B92" s="13">
        <v>4</v>
      </c>
      <c r="C92" s="2">
        <v>7527</v>
      </c>
      <c r="D92" s="2">
        <v>3930601</v>
      </c>
      <c r="E92" s="2">
        <v>63383</v>
      </c>
      <c r="F92" s="2">
        <v>12.993</v>
      </c>
      <c r="G92" s="2">
        <v>0.1716</v>
      </c>
      <c r="H92" s="2">
        <v>12.656499999999999</v>
      </c>
      <c r="I92" s="2">
        <v>13.329499999999999</v>
      </c>
      <c r="J92" s="2">
        <v>51.020800000000001</v>
      </c>
      <c r="K92" s="2">
        <v>0.5534</v>
      </c>
      <c r="L92" s="2">
        <v>49.935699999999997</v>
      </c>
      <c r="M92" s="2">
        <v>52.106000000000002</v>
      </c>
      <c r="O92">
        <f t="shared" si="54"/>
        <v>51.020800000000001</v>
      </c>
      <c r="P92">
        <f t="shared" si="55"/>
        <v>49.935699999999997</v>
      </c>
      <c r="Q92">
        <f t="shared" si="55"/>
        <v>52.106000000000002</v>
      </c>
      <c r="S92" t="str">
        <f t="shared" si="56"/>
        <v>51.02 (49.94 to 52.11)</v>
      </c>
    </row>
    <row r="93" spans="1:19" ht="17.25" thickBot="1" x14ac:dyDescent="0.35">
      <c r="A93" s="6"/>
      <c r="B93" s="13" t="s">
        <v>132</v>
      </c>
      <c r="C93" s="2">
        <v>17158</v>
      </c>
      <c r="D93" s="2">
        <v>7703912</v>
      </c>
      <c r="E93" s="2">
        <v>83068</v>
      </c>
      <c r="F93" s="2">
        <v>25.466000000000001</v>
      </c>
      <c r="G93" s="2">
        <v>0.2084</v>
      </c>
      <c r="H93" s="2">
        <v>25.057300000000001</v>
      </c>
      <c r="I93" s="2">
        <v>25.874700000000001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3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57">J94</f>
        <v>0</v>
      </c>
      <c r="P94">
        <f t="shared" ref="P94:Q97" si="58">L94</f>
        <v>0</v>
      </c>
      <c r="Q94">
        <f t="shared" si="58"/>
        <v>0</v>
      </c>
      <c r="S94" t="str">
        <f t="shared" ref="S94:S97" si="59">TEXT(O94,"0.00")&amp;" ("&amp;TEXT(P94,"0.00")&amp;" to "&amp;TEXT(Q94,"0.00")&amp;")"</f>
        <v>0.00 (0.00 to 0.00)</v>
      </c>
    </row>
    <row r="95" spans="1:19" ht="17.25" thickBot="1" x14ac:dyDescent="0.35">
      <c r="A95" s="6"/>
      <c r="B95" s="13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57"/>
        <v>0</v>
      </c>
      <c r="P95">
        <f t="shared" si="58"/>
        <v>0</v>
      </c>
      <c r="Q95">
        <f t="shared" si="58"/>
        <v>0</v>
      </c>
      <c r="S95" t="str">
        <f t="shared" si="59"/>
        <v>0.00 (0.00 to 0.00)</v>
      </c>
    </row>
    <row r="96" spans="1:19" ht="17.25" thickBot="1" x14ac:dyDescent="0.35">
      <c r="A96" s="6"/>
      <c r="B96" s="13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57"/>
        <v>0</v>
      </c>
      <c r="P96">
        <f t="shared" si="58"/>
        <v>0</v>
      </c>
      <c r="Q96">
        <f t="shared" si="58"/>
        <v>0</v>
      </c>
      <c r="S96" t="str">
        <f t="shared" si="59"/>
        <v>0.00 (0.00 to 0.00)</v>
      </c>
    </row>
    <row r="97" spans="1:19" ht="17.25" thickBot="1" x14ac:dyDescent="0.35">
      <c r="A97" s="6"/>
      <c r="B97" s="13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57"/>
        <v>0</v>
      </c>
      <c r="P97">
        <f t="shared" si="58"/>
        <v>0</v>
      </c>
      <c r="Q97">
        <f t="shared" si="58"/>
        <v>0</v>
      </c>
      <c r="S97" t="str">
        <f t="shared" si="59"/>
        <v>0.00 (0.00 to 0.00)</v>
      </c>
    </row>
    <row r="98" spans="1:19" x14ac:dyDescent="0.3">
      <c r="A98" s="6"/>
      <c r="B98" s="16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17" t="s">
        <v>203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</row>
    <row r="101" spans="1:19" ht="33" customHeight="1" x14ac:dyDescent="0.3">
      <c r="A101" s="18" t="s">
        <v>75</v>
      </c>
      <c r="B101" s="20" t="s">
        <v>8</v>
      </c>
      <c r="C101" s="20" t="s">
        <v>125</v>
      </c>
      <c r="D101" s="3" t="s">
        <v>126</v>
      </c>
      <c r="E101" s="3" t="s">
        <v>127</v>
      </c>
      <c r="F101" s="20" t="s">
        <v>129</v>
      </c>
      <c r="G101" s="3" t="s">
        <v>127</v>
      </c>
      <c r="H101" s="20" t="s">
        <v>130</v>
      </c>
      <c r="I101" s="20"/>
      <c r="J101" s="3" t="s">
        <v>149</v>
      </c>
      <c r="K101" s="3" t="s">
        <v>127</v>
      </c>
      <c r="L101" s="20" t="s">
        <v>130</v>
      </c>
      <c r="M101" s="20"/>
    </row>
    <row r="102" spans="1:19" ht="33" x14ac:dyDescent="0.3">
      <c r="A102" s="18"/>
      <c r="B102" s="20"/>
      <c r="C102" s="20"/>
      <c r="D102" s="3" t="s">
        <v>125</v>
      </c>
      <c r="E102" s="3" t="s">
        <v>128</v>
      </c>
      <c r="F102" s="20"/>
      <c r="G102" s="3" t="s">
        <v>129</v>
      </c>
      <c r="H102" s="20" t="s">
        <v>131</v>
      </c>
      <c r="I102" s="20"/>
      <c r="J102" s="3" t="s">
        <v>129</v>
      </c>
      <c r="K102" s="3" t="s">
        <v>150</v>
      </c>
      <c r="L102" s="20" t="s">
        <v>151</v>
      </c>
      <c r="M102" s="20"/>
    </row>
    <row r="103" spans="1:19" ht="17.25" thickBot="1" x14ac:dyDescent="0.35">
      <c r="A103" s="6">
        <v>1</v>
      </c>
      <c r="B103" s="13">
        <v>1</v>
      </c>
      <c r="C103" s="2">
        <v>2315</v>
      </c>
      <c r="D103" s="2">
        <v>897683</v>
      </c>
      <c r="E103" s="2">
        <v>27203</v>
      </c>
      <c r="F103" s="2">
        <v>2.9674</v>
      </c>
      <c r="G103" s="2">
        <v>9.0399999999999994E-2</v>
      </c>
      <c r="H103" s="2">
        <v>2.7900999999999998</v>
      </c>
      <c r="I103" s="2">
        <v>3.1446999999999998</v>
      </c>
      <c r="J103" s="2">
        <v>11.5313</v>
      </c>
      <c r="K103" s="2">
        <v>0.34320000000000001</v>
      </c>
      <c r="L103" s="2">
        <v>10.8584</v>
      </c>
      <c r="M103" s="2">
        <v>12.2043</v>
      </c>
      <c r="O103">
        <f t="shared" ref="O103:O106" si="60">J103</f>
        <v>11.5313</v>
      </c>
      <c r="P103">
        <f t="shared" ref="P103:Q106" si="61">L103</f>
        <v>10.8584</v>
      </c>
      <c r="Q103">
        <f t="shared" si="61"/>
        <v>12.2043</v>
      </c>
      <c r="S103" t="str">
        <f t="shared" ref="S103:S106" si="62">TEXT(O103,"0.00")&amp;" ("&amp;TEXT(P103,"0.00")&amp;" to "&amp;TEXT(Q103,"0.00")&amp;")"</f>
        <v>11.53 (10.86 to 12.20)</v>
      </c>
    </row>
    <row r="104" spans="1:19" ht="17.25" thickBot="1" x14ac:dyDescent="0.35">
      <c r="A104" s="6"/>
      <c r="B104" s="13">
        <v>2</v>
      </c>
      <c r="C104" s="2">
        <v>3888</v>
      </c>
      <c r="D104" s="2">
        <v>1778911</v>
      </c>
      <c r="E104" s="2">
        <v>39415</v>
      </c>
      <c r="F104" s="2">
        <v>5.8803999999999998</v>
      </c>
      <c r="G104" s="2">
        <v>0.1246</v>
      </c>
      <c r="H104" s="2">
        <v>5.6360000000000001</v>
      </c>
      <c r="I104" s="2">
        <v>6.1246999999999998</v>
      </c>
      <c r="J104" s="2">
        <v>22.851299999999998</v>
      </c>
      <c r="K104" s="2">
        <v>0.45650000000000002</v>
      </c>
      <c r="L104" s="2">
        <v>21.956099999999999</v>
      </c>
      <c r="M104" s="2">
        <v>23.746500000000001</v>
      </c>
      <c r="O104">
        <f t="shared" si="60"/>
        <v>22.851299999999998</v>
      </c>
      <c r="P104">
        <f t="shared" si="61"/>
        <v>21.956099999999999</v>
      </c>
      <c r="Q104">
        <f t="shared" si="61"/>
        <v>23.746500000000001</v>
      </c>
      <c r="S104" t="str">
        <f t="shared" si="62"/>
        <v>22.85 (21.96 to 23.75)</v>
      </c>
    </row>
    <row r="105" spans="1:19" ht="17.25" thickBot="1" x14ac:dyDescent="0.35">
      <c r="A105" s="6"/>
      <c r="B105" s="13">
        <v>3</v>
      </c>
      <c r="C105" s="2">
        <v>5092</v>
      </c>
      <c r="D105" s="2">
        <v>2393836</v>
      </c>
      <c r="E105" s="2">
        <v>47939</v>
      </c>
      <c r="F105" s="2">
        <v>7.9130000000000003</v>
      </c>
      <c r="G105" s="2">
        <v>0.1419</v>
      </c>
      <c r="H105" s="2">
        <v>7.6348000000000003</v>
      </c>
      <c r="I105" s="2">
        <v>8.1912000000000003</v>
      </c>
      <c r="J105" s="2">
        <v>30.750399999999999</v>
      </c>
      <c r="K105" s="2">
        <v>0.4924</v>
      </c>
      <c r="L105" s="2">
        <v>29.7849</v>
      </c>
      <c r="M105" s="2">
        <v>31.716000000000001</v>
      </c>
      <c r="O105">
        <f t="shared" si="60"/>
        <v>30.750399999999999</v>
      </c>
      <c r="P105">
        <f t="shared" si="61"/>
        <v>29.7849</v>
      </c>
      <c r="Q105">
        <f t="shared" si="61"/>
        <v>31.716000000000001</v>
      </c>
      <c r="S105" t="str">
        <f t="shared" si="62"/>
        <v>30.75 (29.78 to 31.72)</v>
      </c>
    </row>
    <row r="106" spans="1:19" ht="17.25" thickBot="1" x14ac:dyDescent="0.35">
      <c r="A106" s="6"/>
      <c r="B106" s="13">
        <v>4</v>
      </c>
      <c r="C106" s="2">
        <v>5864</v>
      </c>
      <c r="D106" s="2">
        <v>2714293</v>
      </c>
      <c r="E106" s="2">
        <v>60612</v>
      </c>
      <c r="F106" s="2">
        <v>8.9723000000000006</v>
      </c>
      <c r="G106" s="2">
        <v>0.17960000000000001</v>
      </c>
      <c r="H106" s="2">
        <v>8.6202000000000005</v>
      </c>
      <c r="I106" s="2">
        <v>9.3244000000000007</v>
      </c>
      <c r="J106" s="2">
        <v>34.866900000000001</v>
      </c>
      <c r="K106" s="2">
        <v>0.60760000000000003</v>
      </c>
      <c r="L106" s="2">
        <v>33.675600000000003</v>
      </c>
      <c r="M106" s="2">
        <v>36.058300000000003</v>
      </c>
      <c r="O106">
        <f t="shared" si="60"/>
        <v>34.866900000000001</v>
      </c>
      <c r="P106">
        <f t="shared" si="61"/>
        <v>33.675600000000003</v>
      </c>
      <c r="Q106">
        <f t="shared" si="61"/>
        <v>36.058300000000003</v>
      </c>
      <c r="S106" t="str">
        <f t="shared" si="62"/>
        <v>34.87 (33.68 to 36.06)</v>
      </c>
    </row>
    <row r="107" spans="1:19" ht="17.25" thickBot="1" x14ac:dyDescent="0.35">
      <c r="A107" s="6"/>
      <c r="B107" s="13" t="s">
        <v>132</v>
      </c>
      <c r="C107" s="2">
        <v>17159</v>
      </c>
      <c r="D107" s="2">
        <v>7784722</v>
      </c>
      <c r="E107" s="2">
        <v>91183</v>
      </c>
      <c r="F107" s="2">
        <v>25.7331</v>
      </c>
      <c r="G107" s="2">
        <v>0.21560000000000001</v>
      </c>
      <c r="H107" s="2">
        <v>25.310400000000001</v>
      </c>
      <c r="I107" s="2">
        <v>26.155799999999999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3">
        <v>1</v>
      </c>
      <c r="C108" s="2">
        <v>2748</v>
      </c>
      <c r="D108" s="2">
        <v>945663</v>
      </c>
      <c r="E108" s="2">
        <v>26215</v>
      </c>
      <c r="F108" s="2">
        <v>3.1259999999999999</v>
      </c>
      <c r="G108" s="2">
        <v>8.72E-2</v>
      </c>
      <c r="H108" s="2">
        <v>2.9550999999999998</v>
      </c>
      <c r="I108" s="2">
        <v>3.2968999999999999</v>
      </c>
      <c r="J108" s="2">
        <v>12.712</v>
      </c>
      <c r="K108" s="2">
        <v>0.34410000000000002</v>
      </c>
      <c r="L108" s="2">
        <v>12.0373</v>
      </c>
      <c r="M108" s="2">
        <v>13.3866</v>
      </c>
      <c r="O108">
        <f t="shared" ref="O108:O111" si="63">J108</f>
        <v>12.712</v>
      </c>
      <c r="P108">
        <f t="shared" ref="P108:Q111" si="64">L108</f>
        <v>12.0373</v>
      </c>
      <c r="Q108">
        <f t="shared" si="64"/>
        <v>13.3866</v>
      </c>
      <c r="S108" t="str">
        <f t="shared" ref="S108:S111" si="65">TEXT(O108,"0.00")&amp;" ("&amp;TEXT(P108,"0.00")&amp;" to "&amp;TEXT(Q108,"0.00")&amp;")"</f>
        <v>12.71 (12.04 to 13.39)</v>
      </c>
    </row>
    <row r="109" spans="1:19" ht="17.25" thickBot="1" x14ac:dyDescent="0.35">
      <c r="A109" s="6"/>
      <c r="B109" s="13">
        <v>2</v>
      </c>
      <c r="C109" s="2">
        <v>4110</v>
      </c>
      <c r="D109" s="2">
        <v>1751516</v>
      </c>
      <c r="E109" s="2">
        <v>37392</v>
      </c>
      <c r="F109" s="2">
        <v>5.7897999999999996</v>
      </c>
      <c r="G109" s="2">
        <v>0.11849999999999999</v>
      </c>
      <c r="H109" s="2">
        <v>5.5574000000000003</v>
      </c>
      <c r="I109" s="2">
        <v>6.0221999999999998</v>
      </c>
      <c r="J109" s="2">
        <v>23.544499999999999</v>
      </c>
      <c r="K109" s="2">
        <v>0.44269999999999998</v>
      </c>
      <c r="L109" s="2">
        <v>22.676500000000001</v>
      </c>
      <c r="M109" s="2">
        <v>24.412600000000001</v>
      </c>
      <c r="O109">
        <f t="shared" si="63"/>
        <v>23.544499999999999</v>
      </c>
      <c r="P109">
        <f t="shared" si="64"/>
        <v>22.676500000000001</v>
      </c>
      <c r="Q109">
        <f t="shared" si="64"/>
        <v>24.412600000000001</v>
      </c>
      <c r="S109" t="str">
        <f t="shared" si="65"/>
        <v>23.54 (22.68 to 24.41)</v>
      </c>
    </row>
    <row r="110" spans="1:19" ht="17.25" thickBot="1" x14ac:dyDescent="0.35">
      <c r="A110" s="6"/>
      <c r="B110" s="13">
        <v>3</v>
      </c>
      <c r="C110" s="2">
        <v>4916</v>
      </c>
      <c r="D110" s="2">
        <v>2252407</v>
      </c>
      <c r="E110" s="2">
        <v>43945</v>
      </c>
      <c r="F110" s="2">
        <v>7.4455</v>
      </c>
      <c r="G110" s="2">
        <v>0.13</v>
      </c>
      <c r="H110" s="2">
        <v>7.1906999999999996</v>
      </c>
      <c r="I110" s="2">
        <v>7.7004000000000001</v>
      </c>
      <c r="J110" s="2">
        <v>30.277699999999999</v>
      </c>
      <c r="K110" s="2">
        <v>0.47989999999999999</v>
      </c>
      <c r="L110" s="2">
        <v>29.3368</v>
      </c>
      <c r="M110" s="2">
        <v>31.218599999999999</v>
      </c>
      <c r="O110">
        <f t="shared" si="63"/>
        <v>30.277699999999999</v>
      </c>
      <c r="P110">
        <f t="shared" si="64"/>
        <v>29.3368</v>
      </c>
      <c r="Q110">
        <f t="shared" si="64"/>
        <v>31.218599999999999</v>
      </c>
      <c r="S110" t="str">
        <f t="shared" si="65"/>
        <v>30.28 (29.34 to 31.22)</v>
      </c>
    </row>
    <row r="111" spans="1:19" ht="17.25" thickBot="1" x14ac:dyDescent="0.35">
      <c r="A111" s="6"/>
      <c r="B111" s="13">
        <v>4</v>
      </c>
      <c r="C111" s="2">
        <v>5384</v>
      </c>
      <c r="D111" s="2">
        <v>2489578</v>
      </c>
      <c r="E111" s="2">
        <v>51803</v>
      </c>
      <c r="F111" s="2">
        <v>8.2294999999999998</v>
      </c>
      <c r="G111" s="2">
        <v>0.15279999999999999</v>
      </c>
      <c r="H111" s="2">
        <v>7.9298999999999999</v>
      </c>
      <c r="I111" s="2">
        <v>8.5291999999999994</v>
      </c>
      <c r="J111" s="2">
        <v>33.465800000000002</v>
      </c>
      <c r="K111" s="2">
        <v>0.55679999999999996</v>
      </c>
      <c r="L111" s="2">
        <v>32.374099999999999</v>
      </c>
      <c r="M111" s="2">
        <v>34.557499999999997</v>
      </c>
      <c r="O111">
        <f t="shared" si="63"/>
        <v>33.465800000000002</v>
      </c>
      <c r="P111">
        <f t="shared" si="64"/>
        <v>32.374099999999999</v>
      </c>
      <c r="Q111">
        <f t="shared" si="64"/>
        <v>34.557499999999997</v>
      </c>
      <c r="S111" t="str">
        <f t="shared" si="65"/>
        <v>33.47 (32.37 to 34.56)</v>
      </c>
    </row>
    <row r="112" spans="1:19" ht="17.25" thickBot="1" x14ac:dyDescent="0.35">
      <c r="A112" s="6"/>
      <c r="B112" s="13" t="s">
        <v>132</v>
      </c>
      <c r="C112" s="2">
        <v>17158</v>
      </c>
      <c r="D112" s="2">
        <v>7439164</v>
      </c>
      <c r="E112" s="2">
        <v>81523</v>
      </c>
      <c r="F112" s="2">
        <v>24.590900000000001</v>
      </c>
      <c r="G112" s="2">
        <v>0.19059999999999999</v>
      </c>
      <c r="H112" s="2">
        <v>24.217099999999999</v>
      </c>
      <c r="I112" s="2">
        <v>24.964600000000001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3">
        <v>1</v>
      </c>
      <c r="C113" s="2">
        <v>3051</v>
      </c>
      <c r="D113" s="2">
        <v>1009775</v>
      </c>
      <c r="E113" s="2">
        <v>25816</v>
      </c>
      <c r="F113" s="2">
        <v>3.3378999999999999</v>
      </c>
      <c r="G113" s="2">
        <v>8.7800000000000003E-2</v>
      </c>
      <c r="H113" s="2">
        <v>3.1657999999999999</v>
      </c>
      <c r="I113" s="2">
        <v>3.51</v>
      </c>
      <c r="J113" s="2">
        <v>13.7873</v>
      </c>
      <c r="K113" s="2">
        <v>0.34329999999999999</v>
      </c>
      <c r="L113" s="2">
        <v>13.114100000000001</v>
      </c>
      <c r="M113" s="2">
        <v>14.4604</v>
      </c>
      <c r="O113">
        <f t="shared" ref="O113:O116" si="66">J113</f>
        <v>13.7873</v>
      </c>
      <c r="P113">
        <f t="shared" ref="P113:Q116" si="67">L113</f>
        <v>13.114100000000001</v>
      </c>
      <c r="Q113">
        <f t="shared" si="67"/>
        <v>14.4604</v>
      </c>
      <c r="S113" t="str">
        <f t="shared" ref="S113:S116" si="68">TEXT(O113,"0.00")&amp;" ("&amp;TEXT(P113,"0.00")&amp;" to "&amp;TEXT(Q113,"0.00")&amp;")"</f>
        <v>13.79 (13.11 to 14.46)</v>
      </c>
    </row>
    <row r="114" spans="1:19" ht="17.25" thickBot="1" x14ac:dyDescent="0.35">
      <c r="A114" s="6"/>
      <c r="B114" s="13">
        <v>2</v>
      </c>
      <c r="C114" s="2">
        <v>4388</v>
      </c>
      <c r="D114" s="2">
        <v>1803956</v>
      </c>
      <c r="E114" s="2">
        <v>37351</v>
      </c>
      <c r="F114" s="2">
        <v>5.9630999999999998</v>
      </c>
      <c r="G114" s="2">
        <v>0.1196</v>
      </c>
      <c r="H114" s="2">
        <v>5.7286000000000001</v>
      </c>
      <c r="I114" s="2">
        <v>6.1977000000000002</v>
      </c>
      <c r="J114" s="2">
        <v>24.6309</v>
      </c>
      <c r="K114" s="2">
        <v>0.45</v>
      </c>
      <c r="L114" s="2">
        <v>23.7485</v>
      </c>
      <c r="M114" s="2">
        <v>25.513300000000001</v>
      </c>
      <c r="O114">
        <f t="shared" si="66"/>
        <v>24.6309</v>
      </c>
      <c r="P114">
        <f t="shared" si="67"/>
        <v>23.7485</v>
      </c>
      <c r="Q114">
        <f t="shared" si="67"/>
        <v>25.513300000000001</v>
      </c>
      <c r="S114" t="str">
        <f t="shared" si="68"/>
        <v>24.63 (23.75 to 25.51)</v>
      </c>
    </row>
    <row r="115" spans="1:19" ht="17.25" thickBot="1" x14ac:dyDescent="0.35">
      <c r="A115" s="6"/>
      <c r="B115" s="13">
        <v>3</v>
      </c>
      <c r="C115" s="2">
        <v>4740</v>
      </c>
      <c r="D115" s="2">
        <v>2179224</v>
      </c>
      <c r="E115" s="2">
        <v>42625</v>
      </c>
      <c r="F115" s="2">
        <v>7.2035999999999998</v>
      </c>
      <c r="G115" s="2">
        <v>0.1275</v>
      </c>
      <c r="H115" s="2">
        <v>6.9537000000000004</v>
      </c>
      <c r="I115" s="2">
        <v>7.4535</v>
      </c>
      <c r="J115" s="2">
        <v>29.7547</v>
      </c>
      <c r="K115" s="2">
        <v>0.46589999999999998</v>
      </c>
      <c r="L115" s="2">
        <v>28.841200000000001</v>
      </c>
      <c r="M115" s="2">
        <v>30.668199999999999</v>
      </c>
      <c r="O115">
        <f t="shared" si="66"/>
        <v>29.7547</v>
      </c>
      <c r="P115">
        <f t="shared" si="67"/>
        <v>28.841200000000001</v>
      </c>
      <c r="Q115">
        <f t="shared" si="67"/>
        <v>30.668199999999999</v>
      </c>
      <c r="S115" t="str">
        <f t="shared" si="68"/>
        <v>29.75 (28.84 to 30.67)</v>
      </c>
    </row>
    <row r="116" spans="1:19" ht="17.25" thickBot="1" x14ac:dyDescent="0.35">
      <c r="A116" s="6"/>
      <c r="B116" s="13">
        <v>4</v>
      </c>
      <c r="C116" s="2">
        <v>4980</v>
      </c>
      <c r="D116" s="2">
        <v>2331004</v>
      </c>
      <c r="E116" s="2">
        <v>48146</v>
      </c>
      <c r="F116" s="2">
        <v>7.7053000000000003</v>
      </c>
      <c r="G116" s="2">
        <v>0.14030000000000001</v>
      </c>
      <c r="H116" s="2">
        <v>7.4302000000000001</v>
      </c>
      <c r="I116" s="2">
        <v>7.9805000000000001</v>
      </c>
      <c r="J116" s="2">
        <v>31.827100000000002</v>
      </c>
      <c r="K116" s="2">
        <v>0.53380000000000005</v>
      </c>
      <c r="L116" s="2">
        <v>30.7805</v>
      </c>
      <c r="M116" s="2">
        <v>32.873699999999999</v>
      </c>
      <c r="O116">
        <f t="shared" si="66"/>
        <v>31.827100000000002</v>
      </c>
      <c r="P116">
        <f t="shared" si="67"/>
        <v>30.7805</v>
      </c>
      <c r="Q116">
        <f t="shared" si="67"/>
        <v>32.873699999999999</v>
      </c>
      <c r="S116" t="str">
        <f t="shared" si="68"/>
        <v>31.83 (30.78 to 32.87)</v>
      </c>
    </row>
    <row r="117" spans="1:19" ht="17.25" thickBot="1" x14ac:dyDescent="0.35">
      <c r="A117" s="6"/>
      <c r="B117" s="13" t="s">
        <v>132</v>
      </c>
      <c r="C117" s="2">
        <v>17159</v>
      </c>
      <c r="D117" s="2">
        <v>7323958</v>
      </c>
      <c r="E117" s="2">
        <v>78593</v>
      </c>
      <c r="F117" s="2">
        <v>24.21</v>
      </c>
      <c r="G117" s="2">
        <v>0.19209999999999999</v>
      </c>
      <c r="H117" s="2">
        <v>23.833300000000001</v>
      </c>
      <c r="I117" s="2">
        <v>24.5868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3">
        <v>1</v>
      </c>
      <c r="C118" s="2">
        <v>3151</v>
      </c>
      <c r="D118" s="2">
        <v>1083035</v>
      </c>
      <c r="E118" s="2">
        <v>27595</v>
      </c>
      <c r="F118" s="2">
        <v>3.5800999999999998</v>
      </c>
      <c r="G118" s="2">
        <v>9.35E-2</v>
      </c>
      <c r="H118" s="2">
        <v>3.3965999999999998</v>
      </c>
      <c r="I118" s="2">
        <v>3.7635000000000001</v>
      </c>
      <c r="J118" s="2">
        <v>14.058199999999999</v>
      </c>
      <c r="K118" s="2">
        <v>0.3473</v>
      </c>
      <c r="L118" s="2">
        <v>13.3772</v>
      </c>
      <c r="M118" s="2">
        <v>14.7393</v>
      </c>
      <c r="O118">
        <f t="shared" ref="O118:O121" si="69">J118</f>
        <v>14.058199999999999</v>
      </c>
      <c r="P118">
        <f t="shared" ref="P118:Q121" si="70">L118</f>
        <v>13.3772</v>
      </c>
      <c r="Q118">
        <f t="shared" si="70"/>
        <v>14.7393</v>
      </c>
      <c r="S118" t="str">
        <f t="shared" ref="S118:S121" si="71">TEXT(O118,"0.00")&amp;" ("&amp;TEXT(P118,"0.00")&amp;" to "&amp;TEXT(Q118,"0.00")&amp;")"</f>
        <v>14.06 (13.38 to 14.74)</v>
      </c>
    </row>
    <row r="119" spans="1:19" ht="17.25" thickBot="1" x14ac:dyDescent="0.35">
      <c r="A119" s="6"/>
      <c r="B119" s="13">
        <v>2</v>
      </c>
      <c r="C119" s="2">
        <v>4448</v>
      </c>
      <c r="D119" s="2">
        <v>1933142</v>
      </c>
      <c r="E119" s="2">
        <v>40405</v>
      </c>
      <c r="F119" s="2">
        <v>6.3902000000000001</v>
      </c>
      <c r="G119" s="2">
        <v>0.1303</v>
      </c>
      <c r="H119" s="2">
        <v>6.1345999999999998</v>
      </c>
      <c r="I119" s="2">
        <v>6.6456999999999997</v>
      </c>
      <c r="J119" s="2">
        <v>25.093</v>
      </c>
      <c r="K119" s="2">
        <v>0.45379999999999998</v>
      </c>
      <c r="L119" s="2">
        <v>24.203099999999999</v>
      </c>
      <c r="M119" s="2">
        <v>25.982800000000001</v>
      </c>
      <c r="O119">
        <f t="shared" si="69"/>
        <v>25.093</v>
      </c>
      <c r="P119">
        <f t="shared" si="70"/>
        <v>24.203099999999999</v>
      </c>
      <c r="Q119">
        <f t="shared" si="70"/>
        <v>25.982800000000001</v>
      </c>
      <c r="S119" t="str">
        <f t="shared" si="71"/>
        <v>25.09 (24.20 to 25.98)</v>
      </c>
    </row>
    <row r="120" spans="1:19" ht="17.25" thickBot="1" x14ac:dyDescent="0.35">
      <c r="A120" s="6"/>
      <c r="B120" s="13">
        <v>3</v>
      </c>
      <c r="C120" s="2">
        <v>4837</v>
      </c>
      <c r="D120" s="2">
        <v>2364464</v>
      </c>
      <c r="E120" s="2">
        <v>47268</v>
      </c>
      <c r="F120" s="2">
        <v>7.8159999999999998</v>
      </c>
      <c r="G120" s="2">
        <v>0.14130000000000001</v>
      </c>
      <c r="H120" s="2">
        <v>7.5389999999999997</v>
      </c>
      <c r="I120" s="2">
        <v>8.093</v>
      </c>
      <c r="J120" s="2">
        <v>30.691700000000001</v>
      </c>
      <c r="K120" s="2">
        <v>0.48370000000000002</v>
      </c>
      <c r="L120" s="2">
        <v>29.743200000000002</v>
      </c>
      <c r="M120" s="2">
        <v>31.6402</v>
      </c>
      <c r="O120">
        <f t="shared" si="69"/>
        <v>30.691700000000001</v>
      </c>
      <c r="P120">
        <f t="shared" si="70"/>
        <v>29.743200000000002</v>
      </c>
      <c r="Q120">
        <f t="shared" si="70"/>
        <v>31.6402</v>
      </c>
      <c r="S120" t="str">
        <f t="shared" si="71"/>
        <v>30.69 (29.74 to 31.64)</v>
      </c>
    </row>
    <row r="121" spans="1:19" ht="17.25" thickBot="1" x14ac:dyDescent="0.35">
      <c r="A121" s="6"/>
      <c r="B121" s="13">
        <v>4</v>
      </c>
      <c r="C121" s="2">
        <v>4722</v>
      </c>
      <c r="D121" s="2">
        <v>2323271</v>
      </c>
      <c r="E121" s="2">
        <v>48849</v>
      </c>
      <c r="F121" s="2">
        <v>7.6798000000000002</v>
      </c>
      <c r="G121" s="2">
        <v>0.14460000000000001</v>
      </c>
      <c r="H121" s="2">
        <v>7.3962000000000003</v>
      </c>
      <c r="I121" s="2">
        <v>7.9634</v>
      </c>
      <c r="J121" s="2">
        <v>30.157</v>
      </c>
      <c r="K121" s="2">
        <v>0.53939999999999999</v>
      </c>
      <c r="L121" s="2">
        <v>29.099499999999999</v>
      </c>
      <c r="M121" s="2">
        <v>31.214600000000001</v>
      </c>
      <c r="O121">
        <f t="shared" si="69"/>
        <v>30.157</v>
      </c>
      <c r="P121">
        <f t="shared" si="70"/>
        <v>29.099499999999999</v>
      </c>
      <c r="Q121">
        <f t="shared" si="70"/>
        <v>31.214600000000001</v>
      </c>
      <c r="S121" t="str">
        <f t="shared" si="71"/>
        <v>30.16 (29.10 to 31.21)</v>
      </c>
    </row>
    <row r="122" spans="1:19" ht="17.25" thickBot="1" x14ac:dyDescent="0.35">
      <c r="A122" s="6"/>
      <c r="B122" s="13" t="s">
        <v>132</v>
      </c>
      <c r="C122" s="2">
        <v>17158</v>
      </c>
      <c r="D122" s="2">
        <v>7703912</v>
      </c>
      <c r="E122" s="2">
        <v>83068</v>
      </c>
      <c r="F122" s="2">
        <v>25.466000000000001</v>
      </c>
      <c r="G122" s="2">
        <v>0.2084</v>
      </c>
      <c r="H122" s="2">
        <v>25.057300000000001</v>
      </c>
      <c r="I122" s="2">
        <v>25.874700000000001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3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72">J123</f>
        <v>0</v>
      </c>
      <c r="P123">
        <f t="shared" ref="P123:Q126" si="73">L123</f>
        <v>0</v>
      </c>
      <c r="Q123">
        <f t="shared" si="73"/>
        <v>0</v>
      </c>
      <c r="S123" t="str">
        <f t="shared" ref="S123:S126" si="74">TEXT(O123,"0.00")&amp;" ("&amp;TEXT(P123,"0.00")&amp;" to "&amp;TEXT(Q123,"0.00")&amp;")"</f>
        <v>0.00 (0.00 to 0.00)</v>
      </c>
    </row>
    <row r="124" spans="1:19" ht="17.25" thickBot="1" x14ac:dyDescent="0.35">
      <c r="A124" s="6"/>
      <c r="B124" s="13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72"/>
        <v>0</v>
      </c>
      <c r="P124">
        <f t="shared" si="73"/>
        <v>0</v>
      </c>
      <c r="Q124">
        <f t="shared" si="73"/>
        <v>0</v>
      </c>
      <c r="S124" t="str">
        <f t="shared" si="74"/>
        <v>0.00 (0.00 to 0.00)</v>
      </c>
    </row>
    <row r="125" spans="1:19" ht="17.25" thickBot="1" x14ac:dyDescent="0.35">
      <c r="A125" s="6"/>
      <c r="B125" s="13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72"/>
        <v>0</v>
      </c>
      <c r="P125">
        <f t="shared" si="73"/>
        <v>0</v>
      </c>
      <c r="Q125">
        <f t="shared" si="73"/>
        <v>0</v>
      </c>
      <c r="S125" t="str">
        <f t="shared" si="74"/>
        <v>0.00 (0.00 to 0.00)</v>
      </c>
    </row>
    <row r="126" spans="1:19" ht="17.25" thickBot="1" x14ac:dyDescent="0.35">
      <c r="A126" s="6"/>
      <c r="B126" s="13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72"/>
        <v>0</v>
      </c>
      <c r="P126">
        <f t="shared" si="73"/>
        <v>0</v>
      </c>
      <c r="Q126">
        <f t="shared" si="73"/>
        <v>0</v>
      </c>
      <c r="S126" t="str">
        <f t="shared" si="74"/>
        <v>0.00 (0.00 to 0.00)</v>
      </c>
    </row>
    <row r="127" spans="1:19" x14ac:dyDescent="0.3">
      <c r="A127" s="6"/>
      <c r="B127" s="16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17" t="s">
        <v>204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</row>
    <row r="130" spans="1:19" ht="33" customHeight="1" x14ac:dyDescent="0.3">
      <c r="A130" s="18" t="s">
        <v>75</v>
      </c>
      <c r="B130" s="20" t="s">
        <v>9</v>
      </c>
      <c r="C130" s="20" t="s">
        <v>125</v>
      </c>
      <c r="D130" s="3" t="s">
        <v>126</v>
      </c>
      <c r="E130" s="3" t="s">
        <v>127</v>
      </c>
      <c r="F130" s="20" t="s">
        <v>129</v>
      </c>
      <c r="G130" s="3" t="s">
        <v>127</v>
      </c>
      <c r="H130" s="20" t="s">
        <v>130</v>
      </c>
      <c r="I130" s="20"/>
      <c r="J130" s="3" t="s">
        <v>149</v>
      </c>
      <c r="K130" s="3" t="s">
        <v>127</v>
      </c>
      <c r="L130" s="20" t="s">
        <v>130</v>
      </c>
      <c r="M130" s="20"/>
    </row>
    <row r="131" spans="1:19" ht="33" x14ac:dyDescent="0.3">
      <c r="A131" s="18"/>
      <c r="B131" s="20"/>
      <c r="C131" s="20"/>
      <c r="D131" s="3" t="s">
        <v>125</v>
      </c>
      <c r="E131" s="3" t="s">
        <v>128</v>
      </c>
      <c r="F131" s="20"/>
      <c r="G131" s="3" t="s">
        <v>129</v>
      </c>
      <c r="H131" s="20" t="s">
        <v>131</v>
      </c>
      <c r="I131" s="20"/>
      <c r="J131" s="3" t="s">
        <v>129</v>
      </c>
      <c r="K131" s="3" t="s">
        <v>150</v>
      </c>
      <c r="L131" s="20" t="s">
        <v>151</v>
      </c>
      <c r="M131" s="20"/>
    </row>
    <row r="132" spans="1:19" ht="17.25" thickBot="1" x14ac:dyDescent="0.35">
      <c r="A132" s="6">
        <v>1</v>
      </c>
      <c r="B132" s="13">
        <v>1</v>
      </c>
      <c r="C132" s="2">
        <v>2755</v>
      </c>
      <c r="D132" s="2">
        <v>1289043</v>
      </c>
      <c r="E132" s="2">
        <v>31523</v>
      </c>
      <c r="F132" s="2">
        <v>4.2610999999999999</v>
      </c>
      <c r="G132" s="2">
        <v>9.8299999999999998E-2</v>
      </c>
      <c r="H132" s="2">
        <v>4.0682999999999998</v>
      </c>
      <c r="I132" s="2">
        <v>4.4538000000000002</v>
      </c>
      <c r="J132" s="2">
        <v>16.558599999999998</v>
      </c>
      <c r="K132" s="2">
        <v>0.34350000000000003</v>
      </c>
      <c r="L132" s="2">
        <v>15.8851</v>
      </c>
      <c r="M132" s="2">
        <v>17.232199999999999</v>
      </c>
      <c r="O132">
        <f t="shared" ref="O132:O135" si="75">J132</f>
        <v>16.558599999999998</v>
      </c>
      <c r="P132">
        <f t="shared" ref="P132:Q135" si="76">L132</f>
        <v>15.8851</v>
      </c>
      <c r="Q132">
        <f t="shared" si="76"/>
        <v>17.232199999999999</v>
      </c>
      <c r="S132" t="str">
        <f t="shared" ref="S132:S135" si="77">TEXT(O132,"0.00")&amp;" ("&amp;TEXT(P132,"0.00")&amp;" to "&amp;TEXT(Q132,"0.00")&amp;")"</f>
        <v>16.56 (15.89 to 17.23)</v>
      </c>
    </row>
    <row r="133" spans="1:19" ht="17.25" thickBot="1" x14ac:dyDescent="0.35">
      <c r="A133" s="6"/>
      <c r="B133" s="13">
        <v>2</v>
      </c>
      <c r="C133" s="2">
        <v>13948</v>
      </c>
      <c r="D133" s="2">
        <v>6289870</v>
      </c>
      <c r="E133" s="2">
        <v>77382</v>
      </c>
      <c r="F133" s="2">
        <v>20.791799999999999</v>
      </c>
      <c r="G133" s="2">
        <v>0.19040000000000001</v>
      </c>
      <c r="H133" s="2">
        <v>20.418500000000002</v>
      </c>
      <c r="I133" s="2">
        <v>21.164999999999999</v>
      </c>
      <c r="J133" s="2">
        <v>80.797600000000003</v>
      </c>
      <c r="K133" s="2">
        <v>0.35909999999999997</v>
      </c>
      <c r="L133" s="2">
        <v>80.093500000000006</v>
      </c>
      <c r="M133" s="2">
        <v>81.501800000000003</v>
      </c>
      <c r="O133">
        <f t="shared" si="75"/>
        <v>80.797600000000003</v>
      </c>
      <c r="P133">
        <f t="shared" si="76"/>
        <v>80.093500000000006</v>
      </c>
      <c r="Q133">
        <f t="shared" si="76"/>
        <v>81.501800000000003</v>
      </c>
      <c r="S133" t="str">
        <f t="shared" si="77"/>
        <v>80.80 (80.09 to 81.50)</v>
      </c>
    </row>
    <row r="134" spans="1:19" ht="17.25" thickBot="1" x14ac:dyDescent="0.35">
      <c r="A134" s="6"/>
      <c r="B134" s="13">
        <v>3</v>
      </c>
      <c r="C134" s="2">
        <v>452</v>
      </c>
      <c r="D134" s="2">
        <v>204305</v>
      </c>
      <c r="E134" s="2">
        <v>11047</v>
      </c>
      <c r="F134" s="2">
        <v>0.67530000000000001</v>
      </c>
      <c r="G134" s="2">
        <v>3.61E-2</v>
      </c>
      <c r="H134" s="2">
        <v>0.60450000000000004</v>
      </c>
      <c r="I134" s="2">
        <v>0.74619999999999997</v>
      </c>
      <c r="J134" s="2">
        <v>2.6244000000000001</v>
      </c>
      <c r="K134" s="2">
        <v>0.13900000000000001</v>
      </c>
      <c r="L134" s="2">
        <v>2.3519000000000001</v>
      </c>
      <c r="M134" s="2">
        <v>2.8969999999999998</v>
      </c>
      <c r="O134">
        <f t="shared" si="75"/>
        <v>2.6244000000000001</v>
      </c>
      <c r="P134">
        <f t="shared" si="76"/>
        <v>2.3519000000000001</v>
      </c>
      <c r="Q134">
        <f t="shared" si="76"/>
        <v>2.8969999999999998</v>
      </c>
      <c r="S134" t="str">
        <f t="shared" si="77"/>
        <v>2.62 (2.35 to 2.90)</v>
      </c>
    </row>
    <row r="135" spans="1:19" ht="17.25" thickBot="1" x14ac:dyDescent="0.35">
      <c r="A135" s="6"/>
      <c r="B135" s="13">
        <v>4</v>
      </c>
      <c r="C135" s="2">
        <v>4</v>
      </c>
      <c r="D135" s="2">
        <v>1503</v>
      </c>
      <c r="E135" s="2">
        <v>907.35839999999996</v>
      </c>
      <c r="F135" s="2">
        <v>5.0000000000000001E-3</v>
      </c>
      <c r="G135" s="2">
        <v>3.0000000000000001E-3</v>
      </c>
      <c r="H135" s="2">
        <v>0</v>
      </c>
      <c r="I135" s="2">
        <v>1.09E-2</v>
      </c>
      <c r="J135" s="2">
        <v>1.9300000000000001E-2</v>
      </c>
      <c r="K135" s="2">
        <v>1.17E-2</v>
      </c>
      <c r="L135" s="2">
        <v>0</v>
      </c>
      <c r="M135" s="2">
        <v>4.2200000000000001E-2</v>
      </c>
      <c r="O135">
        <f t="shared" si="75"/>
        <v>1.9300000000000001E-2</v>
      </c>
      <c r="P135">
        <f t="shared" si="76"/>
        <v>0</v>
      </c>
      <c r="Q135">
        <f t="shared" si="76"/>
        <v>4.2200000000000001E-2</v>
      </c>
      <c r="S135" t="str">
        <f t="shared" si="77"/>
        <v>0.02 (0.00 to 0.04)</v>
      </c>
    </row>
    <row r="136" spans="1:19" ht="17.25" thickBot="1" x14ac:dyDescent="0.35">
      <c r="A136" s="6"/>
      <c r="B136" s="13" t="s">
        <v>132</v>
      </c>
      <c r="C136" s="2">
        <v>17159</v>
      </c>
      <c r="D136" s="2">
        <v>7784722</v>
      </c>
      <c r="E136" s="2">
        <v>91183</v>
      </c>
      <c r="F136" s="2">
        <v>25.7331</v>
      </c>
      <c r="G136" s="2">
        <v>0.21560000000000001</v>
      </c>
      <c r="H136" s="2">
        <v>25.310400000000001</v>
      </c>
      <c r="I136" s="2">
        <v>26.155799999999999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3">
        <v>1</v>
      </c>
      <c r="C137" s="2">
        <v>21</v>
      </c>
      <c r="D137" s="2">
        <v>6887</v>
      </c>
      <c r="E137" s="2">
        <v>1994</v>
      </c>
      <c r="F137" s="2">
        <v>2.2800000000000001E-2</v>
      </c>
      <c r="G137" s="2">
        <v>6.6E-3</v>
      </c>
      <c r="H137" s="2">
        <v>9.7999999999999997E-3</v>
      </c>
      <c r="I137" s="2">
        <v>3.5700000000000003E-2</v>
      </c>
      <c r="J137" s="2">
        <v>9.2600000000000002E-2</v>
      </c>
      <c r="K137" s="2">
        <v>2.6800000000000001E-2</v>
      </c>
      <c r="L137" s="2">
        <v>0.04</v>
      </c>
      <c r="M137" s="2">
        <v>0.1452</v>
      </c>
      <c r="O137">
        <f t="shared" ref="O137:O140" si="78">J137</f>
        <v>9.2600000000000002E-2</v>
      </c>
      <c r="P137">
        <f t="shared" ref="P137:Q140" si="79">L137</f>
        <v>0.04</v>
      </c>
      <c r="Q137">
        <f t="shared" si="79"/>
        <v>0.1452</v>
      </c>
      <c r="S137" t="str">
        <f t="shared" ref="S137:S140" si="80">TEXT(O137,"0.00")&amp;" ("&amp;TEXT(P137,"0.00")&amp;" to "&amp;TEXT(Q137,"0.00")&amp;")"</f>
        <v>0.09 (0.04 to 0.15)</v>
      </c>
    </row>
    <row r="138" spans="1:19" ht="17.25" thickBot="1" x14ac:dyDescent="0.35">
      <c r="A138" s="6"/>
      <c r="B138" s="13">
        <v>2</v>
      </c>
      <c r="C138" s="2">
        <v>9759</v>
      </c>
      <c r="D138" s="2">
        <v>4193237</v>
      </c>
      <c r="E138" s="2">
        <v>57636</v>
      </c>
      <c r="F138" s="2">
        <v>13.8611</v>
      </c>
      <c r="G138" s="2">
        <v>0.15659999999999999</v>
      </c>
      <c r="H138" s="2">
        <v>13.554</v>
      </c>
      <c r="I138" s="2">
        <v>14.168200000000001</v>
      </c>
      <c r="J138" s="2">
        <v>56.366999999999997</v>
      </c>
      <c r="K138" s="2">
        <v>0.45440000000000003</v>
      </c>
      <c r="L138" s="2">
        <v>55.476100000000002</v>
      </c>
      <c r="M138" s="2">
        <v>57.258000000000003</v>
      </c>
      <c r="O138">
        <f t="shared" si="78"/>
        <v>56.366999999999997</v>
      </c>
      <c r="P138">
        <f t="shared" si="79"/>
        <v>55.476100000000002</v>
      </c>
      <c r="Q138">
        <f t="shared" si="79"/>
        <v>57.258000000000003</v>
      </c>
      <c r="S138" t="str">
        <f t="shared" si="80"/>
        <v>56.37 (55.48 to 57.26)</v>
      </c>
    </row>
    <row r="139" spans="1:19" ht="17.25" thickBot="1" x14ac:dyDescent="0.35">
      <c r="A139" s="6"/>
      <c r="B139" s="13">
        <v>3</v>
      </c>
      <c r="C139" s="2">
        <v>6333</v>
      </c>
      <c r="D139" s="2">
        <v>2792428</v>
      </c>
      <c r="E139" s="2">
        <v>45359</v>
      </c>
      <c r="F139" s="2">
        <v>9.2306000000000008</v>
      </c>
      <c r="G139" s="2">
        <v>0.13189999999999999</v>
      </c>
      <c r="H139" s="2">
        <v>8.9719999999999995</v>
      </c>
      <c r="I139" s="2">
        <v>9.4892000000000003</v>
      </c>
      <c r="J139" s="2">
        <v>37.536799999999999</v>
      </c>
      <c r="K139" s="2">
        <v>0.44950000000000001</v>
      </c>
      <c r="L139" s="2">
        <v>36.6556</v>
      </c>
      <c r="M139" s="2">
        <v>38.418100000000003</v>
      </c>
      <c r="O139">
        <f t="shared" si="78"/>
        <v>37.536799999999999</v>
      </c>
      <c r="P139">
        <f t="shared" si="79"/>
        <v>36.6556</v>
      </c>
      <c r="Q139">
        <f t="shared" si="79"/>
        <v>38.418100000000003</v>
      </c>
      <c r="S139" t="str">
        <f t="shared" si="80"/>
        <v>37.54 (36.66 to 38.42)</v>
      </c>
    </row>
    <row r="140" spans="1:19" ht="17.25" thickBot="1" x14ac:dyDescent="0.35">
      <c r="A140" s="6"/>
      <c r="B140" s="13">
        <v>4</v>
      </c>
      <c r="C140" s="2">
        <v>1045</v>
      </c>
      <c r="D140" s="2">
        <v>446613</v>
      </c>
      <c r="E140" s="2">
        <v>16011</v>
      </c>
      <c r="F140" s="2">
        <v>1.4762999999999999</v>
      </c>
      <c r="G140" s="2">
        <v>5.1799999999999999E-2</v>
      </c>
      <c r="H140" s="2">
        <v>1.3748</v>
      </c>
      <c r="I140" s="2">
        <v>1.5779000000000001</v>
      </c>
      <c r="J140" s="2">
        <v>6.0034999999999998</v>
      </c>
      <c r="K140" s="2">
        <v>0.2079</v>
      </c>
      <c r="L140" s="2">
        <v>5.5959000000000003</v>
      </c>
      <c r="M140" s="2">
        <v>6.4112</v>
      </c>
      <c r="O140">
        <f t="shared" si="78"/>
        <v>6.0034999999999998</v>
      </c>
      <c r="P140">
        <f t="shared" si="79"/>
        <v>5.5959000000000003</v>
      </c>
      <c r="Q140">
        <f t="shared" si="79"/>
        <v>6.4112</v>
      </c>
      <c r="S140" t="str">
        <f t="shared" si="80"/>
        <v>6.00 (5.60 to 6.41)</v>
      </c>
    </row>
    <row r="141" spans="1:19" ht="17.25" thickBot="1" x14ac:dyDescent="0.35">
      <c r="A141" s="6"/>
      <c r="B141" s="13" t="s">
        <v>132</v>
      </c>
      <c r="C141" s="2">
        <v>17158</v>
      </c>
      <c r="D141" s="2">
        <v>7439164</v>
      </c>
      <c r="E141" s="2">
        <v>81523</v>
      </c>
      <c r="F141" s="2">
        <v>24.590900000000001</v>
      </c>
      <c r="G141" s="2">
        <v>0.19059999999999999</v>
      </c>
      <c r="H141" s="2">
        <v>24.217099999999999</v>
      </c>
      <c r="I141" s="2">
        <v>24.964600000000001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3">
        <v>1</v>
      </c>
      <c r="C142" s="2">
        <v>1</v>
      </c>
      <c r="D142" s="2">
        <v>262.50877000000003</v>
      </c>
      <c r="E142" s="2">
        <v>262.50877000000003</v>
      </c>
      <c r="F142" s="2">
        <v>8.9999999999999998E-4</v>
      </c>
      <c r="G142" s="2">
        <v>8.9999999999999998E-4</v>
      </c>
      <c r="H142" s="2">
        <v>0</v>
      </c>
      <c r="I142" s="2">
        <v>2.5999999999999999E-3</v>
      </c>
      <c r="J142" s="2">
        <v>3.5999999999999999E-3</v>
      </c>
      <c r="K142" s="2">
        <v>3.5999999999999999E-3</v>
      </c>
      <c r="L142" s="2">
        <v>0</v>
      </c>
      <c r="M142" s="2">
        <v>1.06E-2</v>
      </c>
      <c r="O142">
        <f t="shared" ref="O142:O145" si="81">J142</f>
        <v>3.5999999999999999E-3</v>
      </c>
      <c r="P142">
        <f t="shared" ref="P142:Q145" si="82">L142</f>
        <v>0</v>
      </c>
      <c r="Q142">
        <f t="shared" si="82"/>
        <v>1.06E-2</v>
      </c>
      <c r="S142" t="str">
        <f t="shared" ref="S142:S145" si="83">TEXT(O142,"0.00")&amp;" ("&amp;TEXT(P142,"0.00")&amp;" to "&amp;TEXT(Q142,"0.00")&amp;")"</f>
        <v>0.00 (0.00 to 0.01)</v>
      </c>
    </row>
    <row r="143" spans="1:19" ht="17.25" thickBot="1" x14ac:dyDescent="0.35">
      <c r="A143" s="6"/>
      <c r="B143" s="13">
        <v>2</v>
      </c>
      <c r="C143" s="2">
        <v>2468</v>
      </c>
      <c r="D143" s="2">
        <v>996724</v>
      </c>
      <c r="E143" s="2">
        <v>25075</v>
      </c>
      <c r="F143" s="2">
        <v>3.2948</v>
      </c>
      <c r="G143" s="2">
        <v>7.9699999999999993E-2</v>
      </c>
      <c r="H143" s="2">
        <v>3.1385000000000001</v>
      </c>
      <c r="I143" s="2">
        <v>3.4510999999999998</v>
      </c>
      <c r="J143" s="2">
        <v>13.6091</v>
      </c>
      <c r="K143" s="2">
        <v>0.30940000000000001</v>
      </c>
      <c r="L143" s="2">
        <v>13.0024</v>
      </c>
      <c r="M143" s="2">
        <v>14.2158</v>
      </c>
      <c r="O143">
        <f t="shared" si="81"/>
        <v>13.6091</v>
      </c>
      <c r="P143">
        <f t="shared" si="82"/>
        <v>13.0024</v>
      </c>
      <c r="Q143">
        <f t="shared" si="82"/>
        <v>14.2158</v>
      </c>
      <c r="S143" t="str">
        <f t="shared" si="83"/>
        <v>13.61 (13.00 to 14.22)</v>
      </c>
    </row>
    <row r="144" spans="1:19" ht="17.25" thickBot="1" x14ac:dyDescent="0.35">
      <c r="A144" s="6"/>
      <c r="B144" s="13">
        <v>3</v>
      </c>
      <c r="C144" s="2">
        <v>7473</v>
      </c>
      <c r="D144" s="2">
        <v>3184337</v>
      </c>
      <c r="E144" s="2">
        <v>47082</v>
      </c>
      <c r="F144" s="2">
        <v>10.5261</v>
      </c>
      <c r="G144" s="2">
        <v>0.1356</v>
      </c>
      <c r="H144" s="2">
        <v>10.2601</v>
      </c>
      <c r="I144" s="2">
        <v>10.7921</v>
      </c>
      <c r="J144" s="2">
        <v>43.478400000000001</v>
      </c>
      <c r="K144" s="2">
        <v>0.44869999999999999</v>
      </c>
      <c r="L144" s="2">
        <v>42.598500000000001</v>
      </c>
      <c r="M144" s="2">
        <v>44.358199999999997</v>
      </c>
      <c r="O144">
        <f t="shared" si="81"/>
        <v>43.478400000000001</v>
      </c>
      <c r="P144">
        <f t="shared" si="82"/>
        <v>42.598500000000001</v>
      </c>
      <c r="Q144">
        <f t="shared" si="82"/>
        <v>44.358199999999997</v>
      </c>
      <c r="S144" t="str">
        <f t="shared" si="83"/>
        <v>43.48 (42.60 to 44.36)</v>
      </c>
    </row>
    <row r="145" spans="1:19" ht="17.25" thickBot="1" x14ac:dyDescent="0.35">
      <c r="A145" s="6"/>
      <c r="B145" s="13">
        <v>4</v>
      </c>
      <c r="C145" s="2">
        <v>7217</v>
      </c>
      <c r="D145" s="2">
        <v>3142635</v>
      </c>
      <c r="E145" s="2">
        <v>47434</v>
      </c>
      <c r="F145" s="2">
        <v>10.388299999999999</v>
      </c>
      <c r="G145" s="2">
        <v>0.13730000000000001</v>
      </c>
      <c r="H145" s="2">
        <v>10.1191</v>
      </c>
      <c r="I145" s="2">
        <v>10.657400000000001</v>
      </c>
      <c r="J145" s="2">
        <v>42.908999999999999</v>
      </c>
      <c r="K145" s="2">
        <v>0.4496</v>
      </c>
      <c r="L145" s="2">
        <v>42.0274</v>
      </c>
      <c r="M145" s="2">
        <v>43.790599999999998</v>
      </c>
      <c r="O145">
        <f t="shared" si="81"/>
        <v>42.908999999999999</v>
      </c>
      <c r="P145">
        <f t="shared" si="82"/>
        <v>42.0274</v>
      </c>
      <c r="Q145">
        <f t="shared" si="82"/>
        <v>43.790599999999998</v>
      </c>
      <c r="S145" t="str">
        <f t="shared" si="83"/>
        <v>42.91 (42.03 to 43.79)</v>
      </c>
    </row>
    <row r="146" spans="1:19" ht="17.25" thickBot="1" x14ac:dyDescent="0.35">
      <c r="A146" s="6"/>
      <c r="B146" s="13" t="s">
        <v>132</v>
      </c>
      <c r="C146" s="2">
        <v>17159</v>
      </c>
      <c r="D146" s="2">
        <v>7323958</v>
      </c>
      <c r="E146" s="2">
        <v>78593</v>
      </c>
      <c r="F146" s="2">
        <v>24.21</v>
      </c>
      <c r="G146" s="2">
        <v>0.19209999999999999</v>
      </c>
      <c r="H146" s="2">
        <v>23.833300000000001</v>
      </c>
      <c r="I146" s="2">
        <v>24.5868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3">
        <v>1</v>
      </c>
      <c r="C147" s="2">
        <v>0</v>
      </c>
      <c r="D147" s="2" t="s">
        <v>205</v>
      </c>
      <c r="E147" s="2" t="s">
        <v>205</v>
      </c>
      <c r="F147" s="2" t="s">
        <v>205</v>
      </c>
      <c r="G147" s="2" t="s">
        <v>205</v>
      </c>
      <c r="H147" s="2" t="s">
        <v>205</v>
      </c>
      <c r="I147" s="2" t="s">
        <v>205</v>
      </c>
      <c r="J147" s="2" t="s">
        <v>205</v>
      </c>
      <c r="K147" s="2" t="s">
        <v>205</v>
      </c>
      <c r="L147" s="2" t="s">
        <v>205</v>
      </c>
      <c r="M147" s="2" t="s">
        <v>205</v>
      </c>
      <c r="O147" t="str">
        <f t="shared" ref="O147:O150" si="84">J147</f>
        <v>.</v>
      </c>
      <c r="P147" t="str">
        <f t="shared" ref="P147:Q150" si="85">L147</f>
        <v>.</v>
      </c>
      <c r="Q147" t="str">
        <f t="shared" si="85"/>
        <v>.</v>
      </c>
      <c r="S147" t="str">
        <f t="shared" ref="S147:S150" si="86">TEXT(O147,"0.00")&amp;" ("&amp;TEXT(P147,"0.00")&amp;" to "&amp;TEXT(Q147,"0.00")&amp;")"</f>
        <v>. (. to .)</v>
      </c>
    </row>
    <row r="148" spans="1:19" ht="17.25" thickBot="1" x14ac:dyDescent="0.35">
      <c r="A148" s="6"/>
      <c r="B148" s="13">
        <v>2</v>
      </c>
      <c r="C148" s="2">
        <v>260</v>
      </c>
      <c r="D148" s="2">
        <v>105815</v>
      </c>
      <c r="E148" s="2">
        <v>7950</v>
      </c>
      <c r="F148" s="2">
        <v>0.3498</v>
      </c>
      <c r="G148" s="2">
        <v>2.6200000000000001E-2</v>
      </c>
      <c r="H148" s="2">
        <v>0.2984</v>
      </c>
      <c r="I148" s="2">
        <v>0.40110000000000001</v>
      </c>
      <c r="J148" s="2">
        <v>1.3734999999999999</v>
      </c>
      <c r="K148" s="2">
        <v>0.10199999999999999</v>
      </c>
      <c r="L148" s="2">
        <v>1.1736</v>
      </c>
      <c r="M148" s="2">
        <v>1.5734999999999999</v>
      </c>
      <c r="O148">
        <f t="shared" si="84"/>
        <v>1.3734999999999999</v>
      </c>
      <c r="P148">
        <f t="shared" si="85"/>
        <v>1.1736</v>
      </c>
      <c r="Q148">
        <f t="shared" si="85"/>
        <v>1.5734999999999999</v>
      </c>
      <c r="S148" t="str">
        <f t="shared" si="86"/>
        <v>1.37 (1.17 to 1.57)</v>
      </c>
    </row>
    <row r="149" spans="1:19" ht="17.25" thickBot="1" x14ac:dyDescent="0.35">
      <c r="A149" s="6"/>
      <c r="B149" s="13">
        <v>3</v>
      </c>
      <c r="C149" s="2">
        <v>2006</v>
      </c>
      <c r="D149" s="2">
        <v>835582</v>
      </c>
      <c r="E149" s="2">
        <v>23262</v>
      </c>
      <c r="F149" s="2">
        <v>2.7621000000000002</v>
      </c>
      <c r="G149" s="2">
        <v>7.51E-2</v>
      </c>
      <c r="H149" s="2">
        <v>2.6149</v>
      </c>
      <c r="I149" s="2">
        <v>2.9093</v>
      </c>
      <c r="J149" s="2">
        <v>10.8462</v>
      </c>
      <c r="K149" s="2">
        <v>0.28310000000000002</v>
      </c>
      <c r="L149" s="2">
        <v>10.2912</v>
      </c>
      <c r="M149" s="2">
        <v>11.401199999999999</v>
      </c>
      <c r="O149">
        <f t="shared" si="84"/>
        <v>10.8462</v>
      </c>
      <c r="P149">
        <f t="shared" si="85"/>
        <v>10.2912</v>
      </c>
      <c r="Q149">
        <f t="shared" si="85"/>
        <v>11.401199999999999</v>
      </c>
      <c r="S149" t="str">
        <f t="shared" si="86"/>
        <v>10.85 (10.29 to 11.40)</v>
      </c>
    </row>
    <row r="150" spans="1:19" ht="17.25" thickBot="1" x14ac:dyDescent="0.35">
      <c r="A150" s="6"/>
      <c r="B150" s="13">
        <v>4</v>
      </c>
      <c r="C150" s="2">
        <v>14892</v>
      </c>
      <c r="D150" s="2">
        <v>6762515</v>
      </c>
      <c r="E150" s="2">
        <v>77174</v>
      </c>
      <c r="F150" s="2">
        <v>22.354099999999999</v>
      </c>
      <c r="G150" s="2">
        <v>0.1988</v>
      </c>
      <c r="H150" s="2">
        <v>21.964300000000001</v>
      </c>
      <c r="I150" s="2">
        <v>22.744</v>
      </c>
      <c r="J150" s="2">
        <v>87.780299999999997</v>
      </c>
      <c r="K150" s="2">
        <v>0.29720000000000002</v>
      </c>
      <c r="L150" s="2">
        <v>87.197599999999994</v>
      </c>
      <c r="M150" s="2">
        <v>88.362899999999996</v>
      </c>
      <c r="O150">
        <f t="shared" si="84"/>
        <v>87.780299999999997</v>
      </c>
      <c r="P150">
        <f t="shared" si="85"/>
        <v>87.197599999999994</v>
      </c>
      <c r="Q150">
        <f t="shared" si="85"/>
        <v>88.362899999999996</v>
      </c>
      <c r="S150" t="str">
        <f t="shared" si="86"/>
        <v>87.78 (87.20 to 88.36)</v>
      </c>
    </row>
    <row r="151" spans="1:19" ht="17.25" thickBot="1" x14ac:dyDescent="0.35">
      <c r="A151" s="6"/>
      <c r="B151" s="13" t="s">
        <v>132</v>
      </c>
      <c r="C151" s="2">
        <v>17158</v>
      </c>
      <c r="D151" s="2">
        <v>7703912</v>
      </c>
      <c r="E151" s="2">
        <v>83068</v>
      </c>
      <c r="F151" s="2">
        <v>25.466000000000001</v>
      </c>
      <c r="G151" s="2">
        <v>0.2084</v>
      </c>
      <c r="H151" s="2">
        <v>25.057300000000001</v>
      </c>
      <c r="I151" s="2">
        <v>25.874700000000001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3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87">J152</f>
        <v>0</v>
      </c>
      <c r="P152">
        <f t="shared" ref="P152:Q155" si="88">L152</f>
        <v>0</v>
      </c>
      <c r="Q152">
        <f t="shared" si="88"/>
        <v>0</v>
      </c>
      <c r="S152" t="str">
        <f t="shared" ref="S152:S155" si="8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3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87"/>
        <v>0</v>
      </c>
      <c r="P153">
        <f t="shared" si="88"/>
        <v>0</v>
      </c>
      <c r="Q153">
        <f t="shared" si="88"/>
        <v>0</v>
      </c>
      <c r="S153" t="str">
        <f t="shared" si="89"/>
        <v>0.00 (0.00 to 0.00)</v>
      </c>
    </row>
    <row r="154" spans="1:19" ht="17.25" thickBot="1" x14ac:dyDescent="0.35">
      <c r="A154" s="6"/>
      <c r="B154" s="13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87"/>
        <v>0</v>
      </c>
      <c r="P154">
        <f t="shared" si="88"/>
        <v>0</v>
      </c>
      <c r="Q154">
        <f t="shared" si="88"/>
        <v>0</v>
      </c>
      <c r="S154" t="str">
        <f t="shared" si="89"/>
        <v>0.00 (0.00 to 0.00)</v>
      </c>
    </row>
    <row r="155" spans="1:19" ht="17.25" thickBot="1" x14ac:dyDescent="0.35">
      <c r="A155" s="6"/>
      <c r="B155" s="13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87"/>
        <v>0</v>
      </c>
      <c r="P155">
        <f t="shared" si="88"/>
        <v>0</v>
      </c>
      <c r="Q155">
        <f t="shared" si="88"/>
        <v>0</v>
      </c>
      <c r="S155" t="str">
        <f t="shared" si="89"/>
        <v>0.00 (0.00 to 0.00)</v>
      </c>
    </row>
    <row r="156" spans="1:19" x14ac:dyDescent="0.3">
      <c r="A156" s="6"/>
      <c r="B156" s="16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17" t="s">
        <v>206</v>
      </c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</row>
    <row r="159" spans="1:19" ht="33" customHeight="1" x14ac:dyDescent="0.3">
      <c r="A159" s="18" t="s">
        <v>75</v>
      </c>
      <c r="B159" s="20" t="s">
        <v>10</v>
      </c>
      <c r="C159" s="20" t="s">
        <v>125</v>
      </c>
      <c r="D159" s="3" t="s">
        <v>126</v>
      </c>
      <c r="E159" s="3" t="s">
        <v>127</v>
      </c>
      <c r="F159" s="20" t="s">
        <v>129</v>
      </c>
      <c r="G159" s="3" t="s">
        <v>127</v>
      </c>
      <c r="H159" s="20" t="s">
        <v>130</v>
      </c>
      <c r="I159" s="20"/>
      <c r="J159" s="3" t="s">
        <v>149</v>
      </c>
      <c r="K159" s="3" t="s">
        <v>127</v>
      </c>
      <c r="L159" s="20" t="s">
        <v>130</v>
      </c>
      <c r="M159" s="20"/>
    </row>
    <row r="160" spans="1:19" ht="33" x14ac:dyDescent="0.3">
      <c r="A160" s="18"/>
      <c r="B160" s="20"/>
      <c r="C160" s="20"/>
      <c r="D160" s="3" t="s">
        <v>125</v>
      </c>
      <c r="E160" s="3" t="s">
        <v>128</v>
      </c>
      <c r="F160" s="20"/>
      <c r="G160" s="3" t="s">
        <v>129</v>
      </c>
      <c r="H160" s="20" t="s">
        <v>131</v>
      </c>
      <c r="I160" s="20"/>
      <c r="J160" s="3" t="s">
        <v>129</v>
      </c>
      <c r="K160" s="3" t="s">
        <v>150</v>
      </c>
      <c r="L160" s="20" t="s">
        <v>151</v>
      </c>
      <c r="M160" s="20"/>
    </row>
    <row r="161" spans="1:19" ht="17.25" thickBot="1" x14ac:dyDescent="0.35">
      <c r="A161" s="6">
        <v>1</v>
      </c>
      <c r="B161" s="13">
        <v>1</v>
      </c>
      <c r="C161" s="2">
        <v>12332</v>
      </c>
      <c r="D161" s="2">
        <v>4951794</v>
      </c>
      <c r="E161" s="2">
        <v>63644</v>
      </c>
      <c r="F161" s="2">
        <v>16.368600000000001</v>
      </c>
      <c r="G161" s="2">
        <v>0.17069999999999999</v>
      </c>
      <c r="H161" s="2">
        <v>16.033899999999999</v>
      </c>
      <c r="I161" s="2">
        <v>16.703399999999998</v>
      </c>
      <c r="J161" s="2">
        <v>63.609099999999998</v>
      </c>
      <c r="K161" s="2">
        <v>0.51559999999999995</v>
      </c>
      <c r="L161" s="2">
        <v>62.598100000000002</v>
      </c>
      <c r="M161" s="2">
        <v>64.620199999999997</v>
      </c>
      <c r="O161">
        <f t="shared" ref="O161:O162" si="90">J161</f>
        <v>63.609099999999998</v>
      </c>
      <c r="P161">
        <f t="shared" ref="P161:Q162" si="91">L161</f>
        <v>62.598100000000002</v>
      </c>
      <c r="Q161">
        <f t="shared" si="91"/>
        <v>64.620199999999997</v>
      </c>
      <c r="S161" t="str">
        <f t="shared" ref="S161:S162" si="92">TEXT(O161,"0.00")&amp;" ("&amp;TEXT(P161,"0.00")&amp;" to "&amp;TEXT(Q161,"0.00")&amp;")"</f>
        <v>63.61 (62.60 to 64.62)</v>
      </c>
    </row>
    <row r="162" spans="1:19" ht="17.25" thickBot="1" x14ac:dyDescent="0.35">
      <c r="A162" s="6"/>
      <c r="B162" s="13">
        <v>2</v>
      </c>
      <c r="C162" s="2">
        <v>4827</v>
      </c>
      <c r="D162" s="2">
        <v>2832928</v>
      </c>
      <c r="E162" s="2">
        <v>56931</v>
      </c>
      <c r="F162" s="2">
        <v>9.3644999999999996</v>
      </c>
      <c r="G162" s="2">
        <v>0.1671</v>
      </c>
      <c r="H162" s="2">
        <v>9.0368999999999993</v>
      </c>
      <c r="I162" s="2">
        <v>9.6920999999999999</v>
      </c>
      <c r="J162" s="2">
        <v>36.390900000000002</v>
      </c>
      <c r="K162" s="2">
        <v>0.51559999999999995</v>
      </c>
      <c r="L162" s="2">
        <v>35.379800000000003</v>
      </c>
      <c r="M162" s="2">
        <v>37.401899999999998</v>
      </c>
      <c r="O162">
        <f t="shared" si="90"/>
        <v>36.390900000000002</v>
      </c>
      <c r="P162">
        <f t="shared" si="91"/>
        <v>35.379800000000003</v>
      </c>
      <c r="Q162">
        <f t="shared" si="91"/>
        <v>37.401899999999998</v>
      </c>
      <c r="S162" t="str">
        <f t="shared" si="92"/>
        <v>36.39 (35.38 to 37.40)</v>
      </c>
    </row>
    <row r="163" spans="1:19" ht="17.25" thickBot="1" x14ac:dyDescent="0.35">
      <c r="A163" s="6"/>
      <c r="B163" s="13" t="s">
        <v>132</v>
      </c>
      <c r="C163" s="2">
        <v>17159</v>
      </c>
      <c r="D163" s="2">
        <v>7784722</v>
      </c>
      <c r="E163" s="2">
        <v>91183</v>
      </c>
      <c r="F163" s="2">
        <v>25.7331</v>
      </c>
      <c r="G163" s="2">
        <v>0.21560000000000001</v>
      </c>
      <c r="H163" s="2">
        <v>25.310400000000001</v>
      </c>
      <c r="I163" s="2">
        <v>26.155799999999999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3">
        <v>1</v>
      </c>
      <c r="C164" s="2">
        <v>14397</v>
      </c>
      <c r="D164" s="2">
        <v>5679871</v>
      </c>
      <c r="E164" s="2">
        <v>67318</v>
      </c>
      <c r="F164" s="2">
        <v>18.775300000000001</v>
      </c>
      <c r="G164" s="2">
        <v>0.17699999999999999</v>
      </c>
      <c r="H164" s="2">
        <v>18.4282</v>
      </c>
      <c r="I164" s="2">
        <v>19.122499999999999</v>
      </c>
      <c r="J164" s="2">
        <v>76.350899999999996</v>
      </c>
      <c r="K164" s="2">
        <v>0.48499999999999999</v>
      </c>
      <c r="L164" s="2">
        <v>75.399900000000002</v>
      </c>
      <c r="M164" s="2">
        <v>77.301900000000003</v>
      </c>
      <c r="O164">
        <f t="shared" ref="O164:O165" si="93">J164</f>
        <v>76.350899999999996</v>
      </c>
      <c r="P164">
        <f t="shared" ref="P164:Q165" si="94">L164</f>
        <v>75.399900000000002</v>
      </c>
      <c r="Q164">
        <f t="shared" si="94"/>
        <v>77.301900000000003</v>
      </c>
      <c r="S164" t="str">
        <f t="shared" ref="S164:S165" si="95">TEXT(O164,"0.00")&amp;" ("&amp;TEXT(P164,"0.00")&amp;" to "&amp;TEXT(Q164,"0.00")&amp;")"</f>
        <v>76.35 (75.40 to 77.30)</v>
      </c>
    </row>
    <row r="165" spans="1:19" ht="17.25" thickBot="1" x14ac:dyDescent="0.35">
      <c r="A165" s="6"/>
      <c r="B165" s="13">
        <v>2</v>
      </c>
      <c r="C165" s="2">
        <v>2761</v>
      </c>
      <c r="D165" s="2">
        <v>1759294</v>
      </c>
      <c r="E165" s="2">
        <v>43280</v>
      </c>
      <c r="F165" s="2">
        <v>5.8155000000000001</v>
      </c>
      <c r="G165" s="2">
        <v>0.1323</v>
      </c>
      <c r="H165" s="2">
        <v>5.556</v>
      </c>
      <c r="I165" s="2">
        <v>6.0750000000000002</v>
      </c>
      <c r="J165" s="2">
        <v>23.649100000000001</v>
      </c>
      <c r="K165" s="2">
        <v>0.48499999999999999</v>
      </c>
      <c r="L165" s="2">
        <v>22.6981</v>
      </c>
      <c r="M165" s="2">
        <v>24.600100000000001</v>
      </c>
      <c r="O165">
        <f t="shared" si="93"/>
        <v>23.649100000000001</v>
      </c>
      <c r="P165">
        <f t="shared" si="94"/>
        <v>22.6981</v>
      </c>
      <c r="Q165">
        <f t="shared" si="94"/>
        <v>24.600100000000001</v>
      </c>
      <c r="S165" t="str">
        <f t="shared" si="95"/>
        <v>23.65 (22.70 to 24.60)</v>
      </c>
    </row>
    <row r="166" spans="1:19" ht="17.25" thickBot="1" x14ac:dyDescent="0.35">
      <c r="A166" s="6"/>
      <c r="B166" s="13" t="s">
        <v>132</v>
      </c>
      <c r="C166" s="2">
        <v>17158</v>
      </c>
      <c r="D166" s="2">
        <v>7439164</v>
      </c>
      <c r="E166" s="2">
        <v>81523</v>
      </c>
      <c r="F166" s="2">
        <v>24.590900000000001</v>
      </c>
      <c r="G166" s="2">
        <v>0.19059999999999999</v>
      </c>
      <c r="H166" s="2">
        <v>24.217099999999999</v>
      </c>
      <c r="I166" s="2">
        <v>24.964600000000001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3">
        <v>1</v>
      </c>
      <c r="C167" s="2">
        <v>15156</v>
      </c>
      <c r="D167" s="2">
        <v>6024538</v>
      </c>
      <c r="E167" s="2">
        <v>67566</v>
      </c>
      <c r="F167" s="2">
        <v>19.9147</v>
      </c>
      <c r="G167" s="2">
        <v>0.17810000000000001</v>
      </c>
      <c r="H167" s="2">
        <v>19.5654</v>
      </c>
      <c r="I167" s="2">
        <v>20.263999999999999</v>
      </c>
      <c r="J167" s="2">
        <v>82.257999999999996</v>
      </c>
      <c r="K167" s="2">
        <v>0.43640000000000001</v>
      </c>
      <c r="L167" s="2">
        <v>81.402199999999993</v>
      </c>
      <c r="M167" s="2">
        <v>83.113699999999994</v>
      </c>
      <c r="O167">
        <f t="shared" ref="O167:O168" si="96">J167</f>
        <v>82.257999999999996</v>
      </c>
      <c r="P167">
        <f t="shared" ref="P167:Q168" si="97">L167</f>
        <v>81.402199999999993</v>
      </c>
      <c r="Q167">
        <f t="shared" si="97"/>
        <v>83.113699999999994</v>
      </c>
      <c r="S167" t="str">
        <f t="shared" ref="S167:S168" si="98">TEXT(O167,"0.00")&amp;" ("&amp;TEXT(P167,"0.00")&amp;" to "&amp;TEXT(Q167,"0.00")&amp;")"</f>
        <v>82.26 (81.40 to 83.11)</v>
      </c>
    </row>
    <row r="168" spans="1:19" ht="17.25" thickBot="1" x14ac:dyDescent="0.35">
      <c r="A168" s="6"/>
      <c r="B168" s="13">
        <v>2</v>
      </c>
      <c r="C168" s="2">
        <v>2003</v>
      </c>
      <c r="D168" s="2">
        <v>1299420</v>
      </c>
      <c r="E168" s="2">
        <v>36788</v>
      </c>
      <c r="F168" s="2">
        <v>4.2953999999999999</v>
      </c>
      <c r="G168" s="2">
        <v>0.1152</v>
      </c>
      <c r="H168" s="2">
        <v>4.0693999999999999</v>
      </c>
      <c r="I168" s="2">
        <v>4.5213000000000001</v>
      </c>
      <c r="J168" s="2">
        <v>17.742000000000001</v>
      </c>
      <c r="K168" s="2">
        <v>0.43640000000000001</v>
      </c>
      <c r="L168" s="2">
        <v>16.886299999999999</v>
      </c>
      <c r="M168" s="2">
        <v>18.597799999999999</v>
      </c>
      <c r="O168">
        <f t="shared" si="96"/>
        <v>17.742000000000001</v>
      </c>
      <c r="P168">
        <f t="shared" si="97"/>
        <v>16.886299999999999</v>
      </c>
      <c r="Q168">
        <f t="shared" si="97"/>
        <v>18.597799999999999</v>
      </c>
      <c r="S168" t="str">
        <f t="shared" si="98"/>
        <v>17.74 (16.89 to 18.60)</v>
      </c>
    </row>
    <row r="169" spans="1:19" ht="17.25" thickBot="1" x14ac:dyDescent="0.35">
      <c r="A169" s="6"/>
      <c r="B169" s="13" t="s">
        <v>132</v>
      </c>
      <c r="C169" s="2">
        <v>17159</v>
      </c>
      <c r="D169" s="2">
        <v>7323958</v>
      </c>
      <c r="E169" s="2">
        <v>78593</v>
      </c>
      <c r="F169" s="2">
        <v>24.21</v>
      </c>
      <c r="G169" s="2">
        <v>0.19209999999999999</v>
      </c>
      <c r="H169" s="2">
        <v>23.833300000000001</v>
      </c>
      <c r="I169" s="2">
        <v>24.5868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3">
        <v>1</v>
      </c>
      <c r="C170" s="2">
        <v>14928</v>
      </c>
      <c r="D170" s="2">
        <v>6242384</v>
      </c>
      <c r="E170" s="2">
        <v>71951</v>
      </c>
      <c r="F170" s="2">
        <v>20.634799999999998</v>
      </c>
      <c r="G170" s="2">
        <v>0.1915</v>
      </c>
      <c r="H170" s="2">
        <v>20.2592</v>
      </c>
      <c r="I170" s="2">
        <v>21.010300000000001</v>
      </c>
      <c r="J170" s="2">
        <v>81.028800000000004</v>
      </c>
      <c r="K170" s="2">
        <v>0.42470000000000002</v>
      </c>
      <c r="L170" s="2">
        <v>80.195999999999998</v>
      </c>
      <c r="M170" s="2">
        <v>81.861500000000007</v>
      </c>
      <c r="O170">
        <f t="shared" ref="O170:O171" si="99">J170</f>
        <v>81.028800000000004</v>
      </c>
      <c r="P170">
        <f t="shared" ref="P170:Q171" si="100">L170</f>
        <v>80.195999999999998</v>
      </c>
      <c r="Q170">
        <f t="shared" si="100"/>
        <v>81.861500000000007</v>
      </c>
      <c r="S170" t="str">
        <f t="shared" ref="S170:S171" si="101">TEXT(O170,"0.00")&amp;" ("&amp;TEXT(P170,"0.00")&amp;" to "&amp;TEXT(Q170,"0.00")&amp;")"</f>
        <v>81.03 (80.20 to 81.86)</v>
      </c>
    </row>
    <row r="171" spans="1:19" ht="17.25" thickBot="1" x14ac:dyDescent="0.35">
      <c r="A171" s="6"/>
      <c r="B171" s="13">
        <v>2</v>
      </c>
      <c r="C171" s="2">
        <v>2230</v>
      </c>
      <c r="D171" s="2">
        <v>1461528</v>
      </c>
      <c r="E171" s="2">
        <v>37657</v>
      </c>
      <c r="F171" s="2">
        <v>4.8311999999999999</v>
      </c>
      <c r="G171" s="2">
        <v>0.1187</v>
      </c>
      <c r="H171" s="2">
        <v>4.5984999999999996</v>
      </c>
      <c r="I171" s="2">
        <v>5.0639000000000003</v>
      </c>
      <c r="J171" s="2">
        <v>18.9712</v>
      </c>
      <c r="K171" s="2">
        <v>0.42470000000000002</v>
      </c>
      <c r="L171" s="2">
        <v>18.138500000000001</v>
      </c>
      <c r="M171" s="2">
        <v>19.803999999999998</v>
      </c>
      <c r="O171">
        <f t="shared" si="99"/>
        <v>18.9712</v>
      </c>
      <c r="P171">
        <f t="shared" si="100"/>
        <v>18.138500000000001</v>
      </c>
      <c r="Q171">
        <f t="shared" si="100"/>
        <v>19.803999999999998</v>
      </c>
      <c r="S171" t="str">
        <f t="shared" si="101"/>
        <v>18.97 (18.14 to 19.80)</v>
      </c>
    </row>
    <row r="172" spans="1:19" ht="17.25" thickBot="1" x14ac:dyDescent="0.35">
      <c r="A172" s="6"/>
      <c r="B172" s="13" t="s">
        <v>132</v>
      </c>
      <c r="C172" s="2">
        <v>17158</v>
      </c>
      <c r="D172" s="2">
        <v>7703912</v>
      </c>
      <c r="E172" s="2">
        <v>83068</v>
      </c>
      <c r="F172" s="2">
        <v>25.466000000000001</v>
      </c>
      <c r="G172" s="2">
        <v>0.2084</v>
      </c>
      <c r="H172" s="2">
        <v>25.057300000000001</v>
      </c>
      <c r="I172" s="2">
        <v>25.874700000000001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3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02">J173</f>
        <v>0</v>
      </c>
      <c r="P173">
        <f t="shared" ref="P173:Q174" si="103">L173</f>
        <v>0</v>
      </c>
      <c r="Q173">
        <f t="shared" si="103"/>
        <v>0</v>
      </c>
      <c r="S173" t="str">
        <f t="shared" ref="S173:S174" si="104">TEXT(O173,"0.00")&amp;" ("&amp;TEXT(P173,"0.00")&amp;" to "&amp;TEXT(Q173,"0.00")&amp;")"</f>
        <v>0.00 (0.00 to 0.00)</v>
      </c>
    </row>
    <row r="174" spans="1:19" ht="17.25" thickBot="1" x14ac:dyDescent="0.35">
      <c r="A174" s="6"/>
      <c r="B174" s="13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02"/>
        <v>0</v>
      </c>
      <c r="P174">
        <f t="shared" si="103"/>
        <v>0</v>
      </c>
      <c r="Q174">
        <f t="shared" si="103"/>
        <v>0</v>
      </c>
      <c r="S174" t="str">
        <f t="shared" si="104"/>
        <v>0.00 (0.00 to 0.00)</v>
      </c>
    </row>
    <row r="175" spans="1:19" x14ac:dyDescent="0.3">
      <c r="A175" s="6"/>
      <c r="B175" s="16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17" t="s">
        <v>207</v>
      </c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</row>
    <row r="178" spans="1:19" ht="33" customHeight="1" x14ac:dyDescent="0.3">
      <c r="A178" s="18" t="s">
        <v>75</v>
      </c>
      <c r="B178" s="20" t="s">
        <v>11</v>
      </c>
      <c r="C178" s="20" t="s">
        <v>125</v>
      </c>
      <c r="D178" s="3" t="s">
        <v>126</v>
      </c>
      <c r="E178" s="3" t="s">
        <v>127</v>
      </c>
      <c r="F178" s="20" t="s">
        <v>129</v>
      </c>
      <c r="G178" s="3" t="s">
        <v>127</v>
      </c>
      <c r="H178" s="20" t="s">
        <v>130</v>
      </c>
      <c r="I178" s="20"/>
      <c r="J178" s="3" t="s">
        <v>149</v>
      </c>
      <c r="K178" s="3" t="s">
        <v>127</v>
      </c>
      <c r="L178" s="20" t="s">
        <v>130</v>
      </c>
      <c r="M178" s="20"/>
    </row>
    <row r="179" spans="1:19" ht="33" x14ac:dyDescent="0.3">
      <c r="A179" s="18"/>
      <c r="B179" s="20"/>
      <c r="C179" s="20"/>
      <c r="D179" s="3" t="s">
        <v>125</v>
      </c>
      <c r="E179" s="3" t="s">
        <v>128</v>
      </c>
      <c r="F179" s="20"/>
      <c r="G179" s="3" t="s">
        <v>129</v>
      </c>
      <c r="H179" s="20" t="s">
        <v>131</v>
      </c>
      <c r="I179" s="20"/>
      <c r="J179" s="3" t="s">
        <v>129</v>
      </c>
      <c r="K179" s="3" t="s">
        <v>150</v>
      </c>
      <c r="L179" s="20" t="s">
        <v>151</v>
      </c>
      <c r="M179" s="20"/>
    </row>
    <row r="180" spans="1:19" ht="17.25" thickBot="1" x14ac:dyDescent="0.35">
      <c r="A180" s="6">
        <v>1</v>
      </c>
      <c r="B180" s="13">
        <v>1</v>
      </c>
      <c r="C180" s="2">
        <v>6180</v>
      </c>
      <c r="D180" s="2">
        <v>2905110</v>
      </c>
      <c r="E180" s="2">
        <v>51166</v>
      </c>
      <c r="F180" s="2">
        <v>9.6030999999999995</v>
      </c>
      <c r="G180" s="2">
        <v>0.1469</v>
      </c>
      <c r="H180" s="2">
        <v>9.3152000000000008</v>
      </c>
      <c r="I180" s="2">
        <v>9.8910999999999998</v>
      </c>
      <c r="J180" s="2">
        <v>37.318100000000001</v>
      </c>
      <c r="K180" s="2">
        <v>0.45639999999999997</v>
      </c>
      <c r="L180" s="2">
        <v>36.423200000000001</v>
      </c>
      <c r="M180" s="2">
        <v>38.213000000000001</v>
      </c>
      <c r="O180">
        <f t="shared" ref="O180:O182" si="105">J180</f>
        <v>37.318100000000001</v>
      </c>
      <c r="P180">
        <f t="shared" ref="P180:Q182" si="106">L180</f>
        <v>36.423200000000001</v>
      </c>
      <c r="Q180">
        <f t="shared" si="106"/>
        <v>38.213000000000001</v>
      </c>
      <c r="S180" t="str">
        <f t="shared" ref="S180:S182" si="107">TEXT(O180,"0.00")&amp;" ("&amp;TEXT(P180,"0.00")&amp;" to "&amp;TEXT(Q180,"0.00")&amp;")"</f>
        <v>37.32 (36.42 to 38.21)</v>
      </c>
    </row>
    <row r="181" spans="1:19" ht="17.25" thickBot="1" x14ac:dyDescent="0.35">
      <c r="A181" s="6"/>
      <c r="B181" s="13">
        <v>2</v>
      </c>
      <c r="C181" s="2">
        <v>8334</v>
      </c>
      <c r="D181" s="2">
        <v>3786551</v>
      </c>
      <c r="E181" s="2">
        <v>58422</v>
      </c>
      <c r="F181" s="2">
        <v>12.5168</v>
      </c>
      <c r="G181" s="2">
        <v>0.1623</v>
      </c>
      <c r="H181" s="2">
        <v>12.198499999999999</v>
      </c>
      <c r="I181" s="2">
        <v>12.835100000000001</v>
      </c>
      <c r="J181" s="2">
        <v>48.640799999999999</v>
      </c>
      <c r="K181" s="2">
        <v>0.4798</v>
      </c>
      <c r="L181" s="2">
        <v>47.700099999999999</v>
      </c>
      <c r="M181" s="2">
        <v>49.581499999999998</v>
      </c>
      <c r="O181">
        <f t="shared" si="105"/>
        <v>48.640799999999999</v>
      </c>
      <c r="P181">
        <f t="shared" si="106"/>
        <v>47.700099999999999</v>
      </c>
      <c r="Q181">
        <f t="shared" si="106"/>
        <v>49.581499999999998</v>
      </c>
      <c r="S181" t="str">
        <f t="shared" si="107"/>
        <v>48.64 (47.70 to 49.58)</v>
      </c>
    </row>
    <row r="182" spans="1:19" ht="17.25" thickBot="1" x14ac:dyDescent="0.35">
      <c r="A182" s="6"/>
      <c r="B182" s="13">
        <v>3</v>
      </c>
      <c r="C182" s="2">
        <v>2645</v>
      </c>
      <c r="D182" s="2">
        <v>1093061</v>
      </c>
      <c r="E182" s="2">
        <v>25728</v>
      </c>
      <c r="F182" s="2">
        <v>3.6132</v>
      </c>
      <c r="G182" s="2">
        <v>8.2500000000000004E-2</v>
      </c>
      <c r="H182" s="2">
        <v>3.4514</v>
      </c>
      <c r="I182" s="2">
        <v>3.7749999999999999</v>
      </c>
      <c r="J182" s="2">
        <v>14.0411</v>
      </c>
      <c r="K182" s="2">
        <v>0.31130000000000002</v>
      </c>
      <c r="L182" s="2">
        <v>13.4308</v>
      </c>
      <c r="M182" s="2">
        <v>14.6515</v>
      </c>
      <c r="O182">
        <f t="shared" si="105"/>
        <v>14.0411</v>
      </c>
      <c r="P182">
        <f t="shared" si="106"/>
        <v>13.4308</v>
      </c>
      <c r="Q182">
        <f t="shared" si="106"/>
        <v>14.6515</v>
      </c>
      <c r="S182" t="str">
        <f t="shared" si="107"/>
        <v>14.04 (13.43 to 14.65)</v>
      </c>
    </row>
    <row r="183" spans="1:19" ht="17.25" thickBot="1" x14ac:dyDescent="0.35">
      <c r="A183" s="6"/>
      <c r="B183" s="13" t="s">
        <v>132</v>
      </c>
      <c r="C183" s="2">
        <v>17159</v>
      </c>
      <c r="D183" s="2">
        <v>7784722</v>
      </c>
      <c r="E183" s="2">
        <v>91183</v>
      </c>
      <c r="F183" s="2">
        <v>25.7331</v>
      </c>
      <c r="G183" s="2">
        <v>0.21560000000000001</v>
      </c>
      <c r="H183" s="2">
        <v>25.310400000000001</v>
      </c>
      <c r="I183" s="2">
        <v>26.155799999999999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3">
        <v>1</v>
      </c>
      <c r="C184" s="2">
        <v>6231</v>
      </c>
      <c r="D184" s="2">
        <v>2830743</v>
      </c>
      <c r="E184" s="2">
        <v>47823</v>
      </c>
      <c r="F184" s="2">
        <v>9.3573000000000004</v>
      </c>
      <c r="G184" s="2">
        <v>0.13789999999999999</v>
      </c>
      <c r="H184" s="2">
        <v>9.0869</v>
      </c>
      <c r="I184" s="2">
        <v>9.6277000000000008</v>
      </c>
      <c r="J184" s="2">
        <v>38.051900000000003</v>
      </c>
      <c r="K184" s="2">
        <v>0.47</v>
      </c>
      <c r="L184" s="2">
        <v>37.130299999999998</v>
      </c>
      <c r="M184" s="2">
        <v>38.973500000000001</v>
      </c>
      <c r="O184">
        <f t="shared" ref="O184:O186" si="108">J184</f>
        <v>38.051900000000003</v>
      </c>
      <c r="P184">
        <f t="shared" ref="P184:Q186" si="109">L184</f>
        <v>37.130299999999998</v>
      </c>
      <c r="Q184">
        <f t="shared" si="109"/>
        <v>38.973500000000001</v>
      </c>
      <c r="S184" t="str">
        <f t="shared" ref="S184:S186" si="110">TEXT(O184,"0.00")&amp;" ("&amp;TEXT(P184,"0.00")&amp;" to "&amp;TEXT(Q184,"0.00")&amp;")"</f>
        <v>38.05 (37.13 to 38.97)</v>
      </c>
    </row>
    <row r="185" spans="1:19" ht="17.25" thickBot="1" x14ac:dyDescent="0.35">
      <c r="A185" s="6"/>
      <c r="B185" s="13">
        <v>2</v>
      </c>
      <c r="C185" s="2">
        <v>8143</v>
      </c>
      <c r="D185" s="2">
        <v>3551104</v>
      </c>
      <c r="E185" s="2">
        <v>52772</v>
      </c>
      <c r="F185" s="2">
        <v>11.7385</v>
      </c>
      <c r="G185" s="2">
        <v>0.1489</v>
      </c>
      <c r="H185" s="2">
        <v>11.4465</v>
      </c>
      <c r="I185" s="2">
        <v>12.0305</v>
      </c>
      <c r="J185" s="2">
        <v>47.735300000000002</v>
      </c>
      <c r="K185" s="2">
        <v>0.48120000000000002</v>
      </c>
      <c r="L185" s="2">
        <v>46.791800000000002</v>
      </c>
      <c r="M185" s="2">
        <v>48.678699999999999</v>
      </c>
      <c r="O185">
        <f t="shared" si="108"/>
        <v>47.735300000000002</v>
      </c>
      <c r="P185">
        <f t="shared" si="109"/>
        <v>46.791800000000002</v>
      </c>
      <c r="Q185">
        <f t="shared" si="109"/>
        <v>48.678699999999999</v>
      </c>
      <c r="S185" t="str">
        <f t="shared" si="110"/>
        <v>47.74 (46.79 to 48.68)</v>
      </c>
    </row>
    <row r="186" spans="1:19" ht="17.25" thickBot="1" x14ac:dyDescent="0.35">
      <c r="A186" s="6"/>
      <c r="B186" s="13">
        <v>3</v>
      </c>
      <c r="C186" s="2">
        <v>2784</v>
      </c>
      <c r="D186" s="2">
        <v>1057317</v>
      </c>
      <c r="E186" s="2">
        <v>25290</v>
      </c>
      <c r="F186" s="2">
        <v>3.4950999999999999</v>
      </c>
      <c r="G186" s="2">
        <v>8.0699999999999994E-2</v>
      </c>
      <c r="H186" s="2">
        <v>3.3368000000000002</v>
      </c>
      <c r="I186" s="2">
        <v>3.6534</v>
      </c>
      <c r="J186" s="2">
        <v>14.2128</v>
      </c>
      <c r="K186" s="2">
        <v>0.3125</v>
      </c>
      <c r="L186" s="2">
        <v>13.600199999999999</v>
      </c>
      <c r="M186" s="2">
        <v>14.8255</v>
      </c>
      <c r="O186">
        <f t="shared" si="108"/>
        <v>14.2128</v>
      </c>
      <c r="P186">
        <f t="shared" si="109"/>
        <v>13.600199999999999</v>
      </c>
      <c r="Q186">
        <f t="shared" si="109"/>
        <v>14.8255</v>
      </c>
      <c r="S186" t="str">
        <f t="shared" si="110"/>
        <v>14.21 (13.60 to 14.83)</v>
      </c>
    </row>
    <row r="187" spans="1:19" ht="17.25" thickBot="1" x14ac:dyDescent="0.35">
      <c r="A187" s="6"/>
      <c r="B187" s="13" t="s">
        <v>132</v>
      </c>
      <c r="C187" s="2">
        <v>17158</v>
      </c>
      <c r="D187" s="2">
        <v>7439164</v>
      </c>
      <c r="E187" s="2">
        <v>81523</v>
      </c>
      <c r="F187" s="2">
        <v>24.590900000000001</v>
      </c>
      <c r="G187" s="2">
        <v>0.19059999999999999</v>
      </c>
      <c r="H187" s="2">
        <v>24.217099999999999</v>
      </c>
      <c r="I187" s="2">
        <v>24.964600000000001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3">
        <v>1</v>
      </c>
      <c r="C188" s="2">
        <v>5699</v>
      </c>
      <c r="D188" s="2">
        <v>2533973</v>
      </c>
      <c r="E188" s="2">
        <v>43400</v>
      </c>
      <c r="F188" s="2">
        <v>8.3763000000000005</v>
      </c>
      <c r="G188" s="2">
        <v>0.1258</v>
      </c>
      <c r="H188" s="2">
        <v>8.1295000000000002</v>
      </c>
      <c r="I188" s="2">
        <v>8.6229999999999993</v>
      </c>
      <c r="J188" s="2">
        <v>34.598399999999998</v>
      </c>
      <c r="K188" s="2">
        <v>0.44209999999999999</v>
      </c>
      <c r="L188" s="2">
        <v>33.731499999999997</v>
      </c>
      <c r="M188" s="2">
        <v>35.465299999999999</v>
      </c>
      <c r="O188">
        <f t="shared" ref="O188:O190" si="111">J188</f>
        <v>34.598399999999998</v>
      </c>
      <c r="P188">
        <f t="shared" ref="P188:Q190" si="112">L188</f>
        <v>33.731499999999997</v>
      </c>
      <c r="Q188">
        <f t="shared" si="112"/>
        <v>35.465299999999999</v>
      </c>
      <c r="S188" t="str">
        <f t="shared" ref="S188:S190" si="113">TEXT(O188,"0.00")&amp;" ("&amp;TEXT(P188,"0.00")&amp;" to "&amp;TEXT(Q188,"0.00")&amp;")"</f>
        <v>34.60 (33.73 to 35.47)</v>
      </c>
    </row>
    <row r="189" spans="1:19" ht="17.25" thickBot="1" x14ac:dyDescent="0.35">
      <c r="A189" s="6"/>
      <c r="B189" s="13">
        <v>2</v>
      </c>
      <c r="C189" s="2">
        <v>8298</v>
      </c>
      <c r="D189" s="2">
        <v>3620905</v>
      </c>
      <c r="E189" s="2">
        <v>52550</v>
      </c>
      <c r="F189" s="2">
        <v>11.969200000000001</v>
      </c>
      <c r="G189" s="2">
        <v>0.14940000000000001</v>
      </c>
      <c r="H189" s="2">
        <v>11.676399999999999</v>
      </c>
      <c r="I189" s="2">
        <v>12.2621</v>
      </c>
      <c r="J189" s="2">
        <v>49.4392</v>
      </c>
      <c r="K189" s="2">
        <v>0.4723</v>
      </c>
      <c r="L189" s="2">
        <v>48.513100000000001</v>
      </c>
      <c r="M189" s="2">
        <v>50.365200000000002</v>
      </c>
      <c r="O189">
        <f t="shared" si="111"/>
        <v>49.4392</v>
      </c>
      <c r="P189">
        <f t="shared" si="112"/>
        <v>48.513100000000001</v>
      </c>
      <c r="Q189">
        <f t="shared" si="112"/>
        <v>50.365200000000002</v>
      </c>
      <c r="S189" t="str">
        <f t="shared" si="113"/>
        <v>49.44 (48.51 to 50.37)</v>
      </c>
    </row>
    <row r="190" spans="1:19" ht="17.25" thickBot="1" x14ac:dyDescent="0.35">
      <c r="A190" s="6"/>
      <c r="B190" s="13">
        <v>3</v>
      </c>
      <c r="C190" s="2">
        <v>3162</v>
      </c>
      <c r="D190" s="2">
        <v>1169081</v>
      </c>
      <c r="E190" s="2">
        <v>25531</v>
      </c>
      <c r="F190" s="2">
        <v>3.8645</v>
      </c>
      <c r="G190" s="2">
        <v>8.3500000000000005E-2</v>
      </c>
      <c r="H190" s="2">
        <v>3.7008000000000001</v>
      </c>
      <c r="I190" s="2">
        <v>4.0282</v>
      </c>
      <c r="J190" s="2">
        <v>15.962400000000001</v>
      </c>
      <c r="K190" s="2">
        <v>0.3221</v>
      </c>
      <c r="L190" s="2">
        <v>15.3309</v>
      </c>
      <c r="M190" s="2">
        <v>16.593900000000001</v>
      </c>
      <c r="O190">
        <f t="shared" si="111"/>
        <v>15.962400000000001</v>
      </c>
      <c r="P190">
        <f t="shared" si="112"/>
        <v>15.3309</v>
      </c>
      <c r="Q190">
        <f t="shared" si="112"/>
        <v>16.593900000000001</v>
      </c>
      <c r="S190" t="str">
        <f t="shared" si="113"/>
        <v>15.96 (15.33 to 16.59)</v>
      </c>
    </row>
    <row r="191" spans="1:19" ht="17.25" thickBot="1" x14ac:dyDescent="0.35">
      <c r="A191" s="6"/>
      <c r="B191" s="13" t="s">
        <v>132</v>
      </c>
      <c r="C191" s="2">
        <v>17159</v>
      </c>
      <c r="D191" s="2">
        <v>7323958</v>
      </c>
      <c r="E191" s="2">
        <v>78593</v>
      </c>
      <c r="F191" s="2">
        <v>24.21</v>
      </c>
      <c r="G191" s="2">
        <v>0.19209999999999999</v>
      </c>
      <c r="H191" s="2">
        <v>23.833300000000001</v>
      </c>
      <c r="I191" s="2">
        <v>24.5868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3">
        <v>1</v>
      </c>
      <c r="C192" s="2">
        <v>4766</v>
      </c>
      <c r="D192" s="2">
        <v>2153197</v>
      </c>
      <c r="E192" s="2">
        <v>39635</v>
      </c>
      <c r="F192" s="2">
        <v>7.1176000000000004</v>
      </c>
      <c r="G192" s="2">
        <v>0.1212</v>
      </c>
      <c r="H192" s="2">
        <v>6.88</v>
      </c>
      <c r="I192" s="2">
        <v>7.3552</v>
      </c>
      <c r="J192" s="2">
        <v>27.949400000000001</v>
      </c>
      <c r="K192" s="2">
        <v>0.4143</v>
      </c>
      <c r="L192" s="2">
        <v>27.1371</v>
      </c>
      <c r="M192" s="2">
        <v>28.761700000000001</v>
      </c>
      <c r="O192">
        <f t="shared" ref="O192:O194" si="114">J192</f>
        <v>27.949400000000001</v>
      </c>
      <c r="P192">
        <f t="shared" ref="P192:Q194" si="115">L192</f>
        <v>27.1371</v>
      </c>
      <c r="Q192">
        <f t="shared" si="115"/>
        <v>28.761700000000001</v>
      </c>
      <c r="S192" t="str">
        <f t="shared" ref="S192:S194" si="116">TEXT(O192,"0.00")&amp;" ("&amp;TEXT(P192,"0.00")&amp;" to "&amp;TEXT(Q192,"0.00")&amp;")"</f>
        <v>27.95 (27.14 to 28.76)</v>
      </c>
    </row>
    <row r="193" spans="1:19" ht="17.25" thickBot="1" x14ac:dyDescent="0.35">
      <c r="A193" s="6"/>
      <c r="B193" s="13">
        <v>2</v>
      </c>
      <c r="C193" s="2">
        <v>8435</v>
      </c>
      <c r="D193" s="2">
        <v>3929016</v>
      </c>
      <c r="E193" s="2">
        <v>56020</v>
      </c>
      <c r="F193" s="2">
        <v>12.9877</v>
      </c>
      <c r="G193" s="2">
        <v>0.15859999999999999</v>
      </c>
      <c r="H193" s="2">
        <v>12.6767</v>
      </c>
      <c r="I193" s="2">
        <v>13.2988</v>
      </c>
      <c r="J193" s="2">
        <v>51.000300000000003</v>
      </c>
      <c r="K193" s="2">
        <v>0.4642</v>
      </c>
      <c r="L193" s="2">
        <v>50.09</v>
      </c>
      <c r="M193" s="2">
        <v>51.910499999999999</v>
      </c>
      <c r="O193">
        <f t="shared" si="114"/>
        <v>51.000300000000003</v>
      </c>
      <c r="P193">
        <f t="shared" si="115"/>
        <v>50.09</v>
      </c>
      <c r="Q193">
        <f t="shared" si="115"/>
        <v>51.910499999999999</v>
      </c>
      <c r="S193" t="str">
        <f t="shared" si="116"/>
        <v>51.00 (50.09 to 51.91)</v>
      </c>
    </row>
    <row r="194" spans="1:19" ht="17.25" thickBot="1" x14ac:dyDescent="0.35">
      <c r="A194" s="6"/>
      <c r="B194" s="13">
        <v>3</v>
      </c>
      <c r="C194" s="2">
        <v>3957</v>
      </c>
      <c r="D194" s="2">
        <v>1621699</v>
      </c>
      <c r="E194" s="2">
        <v>32901</v>
      </c>
      <c r="F194" s="2">
        <v>5.3606999999999996</v>
      </c>
      <c r="G194" s="2">
        <v>0.1036</v>
      </c>
      <c r="H194" s="2">
        <v>5.1574999999999998</v>
      </c>
      <c r="I194" s="2">
        <v>5.5637999999999996</v>
      </c>
      <c r="J194" s="2">
        <v>21.0503</v>
      </c>
      <c r="K194" s="2">
        <v>0.37019999999999997</v>
      </c>
      <c r="L194" s="2">
        <v>20.324400000000001</v>
      </c>
      <c r="M194" s="2">
        <v>21.776299999999999</v>
      </c>
      <c r="O194">
        <f t="shared" si="114"/>
        <v>21.0503</v>
      </c>
      <c r="P194">
        <f t="shared" si="115"/>
        <v>20.324400000000001</v>
      </c>
      <c r="Q194">
        <f t="shared" si="115"/>
        <v>21.776299999999999</v>
      </c>
      <c r="S194" t="str">
        <f t="shared" si="116"/>
        <v>21.05 (20.32 to 21.78)</v>
      </c>
    </row>
    <row r="195" spans="1:19" ht="17.25" thickBot="1" x14ac:dyDescent="0.35">
      <c r="A195" s="6"/>
      <c r="B195" s="13" t="s">
        <v>132</v>
      </c>
      <c r="C195" s="2">
        <v>17158</v>
      </c>
      <c r="D195" s="2">
        <v>7703912</v>
      </c>
      <c r="E195" s="2">
        <v>83068</v>
      </c>
      <c r="F195" s="2">
        <v>25.466000000000001</v>
      </c>
      <c r="G195" s="2">
        <v>0.2084</v>
      </c>
      <c r="H195" s="2">
        <v>25.057300000000001</v>
      </c>
      <c r="I195" s="2">
        <v>25.874700000000001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3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17">J196</f>
        <v>0</v>
      </c>
      <c r="P196">
        <f t="shared" ref="P196:Q198" si="118">L196</f>
        <v>0</v>
      </c>
      <c r="Q196">
        <f t="shared" si="118"/>
        <v>0</v>
      </c>
      <c r="S196" t="str">
        <f t="shared" ref="S196:S198" si="11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3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17"/>
        <v>0</v>
      </c>
      <c r="P197">
        <f t="shared" si="118"/>
        <v>0</v>
      </c>
      <c r="Q197">
        <f t="shared" si="118"/>
        <v>0</v>
      </c>
      <c r="S197" t="str">
        <f t="shared" si="119"/>
        <v>0.00 (0.00 to 0.00)</v>
      </c>
    </row>
    <row r="198" spans="1:19" ht="17.25" thickBot="1" x14ac:dyDescent="0.35">
      <c r="A198" s="6"/>
      <c r="B198" s="13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17"/>
        <v>0</v>
      </c>
      <c r="P198">
        <f t="shared" si="118"/>
        <v>0</v>
      </c>
      <c r="Q198">
        <f t="shared" si="118"/>
        <v>0</v>
      </c>
      <c r="S198" t="str">
        <f t="shared" si="119"/>
        <v>0.00 (0.00 to 0.00)</v>
      </c>
    </row>
    <row r="199" spans="1:19" x14ac:dyDescent="0.3">
      <c r="A199" s="6"/>
      <c r="B199" s="16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17" t="s">
        <v>208</v>
      </c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</row>
    <row r="202" spans="1:19" ht="33" customHeight="1" x14ac:dyDescent="0.3">
      <c r="A202" s="18" t="s">
        <v>75</v>
      </c>
      <c r="B202" s="20" t="s">
        <v>12</v>
      </c>
      <c r="C202" s="20" t="s">
        <v>125</v>
      </c>
      <c r="D202" s="3" t="s">
        <v>126</v>
      </c>
      <c r="E202" s="3" t="s">
        <v>127</v>
      </c>
      <c r="F202" s="20" t="s">
        <v>129</v>
      </c>
      <c r="G202" s="3" t="s">
        <v>127</v>
      </c>
      <c r="H202" s="20" t="s">
        <v>130</v>
      </c>
      <c r="I202" s="20"/>
      <c r="J202" s="3" t="s">
        <v>149</v>
      </c>
      <c r="K202" s="3" t="s">
        <v>127</v>
      </c>
      <c r="L202" s="20" t="s">
        <v>130</v>
      </c>
      <c r="M202" s="20"/>
    </row>
    <row r="203" spans="1:19" ht="33" x14ac:dyDescent="0.3">
      <c r="A203" s="18"/>
      <c r="B203" s="20"/>
      <c r="C203" s="20"/>
      <c r="D203" s="3" t="s">
        <v>125</v>
      </c>
      <c r="E203" s="3" t="s">
        <v>128</v>
      </c>
      <c r="F203" s="20"/>
      <c r="G203" s="3" t="s">
        <v>129</v>
      </c>
      <c r="H203" s="20" t="s">
        <v>131</v>
      </c>
      <c r="I203" s="20"/>
      <c r="J203" s="3" t="s">
        <v>129</v>
      </c>
      <c r="K203" s="3" t="s">
        <v>150</v>
      </c>
      <c r="L203" s="20" t="s">
        <v>151</v>
      </c>
      <c r="M203" s="20"/>
    </row>
    <row r="204" spans="1:19" ht="17.25" thickBot="1" x14ac:dyDescent="0.35">
      <c r="A204" s="6">
        <v>1</v>
      </c>
      <c r="B204" s="13">
        <v>1</v>
      </c>
      <c r="C204" s="2">
        <v>4882</v>
      </c>
      <c r="D204" s="2">
        <v>2264357</v>
      </c>
      <c r="E204" s="2">
        <v>41950</v>
      </c>
      <c r="F204" s="2">
        <v>7.4850000000000003</v>
      </c>
      <c r="G204" s="2">
        <v>0.1244</v>
      </c>
      <c r="H204" s="2">
        <v>7.2412000000000001</v>
      </c>
      <c r="I204" s="2">
        <v>7.7289000000000003</v>
      </c>
      <c r="J204" s="2">
        <v>29.087199999999999</v>
      </c>
      <c r="K204" s="2">
        <v>0.41930000000000001</v>
      </c>
      <c r="L204" s="2">
        <v>28.265000000000001</v>
      </c>
      <c r="M204" s="2">
        <v>29.909300000000002</v>
      </c>
      <c r="O204">
        <f t="shared" ref="O204:O206" si="120">J204</f>
        <v>29.087199999999999</v>
      </c>
      <c r="P204">
        <f t="shared" ref="P204:Q206" si="121">L204</f>
        <v>28.265000000000001</v>
      </c>
      <c r="Q204">
        <f t="shared" si="121"/>
        <v>29.909300000000002</v>
      </c>
      <c r="S204" t="str">
        <f t="shared" ref="S204:S206" si="122">TEXT(O204,"0.00")&amp;" ("&amp;TEXT(P204,"0.00")&amp;" to "&amp;TEXT(Q204,"0.00")&amp;")"</f>
        <v>29.09 (28.27 to 29.91)</v>
      </c>
    </row>
    <row r="205" spans="1:19" ht="17.25" thickBot="1" x14ac:dyDescent="0.35">
      <c r="A205" s="6"/>
      <c r="B205" s="13">
        <v>2</v>
      </c>
      <c r="C205" s="2">
        <v>10058</v>
      </c>
      <c r="D205" s="2">
        <v>4624063</v>
      </c>
      <c r="E205" s="2">
        <v>66466</v>
      </c>
      <c r="F205" s="2">
        <v>15.285299999999999</v>
      </c>
      <c r="G205" s="2">
        <v>0.17760000000000001</v>
      </c>
      <c r="H205" s="2">
        <v>14.937099999999999</v>
      </c>
      <c r="I205" s="2">
        <v>15.6334</v>
      </c>
      <c r="J205" s="2">
        <v>59.3992</v>
      </c>
      <c r="K205" s="2">
        <v>0.44950000000000001</v>
      </c>
      <c r="L205" s="2">
        <v>58.517899999999997</v>
      </c>
      <c r="M205" s="2">
        <v>60.280500000000004</v>
      </c>
      <c r="O205">
        <f t="shared" si="120"/>
        <v>59.3992</v>
      </c>
      <c r="P205">
        <f t="shared" si="121"/>
        <v>58.517899999999997</v>
      </c>
      <c r="Q205">
        <f t="shared" si="121"/>
        <v>60.280500000000004</v>
      </c>
      <c r="S205" t="str">
        <f t="shared" si="122"/>
        <v>59.40 (58.52 to 60.28)</v>
      </c>
    </row>
    <row r="206" spans="1:19" ht="17.25" thickBot="1" x14ac:dyDescent="0.35">
      <c r="A206" s="6"/>
      <c r="B206" s="13">
        <v>3</v>
      </c>
      <c r="C206" s="2">
        <v>2219</v>
      </c>
      <c r="D206" s="2">
        <v>896302</v>
      </c>
      <c r="E206" s="2">
        <v>23332</v>
      </c>
      <c r="F206" s="2">
        <v>2.9628000000000001</v>
      </c>
      <c r="G206" s="2">
        <v>7.4700000000000003E-2</v>
      </c>
      <c r="H206" s="2">
        <v>2.8163999999999998</v>
      </c>
      <c r="I206" s="2">
        <v>3.1092</v>
      </c>
      <c r="J206" s="2">
        <v>11.5136</v>
      </c>
      <c r="K206" s="2">
        <v>0.28170000000000001</v>
      </c>
      <c r="L206" s="2">
        <v>10.9612</v>
      </c>
      <c r="M206" s="2">
        <v>12.066000000000001</v>
      </c>
      <c r="O206">
        <f t="shared" si="120"/>
        <v>11.5136</v>
      </c>
      <c r="P206">
        <f t="shared" si="121"/>
        <v>10.9612</v>
      </c>
      <c r="Q206">
        <f t="shared" si="121"/>
        <v>12.066000000000001</v>
      </c>
      <c r="S206" t="str">
        <f t="shared" si="122"/>
        <v>11.51 (10.96 to 12.07)</v>
      </c>
    </row>
    <row r="207" spans="1:19" ht="17.25" thickBot="1" x14ac:dyDescent="0.35">
      <c r="A207" s="6"/>
      <c r="B207" s="13" t="s">
        <v>132</v>
      </c>
      <c r="C207" s="2">
        <v>17159</v>
      </c>
      <c r="D207" s="2">
        <v>7784722</v>
      </c>
      <c r="E207" s="2">
        <v>91183</v>
      </c>
      <c r="F207" s="2">
        <v>25.7331</v>
      </c>
      <c r="G207" s="2">
        <v>0.21560000000000001</v>
      </c>
      <c r="H207" s="2">
        <v>25.310400000000001</v>
      </c>
      <c r="I207" s="2">
        <v>26.155799999999999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3">
        <v>1</v>
      </c>
      <c r="C208" s="2">
        <v>4345</v>
      </c>
      <c r="D208" s="2">
        <v>1946116</v>
      </c>
      <c r="E208" s="2">
        <v>36423</v>
      </c>
      <c r="F208" s="2">
        <v>6.4330999999999996</v>
      </c>
      <c r="G208" s="2">
        <v>0.1105</v>
      </c>
      <c r="H208" s="2">
        <v>6.2163000000000004</v>
      </c>
      <c r="I208" s="2">
        <v>6.6497999999999999</v>
      </c>
      <c r="J208" s="2">
        <v>26.160399999999999</v>
      </c>
      <c r="K208" s="2">
        <v>0.40479999999999999</v>
      </c>
      <c r="L208" s="2">
        <v>25.366700000000002</v>
      </c>
      <c r="M208" s="2">
        <v>26.9542</v>
      </c>
      <c r="O208">
        <f t="shared" ref="O208:O210" si="123">J208</f>
        <v>26.160399999999999</v>
      </c>
      <c r="P208">
        <f t="shared" ref="P208:Q210" si="124">L208</f>
        <v>25.366700000000002</v>
      </c>
      <c r="Q208">
        <f t="shared" si="124"/>
        <v>26.9542</v>
      </c>
      <c r="S208" t="str">
        <f t="shared" ref="S208:S210" si="125">TEXT(O208,"0.00")&amp;" ("&amp;TEXT(P208,"0.00")&amp;" to "&amp;TEXT(Q208,"0.00")&amp;")"</f>
        <v>26.16 (25.37 to 26.95)</v>
      </c>
    </row>
    <row r="209" spans="1:19" ht="17.25" thickBot="1" x14ac:dyDescent="0.35">
      <c r="A209" s="6"/>
      <c r="B209" s="13">
        <v>2</v>
      </c>
      <c r="C209" s="2">
        <v>10042</v>
      </c>
      <c r="D209" s="2">
        <v>4400870</v>
      </c>
      <c r="E209" s="2">
        <v>59234</v>
      </c>
      <c r="F209" s="2">
        <v>14.547499999999999</v>
      </c>
      <c r="G209" s="2">
        <v>0.15939999999999999</v>
      </c>
      <c r="H209" s="2">
        <v>14.2349</v>
      </c>
      <c r="I209" s="2">
        <v>14.86</v>
      </c>
      <c r="J209" s="2">
        <v>59.158099999999997</v>
      </c>
      <c r="K209" s="2">
        <v>0.44750000000000001</v>
      </c>
      <c r="L209" s="2">
        <v>58.280700000000003</v>
      </c>
      <c r="M209" s="2">
        <v>60.035600000000002</v>
      </c>
      <c r="O209">
        <f t="shared" si="123"/>
        <v>59.158099999999997</v>
      </c>
      <c r="P209">
        <f t="shared" si="124"/>
        <v>58.280700000000003</v>
      </c>
      <c r="Q209">
        <f t="shared" si="124"/>
        <v>60.035600000000002</v>
      </c>
      <c r="S209" t="str">
        <f t="shared" si="125"/>
        <v>59.16 (58.28 to 60.04)</v>
      </c>
    </row>
    <row r="210" spans="1:19" ht="17.25" thickBot="1" x14ac:dyDescent="0.35">
      <c r="A210" s="6"/>
      <c r="B210" s="13">
        <v>3</v>
      </c>
      <c r="C210" s="2">
        <v>2771</v>
      </c>
      <c r="D210" s="2">
        <v>1092178</v>
      </c>
      <c r="E210" s="2">
        <v>26954</v>
      </c>
      <c r="F210" s="2">
        <v>3.6103000000000001</v>
      </c>
      <c r="G210" s="2">
        <v>8.4199999999999997E-2</v>
      </c>
      <c r="H210" s="2">
        <v>3.4451000000000001</v>
      </c>
      <c r="I210" s="2">
        <v>3.7755000000000001</v>
      </c>
      <c r="J210" s="2">
        <v>14.6815</v>
      </c>
      <c r="K210" s="2">
        <v>0.32429999999999998</v>
      </c>
      <c r="L210" s="2">
        <v>14.045500000000001</v>
      </c>
      <c r="M210" s="2">
        <v>15.317399999999999</v>
      </c>
      <c r="O210">
        <f t="shared" si="123"/>
        <v>14.6815</v>
      </c>
      <c r="P210">
        <f t="shared" si="124"/>
        <v>14.045500000000001</v>
      </c>
      <c r="Q210">
        <f t="shared" si="124"/>
        <v>15.317399999999999</v>
      </c>
      <c r="S210" t="str">
        <f t="shared" si="125"/>
        <v>14.68 (14.05 to 15.32)</v>
      </c>
    </row>
    <row r="211" spans="1:19" ht="17.25" thickBot="1" x14ac:dyDescent="0.35">
      <c r="A211" s="6"/>
      <c r="B211" s="13" t="s">
        <v>132</v>
      </c>
      <c r="C211" s="2">
        <v>17158</v>
      </c>
      <c r="D211" s="2">
        <v>7439164</v>
      </c>
      <c r="E211" s="2">
        <v>81523</v>
      </c>
      <c r="F211" s="2">
        <v>24.590900000000001</v>
      </c>
      <c r="G211" s="2">
        <v>0.19059999999999999</v>
      </c>
      <c r="H211" s="2">
        <v>24.217099999999999</v>
      </c>
      <c r="I211" s="2">
        <v>24.964600000000001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3">
        <v>1</v>
      </c>
      <c r="C212" s="2">
        <v>4207</v>
      </c>
      <c r="D212" s="2">
        <v>1902826</v>
      </c>
      <c r="E212" s="2">
        <v>36139</v>
      </c>
      <c r="F212" s="2">
        <v>6.29</v>
      </c>
      <c r="G212" s="2">
        <v>0.1108</v>
      </c>
      <c r="H212" s="2">
        <v>6.0726000000000004</v>
      </c>
      <c r="I212" s="2">
        <v>6.5072999999999999</v>
      </c>
      <c r="J212" s="2">
        <v>25.980799999999999</v>
      </c>
      <c r="K212" s="2">
        <v>0.40960000000000002</v>
      </c>
      <c r="L212" s="2">
        <v>25.177700000000002</v>
      </c>
      <c r="M212" s="2">
        <v>26.783999999999999</v>
      </c>
      <c r="O212">
        <f t="shared" ref="O212:O214" si="126">J212</f>
        <v>25.980799999999999</v>
      </c>
      <c r="P212">
        <f t="shared" ref="P212:Q214" si="127">L212</f>
        <v>25.177700000000002</v>
      </c>
      <c r="Q212">
        <f t="shared" si="127"/>
        <v>26.783999999999999</v>
      </c>
      <c r="S212" t="str">
        <f t="shared" ref="S212:S214" si="128">TEXT(O212,"0.00")&amp;" ("&amp;TEXT(P212,"0.00")&amp;" to "&amp;TEXT(Q212,"0.00")&amp;")"</f>
        <v>25.98 (25.18 to 26.78)</v>
      </c>
    </row>
    <row r="213" spans="1:19" ht="17.25" thickBot="1" x14ac:dyDescent="0.35">
      <c r="A213" s="6"/>
      <c r="B213" s="13">
        <v>2</v>
      </c>
      <c r="C213" s="2">
        <v>9920</v>
      </c>
      <c r="D213" s="2">
        <v>4295211</v>
      </c>
      <c r="E213" s="2">
        <v>58074</v>
      </c>
      <c r="F213" s="2">
        <v>14.1982</v>
      </c>
      <c r="G213" s="2">
        <v>0.15820000000000001</v>
      </c>
      <c r="H213" s="2">
        <v>13.8881</v>
      </c>
      <c r="I213" s="2">
        <v>14.5084</v>
      </c>
      <c r="J213" s="2">
        <v>58.646000000000001</v>
      </c>
      <c r="K213" s="2">
        <v>0.46229999999999999</v>
      </c>
      <c r="L213" s="2">
        <v>57.7395</v>
      </c>
      <c r="M213" s="2">
        <v>59.552500000000002</v>
      </c>
      <c r="O213">
        <f t="shared" si="126"/>
        <v>58.646000000000001</v>
      </c>
      <c r="P213">
        <f t="shared" si="127"/>
        <v>57.7395</v>
      </c>
      <c r="Q213">
        <f t="shared" si="127"/>
        <v>59.552500000000002</v>
      </c>
      <c r="S213" t="str">
        <f t="shared" si="128"/>
        <v>58.65 (57.74 to 59.55)</v>
      </c>
    </row>
    <row r="214" spans="1:19" ht="17.25" thickBot="1" x14ac:dyDescent="0.35">
      <c r="A214" s="6"/>
      <c r="B214" s="13">
        <v>3</v>
      </c>
      <c r="C214" s="2">
        <v>3032</v>
      </c>
      <c r="D214" s="2">
        <v>1125921</v>
      </c>
      <c r="E214" s="2">
        <v>26189</v>
      </c>
      <c r="F214" s="2">
        <v>3.7218</v>
      </c>
      <c r="G214" s="2">
        <v>8.4099999999999994E-2</v>
      </c>
      <c r="H214" s="2">
        <v>3.5569999999999999</v>
      </c>
      <c r="I214" s="2">
        <v>3.8866999999999998</v>
      </c>
      <c r="J214" s="2">
        <v>15.373100000000001</v>
      </c>
      <c r="K214" s="2">
        <v>0.3231</v>
      </c>
      <c r="L214" s="2">
        <v>14.7395</v>
      </c>
      <c r="M214" s="2">
        <v>16.006799999999998</v>
      </c>
      <c r="O214">
        <f t="shared" si="126"/>
        <v>15.373100000000001</v>
      </c>
      <c r="P214">
        <f t="shared" si="127"/>
        <v>14.7395</v>
      </c>
      <c r="Q214">
        <f t="shared" si="127"/>
        <v>16.006799999999998</v>
      </c>
      <c r="S214" t="str">
        <f t="shared" si="128"/>
        <v>15.37 (14.74 to 16.01)</v>
      </c>
    </row>
    <row r="215" spans="1:19" ht="17.25" thickBot="1" x14ac:dyDescent="0.35">
      <c r="A215" s="6"/>
      <c r="B215" s="13" t="s">
        <v>132</v>
      </c>
      <c r="C215" s="2">
        <v>17159</v>
      </c>
      <c r="D215" s="2">
        <v>7323958</v>
      </c>
      <c r="E215" s="2">
        <v>78593</v>
      </c>
      <c r="F215" s="2">
        <v>24.21</v>
      </c>
      <c r="G215" s="2">
        <v>0.19209999999999999</v>
      </c>
      <c r="H215" s="2">
        <v>23.833300000000001</v>
      </c>
      <c r="I215" s="2">
        <v>24.5868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3">
        <v>1</v>
      </c>
      <c r="C216" s="2">
        <v>4823</v>
      </c>
      <c r="D216" s="2">
        <v>2299746</v>
      </c>
      <c r="E216" s="2">
        <v>40928</v>
      </c>
      <c r="F216" s="2">
        <v>7.6020000000000003</v>
      </c>
      <c r="G216" s="2">
        <v>0.1234</v>
      </c>
      <c r="H216" s="2">
        <v>7.36</v>
      </c>
      <c r="I216" s="2">
        <v>7.8440000000000003</v>
      </c>
      <c r="J216" s="2">
        <v>29.851700000000001</v>
      </c>
      <c r="K216" s="2">
        <v>0.42380000000000001</v>
      </c>
      <c r="L216" s="2">
        <v>29.020700000000001</v>
      </c>
      <c r="M216" s="2">
        <v>30.682600000000001</v>
      </c>
      <c r="O216">
        <f t="shared" ref="O216:O218" si="129">J216</f>
        <v>29.851700000000001</v>
      </c>
      <c r="P216">
        <f t="shared" ref="P216:Q218" si="130">L216</f>
        <v>29.020700000000001</v>
      </c>
      <c r="Q216">
        <f t="shared" si="130"/>
        <v>30.682600000000001</v>
      </c>
      <c r="S216" t="str">
        <f t="shared" ref="S216:S218" si="131">TEXT(O216,"0.00")&amp;" ("&amp;TEXT(P216,"0.00")&amp;" to "&amp;TEXT(Q216,"0.00")&amp;")"</f>
        <v>29.85 (29.02 to 30.68)</v>
      </c>
    </row>
    <row r="217" spans="1:19" ht="17.25" thickBot="1" x14ac:dyDescent="0.35">
      <c r="A217" s="6"/>
      <c r="B217" s="13">
        <v>2</v>
      </c>
      <c r="C217" s="2">
        <v>9531</v>
      </c>
      <c r="D217" s="2">
        <v>4301324</v>
      </c>
      <c r="E217" s="2">
        <v>58660</v>
      </c>
      <c r="F217" s="2">
        <v>14.218400000000001</v>
      </c>
      <c r="G217" s="2">
        <v>0.1646</v>
      </c>
      <c r="H217" s="2">
        <v>13.8956</v>
      </c>
      <c r="I217" s="2">
        <v>14.5412</v>
      </c>
      <c r="J217" s="2">
        <v>55.832999999999998</v>
      </c>
      <c r="K217" s="2">
        <v>0.44269999999999998</v>
      </c>
      <c r="L217" s="2">
        <v>54.965000000000003</v>
      </c>
      <c r="M217" s="2">
        <v>56.701000000000001</v>
      </c>
      <c r="O217">
        <f t="shared" si="129"/>
        <v>55.832999999999998</v>
      </c>
      <c r="P217">
        <f t="shared" si="130"/>
        <v>54.965000000000003</v>
      </c>
      <c r="Q217">
        <f t="shared" si="130"/>
        <v>56.701000000000001</v>
      </c>
      <c r="S217" t="str">
        <f t="shared" si="131"/>
        <v>55.83 (54.97 to 56.70)</v>
      </c>
    </row>
    <row r="218" spans="1:19" ht="17.25" thickBot="1" x14ac:dyDescent="0.35">
      <c r="A218" s="6"/>
      <c r="B218" s="13">
        <v>3</v>
      </c>
      <c r="C218" s="2">
        <v>2804</v>
      </c>
      <c r="D218" s="2">
        <v>1102842</v>
      </c>
      <c r="E218" s="2">
        <v>26253</v>
      </c>
      <c r="F218" s="2">
        <v>3.6455000000000002</v>
      </c>
      <c r="G218" s="2">
        <v>8.4400000000000003E-2</v>
      </c>
      <c r="H218" s="2">
        <v>3.4801000000000002</v>
      </c>
      <c r="I218" s="2">
        <v>3.8109999999999999</v>
      </c>
      <c r="J218" s="2">
        <v>14.315300000000001</v>
      </c>
      <c r="K218" s="2">
        <v>0.312</v>
      </c>
      <c r="L218" s="2">
        <v>13.7036</v>
      </c>
      <c r="M218" s="2">
        <v>14.927099999999999</v>
      </c>
      <c r="O218">
        <f t="shared" si="129"/>
        <v>14.315300000000001</v>
      </c>
      <c r="P218">
        <f t="shared" si="130"/>
        <v>13.7036</v>
      </c>
      <c r="Q218">
        <f t="shared" si="130"/>
        <v>14.927099999999999</v>
      </c>
      <c r="S218" t="str">
        <f t="shared" si="131"/>
        <v>14.32 (13.70 to 14.93)</v>
      </c>
    </row>
    <row r="219" spans="1:19" ht="17.25" thickBot="1" x14ac:dyDescent="0.35">
      <c r="A219" s="6"/>
      <c r="B219" s="13" t="s">
        <v>132</v>
      </c>
      <c r="C219" s="2">
        <v>17158</v>
      </c>
      <c r="D219" s="2">
        <v>7703912</v>
      </c>
      <c r="E219" s="2">
        <v>83068</v>
      </c>
      <c r="F219" s="2">
        <v>25.466000000000001</v>
      </c>
      <c r="G219" s="2">
        <v>0.2084</v>
      </c>
      <c r="H219" s="2">
        <v>25.057300000000001</v>
      </c>
      <c r="I219" s="2">
        <v>25.874700000000001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3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32">J220</f>
        <v>0</v>
      </c>
      <c r="P220">
        <f t="shared" ref="P220:Q222" si="133">L220</f>
        <v>0</v>
      </c>
      <c r="Q220">
        <f t="shared" si="133"/>
        <v>0</v>
      </c>
      <c r="S220" t="str">
        <f t="shared" ref="S220:S222" si="134">TEXT(O220,"0.00")&amp;" ("&amp;TEXT(P220,"0.00")&amp;" to "&amp;TEXT(Q220,"0.00")&amp;")"</f>
        <v>0.00 (0.00 to 0.00)</v>
      </c>
    </row>
    <row r="221" spans="1:19" ht="17.25" thickBot="1" x14ac:dyDescent="0.35">
      <c r="A221" s="6"/>
      <c r="B221" s="13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32"/>
        <v>0</v>
      </c>
      <c r="P221">
        <f t="shared" si="133"/>
        <v>0</v>
      </c>
      <c r="Q221">
        <f t="shared" si="133"/>
        <v>0</v>
      </c>
      <c r="S221" t="str">
        <f t="shared" si="134"/>
        <v>0.00 (0.00 to 0.00)</v>
      </c>
    </row>
    <row r="222" spans="1:19" ht="17.25" thickBot="1" x14ac:dyDescent="0.35">
      <c r="A222" s="6"/>
      <c r="B222" s="13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32"/>
        <v>0</v>
      </c>
      <c r="P222">
        <f t="shared" si="133"/>
        <v>0</v>
      </c>
      <c r="Q222">
        <f t="shared" si="133"/>
        <v>0</v>
      </c>
      <c r="S222" t="str">
        <f t="shared" si="134"/>
        <v>0.00 (0.00 to 0.00)</v>
      </c>
    </row>
    <row r="223" spans="1:19" x14ac:dyDescent="0.3">
      <c r="A223" s="6"/>
      <c r="B223" s="16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17" t="s">
        <v>209</v>
      </c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</row>
    <row r="226" spans="1:19" ht="33" customHeight="1" x14ac:dyDescent="0.3">
      <c r="A226" s="18" t="s">
        <v>75</v>
      </c>
      <c r="B226" s="20" t="s">
        <v>13</v>
      </c>
      <c r="C226" s="20" t="s">
        <v>125</v>
      </c>
      <c r="D226" s="3" t="s">
        <v>126</v>
      </c>
      <c r="E226" s="3" t="s">
        <v>127</v>
      </c>
      <c r="F226" s="20" t="s">
        <v>129</v>
      </c>
      <c r="G226" s="3" t="s">
        <v>127</v>
      </c>
      <c r="H226" s="20" t="s">
        <v>130</v>
      </c>
      <c r="I226" s="20"/>
      <c r="J226" s="3" t="s">
        <v>149</v>
      </c>
      <c r="K226" s="3" t="s">
        <v>127</v>
      </c>
      <c r="L226" s="20" t="s">
        <v>130</v>
      </c>
      <c r="M226" s="20"/>
    </row>
    <row r="227" spans="1:19" ht="33" x14ac:dyDescent="0.3">
      <c r="A227" s="18"/>
      <c r="B227" s="20"/>
      <c r="C227" s="20"/>
      <c r="D227" s="3" t="s">
        <v>125</v>
      </c>
      <c r="E227" s="3" t="s">
        <v>128</v>
      </c>
      <c r="F227" s="20"/>
      <c r="G227" s="3" t="s">
        <v>129</v>
      </c>
      <c r="H227" s="20" t="s">
        <v>131</v>
      </c>
      <c r="I227" s="20"/>
      <c r="J227" s="3" t="s">
        <v>129</v>
      </c>
      <c r="K227" s="3" t="s">
        <v>150</v>
      </c>
      <c r="L227" s="20" t="s">
        <v>151</v>
      </c>
      <c r="M227" s="20"/>
    </row>
    <row r="228" spans="1:19" ht="17.25" thickBot="1" x14ac:dyDescent="0.35">
      <c r="A228" s="6">
        <v>1</v>
      </c>
      <c r="B228" s="13">
        <v>1</v>
      </c>
      <c r="C228" s="2">
        <v>6918</v>
      </c>
      <c r="D228" s="2">
        <v>2915092</v>
      </c>
      <c r="E228" s="2">
        <v>46951</v>
      </c>
      <c r="F228" s="2">
        <v>9.6361000000000008</v>
      </c>
      <c r="G228" s="2">
        <v>0.13600000000000001</v>
      </c>
      <c r="H228" s="2">
        <v>9.3695000000000004</v>
      </c>
      <c r="I228" s="2">
        <v>9.9026999999999994</v>
      </c>
      <c r="J228" s="2">
        <v>37.446300000000001</v>
      </c>
      <c r="K228" s="2">
        <v>0.44219999999999998</v>
      </c>
      <c r="L228" s="2">
        <v>36.579300000000003</v>
      </c>
      <c r="M228" s="2">
        <v>38.313299999999998</v>
      </c>
      <c r="O228">
        <f t="shared" ref="O228:O230" si="135">J228</f>
        <v>37.446300000000001</v>
      </c>
      <c r="P228">
        <f t="shared" ref="P228:Q230" si="136">L228</f>
        <v>36.579300000000003</v>
      </c>
      <c r="Q228">
        <f t="shared" si="136"/>
        <v>38.313299999999998</v>
      </c>
      <c r="S228" t="str">
        <f t="shared" ref="S228:S230" si="137">TEXT(O228,"0.00")&amp;" ("&amp;TEXT(P228,"0.00")&amp;" to "&amp;TEXT(Q228,"0.00")&amp;")"</f>
        <v>37.45 (36.58 to 38.31)</v>
      </c>
    </row>
    <row r="229" spans="1:19" ht="17.25" thickBot="1" x14ac:dyDescent="0.35">
      <c r="A229" s="6"/>
      <c r="B229" s="13">
        <v>2</v>
      </c>
      <c r="C229" s="2">
        <v>6634</v>
      </c>
      <c r="D229" s="2">
        <v>3210881</v>
      </c>
      <c r="E229" s="2">
        <v>54965</v>
      </c>
      <c r="F229" s="2">
        <v>10.613899999999999</v>
      </c>
      <c r="G229" s="2">
        <v>0.15340000000000001</v>
      </c>
      <c r="H229" s="2">
        <v>10.313000000000001</v>
      </c>
      <c r="I229" s="2">
        <v>10.9147</v>
      </c>
      <c r="J229" s="2">
        <v>41.245899999999999</v>
      </c>
      <c r="K229" s="2">
        <v>0.4597</v>
      </c>
      <c r="L229" s="2">
        <v>40.3446</v>
      </c>
      <c r="M229" s="2">
        <v>42.147300000000001</v>
      </c>
      <c r="O229">
        <f t="shared" si="135"/>
        <v>41.245899999999999</v>
      </c>
      <c r="P229">
        <f t="shared" si="136"/>
        <v>40.3446</v>
      </c>
      <c r="Q229">
        <f t="shared" si="136"/>
        <v>42.147300000000001</v>
      </c>
      <c r="S229" t="str">
        <f t="shared" si="137"/>
        <v>41.25 (40.34 to 42.15)</v>
      </c>
    </row>
    <row r="230" spans="1:19" ht="17.25" thickBot="1" x14ac:dyDescent="0.35">
      <c r="A230" s="6"/>
      <c r="B230" s="13">
        <v>3</v>
      </c>
      <c r="C230" s="2">
        <v>3607</v>
      </c>
      <c r="D230" s="2">
        <v>1658749</v>
      </c>
      <c r="E230" s="2">
        <v>34081</v>
      </c>
      <c r="F230" s="2">
        <v>5.4831000000000003</v>
      </c>
      <c r="G230" s="2">
        <v>0.10639999999999999</v>
      </c>
      <c r="H230" s="2">
        <v>5.2746000000000004</v>
      </c>
      <c r="I230" s="2">
        <v>5.6917</v>
      </c>
      <c r="J230" s="2">
        <v>21.307700000000001</v>
      </c>
      <c r="K230" s="2">
        <v>0.37880000000000003</v>
      </c>
      <c r="L230" s="2">
        <v>20.565100000000001</v>
      </c>
      <c r="M230" s="2">
        <v>22.0504</v>
      </c>
      <c r="O230">
        <f t="shared" si="135"/>
        <v>21.307700000000001</v>
      </c>
      <c r="P230">
        <f t="shared" si="136"/>
        <v>20.565100000000001</v>
      </c>
      <c r="Q230">
        <f t="shared" si="136"/>
        <v>22.0504</v>
      </c>
      <c r="S230" t="str">
        <f t="shared" si="137"/>
        <v>21.31 (20.57 to 22.05)</v>
      </c>
    </row>
    <row r="231" spans="1:19" ht="17.25" thickBot="1" x14ac:dyDescent="0.35">
      <c r="A231" s="6"/>
      <c r="B231" s="13" t="s">
        <v>132</v>
      </c>
      <c r="C231" s="2">
        <v>17159</v>
      </c>
      <c r="D231" s="2">
        <v>7784722</v>
      </c>
      <c r="E231" s="2">
        <v>91183</v>
      </c>
      <c r="F231" s="2">
        <v>25.7331</v>
      </c>
      <c r="G231" s="2">
        <v>0.21560000000000001</v>
      </c>
      <c r="H231" s="2">
        <v>25.310400000000001</v>
      </c>
      <c r="I231" s="2">
        <v>26.155799999999999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3">
        <v>1</v>
      </c>
      <c r="C232" s="2">
        <v>6820</v>
      </c>
      <c r="D232" s="2">
        <v>2678765</v>
      </c>
      <c r="E232" s="2">
        <v>42140</v>
      </c>
      <c r="F232" s="2">
        <v>8.8549000000000007</v>
      </c>
      <c r="G232" s="2">
        <v>0.124</v>
      </c>
      <c r="H232" s="2">
        <v>8.6118000000000006</v>
      </c>
      <c r="I232" s="2">
        <v>9.0980000000000008</v>
      </c>
      <c r="J232" s="2">
        <v>36.009</v>
      </c>
      <c r="K232" s="2">
        <v>0.43259999999999998</v>
      </c>
      <c r="L232" s="2">
        <v>35.160699999999999</v>
      </c>
      <c r="M232" s="2">
        <v>36.857199999999999</v>
      </c>
      <c r="O232">
        <f t="shared" ref="O232:O234" si="138">J232</f>
        <v>36.009</v>
      </c>
      <c r="P232">
        <f t="shared" ref="P232:Q234" si="139">L232</f>
        <v>35.160699999999999</v>
      </c>
      <c r="Q232">
        <f t="shared" si="139"/>
        <v>36.857199999999999</v>
      </c>
      <c r="S232" t="str">
        <f t="shared" ref="S232:S234" si="140">TEXT(O232,"0.00")&amp;" ("&amp;TEXT(P232,"0.00")&amp;" to "&amp;TEXT(Q232,"0.00")&amp;")"</f>
        <v>36.01 (35.16 to 36.86)</v>
      </c>
    </row>
    <row r="233" spans="1:19" ht="17.25" thickBot="1" x14ac:dyDescent="0.35">
      <c r="A233" s="6"/>
      <c r="B233" s="13">
        <v>2</v>
      </c>
      <c r="C233" s="2">
        <v>6393</v>
      </c>
      <c r="D233" s="2">
        <v>2978681</v>
      </c>
      <c r="E233" s="2">
        <v>49103</v>
      </c>
      <c r="F233" s="2">
        <v>9.8462999999999994</v>
      </c>
      <c r="G233" s="2">
        <v>0.1391</v>
      </c>
      <c r="H233" s="2">
        <v>9.5736000000000008</v>
      </c>
      <c r="I233" s="2">
        <v>10.119</v>
      </c>
      <c r="J233" s="2">
        <v>40.040500000000002</v>
      </c>
      <c r="K233" s="2">
        <v>0.45850000000000002</v>
      </c>
      <c r="L233" s="2">
        <v>39.141500000000001</v>
      </c>
      <c r="M233" s="2">
        <v>40.939599999999999</v>
      </c>
      <c r="O233">
        <f t="shared" si="138"/>
        <v>40.040500000000002</v>
      </c>
      <c r="P233">
        <f t="shared" si="139"/>
        <v>39.141500000000001</v>
      </c>
      <c r="Q233">
        <f t="shared" si="139"/>
        <v>40.939599999999999</v>
      </c>
      <c r="S233" t="str">
        <f t="shared" si="140"/>
        <v>40.04 (39.14 to 40.94)</v>
      </c>
    </row>
    <row r="234" spans="1:19" ht="17.25" thickBot="1" x14ac:dyDescent="0.35">
      <c r="A234" s="6"/>
      <c r="B234" s="13">
        <v>3</v>
      </c>
      <c r="C234" s="2">
        <v>3945</v>
      </c>
      <c r="D234" s="2">
        <v>1781718</v>
      </c>
      <c r="E234" s="2">
        <v>35440</v>
      </c>
      <c r="F234" s="2">
        <v>5.8895999999999997</v>
      </c>
      <c r="G234" s="2">
        <v>0.1091</v>
      </c>
      <c r="H234" s="2">
        <v>5.6756000000000002</v>
      </c>
      <c r="I234" s="2">
        <v>6.1036000000000001</v>
      </c>
      <c r="J234" s="2">
        <v>23.950500000000002</v>
      </c>
      <c r="K234" s="2">
        <v>0.40389999999999998</v>
      </c>
      <c r="L234" s="2">
        <v>23.1585</v>
      </c>
      <c r="M234" s="2">
        <v>24.7425</v>
      </c>
      <c r="O234">
        <f t="shared" si="138"/>
        <v>23.950500000000002</v>
      </c>
      <c r="P234">
        <f t="shared" si="139"/>
        <v>23.1585</v>
      </c>
      <c r="Q234">
        <f t="shared" si="139"/>
        <v>24.7425</v>
      </c>
      <c r="S234" t="str">
        <f t="shared" si="140"/>
        <v>23.95 (23.16 to 24.74)</v>
      </c>
    </row>
    <row r="235" spans="1:19" ht="17.25" thickBot="1" x14ac:dyDescent="0.35">
      <c r="A235" s="6"/>
      <c r="B235" s="13" t="s">
        <v>132</v>
      </c>
      <c r="C235" s="2">
        <v>17158</v>
      </c>
      <c r="D235" s="2">
        <v>7439164</v>
      </c>
      <c r="E235" s="2">
        <v>81523</v>
      </c>
      <c r="F235" s="2">
        <v>24.590900000000001</v>
      </c>
      <c r="G235" s="2">
        <v>0.19059999999999999</v>
      </c>
      <c r="H235" s="2">
        <v>24.217099999999999</v>
      </c>
      <c r="I235" s="2">
        <v>24.964600000000001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3">
        <v>1</v>
      </c>
      <c r="C236" s="2">
        <v>6642</v>
      </c>
      <c r="D236" s="2">
        <v>2529134</v>
      </c>
      <c r="E236" s="2">
        <v>39903</v>
      </c>
      <c r="F236" s="2">
        <v>8.3603000000000005</v>
      </c>
      <c r="G236" s="2">
        <v>0.1222</v>
      </c>
      <c r="H236" s="2">
        <v>8.1206999999999994</v>
      </c>
      <c r="I236" s="2">
        <v>8.5998999999999999</v>
      </c>
      <c r="J236" s="2">
        <v>34.532299999999999</v>
      </c>
      <c r="K236" s="2">
        <v>0.42780000000000001</v>
      </c>
      <c r="L236" s="2">
        <v>33.693399999999997</v>
      </c>
      <c r="M236" s="2">
        <v>35.371200000000002</v>
      </c>
      <c r="O236">
        <f t="shared" ref="O236:O238" si="141">J236</f>
        <v>34.532299999999999</v>
      </c>
      <c r="P236">
        <f t="shared" ref="P236:Q238" si="142">L236</f>
        <v>33.693399999999997</v>
      </c>
      <c r="Q236">
        <f t="shared" si="142"/>
        <v>35.371200000000002</v>
      </c>
      <c r="S236" t="str">
        <f t="shared" ref="S236:S238" si="143">TEXT(O236,"0.00")&amp;" ("&amp;TEXT(P236,"0.00")&amp;" to "&amp;TEXT(Q236,"0.00")&amp;")"</f>
        <v>34.53 (33.69 to 35.37)</v>
      </c>
    </row>
    <row r="237" spans="1:19" ht="17.25" thickBot="1" x14ac:dyDescent="0.35">
      <c r="A237" s="6"/>
      <c r="B237" s="13">
        <v>2</v>
      </c>
      <c r="C237" s="2">
        <v>6018</v>
      </c>
      <c r="D237" s="2">
        <v>2730398</v>
      </c>
      <c r="E237" s="2">
        <v>45785</v>
      </c>
      <c r="F237" s="2">
        <v>9.0256000000000007</v>
      </c>
      <c r="G237" s="2">
        <v>0.13220000000000001</v>
      </c>
      <c r="H237" s="2">
        <v>8.7664000000000009</v>
      </c>
      <c r="I237" s="2">
        <v>9.2847000000000008</v>
      </c>
      <c r="J237" s="2">
        <v>37.2804</v>
      </c>
      <c r="K237" s="2">
        <v>0.44929999999999998</v>
      </c>
      <c r="L237" s="2">
        <v>36.3994</v>
      </c>
      <c r="M237" s="2">
        <v>38.161299999999997</v>
      </c>
      <c r="O237">
        <f t="shared" si="141"/>
        <v>37.2804</v>
      </c>
      <c r="P237">
        <f t="shared" si="142"/>
        <v>36.3994</v>
      </c>
      <c r="Q237">
        <f t="shared" si="142"/>
        <v>38.161299999999997</v>
      </c>
      <c r="S237" t="str">
        <f t="shared" si="143"/>
        <v>37.28 (36.40 to 38.16)</v>
      </c>
    </row>
    <row r="238" spans="1:19" ht="17.25" thickBot="1" x14ac:dyDescent="0.35">
      <c r="A238" s="6"/>
      <c r="B238" s="13">
        <v>3</v>
      </c>
      <c r="C238" s="2">
        <v>4499</v>
      </c>
      <c r="D238" s="2">
        <v>2064427</v>
      </c>
      <c r="E238" s="2">
        <v>37593</v>
      </c>
      <c r="F238" s="2">
        <v>6.8242000000000003</v>
      </c>
      <c r="G238" s="2">
        <v>0.1138</v>
      </c>
      <c r="H238" s="2">
        <v>6.601</v>
      </c>
      <c r="I238" s="2">
        <v>7.0472999999999999</v>
      </c>
      <c r="J238" s="2">
        <v>28.1873</v>
      </c>
      <c r="K238" s="2">
        <v>0.41789999999999999</v>
      </c>
      <c r="L238" s="2">
        <v>27.367899999999999</v>
      </c>
      <c r="M238" s="2">
        <v>29.006699999999999</v>
      </c>
      <c r="O238">
        <f t="shared" si="141"/>
        <v>28.1873</v>
      </c>
      <c r="P238">
        <f t="shared" si="142"/>
        <v>27.367899999999999</v>
      </c>
      <c r="Q238">
        <f t="shared" si="142"/>
        <v>29.006699999999999</v>
      </c>
      <c r="S238" t="str">
        <f t="shared" si="143"/>
        <v>28.19 (27.37 to 29.01)</v>
      </c>
    </row>
    <row r="239" spans="1:19" ht="17.25" thickBot="1" x14ac:dyDescent="0.35">
      <c r="A239" s="6"/>
      <c r="B239" s="13" t="s">
        <v>132</v>
      </c>
      <c r="C239" s="2">
        <v>17159</v>
      </c>
      <c r="D239" s="2">
        <v>7323958</v>
      </c>
      <c r="E239" s="2">
        <v>78593</v>
      </c>
      <c r="F239" s="2">
        <v>24.21</v>
      </c>
      <c r="G239" s="2">
        <v>0.19209999999999999</v>
      </c>
      <c r="H239" s="2">
        <v>23.833300000000001</v>
      </c>
      <c r="I239" s="2">
        <v>24.5868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3">
        <v>1</v>
      </c>
      <c r="C240" s="2">
        <v>6528</v>
      </c>
      <c r="D240" s="2">
        <v>2616079</v>
      </c>
      <c r="E240" s="2">
        <v>42755</v>
      </c>
      <c r="F240" s="2">
        <v>8.6477000000000004</v>
      </c>
      <c r="G240" s="2">
        <v>0.13120000000000001</v>
      </c>
      <c r="H240" s="2">
        <v>8.3903999999999996</v>
      </c>
      <c r="I240" s="2">
        <v>8.9049999999999994</v>
      </c>
      <c r="J240" s="2">
        <v>33.957799999999999</v>
      </c>
      <c r="K240" s="2">
        <v>0.43530000000000002</v>
      </c>
      <c r="L240" s="2">
        <v>33.104300000000002</v>
      </c>
      <c r="M240" s="2">
        <v>34.811300000000003</v>
      </c>
      <c r="O240">
        <f t="shared" ref="O240:O242" si="144">J240</f>
        <v>33.957799999999999</v>
      </c>
      <c r="P240">
        <f t="shared" ref="P240:Q242" si="145">L240</f>
        <v>33.104300000000002</v>
      </c>
      <c r="Q240">
        <f t="shared" si="145"/>
        <v>34.811300000000003</v>
      </c>
      <c r="S240" t="str">
        <f t="shared" ref="S240:S242" si="146">TEXT(O240,"0.00")&amp;" ("&amp;TEXT(P240,"0.00")&amp;" to "&amp;TEXT(Q240,"0.00")&amp;")"</f>
        <v>33.96 (33.10 to 34.81)</v>
      </c>
    </row>
    <row r="241" spans="1:19" ht="17.25" thickBot="1" x14ac:dyDescent="0.35">
      <c r="A241" s="6"/>
      <c r="B241" s="13">
        <v>2</v>
      </c>
      <c r="C241" s="2">
        <v>5953</v>
      </c>
      <c r="D241" s="2">
        <v>2820419</v>
      </c>
      <c r="E241" s="2">
        <v>46708</v>
      </c>
      <c r="F241" s="2">
        <v>9.3231999999999999</v>
      </c>
      <c r="G241" s="2">
        <v>0.13869999999999999</v>
      </c>
      <c r="H241" s="2">
        <v>9.0511999999999997</v>
      </c>
      <c r="I241" s="2">
        <v>9.5952000000000002</v>
      </c>
      <c r="J241" s="2">
        <v>36.610199999999999</v>
      </c>
      <c r="K241" s="2">
        <v>0.45179999999999998</v>
      </c>
      <c r="L241" s="2">
        <v>35.724200000000003</v>
      </c>
      <c r="M241" s="2">
        <v>37.496200000000002</v>
      </c>
      <c r="O241">
        <f t="shared" si="144"/>
        <v>36.610199999999999</v>
      </c>
      <c r="P241">
        <f t="shared" si="145"/>
        <v>35.724200000000003</v>
      </c>
      <c r="Q241">
        <f t="shared" si="145"/>
        <v>37.496200000000002</v>
      </c>
      <c r="S241" t="str">
        <f t="shared" si="146"/>
        <v>36.61 (35.72 to 37.50)</v>
      </c>
    </row>
    <row r="242" spans="1:19" ht="17.25" thickBot="1" x14ac:dyDescent="0.35">
      <c r="A242" s="6"/>
      <c r="B242" s="13">
        <v>3</v>
      </c>
      <c r="C242" s="2">
        <v>4677</v>
      </c>
      <c r="D242" s="2">
        <v>2267414</v>
      </c>
      <c r="E242" s="2">
        <v>41221</v>
      </c>
      <c r="F242" s="2">
        <v>7.4950999999999999</v>
      </c>
      <c r="G242" s="2">
        <v>0.1235</v>
      </c>
      <c r="H242" s="2">
        <v>7.2530000000000001</v>
      </c>
      <c r="I242" s="2">
        <v>7.7373000000000003</v>
      </c>
      <c r="J242" s="2">
        <v>29.431999999999999</v>
      </c>
      <c r="K242" s="2">
        <v>0.42220000000000002</v>
      </c>
      <c r="L242" s="2">
        <v>28.604199999999999</v>
      </c>
      <c r="M242" s="2">
        <v>30.259799999999998</v>
      </c>
      <c r="O242">
        <f t="shared" si="144"/>
        <v>29.431999999999999</v>
      </c>
      <c r="P242">
        <f t="shared" si="145"/>
        <v>28.604199999999999</v>
      </c>
      <c r="Q242">
        <f t="shared" si="145"/>
        <v>30.259799999999998</v>
      </c>
      <c r="S242" t="str">
        <f t="shared" si="146"/>
        <v>29.43 (28.60 to 30.26)</v>
      </c>
    </row>
    <row r="243" spans="1:19" ht="17.25" thickBot="1" x14ac:dyDescent="0.35">
      <c r="A243" s="6"/>
      <c r="B243" s="13" t="s">
        <v>132</v>
      </c>
      <c r="C243" s="2">
        <v>17158</v>
      </c>
      <c r="D243" s="2">
        <v>7703912</v>
      </c>
      <c r="E243" s="2">
        <v>83068</v>
      </c>
      <c r="F243" s="2">
        <v>25.466000000000001</v>
      </c>
      <c r="G243" s="2">
        <v>0.2084</v>
      </c>
      <c r="H243" s="2">
        <v>25.057300000000001</v>
      </c>
      <c r="I243" s="2">
        <v>25.874700000000001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3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47">J244</f>
        <v>0</v>
      </c>
      <c r="P244">
        <f t="shared" ref="P244:Q246" si="148">L244</f>
        <v>0</v>
      </c>
      <c r="Q244">
        <f t="shared" si="148"/>
        <v>0</v>
      </c>
      <c r="S244" t="str">
        <f t="shared" ref="S244:S246" si="14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3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47"/>
        <v>0</v>
      </c>
      <c r="P245">
        <f t="shared" si="148"/>
        <v>0</v>
      </c>
      <c r="Q245">
        <f t="shared" si="148"/>
        <v>0</v>
      </c>
      <c r="S245" t="str">
        <f t="shared" si="149"/>
        <v>0.00 (0.00 to 0.00)</v>
      </c>
    </row>
    <row r="246" spans="1:19" ht="17.25" thickBot="1" x14ac:dyDescent="0.35">
      <c r="A246" s="6"/>
      <c r="B246" s="13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47"/>
        <v>0</v>
      </c>
      <c r="P246">
        <f t="shared" si="148"/>
        <v>0</v>
      </c>
      <c r="Q246">
        <f t="shared" si="148"/>
        <v>0</v>
      </c>
      <c r="S246" t="str">
        <f t="shared" si="149"/>
        <v>0.00 (0.00 to 0.00)</v>
      </c>
    </row>
    <row r="247" spans="1:19" x14ac:dyDescent="0.3">
      <c r="A247" s="6"/>
      <c r="B247" s="16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17" t="s">
        <v>210</v>
      </c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</row>
    <row r="250" spans="1:19" ht="33" customHeight="1" x14ac:dyDescent="0.3">
      <c r="A250" s="18" t="s">
        <v>75</v>
      </c>
      <c r="B250" s="20" t="s">
        <v>14</v>
      </c>
      <c r="C250" s="20" t="s">
        <v>125</v>
      </c>
      <c r="D250" s="3" t="s">
        <v>126</v>
      </c>
      <c r="E250" s="3" t="s">
        <v>127</v>
      </c>
      <c r="F250" s="20" t="s">
        <v>129</v>
      </c>
      <c r="G250" s="3" t="s">
        <v>127</v>
      </c>
      <c r="H250" s="20" t="s">
        <v>130</v>
      </c>
      <c r="I250" s="20"/>
      <c r="J250" s="3" t="s">
        <v>149</v>
      </c>
      <c r="K250" s="3" t="s">
        <v>127</v>
      </c>
      <c r="L250" s="20" t="s">
        <v>130</v>
      </c>
      <c r="M250" s="20"/>
    </row>
    <row r="251" spans="1:19" ht="33" x14ac:dyDescent="0.3">
      <c r="A251" s="18"/>
      <c r="B251" s="20"/>
      <c r="C251" s="20"/>
      <c r="D251" s="3" t="s">
        <v>125</v>
      </c>
      <c r="E251" s="3" t="s">
        <v>128</v>
      </c>
      <c r="F251" s="20"/>
      <c r="G251" s="3" t="s">
        <v>129</v>
      </c>
      <c r="H251" s="20" t="s">
        <v>131</v>
      </c>
      <c r="I251" s="20"/>
      <c r="J251" s="3" t="s">
        <v>129</v>
      </c>
      <c r="K251" s="3" t="s">
        <v>150</v>
      </c>
      <c r="L251" s="20" t="s">
        <v>151</v>
      </c>
      <c r="M251" s="20"/>
    </row>
    <row r="252" spans="1:19" ht="17.25" thickBot="1" x14ac:dyDescent="0.35">
      <c r="A252" s="6">
        <v>1</v>
      </c>
      <c r="B252" s="13">
        <v>0</v>
      </c>
      <c r="C252" s="2">
        <v>14140</v>
      </c>
      <c r="D252" s="2">
        <v>6266156</v>
      </c>
      <c r="E252" s="2">
        <v>80535</v>
      </c>
      <c r="F252" s="2">
        <v>20.7134</v>
      </c>
      <c r="G252" s="2">
        <v>0.20150000000000001</v>
      </c>
      <c r="H252" s="2">
        <v>20.318200000000001</v>
      </c>
      <c r="I252" s="2">
        <v>21.108499999999999</v>
      </c>
      <c r="J252" s="2">
        <v>80.492999999999995</v>
      </c>
      <c r="K252" s="2">
        <v>0.39169999999999999</v>
      </c>
      <c r="L252" s="2">
        <v>79.724900000000005</v>
      </c>
      <c r="M252" s="2">
        <v>81.261099999999999</v>
      </c>
      <c r="O252">
        <f t="shared" ref="O252:O253" si="150">J252</f>
        <v>80.492999999999995</v>
      </c>
      <c r="P252">
        <f t="shared" ref="P252:Q253" si="151">L252</f>
        <v>79.724900000000005</v>
      </c>
      <c r="Q252">
        <f t="shared" si="151"/>
        <v>81.261099999999999</v>
      </c>
      <c r="S252" t="str">
        <f t="shared" ref="S252:S253" si="152">TEXT(O252,"0.00")&amp;" ("&amp;TEXT(P252,"0.00")&amp;" to "&amp;TEXT(Q252,"0.00")&amp;")"</f>
        <v>80.49 (79.72 to 81.26)</v>
      </c>
    </row>
    <row r="253" spans="1:19" ht="17.25" thickBot="1" x14ac:dyDescent="0.35">
      <c r="A253" s="6"/>
      <c r="B253" s="13">
        <v>1</v>
      </c>
      <c r="C253" s="2">
        <v>3019</v>
      </c>
      <c r="D253" s="2">
        <v>1518566</v>
      </c>
      <c r="E253" s="2">
        <v>34720</v>
      </c>
      <c r="F253" s="2">
        <v>5.0198</v>
      </c>
      <c r="G253" s="2">
        <v>0.10879999999999999</v>
      </c>
      <c r="H253" s="2">
        <v>4.8063000000000002</v>
      </c>
      <c r="I253" s="2">
        <v>5.2332000000000001</v>
      </c>
      <c r="J253" s="2">
        <v>19.507000000000001</v>
      </c>
      <c r="K253" s="2">
        <v>0.39169999999999999</v>
      </c>
      <c r="L253" s="2">
        <v>18.738900000000001</v>
      </c>
      <c r="M253" s="2">
        <v>20.275099999999998</v>
      </c>
      <c r="O253">
        <f t="shared" si="150"/>
        <v>19.507000000000001</v>
      </c>
      <c r="P253">
        <f t="shared" si="151"/>
        <v>18.738900000000001</v>
      </c>
      <c r="Q253">
        <f t="shared" si="151"/>
        <v>20.275099999999998</v>
      </c>
      <c r="S253" t="str">
        <f t="shared" si="152"/>
        <v>19.51 (18.74 to 20.28)</v>
      </c>
    </row>
    <row r="254" spans="1:19" ht="17.25" thickBot="1" x14ac:dyDescent="0.35">
      <c r="A254" s="6"/>
      <c r="B254" s="13" t="s">
        <v>132</v>
      </c>
      <c r="C254" s="2">
        <v>17159</v>
      </c>
      <c r="D254" s="2">
        <v>7784722</v>
      </c>
      <c r="E254" s="2">
        <v>91183</v>
      </c>
      <c r="F254" s="2">
        <v>25.7331</v>
      </c>
      <c r="G254" s="2">
        <v>0.21560000000000001</v>
      </c>
      <c r="H254" s="2">
        <v>25.310400000000001</v>
      </c>
      <c r="I254" s="2">
        <v>26.155799999999999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3">
        <v>0</v>
      </c>
      <c r="C255" s="2">
        <v>13440</v>
      </c>
      <c r="D255" s="2">
        <v>5650659</v>
      </c>
      <c r="E255" s="2">
        <v>70174</v>
      </c>
      <c r="F255" s="2">
        <v>18.678799999999999</v>
      </c>
      <c r="G255" s="2">
        <v>0.1762</v>
      </c>
      <c r="H255" s="2">
        <v>18.333200000000001</v>
      </c>
      <c r="I255" s="2">
        <v>19.0243</v>
      </c>
      <c r="J255" s="2">
        <v>75.958299999999994</v>
      </c>
      <c r="K255" s="2">
        <v>0.41720000000000002</v>
      </c>
      <c r="L255" s="2">
        <v>75.140100000000004</v>
      </c>
      <c r="M255" s="2">
        <v>76.776399999999995</v>
      </c>
      <c r="O255">
        <f t="shared" ref="O255:O256" si="153">J255</f>
        <v>75.958299999999994</v>
      </c>
      <c r="P255">
        <f t="shared" ref="P255:Q256" si="154">L255</f>
        <v>75.140100000000004</v>
      </c>
      <c r="Q255">
        <f t="shared" si="154"/>
        <v>76.776399999999995</v>
      </c>
      <c r="S255" t="str">
        <f t="shared" ref="S255:S256" si="155">TEXT(O255,"0.00")&amp;" ("&amp;TEXT(P255,"0.00")&amp;" to "&amp;TEXT(Q255,"0.00")&amp;")"</f>
        <v>75.96 (75.14 to 76.78)</v>
      </c>
    </row>
    <row r="256" spans="1:19" ht="17.25" thickBot="1" x14ac:dyDescent="0.35">
      <c r="A256" s="6"/>
      <c r="B256" s="13">
        <v>1</v>
      </c>
      <c r="C256" s="2">
        <v>3718</v>
      </c>
      <c r="D256" s="2">
        <v>1788505</v>
      </c>
      <c r="E256" s="2">
        <v>36160</v>
      </c>
      <c r="F256" s="2">
        <v>5.9120999999999997</v>
      </c>
      <c r="G256" s="2">
        <v>0.113</v>
      </c>
      <c r="H256" s="2">
        <v>5.6905000000000001</v>
      </c>
      <c r="I256" s="2">
        <v>6.1336000000000004</v>
      </c>
      <c r="J256" s="2">
        <v>24.041699999999999</v>
      </c>
      <c r="K256" s="2">
        <v>0.41720000000000002</v>
      </c>
      <c r="L256" s="2">
        <v>23.223600000000001</v>
      </c>
      <c r="M256" s="2">
        <v>24.8599</v>
      </c>
      <c r="O256">
        <f t="shared" si="153"/>
        <v>24.041699999999999</v>
      </c>
      <c r="P256">
        <f t="shared" si="154"/>
        <v>23.223600000000001</v>
      </c>
      <c r="Q256">
        <f t="shared" si="154"/>
        <v>24.8599</v>
      </c>
      <c r="S256" t="str">
        <f t="shared" si="155"/>
        <v>24.04 (23.22 to 24.86)</v>
      </c>
    </row>
    <row r="257" spans="1:19" ht="17.25" thickBot="1" x14ac:dyDescent="0.35">
      <c r="A257" s="6"/>
      <c r="B257" s="13" t="s">
        <v>132</v>
      </c>
      <c r="C257" s="2">
        <v>17158</v>
      </c>
      <c r="D257" s="2">
        <v>7439164</v>
      </c>
      <c r="E257" s="2">
        <v>81523</v>
      </c>
      <c r="F257" s="2">
        <v>24.590900000000001</v>
      </c>
      <c r="G257" s="2">
        <v>0.19059999999999999</v>
      </c>
      <c r="H257" s="2">
        <v>24.217099999999999</v>
      </c>
      <c r="I257" s="2">
        <v>24.964600000000001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3">
        <v>0</v>
      </c>
      <c r="C258" s="2">
        <v>12726</v>
      </c>
      <c r="D258" s="2">
        <v>5172490</v>
      </c>
      <c r="E258" s="2">
        <v>63276</v>
      </c>
      <c r="F258" s="2">
        <v>17.098099999999999</v>
      </c>
      <c r="G258" s="2">
        <v>0.17</v>
      </c>
      <c r="H258" s="2">
        <v>16.764900000000001</v>
      </c>
      <c r="I258" s="2">
        <v>17.4314</v>
      </c>
      <c r="J258" s="2">
        <v>70.624200000000002</v>
      </c>
      <c r="K258" s="2">
        <v>0.44180000000000003</v>
      </c>
      <c r="L258" s="2">
        <v>69.757900000000006</v>
      </c>
      <c r="M258" s="2">
        <v>71.490600000000001</v>
      </c>
      <c r="O258">
        <f t="shared" ref="O258:O259" si="156">J258</f>
        <v>70.624200000000002</v>
      </c>
      <c r="P258">
        <f t="shared" ref="P258:Q259" si="157">L258</f>
        <v>69.757900000000006</v>
      </c>
      <c r="Q258">
        <f t="shared" si="157"/>
        <v>71.490600000000001</v>
      </c>
      <c r="S258" t="str">
        <f t="shared" ref="S258:S259" si="158">TEXT(O258,"0.00")&amp;" ("&amp;TEXT(P258,"0.00")&amp;" to "&amp;TEXT(Q258,"0.00")&amp;")"</f>
        <v>70.62 (69.76 to 71.49)</v>
      </c>
    </row>
    <row r="259" spans="1:19" ht="17.25" thickBot="1" x14ac:dyDescent="0.35">
      <c r="A259" s="6"/>
      <c r="B259" s="13">
        <v>1</v>
      </c>
      <c r="C259" s="2">
        <v>4433</v>
      </c>
      <c r="D259" s="2">
        <v>2151468</v>
      </c>
      <c r="E259" s="2">
        <v>40396</v>
      </c>
      <c r="F259" s="2">
        <v>7.1119000000000003</v>
      </c>
      <c r="G259" s="2">
        <v>0.1226</v>
      </c>
      <c r="H259" s="2">
        <v>6.8715000000000002</v>
      </c>
      <c r="I259" s="2">
        <v>7.3522999999999996</v>
      </c>
      <c r="J259" s="2">
        <v>29.375800000000002</v>
      </c>
      <c r="K259" s="2">
        <v>0.44180000000000003</v>
      </c>
      <c r="L259" s="2">
        <v>28.509399999999999</v>
      </c>
      <c r="M259" s="2">
        <v>30.242100000000001</v>
      </c>
      <c r="O259">
        <f t="shared" si="156"/>
        <v>29.375800000000002</v>
      </c>
      <c r="P259">
        <f t="shared" si="157"/>
        <v>28.509399999999999</v>
      </c>
      <c r="Q259">
        <f t="shared" si="157"/>
        <v>30.242100000000001</v>
      </c>
      <c r="S259" t="str">
        <f t="shared" si="158"/>
        <v>29.38 (28.51 to 30.24)</v>
      </c>
    </row>
    <row r="260" spans="1:19" ht="17.25" thickBot="1" x14ac:dyDescent="0.35">
      <c r="A260" s="6"/>
      <c r="B260" s="13" t="s">
        <v>132</v>
      </c>
      <c r="C260" s="2">
        <v>17159</v>
      </c>
      <c r="D260" s="2">
        <v>7323958</v>
      </c>
      <c r="E260" s="2">
        <v>78593</v>
      </c>
      <c r="F260" s="2">
        <v>24.21</v>
      </c>
      <c r="G260" s="2">
        <v>0.19209999999999999</v>
      </c>
      <c r="H260" s="2">
        <v>23.833300000000001</v>
      </c>
      <c r="I260" s="2">
        <v>24.5868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3">
        <v>0</v>
      </c>
      <c r="C261" s="2">
        <v>11757</v>
      </c>
      <c r="D261" s="2">
        <v>4978678</v>
      </c>
      <c r="E261" s="2">
        <v>63745</v>
      </c>
      <c r="F261" s="2">
        <v>16.4575</v>
      </c>
      <c r="G261" s="2">
        <v>0.1767</v>
      </c>
      <c r="H261" s="2">
        <v>16.1111</v>
      </c>
      <c r="I261" s="2">
        <v>16.803899999999999</v>
      </c>
      <c r="J261" s="2">
        <v>64.625299999999996</v>
      </c>
      <c r="K261" s="2">
        <v>0.44650000000000001</v>
      </c>
      <c r="L261" s="2">
        <v>63.749899999999997</v>
      </c>
      <c r="M261" s="2">
        <v>65.500799999999998</v>
      </c>
      <c r="O261">
        <f t="shared" ref="O261:O262" si="159">J261</f>
        <v>64.625299999999996</v>
      </c>
      <c r="P261">
        <f t="shared" ref="P261:Q262" si="160">L261</f>
        <v>63.749899999999997</v>
      </c>
      <c r="Q261">
        <f t="shared" si="160"/>
        <v>65.500799999999998</v>
      </c>
      <c r="S261" t="str">
        <f t="shared" ref="S261:S262" si="161">TEXT(O261,"0.00")&amp;" ("&amp;TEXT(P261,"0.00")&amp;" to "&amp;TEXT(Q261,"0.00")&amp;")"</f>
        <v>64.63 (63.75 to 65.50)</v>
      </c>
    </row>
    <row r="262" spans="1:19" ht="17.25" thickBot="1" x14ac:dyDescent="0.35">
      <c r="A262" s="6"/>
      <c r="B262" s="13">
        <v>1</v>
      </c>
      <c r="C262" s="2">
        <v>5401</v>
      </c>
      <c r="D262" s="2">
        <v>2725234</v>
      </c>
      <c r="E262" s="2">
        <v>45247</v>
      </c>
      <c r="F262" s="2">
        <v>9.0084999999999997</v>
      </c>
      <c r="G262" s="2">
        <v>0.13519999999999999</v>
      </c>
      <c r="H262" s="2">
        <v>8.7433999999999994</v>
      </c>
      <c r="I262" s="2">
        <v>9.2736999999999998</v>
      </c>
      <c r="J262" s="2">
        <v>35.374699999999997</v>
      </c>
      <c r="K262" s="2">
        <v>0.44650000000000001</v>
      </c>
      <c r="L262" s="2">
        <v>34.499200000000002</v>
      </c>
      <c r="M262" s="2">
        <v>36.250100000000003</v>
      </c>
      <c r="O262">
        <f t="shared" si="159"/>
        <v>35.374699999999997</v>
      </c>
      <c r="P262">
        <f t="shared" si="160"/>
        <v>34.499200000000002</v>
      </c>
      <c r="Q262">
        <f t="shared" si="160"/>
        <v>36.250100000000003</v>
      </c>
      <c r="S262" t="str">
        <f t="shared" si="161"/>
        <v>35.37 (34.50 to 36.25)</v>
      </c>
    </row>
    <row r="263" spans="1:19" ht="17.25" thickBot="1" x14ac:dyDescent="0.35">
      <c r="A263" s="6"/>
      <c r="B263" s="13" t="s">
        <v>132</v>
      </c>
      <c r="C263" s="2">
        <v>17158</v>
      </c>
      <c r="D263" s="2">
        <v>7703912</v>
      </c>
      <c r="E263" s="2">
        <v>83068</v>
      </c>
      <c r="F263" s="2">
        <v>25.466000000000001</v>
      </c>
      <c r="G263" s="2">
        <v>0.2084</v>
      </c>
      <c r="H263" s="2">
        <v>25.057300000000001</v>
      </c>
      <c r="I263" s="2">
        <v>25.874700000000001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3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162">J264</f>
        <v>0</v>
      </c>
      <c r="P264">
        <f t="shared" ref="P264:Q265" si="163">L264</f>
        <v>0</v>
      </c>
      <c r="Q264">
        <f t="shared" si="163"/>
        <v>0</v>
      </c>
      <c r="S264" t="str">
        <f t="shared" ref="S264:S265" si="164">TEXT(O264,"0.00")&amp;" ("&amp;TEXT(P264,"0.00")&amp;" to "&amp;TEXT(Q264,"0.00")&amp;")"</f>
        <v>0.00 (0.00 to 0.00)</v>
      </c>
    </row>
    <row r="265" spans="1:19" ht="17.25" thickBot="1" x14ac:dyDescent="0.35">
      <c r="A265" s="6"/>
      <c r="B265" s="13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162"/>
        <v>0</v>
      </c>
      <c r="P265">
        <f t="shared" si="163"/>
        <v>0</v>
      </c>
      <c r="Q265">
        <f t="shared" si="163"/>
        <v>0</v>
      </c>
      <c r="S265" t="str">
        <f t="shared" si="164"/>
        <v>0.00 (0.00 to 0.00)</v>
      </c>
    </row>
    <row r="266" spans="1:19" x14ac:dyDescent="0.3">
      <c r="A266" s="6"/>
      <c r="B266" s="16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17" t="s">
        <v>211</v>
      </c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 spans="1:19" ht="33" customHeight="1" x14ac:dyDescent="0.3">
      <c r="A269" s="18" t="s">
        <v>75</v>
      </c>
      <c r="B269" s="20" t="s">
        <v>15</v>
      </c>
      <c r="C269" s="20" t="s">
        <v>125</v>
      </c>
      <c r="D269" s="3" t="s">
        <v>126</v>
      </c>
      <c r="E269" s="3" t="s">
        <v>127</v>
      </c>
      <c r="F269" s="20" t="s">
        <v>129</v>
      </c>
      <c r="G269" s="3" t="s">
        <v>127</v>
      </c>
      <c r="H269" s="20" t="s">
        <v>130</v>
      </c>
      <c r="I269" s="20"/>
      <c r="J269" s="3" t="s">
        <v>149</v>
      </c>
      <c r="K269" s="3" t="s">
        <v>127</v>
      </c>
      <c r="L269" s="20" t="s">
        <v>130</v>
      </c>
      <c r="M269" s="20"/>
    </row>
    <row r="270" spans="1:19" ht="33" x14ac:dyDescent="0.3">
      <c r="A270" s="18"/>
      <c r="B270" s="20"/>
      <c r="C270" s="20"/>
      <c r="D270" s="3" t="s">
        <v>125</v>
      </c>
      <c r="E270" s="3" t="s">
        <v>128</v>
      </c>
      <c r="F270" s="20"/>
      <c r="G270" s="3" t="s">
        <v>129</v>
      </c>
      <c r="H270" s="20" t="s">
        <v>131</v>
      </c>
      <c r="I270" s="20"/>
      <c r="J270" s="3" t="s">
        <v>129</v>
      </c>
      <c r="K270" s="3" t="s">
        <v>150</v>
      </c>
      <c r="L270" s="20" t="s">
        <v>151</v>
      </c>
      <c r="M270" s="20"/>
    </row>
    <row r="271" spans="1:19" ht="17.25" thickBot="1" x14ac:dyDescent="0.35">
      <c r="A271" s="6">
        <v>1</v>
      </c>
      <c r="B271" s="13">
        <v>0</v>
      </c>
      <c r="C271" s="2">
        <v>15772</v>
      </c>
      <c r="D271" s="2">
        <v>7318091</v>
      </c>
      <c r="E271" s="2">
        <v>89383</v>
      </c>
      <c r="F271" s="2">
        <v>24.1906</v>
      </c>
      <c r="G271" s="2">
        <v>0.2137</v>
      </c>
      <c r="H271" s="2">
        <v>23.771599999999999</v>
      </c>
      <c r="I271" s="2">
        <v>24.6096</v>
      </c>
      <c r="J271" s="2">
        <v>94.005799999999994</v>
      </c>
      <c r="K271" s="2">
        <v>0.19489999999999999</v>
      </c>
      <c r="L271" s="2">
        <v>93.623599999999996</v>
      </c>
      <c r="M271" s="2">
        <v>94.388000000000005</v>
      </c>
      <c r="O271">
        <f t="shared" ref="O271:O272" si="165">J271</f>
        <v>94.005799999999994</v>
      </c>
      <c r="P271">
        <f t="shared" ref="P271:Q272" si="166">L271</f>
        <v>93.623599999999996</v>
      </c>
      <c r="Q271">
        <f t="shared" si="166"/>
        <v>94.388000000000005</v>
      </c>
      <c r="S271" t="str">
        <f t="shared" ref="S271:S272" si="167">TEXT(O271,"0.00")&amp;" ("&amp;TEXT(P271,"0.00")&amp;" to "&amp;TEXT(Q271,"0.00")&amp;")"</f>
        <v>94.01 (93.62 to 94.39)</v>
      </c>
    </row>
    <row r="272" spans="1:19" ht="17.25" thickBot="1" x14ac:dyDescent="0.35">
      <c r="A272" s="6"/>
      <c r="B272" s="13">
        <v>1</v>
      </c>
      <c r="C272" s="2">
        <v>1387</v>
      </c>
      <c r="D272" s="2">
        <v>466631</v>
      </c>
      <c r="E272" s="2">
        <v>15294</v>
      </c>
      <c r="F272" s="2">
        <v>1.5425</v>
      </c>
      <c r="G272" s="2">
        <v>5.0500000000000003E-2</v>
      </c>
      <c r="H272" s="2">
        <v>1.4435</v>
      </c>
      <c r="I272" s="2">
        <v>1.6415</v>
      </c>
      <c r="J272" s="2">
        <v>5.9942000000000002</v>
      </c>
      <c r="K272" s="2">
        <v>0.19489999999999999</v>
      </c>
      <c r="L272" s="2">
        <v>5.6120000000000001</v>
      </c>
      <c r="M272" s="2">
        <v>6.3764000000000003</v>
      </c>
      <c r="O272">
        <f t="shared" si="165"/>
        <v>5.9942000000000002</v>
      </c>
      <c r="P272">
        <f t="shared" si="166"/>
        <v>5.6120000000000001</v>
      </c>
      <c r="Q272">
        <f t="shared" si="166"/>
        <v>6.3764000000000003</v>
      </c>
      <c r="S272" t="str">
        <f t="shared" si="167"/>
        <v>5.99 (5.61 to 6.38)</v>
      </c>
    </row>
    <row r="273" spans="1:19" ht="17.25" thickBot="1" x14ac:dyDescent="0.35">
      <c r="A273" s="6"/>
      <c r="B273" s="13" t="s">
        <v>132</v>
      </c>
      <c r="C273" s="2">
        <v>17159</v>
      </c>
      <c r="D273" s="2">
        <v>7784722</v>
      </c>
      <c r="E273" s="2">
        <v>91183</v>
      </c>
      <c r="F273" s="2">
        <v>25.7331</v>
      </c>
      <c r="G273" s="2">
        <v>0.21560000000000001</v>
      </c>
      <c r="H273" s="2">
        <v>25.310400000000001</v>
      </c>
      <c r="I273" s="2">
        <v>26.155799999999999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3">
        <v>0</v>
      </c>
      <c r="C274" s="2">
        <v>14259</v>
      </c>
      <c r="D274" s="2">
        <v>6478689</v>
      </c>
      <c r="E274" s="2">
        <v>77364</v>
      </c>
      <c r="F274" s="2">
        <v>21.415900000000001</v>
      </c>
      <c r="G274" s="2">
        <v>0.18590000000000001</v>
      </c>
      <c r="H274" s="2">
        <v>21.051500000000001</v>
      </c>
      <c r="I274" s="2">
        <v>21.7804</v>
      </c>
      <c r="J274" s="2">
        <v>87.088899999999995</v>
      </c>
      <c r="K274" s="2">
        <v>0.2903</v>
      </c>
      <c r="L274" s="2">
        <v>86.519800000000004</v>
      </c>
      <c r="M274" s="2">
        <v>87.658100000000005</v>
      </c>
      <c r="O274">
        <f t="shared" ref="O274:O275" si="168">J274</f>
        <v>87.088899999999995</v>
      </c>
      <c r="P274">
        <f t="shared" ref="P274:Q275" si="169">L274</f>
        <v>86.519800000000004</v>
      </c>
      <c r="Q274">
        <f t="shared" si="169"/>
        <v>87.658100000000005</v>
      </c>
      <c r="S274" t="str">
        <f t="shared" ref="S274:S275" si="170">TEXT(O274,"0.00")&amp;" ("&amp;TEXT(P274,"0.00")&amp;" to "&amp;TEXT(Q274,"0.00")&amp;")"</f>
        <v>87.09 (86.52 to 87.66)</v>
      </c>
    </row>
    <row r="275" spans="1:19" ht="17.25" thickBot="1" x14ac:dyDescent="0.35">
      <c r="A275" s="6"/>
      <c r="B275" s="13">
        <v>1</v>
      </c>
      <c r="C275" s="2">
        <v>2899</v>
      </c>
      <c r="D275" s="2">
        <v>960475</v>
      </c>
      <c r="E275" s="2">
        <v>22496</v>
      </c>
      <c r="F275" s="2">
        <v>3.1749000000000001</v>
      </c>
      <c r="G275" s="2">
        <v>7.3599999999999999E-2</v>
      </c>
      <c r="H275" s="2">
        <v>3.0306000000000002</v>
      </c>
      <c r="I275" s="2">
        <v>3.3193000000000001</v>
      </c>
      <c r="J275" s="2">
        <v>12.911099999999999</v>
      </c>
      <c r="K275" s="2">
        <v>0.2903</v>
      </c>
      <c r="L275" s="2">
        <v>12.341900000000001</v>
      </c>
      <c r="M275" s="2">
        <v>13.4802</v>
      </c>
      <c r="O275">
        <f t="shared" si="168"/>
        <v>12.911099999999999</v>
      </c>
      <c r="P275">
        <f t="shared" si="169"/>
        <v>12.341900000000001</v>
      </c>
      <c r="Q275">
        <f t="shared" si="169"/>
        <v>13.4802</v>
      </c>
      <c r="S275" t="str">
        <f t="shared" si="170"/>
        <v>12.91 (12.34 to 13.48)</v>
      </c>
    </row>
    <row r="276" spans="1:19" ht="17.25" thickBot="1" x14ac:dyDescent="0.35">
      <c r="A276" s="6"/>
      <c r="B276" s="13" t="s">
        <v>132</v>
      </c>
      <c r="C276" s="2">
        <v>17158</v>
      </c>
      <c r="D276" s="2">
        <v>7439164</v>
      </c>
      <c r="E276" s="2">
        <v>81523</v>
      </c>
      <c r="F276" s="2">
        <v>24.590900000000001</v>
      </c>
      <c r="G276" s="2">
        <v>0.19059999999999999</v>
      </c>
      <c r="H276" s="2">
        <v>24.217099999999999</v>
      </c>
      <c r="I276" s="2">
        <v>24.964600000000001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3">
        <v>0</v>
      </c>
      <c r="C277" s="2">
        <v>12574</v>
      </c>
      <c r="D277" s="2">
        <v>5762351</v>
      </c>
      <c r="E277" s="2">
        <v>70973</v>
      </c>
      <c r="F277" s="2">
        <v>19.047999999999998</v>
      </c>
      <c r="G277" s="2">
        <v>0.1817</v>
      </c>
      <c r="H277" s="2">
        <v>18.691700000000001</v>
      </c>
      <c r="I277" s="2">
        <v>19.404299999999999</v>
      </c>
      <c r="J277" s="2">
        <v>78.678100000000001</v>
      </c>
      <c r="K277" s="2">
        <v>0.374</v>
      </c>
      <c r="L277" s="2">
        <v>77.944699999999997</v>
      </c>
      <c r="M277" s="2">
        <v>79.411500000000004</v>
      </c>
      <c r="O277">
        <f t="shared" ref="O277:O278" si="171">J277</f>
        <v>78.678100000000001</v>
      </c>
      <c r="P277">
        <f t="shared" ref="P277:Q278" si="172">L277</f>
        <v>77.944699999999997</v>
      </c>
      <c r="Q277">
        <f t="shared" si="172"/>
        <v>79.411500000000004</v>
      </c>
      <c r="S277" t="str">
        <f t="shared" ref="S277:S278" si="173">TEXT(O277,"0.00")&amp;" ("&amp;TEXT(P277,"0.00")&amp;" to "&amp;TEXT(Q277,"0.00")&amp;")"</f>
        <v>78.68 (77.94 to 79.41)</v>
      </c>
    </row>
    <row r="278" spans="1:19" ht="17.25" thickBot="1" x14ac:dyDescent="0.35">
      <c r="A278" s="6"/>
      <c r="B278" s="13">
        <v>1</v>
      </c>
      <c r="C278" s="2">
        <v>4585</v>
      </c>
      <c r="D278" s="2">
        <v>1561607</v>
      </c>
      <c r="E278" s="2">
        <v>30096</v>
      </c>
      <c r="F278" s="2">
        <v>5.1619999999999999</v>
      </c>
      <c r="G278" s="2">
        <v>9.6699999999999994E-2</v>
      </c>
      <c r="H278" s="2">
        <v>4.9725000000000001</v>
      </c>
      <c r="I278" s="2">
        <v>5.3516000000000004</v>
      </c>
      <c r="J278" s="2">
        <v>21.321899999999999</v>
      </c>
      <c r="K278" s="2">
        <v>0.374</v>
      </c>
      <c r="L278" s="2">
        <v>20.5885</v>
      </c>
      <c r="M278" s="2">
        <v>22.055299999999999</v>
      </c>
      <c r="O278">
        <f t="shared" si="171"/>
        <v>21.321899999999999</v>
      </c>
      <c r="P278">
        <f t="shared" si="172"/>
        <v>20.5885</v>
      </c>
      <c r="Q278">
        <f t="shared" si="172"/>
        <v>22.055299999999999</v>
      </c>
      <c r="S278" t="str">
        <f t="shared" si="173"/>
        <v>21.32 (20.59 to 22.06)</v>
      </c>
    </row>
    <row r="279" spans="1:19" ht="17.25" thickBot="1" x14ac:dyDescent="0.35">
      <c r="A279" s="6"/>
      <c r="B279" s="13" t="s">
        <v>132</v>
      </c>
      <c r="C279" s="2">
        <v>17159</v>
      </c>
      <c r="D279" s="2">
        <v>7323958</v>
      </c>
      <c r="E279" s="2">
        <v>78593</v>
      </c>
      <c r="F279" s="2">
        <v>24.21</v>
      </c>
      <c r="G279" s="2">
        <v>0.19209999999999999</v>
      </c>
      <c r="H279" s="2">
        <v>23.833300000000001</v>
      </c>
      <c r="I279" s="2">
        <v>24.5868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3">
        <v>0</v>
      </c>
      <c r="C280" s="2">
        <v>11305</v>
      </c>
      <c r="D280" s="2">
        <v>5561616</v>
      </c>
      <c r="E280" s="2">
        <v>69871</v>
      </c>
      <c r="F280" s="2">
        <v>18.384399999999999</v>
      </c>
      <c r="G280" s="2">
        <v>0.18429999999999999</v>
      </c>
      <c r="H280" s="2">
        <v>18.023099999999999</v>
      </c>
      <c r="I280" s="2">
        <v>18.745799999999999</v>
      </c>
      <c r="J280" s="2">
        <v>72.192099999999996</v>
      </c>
      <c r="K280" s="2">
        <v>0.41339999999999999</v>
      </c>
      <c r="L280" s="2">
        <v>71.381600000000006</v>
      </c>
      <c r="M280" s="2">
        <v>73.002600000000001</v>
      </c>
      <c r="O280">
        <f t="shared" ref="O280:O281" si="174">J280</f>
        <v>72.192099999999996</v>
      </c>
      <c r="P280">
        <f t="shared" ref="P280:Q281" si="175">L280</f>
        <v>71.381600000000006</v>
      </c>
      <c r="Q280">
        <f t="shared" si="175"/>
        <v>73.002600000000001</v>
      </c>
      <c r="S280" t="str">
        <f t="shared" ref="S280:S281" si="176">TEXT(O280,"0.00")&amp;" ("&amp;TEXT(P280,"0.00")&amp;" to "&amp;TEXT(Q280,"0.00")&amp;")"</f>
        <v>72.19 (71.38 to 73.00)</v>
      </c>
    </row>
    <row r="281" spans="1:19" ht="17.25" thickBot="1" x14ac:dyDescent="0.35">
      <c r="A281" s="6"/>
      <c r="B281" s="13">
        <v>1</v>
      </c>
      <c r="C281" s="2">
        <v>5853</v>
      </c>
      <c r="D281" s="2">
        <v>2142296</v>
      </c>
      <c r="E281" s="2">
        <v>37988</v>
      </c>
      <c r="F281" s="2">
        <v>7.0815999999999999</v>
      </c>
      <c r="G281" s="2">
        <v>0.1198</v>
      </c>
      <c r="H281" s="2">
        <v>6.8467000000000002</v>
      </c>
      <c r="I281" s="2">
        <v>7.3163999999999998</v>
      </c>
      <c r="J281" s="2">
        <v>27.8079</v>
      </c>
      <c r="K281" s="2">
        <v>0.41339999999999999</v>
      </c>
      <c r="L281" s="2">
        <v>26.997399999999999</v>
      </c>
      <c r="M281" s="2">
        <v>28.618400000000001</v>
      </c>
      <c r="O281">
        <f t="shared" si="174"/>
        <v>27.8079</v>
      </c>
      <c r="P281">
        <f t="shared" si="175"/>
        <v>26.997399999999999</v>
      </c>
      <c r="Q281">
        <f t="shared" si="175"/>
        <v>28.618400000000001</v>
      </c>
      <c r="S281" t="str">
        <f t="shared" si="176"/>
        <v>27.81 (27.00 to 28.62)</v>
      </c>
    </row>
    <row r="282" spans="1:19" ht="17.25" thickBot="1" x14ac:dyDescent="0.35">
      <c r="A282" s="6"/>
      <c r="B282" s="13" t="s">
        <v>132</v>
      </c>
      <c r="C282" s="2">
        <v>17158</v>
      </c>
      <c r="D282" s="2">
        <v>7703912</v>
      </c>
      <c r="E282" s="2">
        <v>83068</v>
      </c>
      <c r="F282" s="2">
        <v>25.466000000000001</v>
      </c>
      <c r="G282" s="2">
        <v>0.2084</v>
      </c>
      <c r="H282" s="2">
        <v>25.057300000000001</v>
      </c>
      <c r="I282" s="2">
        <v>25.874700000000001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3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177">J283</f>
        <v>0</v>
      </c>
      <c r="P283">
        <f t="shared" ref="P283:Q284" si="178">L283</f>
        <v>0</v>
      </c>
      <c r="Q283">
        <f t="shared" si="178"/>
        <v>0</v>
      </c>
      <c r="S283" t="str">
        <f t="shared" ref="S283:S284" si="17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3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177"/>
        <v>0</v>
      </c>
      <c r="P284">
        <f t="shared" si="178"/>
        <v>0</v>
      </c>
      <c r="Q284">
        <f t="shared" si="178"/>
        <v>0</v>
      </c>
      <c r="S284" t="str">
        <f t="shared" si="179"/>
        <v>0.00 (0.00 to 0.00)</v>
      </c>
    </row>
    <row r="285" spans="1:19" x14ac:dyDescent="0.3">
      <c r="A285" s="6"/>
      <c r="B285" s="16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17" t="s">
        <v>212</v>
      </c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</row>
    <row r="288" spans="1:19" ht="33" customHeight="1" x14ac:dyDescent="0.3">
      <c r="A288" s="18" t="s">
        <v>75</v>
      </c>
      <c r="B288" s="20" t="s">
        <v>16</v>
      </c>
      <c r="C288" s="20" t="s">
        <v>125</v>
      </c>
      <c r="D288" s="3" t="s">
        <v>126</v>
      </c>
      <c r="E288" s="3" t="s">
        <v>127</v>
      </c>
      <c r="F288" s="20" t="s">
        <v>129</v>
      </c>
      <c r="G288" s="3" t="s">
        <v>127</v>
      </c>
      <c r="H288" s="20" t="s">
        <v>130</v>
      </c>
      <c r="I288" s="20"/>
      <c r="J288" s="3" t="s">
        <v>149</v>
      </c>
      <c r="K288" s="3" t="s">
        <v>127</v>
      </c>
      <c r="L288" s="20" t="s">
        <v>130</v>
      </c>
      <c r="M288" s="20"/>
    </row>
    <row r="289" spans="1:19" ht="33" x14ac:dyDescent="0.3">
      <c r="A289" s="18"/>
      <c r="B289" s="20"/>
      <c r="C289" s="20"/>
      <c r="D289" s="3" t="s">
        <v>125</v>
      </c>
      <c r="E289" s="3" t="s">
        <v>128</v>
      </c>
      <c r="F289" s="20"/>
      <c r="G289" s="3" t="s">
        <v>129</v>
      </c>
      <c r="H289" s="20" t="s">
        <v>131</v>
      </c>
      <c r="I289" s="20"/>
      <c r="J289" s="3" t="s">
        <v>129</v>
      </c>
      <c r="K289" s="3" t="s">
        <v>150</v>
      </c>
      <c r="L289" s="20" t="s">
        <v>151</v>
      </c>
      <c r="M289" s="20"/>
    </row>
    <row r="290" spans="1:19" ht="17.25" thickBot="1" x14ac:dyDescent="0.35">
      <c r="A290" s="6">
        <v>1</v>
      </c>
      <c r="B290" s="13">
        <v>0</v>
      </c>
      <c r="C290" s="2">
        <v>16039</v>
      </c>
      <c r="D290" s="2">
        <v>7380526</v>
      </c>
      <c r="E290" s="2">
        <v>88174</v>
      </c>
      <c r="F290" s="2">
        <v>24.396999999999998</v>
      </c>
      <c r="G290" s="2">
        <v>0.2104</v>
      </c>
      <c r="H290" s="2">
        <v>23.984500000000001</v>
      </c>
      <c r="I290" s="2">
        <v>24.8095</v>
      </c>
      <c r="J290" s="2">
        <v>94.8078</v>
      </c>
      <c r="K290" s="2">
        <v>0.18</v>
      </c>
      <c r="L290" s="2">
        <v>94.454800000000006</v>
      </c>
      <c r="M290" s="2">
        <v>95.160799999999995</v>
      </c>
      <c r="O290">
        <f t="shared" ref="O290:O291" si="180">J290</f>
        <v>94.8078</v>
      </c>
      <c r="P290">
        <f t="shared" ref="P290:Q291" si="181">L290</f>
        <v>94.454800000000006</v>
      </c>
      <c r="Q290">
        <f t="shared" si="181"/>
        <v>95.160799999999995</v>
      </c>
      <c r="S290" t="str">
        <f t="shared" ref="S290:S291" si="182">TEXT(O290,"0.00")&amp;" ("&amp;TEXT(P290,"0.00")&amp;" to "&amp;TEXT(Q290,"0.00")&amp;")"</f>
        <v>94.81 (94.45 to 95.16)</v>
      </c>
    </row>
    <row r="291" spans="1:19" ht="17.25" thickBot="1" x14ac:dyDescent="0.35">
      <c r="A291" s="6"/>
      <c r="B291" s="13">
        <v>1</v>
      </c>
      <c r="C291" s="2">
        <v>1120</v>
      </c>
      <c r="D291" s="2">
        <v>404196</v>
      </c>
      <c r="E291" s="2">
        <v>14598</v>
      </c>
      <c r="F291" s="2">
        <v>1.3361000000000001</v>
      </c>
      <c r="G291" s="2">
        <v>4.7500000000000001E-2</v>
      </c>
      <c r="H291" s="2">
        <v>1.2430000000000001</v>
      </c>
      <c r="I291" s="2">
        <v>1.4292</v>
      </c>
      <c r="J291" s="2">
        <v>5.1921999999999997</v>
      </c>
      <c r="K291" s="2">
        <v>0.18</v>
      </c>
      <c r="L291" s="2">
        <v>4.8391999999999999</v>
      </c>
      <c r="M291" s="2">
        <v>5.5452000000000004</v>
      </c>
      <c r="O291">
        <f t="shared" si="180"/>
        <v>5.1921999999999997</v>
      </c>
      <c r="P291">
        <f t="shared" si="181"/>
        <v>4.8391999999999999</v>
      </c>
      <c r="Q291">
        <f t="shared" si="181"/>
        <v>5.5452000000000004</v>
      </c>
      <c r="S291" t="str">
        <f t="shared" si="182"/>
        <v>5.19 (4.84 to 5.55)</v>
      </c>
    </row>
    <row r="292" spans="1:19" ht="17.25" thickBot="1" x14ac:dyDescent="0.35">
      <c r="A292" s="6"/>
      <c r="B292" s="13" t="s">
        <v>132</v>
      </c>
      <c r="C292" s="2">
        <v>17159</v>
      </c>
      <c r="D292" s="2">
        <v>7784722</v>
      </c>
      <c r="E292" s="2">
        <v>91183</v>
      </c>
      <c r="F292" s="2">
        <v>25.7331</v>
      </c>
      <c r="G292" s="2">
        <v>0.21560000000000001</v>
      </c>
      <c r="H292" s="2">
        <v>25.310400000000001</v>
      </c>
      <c r="I292" s="2">
        <v>26.155799999999999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3">
        <v>0</v>
      </c>
      <c r="C293" s="2">
        <v>14912</v>
      </c>
      <c r="D293" s="2">
        <v>6631855</v>
      </c>
      <c r="E293" s="2">
        <v>76631</v>
      </c>
      <c r="F293" s="2">
        <v>21.9222</v>
      </c>
      <c r="G293" s="2">
        <v>0.1835</v>
      </c>
      <c r="H293" s="2">
        <v>21.5623</v>
      </c>
      <c r="I293" s="2">
        <v>22.2821</v>
      </c>
      <c r="J293" s="2">
        <v>89.147900000000007</v>
      </c>
      <c r="K293" s="2">
        <v>0.26519999999999999</v>
      </c>
      <c r="L293" s="2">
        <v>88.627799999999993</v>
      </c>
      <c r="M293" s="2">
        <v>89.667900000000003</v>
      </c>
      <c r="O293">
        <f t="shared" ref="O293:O294" si="183">J293</f>
        <v>89.147900000000007</v>
      </c>
      <c r="P293">
        <f t="shared" ref="P293:Q294" si="184">L293</f>
        <v>88.627799999999993</v>
      </c>
      <c r="Q293">
        <f t="shared" si="184"/>
        <v>89.667900000000003</v>
      </c>
      <c r="S293" t="str">
        <f t="shared" ref="S293:S294" si="185">TEXT(O293,"0.00")&amp;" ("&amp;TEXT(P293,"0.00")&amp;" to "&amp;TEXT(Q293,"0.00")&amp;")"</f>
        <v>89.15 (88.63 to 89.67)</v>
      </c>
    </row>
    <row r="294" spans="1:19" ht="17.25" thickBot="1" x14ac:dyDescent="0.35">
      <c r="A294" s="6"/>
      <c r="B294" s="13">
        <v>1</v>
      </c>
      <c r="C294" s="2">
        <v>2246</v>
      </c>
      <c r="D294" s="2">
        <v>807309</v>
      </c>
      <c r="E294" s="2">
        <v>21049</v>
      </c>
      <c r="F294" s="2">
        <v>2.6686000000000001</v>
      </c>
      <c r="G294" s="2">
        <v>6.7900000000000002E-2</v>
      </c>
      <c r="H294" s="2">
        <v>2.5354000000000001</v>
      </c>
      <c r="I294" s="2">
        <v>2.8018000000000001</v>
      </c>
      <c r="J294" s="2">
        <v>10.8521</v>
      </c>
      <c r="K294" s="2">
        <v>0.26519999999999999</v>
      </c>
      <c r="L294" s="2">
        <v>10.332100000000001</v>
      </c>
      <c r="M294" s="2">
        <v>11.372199999999999</v>
      </c>
      <c r="O294">
        <f t="shared" si="183"/>
        <v>10.8521</v>
      </c>
      <c r="P294">
        <f t="shared" si="184"/>
        <v>10.332100000000001</v>
      </c>
      <c r="Q294">
        <f t="shared" si="184"/>
        <v>11.372199999999999</v>
      </c>
      <c r="S294" t="str">
        <f t="shared" si="185"/>
        <v>10.85 (10.33 to 11.37)</v>
      </c>
    </row>
    <row r="295" spans="1:19" ht="17.25" thickBot="1" x14ac:dyDescent="0.35">
      <c r="A295" s="6"/>
      <c r="B295" s="13" t="s">
        <v>132</v>
      </c>
      <c r="C295" s="2">
        <v>17158</v>
      </c>
      <c r="D295" s="2">
        <v>7439164</v>
      </c>
      <c r="E295" s="2">
        <v>81523</v>
      </c>
      <c r="F295" s="2">
        <v>24.590900000000001</v>
      </c>
      <c r="G295" s="2">
        <v>0.19059999999999999</v>
      </c>
      <c r="H295" s="2">
        <v>24.217099999999999</v>
      </c>
      <c r="I295" s="2">
        <v>24.964600000000001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3">
        <v>0</v>
      </c>
      <c r="C296" s="2">
        <v>14017</v>
      </c>
      <c r="D296" s="2">
        <v>6186572</v>
      </c>
      <c r="E296" s="2">
        <v>72723</v>
      </c>
      <c r="F296" s="2">
        <v>20.450299999999999</v>
      </c>
      <c r="G296" s="2">
        <v>0.1852</v>
      </c>
      <c r="H296" s="2">
        <v>20.087199999999999</v>
      </c>
      <c r="I296" s="2">
        <v>20.813400000000001</v>
      </c>
      <c r="J296" s="2">
        <v>84.470299999999995</v>
      </c>
      <c r="K296" s="2">
        <v>0.31459999999999999</v>
      </c>
      <c r="L296" s="2">
        <v>83.853399999999993</v>
      </c>
      <c r="M296" s="2">
        <v>85.087299999999999</v>
      </c>
      <c r="O296">
        <f t="shared" ref="O296:O297" si="186">J296</f>
        <v>84.470299999999995</v>
      </c>
      <c r="P296">
        <f t="shared" ref="P296:Q297" si="187">L296</f>
        <v>83.853399999999993</v>
      </c>
      <c r="Q296">
        <f t="shared" si="187"/>
        <v>85.087299999999999</v>
      </c>
      <c r="S296" t="str">
        <f t="shared" ref="S296:S297" si="188">TEXT(O296,"0.00")&amp;" ("&amp;TEXT(P296,"0.00")&amp;" to "&amp;TEXT(Q296,"0.00")&amp;")"</f>
        <v>84.47 (83.85 to 85.09)</v>
      </c>
    </row>
    <row r="297" spans="1:19" ht="17.25" thickBot="1" x14ac:dyDescent="0.35">
      <c r="A297" s="6"/>
      <c r="B297" s="13">
        <v>1</v>
      </c>
      <c r="C297" s="2">
        <v>3142</v>
      </c>
      <c r="D297" s="2">
        <v>1137386</v>
      </c>
      <c r="E297" s="2">
        <v>24810</v>
      </c>
      <c r="F297" s="2">
        <v>3.7597</v>
      </c>
      <c r="G297" s="2">
        <v>7.9299999999999995E-2</v>
      </c>
      <c r="H297" s="2">
        <v>3.6040999999999999</v>
      </c>
      <c r="I297" s="2">
        <v>3.9152999999999998</v>
      </c>
      <c r="J297" s="2">
        <v>15.5297</v>
      </c>
      <c r="K297" s="2">
        <v>0.31459999999999999</v>
      </c>
      <c r="L297" s="2">
        <v>14.912699999999999</v>
      </c>
      <c r="M297" s="2">
        <v>16.146599999999999</v>
      </c>
      <c r="O297">
        <f t="shared" si="186"/>
        <v>15.5297</v>
      </c>
      <c r="P297">
        <f t="shared" si="187"/>
        <v>14.912699999999999</v>
      </c>
      <c r="Q297">
        <f t="shared" si="187"/>
        <v>16.146599999999999</v>
      </c>
      <c r="S297" t="str">
        <f t="shared" si="188"/>
        <v>15.53 (14.91 to 16.15)</v>
      </c>
    </row>
    <row r="298" spans="1:19" ht="17.25" thickBot="1" x14ac:dyDescent="0.35">
      <c r="A298" s="6"/>
      <c r="B298" s="13" t="s">
        <v>132</v>
      </c>
      <c r="C298" s="2">
        <v>17159</v>
      </c>
      <c r="D298" s="2">
        <v>7323958</v>
      </c>
      <c r="E298" s="2">
        <v>78593</v>
      </c>
      <c r="F298" s="2">
        <v>24.21</v>
      </c>
      <c r="G298" s="2">
        <v>0.19209999999999999</v>
      </c>
      <c r="H298" s="2">
        <v>23.833300000000001</v>
      </c>
      <c r="I298" s="2">
        <v>24.5868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3">
        <v>0</v>
      </c>
      <c r="C299" s="2">
        <v>13498</v>
      </c>
      <c r="D299" s="2">
        <v>6258074</v>
      </c>
      <c r="E299" s="2">
        <v>72867</v>
      </c>
      <c r="F299" s="2">
        <v>20.686599999999999</v>
      </c>
      <c r="G299" s="2">
        <v>0.18790000000000001</v>
      </c>
      <c r="H299" s="2">
        <v>20.318100000000001</v>
      </c>
      <c r="I299" s="2">
        <v>21.055199999999999</v>
      </c>
      <c r="J299" s="2">
        <v>81.232399999999998</v>
      </c>
      <c r="K299" s="2">
        <v>0.34899999999999998</v>
      </c>
      <c r="L299" s="2">
        <v>80.548000000000002</v>
      </c>
      <c r="M299" s="2">
        <v>81.916799999999995</v>
      </c>
      <c r="O299">
        <f t="shared" ref="O299:O300" si="189">J299</f>
        <v>81.232399999999998</v>
      </c>
      <c r="P299">
        <f t="shared" ref="P299:Q300" si="190">L299</f>
        <v>80.548000000000002</v>
      </c>
      <c r="Q299">
        <f t="shared" si="190"/>
        <v>81.916799999999995</v>
      </c>
      <c r="S299" t="str">
        <f t="shared" ref="S299:S300" si="191">TEXT(O299,"0.00")&amp;" ("&amp;TEXT(P299,"0.00")&amp;" to "&amp;TEXT(Q299,"0.00")&amp;")"</f>
        <v>81.23 (80.55 to 81.92)</v>
      </c>
    </row>
    <row r="300" spans="1:19" ht="17.25" thickBot="1" x14ac:dyDescent="0.35">
      <c r="A300" s="6"/>
      <c r="B300" s="13">
        <v>1</v>
      </c>
      <c r="C300" s="2">
        <v>3660</v>
      </c>
      <c r="D300" s="2">
        <v>1445838</v>
      </c>
      <c r="E300" s="2">
        <v>30959</v>
      </c>
      <c r="F300" s="2">
        <v>4.7793999999999999</v>
      </c>
      <c r="G300" s="2">
        <v>9.8599999999999993E-2</v>
      </c>
      <c r="H300" s="2">
        <v>4.5861000000000001</v>
      </c>
      <c r="I300" s="2">
        <v>4.9725999999999999</v>
      </c>
      <c r="J300" s="2">
        <v>18.767600000000002</v>
      </c>
      <c r="K300" s="2">
        <v>0.34899999999999998</v>
      </c>
      <c r="L300" s="2">
        <v>18.083200000000001</v>
      </c>
      <c r="M300" s="2">
        <v>19.452000000000002</v>
      </c>
      <c r="O300">
        <f t="shared" si="189"/>
        <v>18.767600000000002</v>
      </c>
      <c r="P300">
        <f t="shared" si="190"/>
        <v>18.083200000000001</v>
      </c>
      <c r="Q300">
        <f t="shared" si="190"/>
        <v>19.452000000000002</v>
      </c>
      <c r="S300" t="str">
        <f t="shared" si="191"/>
        <v>18.77 (18.08 to 19.45)</v>
      </c>
    </row>
    <row r="301" spans="1:19" ht="17.25" thickBot="1" x14ac:dyDescent="0.35">
      <c r="A301" s="6"/>
      <c r="B301" s="13" t="s">
        <v>132</v>
      </c>
      <c r="C301" s="2">
        <v>17158</v>
      </c>
      <c r="D301" s="2">
        <v>7703912</v>
      </c>
      <c r="E301" s="2">
        <v>83068</v>
      </c>
      <c r="F301" s="2">
        <v>25.466000000000001</v>
      </c>
      <c r="G301" s="2">
        <v>0.2084</v>
      </c>
      <c r="H301" s="2">
        <v>25.057300000000001</v>
      </c>
      <c r="I301" s="2">
        <v>25.874700000000001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3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192">J302</f>
        <v>0</v>
      </c>
      <c r="P302">
        <f t="shared" ref="P302:Q303" si="193">L302</f>
        <v>0</v>
      </c>
      <c r="Q302">
        <f t="shared" si="193"/>
        <v>0</v>
      </c>
      <c r="S302" t="str">
        <f t="shared" ref="S302:S303" si="194">TEXT(O302,"0.00")&amp;" ("&amp;TEXT(P302,"0.00")&amp;" to "&amp;TEXT(Q302,"0.00")&amp;")"</f>
        <v>0.00 (0.00 to 0.00)</v>
      </c>
    </row>
    <row r="303" spans="1:19" ht="17.25" thickBot="1" x14ac:dyDescent="0.35">
      <c r="A303" s="6"/>
      <c r="B303" s="13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192"/>
        <v>0</v>
      </c>
      <c r="P303">
        <f t="shared" si="193"/>
        <v>0</v>
      </c>
      <c r="Q303">
        <f t="shared" si="193"/>
        <v>0</v>
      </c>
      <c r="S303" t="str">
        <f t="shared" si="194"/>
        <v>0.00 (0.00 to 0.00)</v>
      </c>
    </row>
    <row r="304" spans="1:19" x14ac:dyDescent="0.3">
      <c r="A304" s="6"/>
      <c r="B304" s="16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17" t="s">
        <v>213</v>
      </c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</row>
    <row r="307" spans="1:19" ht="33" customHeight="1" x14ac:dyDescent="0.3">
      <c r="A307" s="18" t="s">
        <v>75</v>
      </c>
      <c r="B307" s="20" t="s">
        <v>17</v>
      </c>
      <c r="C307" s="20" t="s">
        <v>125</v>
      </c>
      <c r="D307" s="3" t="s">
        <v>126</v>
      </c>
      <c r="E307" s="3" t="s">
        <v>127</v>
      </c>
      <c r="F307" s="20" t="s">
        <v>129</v>
      </c>
      <c r="G307" s="3" t="s">
        <v>127</v>
      </c>
      <c r="H307" s="20" t="s">
        <v>130</v>
      </c>
      <c r="I307" s="20"/>
      <c r="J307" s="3" t="s">
        <v>149</v>
      </c>
      <c r="K307" s="3" t="s">
        <v>127</v>
      </c>
      <c r="L307" s="20" t="s">
        <v>130</v>
      </c>
      <c r="M307" s="20"/>
    </row>
    <row r="308" spans="1:19" ht="33" x14ac:dyDescent="0.3">
      <c r="A308" s="18"/>
      <c r="B308" s="20"/>
      <c r="C308" s="20"/>
      <c r="D308" s="3" t="s">
        <v>125</v>
      </c>
      <c r="E308" s="3" t="s">
        <v>128</v>
      </c>
      <c r="F308" s="20"/>
      <c r="G308" s="3" t="s">
        <v>129</v>
      </c>
      <c r="H308" s="20" t="s">
        <v>131</v>
      </c>
      <c r="I308" s="20"/>
      <c r="J308" s="3" t="s">
        <v>129</v>
      </c>
      <c r="K308" s="3" t="s">
        <v>150</v>
      </c>
      <c r="L308" s="20" t="s">
        <v>151</v>
      </c>
      <c r="M308" s="20"/>
    </row>
    <row r="309" spans="1:19" ht="17.25" thickBot="1" x14ac:dyDescent="0.35">
      <c r="A309" s="6">
        <v>1</v>
      </c>
      <c r="B309" s="13">
        <v>0</v>
      </c>
      <c r="C309" s="2">
        <v>17026</v>
      </c>
      <c r="D309" s="2">
        <v>7744533</v>
      </c>
      <c r="E309" s="2">
        <v>91206</v>
      </c>
      <c r="F309" s="2">
        <v>25.600300000000001</v>
      </c>
      <c r="G309" s="2">
        <v>0.2157</v>
      </c>
      <c r="H309" s="2">
        <v>25.177299999999999</v>
      </c>
      <c r="I309" s="2">
        <v>26.023299999999999</v>
      </c>
      <c r="J309" s="2">
        <v>99.483699999999999</v>
      </c>
      <c r="K309" s="2">
        <v>5.3999999999999999E-2</v>
      </c>
      <c r="L309" s="2">
        <v>99.377799999999993</v>
      </c>
      <c r="M309" s="2">
        <v>99.589699999999993</v>
      </c>
      <c r="O309">
        <f t="shared" ref="O309:O310" si="195">J309</f>
        <v>99.483699999999999</v>
      </c>
      <c r="P309">
        <f t="shared" ref="P309:Q310" si="196">L309</f>
        <v>99.377799999999993</v>
      </c>
      <c r="Q309">
        <f t="shared" si="196"/>
        <v>99.589699999999993</v>
      </c>
      <c r="S309" t="str">
        <f t="shared" ref="S309:S310" si="197">TEXT(O309,"0.00")&amp;" ("&amp;TEXT(P309,"0.00")&amp;" to "&amp;TEXT(Q309,"0.00")&amp;")"</f>
        <v>99.48 (99.38 to 99.59)</v>
      </c>
    </row>
    <row r="310" spans="1:19" ht="17.25" thickBot="1" x14ac:dyDescent="0.35">
      <c r="A310" s="6"/>
      <c r="B310" s="13">
        <v>1</v>
      </c>
      <c r="C310" s="2">
        <v>133</v>
      </c>
      <c r="D310" s="2">
        <v>40189</v>
      </c>
      <c r="E310" s="2">
        <v>4187</v>
      </c>
      <c r="F310" s="2">
        <v>0.1328</v>
      </c>
      <c r="G310" s="2">
        <v>1.3899999999999999E-2</v>
      </c>
      <c r="H310" s="2">
        <v>0.1056</v>
      </c>
      <c r="I310" s="2">
        <v>0.16009999999999999</v>
      </c>
      <c r="J310" s="2">
        <v>0.51629999999999998</v>
      </c>
      <c r="K310" s="2">
        <v>5.3999999999999999E-2</v>
      </c>
      <c r="L310" s="2">
        <v>0.4103</v>
      </c>
      <c r="M310" s="2">
        <v>0.62219999999999998</v>
      </c>
      <c r="O310">
        <f t="shared" si="195"/>
        <v>0.51629999999999998</v>
      </c>
      <c r="P310">
        <f t="shared" si="196"/>
        <v>0.4103</v>
      </c>
      <c r="Q310">
        <f t="shared" si="196"/>
        <v>0.62219999999999998</v>
      </c>
      <c r="S310" t="str">
        <f t="shared" si="197"/>
        <v>0.52 (0.41 to 0.62)</v>
      </c>
    </row>
    <row r="311" spans="1:19" ht="17.25" thickBot="1" x14ac:dyDescent="0.35">
      <c r="A311" s="6"/>
      <c r="B311" s="13" t="s">
        <v>132</v>
      </c>
      <c r="C311" s="2">
        <v>17159</v>
      </c>
      <c r="D311" s="2">
        <v>7784722</v>
      </c>
      <c r="E311" s="2">
        <v>91183</v>
      </c>
      <c r="F311" s="2">
        <v>25.7331</v>
      </c>
      <c r="G311" s="2">
        <v>0.21560000000000001</v>
      </c>
      <c r="H311" s="2">
        <v>25.310400000000001</v>
      </c>
      <c r="I311" s="2">
        <v>26.155799999999999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3">
        <v>0</v>
      </c>
      <c r="C312" s="2">
        <v>16860</v>
      </c>
      <c r="D312" s="2">
        <v>7337062</v>
      </c>
      <c r="E312" s="2">
        <v>81006</v>
      </c>
      <c r="F312" s="2">
        <v>24.253299999999999</v>
      </c>
      <c r="G312" s="2">
        <v>0.18959999999999999</v>
      </c>
      <c r="H312" s="2">
        <v>23.881599999999999</v>
      </c>
      <c r="I312" s="2">
        <v>24.625</v>
      </c>
      <c r="J312" s="2">
        <v>98.627499999999998</v>
      </c>
      <c r="K312" s="2">
        <v>9.5799999999999996E-2</v>
      </c>
      <c r="L312" s="2">
        <v>98.439599999999999</v>
      </c>
      <c r="M312" s="2">
        <v>98.815399999999997</v>
      </c>
      <c r="O312">
        <f t="shared" ref="O312:O313" si="198">J312</f>
        <v>98.627499999999998</v>
      </c>
      <c r="P312">
        <f t="shared" ref="P312:Q313" si="199">L312</f>
        <v>98.439599999999999</v>
      </c>
      <c r="Q312">
        <f t="shared" si="199"/>
        <v>98.815399999999997</v>
      </c>
      <c r="S312" t="str">
        <f t="shared" ref="S312:S313" si="200">TEXT(O312,"0.00")&amp;" ("&amp;TEXT(P312,"0.00")&amp;" to "&amp;TEXT(Q312,"0.00")&amp;")"</f>
        <v>98.63 (98.44 to 98.82)</v>
      </c>
    </row>
    <row r="313" spans="1:19" ht="17.25" thickBot="1" x14ac:dyDescent="0.35">
      <c r="A313" s="6"/>
      <c r="B313" s="13">
        <v>1</v>
      </c>
      <c r="C313" s="2">
        <v>298</v>
      </c>
      <c r="D313" s="2">
        <v>102102</v>
      </c>
      <c r="E313" s="2">
        <v>7170</v>
      </c>
      <c r="F313" s="2">
        <v>0.33750000000000002</v>
      </c>
      <c r="G313" s="2">
        <v>2.3699999999999999E-2</v>
      </c>
      <c r="H313" s="2">
        <v>0.29099999999999998</v>
      </c>
      <c r="I313" s="2">
        <v>0.38400000000000001</v>
      </c>
      <c r="J313" s="2">
        <v>1.3725000000000001</v>
      </c>
      <c r="K313" s="2">
        <v>9.5799999999999996E-2</v>
      </c>
      <c r="L313" s="2">
        <v>1.1846000000000001</v>
      </c>
      <c r="M313" s="2">
        <v>1.5604</v>
      </c>
      <c r="O313">
        <f t="shared" si="198"/>
        <v>1.3725000000000001</v>
      </c>
      <c r="P313">
        <f t="shared" si="199"/>
        <v>1.1846000000000001</v>
      </c>
      <c r="Q313">
        <f t="shared" si="199"/>
        <v>1.5604</v>
      </c>
      <c r="S313" t="str">
        <f t="shared" si="200"/>
        <v>1.37 (1.18 to 1.56)</v>
      </c>
    </row>
    <row r="314" spans="1:19" ht="17.25" thickBot="1" x14ac:dyDescent="0.35">
      <c r="A314" s="6"/>
      <c r="B314" s="13" t="s">
        <v>132</v>
      </c>
      <c r="C314" s="2">
        <v>17158</v>
      </c>
      <c r="D314" s="2">
        <v>7439164</v>
      </c>
      <c r="E314" s="2">
        <v>81523</v>
      </c>
      <c r="F314" s="2">
        <v>24.590900000000001</v>
      </c>
      <c r="G314" s="2">
        <v>0.19059999999999999</v>
      </c>
      <c r="H314" s="2">
        <v>24.217099999999999</v>
      </c>
      <c r="I314" s="2">
        <v>24.964600000000001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3">
        <v>0</v>
      </c>
      <c r="C315" s="2">
        <v>16742</v>
      </c>
      <c r="D315" s="2">
        <v>7193524</v>
      </c>
      <c r="E315" s="2">
        <v>77846</v>
      </c>
      <c r="F315" s="2">
        <v>23.7789</v>
      </c>
      <c r="G315" s="2">
        <v>0.1905</v>
      </c>
      <c r="H315" s="2">
        <v>23.4054</v>
      </c>
      <c r="I315" s="2">
        <v>24.1523</v>
      </c>
      <c r="J315" s="2">
        <v>98.219099999999997</v>
      </c>
      <c r="K315" s="2">
        <v>0.1052</v>
      </c>
      <c r="L315" s="2">
        <v>98.012799999999999</v>
      </c>
      <c r="M315" s="2">
        <v>98.425299999999993</v>
      </c>
      <c r="O315">
        <f t="shared" ref="O315:O316" si="201">J315</f>
        <v>98.219099999999997</v>
      </c>
      <c r="P315">
        <f t="shared" ref="P315:Q316" si="202">L315</f>
        <v>98.012799999999999</v>
      </c>
      <c r="Q315">
        <f t="shared" si="202"/>
        <v>98.425299999999993</v>
      </c>
      <c r="S315" t="str">
        <f t="shared" ref="S315:S316" si="203">TEXT(O315,"0.00")&amp;" ("&amp;TEXT(P315,"0.00")&amp;" to "&amp;TEXT(Q315,"0.00")&amp;")"</f>
        <v>98.22 (98.01 to 98.43)</v>
      </c>
    </row>
    <row r="316" spans="1:19" ht="17.25" thickBot="1" x14ac:dyDescent="0.35">
      <c r="A316" s="6"/>
      <c r="B316" s="13">
        <v>1</v>
      </c>
      <c r="C316" s="2">
        <v>417</v>
      </c>
      <c r="D316" s="2">
        <v>130434</v>
      </c>
      <c r="E316" s="2">
        <v>7782</v>
      </c>
      <c r="F316" s="2">
        <v>0.43120000000000003</v>
      </c>
      <c r="G316" s="2">
        <v>2.5700000000000001E-2</v>
      </c>
      <c r="H316" s="2">
        <v>0.38080000000000003</v>
      </c>
      <c r="I316" s="2">
        <v>0.48149999999999998</v>
      </c>
      <c r="J316" s="2">
        <v>1.7808999999999999</v>
      </c>
      <c r="K316" s="2">
        <v>0.1052</v>
      </c>
      <c r="L316" s="2">
        <v>1.5747</v>
      </c>
      <c r="M316" s="2">
        <v>1.9872000000000001</v>
      </c>
      <c r="O316">
        <f t="shared" si="201"/>
        <v>1.7808999999999999</v>
      </c>
      <c r="P316">
        <f t="shared" si="202"/>
        <v>1.5747</v>
      </c>
      <c r="Q316">
        <f t="shared" si="202"/>
        <v>1.9872000000000001</v>
      </c>
      <c r="S316" t="str">
        <f t="shared" si="203"/>
        <v>1.78 (1.57 to 1.99)</v>
      </c>
    </row>
    <row r="317" spans="1:19" ht="17.25" thickBot="1" x14ac:dyDescent="0.35">
      <c r="A317" s="6"/>
      <c r="B317" s="13" t="s">
        <v>132</v>
      </c>
      <c r="C317" s="2">
        <v>17159</v>
      </c>
      <c r="D317" s="2">
        <v>7323958</v>
      </c>
      <c r="E317" s="2">
        <v>78593</v>
      </c>
      <c r="F317" s="2">
        <v>24.21</v>
      </c>
      <c r="G317" s="2">
        <v>0.19209999999999999</v>
      </c>
      <c r="H317" s="2">
        <v>23.833300000000001</v>
      </c>
      <c r="I317" s="2">
        <v>24.5868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3">
        <v>0</v>
      </c>
      <c r="C318" s="2">
        <v>16715</v>
      </c>
      <c r="D318" s="2">
        <v>7564025</v>
      </c>
      <c r="E318" s="2">
        <v>82416</v>
      </c>
      <c r="F318" s="2">
        <v>25.003599999999999</v>
      </c>
      <c r="G318" s="2">
        <v>0.2064</v>
      </c>
      <c r="H318" s="2">
        <v>24.598800000000001</v>
      </c>
      <c r="I318" s="2">
        <v>25.4084</v>
      </c>
      <c r="J318" s="2">
        <v>98.184200000000004</v>
      </c>
      <c r="K318" s="2">
        <v>0.1031</v>
      </c>
      <c r="L318" s="2">
        <v>97.982100000000003</v>
      </c>
      <c r="M318" s="2">
        <v>98.386300000000006</v>
      </c>
      <c r="O318">
        <f t="shared" ref="O318:O319" si="204">J318</f>
        <v>98.184200000000004</v>
      </c>
      <c r="P318">
        <f t="shared" ref="P318:Q319" si="205">L318</f>
        <v>97.982100000000003</v>
      </c>
      <c r="Q318">
        <f t="shared" si="205"/>
        <v>98.386300000000006</v>
      </c>
      <c r="S318" t="str">
        <f t="shared" ref="S318:S319" si="206">TEXT(O318,"0.00")&amp;" ("&amp;TEXT(P318,"0.00")&amp;" to "&amp;TEXT(Q318,"0.00")&amp;")"</f>
        <v>98.18 (97.98 to 98.39)</v>
      </c>
    </row>
    <row r="319" spans="1:19" ht="17.25" thickBot="1" x14ac:dyDescent="0.35">
      <c r="A319" s="6"/>
      <c r="B319" s="13">
        <v>1</v>
      </c>
      <c r="C319" s="2">
        <v>443</v>
      </c>
      <c r="D319" s="2">
        <v>139887</v>
      </c>
      <c r="E319" s="2">
        <v>7995</v>
      </c>
      <c r="F319" s="2">
        <v>0.46239999999999998</v>
      </c>
      <c r="G319" s="2">
        <v>2.6499999999999999E-2</v>
      </c>
      <c r="H319" s="2">
        <v>0.41039999999999999</v>
      </c>
      <c r="I319" s="2">
        <v>0.51439999999999997</v>
      </c>
      <c r="J319" s="2">
        <v>1.8158000000000001</v>
      </c>
      <c r="K319" s="2">
        <v>0.1031</v>
      </c>
      <c r="L319" s="2">
        <v>1.6136999999999999</v>
      </c>
      <c r="M319" s="2">
        <v>2.0179</v>
      </c>
      <c r="O319">
        <f t="shared" si="204"/>
        <v>1.8158000000000001</v>
      </c>
      <c r="P319">
        <f t="shared" si="205"/>
        <v>1.6136999999999999</v>
      </c>
      <c r="Q319">
        <f t="shared" si="205"/>
        <v>2.0179</v>
      </c>
      <c r="S319" t="str">
        <f t="shared" si="206"/>
        <v>1.82 (1.61 to 2.02)</v>
      </c>
    </row>
    <row r="320" spans="1:19" ht="17.25" thickBot="1" x14ac:dyDescent="0.35">
      <c r="A320" s="6"/>
      <c r="B320" s="13" t="s">
        <v>132</v>
      </c>
      <c r="C320" s="2">
        <v>17158</v>
      </c>
      <c r="D320" s="2">
        <v>7703912</v>
      </c>
      <c r="E320" s="2">
        <v>83068</v>
      </c>
      <c r="F320" s="2">
        <v>25.466000000000001</v>
      </c>
      <c r="G320" s="2">
        <v>0.2084</v>
      </c>
      <c r="H320" s="2">
        <v>25.057300000000001</v>
      </c>
      <c r="I320" s="2">
        <v>25.874700000000001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3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07">J321</f>
        <v>0</v>
      </c>
      <c r="P321">
        <f t="shared" ref="P321:Q322" si="208">L321</f>
        <v>0</v>
      </c>
      <c r="Q321">
        <f t="shared" si="208"/>
        <v>0</v>
      </c>
      <c r="S321" t="str">
        <f t="shared" ref="S321:S322" si="20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3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07"/>
        <v>0</v>
      </c>
      <c r="P322">
        <f t="shared" si="208"/>
        <v>0</v>
      </c>
      <c r="Q322">
        <f t="shared" si="208"/>
        <v>0</v>
      </c>
      <c r="S322" t="str">
        <f t="shared" si="209"/>
        <v>0.00 (0.00 to 0.00)</v>
      </c>
    </row>
    <row r="323" spans="1:19" x14ac:dyDescent="0.3">
      <c r="A323" s="6"/>
      <c r="B323" s="16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17" t="s">
        <v>214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</row>
    <row r="326" spans="1:19" ht="33" customHeight="1" x14ac:dyDescent="0.3">
      <c r="A326" s="18" t="s">
        <v>75</v>
      </c>
      <c r="B326" s="20" t="s">
        <v>18</v>
      </c>
      <c r="C326" s="20" t="s">
        <v>125</v>
      </c>
      <c r="D326" s="3" t="s">
        <v>126</v>
      </c>
      <c r="E326" s="3" t="s">
        <v>127</v>
      </c>
      <c r="F326" s="20" t="s">
        <v>129</v>
      </c>
      <c r="G326" s="3" t="s">
        <v>127</v>
      </c>
      <c r="H326" s="20" t="s">
        <v>130</v>
      </c>
      <c r="I326" s="20"/>
      <c r="J326" s="3" t="s">
        <v>149</v>
      </c>
      <c r="K326" s="3" t="s">
        <v>127</v>
      </c>
      <c r="L326" s="20" t="s">
        <v>130</v>
      </c>
      <c r="M326" s="20"/>
    </row>
    <row r="327" spans="1:19" ht="33" x14ac:dyDescent="0.3">
      <c r="A327" s="18"/>
      <c r="B327" s="20"/>
      <c r="C327" s="20"/>
      <c r="D327" s="3" t="s">
        <v>125</v>
      </c>
      <c r="E327" s="3" t="s">
        <v>128</v>
      </c>
      <c r="F327" s="20"/>
      <c r="G327" s="3" t="s">
        <v>129</v>
      </c>
      <c r="H327" s="20" t="s">
        <v>131</v>
      </c>
      <c r="I327" s="20"/>
      <c r="J327" s="3" t="s">
        <v>129</v>
      </c>
      <c r="K327" s="3" t="s">
        <v>150</v>
      </c>
      <c r="L327" s="20" t="s">
        <v>151</v>
      </c>
      <c r="M327" s="20"/>
    </row>
    <row r="328" spans="1:19" ht="17.25" thickBot="1" x14ac:dyDescent="0.35">
      <c r="A328" s="6">
        <v>1</v>
      </c>
      <c r="B328" s="13">
        <v>0</v>
      </c>
      <c r="C328" s="2">
        <v>17103</v>
      </c>
      <c r="D328" s="2">
        <v>7769120</v>
      </c>
      <c r="E328" s="2">
        <v>91186</v>
      </c>
      <c r="F328" s="2">
        <v>25.6816</v>
      </c>
      <c r="G328" s="2">
        <v>0.21560000000000001</v>
      </c>
      <c r="H328" s="2">
        <v>25.258900000000001</v>
      </c>
      <c r="I328" s="2">
        <v>26.104299999999999</v>
      </c>
      <c r="J328" s="2">
        <v>99.799599999999998</v>
      </c>
      <c r="K328" s="2">
        <v>2.98E-2</v>
      </c>
      <c r="L328" s="2">
        <v>99.741100000000003</v>
      </c>
      <c r="M328" s="2">
        <v>99.858000000000004</v>
      </c>
      <c r="O328">
        <f t="shared" ref="O328:O329" si="210">J328</f>
        <v>99.799599999999998</v>
      </c>
      <c r="P328">
        <f t="shared" ref="P328:Q329" si="211">L328</f>
        <v>99.741100000000003</v>
      </c>
      <c r="Q328">
        <f t="shared" si="211"/>
        <v>99.858000000000004</v>
      </c>
      <c r="S328" t="str">
        <f t="shared" ref="S328:S329" si="212">TEXT(O328,"0.00")&amp;" ("&amp;TEXT(P328,"0.00")&amp;" to "&amp;TEXT(Q328,"0.00")&amp;")"</f>
        <v>99.80 (99.74 to 99.86)</v>
      </c>
    </row>
    <row r="329" spans="1:19" ht="17.25" thickBot="1" x14ac:dyDescent="0.35">
      <c r="A329" s="6"/>
      <c r="B329" s="13">
        <v>1</v>
      </c>
      <c r="C329" s="2">
        <v>56</v>
      </c>
      <c r="D329" s="2">
        <v>15602</v>
      </c>
      <c r="E329" s="2">
        <v>2315</v>
      </c>
      <c r="F329" s="2">
        <v>5.16E-2</v>
      </c>
      <c r="G329" s="2">
        <v>7.7000000000000002E-3</v>
      </c>
      <c r="H329" s="2">
        <v>3.6499999999999998E-2</v>
      </c>
      <c r="I329" s="2">
        <v>6.6600000000000006E-2</v>
      </c>
      <c r="J329" s="2">
        <v>0.20039999999999999</v>
      </c>
      <c r="K329" s="2">
        <v>2.98E-2</v>
      </c>
      <c r="L329" s="2">
        <v>0.14199999999999999</v>
      </c>
      <c r="M329" s="2">
        <v>0.25890000000000002</v>
      </c>
      <c r="O329">
        <f t="shared" si="210"/>
        <v>0.20039999999999999</v>
      </c>
      <c r="P329">
        <f t="shared" si="211"/>
        <v>0.14199999999999999</v>
      </c>
      <c r="Q329">
        <f t="shared" si="211"/>
        <v>0.25890000000000002</v>
      </c>
      <c r="S329" t="str">
        <f t="shared" si="212"/>
        <v>0.20 (0.14 to 0.26)</v>
      </c>
    </row>
    <row r="330" spans="1:19" ht="17.25" thickBot="1" x14ac:dyDescent="0.35">
      <c r="A330" s="6"/>
      <c r="B330" s="13" t="s">
        <v>132</v>
      </c>
      <c r="C330" s="2">
        <v>17159</v>
      </c>
      <c r="D330" s="2">
        <v>7784722</v>
      </c>
      <c r="E330" s="2">
        <v>91183</v>
      </c>
      <c r="F330" s="2">
        <v>25.7331</v>
      </c>
      <c r="G330" s="2">
        <v>0.21560000000000001</v>
      </c>
      <c r="H330" s="2">
        <v>25.310400000000001</v>
      </c>
      <c r="I330" s="2">
        <v>26.155799999999999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3">
        <v>0</v>
      </c>
      <c r="C331" s="2">
        <v>17019</v>
      </c>
      <c r="D331" s="2">
        <v>7396794</v>
      </c>
      <c r="E331" s="2">
        <v>81281</v>
      </c>
      <c r="F331" s="2">
        <v>24.450800000000001</v>
      </c>
      <c r="G331" s="2">
        <v>0.19020000000000001</v>
      </c>
      <c r="H331" s="2">
        <v>24.0778</v>
      </c>
      <c r="I331" s="2">
        <v>24.823799999999999</v>
      </c>
      <c r="J331" s="2">
        <v>99.430400000000006</v>
      </c>
      <c r="K331" s="2">
        <v>6.08E-2</v>
      </c>
      <c r="L331" s="2">
        <v>99.311199999999999</v>
      </c>
      <c r="M331" s="2">
        <v>99.549700000000001</v>
      </c>
      <c r="O331">
        <f t="shared" ref="O331:O332" si="213">J331</f>
        <v>99.430400000000006</v>
      </c>
      <c r="P331">
        <f t="shared" ref="P331:Q332" si="214">L331</f>
        <v>99.311199999999999</v>
      </c>
      <c r="Q331">
        <f t="shared" si="214"/>
        <v>99.549700000000001</v>
      </c>
      <c r="S331" t="str">
        <f t="shared" ref="S331:S332" si="215">TEXT(O331,"0.00")&amp;" ("&amp;TEXT(P331,"0.00")&amp;" to "&amp;TEXT(Q331,"0.00")&amp;")"</f>
        <v>99.43 (99.31 to 99.55)</v>
      </c>
    </row>
    <row r="332" spans="1:19" ht="17.25" thickBot="1" x14ac:dyDescent="0.35">
      <c r="A332" s="6"/>
      <c r="B332" s="13">
        <v>1</v>
      </c>
      <c r="C332" s="2">
        <v>139</v>
      </c>
      <c r="D332" s="2">
        <v>42370</v>
      </c>
      <c r="E332" s="2">
        <v>4539</v>
      </c>
      <c r="F332" s="2">
        <v>0.1401</v>
      </c>
      <c r="G332" s="2">
        <v>1.4999999999999999E-2</v>
      </c>
      <c r="H332" s="2">
        <v>0.11070000000000001</v>
      </c>
      <c r="I332" s="2">
        <v>0.16950000000000001</v>
      </c>
      <c r="J332" s="2">
        <v>0.5696</v>
      </c>
      <c r="K332" s="2">
        <v>6.08E-2</v>
      </c>
      <c r="L332" s="2">
        <v>0.45029999999999998</v>
      </c>
      <c r="M332" s="2">
        <v>0.68879999999999997</v>
      </c>
      <c r="O332">
        <f t="shared" si="213"/>
        <v>0.5696</v>
      </c>
      <c r="P332">
        <f t="shared" si="214"/>
        <v>0.45029999999999998</v>
      </c>
      <c r="Q332">
        <f t="shared" si="214"/>
        <v>0.68879999999999997</v>
      </c>
      <c r="S332" t="str">
        <f t="shared" si="215"/>
        <v>0.57 (0.45 to 0.69)</v>
      </c>
    </row>
    <row r="333" spans="1:19" ht="17.25" thickBot="1" x14ac:dyDescent="0.35">
      <c r="A333" s="6"/>
      <c r="B333" s="13" t="s">
        <v>132</v>
      </c>
      <c r="C333" s="2">
        <v>17158</v>
      </c>
      <c r="D333" s="2">
        <v>7439164</v>
      </c>
      <c r="E333" s="2">
        <v>81523</v>
      </c>
      <c r="F333" s="2">
        <v>24.590900000000001</v>
      </c>
      <c r="G333" s="2">
        <v>0.19059999999999999</v>
      </c>
      <c r="H333" s="2">
        <v>24.217099999999999</v>
      </c>
      <c r="I333" s="2">
        <v>24.964600000000001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3">
        <v>0</v>
      </c>
      <c r="C334" s="2">
        <v>16955</v>
      </c>
      <c r="D334" s="2">
        <v>7257925</v>
      </c>
      <c r="E334" s="2">
        <v>78077</v>
      </c>
      <c r="F334" s="2">
        <v>23.991700000000002</v>
      </c>
      <c r="G334" s="2">
        <v>0.19089999999999999</v>
      </c>
      <c r="H334" s="2">
        <v>23.6174</v>
      </c>
      <c r="I334" s="2">
        <v>24.366099999999999</v>
      </c>
      <c r="J334" s="2">
        <v>99.098399999999998</v>
      </c>
      <c r="K334" s="2">
        <v>7.0999999999999994E-2</v>
      </c>
      <c r="L334" s="2">
        <v>98.959199999999996</v>
      </c>
      <c r="M334" s="2">
        <v>99.2376</v>
      </c>
      <c r="O334">
        <f t="shared" ref="O334:O335" si="216">J334</f>
        <v>99.098399999999998</v>
      </c>
      <c r="P334">
        <f t="shared" ref="P334:Q335" si="217">L334</f>
        <v>98.959199999999996</v>
      </c>
      <c r="Q334">
        <f t="shared" si="217"/>
        <v>99.2376</v>
      </c>
      <c r="S334" t="str">
        <f t="shared" ref="S334:S335" si="218">TEXT(O334,"0.00")&amp;" ("&amp;TEXT(P334,"0.00")&amp;" to "&amp;TEXT(Q334,"0.00")&amp;")"</f>
        <v>99.10 (98.96 to 99.24)</v>
      </c>
    </row>
    <row r="335" spans="1:19" ht="17.25" thickBot="1" x14ac:dyDescent="0.35">
      <c r="A335" s="6"/>
      <c r="B335" s="13">
        <v>1</v>
      </c>
      <c r="C335" s="2">
        <v>204</v>
      </c>
      <c r="D335" s="2">
        <v>66033</v>
      </c>
      <c r="E335" s="2">
        <v>5245</v>
      </c>
      <c r="F335" s="2">
        <v>0.21829999999999999</v>
      </c>
      <c r="G335" s="2">
        <v>1.7299999999999999E-2</v>
      </c>
      <c r="H335" s="2">
        <v>0.18440000000000001</v>
      </c>
      <c r="I335" s="2">
        <v>0.25219999999999998</v>
      </c>
      <c r="J335" s="2">
        <v>0.90159999999999996</v>
      </c>
      <c r="K335" s="2">
        <v>7.0999999999999994E-2</v>
      </c>
      <c r="L335" s="2">
        <v>0.76239999999999997</v>
      </c>
      <c r="M335" s="2">
        <v>1.0407999999999999</v>
      </c>
      <c r="O335">
        <f t="shared" si="216"/>
        <v>0.90159999999999996</v>
      </c>
      <c r="P335">
        <f t="shared" si="217"/>
        <v>0.76239999999999997</v>
      </c>
      <c r="Q335">
        <f t="shared" si="217"/>
        <v>1.0407999999999999</v>
      </c>
      <c r="S335" t="str">
        <f t="shared" si="218"/>
        <v>0.90 (0.76 to 1.04)</v>
      </c>
    </row>
    <row r="336" spans="1:19" ht="17.25" thickBot="1" x14ac:dyDescent="0.35">
      <c r="A336" s="6"/>
      <c r="B336" s="13" t="s">
        <v>132</v>
      </c>
      <c r="C336" s="2">
        <v>17159</v>
      </c>
      <c r="D336" s="2">
        <v>7323958</v>
      </c>
      <c r="E336" s="2">
        <v>78593</v>
      </c>
      <c r="F336" s="2">
        <v>24.21</v>
      </c>
      <c r="G336" s="2">
        <v>0.19209999999999999</v>
      </c>
      <c r="H336" s="2">
        <v>23.833300000000001</v>
      </c>
      <c r="I336" s="2">
        <v>24.5868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3">
        <v>0</v>
      </c>
      <c r="C337" s="2">
        <v>16920</v>
      </c>
      <c r="D337" s="2">
        <v>7623771</v>
      </c>
      <c r="E337" s="2">
        <v>82390</v>
      </c>
      <c r="F337" s="2">
        <v>25.2011</v>
      </c>
      <c r="G337" s="2">
        <v>0.2072</v>
      </c>
      <c r="H337" s="2">
        <v>24.794899999999998</v>
      </c>
      <c r="I337" s="2">
        <v>25.607299999999999</v>
      </c>
      <c r="J337" s="2">
        <v>98.959699999999998</v>
      </c>
      <c r="K337" s="2">
        <v>8.1600000000000006E-2</v>
      </c>
      <c r="L337" s="2">
        <v>98.799800000000005</v>
      </c>
      <c r="M337" s="2">
        <v>99.119699999999995</v>
      </c>
      <c r="O337">
        <f t="shared" ref="O337:O338" si="219">J337</f>
        <v>98.959699999999998</v>
      </c>
      <c r="P337">
        <f t="shared" ref="P337:Q338" si="220">L337</f>
        <v>98.799800000000005</v>
      </c>
      <c r="Q337">
        <f t="shared" si="220"/>
        <v>99.119699999999995</v>
      </c>
      <c r="S337" t="str">
        <f t="shared" ref="S337:S338" si="221">TEXT(O337,"0.00")&amp;" ("&amp;TEXT(P337,"0.00")&amp;" to "&amp;TEXT(Q337,"0.00")&amp;")"</f>
        <v>98.96 (98.80 to 99.12)</v>
      </c>
    </row>
    <row r="338" spans="1:19" ht="17.25" thickBot="1" x14ac:dyDescent="0.35">
      <c r="A338" s="6"/>
      <c r="B338" s="13">
        <v>1</v>
      </c>
      <c r="C338" s="2">
        <v>238</v>
      </c>
      <c r="D338" s="2">
        <v>80141</v>
      </c>
      <c r="E338" s="2">
        <v>6350</v>
      </c>
      <c r="F338" s="2">
        <v>0.26490000000000002</v>
      </c>
      <c r="G338" s="2">
        <v>2.0899999999999998E-2</v>
      </c>
      <c r="H338" s="2">
        <v>0.22389999999999999</v>
      </c>
      <c r="I338" s="2">
        <v>0.30590000000000001</v>
      </c>
      <c r="J338" s="2">
        <v>1.0403</v>
      </c>
      <c r="K338" s="2">
        <v>8.1600000000000006E-2</v>
      </c>
      <c r="L338" s="2">
        <v>0.88029999999999997</v>
      </c>
      <c r="M338" s="2">
        <v>1.2001999999999999</v>
      </c>
      <c r="O338">
        <f t="shared" si="219"/>
        <v>1.0403</v>
      </c>
      <c r="P338">
        <f t="shared" si="220"/>
        <v>0.88029999999999997</v>
      </c>
      <c r="Q338">
        <f t="shared" si="220"/>
        <v>1.2001999999999999</v>
      </c>
      <c r="S338" t="str">
        <f t="shared" si="221"/>
        <v>1.04 (0.88 to 1.20)</v>
      </c>
    </row>
    <row r="339" spans="1:19" ht="17.25" thickBot="1" x14ac:dyDescent="0.35">
      <c r="A339" s="6"/>
      <c r="B339" s="13" t="s">
        <v>132</v>
      </c>
      <c r="C339" s="2">
        <v>17158</v>
      </c>
      <c r="D339" s="2">
        <v>7703912</v>
      </c>
      <c r="E339" s="2">
        <v>83068</v>
      </c>
      <c r="F339" s="2">
        <v>25.466000000000001</v>
      </c>
      <c r="G339" s="2">
        <v>0.2084</v>
      </c>
      <c r="H339" s="2">
        <v>25.057300000000001</v>
      </c>
      <c r="I339" s="2">
        <v>25.874700000000001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3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22">J340</f>
        <v>0</v>
      </c>
      <c r="P340">
        <f t="shared" ref="P340:Q341" si="223">L340</f>
        <v>0</v>
      </c>
      <c r="Q340">
        <f t="shared" si="223"/>
        <v>0</v>
      </c>
      <c r="S340" t="str">
        <f t="shared" ref="S340:S341" si="224">TEXT(O340,"0.00")&amp;" ("&amp;TEXT(P340,"0.00")&amp;" to "&amp;TEXT(Q340,"0.00")&amp;")"</f>
        <v>0.00 (0.00 to 0.00)</v>
      </c>
    </row>
    <row r="341" spans="1:19" ht="17.25" thickBot="1" x14ac:dyDescent="0.35">
      <c r="A341" s="6"/>
      <c r="B341" s="13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22"/>
        <v>0</v>
      </c>
      <c r="P341">
        <f t="shared" si="223"/>
        <v>0</v>
      </c>
      <c r="Q341">
        <f t="shared" si="223"/>
        <v>0</v>
      </c>
      <c r="S341" t="str">
        <f t="shared" si="224"/>
        <v>0.00 (0.00 to 0.00)</v>
      </c>
    </row>
    <row r="342" spans="1:19" x14ac:dyDescent="0.3">
      <c r="A342" s="6"/>
      <c r="B342" s="16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17" t="s">
        <v>215</v>
      </c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</row>
    <row r="345" spans="1:19" ht="33" customHeight="1" x14ac:dyDescent="0.3">
      <c r="A345" s="18" t="s">
        <v>75</v>
      </c>
      <c r="B345" s="20" t="s">
        <v>19</v>
      </c>
      <c r="C345" s="20" t="s">
        <v>125</v>
      </c>
      <c r="D345" s="3" t="s">
        <v>126</v>
      </c>
      <c r="E345" s="3" t="s">
        <v>127</v>
      </c>
      <c r="F345" s="20" t="s">
        <v>129</v>
      </c>
      <c r="G345" s="3" t="s">
        <v>127</v>
      </c>
      <c r="H345" s="20" t="s">
        <v>130</v>
      </c>
      <c r="I345" s="20"/>
      <c r="J345" s="3" t="s">
        <v>149</v>
      </c>
      <c r="K345" s="3" t="s">
        <v>127</v>
      </c>
      <c r="L345" s="20" t="s">
        <v>130</v>
      </c>
      <c r="M345" s="20"/>
    </row>
    <row r="346" spans="1:19" ht="33" x14ac:dyDescent="0.3">
      <c r="A346" s="18"/>
      <c r="B346" s="20"/>
      <c r="C346" s="20"/>
      <c r="D346" s="3" t="s">
        <v>125</v>
      </c>
      <c r="E346" s="3" t="s">
        <v>128</v>
      </c>
      <c r="F346" s="20"/>
      <c r="G346" s="3" t="s">
        <v>129</v>
      </c>
      <c r="H346" s="20" t="s">
        <v>131</v>
      </c>
      <c r="I346" s="20"/>
      <c r="J346" s="3" t="s">
        <v>129</v>
      </c>
      <c r="K346" s="3" t="s">
        <v>150</v>
      </c>
      <c r="L346" s="20" t="s">
        <v>151</v>
      </c>
      <c r="M346" s="20"/>
    </row>
    <row r="347" spans="1:19" ht="17.25" thickBot="1" x14ac:dyDescent="0.35">
      <c r="A347" s="6">
        <v>1</v>
      </c>
      <c r="B347" s="13">
        <v>0</v>
      </c>
      <c r="C347" s="2">
        <v>17029</v>
      </c>
      <c r="D347" s="2">
        <v>7744484</v>
      </c>
      <c r="E347" s="2">
        <v>90912</v>
      </c>
      <c r="F347" s="2">
        <v>25.600100000000001</v>
      </c>
      <c r="G347" s="2">
        <v>0.21529999999999999</v>
      </c>
      <c r="H347" s="2">
        <v>25.178000000000001</v>
      </c>
      <c r="I347" s="2">
        <v>26.022200000000002</v>
      </c>
      <c r="J347" s="2">
        <v>99.483099999999993</v>
      </c>
      <c r="K347" s="2">
        <v>5.3699999999999998E-2</v>
      </c>
      <c r="L347" s="2">
        <v>99.377899999999997</v>
      </c>
      <c r="M347" s="2">
        <v>99.588399999999993</v>
      </c>
      <c r="O347">
        <f t="shared" ref="O347:O348" si="225">J347</f>
        <v>99.483099999999993</v>
      </c>
      <c r="P347">
        <f t="shared" ref="P347:Q348" si="226">L347</f>
        <v>99.377899999999997</v>
      </c>
      <c r="Q347">
        <f t="shared" si="226"/>
        <v>99.588399999999993</v>
      </c>
      <c r="S347" t="str">
        <f t="shared" ref="S347:S348" si="227">TEXT(O347,"0.00")&amp;" ("&amp;TEXT(P347,"0.00")&amp;" to "&amp;TEXT(Q347,"0.00")&amp;")"</f>
        <v>99.48 (99.38 to 99.59)</v>
      </c>
    </row>
    <row r="348" spans="1:19" ht="17.25" thickBot="1" x14ac:dyDescent="0.35">
      <c r="A348" s="6"/>
      <c r="B348" s="13">
        <v>1</v>
      </c>
      <c r="C348" s="2">
        <v>130</v>
      </c>
      <c r="D348" s="2">
        <v>40238</v>
      </c>
      <c r="E348" s="2">
        <v>4193</v>
      </c>
      <c r="F348" s="2">
        <v>0.13300000000000001</v>
      </c>
      <c r="G348" s="2">
        <v>1.38E-2</v>
      </c>
      <c r="H348" s="2">
        <v>0.10589999999999999</v>
      </c>
      <c r="I348" s="2">
        <v>0.16009999999999999</v>
      </c>
      <c r="J348" s="2">
        <v>0.51690000000000003</v>
      </c>
      <c r="K348" s="2">
        <v>5.3699999999999998E-2</v>
      </c>
      <c r="L348" s="2">
        <v>0.41160000000000002</v>
      </c>
      <c r="M348" s="2">
        <v>0.62209999999999999</v>
      </c>
      <c r="O348">
        <f t="shared" si="225"/>
        <v>0.51690000000000003</v>
      </c>
      <c r="P348">
        <f t="shared" si="226"/>
        <v>0.41160000000000002</v>
      </c>
      <c r="Q348">
        <f t="shared" si="226"/>
        <v>0.62209999999999999</v>
      </c>
      <c r="S348" t="str">
        <f t="shared" si="227"/>
        <v>0.52 (0.41 to 0.62)</v>
      </c>
    </row>
    <row r="349" spans="1:19" ht="17.25" thickBot="1" x14ac:dyDescent="0.35">
      <c r="A349" s="6"/>
      <c r="B349" s="13" t="s">
        <v>132</v>
      </c>
      <c r="C349" s="2">
        <v>17159</v>
      </c>
      <c r="D349" s="2">
        <v>7784722</v>
      </c>
      <c r="E349" s="2">
        <v>91183</v>
      </c>
      <c r="F349" s="2">
        <v>25.7331</v>
      </c>
      <c r="G349" s="2">
        <v>0.21560000000000001</v>
      </c>
      <c r="H349" s="2">
        <v>25.310400000000001</v>
      </c>
      <c r="I349" s="2">
        <v>26.155799999999999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3">
        <v>0</v>
      </c>
      <c r="C350" s="2">
        <v>16893</v>
      </c>
      <c r="D350" s="2">
        <v>7355470</v>
      </c>
      <c r="E350" s="2">
        <v>81342</v>
      </c>
      <c r="F350" s="2">
        <v>24.3142</v>
      </c>
      <c r="G350" s="2">
        <v>0.19059999999999999</v>
      </c>
      <c r="H350" s="2">
        <v>23.9405</v>
      </c>
      <c r="I350" s="2">
        <v>24.687899999999999</v>
      </c>
      <c r="J350" s="2">
        <v>98.875</v>
      </c>
      <c r="K350" s="2">
        <v>8.3099999999999993E-2</v>
      </c>
      <c r="L350" s="2">
        <v>98.712100000000007</v>
      </c>
      <c r="M350" s="2">
        <v>99.037800000000004</v>
      </c>
      <c r="O350">
        <f t="shared" ref="O350:O351" si="228">J350</f>
        <v>98.875</v>
      </c>
      <c r="P350">
        <f t="shared" ref="P350:Q351" si="229">L350</f>
        <v>98.712100000000007</v>
      </c>
      <c r="Q350">
        <f t="shared" si="229"/>
        <v>99.037800000000004</v>
      </c>
      <c r="S350" t="str">
        <f t="shared" ref="S350:S351" si="230">TEXT(O350,"0.00")&amp;" ("&amp;TEXT(P350,"0.00")&amp;" to "&amp;TEXT(Q350,"0.00")&amp;")"</f>
        <v>98.88 (98.71 to 99.04)</v>
      </c>
    </row>
    <row r="351" spans="1:19" ht="17.25" thickBot="1" x14ac:dyDescent="0.35">
      <c r="A351" s="6"/>
      <c r="B351" s="13">
        <v>1</v>
      </c>
      <c r="C351" s="2">
        <v>265</v>
      </c>
      <c r="D351" s="2">
        <v>83694</v>
      </c>
      <c r="E351" s="2">
        <v>6173</v>
      </c>
      <c r="F351" s="2">
        <v>0.2767</v>
      </c>
      <c r="G351" s="2">
        <v>2.0400000000000001E-2</v>
      </c>
      <c r="H351" s="2">
        <v>0.2366</v>
      </c>
      <c r="I351" s="2">
        <v>0.31669999999999998</v>
      </c>
      <c r="J351" s="2">
        <v>1.125</v>
      </c>
      <c r="K351" s="2">
        <v>8.3099999999999993E-2</v>
      </c>
      <c r="L351" s="2">
        <v>0.96220000000000006</v>
      </c>
      <c r="M351" s="2">
        <v>1.2879</v>
      </c>
      <c r="O351">
        <f t="shared" si="228"/>
        <v>1.125</v>
      </c>
      <c r="P351">
        <f t="shared" si="229"/>
        <v>0.96220000000000006</v>
      </c>
      <c r="Q351">
        <f t="shared" si="229"/>
        <v>1.2879</v>
      </c>
      <c r="S351" t="str">
        <f t="shared" si="230"/>
        <v>1.13 (0.96 to 1.29)</v>
      </c>
    </row>
    <row r="352" spans="1:19" ht="17.25" thickBot="1" x14ac:dyDescent="0.35">
      <c r="A352" s="6"/>
      <c r="B352" s="13" t="s">
        <v>132</v>
      </c>
      <c r="C352" s="2">
        <v>17158</v>
      </c>
      <c r="D352" s="2">
        <v>7439164</v>
      </c>
      <c r="E352" s="2">
        <v>81523</v>
      </c>
      <c r="F352" s="2">
        <v>24.590900000000001</v>
      </c>
      <c r="G352" s="2">
        <v>0.19059999999999999</v>
      </c>
      <c r="H352" s="2">
        <v>24.217099999999999</v>
      </c>
      <c r="I352" s="2">
        <v>24.964600000000001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3">
        <v>0</v>
      </c>
      <c r="C353" s="2">
        <v>16778</v>
      </c>
      <c r="D353" s="2">
        <v>7205061</v>
      </c>
      <c r="E353" s="2">
        <v>78221</v>
      </c>
      <c r="F353" s="2">
        <v>23.817</v>
      </c>
      <c r="G353" s="2">
        <v>0.19139999999999999</v>
      </c>
      <c r="H353" s="2">
        <v>23.441700000000001</v>
      </c>
      <c r="I353" s="2">
        <v>24.192299999999999</v>
      </c>
      <c r="J353" s="2">
        <v>98.376599999999996</v>
      </c>
      <c r="K353" s="2">
        <v>9.4799999999999995E-2</v>
      </c>
      <c r="L353" s="2">
        <v>98.190799999999996</v>
      </c>
      <c r="M353" s="2">
        <v>98.562399999999997</v>
      </c>
      <c r="O353">
        <f t="shared" ref="O353:O354" si="231">J353</f>
        <v>98.376599999999996</v>
      </c>
      <c r="P353">
        <f t="shared" ref="P353:Q354" si="232">L353</f>
        <v>98.190799999999996</v>
      </c>
      <c r="Q353">
        <f t="shared" si="232"/>
        <v>98.562399999999997</v>
      </c>
      <c r="S353" t="str">
        <f t="shared" ref="S353:S354" si="233">TEXT(O353,"0.00")&amp;" ("&amp;TEXT(P353,"0.00")&amp;" to "&amp;TEXT(Q353,"0.00")&amp;")"</f>
        <v>98.38 (98.19 to 98.56)</v>
      </c>
    </row>
    <row r="354" spans="1:19" ht="17.25" thickBot="1" x14ac:dyDescent="0.35">
      <c r="A354" s="6"/>
      <c r="B354" s="13">
        <v>1</v>
      </c>
      <c r="C354" s="2">
        <v>381</v>
      </c>
      <c r="D354" s="2">
        <v>118897</v>
      </c>
      <c r="E354" s="2">
        <v>6947</v>
      </c>
      <c r="F354" s="2">
        <v>0.39300000000000002</v>
      </c>
      <c r="G354" s="2">
        <v>2.3E-2</v>
      </c>
      <c r="H354" s="2">
        <v>0.34789999999999999</v>
      </c>
      <c r="I354" s="2">
        <v>0.43819999999999998</v>
      </c>
      <c r="J354" s="2">
        <v>1.6234</v>
      </c>
      <c r="K354" s="2">
        <v>9.4799999999999995E-2</v>
      </c>
      <c r="L354" s="2">
        <v>1.4376</v>
      </c>
      <c r="M354" s="2">
        <v>1.8091999999999999</v>
      </c>
      <c r="O354">
        <f t="shared" si="231"/>
        <v>1.6234</v>
      </c>
      <c r="P354">
        <f t="shared" si="232"/>
        <v>1.4376</v>
      </c>
      <c r="Q354">
        <f t="shared" si="232"/>
        <v>1.8091999999999999</v>
      </c>
      <c r="S354" t="str">
        <f t="shared" si="233"/>
        <v>1.62 (1.44 to 1.81)</v>
      </c>
    </row>
    <row r="355" spans="1:19" ht="17.25" thickBot="1" x14ac:dyDescent="0.35">
      <c r="A355" s="6"/>
      <c r="B355" s="13" t="s">
        <v>132</v>
      </c>
      <c r="C355" s="2">
        <v>17159</v>
      </c>
      <c r="D355" s="2">
        <v>7323958</v>
      </c>
      <c r="E355" s="2">
        <v>78593</v>
      </c>
      <c r="F355" s="2">
        <v>24.21</v>
      </c>
      <c r="G355" s="2">
        <v>0.19209999999999999</v>
      </c>
      <c r="H355" s="2">
        <v>23.833300000000001</v>
      </c>
      <c r="I355" s="2">
        <v>24.5868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3">
        <v>0</v>
      </c>
      <c r="C356" s="2">
        <v>16733</v>
      </c>
      <c r="D356" s="2">
        <v>7568996</v>
      </c>
      <c r="E356" s="2">
        <v>82000</v>
      </c>
      <c r="F356" s="2">
        <v>25.02</v>
      </c>
      <c r="G356" s="2">
        <v>0.20680000000000001</v>
      </c>
      <c r="H356" s="2">
        <v>24.6145</v>
      </c>
      <c r="I356" s="2">
        <v>25.4255</v>
      </c>
      <c r="J356" s="2">
        <v>98.248699999999999</v>
      </c>
      <c r="K356" s="2">
        <v>0.1036</v>
      </c>
      <c r="L356" s="2">
        <v>98.045699999999997</v>
      </c>
      <c r="M356" s="2">
        <v>98.451800000000006</v>
      </c>
      <c r="O356">
        <f t="shared" ref="O356:O357" si="234">J356</f>
        <v>98.248699999999999</v>
      </c>
      <c r="P356">
        <f t="shared" ref="P356:Q357" si="235">L356</f>
        <v>98.045699999999997</v>
      </c>
      <c r="Q356">
        <f t="shared" si="235"/>
        <v>98.451800000000006</v>
      </c>
      <c r="S356" t="str">
        <f t="shared" ref="S356:S357" si="236">TEXT(O356,"0.00")&amp;" ("&amp;TEXT(P356,"0.00")&amp;" to "&amp;TEXT(Q356,"0.00")&amp;")"</f>
        <v>98.25 (98.05 to 98.45)</v>
      </c>
    </row>
    <row r="357" spans="1:19" ht="17.25" thickBot="1" x14ac:dyDescent="0.35">
      <c r="A357" s="6"/>
      <c r="B357" s="13">
        <v>1</v>
      </c>
      <c r="C357" s="2">
        <v>425</v>
      </c>
      <c r="D357" s="2">
        <v>134916</v>
      </c>
      <c r="E357" s="2">
        <v>8111</v>
      </c>
      <c r="F357" s="2">
        <v>0.44600000000000001</v>
      </c>
      <c r="G357" s="2">
        <v>2.6599999999999999E-2</v>
      </c>
      <c r="H357" s="2">
        <v>0.39389999999999997</v>
      </c>
      <c r="I357" s="2">
        <v>0.49809999999999999</v>
      </c>
      <c r="J357" s="2">
        <v>1.7513000000000001</v>
      </c>
      <c r="K357" s="2">
        <v>0.1036</v>
      </c>
      <c r="L357" s="2">
        <v>1.5482</v>
      </c>
      <c r="M357" s="2">
        <v>1.9542999999999999</v>
      </c>
      <c r="O357">
        <f t="shared" si="234"/>
        <v>1.7513000000000001</v>
      </c>
      <c r="P357">
        <f t="shared" si="235"/>
        <v>1.5482</v>
      </c>
      <c r="Q357">
        <f t="shared" si="235"/>
        <v>1.9542999999999999</v>
      </c>
      <c r="S357" t="str">
        <f t="shared" si="236"/>
        <v>1.75 (1.55 to 1.95)</v>
      </c>
    </row>
    <row r="358" spans="1:19" ht="17.25" thickBot="1" x14ac:dyDescent="0.35">
      <c r="A358" s="6"/>
      <c r="B358" s="13" t="s">
        <v>132</v>
      </c>
      <c r="C358" s="2">
        <v>17158</v>
      </c>
      <c r="D358" s="2">
        <v>7703912</v>
      </c>
      <c r="E358" s="2">
        <v>83068</v>
      </c>
      <c r="F358" s="2">
        <v>25.466000000000001</v>
      </c>
      <c r="G358" s="2">
        <v>0.2084</v>
      </c>
      <c r="H358" s="2">
        <v>25.057300000000001</v>
      </c>
      <c r="I358" s="2">
        <v>25.874700000000001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3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237">J359</f>
        <v>0</v>
      </c>
      <c r="P359">
        <f t="shared" ref="P359:Q360" si="238">L359</f>
        <v>0</v>
      </c>
      <c r="Q359">
        <f t="shared" si="238"/>
        <v>0</v>
      </c>
      <c r="S359" t="str">
        <f t="shared" ref="S359:S360" si="23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3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237"/>
        <v>0</v>
      </c>
      <c r="P360">
        <f t="shared" si="238"/>
        <v>0</v>
      </c>
      <c r="Q360">
        <f t="shared" si="238"/>
        <v>0</v>
      </c>
      <c r="S360" t="str">
        <f t="shared" si="239"/>
        <v>0.00 (0.00 to 0.00)</v>
      </c>
    </row>
    <row r="361" spans="1:19" x14ac:dyDescent="0.3">
      <c r="A361" s="6"/>
      <c r="B361" s="16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:B3"/>
    <mergeCell ref="A9:M9"/>
    <mergeCell ref="A10:A11"/>
    <mergeCell ref="B10:B11"/>
    <mergeCell ref="C10:C11"/>
    <mergeCell ref="F10:F11"/>
    <mergeCell ref="H10:I10"/>
    <mergeCell ref="L10:M10"/>
    <mergeCell ref="H11:I11"/>
    <mergeCell ref="L11:M11"/>
    <mergeCell ref="A33:M33"/>
    <mergeCell ref="A34:A35"/>
    <mergeCell ref="B34:B35"/>
    <mergeCell ref="C34:C35"/>
    <mergeCell ref="F34:F35"/>
    <mergeCell ref="H34:I34"/>
    <mergeCell ref="L34:M34"/>
    <mergeCell ref="H35:I35"/>
    <mergeCell ref="L35:M35"/>
    <mergeCell ref="A52:M52"/>
    <mergeCell ref="A53:A54"/>
    <mergeCell ref="B53:B54"/>
    <mergeCell ref="C53:C54"/>
    <mergeCell ref="F53:F54"/>
    <mergeCell ref="H53:I53"/>
    <mergeCell ref="L53:M53"/>
    <mergeCell ref="H54:I54"/>
    <mergeCell ref="L54:M54"/>
    <mergeCell ref="A71:M71"/>
    <mergeCell ref="A72:A73"/>
    <mergeCell ref="B72:B73"/>
    <mergeCell ref="C72:C73"/>
    <mergeCell ref="F72:F73"/>
    <mergeCell ref="H72:I72"/>
    <mergeCell ref="L72:M72"/>
    <mergeCell ref="H73:I73"/>
    <mergeCell ref="L73:M73"/>
    <mergeCell ref="A100:M100"/>
    <mergeCell ref="A101:A102"/>
    <mergeCell ref="B101:B102"/>
    <mergeCell ref="C101:C102"/>
    <mergeCell ref="F101:F102"/>
    <mergeCell ref="H101:I101"/>
    <mergeCell ref="L101:M101"/>
    <mergeCell ref="H102:I102"/>
    <mergeCell ref="L102:M102"/>
    <mergeCell ref="A129:M129"/>
    <mergeCell ref="A130:A131"/>
    <mergeCell ref="B130:B131"/>
    <mergeCell ref="C130:C131"/>
    <mergeCell ref="F130:F131"/>
    <mergeCell ref="H130:I130"/>
    <mergeCell ref="L130:M130"/>
    <mergeCell ref="H131:I131"/>
    <mergeCell ref="L131:M131"/>
    <mergeCell ref="A158:M158"/>
    <mergeCell ref="A159:A160"/>
    <mergeCell ref="B159:B160"/>
    <mergeCell ref="C159:C160"/>
    <mergeCell ref="F159:F160"/>
    <mergeCell ref="H159:I159"/>
    <mergeCell ref="L159:M159"/>
    <mergeCell ref="H160:I160"/>
    <mergeCell ref="L160:M160"/>
    <mergeCell ref="A177:M177"/>
    <mergeCell ref="A178:A179"/>
    <mergeCell ref="B178:B179"/>
    <mergeCell ref="C178:C179"/>
    <mergeCell ref="F178:F179"/>
    <mergeCell ref="H178:I178"/>
    <mergeCell ref="L178:M178"/>
    <mergeCell ref="H179:I179"/>
    <mergeCell ref="L179:M179"/>
    <mergeCell ref="A201:M201"/>
    <mergeCell ref="A202:A203"/>
    <mergeCell ref="B202:B203"/>
    <mergeCell ref="C202:C203"/>
    <mergeCell ref="F202:F203"/>
    <mergeCell ref="H202:I202"/>
    <mergeCell ref="L202:M202"/>
    <mergeCell ref="H203:I203"/>
    <mergeCell ref="L203:M203"/>
    <mergeCell ref="A225:M225"/>
    <mergeCell ref="A226:A227"/>
    <mergeCell ref="B226:B227"/>
    <mergeCell ref="C226:C227"/>
    <mergeCell ref="F226:F227"/>
    <mergeCell ref="H226:I226"/>
    <mergeCell ref="L226:M226"/>
    <mergeCell ref="H227:I227"/>
    <mergeCell ref="L227:M227"/>
    <mergeCell ref="A249:M249"/>
    <mergeCell ref="A250:A251"/>
    <mergeCell ref="B250:B251"/>
    <mergeCell ref="C250:C251"/>
    <mergeCell ref="F250:F251"/>
    <mergeCell ref="H250:I250"/>
    <mergeCell ref="L250:M250"/>
    <mergeCell ref="H251:I251"/>
    <mergeCell ref="L251:M251"/>
    <mergeCell ref="A268:M268"/>
    <mergeCell ref="A269:A270"/>
    <mergeCell ref="B269:B270"/>
    <mergeCell ref="C269:C270"/>
    <mergeCell ref="F269:F270"/>
    <mergeCell ref="H269:I269"/>
    <mergeCell ref="L269:M269"/>
    <mergeCell ref="H270:I270"/>
    <mergeCell ref="L270:M270"/>
    <mergeCell ref="A287:M287"/>
    <mergeCell ref="A288:A289"/>
    <mergeCell ref="B288:B289"/>
    <mergeCell ref="C288:C289"/>
    <mergeCell ref="F288:F289"/>
    <mergeCell ref="H288:I288"/>
    <mergeCell ref="L288:M288"/>
    <mergeCell ref="H289:I289"/>
    <mergeCell ref="L289:M289"/>
    <mergeCell ref="A306:M306"/>
    <mergeCell ref="A307:A308"/>
    <mergeCell ref="B307:B308"/>
    <mergeCell ref="C307:C308"/>
    <mergeCell ref="F307:F308"/>
    <mergeCell ref="H307:I307"/>
    <mergeCell ref="L307:M307"/>
    <mergeCell ref="H308:I308"/>
    <mergeCell ref="L308:M308"/>
    <mergeCell ref="A325:M325"/>
    <mergeCell ref="A326:A327"/>
    <mergeCell ref="B326:B327"/>
    <mergeCell ref="C326:C327"/>
    <mergeCell ref="F326:F327"/>
    <mergeCell ref="H326:I326"/>
    <mergeCell ref="L326:M326"/>
    <mergeCell ref="H327:I327"/>
    <mergeCell ref="L327:M327"/>
    <mergeCell ref="A344:M344"/>
    <mergeCell ref="A345:A346"/>
    <mergeCell ref="B345:B346"/>
    <mergeCell ref="C345:C346"/>
    <mergeCell ref="F345:F346"/>
    <mergeCell ref="H345:I345"/>
    <mergeCell ref="L345:M345"/>
    <mergeCell ref="H346:I346"/>
    <mergeCell ref="L346:M346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A5AA4-5B5C-4F82-BB72-252EA048822F}">
  <dimension ref="A1:L30"/>
  <sheetViews>
    <sheetView topLeftCell="A5" workbookViewId="0">
      <selection activeCell="L12" sqref="L12"/>
    </sheetView>
  </sheetViews>
  <sheetFormatPr defaultRowHeight="16.5" x14ac:dyDescent="0.3"/>
  <cols>
    <col min="12" max="12" width="20.5" bestFit="1" customWidth="1"/>
  </cols>
  <sheetData>
    <row r="1" spans="1:12" x14ac:dyDescent="0.3">
      <c r="A1" s="1" t="s">
        <v>216</v>
      </c>
    </row>
    <row r="2" spans="1:12" ht="17.25" thickBot="1" x14ac:dyDescent="0.35"/>
    <row r="3" spans="1:12" ht="16.5" customHeight="1" x14ac:dyDescent="0.3">
      <c r="A3" s="17" t="s">
        <v>119</v>
      </c>
      <c r="B3" s="19"/>
    </row>
    <row r="4" spans="1:12" ht="26.25" thickBot="1" x14ac:dyDescent="0.35">
      <c r="A4" s="14" t="s">
        <v>120</v>
      </c>
      <c r="B4" s="2">
        <v>183</v>
      </c>
    </row>
    <row r="5" spans="1:12" ht="26.25" thickBot="1" x14ac:dyDescent="0.35">
      <c r="A5" s="14" t="s">
        <v>121</v>
      </c>
      <c r="B5" s="2">
        <v>2982</v>
      </c>
    </row>
    <row r="6" spans="1:12" ht="39" thickBot="1" x14ac:dyDescent="0.35">
      <c r="A6" s="14" t="s">
        <v>122</v>
      </c>
      <c r="B6" s="2">
        <v>68634</v>
      </c>
    </row>
    <row r="7" spans="1:12" ht="25.5" x14ac:dyDescent="0.3">
      <c r="A7" s="15" t="s">
        <v>123</v>
      </c>
      <c r="B7" s="2">
        <v>30251756.699999999</v>
      </c>
    </row>
    <row r="8" spans="1:12" ht="17.25" thickBot="1" x14ac:dyDescent="0.35"/>
    <row r="9" spans="1:12" ht="16.5" customHeight="1" x14ac:dyDescent="0.3">
      <c r="A9" s="17" t="s">
        <v>217</v>
      </c>
      <c r="B9" s="19"/>
      <c r="C9" s="19"/>
      <c r="D9" s="19"/>
      <c r="E9" s="19"/>
      <c r="F9" s="19"/>
    </row>
    <row r="10" spans="1:12" x14ac:dyDescent="0.3">
      <c r="A10" s="18" t="s">
        <v>218</v>
      </c>
      <c r="B10" s="20" t="s">
        <v>93</v>
      </c>
      <c r="C10" s="20" t="s">
        <v>219</v>
      </c>
      <c r="D10" s="3" t="s">
        <v>220</v>
      </c>
      <c r="E10" s="20" t="s">
        <v>222</v>
      </c>
      <c r="F10" s="20"/>
    </row>
    <row r="11" spans="1:12" x14ac:dyDescent="0.3">
      <c r="A11" s="18"/>
      <c r="B11" s="20"/>
      <c r="C11" s="20"/>
      <c r="D11" s="3" t="s">
        <v>221</v>
      </c>
      <c r="E11" s="20"/>
      <c r="F11" s="20"/>
    </row>
    <row r="12" spans="1:12" ht="17.25" thickBot="1" x14ac:dyDescent="0.35">
      <c r="A12" s="14" t="s">
        <v>98</v>
      </c>
      <c r="B12" s="2">
        <v>68634</v>
      </c>
      <c r="C12" s="2">
        <v>45.215702</v>
      </c>
      <c r="D12" s="2">
        <v>0.103032</v>
      </c>
      <c r="E12" s="2">
        <v>45.013675999999997</v>
      </c>
      <c r="F12" s="2">
        <v>45.417729000000001</v>
      </c>
      <c r="H12">
        <f>C12</f>
        <v>45.215702</v>
      </c>
      <c r="I12">
        <f>E12</f>
        <v>45.013675999999997</v>
      </c>
      <c r="J12">
        <f>F12</f>
        <v>45.417729000000001</v>
      </c>
      <c r="L12" t="str">
        <f>TEXT(H12,"0.00")&amp;" ("&amp;TEXT(I12,"0.00")&amp;" to "&amp;TEXT(J12,"0.00")&amp;")"</f>
        <v>45.22 (45.01 to 45.42)</v>
      </c>
    </row>
    <row r="13" spans="1:12" ht="17.25" thickBot="1" x14ac:dyDescent="0.35">
      <c r="A13" s="14" t="s">
        <v>99</v>
      </c>
      <c r="B13" s="2">
        <v>68634</v>
      </c>
      <c r="C13" s="2">
        <v>23.906642000000002</v>
      </c>
      <c r="D13" s="2">
        <v>1.8789E-2</v>
      </c>
      <c r="E13" s="2">
        <v>23.869800000000001</v>
      </c>
      <c r="F13" s="2">
        <v>23.943483000000001</v>
      </c>
      <c r="H13">
        <f t="shared" ref="H13:H30" si="0">C13</f>
        <v>23.906642000000002</v>
      </c>
      <c r="I13">
        <f t="shared" ref="I13:I30" si="1">E13</f>
        <v>23.869800000000001</v>
      </c>
      <c r="J13">
        <f t="shared" ref="J13:J30" si="2">F13</f>
        <v>23.943483000000001</v>
      </c>
      <c r="L13" t="str">
        <f t="shared" ref="L13:L30" si="3">TEXT(H13,"0.00")&amp;" ("&amp;TEXT(I13,"0.00")&amp;" to "&amp;TEXT(J13,"0.00")&amp;")"</f>
        <v>23.91 (23.87 to 23.94)</v>
      </c>
    </row>
    <row r="14" spans="1:12" ht="17.25" thickBot="1" x14ac:dyDescent="0.35">
      <c r="A14" s="14" t="s">
        <v>100</v>
      </c>
      <c r="B14" s="2">
        <v>68634</v>
      </c>
      <c r="C14" s="2">
        <v>82.309307000000004</v>
      </c>
      <c r="D14" s="2">
        <v>5.8243999999999997E-2</v>
      </c>
      <c r="E14" s="2">
        <v>82.195100999999994</v>
      </c>
      <c r="F14" s="2">
        <v>82.423513999999997</v>
      </c>
      <c r="H14">
        <f t="shared" si="0"/>
        <v>82.309307000000004</v>
      </c>
      <c r="I14">
        <f t="shared" si="1"/>
        <v>82.195100999999994</v>
      </c>
      <c r="J14">
        <f t="shared" si="2"/>
        <v>82.423513999999997</v>
      </c>
      <c r="L14" t="str">
        <f t="shared" si="3"/>
        <v>82.31 (82.20 to 82.42)</v>
      </c>
    </row>
    <row r="15" spans="1:12" ht="17.25" thickBot="1" x14ac:dyDescent="0.35">
      <c r="A15" s="14" t="s">
        <v>101</v>
      </c>
      <c r="B15" s="2">
        <v>68634</v>
      </c>
      <c r="C15" s="2">
        <v>7.7218999999999996E-2</v>
      </c>
      <c r="D15" s="2">
        <v>3.3868999999999997E-5</v>
      </c>
      <c r="E15" s="2">
        <v>7.7151999999999998E-2</v>
      </c>
      <c r="F15" s="2">
        <v>7.7285000000000006E-2</v>
      </c>
      <c r="H15">
        <f t="shared" si="0"/>
        <v>7.7218999999999996E-2</v>
      </c>
      <c r="I15">
        <f t="shared" si="1"/>
        <v>7.7151999999999998E-2</v>
      </c>
      <c r="J15">
        <f t="shared" si="2"/>
        <v>7.7285000000000006E-2</v>
      </c>
      <c r="L15" t="str">
        <f t="shared" si="3"/>
        <v>0.08 (0.08 to 0.08)</v>
      </c>
    </row>
    <row r="16" spans="1:12" ht="17.25" thickBot="1" x14ac:dyDescent="0.35">
      <c r="A16" s="14" t="s">
        <v>102</v>
      </c>
      <c r="B16" s="2">
        <v>68634</v>
      </c>
      <c r="C16" s="2">
        <v>117.21146299999999</v>
      </c>
      <c r="D16" s="2">
        <v>9.3199000000000004E-2</v>
      </c>
      <c r="E16" s="2">
        <v>117.028718</v>
      </c>
      <c r="F16" s="2">
        <v>117.394209</v>
      </c>
      <c r="H16">
        <f t="shared" si="0"/>
        <v>117.21146299999999</v>
      </c>
      <c r="I16">
        <f t="shared" si="1"/>
        <v>117.028718</v>
      </c>
      <c r="J16">
        <f t="shared" si="2"/>
        <v>117.394209</v>
      </c>
      <c r="L16" t="str">
        <f t="shared" si="3"/>
        <v>117.21 (117.03 to 117.39)</v>
      </c>
    </row>
    <row r="17" spans="1:12" ht="17.25" thickBot="1" x14ac:dyDescent="0.35">
      <c r="A17" s="14" t="s">
        <v>103</v>
      </c>
      <c r="B17" s="2">
        <v>68634</v>
      </c>
      <c r="C17" s="2">
        <v>98.458911000000001</v>
      </c>
      <c r="D17" s="2">
        <v>0.106818</v>
      </c>
      <c r="E17" s="2">
        <v>98.249460999999997</v>
      </c>
      <c r="F17" s="2">
        <v>98.668362000000002</v>
      </c>
      <c r="H17">
        <f t="shared" si="0"/>
        <v>98.458911000000001</v>
      </c>
      <c r="I17">
        <f t="shared" si="1"/>
        <v>98.249460999999997</v>
      </c>
      <c r="J17">
        <f t="shared" si="2"/>
        <v>98.668362000000002</v>
      </c>
      <c r="L17" t="str">
        <f t="shared" si="3"/>
        <v>98.46 (98.25 to 98.67)</v>
      </c>
    </row>
    <row r="18" spans="1:12" ht="17.25" thickBot="1" x14ac:dyDescent="0.35">
      <c r="A18" s="14" t="s">
        <v>104</v>
      </c>
      <c r="B18" s="2">
        <v>68634</v>
      </c>
      <c r="C18" s="2">
        <v>189.976091</v>
      </c>
      <c r="D18" s="2">
        <v>0.19037499999999999</v>
      </c>
      <c r="E18" s="2">
        <v>189.602801</v>
      </c>
      <c r="F18" s="2">
        <v>190.34938099999999</v>
      </c>
      <c r="H18">
        <f t="shared" si="0"/>
        <v>189.976091</v>
      </c>
      <c r="I18">
        <f t="shared" si="1"/>
        <v>189.602801</v>
      </c>
      <c r="J18">
        <f t="shared" si="2"/>
        <v>190.34938099999999</v>
      </c>
      <c r="L18" t="str">
        <f t="shared" si="3"/>
        <v>189.98 (189.60 to 190.35)</v>
      </c>
    </row>
    <row r="19" spans="1:12" ht="26.25" thickBot="1" x14ac:dyDescent="0.35">
      <c r="A19" s="14" t="s">
        <v>105</v>
      </c>
      <c r="B19" s="2">
        <v>68634</v>
      </c>
      <c r="C19" s="2">
        <v>51.295279000000001</v>
      </c>
      <c r="D19" s="2">
        <v>6.8339999999999998E-2</v>
      </c>
      <c r="E19" s="2">
        <v>51.161278000000003</v>
      </c>
      <c r="F19" s="2">
        <v>51.429279999999999</v>
      </c>
      <c r="H19">
        <f t="shared" si="0"/>
        <v>51.295279000000001</v>
      </c>
      <c r="I19">
        <f t="shared" si="1"/>
        <v>51.161278000000003</v>
      </c>
      <c r="J19">
        <f t="shared" si="2"/>
        <v>51.429279999999999</v>
      </c>
      <c r="L19" t="str">
        <f t="shared" si="3"/>
        <v>51.30 (51.16 to 51.43)</v>
      </c>
    </row>
    <row r="20" spans="1:12" ht="17.25" thickBot="1" x14ac:dyDescent="0.35">
      <c r="A20" s="14" t="s">
        <v>106</v>
      </c>
      <c r="B20" s="2">
        <v>68634</v>
      </c>
      <c r="C20" s="2">
        <v>135.18556599999999</v>
      </c>
      <c r="D20" s="2">
        <v>0.58355000000000001</v>
      </c>
      <c r="E20" s="2">
        <v>134.04133300000001</v>
      </c>
      <c r="F20" s="2">
        <v>136.32979800000001</v>
      </c>
      <c r="H20">
        <f t="shared" si="0"/>
        <v>135.18556599999999</v>
      </c>
      <c r="I20">
        <f t="shared" si="1"/>
        <v>134.04133300000001</v>
      </c>
      <c r="J20">
        <f t="shared" si="2"/>
        <v>136.32979800000001</v>
      </c>
      <c r="L20" t="str">
        <f t="shared" si="3"/>
        <v>135.19 (134.04 to 136.33)</v>
      </c>
    </row>
    <row r="21" spans="1:12" ht="17.25" thickBot="1" x14ac:dyDescent="0.35">
      <c r="A21" s="14" t="s">
        <v>107</v>
      </c>
      <c r="B21" s="2">
        <v>68634</v>
      </c>
      <c r="C21" s="2">
        <v>23.221699999999998</v>
      </c>
      <c r="D21" s="2">
        <v>6.7901000000000003E-2</v>
      </c>
      <c r="E21" s="2">
        <v>23.088559</v>
      </c>
      <c r="F21" s="2">
        <v>23.354842000000001</v>
      </c>
      <c r="H21">
        <f t="shared" si="0"/>
        <v>23.221699999999998</v>
      </c>
      <c r="I21">
        <f t="shared" si="1"/>
        <v>23.088559</v>
      </c>
      <c r="J21">
        <f t="shared" si="2"/>
        <v>23.354842000000001</v>
      </c>
      <c r="L21" t="str">
        <f t="shared" si="3"/>
        <v>23.22 (23.09 to 23.35)</v>
      </c>
    </row>
    <row r="22" spans="1:12" ht="17.25" thickBot="1" x14ac:dyDescent="0.35">
      <c r="A22" s="14" t="s">
        <v>108</v>
      </c>
      <c r="B22" s="2">
        <v>68634</v>
      </c>
      <c r="C22" s="2">
        <v>23.406794000000001</v>
      </c>
      <c r="D22" s="2">
        <v>0.100787</v>
      </c>
      <c r="E22" s="2">
        <v>23.209168999999999</v>
      </c>
      <c r="F22" s="2">
        <v>23.604419</v>
      </c>
      <c r="H22">
        <f t="shared" si="0"/>
        <v>23.406794000000001</v>
      </c>
      <c r="I22">
        <f t="shared" si="1"/>
        <v>23.209168999999999</v>
      </c>
      <c r="J22">
        <f t="shared" si="2"/>
        <v>23.604419</v>
      </c>
      <c r="L22" t="str">
        <f t="shared" si="3"/>
        <v>23.41 (23.21 to 23.60)</v>
      </c>
    </row>
    <row r="23" spans="1:12" ht="17.25" thickBot="1" x14ac:dyDescent="0.35">
      <c r="A23" s="14" t="s">
        <v>109</v>
      </c>
      <c r="B23" s="2">
        <v>68634</v>
      </c>
      <c r="C23" s="2">
        <v>14.283538</v>
      </c>
      <c r="D23" s="2">
        <v>7.8530000000000006E-3</v>
      </c>
      <c r="E23" s="2">
        <v>14.268139</v>
      </c>
      <c r="F23" s="2">
        <v>14.298937</v>
      </c>
      <c r="H23">
        <f t="shared" si="0"/>
        <v>14.283538</v>
      </c>
      <c r="I23">
        <f t="shared" si="1"/>
        <v>14.268139</v>
      </c>
      <c r="J23">
        <f t="shared" si="2"/>
        <v>14.298937</v>
      </c>
      <c r="L23" t="str">
        <f t="shared" si="3"/>
        <v>14.28 (14.27 to 14.30)</v>
      </c>
    </row>
    <row r="24" spans="1:12" ht="17.25" thickBot="1" x14ac:dyDescent="0.35">
      <c r="A24" s="14" t="s">
        <v>110</v>
      </c>
      <c r="B24" s="2">
        <v>68634</v>
      </c>
      <c r="C24" s="2">
        <v>14.213452</v>
      </c>
      <c r="D24" s="2">
        <v>2.3168000000000001E-2</v>
      </c>
      <c r="E24" s="2">
        <v>14.168025</v>
      </c>
      <c r="F24" s="2">
        <v>14.25888</v>
      </c>
      <c r="H24">
        <f t="shared" si="0"/>
        <v>14.213452</v>
      </c>
      <c r="I24">
        <f t="shared" si="1"/>
        <v>14.168025</v>
      </c>
      <c r="J24">
        <f t="shared" si="2"/>
        <v>14.25888</v>
      </c>
      <c r="L24" t="str">
        <f t="shared" si="3"/>
        <v>14.21 (14.17 to 14.26)</v>
      </c>
    </row>
    <row r="25" spans="1:12" ht="17.25" thickBot="1" x14ac:dyDescent="0.35">
      <c r="A25" s="14" t="s">
        <v>111</v>
      </c>
      <c r="B25" s="2">
        <v>68634</v>
      </c>
      <c r="C25" s="2">
        <v>0.84737099999999999</v>
      </c>
      <c r="D25" s="2">
        <v>1.214E-3</v>
      </c>
      <c r="E25" s="2">
        <v>0.84499000000000002</v>
      </c>
      <c r="F25" s="2">
        <v>0.84975199999999995</v>
      </c>
      <c r="H25">
        <f t="shared" si="0"/>
        <v>0.84737099999999999</v>
      </c>
      <c r="I25">
        <f t="shared" si="1"/>
        <v>0.84499000000000002</v>
      </c>
      <c r="J25">
        <f t="shared" si="2"/>
        <v>0.84975199999999995</v>
      </c>
      <c r="L25" t="str">
        <f t="shared" si="3"/>
        <v>0.85 (0.84 to 0.85)</v>
      </c>
    </row>
    <row r="26" spans="1:12" ht="17.25" thickBot="1" x14ac:dyDescent="0.35">
      <c r="A26" s="14" t="s">
        <v>112</v>
      </c>
      <c r="B26" s="2">
        <v>68634</v>
      </c>
      <c r="C26" s="2">
        <v>5.7589569999999997</v>
      </c>
      <c r="D26" s="2">
        <v>4.032E-3</v>
      </c>
      <c r="E26" s="2">
        <v>5.7510510000000004</v>
      </c>
      <c r="F26" s="2">
        <v>5.7668629999999999</v>
      </c>
      <c r="H26">
        <f t="shared" si="0"/>
        <v>5.7589569999999997</v>
      </c>
      <c r="I26">
        <f t="shared" si="1"/>
        <v>5.7510510000000004</v>
      </c>
      <c r="J26">
        <f t="shared" si="2"/>
        <v>5.7668629999999999</v>
      </c>
      <c r="L26" t="str">
        <f t="shared" si="3"/>
        <v>5.76 (5.75 to 5.77)</v>
      </c>
    </row>
    <row r="27" spans="1:12" ht="17.25" thickBot="1" x14ac:dyDescent="0.35">
      <c r="A27" s="14" t="s">
        <v>113</v>
      </c>
      <c r="B27" s="2">
        <v>68634</v>
      </c>
      <c r="C27" s="2">
        <v>8.5827539999999996</v>
      </c>
      <c r="D27" s="2">
        <v>3.4259999999999998E-3</v>
      </c>
      <c r="E27" s="2">
        <v>8.5760360000000002</v>
      </c>
      <c r="F27" s="2">
        <v>8.5894720000000007</v>
      </c>
      <c r="H27">
        <f t="shared" si="0"/>
        <v>8.5827539999999996</v>
      </c>
      <c r="I27">
        <f t="shared" si="1"/>
        <v>8.5760360000000002</v>
      </c>
      <c r="J27">
        <f t="shared" si="2"/>
        <v>8.5894720000000007</v>
      </c>
      <c r="L27" t="str">
        <f t="shared" si="3"/>
        <v>8.58 (8.58 to 8.59)</v>
      </c>
    </row>
    <row r="28" spans="1:12" ht="17.25" thickBot="1" x14ac:dyDescent="0.35">
      <c r="A28" s="14" t="s">
        <v>114</v>
      </c>
      <c r="B28" s="2">
        <v>68634</v>
      </c>
      <c r="C28" s="2">
        <v>0.66370899999999999</v>
      </c>
      <c r="D28" s="2">
        <v>4.4099999999999999E-4</v>
      </c>
      <c r="E28" s="2">
        <v>0.66284399999999999</v>
      </c>
      <c r="F28" s="2">
        <v>0.66457299999999997</v>
      </c>
      <c r="H28">
        <f t="shared" si="0"/>
        <v>0.66370899999999999</v>
      </c>
      <c r="I28">
        <f t="shared" si="1"/>
        <v>0.66284399999999999</v>
      </c>
      <c r="J28">
        <f t="shared" si="2"/>
        <v>0.66457299999999997</v>
      </c>
      <c r="L28" t="str">
        <f t="shared" si="3"/>
        <v>0.66 (0.66 to 0.66)</v>
      </c>
    </row>
    <row r="29" spans="1:12" ht="17.25" thickBot="1" x14ac:dyDescent="0.35">
      <c r="A29" s="14" t="s">
        <v>115</v>
      </c>
      <c r="B29" s="2">
        <v>68634</v>
      </c>
      <c r="C29" s="2">
        <v>0.34523500000000001</v>
      </c>
      <c r="D29" s="2">
        <v>1.6490000000000001E-3</v>
      </c>
      <c r="E29" s="2">
        <v>0.342001</v>
      </c>
      <c r="F29" s="2">
        <v>0.34846899999999997</v>
      </c>
      <c r="H29">
        <f t="shared" si="0"/>
        <v>0.34523500000000001</v>
      </c>
      <c r="I29">
        <f t="shared" si="1"/>
        <v>0.342001</v>
      </c>
      <c r="J29">
        <f t="shared" si="2"/>
        <v>0.34846899999999997</v>
      </c>
      <c r="L29" t="str">
        <f t="shared" si="3"/>
        <v>0.35 (0.34 to 0.35)</v>
      </c>
    </row>
    <row r="30" spans="1:12" x14ac:dyDescent="0.3">
      <c r="A30" s="15" t="s">
        <v>116</v>
      </c>
      <c r="B30" s="2">
        <v>68634</v>
      </c>
      <c r="C30" s="2">
        <v>35.601087</v>
      </c>
      <c r="D30" s="2">
        <v>3.8943999999999999E-2</v>
      </c>
      <c r="E30" s="2">
        <v>35.524726000000001</v>
      </c>
      <c r="F30" s="2">
        <v>35.677449000000003</v>
      </c>
      <c r="H30">
        <f t="shared" si="0"/>
        <v>35.601087</v>
      </c>
      <c r="I30">
        <f t="shared" si="1"/>
        <v>35.524726000000001</v>
      </c>
      <c r="J30">
        <f t="shared" si="2"/>
        <v>35.677449000000003</v>
      </c>
      <c r="L30" t="str">
        <f t="shared" si="3"/>
        <v>35.60 (35.52 to 35.68)</v>
      </c>
    </row>
  </sheetData>
  <mergeCells count="6">
    <mergeCell ref="A3:B3"/>
    <mergeCell ref="A9:F9"/>
    <mergeCell ref="A10:A11"/>
    <mergeCell ref="B10:B11"/>
    <mergeCell ref="C10:C11"/>
    <mergeCell ref="E10:F11"/>
  </mergeCells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F2C6E-4A78-494D-86DC-1765EC934134}">
  <dimension ref="A1:M114"/>
  <sheetViews>
    <sheetView tabSelected="1" topLeftCell="A85" workbookViewId="0">
      <selection activeCell="N91" sqref="N91"/>
    </sheetView>
  </sheetViews>
  <sheetFormatPr defaultRowHeight="16.5" x14ac:dyDescent="0.3"/>
  <cols>
    <col min="13" max="13" width="23.875" bestFit="1" customWidth="1"/>
  </cols>
  <sheetData>
    <row r="1" spans="1:6" x14ac:dyDescent="0.3">
      <c r="A1" s="1" t="s">
        <v>216</v>
      </c>
    </row>
    <row r="2" spans="1:6" ht="17.25" thickBot="1" x14ac:dyDescent="0.35"/>
    <row r="3" spans="1:6" ht="16.5" customHeight="1" x14ac:dyDescent="0.3">
      <c r="A3" s="17" t="s">
        <v>119</v>
      </c>
      <c r="B3" s="19"/>
    </row>
    <row r="4" spans="1:6" ht="26.25" thickBot="1" x14ac:dyDescent="0.35">
      <c r="A4" s="14" t="s">
        <v>120</v>
      </c>
      <c r="B4" s="2">
        <v>183</v>
      </c>
    </row>
    <row r="5" spans="1:6" ht="26.25" thickBot="1" x14ac:dyDescent="0.35">
      <c r="A5" s="14" t="s">
        <v>121</v>
      </c>
      <c r="B5" s="2">
        <v>2982</v>
      </c>
    </row>
    <row r="6" spans="1:6" ht="39" thickBot="1" x14ac:dyDescent="0.35">
      <c r="A6" s="14" t="s">
        <v>122</v>
      </c>
      <c r="B6" s="2">
        <v>68634</v>
      </c>
    </row>
    <row r="7" spans="1:6" ht="25.5" x14ac:dyDescent="0.3">
      <c r="A7" s="15" t="s">
        <v>123</v>
      </c>
      <c r="B7" s="2">
        <v>30251756.699999999</v>
      </c>
    </row>
    <row r="8" spans="1:6" ht="17.25" thickBot="1" x14ac:dyDescent="0.35"/>
    <row r="9" spans="1:6" ht="16.5" customHeight="1" x14ac:dyDescent="0.3">
      <c r="A9" s="17" t="s">
        <v>217</v>
      </c>
      <c r="B9" s="19"/>
      <c r="C9" s="19"/>
      <c r="D9" s="19"/>
      <c r="E9" s="19"/>
      <c r="F9" s="19"/>
    </row>
    <row r="10" spans="1:6" x14ac:dyDescent="0.3">
      <c r="A10" s="18" t="s">
        <v>218</v>
      </c>
      <c r="B10" s="20" t="s">
        <v>93</v>
      </c>
      <c r="C10" s="20" t="s">
        <v>219</v>
      </c>
      <c r="D10" s="3" t="s">
        <v>220</v>
      </c>
      <c r="E10" s="20" t="s">
        <v>222</v>
      </c>
      <c r="F10" s="20"/>
    </row>
    <row r="11" spans="1:6" x14ac:dyDescent="0.3">
      <c r="A11" s="18"/>
      <c r="B11" s="20"/>
      <c r="C11" s="20"/>
      <c r="D11" s="3" t="s">
        <v>221</v>
      </c>
      <c r="E11" s="20"/>
      <c r="F11" s="20"/>
    </row>
    <row r="12" spans="1:6" ht="17.25" thickBot="1" x14ac:dyDescent="0.35">
      <c r="A12" s="14" t="s">
        <v>98</v>
      </c>
      <c r="B12" s="2">
        <v>68634</v>
      </c>
      <c r="C12" s="2">
        <v>45.215702</v>
      </c>
      <c r="D12" s="2">
        <v>0.103032</v>
      </c>
      <c r="E12" s="2">
        <v>45.013675999999997</v>
      </c>
      <c r="F12" s="2">
        <v>45.417729000000001</v>
      </c>
    </row>
    <row r="13" spans="1:6" ht="17.25" thickBot="1" x14ac:dyDescent="0.35">
      <c r="A13" s="14" t="s">
        <v>99</v>
      </c>
      <c r="B13" s="2">
        <v>68634</v>
      </c>
      <c r="C13" s="2">
        <v>23.906642000000002</v>
      </c>
      <c r="D13" s="2">
        <v>1.8789E-2</v>
      </c>
      <c r="E13" s="2">
        <v>23.869800000000001</v>
      </c>
      <c r="F13" s="2">
        <v>23.943483000000001</v>
      </c>
    </row>
    <row r="14" spans="1:6" ht="17.25" thickBot="1" x14ac:dyDescent="0.35">
      <c r="A14" s="14" t="s">
        <v>100</v>
      </c>
      <c r="B14" s="2">
        <v>68634</v>
      </c>
      <c r="C14" s="2">
        <v>82.309307000000004</v>
      </c>
      <c r="D14" s="2">
        <v>5.8243999999999997E-2</v>
      </c>
      <c r="E14" s="2">
        <v>82.195100999999994</v>
      </c>
      <c r="F14" s="2">
        <v>82.423513999999997</v>
      </c>
    </row>
    <row r="15" spans="1:6" ht="17.25" thickBot="1" x14ac:dyDescent="0.35">
      <c r="A15" s="14" t="s">
        <v>101</v>
      </c>
      <c r="B15" s="2">
        <v>68634</v>
      </c>
      <c r="C15" s="2">
        <v>7.7218999999999996E-2</v>
      </c>
      <c r="D15" s="2">
        <v>3.3868999999999997E-5</v>
      </c>
      <c r="E15" s="2">
        <v>7.7151999999999998E-2</v>
      </c>
      <c r="F15" s="2">
        <v>7.7285000000000006E-2</v>
      </c>
    </row>
    <row r="16" spans="1:6" ht="17.25" thickBot="1" x14ac:dyDescent="0.35">
      <c r="A16" s="14" t="s">
        <v>102</v>
      </c>
      <c r="B16" s="2">
        <v>68634</v>
      </c>
      <c r="C16" s="2">
        <v>117.21146299999999</v>
      </c>
      <c r="D16" s="2">
        <v>9.3199000000000004E-2</v>
      </c>
      <c r="E16" s="2">
        <v>117.028718</v>
      </c>
      <c r="F16" s="2">
        <v>117.394209</v>
      </c>
    </row>
    <row r="17" spans="1:6" ht="17.25" thickBot="1" x14ac:dyDescent="0.35">
      <c r="A17" s="14" t="s">
        <v>103</v>
      </c>
      <c r="B17" s="2">
        <v>68634</v>
      </c>
      <c r="C17" s="2">
        <v>98.458911000000001</v>
      </c>
      <c r="D17" s="2">
        <v>0.106818</v>
      </c>
      <c r="E17" s="2">
        <v>98.249460999999997</v>
      </c>
      <c r="F17" s="2">
        <v>98.668362000000002</v>
      </c>
    </row>
    <row r="18" spans="1:6" ht="17.25" thickBot="1" x14ac:dyDescent="0.35">
      <c r="A18" s="14" t="s">
        <v>104</v>
      </c>
      <c r="B18" s="2">
        <v>68634</v>
      </c>
      <c r="C18" s="2">
        <v>189.976091</v>
      </c>
      <c r="D18" s="2">
        <v>0.19037499999999999</v>
      </c>
      <c r="E18" s="2">
        <v>189.602801</v>
      </c>
      <c r="F18" s="2">
        <v>190.34938099999999</v>
      </c>
    </row>
    <row r="19" spans="1:6" ht="26.25" thickBot="1" x14ac:dyDescent="0.35">
      <c r="A19" s="14" t="s">
        <v>105</v>
      </c>
      <c r="B19" s="2">
        <v>68634</v>
      </c>
      <c r="C19" s="2">
        <v>51.295279000000001</v>
      </c>
      <c r="D19" s="2">
        <v>6.8339999999999998E-2</v>
      </c>
      <c r="E19" s="2">
        <v>51.161278000000003</v>
      </c>
      <c r="F19" s="2">
        <v>51.429279999999999</v>
      </c>
    </row>
    <row r="20" spans="1:6" ht="17.25" thickBot="1" x14ac:dyDescent="0.35">
      <c r="A20" s="14" t="s">
        <v>106</v>
      </c>
      <c r="B20" s="2">
        <v>68634</v>
      </c>
      <c r="C20" s="2">
        <v>135.18556599999999</v>
      </c>
      <c r="D20" s="2">
        <v>0.58355000000000001</v>
      </c>
      <c r="E20" s="2">
        <v>134.04133300000001</v>
      </c>
      <c r="F20" s="2">
        <v>136.32979800000001</v>
      </c>
    </row>
    <row r="21" spans="1:6" ht="17.25" thickBot="1" x14ac:dyDescent="0.35">
      <c r="A21" s="14" t="s">
        <v>107</v>
      </c>
      <c r="B21" s="2">
        <v>68634</v>
      </c>
      <c r="C21" s="2">
        <v>23.221699999999998</v>
      </c>
      <c r="D21" s="2">
        <v>6.7901000000000003E-2</v>
      </c>
      <c r="E21" s="2">
        <v>23.088559</v>
      </c>
      <c r="F21" s="2">
        <v>23.354842000000001</v>
      </c>
    </row>
    <row r="22" spans="1:6" ht="17.25" thickBot="1" x14ac:dyDescent="0.35">
      <c r="A22" s="14" t="s">
        <v>108</v>
      </c>
      <c r="B22" s="2">
        <v>68634</v>
      </c>
      <c r="C22" s="2">
        <v>23.406794000000001</v>
      </c>
      <c r="D22" s="2">
        <v>0.100787</v>
      </c>
      <c r="E22" s="2">
        <v>23.209168999999999</v>
      </c>
      <c r="F22" s="2">
        <v>23.604419</v>
      </c>
    </row>
    <row r="23" spans="1:6" ht="17.25" thickBot="1" x14ac:dyDescent="0.35">
      <c r="A23" s="14" t="s">
        <v>109</v>
      </c>
      <c r="B23" s="2">
        <v>68634</v>
      </c>
      <c r="C23" s="2">
        <v>14.283538</v>
      </c>
      <c r="D23" s="2">
        <v>7.8530000000000006E-3</v>
      </c>
      <c r="E23" s="2">
        <v>14.268139</v>
      </c>
      <c r="F23" s="2">
        <v>14.298937</v>
      </c>
    </row>
    <row r="24" spans="1:6" ht="17.25" thickBot="1" x14ac:dyDescent="0.35">
      <c r="A24" s="14" t="s">
        <v>110</v>
      </c>
      <c r="B24" s="2">
        <v>68634</v>
      </c>
      <c r="C24" s="2">
        <v>14.213452</v>
      </c>
      <c r="D24" s="2">
        <v>2.3168000000000001E-2</v>
      </c>
      <c r="E24" s="2">
        <v>14.168025</v>
      </c>
      <c r="F24" s="2">
        <v>14.25888</v>
      </c>
    </row>
    <row r="25" spans="1:6" ht="17.25" thickBot="1" x14ac:dyDescent="0.35">
      <c r="A25" s="14" t="s">
        <v>111</v>
      </c>
      <c r="B25" s="2">
        <v>68634</v>
      </c>
      <c r="C25" s="2">
        <v>0.84737099999999999</v>
      </c>
      <c r="D25" s="2">
        <v>1.214E-3</v>
      </c>
      <c r="E25" s="2">
        <v>0.84499000000000002</v>
      </c>
      <c r="F25" s="2">
        <v>0.84975199999999995</v>
      </c>
    </row>
    <row r="26" spans="1:6" ht="17.25" thickBot="1" x14ac:dyDescent="0.35">
      <c r="A26" s="14" t="s">
        <v>112</v>
      </c>
      <c r="B26" s="2">
        <v>68634</v>
      </c>
      <c r="C26" s="2">
        <v>5.7589569999999997</v>
      </c>
      <c r="D26" s="2">
        <v>4.032E-3</v>
      </c>
      <c r="E26" s="2">
        <v>5.7510510000000004</v>
      </c>
      <c r="F26" s="2">
        <v>5.7668629999999999</v>
      </c>
    </row>
    <row r="27" spans="1:6" ht="17.25" thickBot="1" x14ac:dyDescent="0.35">
      <c r="A27" s="14" t="s">
        <v>113</v>
      </c>
      <c r="B27" s="2">
        <v>68634</v>
      </c>
      <c r="C27" s="2">
        <v>8.5827539999999996</v>
      </c>
      <c r="D27" s="2">
        <v>3.4259999999999998E-3</v>
      </c>
      <c r="E27" s="2">
        <v>8.5760360000000002</v>
      </c>
      <c r="F27" s="2">
        <v>8.5894720000000007</v>
      </c>
    </row>
    <row r="28" spans="1:6" ht="17.25" thickBot="1" x14ac:dyDescent="0.35">
      <c r="A28" s="14" t="s">
        <v>114</v>
      </c>
      <c r="B28" s="2">
        <v>68634</v>
      </c>
      <c r="C28" s="2">
        <v>0.66370899999999999</v>
      </c>
      <c r="D28" s="2">
        <v>4.4099999999999999E-4</v>
      </c>
      <c r="E28" s="2">
        <v>0.66284399999999999</v>
      </c>
      <c r="F28" s="2">
        <v>0.66457299999999997</v>
      </c>
    </row>
    <row r="29" spans="1:6" ht="17.25" thickBot="1" x14ac:dyDescent="0.35">
      <c r="A29" s="14" t="s">
        <v>115</v>
      </c>
      <c r="B29" s="2">
        <v>68634</v>
      </c>
      <c r="C29" s="2">
        <v>0.34523500000000001</v>
      </c>
      <c r="D29" s="2">
        <v>1.6490000000000001E-3</v>
      </c>
      <c r="E29" s="2">
        <v>0.342001</v>
      </c>
      <c r="F29" s="2">
        <v>0.34846899999999997</v>
      </c>
    </row>
    <row r="30" spans="1:6" x14ac:dyDescent="0.3">
      <c r="A30" s="15" t="s">
        <v>116</v>
      </c>
      <c r="B30" s="2">
        <v>68634</v>
      </c>
      <c r="C30" s="2">
        <v>35.601087</v>
      </c>
      <c r="D30" s="2">
        <v>3.8943999999999999E-2</v>
      </c>
      <c r="E30" s="2">
        <v>35.524726000000001</v>
      </c>
      <c r="F30" s="2">
        <v>35.677449000000003</v>
      </c>
    </row>
    <row r="34" spans="1:13" x14ac:dyDescent="0.3">
      <c r="A34" s="1" t="s">
        <v>216</v>
      </c>
    </row>
    <row r="35" spans="1:13" ht="17.25" thickBot="1" x14ac:dyDescent="0.35"/>
    <row r="36" spans="1:13" ht="16.5" customHeight="1" x14ac:dyDescent="0.3">
      <c r="A36" s="17" t="s">
        <v>223</v>
      </c>
      <c r="B36" s="19"/>
      <c r="C36" s="19"/>
      <c r="D36" s="19"/>
      <c r="E36" s="19"/>
      <c r="F36" s="19"/>
      <c r="G36" s="19"/>
    </row>
    <row r="37" spans="1:13" x14ac:dyDescent="0.3">
      <c r="A37" s="18" t="s">
        <v>23</v>
      </c>
      <c r="B37" s="20" t="s">
        <v>218</v>
      </c>
      <c r="C37" s="20" t="s">
        <v>93</v>
      </c>
      <c r="D37" s="20" t="s">
        <v>219</v>
      </c>
      <c r="E37" s="3" t="s">
        <v>220</v>
      </c>
      <c r="F37" s="20" t="s">
        <v>222</v>
      </c>
      <c r="G37" s="20"/>
    </row>
    <row r="38" spans="1:13" x14ac:dyDescent="0.3">
      <c r="A38" s="18"/>
      <c r="B38" s="20"/>
      <c r="C38" s="20"/>
      <c r="D38" s="20"/>
      <c r="E38" s="3" t="s">
        <v>221</v>
      </c>
      <c r="F38" s="20"/>
      <c r="G38" s="20"/>
    </row>
    <row r="39" spans="1:13" ht="17.25" thickBot="1" x14ac:dyDescent="0.35">
      <c r="A39" s="6">
        <v>1</v>
      </c>
      <c r="B39" s="13" t="s">
        <v>98</v>
      </c>
      <c r="C39" s="2">
        <v>17199</v>
      </c>
      <c r="D39" s="2">
        <v>39.022990999999998</v>
      </c>
      <c r="E39" s="2">
        <v>0.140957</v>
      </c>
      <c r="F39" s="2">
        <v>38.746600999999998</v>
      </c>
      <c r="G39" s="2">
        <v>39.299379999999999</v>
      </c>
      <c r="I39">
        <f>D39</f>
        <v>39.022990999999998</v>
      </c>
      <c r="J39">
        <f>F39</f>
        <v>38.746600999999998</v>
      </c>
      <c r="K39">
        <f>G39</f>
        <v>39.299379999999999</v>
      </c>
      <c r="M39" t="str">
        <f>TEXT(I39,"0.00")&amp;" ("&amp;TEXT(J39,"0.00")&amp;" to "&amp;TEXT(K39,"0.00")&amp;")"</f>
        <v>39.02 (38.75 to 39.30)</v>
      </c>
    </row>
    <row r="40" spans="1:13" ht="17.25" thickBot="1" x14ac:dyDescent="0.35">
      <c r="A40" s="6"/>
      <c r="B40" s="13" t="s">
        <v>99</v>
      </c>
      <c r="C40" s="2">
        <v>17199</v>
      </c>
      <c r="D40" s="2">
        <v>22.04177</v>
      </c>
      <c r="E40" s="2">
        <v>2.9222000000000001E-2</v>
      </c>
      <c r="F40" s="2">
        <v>21.984470999999999</v>
      </c>
      <c r="G40" s="2">
        <v>22.099069</v>
      </c>
      <c r="I40">
        <f t="shared" ref="I40:I103" si="0">D40</f>
        <v>22.04177</v>
      </c>
      <c r="J40">
        <f t="shared" ref="J40:J103" si="1">F40</f>
        <v>21.984470999999999</v>
      </c>
      <c r="K40">
        <f t="shared" ref="K40:K103" si="2">G40</f>
        <v>22.099069</v>
      </c>
      <c r="M40" t="str">
        <f t="shared" ref="M40:M103" si="3">TEXT(I40,"0.00")&amp;" ("&amp;TEXT(J40,"0.00")&amp;" to "&amp;TEXT(K40,"0.00")&amp;")"</f>
        <v>22.04 (21.98 to 22.10)</v>
      </c>
    </row>
    <row r="41" spans="1:13" ht="17.25" thickBot="1" x14ac:dyDescent="0.35">
      <c r="A41" s="6"/>
      <c r="B41" s="13" t="s">
        <v>100</v>
      </c>
      <c r="C41" s="2">
        <v>17199</v>
      </c>
      <c r="D41" s="2">
        <v>75.608808999999994</v>
      </c>
      <c r="E41" s="2">
        <v>8.9248999999999995E-2</v>
      </c>
      <c r="F41" s="2">
        <v>75.433808999999997</v>
      </c>
      <c r="G41" s="2">
        <v>75.783810000000003</v>
      </c>
      <c r="I41">
        <f t="shared" si="0"/>
        <v>75.608808999999994</v>
      </c>
      <c r="J41">
        <f t="shared" si="1"/>
        <v>75.433808999999997</v>
      </c>
      <c r="K41">
        <f t="shared" si="2"/>
        <v>75.783810000000003</v>
      </c>
      <c r="M41" t="str">
        <f t="shared" si="3"/>
        <v>75.61 (75.43 to 75.78)</v>
      </c>
    </row>
    <row r="42" spans="1:13" ht="17.25" thickBot="1" x14ac:dyDescent="0.35">
      <c r="A42" s="6"/>
      <c r="B42" s="13" t="s">
        <v>101</v>
      </c>
      <c r="C42" s="2">
        <v>17199</v>
      </c>
      <c r="D42" s="2">
        <v>7.5145000000000003E-2</v>
      </c>
      <c r="E42" s="2">
        <v>4.6461000000000001E-5</v>
      </c>
      <c r="F42" s="2">
        <v>7.5053999999999996E-2</v>
      </c>
      <c r="G42" s="2">
        <v>7.5235999999999997E-2</v>
      </c>
      <c r="I42">
        <f t="shared" si="0"/>
        <v>7.5145000000000003E-2</v>
      </c>
      <c r="J42">
        <f t="shared" si="1"/>
        <v>7.5053999999999996E-2</v>
      </c>
      <c r="K42">
        <f t="shared" si="2"/>
        <v>7.5235999999999997E-2</v>
      </c>
      <c r="M42" t="str">
        <f t="shared" si="3"/>
        <v>0.08 (0.08 to 0.08)</v>
      </c>
    </row>
    <row r="43" spans="1:13" ht="17.25" thickBot="1" x14ac:dyDescent="0.35">
      <c r="A43" s="6"/>
      <c r="B43" s="13" t="s">
        <v>102</v>
      </c>
      <c r="C43" s="2">
        <v>17199</v>
      </c>
      <c r="D43" s="2">
        <v>110.404478</v>
      </c>
      <c r="E43" s="2">
        <v>0.129914</v>
      </c>
      <c r="F43" s="2">
        <v>110.14974100000001</v>
      </c>
      <c r="G43" s="2">
        <v>110.659215</v>
      </c>
      <c r="I43">
        <f t="shared" si="0"/>
        <v>110.404478</v>
      </c>
      <c r="J43">
        <f t="shared" si="1"/>
        <v>110.14974100000001</v>
      </c>
      <c r="K43">
        <f t="shared" si="2"/>
        <v>110.659215</v>
      </c>
      <c r="M43" t="str">
        <f t="shared" si="3"/>
        <v>110.40 (110.15 to 110.66)</v>
      </c>
    </row>
    <row r="44" spans="1:13" ht="17.25" thickBot="1" x14ac:dyDescent="0.35">
      <c r="A44" s="6"/>
      <c r="B44" s="13" t="s">
        <v>103</v>
      </c>
      <c r="C44" s="2">
        <v>17199</v>
      </c>
      <c r="D44" s="2">
        <v>89.001831999999993</v>
      </c>
      <c r="E44" s="2">
        <v>8.0171000000000006E-2</v>
      </c>
      <c r="F44" s="2">
        <v>88.844632000000004</v>
      </c>
      <c r="G44" s="2">
        <v>89.159031999999996</v>
      </c>
      <c r="I44">
        <f t="shared" si="0"/>
        <v>89.001831999999993</v>
      </c>
      <c r="J44">
        <f t="shared" si="1"/>
        <v>88.844632000000004</v>
      </c>
      <c r="K44">
        <f t="shared" si="2"/>
        <v>89.159031999999996</v>
      </c>
      <c r="M44" t="str">
        <f t="shared" si="3"/>
        <v>89.00 (88.84 to 89.16)</v>
      </c>
    </row>
    <row r="45" spans="1:13" ht="17.25" thickBot="1" x14ac:dyDescent="0.35">
      <c r="A45" s="6"/>
      <c r="B45" s="13" t="s">
        <v>104</v>
      </c>
      <c r="C45" s="2">
        <v>17199</v>
      </c>
      <c r="D45" s="2">
        <v>176.46593799999999</v>
      </c>
      <c r="E45" s="2">
        <v>0.29749500000000001</v>
      </c>
      <c r="F45" s="2">
        <v>175.88260600000001</v>
      </c>
      <c r="G45" s="2">
        <v>177.04927000000001</v>
      </c>
      <c r="I45">
        <f t="shared" si="0"/>
        <v>176.46593799999999</v>
      </c>
      <c r="J45">
        <f t="shared" si="1"/>
        <v>175.88260600000001</v>
      </c>
      <c r="K45">
        <f t="shared" si="2"/>
        <v>177.04927000000001</v>
      </c>
      <c r="M45" t="str">
        <f t="shared" si="3"/>
        <v>176.47 (175.88 to 177.05)</v>
      </c>
    </row>
    <row r="46" spans="1:13" ht="26.25" thickBot="1" x14ac:dyDescent="0.35">
      <c r="A46" s="6"/>
      <c r="B46" s="13" t="s">
        <v>105</v>
      </c>
      <c r="C46" s="2">
        <v>17199</v>
      </c>
      <c r="D46" s="2">
        <v>58.929464000000003</v>
      </c>
      <c r="E46" s="2">
        <v>0.122213</v>
      </c>
      <c r="F46" s="2">
        <v>58.689827999999999</v>
      </c>
      <c r="G46" s="2">
        <v>59.1691</v>
      </c>
      <c r="I46">
        <f t="shared" si="0"/>
        <v>58.929464000000003</v>
      </c>
      <c r="J46">
        <f t="shared" si="1"/>
        <v>58.689827999999999</v>
      </c>
      <c r="K46">
        <f t="shared" si="2"/>
        <v>59.1691</v>
      </c>
      <c r="M46" t="str">
        <f t="shared" si="3"/>
        <v>58.93 (58.69 to 59.17)</v>
      </c>
    </row>
    <row r="47" spans="1:13" ht="17.25" thickBot="1" x14ac:dyDescent="0.35">
      <c r="A47" s="6"/>
      <c r="B47" s="13" t="s">
        <v>106</v>
      </c>
      <c r="C47" s="2">
        <v>17199</v>
      </c>
      <c r="D47" s="2">
        <v>56.470810999999998</v>
      </c>
      <c r="E47" s="2">
        <v>0.11733200000000001</v>
      </c>
      <c r="F47" s="2">
        <v>56.240743999999999</v>
      </c>
      <c r="G47" s="2">
        <v>56.700878000000003</v>
      </c>
      <c r="I47">
        <f t="shared" si="0"/>
        <v>56.470810999999998</v>
      </c>
      <c r="J47">
        <f t="shared" si="1"/>
        <v>56.240743999999999</v>
      </c>
      <c r="K47">
        <f t="shared" si="2"/>
        <v>56.700878000000003</v>
      </c>
      <c r="M47" t="str">
        <f t="shared" si="3"/>
        <v>56.47 (56.24 to 56.70)</v>
      </c>
    </row>
    <row r="48" spans="1:13" ht="17.25" thickBot="1" x14ac:dyDescent="0.35">
      <c r="A48" s="6"/>
      <c r="B48" s="13" t="s">
        <v>107</v>
      </c>
      <c r="C48" s="2">
        <v>17199</v>
      </c>
      <c r="D48" s="2">
        <v>20.347821</v>
      </c>
      <c r="E48" s="2">
        <v>0.10698299999999999</v>
      </c>
      <c r="F48" s="2">
        <v>20.138048000000001</v>
      </c>
      <c r="G48" s="2">
        <v>20.557594000000002</v>
      </c>
      <c r="I48">
        <f t="shared" si="0"/>
        <v>20.347821</v>
      </c>
      <c r="J48">
        <f t="shared" si="1"/>
        <v>20.138048000000001</v>
      </c>
      <c r="K48">
        <f t="shared" si="2"/>
        <v>20.557594000000002</v>
      </c>
      <c r="M48" t="str">
        <f t="shared" si="3"/>
        <v>20.35 (20.14 to 20.56)</v>
      </c>
    </row>
    <row r="49" spans="1:13" ht="17.25" thickBot="1" x14ac:dyDescent="0.35">
      <c r="A49" s="6"/>
      <c r="B49" s="13" t="s">
        <v>108</v>
      </c>
      <c r="C49" s="2">
        <v>17199</v>
      </c>
      <c r="D49" s="2">
        <v>16.764040000000001</v>
      </c>
      <c r="E49" s="2">
        <v>0.11557000000000001</v>
      </c>
      <c r="F49" s="2">
        <v>16.537428999999999</v>
      </c>
      <c r="G49" s="2">
        <v>16.990651</v>
      </c>
      <c r="I49">
        <f t="shared" si="0"/>
        <v>16.764040000000001</v>
      </c>
      <c r="J49">
        <f t="shared" si="1"/>
        <v>16.537428999999999</v>
      </c>
      <c r="K49">
        <f t="shared" si="2"/>
        <v>16.990651</v>
      </c>
      <c r="M49" t="str">
        <f t="shared" si="3"/>
        <v>16.76 (16.54 to 16.99)</v>
      </c>
    </row>
    <row r="50" spans="1:13" ht="17.25" thickBot="1" x14ac:dyDescent="0.35">
      <c r="A50" s="6"/>
      <c r="B50" s="13" t="s">
        <v>109</v>
      </c>
      <c r="C50" s="2">
        <v>17199</v>
      </c>
      <c r="D50" s="2">
        <v>13.661632000000001</v>
      </c>
      <c r="E50" s="2">
        <v>1.495E-2</v>
      </c>
      <c r="F50" s="2">
        <v>13.632319000000001</v>
      </c>
      <c r="G50" s="2">
        <v>13.690944999999999</v>
      </c>
      <c r="I50">
        <f t="shared" si="0"/>
        <v>13.661632000000001</v>
      </c>
      <c r="J50">
        <f t="shared" si="1"/>
        <v>13.632319000000001</v>
      </c>
      <c r="K50">
        <f t="shared" si="2"/>
        <v>13.690944999999999</v>
      </c>
      <c r="M50" t="str">
        <f t="shared" si="3"/>
        <v>13.66 (13.63 to 13.69)</v>
      </c>
    </row>
    <row r="51" spans="1:13" ht="17.25" thickBot="1" x14ac:dyDescent="0.35">
      <c r="A51" s="6"/>
      <c r="B51" s="13" t="s">
        <v>110</v>
      </c>
      <c r="C51" s="2">
        <v>17199</v>
      </c>
      <c r="D51" s="2">
        <v>13.736445</v>
      </c>
      <c r="E51" s="2">
        <v>3.8908999999999999E-2</v>
      </c>
      <c r="F51" s="2">
        <v>13.660152999999999</v>
      </c>
      <c r="G51" s="2">
        <v>13.812738</v>
      </c>
      <c r="I51">
        <f t="shared" si="0"/>
        <v>13.736445</v>
      </c>
      <c r="J51">
        <f t="shared" si="1"/>
        <v>13.660152999999999</v>
      </c>
      <c r="K51">
        <f t="shared" si="2"/>
        <v>13.812738</v>
      </c>
      <c r="M51" t="str">
        <f t="shared" si="3"/>
        <v>13.74 (13.66 to 13.81)</v>
      </c>
    </row>
    <row r="52" spans="1:13" ht="17.25" thickBot="1" x14ac:dyDescent="0.35">
      <c r="A52" s="6"/>
      <c r="B52" s="13" t="s">
        <v>111</v>
      </c>
      <c r="C52" s="2">
        <v>17199</v>
      </c>
      <c r="D52" s="2">
        <v>0.79358899999999999</v>
      </c>
      <c r="E52" s="2">
        <v>2.372E-3</v>
      </c>
      <c r="F52" s="2">
        <v>0.78893899999999995</v>
      </c>
      <c r="G52" s="2">
        <v>0.79823900000000003</v>
      </c>
      <c r="I52">
        <f t="shared" si="0"/>
        <v>0.79358899999999999</v>
      </c>
      <c r="J52">
        <f t="shared" si="1"/>
        <v>0.78893899999999995</v>
      </c>
      <c r="K52">
        <f t="shared" si="2"/>
        <v>0.79823900000000003</v>
      </c>
      <c r="M52" t="str">
        <f t="shared" si="3"/>
        <v>0.79 (0.79 to 0.80)</v>
      </c>
    </row>
    <row r="53" spans="1:13" ht="17.25" thickBot="1" x14ac:dyDescent="0.35">
      <c r="A53" s="6"/>
      <c r="B53" s="13" t="s">
        <v>112</v>
      </c>
      <c r="C53" s="2">
        <v>17199</v>
      </c>
      <c r="D53" s="2">
        <v>5.813866</v>
      </c>
      <c r="E53" s="2">
        <v>7.1879999999999999E-3</v>
      </c>
      <c r="F53" s="2">
        <v>5.7997709999999998</v>
      </c>
      <c r="G53" s="2">
        <v>5.8279610000000002</v>
      </c>
      <c r="I53">
        <f t="shared" si="0"/>
        <v>5.813866</v>
      </c>
      <c r="J53">
        <f t="shared" si="1"/>
        <v>5.7997709999999998</v>
      </c>
      <c r="K53">
        <f t="shared" si="2"/>
        <v>5.8279610000000002</v>
      </c>
      <c r="M53" t="str">
        <f t="shared" si="3"/>
        <v>5.81 (5.80 to 5.83)</v>
      </c>
    </row>
    <row r="54" spans="1:13" ht="17.25" thickBot="1" x14ac:dyDescent="0.35">
      <c r="A54" s="6"/>
      <c r="B54" s="13" t="s">
        <v>113</v>
      </c>
      <c r="C54" s="2">
        <v>17199</v>
      </c>
      <c r="D54" s="2">
        <v>7.7974769999999998</v>
      </c>
      <c r="E54" s="2">
        <v>2.294E-3</v>
      </c>
      <c r="F54" s="2">
        <v>7.7929789999999999</v>
      </c>
      <c r="G54" s="2">
        <v>7.8019740000000004</v>
      </c>
      <c r="I54">
        <f t="shared" si="0"/>
        <v>7.7974769999999998</v>
      </c>
      <c r="J54">
        <f t="shared" si="1"/>
        <v>7.7929789999999999</v>
      </c>
      <c r="K54">
        <f t="shared" si="2"/>
        <v>7.8019740000000004</v>
      </c>
      <c r="M54" t="str">
        <f t="shared" si="3"/>
        <v>7.80 (7.79 to 7.80)</v>
      </c>
    </row>
    <row r="55" spans="1:13" ht="17.25" thickBot="1" x14ac:dyDescent="0.35">
      <c r="A55" s="6"/>
      <c r="B55" s="13" t="s">
        <v>114</v>
      </c>
      <c r="C55" s="2">
        <v>17199</v>
      </c>
      <c r="D55" s="2">
        <v>0.58610700000000004</v>
      </c>
      <c r="E55" s="2">
        <v>4.2099999999999999E-4</v>
      </c>
      <c r="F55" s="2">
        <v>0.58528100000000005</v>
      </c>
      <c r="G55" s="2">
        <v>0.58693200000000001</v>
      </c>
      <c r="I55">
        <f t="shared" si="0"/>
        <v>0.58610700000000004</v>
      </c>
      <c r="J55">
        <f t="shared" si="1"/>
        <v>0.58528100000000005</v>
      </c>
      <c r="K55">
        <f t="shared" si="2"/>
        <v>0.58693200000000001</v>
      </c>
      <c r="M55" t="str">
        <f t="shared" si="3"/>
        <v>0.59 (0.59 to 0.59)</v>
      </c>
    </row>
    <row r="56" spans="1:13" ht="17.25" thickBot="1" x14ac:dyDescent="0.35">
      <c r="A56" s="6"/>
      <c r="B56" s="13" t="s">
        <v>115</v>
      </c>
      <c r="C56" s="2">
        <v>17199</v>
      </c>
      <c r="D56" s="22">
        <v>-2.0632000000000001E-2</v>
      </c>
      <c r="E56" s="2">
        <v>1.397E-3</v>
      </c>
      <c r="F56" s="22">
        <v>-2.3369999999999998E-2</v>
      </c>
      <c r="G56" s="22">
        <v>-1.7894E-2</v>
      </c>
      <c r="I56">
        <f t="shared" si="0"/>
        <v>-2.0632000000000001E-2</v>
      </c>
      <c r="J56">
        <f t="shared" si="1"/>
        <v>-2.3369999999999998E-2</v>
      </c>
      <c r="K56">
        <f t="shared" si="2"/>
        <v>-1.7894E-2</v>
      </c>
      <c r="M56" t="str">
        <f t="shared" si="3"/>
        <v>-0.02 (-0.02 to -0.02)</v>
      </c>
    </row>
    <row r="57" spans="1:13" ht="17.25" thickBot="1" x14ac:dyDescent="0.35">
      <c r="A57" s="6"/>
      <c r="B57" s="13" t="s">
        <v>116</v>
      </c>
      <c r="C57" s="2">
        <v>17199</v>
      </c>
      <c r="D57" s="2">
        <v>29.798493000000001</v>
      </c>
      <c r="E57" s="2">
        <v>4.6607999999999997E-2</v>
      </c>
      <c r="F57" s="2">
        <v>29.707103</v>
      </c>
      <c r="G57" s="2">
        <v>29.889883999999999</v>
      </c>
      <c r="I57">
        <f t="shared" si="0"/>
        <v>29.798493000000001</v>
      </c>
      <c r="J57">
        <f t="shared" si="1"/>
        <v>29.707103</v>
      </c>
      <c r="K57">
        <f t="shared" si="2"/>
        <v>29.889883999999999</v>
      </c>
      <c r="M57" t="str">
        <f t="shared" si="3"/>
        <v>29.80 (29.71 to 29.89)</v>
      </c>
    </row>
    <row r="58" spans="1:13" ht="17.25" thickBot="1" x14ac:dyDescent="0.35">
      <c r="A58" s="6">
        <v>2</v>
      </c>
      <c r="B58" s="13" t="s">
        <v>98</v>
      </c>
      <c r="C58" s="2">
        <v>17099</v>
      </c>
      <c r="D58" s="2">
        <v>44.742901000000003</v>
      </c>
      <c r="E58" s="2">
        <v>0.16516500000000001</v>
      </c>
      <c r="F58" s="2">
        <v>44.419043000000002</v>
      </c>
      <c r="G58" s="2">
        <v>45.066758</v>
      </c>
      <c r="I58">
        <f t="shared" si="0"/>
        <v>44.742901000000003</v>
      </c>
      <c r="J58">
        <f t="shared" si="1"/>
        <v>44.419043000000002</v>
      </c>
      <c r="K58">
        <f t="shared" si="2"/>
        <v>45.066758</v>
      </c>
      <c r="M58" t="str">
        <f t="shared" si="3"/>
        <v>44.74 (44.42 to 45.07)</v>
      </c>
    </row>
    <row r="59" spans="1:13" ht="17.25" thickBot="1" x14ac:dyDescent="0.35">
      <c r="A59" s="6"/>
      <c r="B59" s="13" t="s">
        <v>99</v>
      </c>
      <c r="C59" s="2">
        <v>17099</v>
      </c>
      <c r="D59" s="2">
        <v>23.336231000000002</v>
      </c>
      <c r="E59" s="2">
        <v>3.1803999999999999E-2</v>
      </c>
      <c r="F59" s="2">
        <v>23.273869000000001</v>
      </c>
      <c r="G59" s="2">
        <v>23.398593000000002</v>
      </c>
      <c r="I59">
        <f t="shared" si="0"/>
        <v>23.336231000000002</v>
      </c>
      <c r="J59">
        <f t="shared" si="1"/>
        <v>23.273869000000001</v>
      </c>
      <c r="K59">
        <f t="shared" si="2"/>
        <v>23.398593000000002</v>
      </c>
      <c r="M59" t="str">
        <f t="shared" si="3"/>
        <v>23.34 (23.27 to 23.40)</v>
      </c>
    </row>
    <row r="60" spans="1:13" ht="17.25" thickBot="1" x14ac:dyDescent="0.35">
      <c r="A60" s="6"/>
      <c r="B60" s="13" t="s">
        <v>100</v>
      </c>
      <c r="C60" s="2">
        <v>17099</v>
      </c>
      <c r="D60" s="2">
        <v>80.467699999999994</v>
      </c>
      <c r="E60" s="2">
        <v>9.0883000000000005E-2</v>
      </c>
      <c r="F60" s="2">
        <v>80.289495000000002</v>
      </c>
      <c r="G60" s="2">
        <v>80.645904999999999</v>
      </c>
      <c r="I60">
        <f t="shared" si="0"/>
        <v>80.467699999999994</v>
      </c>
      <c r="J60">
        <f t="shared" si="1"/>
        <v>80.289495000000002</v>
      </c>
      <c r="K60">
        <f t="shared" si="2"/>
        <v>80.645904999999999</v>
      </c>
      <c r="M60" t="str">
        <f t="shared" si="3"/>
        <v>80.47 (80.29 to 80.65)</v>
      </c>
    </row>
    <row r="61" spans="1:13" ht="17.25" thickBot="1" x14ac:dyDescent="0.35">
      <c r="A61" s="6"/>
      <c r="B61" s="13" t="s">
        <v>101</v>
      </c>
      <c r="C61" s="2">
        <v>17099</v>
      </c>
      <c r="D61" s="2">
        <v>7.6838000000000004E-2</v>
      </c>
      <c r="E61" s="2">
        <v>4.5840999999999997E-5</v>
      </c>
      <c r="F61" s="2">
        <v>7.6747999999999997E-2</v>
      </c>
      <c r="G61" s="2">
        <v>7.6926999999999995E-2</v>
      </c>
      <c r="I61">
        <f t="shared" si="0"/>
        <v>7.6838000000000004E-2</v>
      </c>
      <c r="J61">
        <f t="shared" si="1"/>
        <v>7.6747999999999997E-2</v>
      </c>
      <c r="K61">
        <f t="shared" si="2"/>
        <v>7.6926999999999995E-2</v>
      </c>
      <c r="M61" t="str">
        <f t="shared" si="3"/>
        <v>0.08 (0.08 to 0.08)</v>
      </c>
    </row>
    <row r="62" spans="1:13" ht="17.25" thickBot="1" x14ac:dyDescent="0.35">
      <c r="A62" s="6"/>
      <c r="B62" s="13" t="s">
        <v>102</v>
      </c>
      <c r="C62" s="2">
        <v>17099</v>
      </c>
      <c r="D62" s="2">
        <v>115.672838</v>
      </c>
      <c r="E62" s="2">
        <v>0.144511</v>
      </c>
      <c r="F62" s="2">
        <v>115.38947899999999</v>
      </c>
      <c r="G62" s="2">
        <v>115.95619600000001</v>
      </c>
      <c r="I62">
        <f t="shared" si="0"/>
        <v>115.672838</v>
      </c>
      <c r="J62">
        <f t="shared" si="1"/>
        <v>115.38947899999999</v>
      </c>
      <c r="K62">
        <f t="shared" si="2"/>
        <v>115.95619600000001</v>
      </c>
      <c r="M62" t="str">
        <f t="shared" si="3"/>
        <v>115.67 (115.39 to 115.96)</v>
      </c>
    </row>
    <row r="63" spans="1:13" ht="17.25" thickBot="1" x14ac:dyDescent="0.35">
      <c r="A63" s="6"/>
      <c r="B63" s="13" t="s">
        <v>103</v>
      </c>
      <c r="C63" s="2">
        <v>17099</v>
      </c>
      <c r="D63" s="2">
        <v>93.915700999999999</v>
      </c>
      <c r="E63" s="2">
        <v>0.102659</v>
      </c>
      <c r="F63" s="2">
        <v>93.714404999999999</v>
      </c>
      <c r="G63" s="2">
        <v>94.116996</v>
      </c>
      <c r="I63">
        <f t="shared" si="0"/>
        <v>93.915700999999999</v>
      </c>
      <c r="J63">
        <f t="shared" si="1"/>
        <v>93.714404999999999</v>
      </c>
      <c r="K63">
        <f t="shared" si="2"/>
        <v>94.116996</v>
      </c>
      <c r="M63" t="str">
        <f t="shared" si="3"/>
        <v>93.92 (93.71 to 94.12)</v>
      </c>
    </row>
    <row r="64" spans="1:13" ht="17.25" thickBot="1" x14ac:dyDescent="0.35">
      <c r="A64" s="6"/>
      <c r="B64" s="13" t="s">
        <v>104</v>
      </c>
      <c r="C64" s="2">
        <v>17099</v>
      </c>
      <c r="D64" s="2">
        <v>185.81590199999999</v>
      </c>
      <c r="E64" s="2">
        <v>0.32468200000000003</v>
      </c>
      <c r="F64" s="2">
        <v>185.179261</v>
      </c>
      <c r="G64" s="2">
        <v>186.45254299999999</v>
      </c>
      <c r="I64">
        <f t="shared" si="0"/>
        <v>185.81590199999999</v>
      </c>
      <c r="J64">
        <f t="shared" si="1"/>
        <v>185.179261</v>
      </c>
      <c r="K64">
        <f t="shared" si="2"/>
        <v>186.45254299999999</v>
      </c>
      <c r="M64" t="str">
        <f t="shared" si="3"/>
        <v>185.82 (185.18 to 186.45)</v>
      </c>
    </row>
    <row r="65" spans="1:13" ht="26.25" thickBot="1" x14ac:dyDescent="0.35">
      <c r="A65" s="6"/>
      <c r="B65" s="13" t="s">
        <v>105</v>
      </c>
      <c r="C65" s="2">
        <v>17099</v>
      </c>
      <c r="D65" s="2">
        <v>53.546199000000001</v>
      </c>
      <c r="E65" s="2">
        <v>0.11140899999999999</v>
      </c>
      <c r="F65" s="2">
        <v>53.327745999999998</v>
      </c>
      <c r="G65" s="2">
        <v>53.764651000000001</v>
      </c>
      <c r="I65">
        <f t="shared" si="0"/>
        <v>53.546199000000001</v>
      </c>
      <c r="J65">
        <f t="shared" si="1"/>
        <v>53.327745999999998</v>
      </c>
      <c r="K65">
        <f t="shared" si="2"/>
        <v>53.764651000000001</v>
      </c>
      <c r="M65" t="str">
        <f t="shared" si="3"/>
        <v>53.55 (53.33 to 53.76)</v>
      </c>
    </row>
    <row r="66" spans="1:13" ht="17.25" thickBot="1" x14ac:dyDescent="0.35">
      <c r="A66" s="6"/>
      <c r="B66" s="13" t="s">
        <v>106</v>
      </c>
      <c r="C66" s="2">
        <v>17099</v>
      </c>
      <c r="D66" s="2">
        <v>90.195065999999997</v>
      </c>
      <c r="E66" s="2">
        <v>0.12725800000000001</v>
      </c>
      <c r="F66" s="2">
        <v>89.945537000000002</v>
      </c>
      <c r="G66" s="2">
        <v>90.444596000000004</v>
      </c>
      <c r="I66">
        <f t="shared" si="0"/>
        <v>90.195065999999997</v>
      </c>
      <c r="J66">
        <f t="shared" si="1"/>
        <v>89.945537000000002</v>
      </c>
      <c r="K66">
        <f t="shared" si="2"/>
        <v>90.444596000000004</v>
      </c>
      <c r="M66" t="str">
        <f t="shared" si="3"/>
        <v>90.20 (89.95 to 90.44)</v>
      </c>
    </row>
    <row r="67" spans="1:13" ht="17.25" thickBot="1" x14ac:dyDescent="0.35">
      <c r="A67" s="6"/>
      <c r="B67" s="13" t="s">
        <v>107</v>
      </c>
      <c r="C67" s="2">
        <v>17099</v>
      </c>
      <c r="D67" s="2">
        <v>21.601651</v>
      </c>
      <c r="E67" s="2">
        <v>0.109378</v>
      </c>
      <c r="F67" s="2">
        <v>21.387181999999999</v>
      </c>
      <c r="G67" s="2">
        <v>21.816120000000002</v>
      </c>
      <c r="I67">
        <f t="shared" si="0"/>
        <v>21.601651</v>
      </c>
      <c r="J67">
        <f t="shared" si="1"/>
        <v>21.387181999999999</v>
      </c>
      <c r="K67">
        <f t="shared" si="2"/>
        <v>21.816120000000002</v>
      </c>
      <c r="M67" t="str">
        <f t="shared" si="3"/>
        <v>21.60 (21.39 to 21.82)</v>
      </c>
    </row>
    <row r="68" spans="1:13" ht="17.25" thickBot="1" x14ac:dyDescent="0.35">
      <c r="A68" s="6"/>
      <c r="B68" s="13" t="s">
        <v>108</v>
      </c>
      <c r="C68" s="2">
        <v>17099</v>
      </c>
      <c r="D68" s="2">
        <v>20.243739999999999</v>
      </c>
      <c r="E68" s="2">
        <v>0.192769</v>
      </c>
      <c r="F68" s="2">
        <v>19.865756000000001</v>
      </c>
      <c r="G68" s="2">
        <v>20.621725000000001</v>
      </c>
      <c r="I68">
        <f t="shared" si="0"/>
        <v>20.243739999999999</v>
      </c>
      <c r="J68">
        <f t="shared" si="1"/>
        <v>19.865756000000001</v>
      </c>
      <c r="K68">
        <f t="shared" si="2"/>
        <v>20.621725000000001</v>
      </c>
      <c r="M68" t="str">
        <f t="shared" si="3"/>
        <v>20.24 (19.87 to 20.62)</v>
      </c>
    </row>
    <row r="69" spans="1:13" ht="17.25" thickBot="1" x14ac:dyDescent="0.35">
      <c r="A69" s="6"/>
      <c r="B69" s="13" t="s">
        <v>109</v>
      </c>
      <c r="C69" s="2">
        <v>17099</v>
      </c>
      <c r="D69" s="2">
        <v>14.103033</v>
      </c>
      <c r="E69" s="2">
        <v>1.4599000000000001E-2</v>
      </c>
      <c r="F69" s="2">
        <v>14.074407000000001</v>
      </c>
      <c r="G69" s="2">
        <v>14.131659000000001</v>
      </c>
      <c r="I69">
        <f t="shared" si="0"/>
        <v>14.103033</v>
      </c>
      <c r="J69">
        <f t="shared" si="1"/>
        <v>14.074407000000001</v>
      </c>
      <c r="K69">
        <f t="shared" si="2"/>
        <v>14.131659000000001</v>
      </c>
      <c r="M69" t="str">
        <f t="shared" si="3"/>
        <v>14.10 (14.07 to 14.13)</v>
      </c>
    </row>
    <row r="70" spans="1:13" ht="17.25" thickBot="1" x14ac:dyDescent="0.35">
      <c r="A70" s="6"/>
      <c r="B70" s="13" t="s">
        <v>110</v>
      </c>
      <c r="C70" s="2">
        <v>17099</v>
      </c>
      <c r="D70" s="2">
        <v>14.173609000000001</v>
      </c>
      <c r="E70" s="2">
        <v>4.1958000000000002E-2</v>
      </c>
      <c r="F70" s="2">
        <v>14.091336999999999</v>
      </c>
      <c r="G70" s="2">
        <v>14.255882</v>
      </c>
      <c r="I70">
        <f t="shared" si="0"/>
        <v>14.173609000000001</v>
      </c>
      <c r="J70">
        <f t="shared" si="1"/>
        <v>14.091336999999999</v>
      </c>
      <c r="K70">
        <f t="shared" si="2"/>
        <v>14.255882</v>
      </c>
      <c r="M70" t="str">
        <f t="shared" si="3"/>
        <v>14.17 (14.09 to 14.26)</v>
      </c>
    </row>
    <row r="71" spans="1:13" ht="17.25" thickBot="1" x14ac:dyDescent="0.35">
      <c r="A71" s="6"/>
      <c r="B71" s="13" t="s">
        <v>111</v>
      </c>
      <c r="C71" s="2">
        <v>17099</v>
      </c>
      <c r="D71" s="2">
        <v>0.83460100000000004</v>
      </c>
      <c r="E71" s="2">
        <v>2.2469999999999999E-3</v>
      </c>
      <c r="F71" s="2">
        <v>0.83019500000000002</v>
      </c>
      <c r="G71" s="2">
        <v>0.83900600000000003</v>
      </c>
      <c r="I71">
        <f t="shared" si="0"/>
        <v>0.83460100000000004</v>
      </c>
      <c r="J71">
        <f t="shared" si="1"/>
        <v>0.83019500000000002</v>
      </c>
      <c r="K71">
        <f t="shared" si="2"/>
        <v>0.83900600000000003</v>
      </c>
      <c r="M71" t="str">
        <f t="shared" si="3"/>
        <v>0.83 (0.83 to 0.84)</v>
      </c>
    </row>
    <row r="72" spans="1:13" ht="17.25" thickBot="1" x14ac:dyDescent="0.35">
      <c r="A72" s="6"/>
      <c r="B72" s="13" t="s">
        <v>112</v>
      </c>
      <c r="C72" s="2">
        <v>17099</v>
      </c>
      <c r="D72" s="2">
        <v>5.8200450000000004</v>
      </c>
      <c r="E72" s="2">
        <v>7.2680000000000002E-3</v>
      </c>
      <c r="F72" s="2">
        <v>5.8057949999999998</v>
      </c>
      <c r="G72" s="2">
        <v>5.8342960000000001</v>
      </c>
      <c r="I72">
        <f t="shared" si="0"/>
        <v>5.8200450000000004</v>
      </c>
      <c r="J72">
        <f t="shared" si="1"/>
        <v>5.8057949999999998</v>
      </c>
      <c r="K72">
        <f t="shared" si="2"/>
        <v>5.8342960000000001</v>
      </c>
      <c r="M72" t="str">
        <f t="shared" si="3"/>
        <v>5.82 (5.81 to 5.83)</v>
      </c>
    </row>
    <row r="73" spans="1:13" ht="17.25" thickBot="1" x14ac:dyDescent="0.35">
      <c r="A73" s="6"/>
      <c r="B73" s="13" t="s">
        <v>113</v>
      </c>
      <c r="C73" s="2">
        <v>17099</v>
      </c>
      <c r="D73" s="2">
        <v>8.3340130000000006</v>
      </c>
      <c r="E73" s="2">
        <v>1.0989999999999999E-3</v>
      </c>
      <c r="F73" s="2">
        <v>8.3318589999999997</v>
      </c>
      <c r="G73" s="2">
        <v>8.3361669999999997</v>
      </c>
      <c r="I73">
        <f t="shared" si="0"/>
        <v>8.3340130000000006</v>
      </c>
      <c r="J73">
        <f t="shared" si="1"/>
        <v>8.3318589999999997</v>
      </c>
      <c r="K73">
        <f t="shared" si="2"/>
        <v>8.3361669999999997</v>
      </c>
      <c r="M73" t="str">
        <f t="shared" si="3"/>
        <v>8.33 (8.33 to 8.34)</v>
      </c>
    </row>
    <row r="74" spans="1:13" ht="17.25" thickBot="1" x14ac:dyDescent="0.35">
      <c r="A74" s="6"/>
      <c r="B74" s="13" t="s">
        <v>114</v>
      </c>
      <c r="C74" s="2">
        <v>17099</v>
      </c>
      <c r="D74" s="2">
        <v>0.64041400000000004</v>
      </c>
      <c r="E74" s="2">
        <v>3.97E-4</v>
      </c>
      <c r="F74" s="2">
        <v>0.63963499999999995</v>
      </c>
      <c r="G74" s="2">
        <v>0.64119300000000001</v>
      </c>
      <c r="I74">
        <f t="shared" si="0"/>
        <v>0.64041400000000004</v>
      </c>
      <c r="J74">
        <f t="shared" si="1"/>
        <v>0.63963499999999995</v>
      </c>
      <c r="K74">
        <f t="shared" si="2"/>
        <v>0.64119300000000001</v>
      </c>
      <c r="M74" t="str">
        <f t="shared" si="3"/>
        <v>0.64 (0.64 to 0.64)</v>
      </c>
    </row>
    <row r="75" spans="1:13" ht="17.25" thickBot="1" x14ac:dyDescent="0.35">
      <c r="A75" s="6"/>
      <c r="B75" s="13" t="s">
        <v>115</v>
      </c>
      <c r="C75" s="2">
        <v>17099</v>
      </c>
      <c r="D75" s="2">
        <v>0.23175100000000001</v>
      </c>
      <c r="E75" s="2">
        <v>1.139E-3</v>
      </c>
      <c r="F75" s="2">
        <v>0.229518</v>
      </c>
      <c r="G75" s="2">
        <v>0.233985</v>
      </c>
      <c r="I75">
        <f t="shared" si="0"/>
        <v>0.23175100000000001</v>
      </c>
      <c r="J75">
        <f t="shared" si="1"/>
        <v>0.229518</v>
      </c>
      <c r="K75">
        <f t="shared" si="2"/>
        <v>0.233985</v>
      </c>
      <c r="M75" t="str">
        <f t="shared" si="3"/>
        <v>0.23 (0.23 to 0.23)</v>
      </c>
    </row>
    <row r="76" spans="1:13" ht="17.25" thickBot="1" x14ac:dyDescent="0.35">
      <c r="A76" s="6"/>
      <c r="B76" s="13" t="s">
        <v>116</v>
      </c>
      <c r="C76" s="2">
        <v>17099</v>
      </c>
      <c r="D76" s="2">
        <v>33.336123999999998</v>
      </c>
      <c r="E76" s="2">
        <v>5.2831000000000003E-2</v>
      </c>
      <c r="F76" s="2">
        <v>33.232531999999999</v>
      </c>
      <c r="G76" s="2">
        <v>33.439715</v>
      </c>
      <c r="I76">
        <f t="shared" si="0"/>
        <v>33.336123999999998</v>
      </c>
      <c r="J76">
        <f t="shared" si="1"/>
        <v>33.232531999999999</v>
      </c>
      <c r="K76">
        <f t="shared" si="2"/>
        <v>33.439715</v>
      </c>
      <c r="M76" t="str">
        <f t="shared" si="3"/>
        <v>33.34 (33.23 to 33.44)</v>
      </c>
    </row>
    <row r="77" spans="1:13" ht="17.25" thickBot="1" x14ac:dyDescent="0.35">
      <c r="A77" s="6">
        <v>3</v>
      </c>
      <c r="B77" s="13" t="s">
        <v>98</v>
      </c>
      <c r="C77" s="2">
        <v>17171</v>
      </c>
      <c r="D77" s="2">
        <v>48.139830000000003</v>
      </c>
      <c r="E77" s="2">
        <v>0.15837100000000001</v>
      </c>
      <c r="F77" s="2">
        <v>47.829293999999997</v>
      </c>
      <c r="G77" s="2">
        <v>48.450366000000002</v>
      </c>
      <c r="I77">
        <f t="shared" si="0"/>
        <v>48.139830000000003</v>
      </c>
      <c r="J77">
        <f t="shared" si="1"/>
        <v>47.829293999999997</v>
      </c>
      <c r="K77">
        <f t="shared" si="2"/>
        <v>48.450366000000002</v>
      </c>
      <c r="M77" t="str">
        <f t="shared" si="3"/>
        <v>48.14 (47.83 to 48.45)</v>
      </c>
    </row>
    <row r="78" spans="1:13" ht="17.25" thickBot="1" x14ac:dyDescent="0.35">
      <c r="A78" s="6"/>
      <c r="B78" s="13" t="s">
        <v>99</v>
      </c>
      <c r="C78" s="2">
        <v>17171</v>
      </c>
      <c r="D78" s="2">
        <v>24.618666000000001</v>
      </c>
      <c r="E78" s="2">
        <v>3.3562000000000002E-2</v>
      </c>
      <c r="F78" s="2">
        <v>24.552856999999999</v>
      </c>
      <c r="G78" s="2">
        <v>24.684474999999999</v>
      </c>
      <c r="I78">
        <f t="shared" si="0"/>
        <v>24.618666000000001</v>
      </c>
      <c r="J78">
        <f t="shared" si="1"/>
        <v>24.552856999999999</v>
      </c>
      <c r="K78">
        <f t="shared" si="2"/>
        <v>24.684474999999999</v>
      </c>
      <c r="M78" t="str">
        <f t="shared" si="3"/>
        <v>24.62 (24.55 to 24.68)</v>
      </c>
    </row>
    <row r="79" spans="1:13" ht="17.25" thickBot="1" x14ac:dyDescent="0.35">
      <c r="A79" s="6"/>
      <c r="B79" s="13" t="s">
        <v>100</v>
      </c>
      <c r="C79" s="2">
        <v>17171</v>
      </c>
      <c r="D79" s="2">
        <v>84.775086000000002</v>
      </c>
      <c r="E79" s="2">
        <v>9.3264E-2</v>
      </c>
      <c r="F79" s="2">
        <v>84.592213000000001</v>
      </c>
      <c r="G79" s="2">
        <v>84.957958000000005</v>
      </c>
      <c r="I79">
        <f t="shared" si="0"/>
        <v>84.775086000000002</v>
      </c>
      <c r="J79">
        <f t="shared" si="1"/>
        <v>84.592213000000001</v>
      </c>
      <c r="K79">
        <f t="shared" si="2"/>
        <v>84.957958000000005</v>
      </c>
      <c r="M79" t="str">
        <f t="shared" si="3"/>
        <v>84.78 (84.59 to 84.96)</v>
      </c>
    </row>
    <row r="80" spans="1:13" ht="17.25" thickBot="1" x14ac:dyDescent="0.35">
      <c r="A80" s="6"/>
      <c r="B80" s="13" t="s">
        <v>101</v>
      </c>
      <c r="C80" s="2">
        <v>17171</v>
      </c>
      <c r="D80" s="2">
        <v>7.8009999999999996E-2</v>
      </c>
      <c r="E80" s="2">
        <v>4.5300000000000003E-5</v>
      </c>
      <c r="F80" s="2">
        <v>7.7921000000000004E-2</v>
      </c>
      <c r="G80" s="2">
        <v>7.8099000000000002E-2</v>
      </c>
      <c r="I80">
        <f t="shared" si="0"/>
        <v>7.8009999999999996E-2</v>
      </c>
      <c r="J80">
        <f t="shared" si="1"/>
        <v>7.7921000000000004E-2</v>
      </c>
      <c r="K80">
        <f t="shared" si="2"/>
        <v>7.8099000000000002E-2</v>
      </c>
      <c r="M80" t="str">
        <f t="shared" si="3"/>
        <v>0.08 (0.08 to 0.08)</v>
      </c>
    </row>
    <row r="81" spans="1:13" ht="17.25" thickBot="1" x14ac:dyDescent="0.35">
      <c r="A81" s="6"/>
      <c r="B81" s="13" t="s">
        <v>102</v>
      </c>
      <c r="C81" s="2">
        <v>17171</v>
      </c>
      <c r="D81" s="2">
        <v>119.474464</v>
      </c>
      <c r="E81" s="2">
        <v>0.15252599999999999</v>
      </c>
      <c r="F81" s="2">
        <v>119.17538999999999</v>
      </c>
      <c r="G81" s="2">
        <v>119.773538</v>
      </c>
      <c r="I81">
        <f t="shared" si="0"/>
        <v>119.474464</v>
      </c>
      <c r="J81">
        <f t="shared" si="1"/>
        <v>119.17538999999999</v>
      </c>
      <c r="K81">
        <f t="shared" si="2"/>
        <v>119.773538</v>
      </c>
      <c r="M81" t="str">
        <f t="shared" si="3"/>
        <v>119.47 (119.18 to 119.77)</v>
      </c>
    </row>
    <row r="82" spans="1:13" ht="17.25" thickBot="1" x14ac:dyDescent="0.35">
      <c r="A82" s="6"/>
      <c r="B82" s="13" t="s">
        <v>103</v>
      </c>
      <c r="C82" s="2">
        <v>17171</v>
      </c>
      <c r="D82" s="2">
        <v>98.740971999999999</v>
      </c>
      <c r="E82" s="2">
        <v>0.13286700000000001</v>
      </c>
      <c r="F82" s="2">
        <v>98.480445000000003</v>
      </c>
      <c r="G82" s="2">
        <v>99.001499999999993</v>
      </c>
      <c r="I82">
        <f t="shared" si="0"/>
        <v>98.740971999999999</v>
      </c>
      <c r="J82">
        <f t="shared" si="1"/>
        <v>98.480445000000003</v>
      </c>
      <c r="K82">
        <f t="shared" si="2"/>
        <v>99.001499999999993</v>
      </c>
      <c r="M82" t="str">
        <f t="shared" si="3"/>
        <v>98.74 (98.48 to 99.00)</v>
      </c>
    </row>
    <row r="83" spans="1:13" ht="17.25" thickBot="1" x14ac:dyDescent="0.35">
      <c r="A83" s="6"/>
      <c r="B83" s="13" t="s">
        <v>104</v>
      </c>
      <c r="C83" s="2">
        <v>17171</v>
      </c>
      <c r="D83" s="2">
        <v>193.661305</v>
      </c>
      <c r="E83" s="2">
        <v>0.33085700000000001</v>
      </c>
      <c r="F83" s="2">
        <v>193.01255599999999</v>
      </c>
      <c r="G83" s="2">
        <v>194.31005400000001</v>
      </c>
      <c r="I83">
        <f t="shared" si="0"/>
        <v>193.661305</v>
      </c>
      <c r="J83">
        <f t="shared" si="1"/>
        <v>193.01255599999999</v>
      </c>
      <c r="K83">
        <f t="shared" si="2"/>
        <v>194.31005400000001</v>
      </c>
      <c r="M83" t="str">
        <f t="shared" si="3"/>
        <v>193.66 (193.01 to 194.31)</v>
      </c>
    </row>
    <row r="84" spans="1:13" ht="26.25" thickBot="1" x14ac:dyDescent="0.35">
      <c r="A84" s="6"/>
      <c r="B84" s="13" t="s">
        <v>105</v>
      </c>
      <c r="C84" s="2">
        <v>17171</v>
      </c>
      <c r="D84" s="2">
        <v>48.931564000000002</v>
      </c>
      <c r="E84" s="2">
        <v>0.10552599999999999</v>
      </c>
      <c r="F84" s="2">
        <v>48.724648000000002</v>
      </c>
      <c r="G84" s="2">
        <v>49.138480000000001</v>
      </c>
      <c r="I84">
        <f t="shared" si="0"/>
        <v>48.931564000000002</v>
      </c>
      <c r="J84">
        <f t="shared" si="1"/>
        <v>48.724648000000002</v>
      </c>
      <c r="K84">
        <f t="shared" si="2"/>
        <v>49.138480000000001</v>
      </c>
      <c r="M84" t="str">
        <f t="shared" si="3"/>
        <v>48.93 (48.72 to 49.14)</v>
      </c>
    </row>
    <row r="85" spans="1:13" ht="17.25" thickBot="1" x14ac:dyDescent="0.35">
      <c r="A85" s="6"/>
      <c r="B85" s="13" t="s">
        <v>106</v>
      </c>
      <c r="C85" s="2">
        <v>17171</v>
      </c>
      <c r="D85" s="2">
        <v>132.07792699999999</v>
      </c>
      <c r="E85" s="2">
        <v>0.20438899999999999</v>
      </c>
      <c r="F85" s="2">
        <v>131.67715899999999</v>
      </c>
      <c r="G85" s="2">
        <v>132.47869499999999</v>
      </c>
      <c r="I85">
        <f t="shared" si="0"/>
        <v>132.07792699999999</v>
      </c>
      <c r="J85">
        <f t="shared" si="1"/>
        <v>131.67715899999999</v>
      </c>
      <c r="K85">
        <f t="shared" si="2"/>
        <v>132.47869499999999</v>
      </c>
      <c r="M85" t="str">
        <f t="shared" si="3"/>
        <v>132.08 (131.68 to 132.48)</v>
      </c>
    </row>
    <row r="86" spans="1:13" ht="17.25" thickBot="1" x14ac:dyDescent="0.35">
      <c r="A86" s="6"/>
      <c r="B86" s="13" t="s">
        <v>107</v>
      </c>
      <c r="C86" s="2">
        <v>17171</v>
      </c>
      <c r="D86" s="2">
        <v>23.495273000000001</v>
      </c>
      <c r="E86" s="2">
        <v>0.115546</v>
      </c>
      <c r="F86" s="2">
        <v>23.268709999999999</v>
      </c>
      <c r="G86" s="2">
        <v>23.721836</v>
      </c>
      <c r="I86">
        <f t="shared" si="0"/>
        <v>23.495273000000001</v>
      </c>
      <c r="J86">
        <f t="shared" si="1"/>
        <v>23.268709999999999</v>
      </c>
      <c r="K86">
        <f t="shared" si="2"/>
        <v>23.721836</v>
      </c>
      <c r="M86" t="str">
        <f t="shared" si="3"/>
        <v>23.50 (23.27 to 23.72)</v>
      </c>
    </row>
    <row r="87" spans="1:13" ht="17.25" thickBot="1" x14ac:dyDescent="0.35">
      <c r="A87" s="6"/>
      <c r="B87" s="13" t="s">
        <v>108</v>
      </c>
      <c r="C87" s="2">
        <v>17171</v>
      </c>
      <c r="D87" s="2">
        <v>24.634499000000002</v>
      </c>
      <c r="E87" s="2">
        <v>0.19070400000000001</v>
      </c>
      <c r="F87" s="2">
        <v>24.260563999999999</v>
      </c>
      <c r="G87" s="2">
        <v>25.008434000000001</v>
      </c>
      <c r="I87">
        <f t="shared" si="0"/>
        <v>24.634499000000002</v>
      </c>
      <c r="J87">
        <f t="shared" si="1"/>
        <v>24.260563999999999</v>
      </c>
      <c r="K87">
        <f t="shared" si="2"/>
        <v>25.008434000000001</v>
      </c>
      <c r="M87" t="str">
        <f t="shared" si="3"/>
        <v>24.63 (24.26 to 25.01)</v>
      </c>
    </row>
    <row r="88" spans="1:13" ht="17.25" thickBot="1" x14ac:dyDescent="0.35">
      <c r="A88" s="6"/>
      <c r="B88" s="13" t="s">
        <v>109</v>
      </c>
      <c r="C88" s="2">
        <v>17171</v>
      </c>
      <c r="D88" s="2">
        <v>14.468076999999999</v>
      </c>
      <c r="E88" s="2">
        <v>1.5062000000000001E-2</v>
      </c>
      <c r="F88" s="2">
        <v>14.438542999999999</v>
      </c>
      <c r="G88" s="2">
        <v>14.497610999999999</v>
      </c>
      <c r="I88">
        <f t="shared" si="0"/>
        <v>14.468076999999999</v>
      </c>
      <c r="J88">
        <f t="shared" si="1"/>
        <v>14.438542999999999</v>
      </c>
      <c r="K88">
        <f t="shared" si="2"/>
        <v>14.497610999999999</v>
      </c>
      <c r="M88" t="str">
        <f t="shared" si="3"/>
        <v>14.47 (14.44 to 14.50)</v>
      </c>
    </row>
    <row r="89" spans="1:13" ht="17.25" thickBot="1" x14ac:dyDescent="0.35">
      <c r="A89" s="6"/>
      <c r="B89" s="13" t="s">
        <v>110</v>
      </c>
      <c r="C89" s="2">
        <v>17171</v>
      </c>
      <c r="D89" s="2">
        <v>14.427894</v>
      </c>
      <c r="E89" s="2">
        <v>4.1755E-2</v>
      </c>
      <c r="F89" s="2">
        <v>14.346019999999999</v>
      </c>
      <c r="G89" s="2">
        <v>14.509767</v>
      </c>
      <c r="I89">
        <f t="shared" si="0"/>
        <v>14.427894</v>
      </c>
      <c r="J89">
        <f t="shared" si="1"/>
        <v>14.346019999999999</v>
      </c>
      <c r="K89">
        <f t="shared" si="2"/>
        <v>14.509767</v>
      </c>
      <c r="M89" t="str">
        <f t="shared" si="3"/>
        <v>14.43 (14.35 to 14.51)</v>
      </c>
    </row>
    <row r="90" spans="1:13" ht="17.25" thickBot="1" x14ac:dyDescent="0.35">
      <c r="A90" s="6"/>
      <c r="B90" s="13" t="s">
        <v>111</v>
      </c>
      <c r="C90" s="2">
        <v>17171</v>
      </c>
      <c r="D90" s="2">
        <v>0.87013600000000002</v>
      </c>
      <c r="E90" s="2">
        <v>2.3440000000000002E-3</v>
      </c>
      <c r="F90" s="2">
        <v>0.865541</v>
      </c>
      <c r="G90" s="2">
        <v>0.87473100000000004</v>
      </c>
      <c r="I90">
        <f t="shared" si="0"/>
        <v>0.87013600000000002</v>
      </c>
      <c r="J90">
        <f t="shared" si="1"/>
        <v>0.865541</v>
      </c>
      <c r="K90">
        <f t="shared" si="2"/>
        <v>0.87473100000000004</v>
      </c>
      <c r="M90" t="str">
        <f t="shared" si="3"/>
        <v>0.87 (0.87 to 0.87)</v>
      </c>
    </row>
    <row r="91" spans="1:13" ht="17.25" thickBot="1" x14ac:dyDescent="0.35">
      <c r="A91" s="6"/>
      <c r="B91" s="13" t="s">
        <v>112</v>
      </c>
      <c r="C91" s="2">
        <v>17171</v>
      </c>
      <c r="D91" s="2">
        <v>5.7613339999999997</v>
      </c>
      <c r="E91" s="2">
        <v>7.1539999999999998E-3</v>
      </c>
      <c r="F91" s="2">
        <v>5.747306</v>
      </c>
      <c r="G91" s="2">
        <v>5.7753620000000003</v>
      </c>
      <c r="I91">
        <f t="shared" si="0"/>
        <v>5.7613339999999997</v>
      </c>
      <c r="J91">
        <f t="shared" si="1"/>
        <v>5.747306</v>
      </c>
      <c r="K91">
        <f t="shared" si="2"/>
        <v>5.7753620000000003</v>
      </c>
      <c r="M91" t="str">
        <f t="shared" si="3"/>
        <v>5.76 (5.75 to 5.78)</v>
      </c>
    </row>
    <row r="92" spans="1:13" ht="17.25" thickBot="1" x14ac:dyDescent="0.35">
      <c r="A92" s="6"/>
      <c r="B92" s="13" t="s">
        <v>113</v>
      </c>
      <c r="C92" s="2">
        <v>17171</v>
      </c>
      <c r="D92" s="2">
        <v>8.7585960000000007</v>
      </c>
      <c r="E92" s="2">
        <v>1.175E-3</v>
      </c>
      <c r="F92" s="2">
        <v>8.7562929999999994</v>
      </c>
      <c r="G92" s="2">
        <v>8.7608999999999995</v>
      </c>
      <c r="I92">
        <f t="shared" si="0"/>
        <v>8.7585960000000007</v>
      </c>
      <c r="J92">
        <f t="shared" si="1"/>
        <v>8.7562929999999994</v>
      </c>
      <c r="K92">
        <f t="shared" si="2"/>
        <v>8.7608999999999995</v>
      </c>
      <c r="M92" t="str">
        <f t="shared" si="3"/>
        <v>8.76 (8.76 to 8.76)</v>
      </c>
    </row>
    <row r="93" spans="1:13" ht="17.25" thickBot="1" x14ac:dyDescent="0.35">
      <c r="A93" s="6"/>
      <c r="B93" s="13" t="s">
        <v>114</v>
      </c>
      <c r="C93" s="2">
        <v>17171</v>
      </c>
      <c r="D93" s="2">
        <v>0.68330500000000005</v>
      </c>
      <c r="E93" s="2">
        <v>4.1300000000000001E-4</v>
      </c>
      <c r="F93" s="2">
        <v>0.68249599999999999</v>
      </c>
      <c r="G93" s="2">
        <v>0.684114</v>
      </c>
      <c r="I93">
        <f t="shared" si="0"/>
        <v>0.68330500000000005</v>
      </c>
      <c r="J93">
        <f t="shared" si="1"/>
        <v>0.68249599999999999</v>
      </c>
      <c r="K93">
        <f t="shared" si="2"/>
        <v>0.684114</v>
      </c>
      <c r="M93" t="str">
        <f t="shared" si="3"/>
        <v>0.68 (0.68 to 0.68)</v>
      </c>
    </row>
    <row r="94" spans="1:13" ht="17.25" thickBot="1" x14ac:dyDescent="0.35">
      <c r="A94" s="6"/>
      <c r="B94" s="13" t="s">
        <v>115</v>
      </c>
      <c r="C94" s="2">
        <v>17171</v>
      </c>
      <c r="D94" s="2">
        <v>0.43514799999999998</v>
      </c>
      <c r="E94" s="2">
        <v>1.2160000000000001E-3</v>
      </c>
      <c r="F94" s="2">
        <v>0.43276399999999998</v>
      </c>
      <c r="G94" s="2">
        <v>0.43753199999999998</v>
      </c>
      <c r="I94">
        <f t="shared" si="0"/>
        <v>0.43514799999999998</v>
      </c>
      <c r="J94">
        <f t="shared" si="1"/>
        <v>0.43276399999999998</v>
      </c>
      <c r="K94">
        <f t="shared" si="2"/>
        <v>0.43753199999999998</v>
      </c>
      <c r="M94" t="str">
        <f t="shared" si="3"/>
        <v>0.44 (0.43 to 0.44)</v>
      </c>
    </row>
    <row r="95" spans="1:13" ht="17.25" thickBot="1" x14ac:dyDescent="0.35">
      <c r="A95" s="6"/>
      <c r="B95" s="13" t="s">
        <v>116</v>
      </c>
      <c r="C95" s="2">
        <v>17171</v>
      </c>
      <c r="D95" s="2">
        <v>37.071047</v>
      </c>
      <c r="E95" s="2">
        <v>5.8548000000000003E-2</v>
      </c>
      <c r="F95" s="2">
        <v>36.956246</v>
      </c>
      <c r="G95" s="2">
        <v>37.185848999999997</v>
      </c>
      <c r="I95">
        <f t="shared" si="0"/>
        <v>37.071047</v>
      </c>
      <c r="J95">
        <f t="shared" si="1"/>
        <v>36.956246</v>
      </c>
      <c r="K95">
        <f t="shared" si="2"/>
        <v>37.185848999999997</v>
      </c>
      <c r="M95" t="str">
        <f t="shared" si="3"/>
        <v>37.07 (36.96 to 37.19)</v>
      </c>
    </row>
    <row r="96" spans="1:13" ht="17.25" thickBot="1" x14ac:dyDescent="0.35">
      <c r="A96" s="6">
        <v>4</v>
      </c>
      <c r="B96" s="13" t="s">
        <v>98</v>
      </c>
      <c r="C96" s="2">
        <v>17165</v>
      </c>
      <c r="D96" s="2">
        <v>49.257019999999997</v>
      </c>
      <c r="E96" s="2">
        <v>0.13963900000000001</v>
      </c>
      <c r="F96" s="2">
        <v>48.983213999999997</v>
      </c>
      <c r="G96" s="2">
        <v>49.530825999999998</v>
      </c>
      <c r="I96">
        <f t="shared" si="0"/>
        <v>49.257019999999997</v>
      </c>
      <c r="J96">
        <f t="shared" si="1"/>
        <v>48.983213999999997</v>
      </c>
      <c r="K96">
        <f t="shared" si="2"/>
        <v>49.530825999999998</v>
      </c>
      <c r="M96" t="str">
        <f t="shared" si="3"/>
        <v>49.26 (48.98 to 49.53)</v>
      </c>
    </row>
    <row r="97" spans="1:13" ht="17.25" thickBot="1" x14ac:dyDescent="0.35">
      <c r="A97" s="6"/>
      <c r="B97" s="13" t="s">
        <v>99</v>
      </c>
      <c r="C97" s="2">
        <v>17165</v>
      </c>
      <c r="D97" s="2">
        <v>25.711231999999999</v>
      </c>
      <c r="E97" s="2">
        <v>3.2319000000000001E-2</v>
      </c>
      <c r="F97" s="2">
        <v>25.647860000000001</v>
      </c>
      <c r="G97" s="2">
        <v>25.774604</v>
      </c>
      <c r="I97">
        <f t="shared" si="0"/>
        <v>25.711231999999999</v>
      </c>
      <c r="J97">
        <f t="shared" si="1"/>
        <v>25.647860000000001</v>
      </c>
      <c r="K97">
        <f t="shared" si="2"/>
        <v>25.774604</v>
      </c>
      <c r="M97" t="str">
        <f t="shared" si="3"/>
        <v>25.71 (25.65 to 25.77)</v>
      </c>
    </row>
    <row r="98" spans="1:13" ht="17.25" thickBot="1" x14ac:dyDescent="0.35">
      <c r="A98" s="6"/>
      <c r="B98" s="13" t="s">
        <v>100</v>
      </c>
      <c r="C98" s="2">
        <v>17165</v>
      </c>
      <c r="D98" s="2">
        <v>88.678549000000004</v>
      </c>
      <c r="E98" s="2">
        <v>8.3765000000000006E-2</v>
      </c>
      <c r="F98" s="2">
        <v>88.514301000000003</v>
      </c>
      <c r="G98" s="2">
        <v>88.842796000000007</v>
      </c>
      <c r="I98">
        <f t="shared" si="0"/>
        <v>88.678549000000004</v>
      </c>
      <c r="J98">
        <f t="shared" si="1"/>
        <v>88.514301000000003</v>
      </c>
      <c r="K98">
        <f t="shared" si="2"/>
        <v>88.842796000000007</v>
      </c>
      <c r="M98" t="str">
        <f t="shared" si="3"/>
        <v>88.68 (88.51 to 88.84)</v>
      </c>
    </row>
    <row r="99" spans="1:13" ht="17.25" thickBot="1" x14ac:dyDescent="0.35">
      <c r="A99" s="6"/>
      <c r="B99" s="13" t="s">
        <v>101</v>
      </c>
      <c r="C99" s="2">
        <v>17165</v>
      </c>
      <c r="D99" s="2">
        <v>7.8976000000000005E-2</v>
      </c>
      <c r="E99" s="2">
        <v>4.5005E-5</v>
      </c>
      <c r="F99" s="2">
        <v>7.8888E-2</v>
      </c>
      <c r="G99" s="2">
        <v>7.9064999999999996E-2</v>
      </c>
      <c r="I99">
        <f t="shared" si="0"/>
        <v>7.8976000000000005E-2</v>
      </c>
      <c r="J99">
        <f t="shared" si="1"/>
        <v>7.8888E-2</v>
      </c>
      <c r="K99">
        <f t="shared" si="2"/>
        <v>7.9064999999999996E-2</v>
      </c>
      <c r="M99" t="str">
        <f t="shared" si="3"/>
        <v>0.08 (0.08 to 0.08)</v>
      </c>
    </row>
    <row r="100" spans="1:13" ht="17.25" thickBot="1" x14ac:dyDescent="0.35">
      <c r="A100" s="6"/>
      <c r="B100" s="13" t="s">
        <v>102</v>
      </c>
      <c r="C100" s="2">
        <v>17165</v>
      </c>
      <c r="D100" s="2">
        <v>123.590754</v>
      </c>
      <c r="E100" s="2">
        <v>0.14699499999999999</v>
      </c>
      <c r="F100" s="2">
        <v>123.30252400000001</v>
      </c>
      <c r="G100" s="2">
        <v>123.87898300000001</v>
      </c>
      <c r="I100">
        <f t="shared" si="0"/>
        <v>123.590754</v>
      </c>
      <c r="J100">
        <f t="shared" si="1"/>
        <v>123.30252400000001</v>
      </c>
      <c r="K100">
        <f t="shared" si="2"/>
        <v>123.87898300000001</v>
      </c>
      <c r="M100" t="str">
        <f t="shared" si="3"/>
        <v>123.59 (123.30 to 123.88)</v>
      </c>
    </row>
    <row r="101" spans="1:13" ht="17.25" thickBot="1" x14ac:dyDescent="0.35">
      <c r="A101" s="6"/>
      <c r="B101" s="13" t="s">
        <v>103</v>
      </c>
      <c r="C101" s="2">
        <v>17165</v>
      </c>
      <c r="D101" s="2">
        <v>112.49839900000001</v>
      </c>
      <c r="E101" s="2">
        <v>0.30797999999999998</v>
      </c>
      <c r="F101" s="2">
        <v>111.894508</v>
      </c>
      <c r="G101" s="2">
        <v>113.10229</v>
      </c>
      <c r="I101">
        <f t="shared" si="0"/>
        <v>112.49839900000001</v>
      </c>
      <c r="J101">
        <f t="shared" si="1"/>
        <v>111.894508</v>
      </c>
      <c r="K101">
        <f t="shared" si="2"/>
        <v>113.10229</v>
      </c>
      <c r="M101" t="str">
        <f t="shared" si="3"/>
        <v>112.50 (111.89 to 113.10)</v>
      </c>
    </row>
    <row r="102" spans="1:13" ht="17.25" thickBot="1" x14ac:dyDescent="0.35">
      <c r="A102" s="6"/>
      <c r="B102" s="13" t="s">
        <v>104</v>
      </c>
      <c r="C102" s="2">
        <v>17165</v>
      </c>
      <c r="D102" s="2">
        <v>204.51900000000001</v>
      </c>
      <c r="E102" s="2">
        <v>0.369919</v>
      </c>
      <c r="F102" s="2">
        <v>203.79365899999999</v>
      </c>
      <c r="G102" s="2">
        <v>205.24434199999999</v>
      </c>
      <c r="I102">
        <f t="shared" si="0"/>
        <v>204.51900000000001</v>
      </c>
      <c r="J102">
        <f t="shared" si="1"/>
        <v>203.79365899999999</v>
      </c>
      <c r="K102">
        <f t="shared" si="2"/>
        <v>205.24434199999999</v>
      </c>
      <c r="M102" t="str">
        <f t="shared" si="3"/>
        <v>204.52 (203.79 to 205.24)</v>
      </c>
    </row>
    <row r="103" spans="1:13" ht="26.25" thickBot="1" x14ac:dyDescent="0.35">
      <c r="A103" s="6"/>
      <c r="B103" s="13" t="s">
        <v>105</v>
      </c>
      <c r="C103" s="2">
        <v>17165</v>
      </c>
      <c r="D103" s="2">
        <v>43.451501</v>
      </c>
      <c r="E103" s="2">
        <v>8.9208999999999997E-2</v>
      </c>
      <c r="F103" s="2">
        <v>43.276578000000001</v>
      </c>
      <c r="G103" s="2">
        <v>43.626424</v>
      </c>
      <c r="I103">
        <f t="shared" si="0"/>
        <v>43.451501</v>
      </c>
      <c r="J103">
        <f t="shared" si="1"/>
        <v>43.276578000000001</v>
      </c>
      <c r="K103">
        <f t="shared" si="2"/>
        <v>43.626424</v>
      </c>
      <c r="M103" t="str">
        <f t="shared" si="3"/>
        <v>43.45 (43.28 to 43.63)</v>
      </c>
    </row>
    <row r="104" spans="1:13" ht="17.25" thickBot="1" x14ac:dyDescent="0.35">
      <c r="A104" s="6"/>
      <c r="B104" s="13" t="s">
        <v>106</v>
      </c>
      <c r="C104" s="2">
        <v>17165</v>
      </c>
      <c r="D104" s="2">
        <v>264.46622400000001</v>
      </c>
      <c r="E104" s="2">
        <v>1.621588</v>
      </c>
      <c r="F104" s="2">
        <v>261.28659499999998</v>
      </c>
      <c r="G104" s="2">
        <v>267.64585199999999</v>
      </c>
      <c r="I104">
        <f t="shared" ref="I104:I114" si="4">D104</f>
        <v>264.46622400000001</v>
      </c>
      <c r="J104">
        <f t="shared" ref="J104:J114" si="5">F104</f>
        <v>261.28659499999998</v>
      </c>
      <c r="K104">
        <f t="shared" ref="K104:K114" si="6">G104</f>
        <v>267.64585199999999</v>
      </c>
      <c r="M104" t="str">
        <f t="shared" ref="M104:M114" si="7">TEXT(I104,"0.00")&amp;" ("&amp;TEXT(J104,"0.00")&amp;" to "&amp;TEXT(K104,"0.00")&amp;")"</f>
        <v>264.47 (261.29 to 267.65)</v>
      </c>
    </row>
    <row r="105" spans="1:13" ht="17.25" thickBot="1" x14ac:dyDescent="0.35">
      <c r="A105" s="6"/>
      <c r="B105" s="13" t="s">
        <v>107</v>
      </c>
      <c r="C105" s="2">
        <v>17165</v>
      </c>
      <c r="D105" s="2">
        <v>27.540609</v>
      </c>
      <c r="E105" s="2">
        <v>0.158197</v>
      </c>
      <c r="F105" s="2">
        <v>27.230414</v>
      </c>
      <c r="G105" s="2">
        <v>27.850804</v>
      </c>
      <c r="I105">
        <f t="shared" si="4"/>
        <v>27.540609</v>
      </c>
      <c r="J105">
        <f t="shared" si="5"/>
        <v>27.230414</v>
      </c>
      <c r="K105">
        <f t="shared" si="6"/>
        <v>27.850804</v>
      </c>
      <c r="M105" t="str">
        <f t="shared" si="7"/>
        <v>27.54 (27.23 to 27.85)</v>
      </c>
    </row>
    <row r="106" spans="1:13" ht="17.25" thickBot="1" x14ac:dyDescent="0.35">
      <c r="A106" s="6"/>
      <c r="B106" s="13" t="s">
        <v>108</v>
      </c>
      <c r="C106" s="2">
        <v>17165</v>
      </c>
      <c r="D106" s="2">
        <v>32.232640000000004</v>
      </c>
      <c r="E106" s="2">
        <v>0.24079900000000001</v>
      </c>
      <c r="F106" s="2">
        <v>31.760479</v>
      </c>
      <c r="G106" s="2">
        <v>32.704801000000003</v>
      </c>
      <c r="I106">
        <f t="shared" si="4"/>
        <v>32.232640000000004</v>
      </c>
      <c r="J106">
        <f t="shared" si="5"/>
        <v>31.760479</v>
      </c>
      <c r="K106">
        <f t="shared" si="6"/>
        <v>32.704801000000003</v>
      </c>
      <c r="M106" t="str">
        <f t="shared" si="7"/>
        <v>32.23 (31.76 to 32.70)</v>
      </c>
    </row>
    <row r="107" spans="1:13" ht="17.25" thickBot="1" x14ac:dyDescent="0.35">
      <c r="A107" s="6"/>
      <c r="B107" s="13" t="s">
        <v>109</v>
      </c>
      <c r="C107" s="2">
        <v>17165</v>
      </c>
      <c r="D107" s="2">
        <v>14.92754</v>
      </c>
      <c r="E107" s="2">
        <v>1.3236E-2</v>
      </c>
      <c r="F107" s="2">
        <v>14.901586999999999</v>
      </c>
      <c r="G107" s="2">
        <v>14.953493999999999</v>
      </c>
      <c r="I107">
        <f t="shared" si="4"/>
        <v>14.92754</v>
      </c>
      <c r="J107">
        <f t="shared" si="5"/>
        <v>14.901586999999999</v>
      </c>
      <c r="K107">
        <f t="shared" si="6"/>
        <v>14.953493999999999</v>
      </c>
      <c r="M107" t="str">
        <f t="shared" si="7"/>
        <v>14.93 (14.90 to 14.95)</v>
      </c>
    </row>
    <row r="108" spans="1:13" ht="17.25" thickBot="1" x14ac:dyDescent="0.35">
      <c r="A108" s="6"/>
      <c r="B108" s="13" t="s">
        <v>110</v>
      </c>
      <c r="C108" s="2">
        <v>17165</v>
      </c>
      <c r="D108" s="2">
        <v>14.538693</v>
      </c>
      <c r="E108" s="2">
        <v>3.7853999999999999E-2</v>
      </c>
      <c r="F108" s="2">
        <v>14.464468999999999</v>
      </c>
      <c r="G108" s="2">
        <v>14.612918000000001</v>
      </c>
      <c r="I108">
        <f t="shared" si="4"/>
        <v>14.538693</v>
      </c>
      <c r="J108">
        <f t="shared" si="5"/>
        <v>14.464468999999999</v>
      </c>
      <c r="K108">
        <f t="shared" si="6"/>
        <v>14.612918000000001</v>
      </c>
      <c r="M108" t="str">
        <f t="shared" si="7"/>
        <v>14.54 (14.46 to 14.61)</v>
      </c>
    </row>
    <row r="109" spans="1:13" ht="17.25" thickBot="1" x14ac:dyDescent="0.35">
      <c r="A109" s="6"/>
      <c r="B109" s="13" t="s">
        <v>111</v>
      </c>
      <c r="C109" s="2">
        <v>17165</v>
      </c>
      <c r="D109" s="2">
        <v>0.89359699999999997</v>
      </c>
      <c r="E109" s="2">
        <v>1.9300000000000001E-3</v>
      </c>
      <c r="F109" s="2">
        <v>0.88981299999999997</v>
      </c>
      <c r="G109" s="2">
        <v>0.89738200000000001</v>
      </c>
      <c r="I109">
        <f t="shared" si="4"/>
        <v>0.89359699999999997</v>
      </c>
      <c r="J109">
        <f t="shared" si="5"/>
        <v>0.88981299999999997</v>
      </c>
      <c r="K109">
        <f t="shared" si="6"/>
        <v>0.89738200000000001</v>
      </c>
      <c r="M109" t="str">
        <f t="shared" si="7"/>
        <v>0.89 (0.89 to 0.90)</v>
      </c>
    </row>
    <row r="110" spans="1:13" ht="17.25" thickBot="1" x14ac:dyDescent="0.35">
      <c r="A110" s="6"/>
      <c r="B110" s="13" t="s">
        <v>112</v>
      </c>
      <c r="C110" s="2">
        <v>17165</v>
      </c>
      <c r="D110" s="2">
        <v>5.6392429999999996</v>
      </c>
      <c r="E110" s="2">
        <v>6.9439999999999997E-3</v>
      </c>
      <c r="F110" s="2">
        <v>5.6256279999999999</v>
      </c>
      <c r="G110" s="2">
        <v>5.6528580000000002</v>
      </c>
      <c r="I110">
        <f t="shared" si="4"/>
        <v>5.6392429999999996</v>
      </c>
      <c r="J110">
        <f t="shared" si="5"/>
        <v>5.6256279999999999</v>
      </c>
      <c r="K110">
        <f t="shared" si="6"/>
        <v>5.6528580000000002</v>
      </c>
      <c r="M110" t="str">
        <f t="shared" si="7"/>
        <v>5.64 (5.63 to 5.65)</v>
      </c>
    </row>
    <row r="111" spans="1:13" ht="17.25" thickBot="1" x14ac:dyDescent="0.35">
      <c r="A111" s="6"/>
      <c r="B111" s="13" t="s">
        <v>113</v>
      </c>
      <c r="C111" s="2">
        <v>17165</v>
      </c>
      <c r="D111" s="2">
        <v>9.4724540000000008</v>
      </c>
      <c r="E111" s="2">
        <v>4.1279999999999997E-3</v>
      </c>
      <c r="F111" s="2">
        <v>9.4643599999999992</v>
      </c>
      <c r="G111" s="2">
        <v>9.4805480000000006</v>
      </c>
      <c r="I111">
        <f t="shared" si="4"/>
        <v>9.4724540000000008</v>
      </c>
      <c r="J111">
        <f t="shared" si="5"/>
        <v>9.4643599999999992</v>
      </c>
      <c r="K111">
        <f t="shared" si="6"/>
        <v>9.4805480000000006</v>
      </c>
      <c r="M111" t="str">
        <f t="shared" si="7"/>
        <v>9.47 (9.46 to 9.48)</v>
      </c>
    </row>
    <row r="112" spans="1:13" ht="17.25" thickBot="1" x14ac:dyDescent="0.35">
      <c r="A112" s="6"/>
      <c r="B112" s="13" t="s">
        <v>114</v>
      </c>
      <c r="C112" s="2">
        <v>17165</v>
      </c>
      <c r="D112" s="2">
        <v>0.74818799999999996</v>
      </c>
      <c r="E112" s="2">
        <v>5.5699999999999999E-4</v>
      </c>
      <c r="F112" s="2">
        <v>0.74709599999999998</v>
      </c>
      <c r="G112" s="2">
        <v>0.74927999999999995</v>
      </c>
      <c r="I112">
        <f t="shared" si="4"/>
        <v>0.74818799999999996</v>
      </c>
      <c r="J112">
        <f t="shared" si="5"/>
        <v>0.74709599999999998</v>
      </c>
      <c r="K112">
        <f t="shared" si="6"/>
        <v>0.74927999999999995</v>
      </c>
      <c r="M112" t="str">
        <f t="shared" si="7"/>
        <v>0.75 (0.75 to 0.75)</v>
      </c>
    </row>
    <row r="113" spans="1:13" ht="17.25" thickBot="1" x14ac:dyDescent="0.35">
      <c r="A113" s="6"/>
      <c r="B113" s="13" t="s">
        <v>115</v>
      </c>
      <c r="C113" s="2">
        <v>17165</v>
      </c>
      <c r="D113" s="2">
        <v>0.74955899999999998</v>
      </c>
      <c r="E113" s="2">
        <v>2.081E-3</v>
      </c>
      <c r="F113" s="2">
        <v>0.745479</v>
      </c>
      <c r="G113" s="2">
        <v>0.75363899999999995</v>
      </c>
      <c r="I113">
        <f t="shared" si="4"/>
        <v>0.74955899999999998</v>
      </c>
      <c r="J113">
        <f t="shared" si="5"/>
        <v>0.745479</v>
      </c>
      <c r="K113">
        <f t="shared" si="6"/>
        <v>0.75363899999999995</v>
      </c>
      <c r="M113" t="str">
        <f t="shared" si="7"/>
        <v>0.75 (0.75 to 0.75)</v>
      </c>
    </row>
    <row r="114" spans="1:13" x14ac:dyDescent="0.3">
      <c r="A114" s="6"/>
      <c r="B114" s="16" t="s">
        <v>116</v>
      </c>
      <c r="C114" s="2">
        <v>17165</v>
      </c>
      <c r="D114" s="2">
        <v>42.429803</v>
      </c>
      <c r="E114" s="2">
        <v>6.4166000000000001E-2</v>
      </c>
      <c r="F114" s="2">
        <v>42.303986000000002</v>
      </c>
      <c r="G114" s="2">
        <v>42.555619999999998</v>
      </c>
      <c r="I114">
        <f t="shared" si="4"/>
        <v>42.429803</v>
      </c>
      <c r="J114">
        <f t="shared" si="5"/>
        <v>42.303986000000002</v>
      </c>
      <c r="K114">
        <f t="shared" si="6"/>
        <v>42.555619999999998</v>
      </c>
      <c r="M114" t="str">
        <f t="shared" si="7"/>
        <v>42.43 (42.30 to 42.56)</v>
      </c>
    </row>
  </sheetData>
  <mergeCells count="12">
    <mergeCell ref="A36:G36"/>
    <mergeCell ref="A37:A38"/>
    <mergeCell ref="B37:B38"/>
    <mergeCell ref="C37:C38"/>
    <mergeCell ref="D37:D38"/>
    <mergeCell ref="F37:G38"/>
    <mergeCell ref="A3:B3"/>
    <mergeCell ref="A9:F9"/>
    <mergeCell ref="A10:A11"/>
    <mergeCell ref="B10:B11"/>
    <mergeCell ref="C10:C11"/>
    <mergeCell ref="E10:F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Sheet1</vt:lpstr>
      <vt:lpstr>Sheet2</vt:lpstr>
      <vt:lpstr>Sheet2 (2)</vt:lpstr>
      <vt:lpstr>Sheet2 (3)</vt:lpstr>
      <vt:lpstr>Sheet2 (4)</vt:lpstr>
      <vt:lpstr>Sheet7</vt:lpstr>
      <vt:lpstr>Sheet8</vt:lpstr>
      <vt:lpstr>Sheet8 (2)</vt:lpstr>
      <vt:lpstr>Sheet8 (3)</vt:lpstr>
      <vt:lpstr>Sheet8 (4)</vt:lpstr>
      <vt:lpstr>Sheet12</vt:lpstr>
      <vt:lpstr>Sheet13</vt:lpstr>
      <vt:lpstr>Sheet13 (2)</vt:lpstr>
      <vt:lpstr>Sheet13 (3)</vt:lpstr>
      <vt:lpstr>Sheet13 (4)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2026-01-30T02:31:06Z</dcterms:modified>
</cp:coreProperties>
</file>